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PROYECTOS\Escritorio\DOCUMENTACION INDICADORES\"/>
    </mc:Choice>
  </mc:AlternateContent>
  <bookViews>
    <workbookView xWindow="0" yWindow="0" windowWidth="20490" windowHeight="7755" tabRatio="785" activeTab="2"/>
  </bookViews>
  <sheets>
    <sheet name="AdminList" sheetId="7" r:id="rId1"/>
    <sheet name="Menu" sheetId="8" r:id="rId2"/>
    <sheet name="G. GENERAL" sheetId="6" r:id="rId3"/>
    <sheet name="G. GENERAL FALTANTES" sheetId="13" r:id="rId4"/>
  </sheets>
  <definedNames>
    <definedName name="ESTADO_Ger010_table">Tabla5[ESTADO_GER010]</definedName>
    <definedName name="ESTADO_Table">Tabla1[ESTADO]</definedName>
    <definedName name="PROCESO_JUDICIAL_Table">Tabla3[PROCESO]</definedName>
    <definedName name="PROCESO_table">Tabla2[PROCESOS]</definedName>
    <definedName name="PROCESOS_Table">#REF!</definedName>
    <definedName name="SelectProcess">Menu!$B$6</definedName>
    <definedName name="SIGNIFICANCIA_Table">Tabla4[SIGNIFICANCIA]</definedName>
    <definedName name="TIPO_ACCION_Table">Tabla6[TIPO_ACCION]</definedName>
    <definedName name="TIPO_GER010_Table">Tabla7[TIPO GER010]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0" i="6" l="1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O145" i="6" l="1"/>
  <c r="O144" i="6"/>
  <c r="G116" i="6" l="1"/>
  <c r="O129" i="6" l="1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28" i="6"/>
  <c r="C128" i="6" l="1"/>
  <c r="G122" i="6"/>
  <c r="G123" i="6"/>
  <c r="G115" i="6"/>
  <c r="G117" i="6"/>
  <c r="G118" i="6"/>
  <c r="G119" i="6"/>
  <c r="G120" i="6"/>
  <c r="G121" i="6"/>
  <c r="C72" i="6" l="1"/>
  <c r="C73" i="6" l="1"/>
  <c r="C74" i="6" s="1"/>
  <c r="G90" i="6"/>
  <c r="G89" i="6"/>
  <c r="C75" i="6" l="1"/>
  <c r="C146" i="6"/>
  <c r="C143" i="6"/>
  <c r="C140" i="6"/>
  <c r="C137" i="6"/>
  <c r="C134" i="6"/>
  <c r="C131" i="6"/>
  <c r="C76" i="6" l="1"/>
  <c r="C77" i="6" s="1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91" i="6"/>
  <c r="G92" i="6"/>
  <c r="G93" i="6"/>
  <c r="G94" i="6"/>
  <c r="G95" i="6"/>
  <c r="G96" i="6"/>
  <c r="G97" i="6"/>
  <c r="G98" i="6"/>
  <c r="G99" i="6"/>
  <c r="G72" i="6"/>
  <c r="C78" i="6" l="1"/>
  <c r="C79" i="6" l="1"/>
  <c r="C80" i="6" s="1"/>
  <c r="C81" i="6" s="1"/>
  <c r="B128" i="6"/>
  <c r="C82" i="6" l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B78" i="6"/>
  <c r="C15" i="6"/>
  <c r="B53" i="6" l="1"/>
  <c r="B72" i="6" l="1"/>
  <c r="C53" i="6" l="1"/>
  <c r="B15" i="6"/>
  <c r="A2" i="7" l="1"/>
  <c r="B75" i="6" l="1"/>
</calcChain>
</file>

<file path=xl/sharedStrings.xml><?xml version="1.0" encoding="utf-8"?>
<sst xmlns="http://schemas.openxmlformats.org/spreadsheetml/2006/main" count="163" uniqueCount="106">
  <si>
    <t>ID</t>
  </si>
  <si>
    <t>CÓDIGO</t>
  </si>
  <si>
    <t>INDICADOR</t>
  </si>
  <si>
    <t>FECHA DE SOLICITUD</t>
  </si>
  <si>
    <t>VALOR</t>
  </si>
  <si>
    <t>GER001</t>
  </si>
  <si>
    <t>GER002</t>
  </si>
  <si>
    <t>GER003</t>
  </si>
  <si>
    <t>GER004</t>
  </si>
  <si>
    <t>GER005</t>
  </si>
  <si>
    <t>GER009</t>
  </si>
  <si>
    <t>GER010</t>
  </si>
  <si>
    <t>GER011</t>
  </si>
  <si>
    <t>NUMERO TOTAL DE INFORMES ELABORADOS / NUMERO TOTAL DE INFORMES REQUERIDOS</t>
  </si>
  <si>
    <t>NUMERO DE PROYECCTOS EN ATENCIÓN JURÍDICA</t>
  </si>
  <si>
    <t>VALOR POR COBRAR DE PROYECTOS EN ATENCIÓN JURÍDICA</t>
  </si>
  <si>
    <t>CUMPLIMIENTO ATENCIÓN GERENCIAS</t>
  </si>
  <si>
    <t>CUMPLIMIENTO ENTREGA INFORMES SOCIOS</t>
  </si>
  <si>
    <t>REVISIÓN POR LA GERENCIA - HALLAZGOS MÁS SIGNIFICATIVOS</t>
  </si>
  <si>
    <t>REVISIÓN POR LA GERENCIA - ACCIONES CORRECTIVAS SIGNIFICATIVAS</t>
  </si>
  <si>
    <t>REVISIÓN POR LA GERENCIA - IMPLEMENTACIONES MÁS SIGNIFICATIVAS</t>
  </si>
  <si>
    <t>INDICADORES GERENCIA GENERAL</t>
  </si>
  <si>
    <t>NÚMERO TOTAL DE INFORMES ELABORADOS</t>
  </si>
  <si>
    <t>NÚMERO TOTAL DE INFORMES REQUERIDOS</t>
  </si>
  <si>
    <t xml:space="preserve"> NÚMERO DE REUNIONES ATENDIDAS (NUMERADOR)</t>
  </si>
  <si>
    <t>NÚMERO DE REUNIONES REQUERIDAS (DENOMINADOR)</t>
  </si>
  <si>
    <t xml:space="preserve"> NÚMERO DE INFORMES ENTREGADOS (NUMERADOR)</t>
  </si>
  <si>
    <t>NÚMERO DE INFORMES REQUERIDOS (DENOMINADOR)</t>
  </si>
  <si>
    <t>HALLAZGO REPRESENTATIVO</t>
  </si>
  <si>
    <t>NÚMERO TOTAL DE REVISIÓN POR LA GERENCIA - IMPLEMENTACIONES MÁS SIGNIFICATIVAS</t>
  </si>
  <si>
    <t>PROCESOS</t>
  </si>
  <si>
    <t>G. ADMINISTRATIVA Y FINANCIERA</t>
  </si>
  <si>
    <t>G. COMERCIAL</t>
  </si>
  <si>
    <t>G. GESTIÓN HUMANA</t>
  </si>
  <si>
    <t>G. GENERAL</t>
  </si>
  <si>
    <t>G. TÉCNICA</t>
  </si>
  <si>
    <t>SELECCIONE PROCESO:</t>
  </si>
  <si>
    <t>PROCESO/OBRA CON ESTE HALLAZGO</t>
  </si>
  <si>
    <t>TIENEN CARGA INICIAL</t>
  </si>
  <si>
    <t>NO CARGADO</t>
  </si>
  <si>
    <t>FECHA DE ÚLTIMO CORTE</t>
  </si>
  <si>
    <t>FECHA DE CORTE ACTUAL</t>
  </si>
  <si>
    <t>INSTRUCCIONES DE DILIGENCIAMIENTO DE INDICADORES</t>
  </si>
  <si>
    <t>1)</t>
  </si>
  <si>
    <t>Seleccione el área gerencial a la cual pertenece y/o para la cual va a diligenciar los indicadores respectivos</t>
  </si>
  <si>
    <t>2)</t>
  </si>
  <si>
    <t>GER006</t>
  </si>
  <si>
    <t>PROYECCIÓN FACTURACIÓN</t>
  </si>
  <si>
    <t>GER007</t>
  </si>
  <si>
    <t>PROYECCIÓN UTILIDAD</t>
  </si>
  <si>
    <t>GER008</t>
  </si>
  <si>
    <t>PROYECCIÓN GARANTIZADO</t>
  </si>
  <si>
    <t>SELECCIONE LA HOJA CON EL NOMBRE DEL PROCESO (GERENCIA)</t>
  </si>
  <si>
    <t>3)</t>
  </si>
  <si>
    <t>DILIGENCIE LOS VALORES DE LOS INDICADORES CORRESPONDIENTES AL MES ACTUAL EN LAS CELDAS DE COLOR AMARILLO</t>
  </si>
  <si>
    <t>Los indicadores que se muestran en la pestaña con el nombre de la gerencia correspondiente son los que cuentan con un corte previo, es decir, ya han sido cargados previamente.</t>
  </si>
  <si>
    <t>4)</t>
  </si>
  <si>
    <t>ENVIAR LAS BASES DE DATOS DONDE SE ENCUENTREN LOS VALORES DE LOS INDICADORES FALTANTES</t>
  </si>
  <si>
    <t>REVISAR LOS INDICADORES "FALTANTES" QUE AÚN NO CUENTAN CON CARGA INICIAL</t>
  </si>
  <si>
    <t>-All-</t>
  </si>
  <si>
    <t>ESTADO</t>
  </si>
  <si>
    <t>ABIERTO</t>
  </si>
  <si>
    <t>CERRADO</t>
  </si>
  <si>
    <t>PROCESO</t>
  </si>
  <si>
    <t>JUDICIAL</t>
  </si>
  <si>
    <t>RECLAMACIÓN</t>
  </si>
  <si>
    <t>ADMINISTRATIVO</t>
  </si>
  <si>
    <t>TOTAL</t>
  </si>
  <si>
    <t>DESCRIPCIÓN</t>
  </si>
  <si>
    <t>TEMA/CONTROL</t>
  </si>
  <si>
    <t>FECHA CREACION</t>
  </si>
  <si>
    <t>OBRA/PROCESO</t>
  </si>
  <si>
    <t>SIGNIFICANCIA</t>
  </si>
  <si>
    <t>Cantidad de Procesos/Obras que presentan hallazgos más significativos</t>
  </si>
  <si>
    <t>SI</t>
  </si>
  <si>
    <t>NO APLICA</t>
  </si>
  <si>
    <t>ANULADA</t>
  </si>
  <si>
    <t>CERRADA</t>
  </si>
  <si>
    <t>ABIERTA</t>
  </si>
  <si>
    <t>ESTADO_GER010</t>
  </si>
  <si>
    <t>OBRAS CON HALLAZGOS MAS SIGNIFICATIVOS</t>
  </si>
  <si>
    <t>NUMERO PROYECTO/ASESOR JURIDICO</t>
  </si>
  <si>
    <t>PROYECTO/ASESOR JURIDICO</t>
  </si>
  <si>
    <t>PRETENSIÓN</t>
  </si>
  <si>
    <t>DESCRIPCIÓN DEL TRÁMITE</t>
  </si>
  <si>
    <t>TOTAL HALLAZGOS</t>
  </si>
  <si>
    <t>TOTAL OBRAS</t>
  </si>
  <si>
    <t>ID_GER009</t>
  </si>
  <si>
    <t>No.Id</t>
  </si>
  <si>
    <t>TOTAL SIGNIFICATIVA SI</t>
  </si>
  <si>
    <t>TOTAL SIGNIFICATIVA NO APLICA</t>
  </si>
  <si>
    <t>Significativa para revisión de junta</t>
  </si>
  <si>
    <t>TIPO ACCION</t>
  </si>
  <si>
    <t>TIPO</t>
  </si>
  <si>
    <t>DESCRIPCION</t>
  </si>
  <si>
    <t>TIPO_ACCION</t>
  </si>
  <si>
    <t>AC</t>
  </si>
  <si>
    <t>AP</t>
  </si>
  <si>
    <t>TIPO GER010</t>
  </si>
  <si>
    <t>QUEJA</t>
  </si>
  <si>
    <t>AUDITORIA</t>
  </si>
  <si>
    <t>TOTAL ESTADO ABIERTA</t>
  </si>
  <si>
    <t>TOTAL ESTADO CERRADA</t>
  </si>
  <si>
    <t>TOTAL ESTADO EN SEGUIMIENTO</t>
  </si>
  <si>
    <t>TOTAL ESTADO ANULADA</t>
  </si>
  <si>
    <t>EN SEGUIMIENTO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</si>
</sst>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/yy;@"/>
    <numFmt numFmtId="165" formatCode="_ * #,##0.00_ ;_ * \-#,##0.00_ ;_ * &quot;-&quot;??_ ;_ @_ "/>
    <numFmt numFmtId="166" formatCode="_ &quot;$&quot;\ * #,##0.00_ ;_ &quot;$&quot;\ * \-#,##0.00_ ;_ &quot;$&quot;\ * &quot;-&quot;??_ ;_ @_ 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9" fillId="0" borderId="0"/>
    <xf numFmtId="0" fontId="10" fillId="0" borderId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10" fillId="0" borderId="0"/>
  </cellStyleXfs>
  <cellXfs count="47">
    <xf numFmtId="0" fontId="0" fillId="0" borderId="0" xfId="0"/>
    <xf numFmtId="0" fontId="0" fillId="0" borderId="0" xfId="0" applyBorder="1" applyProtection="1">
      <protection locked="0"/>
    </xf>
    <xf numFmtId="0" fontId="0" fillId="0" borderId="0" xfId="0" applyBorder="1" applyProtection="1"/>
    <xf numFmtId="0" fontId="3" fillId="0" borderId="0" xfId="0" applyFont="1" applyBorder="1" applyAlignment="1" applyProtection="1">
      <alignment vertical="center"/>
    </xf>
    <xf numFmtId="0" fontId="1" fillId="2" borderId="1" xfId="0" applyFont="1" applyFill="1" applyBorder="1" applyProtection="1"/>
    <xf numFmtId="0" fontId="0" fillId="4" borderId="0" xfId="0" applyFill="1" applyBorder="1" applyProtection="1">
      <protection locked="0"/>
    </xf>
    <xf numFmtId="0" fontId="3" fillId="4" borderId="0" xfId="0" applyFont="1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wrapText="1"/>
    </xf>
    <xf numFmtId="0" fontId="3" fillId="0" borderId="0" xfId="0" applyFont="1" applyBorder="1" applyAlignment="1" applyProtection="1">
      <alignment vertical="center" wrapText="1"/>
    </xf>
    <xf numFmtId="0" fontId="0" fillId="0" borderId="0" xfId="0" applyBorder="1" applyAlignment="1" applyProtection="1">
      <alignment wrapText="1"/>
      <protection locked="0"/>
    </xf>
    <xf numFmtId="0" fontId="4" fillId="4" borderId="0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6" fillId="0" borderId="0" xfId="0" applyFont="1" applyAlignment="1" applyProtection="1"/>
    <xf numFmtId="0" fontId="7" fillId="0" borderId="0" xfId="0" applyFont="1" applyFill="1" applyProtection="1"/>
    <xf numFmtId="0" fontId="2" fillId="0" borderId="0" xfId="0" applyFont="1" applyAlignment="1" applyProtection="1">
      <alignment horizontal="right" vertical="center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 wrapText="1"/>
    </xf>
    <xf numFmtId="0" fontId="1" fillId="5" borderId="2" xfId="0" applyFont="1" applyFill="1" applyBorder="1" applyProtection="1"/>
    <xf numFmtId="0" fontId="0" fillId="0" borderId="2" xfId="0" applyBorder="1" applyProtection="1"/>
    <xf numFmtId="0" fontId="3" fillId="0" borderId="2" xfId="0" applyFont="1" applyBorder="1" applyAlignment="1" applyProtection="1">
      <alignment vertical="center"/>
    </xf>
    <xf numFmtId="0" fontId="0" fillId="0" borderId="1" xfId="0" applyBorder="1" applyProtection="1"/>
    <xf numFmtId="0" fontId="2" fillId="3" borderId="0" xfId="0" applyFont="1" applyFill="1" applyBorder="1" applyAlignment="1" applyProtection="1">
      <alignment wrapText="1"/>
    </xf>
    <xf numFmtId="14" fontId="0" fillId="0" borderId="0" xfId="0" applyNumberFormat="1" applyBorder="1" applyProtection="1"/>
    <xf numFmtId="0" fontId="0" fillId="0" borderId="0" xfId="0" applyFill="1" applyBorder="1" applyProtection="1"/>
    <xf numFmtId="0" fontId="0" fillId="0" borderId="0" xfId="0" applyAlignment="1" applyProtection="1">
      <alignment wrapText="1"/>
      <protection locked="0"/>
    </xf>
    <xf numFmtId="0" fontId="7" fillId="0" borderId="0" xfId="0" applyFont="1" applyFill="1" applyProtection="1">
      <protection locked="0"/>
    </xf>
    <xf numFmtId="0" fontId="2" fillId="3" borderId="0" xfId="0" applyFont="1" applyFill="1" applyBorder="1" applyAlignment="1" applyProtection="1">
      <alignment vertical="center" wrapText="1"/>
    </xf>
    <xf numFmtId="164" fontId="3" fillId="4" borderId="0" xfId="0" applyNumberFormat="1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wrapText="1"/>
    </xf>
    <xf numFmtId="14" fontId="0" fillId="0" borderId="0" xfId="0" applyNumberFormat="1" applyFill="1" applyBorder="1" applyProtection="1"/>
    <xf numFmtId="14" fontId="0" fillId="4" borderId="0" xfId="0" applyNumberFormat="1" applyFill="1" applyBorder="1" applyProtection="1">
      <protection locked="0"/>
    </xf>
    <xf numFmtId="14" fontId="4" fillId="4" borderId="0" xfId="0" applyNumberFormat="1" applyFont="1" applyFill="1" applyBorder="1" applyAlignment="1" applyProtection="1">
      <alignment vertical="center"/>
      <protection locked="0"/>
    </xf>
    <xf numFmtId="14" fontId="3" fillId="4" borderId="0" xfId="0" applyNumberFormat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>
      <protection locked="0"/>
    </xf>
    <xf numFmtId="0" fontId="11" fillId="0" borderId="0" xfId="0" applyFont="1" applyBorder="1" applyProtection="1"/>
    <xf numFmtId="0" fontId="2" fillId="3" borderId="0" xfId="0" applyFont="1" applyFill="1" applyBorder="1" applyAlignment="1" applyProtection="1">
      <alignment wrapText="1"/>
      <protection locked="0"/>
    </xf>
    <xf numFmtId="0" fontId="2" fillId="3" borderId="0" xfId="0" applyFont="1" applyFill="1" applyBorder="1" applyAlignment="1" applyProtection="1">
      <alignment horizontal="center" vertical="center" wrapText="1"/>
      <protection locked="0"/>
    </xf>
    <xf numFmtId="0" fontId="2" fillId="6" borderId="0" xfId="0" applyFont="1" applyFill="1" applyBorder="1" applyProtection="1"/>
    <xf numFmtId="14" fontId="2" fillId="6" borderId="0" xfId="0" applyNumberFormat="1" applyFont="1" applyFill="1" applyBorder="1" applyProtection="1"/>
    <xf numFmtId="0" fontId="0" fillId="6" borderId="0" xfId="0" applyFill="1" applyBorder="1" applyProtection="1"/>
    <xf numFmtId="14" fontId="3" fillId="0" borderId="0" xfId="0" applyNumberFormat="1" applyFont="1" applyBorder="1" applyAlignment="1" applyProtection="1">
      <alignment vertical="center"/>
    </xf>
    <xf numFmtId="0" fontId="0" fillId="5" borderId="0" xfId="0" applyFill="1" applyBorder="1" applyProtection="1"/>
    <xf numFmtId="0" fontId="8" fillId="2" borderId="0" xfId="0" applyFont="1" applyFill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 vertical="center"/>
    </xf>
  </cellXfs>
  <cellStyles count="9">
    <cellStyle name="Millares 2" xfId="3"/>
    <cellStyle name="Millares 2 2" xfId="6"/>
    <cellStyle name="Moneda 2" xfId="4"/>
    <cellStyle name="Moneda 2 2" xfId="7"/>
    <cellStyle name="Normal" xfId="0" builtinId="0"/>
    <cellStyle name="Normal 2" xfId="2"/>
    <cellStyle name="Normal 2 2" xfId="8"/>
    <cellStyle name="Normal 3" xfId="1"/>
    <cellStyle name="Porcentaje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Tabla2" displayName="Tabla2" ref="A1:A7" totalsRowShown="0">
  <autoFilter ref="A1:A7"/>
  <tableColumns count="1">
    <tableColumn id="1" name="PROCESO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G1:G3" totalsRowShown="0">
  <autoFilter ref="G1:G3"/>
  <tableColumns count="1">
    <tableColumn id="1" name="ESTAD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D1:D4" totalsRowShown="0">
  <autoFilter ref="D1:D4"/>
  <tableColumns count="1">
    <tableColumn id="1" name="PROCES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J1:J3" totalsRowShown="0">
  <autoFilter ref="J1:J3"/>
  <tableColumns count="1">
    <tableColumn id="1" name="SIGNIFICANCI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K1:K5" totalsRowShown="0">
  <autoFilter ref="K1:K5"/>
  <tableColumns count="1">
    <tableColumn id="1" name="ESTADO_GER01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M1:M3" totalsRowShown="0">
  <autoFilter ref="M1:M3"/>
  <tableColumns count="1">
    <tableColumn id="1" name="TIPO_ACC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N1:N4" totalsRowShown="0">
  <autoFilter ref="N1:N4"/>
  <tableColumns count="1">
    <tableColumn id="1" name="TIPO GER0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7"/>
  <sheetViews>
    <sheetView topLeftCell="D1" zoomScale="130" zoomScaleNormal="130" workbookViewId="0">
      <selection activeCell="K5" sqref="K5"/>
    </sheetView>
  </sheetViews>
  <sheetFormatPr baseColWidth="10" defaultRowHeight="15" x14ac:dyDescent="0.25"/>
  <cols>
    <col min="4" max="4" width="16.7109375" bestFit="1" customWidth="1"/>
    <col min="7" max="7" width="12" customWidth="1"/>
  </cols>
  <sheetData>
    <row r="1" spans="1:14" x14ac:dyDescent="0.25">
      <c r="A1" t="s">
        <v>30</v>
      </c>
      <c r="D1" t="s">
        <v>63</v>
      </c>
      <c r="G1" t="s">
        <v>60</v>
      </c>
      <c r="J1" t="s">
        <v>72</v>
      </c>
      <c r="K1" t="s">
        <v>79</v>
      </c>
      <c r="M1" t="s">
        <v>95</v>
      </c>
      <c r="N1" t="s">
        <v>98</v>
      </c>
    </row>
    <row r="2" spans="1:14" x14ac:dyDescent="0.25">
      <c r="A2" t="str">
        <f>"-All-"</f>
        <v>-All-</v>
      </c>
      <c r="D2" t="s">
        <v>64</v>
      </c>
      <c r="G2" t="s">
        <v>61</v>
      </c>
      <c r="J2" t="s">
        <v>74</v>
      </c>
      <c r="K2" t="s">
        <v>78</v>
      </c>
      <c r="M2" t="s">
        <v>96</v>
      </c>
      <c r="N2" t="s">
        <v>63</v>
      </c>
    </row>
    <row r="3" spans="1:14" x14ac:dyDescent="0.25">
      <c r="A3" t="s">
        <v>31</v>
      </c>
      <c r="D3" t="s">
        <v>65</v>
      </c>
      <c r="G3" t="s">
        <v>62</v>
      </c>
      <c r="J3" t="s">
        <v>75</v>
      </c>
      <c r="K3" t="s">
        <v>77</v>
      </c>
      <c r="M3" t="s">
        <v>97</v>
      </c>
      <c r="N3" t="s">
        <v>99</v>
      </c>
    </row>
    <row r="4" spans="1:14" x14ac:dyDescent="0.25">
      <c r="A4" t="s">
        <v>32</v>
      </c>
      <c r="D4" t="s">
        <v>66</v>
      </c>
      <c r="K4" t="s">
        <v>105</v>
      </c>
      <c r="N4" t="s">
        <v>100</v>
      </c>
    </row>
    <row r="5" spans="1:14" x14ac:dyDescent="0.25">
      <c r="A5" t="s">
        <v>33</v>
      </c>
      <c r="K5" t="s">
        <v>76</v>
      </c>
    </row>
    <row r="6" spans="1:14" x14ac:dyDescent="0.25">
      <c r="A6" t="s">
        <v>34</v>
      </c>
    </row>
    <row r="7" spans="1:14" x14ac:dyDescent="0.25">
      <c r="A7" t="s">
        <v>35</v>
      </c>
    </row>
  </sheetData>
  <sheetProtection algorithmName="SHA-512" hashValue="KTrSqdGKQnLAuOtEaZH/Hk2Pqikp+emOuV7yM0CnPwJQ17+0ztVk9eLVVm9HTvOAfAg4L1m7svIfQBn3E+6LpQ==" saltValue="fb2tR6ZPoitJsIRp8GE0Sg==" spinCount="100000" sheet="1" objects="1" scenarios="1" selectLockedCells="1" selectUnlockedCells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107"/>
  <sheetViews>
    <sheetView showGridLines="0" workbookViewId="0">
      <selection activeCell="B6" sqref="B6"/>
    </sheetView>
  </sheetViews>
  <sheetFormatPr baseColWidth="10" defaultColWidth="11.5703125" defaultRowHeight="15" x14ac:dyDescent="0.25"/>
  <cols>
    <col min="1" max="1" width="11.5703125" style="11" customWidth="1"/>
    <col min="2" max="2" width="31.42578125" style="11" bestFit="1" customWidth="1"/>
    <col min="3" max="3" width="13.5703125" style="11" customWidth="1"/>
    <col min="4" max="16384" width="11.5703125" style="11"/>
  </cols>
  <sheetData>
    <row r="1" spans="1:16" s="27" customFormat="1" ht="23.25" x14ac:dyDescent="0.35">
      <c r="A1" s="44" t="s">
        <v>42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</row>
    <row r="2" spans="1:16" s="27" customFormat="1" ht="23.25" x14ac:dyDescent="0.3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16" s="27" customFormat="1" ht="23.25" x14ac:dyDescent="0.3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</row>
    <row r="4" spans="1:16" s="27" customFormat="1" ht="23.25" x14ac:dyDescent="0.3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</row>
    <row r="5" spans="1:16" s="26" customFormat="1" ht="39" customHeight="1" x14ac:dyDescent="0.25">
      <c r="A5" s="15" t="s">
        <v>43</v>
      </c>
      <c r="B5" s="18" t="s">
        <v>36</v>
      </c>
      <c r="C5" s="13" t="s">
        <v>44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</row>
    <row r="6" spans="1:16" x14ac:dyDescent="0.25">
      <c r="B6" s="12" t="s">
        <v>59</v>
      </c>
    </row>
    <row r="7" spans="1:16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</row>
    <row r="8" spans="1:16" s="26" customFormat="1" ht="39" customHeight="1" x14ac:dyDescent="0.25">
      <c r="A8" s="15" t="s">
        <v>45</v>
      </c>
      <c r="B8" s="18" t="s">
        <v>52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</row>
    <row r="9" spans="1:16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</row>
    <row r="10" spans="1:16" ht="75" x14ac:dyDescent="0.25">
      <c r="A10" s="15" t="s">
        <v>53</v>
      </c>
      <c r="B10" s="18" t="s">
        <v>54</v>
      </c>
      <c r="C10" s="13" t="s">
        <v>55</v>
      </c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</row>
    <row r="11" spans="1:16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 ht="45" x14ac:dyDescent="0.25">
      <c r="A12" s="15" t="s">
        <v>56</v>
      </c>
      <c r="B12" s="18" t="s">
        <v>58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</row>
    <row r="14" spans="1:16" ht="60" x14ac:dyDescent="0.25">
      <c r="A14" s="15" t="s">
        <v>56</v>
      </c>
      <c r="B14" s="18" t="s">
        <v>57</v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</row>
    <row r="15" spans="1:16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</row>
    <row r="16" spans="1:16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</row>
    <row r="17" spans="1:16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</row>
    <row r="18" spans="1:16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</row>
    <row r="19" spans="1:16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</row>
    <row r="20" spans="1:16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</row>
    <row r="21" spans="1:16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</row>
    <row r="22" spans="1:16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</row>
    <row r="23" spans="1:16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</row>
    <row r="24" spans="1:16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</row>
    <row r="25" spans="1:16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</row>
    <row r="26" spans="1:16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</row>
    <row r="27" spans="1:16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</row>
    <row r="28" spans="1:16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</row>
    <row r="29" spans="1:16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</row>
    <row r="30" spans="1:16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</row>
    <row r="31" spans="1:16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</row>
    <row r="32" spans="1:16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</row>
    <row r="33" spans="1:16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</row>
    <row r="34" spans="1:16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</row>
    <row r="35" spans="1:16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</row>
    <row r="36" spans="1:16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</row>
    <row r="37" spans="1:16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</row>
    <row r="38" spans="1:16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</row>
    <row r="39" spans="1:16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</row>
    <row r="40" spans="1:16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</row>
    <row r="41" spans="1:16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</row>
    <row r="42" spans="1:16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</row>
    <row r="43" spans="1:16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</row>
    <row r="44" spans="1:16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</row>
    <row r="45" spans="1:16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</row>
    <row r="46" spans="1:16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</row>
    <row r="47" spans="1:16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</row>
    <row r="48" spans="1:16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</row>
    <row r="49" spans="1:16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</row>
    <row r="50" spans="1:16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</row>
    <row r="51" spans="1:16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</row>
    <row r="52" spans="1:16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</row>
    <row r="53" spans="1:16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</row>
    <row r="54" spans="1:16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</row>
    <row r="55" spans="1:16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</row>
    <row r="56" spans="1:16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</row>
    <row r="57" spans="1:16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</row>
    <row r="58" spans="1:16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</row>
    <row r="59" spans="1:16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</row>
    <row r="60" spans="1:16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</row>
    <row r="61" spans="1:16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</row>
    <row r="62" spans="1:16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</row>
    <row r="63" spans="1:16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</row>
    <row r="64" spans="1:16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</row>
    <row r="65" spans="1:16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</row>
    <row r="66" spans="1:16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</row>
    <row r="67" spans="1:16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</row>
    <row r="68" spans="1:16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</row>
    <row r="69" spans="1:1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</row>
    <row r="70" spans="1:16" x14ac:dyDescent="0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</row>
    <row r="71" spans="1:16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</row>
    <row r="72" spans="1:16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</row>
    <row r="73" spans="1:16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</row>
    <row r="74" spans="1:16" x14ac:dyDescent="0.2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</row>
    <row r="75" spans="1:16" x14ac:dyDescent="0.2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</row>
    <row r="76" spans="1:16" x14ac:dyDescent="0.2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</row>
    <row r="77" spans="1:16" x14ac:dyDescent="0.2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</row>
    <row r="78" spans="1:16" x14ac:dyDescent="0.2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</row>
    <row r="79" spans="1:16" x14ac:dyDescent="0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</row>
    <row r="80" spans="1:16" x14ac:dyDescent="0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</row>
    <row r="81" spans="1:16" x14ac:dyDescent="0.2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</row>
    <row r="82" spans="1:16" x14ac:dyDescent="0.2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</row>
    <row r="83" spans="1:16" x14ac:dyDescent="0.2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</row>
    <row r="84" spans="1:16" x14ac:dyDescent="0.2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</row>
    <row r="85" spans="1:16" x14ac:dyDescent="0.2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</row>
    <row r="86" spans="1:16" x14ac:dyDescent="0.2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</row>
    <row r="87" spans="1:16" x14ac:dyDescent="0.2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</row>
    <row r="88" spans="1:16" x14ac:dyDescent="0.2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</row>
    <row r="89" spans="1:16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</row>
    <row r="90" spans="1:16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</row>
    <row r="91" spans="1:16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</row>
    <row r="92" spans="1:16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</row>
    <row r="93" spans="1:16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</row>
    <row r="94" spans="1:16" x14ac:dyDescent="0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</row>
    <row r="95" spans="1:16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</row>
    <row r="96" spans="1:16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</row>
    <row r="97" spans="1:16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</row>
    <row r="98" spans="1:16" x14ac:dyDescent="0.2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</row>
    <row r="99" spans="1:16" x14ac:dyDescent="0.2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</row>
    <row r="100" spans="1:16" x14ac:dyDescent="0.2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</row>
    <row r="101" spans="1:16" x14ac:dyDescent="0.2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</row>
    <row r="102" spans="1:16" x14ac:dyDescent="0.2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</row>
    <row r="103" spans="1:16" x14ac:dyDescent="0.2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</row>
    <row r="104" spans="1:16" x14ac:dyDescent="0.2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</row>
    <row r="105" spans="1:16" x14ac:dyDescent="0.2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</row>
    <row r="106" spans="1:16" x14ac:dyDescent="0.2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</row>
    <row r="107" spans="1:16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</row>
  </sheetData>
  <sheetProtection algorithmName="SHA-512" hashValue="1mpMpMuV4SQCPUR7MgIF5pVVSP5psVXRHbNDfPex8kqjK0eMOajCt3pV9/ww7NLUAJ1mlfSoUogwlrpY9a/rQQ==" saltValue="QekAiUhw2buKtiDTf2/RsA==" spinCount="100000" sheet="1" objects="1" scenarios="1"/>
  <mergeCells count="1">
    <mergeCell ref="A1:P3"/>
  </mergeCells>
  <dataValidations count="1">
    <dataValidation type="list" allowBlank="1" showInputMessage="1" showErrorMessage="1" sqref="B6">
      <formula1>PROCESO_table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Q170"/>
  <sheetViews>
    <sheetView tabSelected="1" topLeftCell="A156" zoomScale="55" zoomScaleNormal="55" workbookViewId="0">
      <selection activeCell="F165" sqref="F165:G165"/>
    </sheetView>
  </sheetViews>
  <sheetFormatPr baseColWidth="10" defaultColWidth="11.5703125" defaultRowHeight="15" x14ac:dyDescent="0.25"/>
  <cols>
    <col min="1" max="1" width="4" style="1" customWidth="1"/>
    <col min="2" max="2" width="12.5703125" style="1" customWidth="1"/>
    <col min="3" max="3" width="92" style="1" bestFit="1" customWidth="1"/>
    <col min="4" max="4" width="24.140625" style="1" bestFit="1" customWidth="1"/>
    <col min="5" max="5" width="24.140625" style="1" customWidth="1"/>
    <col min="6" max="6" width="20" style="1" bestFit="1" customWidth="1"/>
    <col min="7" max="7" width="46.5703125" style="1" customWidth="1"/>
    <col min="8" max="10" width="45.7109375" style="1" customWidth="1"/>
    <col min="11" max="11" width="18" style="1" customWidth="1"/>
    <col min="12" max="16384" width="11.5703125" style="1"/>
  </cols>
  <sheetData>
    <row r="1" spans="1:17" s="2" customFormat="1" ht="14.45" customHeight="1" x14ac:dyDescent="0.25">
      <c r="A1" s="45" t="s">
        <v>21</v>
      </c>
      <c r="B1" s="45"/>
      <c r="C1" s="45"/>
      <c r="D1" s="45"/>
      <c r="E1" s="45"/>
      <c r="F1" s="45"/>
      <c r="G1" s="45"/>
      <c r="H1" s="45"/>
      <c r="I1" s="45"/>
    </row>
    <row r="2" spans="1:17" s="2" customFormat="1" ht="14.45" customHeight="1" x14ac:dyDescent="0.25">
      <c r="A2" s="45"/>
      <c r="B2" s="45"/>
      <c r="C2" s="45"/>
      <c r="D2" s="45"/>
      <c r="E2" s="45"/>
      <c r="F2" s="45"/>
      <c r="G2" s="45"/>
      <c r="H2" s="45"/>
      <c r="I2" s="45"/>
    </row>
    <row r="3" spans="1:17" s="2" customFormat="1" ht="15.75" thickBot="1" x14ac:dyDescent="0.3"/>
    <row r="4" spans="1:17" s="2" customFormat="1" ht="22.9" customHeight="1" thickTop="1" x14ac:dyDescent="0.25">
      <c r="A4" s="4" t="s">
        <v>0</v>
      </c>
      <c r="B4" s="4" t="s">
        <v>1</v>
      </c>
      <c r="C4" s="4" t="s">
        <v>2</v>
      </c>
      <c r="D4" s="22"/>
      <c r="E4" s="22"/>
      <c r="F4" s="22"/>
      <c r="G4" s="22"/>
      <c r="H4" s="22"/>
      <c r="I4" s="22"/>
    </row>
    <row r="5" spans="1:17" s="2" customFormat="1" x14ac:dyDescent="0.25">
      <c r="A5" s="2">
        <v>74</v>
      </c>
      <c r="B5" s="2" t="s">
        <v>5</v>
      </c>
      <c r="C5" s="2" t="s">
        <v>13</v>
      </c>
    </row>
    <row r="6" spans="1:17" s="9" customFormat="1" ht="36.6" customHeight="1" x14ac:dyDescent="0.25">
      <c r="A6" s="7"/>
      <c r="B6" s="7"/>
      <c r="C6" s="8"/>
      <c r="D6" s="23" t="s">
        <v>3</v>
      </c>
      <c r="E6" s="23" t="s">
        <v>40</v>
      </c>
      <c r="F6" s="37" t="s">
        <v>41</v>
      </c>
      <c r="G6" s="37" t="s">
        <v>22</v>
      </c>
      <c r="H6" s="37" t="s">
        <v>23</v>
      </c>
    </row>
    <row r="7" spans="1:17" x14ac:dyDescent="0.25">
      <c r="A7" s="2"/>
      <c r="B7" s="2"/>
      <c r="C7" s="2"/>
      <c r="D7" s="24">
        <v>43587</v>
      </c>
      <c r="E7" s="24">
        <v>43555</v>
      </c>
      <c r="F7" s="32"/>
      <c r="G7" s="5"/>
      <c r="H7" s="5"/>
    </row>
    <row r="8" spans="1:17" x14ac:dyDescent="0.25">
      <c r="A8" s="2"/>
      <c r="B8" s="2"/>
      <c r="C8" s="2"/>
      <c r="D8" s="2"/>
      <c r="E8" s="2"/>
    </row>
    <row r="9" spans="1:17" s="2" customFormat="1" x14ac:dyDescent="0.25"/>
    <row r="10" spans="1:17" s="2" customFormat="1" x14ac:dyDescent="0.25"/>
    <row r="11" spans="1:17" s="2" customFormat="1" ht="15.75" thickBot="1" x14ac:dyDescent="0.3">
      <c r="C11" s="3"/>
    </row>
    <row r="12" spans="1:17" s="2" customFormat="1" ht="22.9" customHeight="1" thickTop="1" x14ac:dyDescent="0.25">
      <c r="A12" s="4" t="s">
        <v>0</v>
      </c>
      <c r="B12" s="4" t="s">
        <v>1</v>
      </c>
      <c r="C12" s="4" t="s">
        <v>2</v>
      </c>
      <c r="D12" s="22"/>
      <c r="E12" s="22"/>
      <c r="F12" s="22"/>
      <c r="G12" s="22"/>
      <c r="H12" s="22"/>
      <c r="I12" s="22"/>
    </row>
    <row r="13" spans="1:17" s="2" customFormat="1" x14ac:dyDescent="0.25">
      <c r="A13" s="2">
        <v>75</v>
      </c>
      <c r="B13" s="2" t="s">
        <v>6</v>
      </c>
      <c r="C13" s="2" t="s">
        <v>14</v>
      </c>
    </row>
    <row r="14" spans="1:17" s="9" customFormat="1" ht="45" customHeight="1" x14ac:dyDescent="0.25">
      <c r="A14" s="7"/>
      <c r="B14" s="23" t="s">
        <v>67</v>
      </c>
      <c r="C14" s="23" t="s">
        <v>40</v>
      </c>
      <c r="D14" s="23" t="s">
        <v>3</v>
      </c>
      <c r="E14" s="23" t="s">
        <v>40</v>
      </c>
      <c r="F14" s="37" t="s">
        <v>41</v>
      </c>
      <c r="G14" s="38" t="s">
        <v>81</v>
      </c>
      <c r="H14" s="38" t="s">
        <v>82</v>
      </c>
      <c r="I14" s="38" t="s">
        <v>83</v>
      </c>
      <c r="J14" s="38" t="s">
        <v>84</v>
      </c>
      <c r="K14" s="38" t="s">
        <v>63</v>
      </c>
      <c r="L14" s="38" t="s">
        <v>60</v>
      </c>
      <c r="M14" s="38" t="s">
        <v>4</v>
      </c>
      <c r="N14" s="1"/>
      <c r="O14" s="1"/>
      <c r="P14" s="1"/>
    </row>
    <row r="15" spans="1:17" x14ac:dyDescent="0.25">
      <c r="A15" s="2"/>
      <c r="B15" s="39">
        <f>IF(COUNTA($G$15:$G$46)=COUNTA($H$15:$H$46),COUNTA($H$15:$H$46),"ERROR")</f>
        <v>0</v>
      </c>
      <c r="C15" s="40" t="e">
        <f ca="1">MAX(OFFSET($E$15,0,0,COUNTA($H$15:$H$46)))</f>
        <v>#REF!</v>
      </c>
      <c r="D15" s="24">
        <v>43587</v>
      </c>
      <c r="E15" s="24">
        <v>43555</v>
      </c>
      <c r="F15" s="32"/>
      <c r="G15" s="5"/>
      <c r="H15" s="5"/>
      <c r="I15" s="5"/>
      <c r="J15" s="5"/>
      <c r="K15" s="5"/>
      <c r="L15" s="5"/>
      <c r="M15" s="5"/>
      <c r="O15" s="9"/>
      <c r="P15" s="9"/>
      <c r="Q15" s="9"/>
    </row>
    <row r="16" spans="1:17" ht="15" customHeight="1" x14ac:dyDescent="0.25">
      <c r="A16" s="2"/>
      <c r="B16" s="2"/>
      <c r="C16" s="42"/>
      <c r="D16" s="24">
        <v>43587</v>
      </c>
      <c r="E16" s="24">
        <v>43555</v>
      </c>
      <c r="F16" s="32"/>
      <c r="G16" s="5"/>
      <c r="H16" s="5"/>
      <c r="I16" s="5"/>
      <c r="J16" s="5"/>
      <c r="K16" s="5"/>
      <c r="L16" s="5"/>
      <c r="M16" s="5"/>
      <c r="O16" s="9"/>
      <c r="P16" s="9"/>
      <c r="Q16" s="9"/>
    </row>
    <row r="17" spans="1:17" ht="15" customHeight="1" x14ac:dyDescent="0.25">
      <c r="A17" s="2"/>
      <c r="B17" s="2"/>
      <c r="C17" s="3"/>
      <c r="D17" s="24">
        <v>43587</v>
      </c>
      <c r="E17" s="24">
        <v>43555</v>
      </c>
      <c r="F17" s="32"/>
      <c r="G17" s="5"/>
      <c r="H17" s="5"/>
      <c r="I17" s="5"/>
      <c r="J17" s="5"/>
      <c r="K17" s="5"/>
      <c r="L17" s="5"/>
      <c r="M17" s="5"/>
      <c r="O17" s="9"/>
      <c r="P17" s="9"/>
      <c r="Q17" s="9"/>
    </row>
    <row r="18" spans="1:17" ht="15" customHeight="1" x14ac:dyDescent="0.25">
      <c r="A18" s="2"/>
      <c r="B18" s="2"/>
      <c r="C18" s="3"/>
      <c r="D18" s="24">
        <v>43587</v>
      </c>
      <c r="E18" s="24">
        <v>43555</v>
      </c>
      <c r="F18" s="32"/>
      <c r="G18" s="5"/>
      <c r="H18" s="5"/>
      <c r="I18" s="5"/>
      <c r="J18" s="5"/>
      <c r="K18" s="5"/>
      <c r="L18" s="5"/>
      <c r="M18" s="5"/>
      <c r="O18" s="9"/>
      <c r="P18" s="9"/>
      <c r="Q18" s="9"/>
    </row>
    <row r="19" spans="1:17" ht="15" customHeight="1" x14ac:dyDescent="0.25">
      <c r="A19" s="2"/>
      <c r="B19" s="2"/>
      <c r="C19" s="3"/>
      <c r="D19" s="24">
        <v>43587</v>
      </c>
      <c r="E19" s="24">
        <v>43555</v>
      </c>
      <c r="F19" s="32"/>
      <c r="G19" s="5"/>
      <c r="H19" s="5"/>
      <c r="I19" s="5"/>
      <c r="J19" s="5"/>
      <c r="K19" s="5"/>
      <c r="L19" s="5"/>
      <c r="M19" s="5"/>
      <c r="O19" s="9"/>
      <c r="P19" s="9"/>
      <c r="Q19" s="9"/>
    </row>
    <row r="20" spans="1:17" ht="15" customHeight="1" x14ac:dyDescent="0.25">
      <c r="A20" s="2"/>
      <c r="B20" s="2"/>
      <c r="C20" s="3"/>
      <c r="D20" s="24">
        <v>43587</v>
      </c>
      <c r="E20" s="24">
        <v>43555</v>
      </c>
      <c r="F20" s="32"/>
      <c r="G20" s="5"/>
      <c r="H20" s="5"/>
      <c r="I20" s="5"/>
      <c r="J20" s="5"/>
      <c r="K20" s="5"/>
      <c r="L20" s="5"/>
      <c r="M20" s="5"/>
      <c r="O20" s="9"/>
      <c r="P20" s="9"/>
      <c r="Q20" s="9"/>
    </row>
    <row r="21" spans="1:17" ht="15" customHeight="1" x14ac:dyDescent="0.25">
      <c r="A21" s="2"/>
      <c r="B21" s="2"/>
      <c r="C21" s="3"/>
      <c r="D21" s="24">
        <v>43587</v>
      </c>
      <c r="E21" s="24">
        <v>43555</v>
      </c>
      <c r="F21" s="32"/>
      <c r="G21" s="5"/>
      <c r="H21" s="5"/>
      <c r="I21" s="5"/>
      <c r="J21" s="5"/>
      <c r="K21" s="5"/>
      <c r="L21" s="5"/>
      <c r="M21" s="5"/>
      <c r="O21" s="9"/>
      <c r="P21" s="9"/>
      <c r="Q21" s="9"/>
    </row>
    <row r="22" spans="1:17" ht="15" customHeight="1" x14ac:dyDescent="0.25">
      <c r="A22" s="2"/>
      <c r="B22" s="2"/>
      <c r="C22" s="3"/>
      <c r="D22" s="24">
        <v>43587</v>
      </c>
      <c r="E22" s="24">
        <v>43555</v>
      </c>
      <c r="F22" s="32"/>
      <c r="G22" s="5"/>
      <c r="H22" s="5"/>
      <c r="I22" s="5"/>
      <c r="J22" s="5"/>
      <c r="K22" s="5"/>
      <c r="L22" s="5"/>
      <c r="M22" s="5"/>
      <c r="O22" s="9"/>
      <c r="P22" s="9"/>
      <c r="Q22" s="9"/>
    </row>
    <row r="23" spans="1:17" ht="15" customHeight="1" x14ac:dyDescent="0.25">
      <c r="A23" s="2"/>
      <c r="B23" s="2"/>
      <c r="C23" s="3"/>
      <c r="D23" s="24">
        <v>43587</v>
      </c>
      <c r="E23" s="24">
        <v>43555</v>
      </c>
      <c r="F23" s="32"/>
      <c r="G23" s="5"/>
      <c r="H23" s="5"/>
      <c r="I23" s="5"/>
      <c r="J23" s="5"/>
      <c r="K23" s="5"/>
      <c r="L23" s="5"/>
      <c r="M23" s="5"/>
      <c r="O23" s="9"/>
      <c r="P23" s="9"/>
      <c r="Q23" s="9"/>
    </row>
    <row r="24" spans="1:17" ht="15" customHeight="1" x14ac:dyDescent="0.25">
      <c r="A24" s="2"/>
      <c r="B24" s="2"/>
      <c r="C24" s="3"/>
      <c r="D24" s="24">
        <v>43587</v>
      </c>
      <c r="E24" s="24">
        <v>43555</v>
      </c>
      <c r="F24" s="32"/>
      <c r="G24" s="5"/>
      <c r="H24" s="5"/>
      <c r="I24" s="5"/>
      <c r="J24" s="5"/>
      <c r="K24" s="5"/>
      <c r="L24" s="5"/>
      <c r="M24" s="5"/>
      <c r="O24" s="9"/>
      <c r="P24" s="9"/>
      <c r="Q24" s="9"/>
    </row>
    <row r="25" spans="1:17" ht="15" customHeight="1" x14ac:dyDescent="0.25">
      <c r="A25" s="2"/>
      <c r="B25" s="2"/>
      <c r="C25" s="3"/>
      <c r="D25" s="24">
        <v>43587</v>
      </c>
      <c r="E25" s="24">
        <v>43555</v>
      </c>
      <c r="F25" s="32"/>
      <c r="G25" s="5"/>
      <c r="H25" s="5"/>
      <c r="I25" s="5"/>
      <c r="J25" s="5"/>
      <c r="K25" s="5"/>
      <c r="L25" s="5"/>
      <c r="M25" s="5"/>
      <c r="O25" s="9"/>
      <c r="P25" s="9"/>
      <c r="Q25" s="9"/>
    </row>
    <row r="26" spans="1:17" ht="15" customHeight="1" x14ac:dyDescent="0.25">
      <c r="A26" s="2"/>
      <c r="B26" s="2"/>
      <c r="C26" s="3"/>
      <c r="D26" s="24">
        <v>43587</v>
      </c>
      <c r="E26" s="24">
        <v>43555</v>
      </c>
      <c r="F26" s="32"/>
      <c r="G26" s="5"/>
      <c r="H26" s="5"/>
      <c r="I26" s="5"/>
      <c r="J26" s="5"/>
      <c r="K26" s="5"/>
      <c r="L26" s="5"/>
      <c r="M26" s="5"/>
      <c r="O26" s="9"/>
      <c r="P26" s="9"/>
      <c r="Q26" s="9"/>
    </row>
    <row r="27" spans="1:17" ht="15" customHeight="1" x14ac:dyDescent="0.25">
      <c r="A27" s="2"/>
      <c r="B27" s="2"/>
      <c r="C27" s="3"/>
      <c r="D27" s="24">
        <v>43587</v>
      </c>
      <c r="E27" s="24">
        <v>43555</v>
      </c>
      <c r="F27" s="32"/>
      <c r="G27" s="5"/>
      <c r="H27" s="5"/>
      <c r="I27" s="5"/>
      <c r="J27" s="5"/>
      <c r="K27" s="5"/>
      <c r="L27" s="5"/>
      <c r="M27" s="5"/>
      <c r="O27" s="9"/>
      <c r="P27" s="9"/>
      <c r="Q27" s="9"/>
    </row>
    <row r="28" spans="1:17" ht="15" customHeight="1" x14ac:dyDescent="0.25">
      <c r="A28" s="2"/>
      <c r="B28" s="2"/>
      <c r="C28" s="3"/>
      <c r="D28" s="24">
        <v>43587</v>
      </c>
      <c r="E28" s="24">
        <v>43555</v>
      </c>
      <c r="F28" s="32"/>
      <c r="G28" s="5"/>
      <c r="H28" s="5"/>
      <c r="I28" s="5"/>
      <c r="J28" s="5"/>
      <c r="K28" s="5"/>
      <c r="L28" s="5"/>
      <c r="M28" s="5"/>
      <c r="O28" s="9"/>
      <c r="P28" s="9"/>
      <c r="Q28" s="9"/>
    </row>
    <row r="29" spans="1:17" ht="15" customHeight="1" x14ac:dyDescent="0.25">
      <c r="A29" s="2"/>
      <c r="B29" s="2"/>
      <c r="C29" s="3"/>
      <c r="D29" s="24">
        <v>43587</v>
      </c>
      <c r="E29" s="24">
        <v>43555</v>
      </c>
      <c r="F29" s="32"/>
      <c r="G29" s="5"/>
      <c r="H29" s="5"/>
      <c r="I29" s="5"/>
      <c r="J29" s="5"/>
      <c r="K29" s="5"/>
      <c r="L29" s="5"/>
      <c r="M29" s="5"/>
      <c r="O29" s="9"/>
      <c r="P29" s="9"/>
      <c r="Q29" s="9"/>
    </row>
    <row r="30" spans="1:17" ht="15" customHeight="1" x14ac:dyDescent="0.25">
      <c r="A30" s="2"/>
      <c r="B30" s="2"/>
      <c r="C30" s="3"/>
      <c r="D30" s="24">
        <v>43587</v>
      </c>
      <c r="E30" s="24">
        <v>43555</v>
      </c>
      <c r="F30" s="32"/>
      <c r="G30" s="5"/>
      <c r="H30" s="5"/>
      <c r="I30" s="5"/>
      <c r="J30" s="5"/>
      <c r="K30" s="5"/>
      <c r="L30" s="5"/>
      <c r="M30" s="5"/>
      <c r="O30" s="9"/>
      <c r="P30" s="9"/>
      <c r="Q30" s="9"/>
    </row>
    <row r="31" spans="1:17" ht="15" customHeight="1" x14ac:dyDescent="0.25">
      <c r="A31" s="2"/>
      <c r="B31" s="2"/>
      <c r="C31" s="3"/>
      <c r="D31" s="24">
        <v>43587</v>
      </c>
      <c r="E31" s="24">
        <v>43555</v>
      </c>
      <c r="F31" s="32"/>
      <c r="G31" s="5"/>
      <c r="H31" s="5"/>
      <c r="I31" s="5"/>
      <c r="J31" s="5"/>
      <c r="K31" s="5"/>
      <c r="L31" s="5"/>
      <c r="M31" s="5"/>
      <c r="O31" s="9"/>
      <c r="P31" s="9"/>
      <c r="Q31" s="9"/>
    </row>
    <row r="32" spans="1:17" ht="15" customHeight="1" x14ac:dyDescent="0.25">
      <c r="A32" s="2"/>
      <c r="B32" s="2"/>
      <c r="C32" s="3"/>
      <c r="D32" s="24">
        <v>43587</v>
      </c>
      <c r="E32" s="24">
        <v>43555</v>
      </c>
      <c r="F32" s="32"/>
      <c r="G32" s="5"/>
      <c r="H32" s="5"/>
      <c r="I32" s="5"/>
      <c r="J32" s="5"/>
      <c r="K32" s="5"/>
      <c r="L32" s="5"/>
      <c r="M32" s="5"/>
      <c r="O32" s="9"/>
      <c r="P32" s="9"/>
      <c r="Q32" s="9"/>
    </row>
    <row r="33" spans="1:17" ht="15" customHeight="1" x14ac:dyDescent="0.25">
      <c r="A33" s="2"/>
      <c r="B33" s="2"/>
      <c r="C33" s="3"/>
      <c r="D33" s="24">
        <v>43587</v>
      </c>
      <c r="E33" s="24">
        <v>43555</v>
      </c>
      <c r="F33" s="32"/>
      <c r="G33" s="5"/>
      <c r="H33" s="5"/>
      <c r="I33" s="5"/>
      <c r="J33" s="5"/>
      <c r="K33" s="5"/>
      <c r="L33" s="5"/>
      <c r="M33" s="5"/>
      <c r="O33" s="9"/>
      <c r="P33" s="9"/>
      <c r="Q33" s="9"/>
    </row>
    <row r="34" spans="1:17" ht="15" customHeight="1" x14ac:dyDescent="0.25">
      <c r="A34" s="2"/>
      <c r="B34" s="2"/>
      <c r="C34" s="3"/>
      <c r="D34" s="24">
        <v>43587</v>
      </c>
      <c r="E34" s="24">
        <v>43555</v>
      </c>
      <c r="F34" s="32"/>
      <c r="G34" s="5"/>
      <c r="H34" s="5"/>
      <c r="I34" s="5"/>
      <c r="J34" s="5"/>
      <c r="K34" s="5"/>
      <c r="L34" s="5"/>
      <c r="M34" s="5"/>
      <c r="O34" s="9"/>
      <c r="P34" s="9"/>
      <c r="Q34" s="9"/>
    </row>
    <row r="35" spans="1:17" x14ac:dyDescent="0.25">
      <c r="A35" s="2"/>
      <c r="B35" s="2"/>
      <c r="C35" s="3"/>
      <c r="D35" s="24">
        <v>43587</v>
      </c>
      <c r="E35" s="24">
        <v>43555</v>
      </c>
      <c r="F35" s="32"/>
      <c r="G35" s="5"/>
      <c r="H35" s="5"/>
      <c r="I35" s="5"/>
      <c r="J35" s="5"/>
      <c r="K35" s="5"/>
      <c r="L35" s="5"/>
      <c r="M35" s="5"/>
      <c r="O35" s="9"/>
      <c r="P35" s="9"/>
      <c r="Q35" s="9"/>
    </row>
    <row r="36" spans="1:17" x14ac:dyDescent="0.25">
      <c r="A36" s="2"/>
      <c r="B36" s="2"/>
      <c r="C36" s="3"/>
      <c r="D36" s="24">
        <v>43587</v>
      </c>
      <c r="E36" s="24">
        <v>43555</v>
      </c>
      <c r="F36" s="32"/>
      <c r="G36" s="5"/>
      <c r="H36" s="5"/>
      <c r="I36" s="5"/>
      <c r="J36" s="5"/>
      <c r="K36" s="5"/>
      <c r="L36" s="5"/>
      <c r="M36" s="5"/>
      <c r="O36" s="9"/>
      <c r="P36" s="9"/>
      <c r="Q36" s="9"/>
    </row>
    <row r="37" spans="1:17" x14ac:dyDescent="0.25">
      <c r="A37" s="2"/>
      <c r="B37" s="2"/>
      <c r="C37" s="3"/>
      <c r="D37" s="24">
        <v>43587</v>
      </c>
      <c r="E37" s="24">
        <v>43555</v>
      </c>
      <c r="F37" s="32"/>
      <c r="G37" s="5"/>
      <c r="H37" s="5"/>
      <c r="I37" s="5"/>
      <c r="J37" s="5"/>
      <c r="K37" s="5"/>
      <c r="L37" s="5"/>
      <c r="M37" s="5"/>
      <c r="O37" s="9"/>
      <c r="P37" s="9"/>
      <c r="Q37" s="9"/>
    </row>
    <row r="38" spans="1:17" x14ac:dyDescent="0.25">
      <c r="A38" s="2"/>
      <c r="B38" s="2"/>
      <c r="C38" s="3"/>
      <c r="D38" s="24">
        <v>43587</v>
      </c>
      <c r="E38" s="24">
        <v>43555</v>
      </c>
      <c r="F38" s="32"/>
      <c r="G38" s="5"/>
      <c r="H38" s="5"/>
      <c r="I38" s="5"/>
      <c r="J38" s="5"/>
      <c r="K38" s="5"/>
      <c r="L38" s="5"/>
      <c r="M38" s="5"/>
    </row>
    <row r="39" spans="1:17" x14ac:dyDescent="0.25">
      <c r="A39" s="2"/>
      <c r="B39" s="2"/>
      <c r="C39" s="3"/>
      <c r="D39" s="24">
        <v>43587</v>
      </c>
      <c r="E39" s="24">
        <v>43555</v>
      </c>
      <c r="F39" s="32"/>
      <c r="G39" s="5"/>
      <c r="H39" s="5"/>
      <c r="I39" s="5"/>
      <c r="J39" s="5"/>
      <c r="K39" s="5"/>
      <c r="L39" s="5"/>
      <c r="M39" s="5"/>
    </row>
    <row r="40" spans="1:17" x14ac:dyDescent="0.25">
      <c r="A40" s="2"/>
      <c r="B40" s="2"/>
      <c r="C40" s="3"/>
      <c r="D40" s="24">
        <v>43587</v>
      </c>
      <c r="E40" s="24">
        <v>43555</v>
      </c>
      <c r="F40" s="32"/>
      <c r="G40" s="5"/>
      <c r="H40" s="5"/>
      <c r="I40" s="5"/>
      <c r="J40" s="5"/>
      <c r="K40" s="5"/>
      <c r="L40" s="5"/>
      <c r="M40" s="5"/>
    </row>
    <row r="41" spans="1:17" x14ac:dyDescent="0.25">
      <c r="A41" s="2"/>
      <c r="B41" s="2"/>
      <c r="C41" s="3"/>
      <c r="D41" s="24">
        <v>43587</v>
      </c>
      <c r="E41" s="24">
        <v>43555</v>
      </c>
      <c r="F41" s="32"/>
      <c r="G41" s="5"/>
      <c r="H41" s="5"/>
      <c r="I41" s="5"/>
      <c r="J41" s="5"/>
      <c r="K41" s="5"/>
      <c r="L41" s="5"/>
      <c r="M41" s="5"/>
    </row>
    <row r="42" spans="1:17" x14ac:dyDescent="0.25">
      <c r="A42" s="2"/>
      <c r="B42" s="2"/>
      <c r="C42" s="3"/>
      <c r="D42" s="24">
        <v>43587</v>
      </c>
      <c r="E42" s="24">
        <v>43555</v>
      </c>
      <c r="F42" s="32"/>
      <c r="G42" s="5"/>
      <c r="H42" s="5"/>
      <c r="I42" s="5"/>
      <c r="J42" s="5"/>
      <c r="K42" s="5"/>
      <c r="L42" s="5"/>
      <c r="M42" s="5"/>
    </row>
    <row r="43" spans="1:17" x14ac:dyDescent="0.25">
      <c r="A43" s="2"/>
      <c r="B43" s="2"/>
      <c r="C43" s="3"/>
      <c r="D43" s="24">
        <v>43587</v>
      </c>
      <c r="E43" s="24">
        <v>43555</v>
      </c>
      <c r="F43" s="32"/>
      <c r="G43" s="5"/>
      <c r="H43" s="5"/>
      <c r="I43" s="5"/>
      <c r="J43" s="5"/>
      <c r="K43" s="5"/>
      <c r="L43" s="5"/>
      <c r="M43" s="5"/>
    </row>
    <row r="44" spans="1:17" x14ac:dyDescent="0.25">
      <c r="A44" s="2"/>
      <c r="B44" s="2"/>
      <c r="C44" s="3"/>
      <c r="D44" s="24">
        <v>43587</v>
      </c>
      <c r="E44" s="24">
        <v>43555</v>
      </c>
      <c r="F44" s="32"/>
      <c r="G44" s="5"/>
      <c r="H44" s="5"/>
      <c r="I44" s="5"/>
      <c r="J44" s="5"/>
      <c r="K44" s="5"/>
      <c r="L44" s="5"/>
      <c r="M44" s="5"/>
    </row>
    <row r="45" spans="1:17" x14ac:dyDescent="0.25">
      <c r="A45" s="2"/>
      <c r="B45" s="2"/>
      <c r="C45" s="3"/>
      <c r="D45" s="24">
        <v>43587</v>
      </c>
      <c r="E45" s="24">
        <v>43555</v>
      </c>
      <c r="F45" s="32"/>
      <c r="G45" s="5"/>
      <c r="H45" s="5"/>
      <c r="I45" s="5"/>
      <c r="J45" s="5"/>
      <c r="K45" s="5"/>
      <c r="L45" s="5"/>
      <c r="M45" s="5"/>
    </row>
    <row r="46" spans="1:17" x14ac:dyDescent="0.25">
      <c r="A46" s="2"/>
      <c r="B46" s="2"/>
      <c r="C46" s="3"/>
      <c r="D46" s="24">
        <v>43587</v>
      </c>
      <c r="E46" s="24">
        <v>43555</v>
      </c>
      <c r="F46" s="32"/>
      <c r="G46" s="5"/>
      <c r="H46" s="5"/>
      <c r="I46" s="5"/>
      <c r="J46" s="5"/>
      <c r="K46" s="5"/>
      <c r="L46" s="5"/>
      <c r="M46" s="5"/>
    </row>
    <row r="47" spans="1:17" s="2" customFormat="1" x14ac:dyDescent="0.25">
      <c r="C47" s="3"/>
    </row>
    <row r="48" spans="1:17" s="2" customFormat="1" x14ac:dyDescent="0.25">
      <c r="C48" s="3"/>
    </row>
    <row r="49" spans="1:9" s="2" customFormat="1" ht="15.75" thickBot="1" x14ac:dyDescent="0.3">
      <c r="C49" s="3"/>
    </row>
    <row r="50" spans="1:9" s="2" customFormat="1" ht="22.9" customHeight="1" thickTop="1" x14ac:dyDescent="0.25">
      <c r="A50" s="4" t="s">
        <v>0</v>
      </c>
      <c r="B50" s="4" t="s">
        <v>1</v>
      </c>
      <c r="C50" s="4" t="s">
        <v>2</v>
      </c>
      <c r="D50" s="22"/>
      <c r="E50" s="22"/>
      <c r="F50" s="22"/>
      <c r="G50" s="22"/>
      <c r="H50" s="22"/>
      <c r="I50" s="22"/>
    </row>
    <row r="51" spans="1:9" s="2" customFormat="1" x14ac:dyDescent="0.25">
      <c r="A51" s="2">
        <v>76</v>
      </c>
      <c r="B51" s="2" t="s">
        <v>7</v>
      </c>
      <c r="C51" s="2" t="s">
        <v>15</v>
      </c>
    </row>
    <row r="52" spans="1:9" s="7" customFormat="1" ht="36.6" customHeight="1" x14ac:dyDescent="0.25">
      <c r="B52" s="23" t="s">
        <v>67</v>
      </c>
      <c r="C52" s="23" t="s">
        <v>40</v>
      </c>
      <c r="D52" s="30"/>
      <c r="E52" s="30"/>
      <c r="F52" s="30"/>
      <c r="G52" s="30"/>
      <c r="H52" s="30"/>
    </row>
    <row r="53" spans="1:9" s="2" customFormat="1" x14ac:dyDescent="0.25">
      <c r="B53" s="39" t="str">
        <f ca="1">IFERROR(SUM(OFFSET($M$15,0,0,COUNTA($H$15:$H$46))),"ERROR")</f>
        <v>ERROR</v>
      </c>
      <c r="C53" s="40" t="e">
        <f ca="1">MAX(OFFSET($E$15,0,0,COUNTA($H$15:$H$46)))</f>
        <v>#REF!</v>
      </c>
      <c r="D53" s="31"/>
      <c r="E53" s="31"/>
      <c r="F53" s="25"/>
      <c r="G53" s="25"/>
      <c r="H53" s="25"/>
    </row>
    <row r="54" spans="1:9" s="2" customFormat="1" ht="15.75" thickBot="1" x14ac:dyDescent="0.3">
      <c r="C54" s="3"/>
      <c r="D54" s="31"/>
      <c r="E54" s="31"/>
      <c r="F54" s="25"/>
      <c r="G54" s="25"/>
      <c r="H54" s="25"/>
    </row>
    <row r="55" spans="1:9" s="2" customFormat="1" ht="22.9" customHeight="1" thickTop="1" x14ac:dyDescent="0.25">
      <c r="A55" s="4" t="s">
        <v>0</v>
      </c>
      <c r="B55" s="4" t="s">
        <v>1</v>
      </c>
      <c r="C55" s="4" t="s">
        <v>2</v>
      </c>
      <c r="D55" s="22"/>
      <c r="E55" s="22"/>
      <c r="F55" s="22"/>
      <c r="G55" s="22"/>
      <c r="H55" s="22"/>
      <c r="I55" s="22"/>
    </row>
    <row r="56" spans="1:9" s="2" customFormat="1" x14ac:dyDescent="0.25">
      <c r="A56" s="2">
        <v>77</v>
      </c>
      <c r="B56" s="2" t="s">
        <v>8</v>
      </c>
      <c r="C56" s="24" t="s">
        <v>16</v>
      </c>
      <c r="D56" s="3"/>
      <c r="E56" s="3"/>
      <c r="F56" s="3"/>
    </row>
    <row r="57" spans="1:9" s="7" customFormat="1" ht="36.6" customHeight="1" x14ac:dyDescent="0.25">
      <c r="C57" s="8"/>
      <c r="D57" s="23" t="s">
        <v>3</v>
      </c>
      <c r="E57" s="23" t="s">
        <v>40</v>
      </c>
      <c r="F57" s="23" t="s">
        <v>41</v>
      </c>
      <c r="G57" s="23" t="s">
        <v>24</v>
      </c>
      <c r="H57" s="23" t="s">
        <v>25</v>
      </c>
    </row>
    <row r="58" spans="1:9" x14ac:dyDescent="0.25">
      <c r="A58" s="2"/>
      <c r="B58" s="2"/>
      <c r="C58" s="2"/>
      <c r="D58" s="24">
        <v>43587</v>
      </c>
      <c r="E58" s="24">
        <v>43555</v>
      </c>
      <c r="F58" s="33"/>
      <c r="G58" s="10"/>
      <c r="H58" s="10"/>
    </row>
    <row r="59" spans="1:9" s="2" customFormat="1" x14ac:dyDescent="0.25"/>
    <row r="60" spans="1:9" s="2" customFormat="1" ht="15.75" thickBot="1" x14ac:dyDescent="0.3"/>
    <row r="61" spans="1:9" s="2" customFormat="1" ht="22.9" customHeight="1" thickTop="1" x14ac:dyDescent="0.25">
      <c r="A61" s="4" t="s">
        <v>0</v>
      </c>
      <c r="B61" s="4" t="s">
        <v>1</v>
      </c>
      <c r="C61" s="4" t="s">
        <v>2</v>
      </c>
      <c r="D61" s="22"/>
      <c r="E61" s="22"/>
      <c r="F61" s="22"/>
      <c r="G61" s="22"/>
      <c r="H61" s="22"/>
      <c r="I61" s="22"/>
    </row>
    <row r="62" spans="1:9" s="2" customFormat="1" x14ac:dyDescent="0.25">
      <c r="A62" s="2">
        <v>78</v>
      </c>
      <c r="B62" s="2" t="s">
        <v>9</v>
      </c>
      <c r="C62" s="2" t="s">
        <v>17</v>
      </c>
      <c r="D62" s="3"/>
      <c r="E62" s="3"/>
      <c r="F62" s="3"/>
    </row>
    <row r="63" spans="1:9" s="9" customFormat="1" ht="36.6" customHeight="1" x14ac:dyDescent="0.25">
      <c r="A63" s="7"/>
      <c r="B63" s="7"/>
      <c r="C63" s="8"/>
      <c r="D63" s="23" t="s">
        <v>3</v>
      </c>
      <c r="E63" s="23" t="s">
        <v>40</v>
      </c>
      <c r="F63" s="37" t="s">
        <v>41</v>
      </c>
      <c r="G63" s="37" t="s">
        <v>26</v>
      </c>
      <c r="H63" s="37" t="s">
        <v>27</v>
      </c>
    </row>
    <row r="64" spans="1:9" x14ac:dyDescent="0.25">
      <c r="A64" s="2"/>
      <c r="B64" s="2"/>
      <c r="C64" s="2"/>
      <c r="D64" s="24">
        <v>43587</v>
      </c>
      <c r="E64" s="24">
        <v>43555</v>
      </c>
      <c r="F64" s="33"/>
      <c r="G64" s="5"/>
      <c r="H64" s="5"/>
    </row>
    <row r="65" spans="1:11" s="2" customFormat="1" x14ac:dyDescent="0.25"/>
    <row r="66" spans="1:11" s="2" customFormat="1" x14ac:dyDescent="0.25"/>
    <row r="67" spans="1:11" s="2" customFormat="1" x14ac:dyDescent="0.25"/>
    <row r="68" spans="1:11" s="2" customFormat="1" ht="15.75" thickBot="1" x14ac:dyDescent="0.3"/>
    <row r="69" spans="1:11" s="2" customFormat="1" ht="22.9" customHeight="1" thickTop="1" x14ac:dyDescent="0.25">
      <c r="A69" s="4" t="s">
        <v>0</v>
      </c>
      <c r="B69" s="4" t="s">
        <v>1</v>
      </c>
      <c r="C69" s="4" t="s">
        <v>2</v>
      </c>
      <c r="D69" s="22"/>
      <c r="E69" s="22"/>
      <c r="F69" s="22"/>
      <c r="G69" s="22"/>
      <c r="H69" s="22"/>
      <c r="I69" s="22"/>
    </row>
    <row r="70" spans="1:11" s="2" customFormat="1" x14ac:dyDescent="0.25">
      <c r="A70" s="2">
        <v>82</v>
      </c>
      <c r="B70" s="2" t="s">
        <v>10</v>
      </c>
      <c r="C70" s="2" t="s">
        <v>18</v>
      </c>
      <c r="D70" s="46" t="s">
        <v>73</v>
      </c>
      <c r="E70" s="46"/>
      <c r="F70" s="46"/>
      <c r="G70" s="46"/>
      <c r="H70" s="46"/>
      <c r="I70" s="46"/>
      <c r="J70" s="46"/>
    </row>
    <row r="71" spans="1:11" s="7" customFormat="1" ht="36.6" customHeight="1" x14ac:dyDescent="0.25">
      <c r="B71" s="23" t="s">
        <v>85</v>
      </c>
      <c r="C71" s="23" t="s">
        <v>80</v>
      </c>
      <c r="D71" s="23" t="s">
        <v>3</v>
      </c>
      <c r="E71" s="23" t="s">
        <v>40</v>
      </c>
      <c r="F71" s="23" t="s">
        <v>41</v>
      </c>
      <c r="G71" s="23" t="s">
        <v>87</v>
      </c>
      <c r="H71" s="23" t="s">
        <v>69</v>
      </c>
      <c r="I71" s="23" t="s">
        <v>28</v>
      </c>
      <c r="J71" s="23" t="s">
        <v>68</v>
      </c>
      <c r="K71" s="23" t="s">
        <v>37</v>
      </c>
    </row>
    <row r="72" spans="1:11" x14ac:dyDescent="0.25">
      <c r="A72" s="2"/>
      <c r="B72" s="39">
        <f>COUNTA($J$72:$J$123)</f>
        <v>0</v>
      </c>
      <c r="C72" s="41">
        <f>IFERROR(INDEX($K$72:$K$123, MATCH(0, INDEX(COUNTIF($C$71:C71, $K$72:$K$123), 0, 0), 0)), 0)</f>
        <v>0</v>
      </c>
      <c r="D72" s="24">
        <v>43587</v>
      </c>
      <c r="E72" s="24">
        <v>43555</v>
      </c>
      <c r="F72" s="33"/>
      <c r="G72" s="35" t="str">
        <f>I72&amp;"-"&amp;J72&amp;"-"&amp;K72</f>
        <v>--</v>
      </c>
      <c r="H72" s="5"/>
      <c r="I72" s="5"/>
      <c r="J72" s="5"/>
      <c r="K72" s="5"/>
    </row>
    <row r="73" spans="1:11" x14ac:dyDescent="0.25">
      <c r="A73" s="2"/>
      <c r="B73" s="2"/>
      <c r="C73" s="41">
        <f>IFERROR(INDEX($K$72:$K$123, MATCH(0, INDEX(COUNTIF($C$71:C72, $K$72:$K$123), 0, 0), 0)), 0)</f>
        <v>0</v>
      </c>
      <c r="D73" s="24">
        <v>43587</v>
      </c>
      <c r="E73" s="24">
        <v>43555</v>
      </c>
      <c r="F73" s="33"/>
      <c r="G73" s="35" t="str">
        <f t="shared" ref="G73:G123" si="0">I73&amp;"-"&amp;J73&amp;"-"&amp;K73</f>
        <v>--</v>
      </c>
      <c r="H73" s="5"/>
      <c r="I73" s="5"/>
      <c r="J73" s="5"/>
      <c r="K73" s="5"/>
    </row>
    <row r="74" spans="1:11" ht="15" customHeight="1" x14ac:dyDescent="0.25">
      <c r="A74" s="2"/>
      <c r="B74" s="23" t="s">
        <v>86</v>
      </c>
      <c r="C74" s="41">
        <f>IFERROR(INDEX($K$72:$K$123, MATCH(0, INDEX(COUNTIF($C$71:C73, $K$72:$K$123), 0, 0), 0)), 0)</f>
        <v>0</v>
      </c>
      <c r="D74" s="24">
        <v>43587</v>
      </c>
      <c r="E74" s="24">
        <v>43555</v>
      </c>
      <c r="F74" s="33"/>
      <c r="G74" s="35" t="str">
        <f t="shared" si="0"/>
        <v>--</v>
      </c>
      <c r="H74" s="5"/>
      <c r="I74" s="5"/>
      <c r="J74" s="5"/>
      <c r="K74" s="5"/>
    </row>
    <row r="75" spans="1:11" ht="15" customHeight="1" x14ac:dyDescent="0.25">
      <c r="A75" s="2"/>
      <c r="B75" s="39">
        <f>COUNTA($C$72:$C$123)-COUNT($C$72:$C$123)</f>
        <v>0</v>
      </c>
      <c r="C75" s="41">
        <f>IFERROR(INDEX($K$72:$K$123, MATCH(0, INDEX(COUNTIF($C$71:C74, $K$72:$K$123), 0, 0), 0)), 0)</f>
        <v>0</v>
      </c>
      <c r="D75" s="24">
        <v>43587</v>
      </c>
      <c r="E75" s="24">
        <v>43555</v>
      </c>
      <c r="F75" s="33"/>
      <c r="G75" s="35" t="str">
        <f t="shared" si="0"/>
        <v>--</v>
      </c>
      <c r="H75" s="5"/>
      <c r="I75" s="5"/>
      <c r="J75" s="5"/>
      <c r="K75" s="5"/>
    </row>
    <row r="76" spans="1:11" ht="15" customHeight="1" x14ac:dyDescent="0.25">
      <c r="A76" s="2"/>
      <c r="B76" s="2"/>
      <c r="C76" s="41">
        <f>IFERROR(INDEX($K$72:$K$123, MATCH(0, INDEX(COUNTIF($C$71:C75, $K$72:$K$123), 0, 0), 0)), 0)</f>
        <v>0</v>
      </c>
      <c r="D76" s="24">
        <v>43587</v>
      </c>
      <c r="E76" s="24">
        <v>43555</v>
      </c>
      <c r="F76" s="33"/>
      <c r="G76" s="35" t="str">
        <f t="shared" si="0"/>
        <v>--</v>
      </c>
      <c r="H76" s="5"/>
      <c r="I76" s="5"/>
      <c r="J76" s="5"/>
      <c r="K76" s="5"/>
    </row>
    <row r="77" spans="1:11" ht="15" customHeight="1" x14ac:dyDescent="0.25">
      <c r="A77" s="2"/>
      <c r="B77" s="23" t="s">
        <v>40</v>
      </c>
      <c r="C77" s="41">
        <f>IFERROR(INDEX($K$72:$K$123, MATCH(0, INDEX(COUNTIF($C$71:C76, $K$72:$K$123), 0, 0), 0)), 0)</f>
        <v>0</v>
      </c>
      <c r="D77" s="24">
        <v>43587</v>
      </c>
      <c r="E77" s="24">
        <v>43555</v>
      </c>
      <c r="F77" s="33"/>
      <c r="G77" s="35" t="str">
        <f t="shared" ref="G77:G88" si="1">I77&amp;"-"&amp;J77&amp;"-"&amp;K77</f>
        <v>--</v>
      </c>
      <c r="H77" s="5"/>
      <c r="I77" s="5"/>
      <c r="J77" s="5"/>
      <c r="K77" s="5"/>
    </row>
    <row r="78" spans="1:11" ht="15" customHeight="1" x14ac:dyDescent="0.25">
      <c r="A78" s="2"/>
      <c r="B78" s="40" t="str">
        <f ca="1">IFERROR(IF(MAX(OFFSET($F$72,0,0,COUNTA($I$72:$I$123)))=0,"ERROR",MAX(OFFSET($F$72,0,0,COUNTA($I$72:$I$123)))),"ERROR")</f>
        <v>ERROR</v>
      </c>
      <c r="C78" s="41">
        <f>IFERROR(INDEX($K$72:$K$123, MATCH(0, INDEX(COUNTIF($C$71:C77, $K$72:$K$123), 0, 0), 0)), 0)</f>
        <v>0</v>
      </c>
      <c r="D78" s="24">
        <v>43587</v>
      </c>
      <c r="E78" s="24">
        <v>43555</v>
      </c>
      <c r="F78" s="33"/>
      <c r="G78" s="35" t="str">
        <f t="shared" si="1"/>
        <v>--</v>
      </c>
      <c r="H78" s="5"/>
      <c r="I78" s="5"/>
      <c r="J78" s="5"/>
      <c r="K78" s="5"/>
    </row>
    <row r="79" spans="1:11" ht="15" customHeight="1" x14ac:dyDescent="0.25">
      <c r="A79" s="2"/>
      <c r="B79" s="2"/>
      <c r="C79" s="41">
        <f>IFERROR(INDEX($K$72:$K$123, MATCH(0, INDEX(COUNTIF($C$71:C78, $K$72:$K$123), 0, 0), 0)), 0)</f>
        <v>0</v>
      </c>
      <c r="D79" s="24">
        <v>43587</v>
      </c>
      <c r="E79" s="24">
        <v>43555</v>
      </c>
      <c r="F79" s="33"/>
      <c r="G79" s="35" t="str">
        <f t="shared" si="1"/>
        <v>--</v>
      </c>
      <c r="H79" s="5"/>
      <c r="I79" s="5"/>
      <c r="J79" s="5"/>
      <c r="K79" s="5"/>
    </row>
    <row r="80" spans="1:11" ht="15" customHeight="1" x14ac:dyDescent="0.25">
      <c r="A80" s="2"/>
      <c r="B80" s="2"/>
      <c r="C80" s="41">
        <f>IFERROR(INDEX($K$72:$K$123, MATCH(0, INDEX(COUNTIF($C$71:C79, $K$72:$K$123), 0, 0), 0)), 0)</f>
        <v>0</v>
      </c>
      <c r="D80" s="24">
        <v>43587</v>
      </c>
      <c r="E80" s="24">
        <v>43555</v>
      </c>
      <c r="F80" s="33"/>
      <c r="G80" s="35" t="str">
        <f t="shared" si="1"/>
        <v>--</v>
      </c>
      <c r="H80" s="5"/>
      <c r="I80" s="5"/>
      <c r="J80" s="5"/>
      <c r="K80" s="5"/>
    </row>
    <row r="81" spans="1:11" ht="15" customHeight="1" x14ac:dyDescent="0.25">
      <c r="A81" s="2"/>
      <c r="B81" s="2"/>
      <c r="C81" s="41">
        <f>IFERROR(INDEX($K$72:$K$123, MATCH(0, INDEX(COUNTIF($C$71:C80, $K$72:$K$123), 0, 0), 0)), 0)</f>
        <v>0</v>
      </c>
      <c r="D81" s="24">
        <v>43587</v>
      </c>
      <c r="E81" s="24">
        <v>43555</v>
      </c>
      <c r="F81" s="33"/>
      <c r="G81" s="35" t="str">
        <f t="shared" si="1"/>
        <v>--</v>
      </c>
      <c r="H81" s="5"/>
      <c r="I81" s="5"/>
      <c r="J81" s="5"/>
      <c r="K81" s="5"/>
    </row>
    <row r="82" spans="1:11" ht="15" customHeight="1" x14ac:dyDescent="0.25">
      <c r="A82" s="2"/>
      <c r="B82" s="2"/>
      <c r="C82" s="41">
        <f>IFERROR(INDEX($K$72:$K$123, MATCH(0, INDEX(COUNTIF($C$71:C81, $K$72:$K$123), 0, 0), 0)), 0)</f>
        <v>0</v>
      </c>
      <c r="D82" s="24">
        <v>43587</v>
      </c>
      <c r="E82" s="24">
        <v>43555</v>
      </c>
      <c r="F82" s="33"/>
      <c r="G82" s="35" t="str">
        <f t="shared" si="1"/>
        <v>--</v>
      </c>
      <c r="H82" s="5"/>
      <c r="I82" s="5"/>
      <c r="J82" s="5"/>
      <c r="K82" s="5"/>
    </row>
    <row r="83" spans="1:11" ht="15" customHeight="1" x14ac:dyDescent="0.25">
      <c r="A83" s="2"/>
      <c r="B83" s="2"/>
      <c r="C83" s="41">
        <f>IFERROR(INDEX($K$72:$K$123, MATCH(0, INDEX(COUNTIF($C$71:C82, $K$72:$K$123), 0, 0), 0)), 0)</f>
        <v>0</v>
      </c>
      <c r="D83" s="24">
        <v>43587</v>
      </c>
      <c r="E83" s="24">
        <v>43555</v>
      </c>
      <c r="F83" s="33"/>
      <c r="G83" s="35" t="str">
        <f t="shared" si="1"/>
        <v>--</v>
      </c>
      <c r="H83" s="5"/>
      <c r="I83" s="5"/>
      <c r="J83" s="5"/>
      <c r="K83" s="5"/>
    </row>
    <row r="84" spans="1:11" ht="15" customHeight="1" x14ac:dyDescent="0.25">
      <c r="A84" s="2"/>
      <c r="B84" s="2"/>
      <c r="C84" s="41">
        <f>IFERROR(INDEX($K$72:$K$123, MATCH(0, INDEX(COUNTIF($C$71:C83, $K$72:$K$123), 0, 0), 0)), 0)</f>
        <v>0</v>
      </c>
      <c r="D84" s="24">
        <v>43587</v>
      </c>
      <c r="E84" s="24">
        <v>43555</v>
      </c>
      <c r="F84" s="33"/>
      <c r="G84" s="35" t="str">
        <f t="shared" si="1"/>
        <v>--</v>
      </c>
      <c r="H84" s="5"/>
      <c r="I84" s="5"/>
      <c r="J84" s="5"/>
      <c r="K84" s="5"/>
    </row>
    <row r="85" spans="1:11" ht="15" customHeight="1" x14ac:dyDescent="0.25">
      <c r="A85" s="2"/>
      <c r="B85" s="2"/>
      <c r="C85" s="41">
        <f>IFERROR(INDEX($K$72:$K$123, MATCH(0, INDEX(COUNTIF($C$71:C84, $K$72:$K$123), 0, 0), 0)), 0)</f>
        <v>0</v>
      </c>
      <c r="D85" s="24">
        <v>43587</v>
      </c>
      <c r="E85" s="24">
        <v>43555</v>
      </c>
      <c r="F85" s="33"/>
      <c r="G85" s="35" t="str">
        <f t="shared" si="1"/>
        <v>--</v>
      </c>
      <c r="H85" s="5"/>
      <c r="I85" s="5"/>
      <c r="J85" s="5"/>
      <c r="K85" s="5"/>
    </row>
    <row r="86" spans="1:11" ht="15" customHeight="1" x14ac:dyDescent="0.25">
      <c r="A86" s="2"/>
      <c r="B86" s="2"/>
      <c r="C86" s="41">
        <f>IFERROR(INDEX($K$72:$K$123, MATCH(0, INDEX(COUNTIF($C$71:C85, $K$72:$K$123), 0, 0), 0)), 0)</f>
        <v>0</v>
      </c>
      <c r="D86" s="24">
        <v>43587</v>
      </c>
      <c r="E86" s="24">
        <v>43555</v>
      </c>
      <c r="F86" s="33"/>
      <c r="G86" s="35" t="str">
        <f t="shared" si="1"/>
        <v>--</v>
      </c>
      <c r="H86" s="5"/>
      <c r="I86" s="5"/>
      <c r="J86" s="5"/>
      <c r="K86" s="5"/>
    </row>
    <row r="87" spans="1:11" ht="15" customHeight="1" x14ac:dyDescent="0.25">
      <c r="A87" s="2"/>
      <c r="B87" s="2"/>
      <c r="C87" s="41">
        <f>IFERROR(INDEX($K$72:$K$123, MATCH(0, INDEX(COUNTIF($C$71:C86, $K$72:$K$123), 0, 0), 0)), 0)</f>
        <v>0</v>
      </c>
      <c r="D87" s="24">
        <v>43587</v>
      </c>
      <c r="E87" s="24">
        <v>43555</v>
      </c>
      <c r="F87" s="33"/>
      <c r="G87" s="35" t="str">
        <f t="shared" si="1"/>
        <v>--</v>
      </c>
      <c r="H87" s="5"/>
      <c r="I87" s="5"/>
      <c r="J87" s="5"/>
      <c r="K87" s="5"/>
    </row>
    <row r="88" spans="1:11" ht="15" customHeight="1" x14ac:dyDescent="0.25">
      <c r="A88" s="2"/>
      <c r="B88" s="2"/>
      <c r="C88" s="41">
        <f>IFERROR(INDEX($K$72:$K$123, MATCH(0, INDEX(COUNTIF($C$71:C87, $K$72:$K$123), 0, 0), 0)), 0)</f>
        <v>0</v>
      </c>
      <c r="D88" s="24">
        <v>43587</v>
      </c>
      <c r="E88" s="24">
        <v>43555</v>
      </c>
      <c r="F88" s="33"/>
      <c r="G88" s="35" t="str">
        <f t="shared" si="1"/>
        <v>--</v>
      </c>
      <c r="H88" s="5"/>
      <c r="I88" s="5"/>
      <c r="J88" s="5"/>
      <c r="K88" s="5"/>
    </row>
    <row r="89" spans="1:11" ht="15" customHeight="1" x14ac:dyDescent="0.25">
      <c r="A89" s="2"/>
      <c r="B89" s="2"/>
      <c r="C89" s="41">
        <f>IFERROR(INDEX($K$72:$K$123, MATCH(0, INDEX(COUNTIF($C$71:C88, $K$72:$K$123), 0, 0), 0)), 0)</f>
        <v>0</v>
      </c>
      <c r="D89" s="24">
        <v>43587</v>
      </c>
      <c r="E89" s="24">
        <v>43555</v>
      </c>
      <c r="F89" s="33"/>
      <c r="G89" s="35" t="str">
        <f t="shared" ref="G89:G90" si="2">I89&amp;"-"&amp;J89&amp;"-"&amp;K89</f>
        <v>--</v>
      </c>
      <c r="H89" s="5"/>
      <c r="I89" s="5"/>
      <c r="J89" s="5"/>
      <c r="K89" s="5"/>
    </row>
    <row r="90" spans="1:11" ht="15" customHeight="1" x14ac:dyDescent="0.25">
      <c r="A90" s="2"/>
      <c r="B90" s="2"/>
      <c r="C90" s="41">
        <f>IFERROR(INDEX($K$72:$K$123, MATCH(0, INDEX(COUNTIF($C$71:C89, $K$72:$K$123), 0, 0), 0)), 0)</f>
        <v>0</v>
      </c>
      <c r="D90" s="24">
        <v>43587</v>
      </c>
      <c r="E90" s="24">
        <v>43555</v>
      </c>
      <c r="F90" s="33"/>
      <c r="G90" s="35" t="str">
        <f t="shared" si="2"/>
        <v>--</v>
      </c>
      <c r="H90" s="5"/>
      <c r="I90" s="5"/>
      <c r="J90" s="5"/>
      <c r="K90" s="5"/>
    </row>
    <row r="91" spans="1:11" ht="15" customHeight="1" x14ac:dyDescent="0.25">
      <c r="A91" s="2"/>
      <c r="B91" s="2"/>
      <c r="C91" s="41">
        <f>IFERROR(INDEX($K$72:$K$123, MATCH(0, INDEX(COUNTIF($C$71:C90, $K$72:$K$123), 0, 0), 0)), 0)</f>
        <v>0</v>
      </c>
      <c r="D91" s="24">
        <v>43587</v>
      </c>
      <c r="E91" s="24">
        <v>43555</v>
      </c>
      <c r="F91" s="33"/>
      <c r="G91" s="35" t="str">
        <f t="shared" ref="G91:G114" si="3">I91&amp;"-"&amp;J91&amp;"-"&amp;K91</f>
        <v>--</v>
      </c>
      <c r="H91" s="5"/>
      <c r="I91" s="5"/>
      <c r="J91" s="5"/>
      <c r="K91" s="5"/>
    </row>
    <row r="92" spans="1:11" ht="15" customHeight="1" x14ac:dyDescent="0.25">
      <c r="A92" s="2"/>
      <c r="B92" s="2"/>
      <c r="C92" s="41">
        <f>IFERROR(INDEX($K$72:$K$123, MATCH(0, INDEX(COUNTIF($C$71:C91, $K$72:$K$123), 0, 0), 0)), 0)</f>
        <v>0</v>
      </c>
      <c r="D92" s="24">
        <v>43587</v>
      </c>
      <c r="E92" s="24">
        <v>43555</v>
      </c>
      <c r="F92" s="33"/>
      <c r="G92" s="35" t="str">
        <f t="shared" si="3"/>
        <v>--</v>
      </c>
      <c r="H92" s="5"/>
      <c r="I92" s="5"/>
      <c r="J92" s="5"/>
      <c r="K92" s="5"/>
    </row>
    <row r="93" spans="1:11" ht="15" customHeight="1" x14ac:dyDescent="0.25">
      <c r="A93" s="2"/>
      <c r="B93" s="2"/>
      <c r="C93" s="41">
        <f>IFERROR(INDEX($K$72:$K$123, MATCH(0, INDEX(COUNTIF($C$71:C92, $K$72:$K$123), 0, 0), 0)), 0)</f>
        <v>0</v>
      </c>
      <c r="D93" s="24">
        <v>43587</v>
      </c>
      <c r="E93" s="24">
        <v>43555</v>
      </c>
      <c r="F93" s="33"/>
      <c r="G93" s="35" t="str">
        <f t="shared" si="3"/>
        <v>--</v>
      </c>
      <c r="H93" s="5"/>
      <c r="I93" s="5"/>
      <c r="J93" s="5"/>
      <c r="K93" s="5"/>
    </row>
    <row r="94" spans="1:11" ht="15" customHeight="1" x14ac:dyDescent="0.25">
      <c r="A94" s="2"/>
      <c r="B94" s="2"/>
      <c r="C94" s="41">
        <f>IFERROR(INDEX($K$72:$K$123, MATCH(0, INDEX(COUNTIF($C$71:C93, $K$72:$K$123), 0, 0), 0)), 0)</f>
        <v>0</v>
      </c>
      <c r="D94" s="24">
        <v>43587</v>
      </c>
      <c r="E94" s="24">
        <v>43555</v>
      </c>
      <c r="F94" s="33"/>
      <c r="G94" s="35" t="str">
        <f t="shared" si="3"/>
        <v>--</v>
      </c>
      <c r="H94" s="5"/>
      <c r="I94" s="5"/>
      <c r="J94" s="5"/>
      <c r="K94" s="5"/>
    </row>
    <row r="95" spans="1:11" ht="15" customHeight="1" x14ac:dyDescent="0.25">
      <c r="A95" s="2"/>
      <c r="B95" s="2"/>
      <c r="C95" s="41">
        <f>IFERROR(INDEX($K$72:$K$123, MATCH(0, INDEX(COUNTIF($C$71:C94, $K$72:$K$123), 0, 0), 0)), 0)</f>
        <v>0</v>
      </c>
      <c r="D95" s="24">
        <v>43587</v>
      </c>
      <c r="E95" s="24">
        <v>43555</v>
      </c>
      <c r="F95" s="33"/>
      <c r="G95" s="35" t="str">
        <f t="shared" si="3"/>
        <v>--</v>
      </c>
      <c r="H95" s="5"/>
      <c r="I95" s="5"/>
      <c r="J95" s="5"/>
      <c r="K95" s="5"/>
    </row>
    <row r="96" spans="1:11" ht="15" customHeight="1" x14ac:dyDescent="0.25">
      <c r="A96" s="2"/>
      <c r="B96" s="2"/>
      <c r="C96" s="41">
        <f>IFERROR(INDEX($K$72:$K$123, MATCH(0, INDEX(COUNTIF($C$71:C95, $K$72:$K$123), 0, 0), 0)), 0)</f>
        <v>0</v>
      </c>
      <c r="D96" s="24">
        <v>43587</v>
      </c>
      <c r="E96" s="24">
        <v>43555</v>
      </c>
      <c r="F96" s="33"/>
      <c r="G96" s="35" t="str">
        <f t="shared" si="3"/>
        <v>--</v>
      </c>
      <c r="H96" s="5"/>
      <c r="I96" s="5"/>
      <c r="J96" s="5"/>
      <c r="K96" s="5"/>
    </row>
    <row r="97" spans="1:11" ht="15" customHeight="1" x14ac:dyDescent="0.25">
      <c r="A97" s="2"/>
      <c r="B97" s="2"/>
      <c r="C97" s="41">
        <f>IFERROR(INDEX($K$72:$K$123, MATCH(0, INDEX(COUNTIF($C$71:C96, $K$72:$K$123), 0, 0), 0)), 0)</f>
        <v>0</v>
      </c>
      <c r="D97" s="24">
        <v>43587</v>
      </c>
      <c r="E97" s="24">
        <v>43555</v>
      </c>
      <c r="F97" s="33"/>
      <c r="G97" s="35" t="str">
        <f t="shared" si="3"/>
        <v>--</v>
      </c>
      <c r="H97" s="5"/>
      <c r="I97" s="5"/>
      <c r="J97" s="5"/>
      <c r="K97" s="5"/>
    </row>
    <row r="98" spans="1:11" ht="15" customHeight="1" x14ac:dyDescent="0.25">
      <c r="A98" s="2"/>
      <c r="B98" s="2"/>
      <c r="C98" s="41">
        <f>IFERROR(INDEX($K$72:$K$123, MATCH(0, INDEX(COUNTIF($C$71:C97, $K$72:$K$123), 0, 0), 0)), 0)</f>
        <v>0</v>
      </c>
      <c r="D98" s="24">
        <v>43587</v>
      </c>
      <c r="E98" s="24">
        <v>43555</v>
      </c>
      <c r="F98" s="33"/>
      <c r="G98" s="35" t="str">
        <f t="shared" si="3"/>
        <v>--</v>
      </c>
      <c r="H98" s="5"/>
      <c r="I98" s="5"/>
      <c r="J98" s="5"/>
      <c r="K98" s="5"/>
    </row>
    <row r="99" spans="1:11" ht="15" customHeight="1" x14ac:dyDescent="0.25">
      <c r="A99" s="2"/>
      <c r="B99" s="2"/>
      <c r="C99" s="41">
        <f>IFERROR(INDEX($K$72:$K$123, MATCH(0, INDEX(COUNTIF($C$71:C98, $K$72:$K$123), 0, 0), 0)), 0)</f>
        <v>0</v>
      </c>
      <c r="D99" s="24">
        <v>43587</v>
      </c>
      <c r="E99" s="24">
        <v>43555</v>
      </c>
      <c r="F99" s="33"/>
      <c r="G99" s="35" t="str">
        <f t="shared" si="3"/>
        <v>--</v>
      </c>
      <c r="H99" s="5"/>
      <c r="I99" s="5"/>
      <c r="J99" s="5"/>
      <c r="K99" s="5"/>
    </row>
    <row r="100" spans="1:11" ht="15" customHeight="1" x14ac:dyDescent="0.25">
      <c r="A100" s="2"/>
      <c r="B100" s="2"/>
      <c r="C100" s="41">
        <f>IFERROR(INDEX($K$72:$K$123, MATCH(0, INDEX(COUNTIF($C$71:C99, $K$72:$K$123), 0, 0), 0)), 0)</f>
        <v>0</v>
      </c>
      <c r="D100" s="24">
        <v>43587</v>
      </c>
      <c r="E100" s="24">
        <v>43555</v>
      </c>
      <c r="F100" s="34"/>
      <c r="G100" s="35" t="str">
        <f t="shared" si="3"/>
        <v>--</v>
      </c>
      <c r="H100" s="5"/>
      <c r="I100" s="5"/>
      <c r="J100" s="5"/>
      <c r="K100" s="5"/>
    </row>
    <row r="101" spans="1:11" ht="15" customHeight="1" x14ac:dyDescent="0.25">
      <c r="A101" s="2"/>
      <c r="B101" s="2"/>
      <c r="C101" s="41">
        <f>IFERROR(INDEX($K$72:$K$123, MATCH(0, INDEX(COUNTIF($C$71:C100, $K$72:$K$123), 0, 0), 0)), 0)</f>
        <v>0</v>
      </c>
      <c r="D101" s="24">
        <v>43587</v>
      </c>
      <c r="E101" s="24">
        <v>43555</v>
      </c>
      <c r="F101" s="34"/>
      <c r="G101" s="35" t="str">
        <f t="shared" si="3"/>
        <v>--</v>
      </c>
      <c r="H101" s="5"/>
      <c r="I101" s="5"/>
      <c r="J101" s="5"/>
      <c r="K101" s="5"/>
    </row>
    <row r="102" spans="1:11" ht="15" customHeight="1" x14ac:dyDescent="0.25">
      <c r="A102" s="2"/>
      <c r="B102" s="2"/>
      <c r="C102" s="41">
        <f>IFERROR(INDEX($K$72:$K$123, MATCH(0, INDEX(COUNTIF($C$71:C101, $K$72:$K$123), 0, 0), 0)), 0)</f>
        <v>0</v>
      </c>
      <c r="D102" s="24">
        <v>43587</v>
      </c>
      <c r="E102" s="24">
        <v>43555</v>
      </c>
      <c r="F102" s="34"/>
      <c r="G102" s="35" t="str">
        <f t="shared" si="3"/>
        <v>--</v>
      </c>
      <c r="H102" s="5"/>
      <c r="I102" s="5"/>
      <c r="J102" s="5"/>
      <c r="K102" s="5"/>
    </row>
    <row r="103" spans="1:11" ht="15" customHeight="1" x14ac:dyDescent="0.25">
      <c r="A103" s="2"/>
      <c r="B103" s="2"/>
      <c r="C103" s="41">
        <f>IFERROR(INDEX($K$72:$K$123, MATCH(0, INDEX(COUNTIF($C$71:C102, $K$72:$K$123), 0, 0), 0)), 0)</f>
        <v>0</v>
      </c>
      <c r="D103" s="24">
        <v>43587</v>
      </c>
      <c r="E103" s="24">
        <v>43555</v>
      </c>
      <c r="F103" s="34"/>
      <c r="G103" s="35" t="str">
        <f t="shared" si="3"/>
        <v>--</v>
      </c>
      <c r="H103" s="5"/>
      <c r="I103" s="5"/>
      <c r="J103" s="5"/>
      <c r="K103" s="5"/>
    </row>
    <row r="104" spans="1:11" ht="15" customHeight="1" x14ac:dyDescent="0.25">
      <c r="A104" s="2"/>
      <c r="B104" s="2"/>
      <c r="C104" s="41">
        <f>IFERROR(INDEX($K$72:$K$123, MATCH(0, INDEX(COUNTIF($C$71:C103, $K$72:$K$123), 0, 0), 0)), 0)</f>
        <v>0</v>
      </c>
      <c r="D104" s="24">
        <v>43587</v>
      </c>
      <c r="E104" s="24">
        <v>43555</v>
      </c>
      <c r="F104" s="34"/>
      <c r="G104" s="35" t="str">
        <f t="shared" si="3"/>
        <v>--</v>
      </c>
      <c r="H104" s="5"/>
      <c r="I104" s="5"/>
      <c r="J104" s="5"/>
      <c r="K104" s="5"/>
    </row>
    <row r="105" spans="1:11" ht="15" customHeight="1" x14ac:dyDescent="0.25">
      <c r="A105" s="2"/>
      <c r="B105" s="2"/>
      <c r="C105" s="41">
        <f>IFERROR(INDEX($K$72:$K$123, MATCH(0, INDEX(COUNTIF($C$71:C104, $K$72:$K$123), 0, 0), 0)), 0)</f>
        <v>0</v>
      </c>
      <c r="D105" s="24">
        <v>43587</v>
      </c>
      <c r="E105" s="24">
        <v>43555</v>
      </c>
      <c r="F105" s="34"/>
      <c r="G105" s="35" t="str">
        <f t="shared" si="3"/>
        <v>--</v>
      </c>
      <c r="H105" s="5"/>
      <c r="I105" s="5"/>
      <c r="J105" s="5"/>
      <c r="K105" s="5"/>
    </row>
    <row r="106" spans="1:11" ht="15" customHeight="1" x14ac:dyDescent="0.25">
      <c r="A106" s="2"/>
      <c r="B106" s="2"/>
      <c r="C106" s="41">
        <f>IFERROR(INDEX($K$72:$K$123, MATCH(0, INDEX(COUNTIF($C$71:C105, $K$72:$K$123), 0, 0), 0)), 0)</f>
        <v>0</v>
      </c>
      <c r="D106" s="24">
        <v>43587</v>
      </c>
      <c r="E106" s="24">
        <v>43555</v>
      </c>
      <c r="F106" s="34"/>
      <c r="G106" s="35" t="str">
        <f t="shared" si="3"/>
        <v>--</v>
      </c>
      <c r="H106" s="5"/>
      <c r="I106" s="5"/>
      <c r="J106" s="5"/>
      <c r="K106" s="5"/>
    </row>
    <row r="107" spans="1:11" ht="15" customHeight="1" x14ac:dyDescent="0.25">
      <c r="A107" s="2"/>
      <c r="B107" s="2"/>
      <c r="C107" s="41">
        <f>IFERROR(INDEX($K$72:$K$123, MATCH(0, INDEX(COUNTIF($C$71:C106, $K$72:$K$123), 0, 0), 0)), 0)</f>
        <v>0</v>
      </c>
      <c r="D107" s="24">
        <v>43587</v>
      </c>
      <c r="E107" s="24">
        <v>43555</v>
      </c>
      <c r="F107" s="34"/>
      <c r="G107" s="35" t="str">
        <f t="shared" si="3"/>
        <v>--</v>
      </c>
      <c r="H107" s="5"/>
      <c r="I107" s="5"/>
      <c r="J107" s="5"/>
      <c r="K107" s="5"/>
    </row>
    <row r="108" spans="1:11" x14ac:dyDescent="0.25">
      <c r="A108" s="2"/>
      <c r="B108" s="2"/>
      <c r="C108" s="41">
        <f>IFERROR(INDEX($K$72:$K$123, MATCH(0, INDEX(COUNTIF($C$71:C107, $K$72:$K$123), 0, 0), 0)), 0)</f>
        <v>0</v>
      </c>
      <c r="D108" s="24">
        <v>43587</v>
      </c>
      <c r="E108" s="24">
        <v>43555</v>
      </c>
      <c r="F108" s="34"/>
      <c r="G108" s="35" t="str">
        <f t="shared" si="3"/>
        <v>--</v>
      </c>
      <c r="H108" s="5"/>
      <c r="I108" s="5"/>
      <c r="J108" s="5"/>
      <c r="K108" s="5"/>
    </row>
    <row r="109" spans="1:11" x14ac:dyDescent="0.25">
      <c r="A109" s="2"/>
      <c r="B109" s="2"/>
      <c r="C109" s="41">
        <f>IFERROR(INDEX($K$72:$K$123, MATCH(0, INDEX(COUNTIF($C$71:C108, $K$72:$K$123), 0, 0), 0)), 0)</f>
        <v>0</v>
      </c>
      <c r="D109" s="24">
        <v>43587</v>
      </c>
      <c r="E109" s="24">
        <v>43555</v>
      </c>
      <c r="F109" s="34"/>
      <c r="G109" s="35" t="str">
        <f t="shared" si="3"/>
        <v>--</v>
      </c>
      <c r="H109" s="5"/>
      <c r="I109" s="5"/>
      <c r="J109" s="5"/>
      <c r="K109" s="5"/>
    </row>
    <row r="110" spans="1:11" x14ac:dyDescent="0.25">
      <c r="A110" s="2"/>
      <c r="B110" s="2"/>
      <c r="C110" s="41">
        <f>IFERROR(INDEX($K$72:$K$123, MATCH(0, INDEX(COUNTIF($C$71:C109, $K$72:$K$123), 0, 0), 0)), 0)</f>
        <v>0</v>
      </c>
      <c r="D110" s="24">
        <v>43587</v>
      </c>
      <c r="E110" s="24">
        <v>43555</v>
      </c>
      <c r="F110" s="34"/>
      <c r="G110" s="35" t="str">
        <f t="shared" si="3"/>
        <v>--</v>
      </c>
      <c r="H110" s="5"/>
      <c r="I110" s="5"/>
      <c r="J110" s="5"/>
      <c r="K110" s="5"/>
    </row>
    <row r="111" spans="1:11" x14ac:dyDescent="0.25">
      <c r="A111" s="2"/>
      <c r="B111" s="2"/>
      <c r="C111" s="41">
        <f>IFERROR(INDEX($K$72:$K$123, MATCH(0, INDEX(COUNTIF($C$71:C110, $K$72:$K$123), 0, 0), 0)), 0)</f>
        <v>0</v>
      </c>
      <c r="D111" s="24">
        <v>43587</v>
      </c>
      <c r="E111" s="24">
        <v>43555</v>
      </c>
      <c r="F111" s="34"/>
      <c r="G111" s="35" t="str">
        <f t="shared" si="3"/>
        <v>--</v>
      </c>
      <c r="H111" s="5"/>
      <c r="I111" s="5"/>
      <c r="J111" s="5"/>
      <c r="K111" s="5"/>
    </row>
    <row r="112" spans="1:11" x14ac:dyDescent="0.25">
      <c r="A112" s="2"/>
      <c r="B112" s="2"/>
      <c r="C112" s="41">
        <f>IFERROR(INDEX($K$72:$K$123, MATCH(0, INDEX(COUNTIF($C$71:C111, $K$72:$K$123), 0, 0), 0)), 0)</f>
        <v>0</v>
      </c>
      <c r="D112" s="24">
        <v>43587</v>
      </c>
      <c r="E112" s="24">
        <v>43555</v>
      </c>
      <c r="F112" s="34"/>
      <c r="G112" s="35" t="str">
        <f t="shared" si="3"/>
        <v>--</v>
      </c>
      <c r="H112" s="5"/>
      <c r="I112" s="5"/>
      <c r="J112" s="5"/>
      <c r="K112" s="5"/>
    </row>
    <row r="113" spans="1:15" x14ac:dyDescent="0.25">
      <c r="A113" s="2"/>
      <c r="B113" s="2"/>
      <c r="C113" s="41">
        <f>IFERROR(INDEX($K$72:$K$123, MATCH(0, INDEX(COUNTIF($C$71:C112, $K$72:$K$123), 0, 0), 0)), 0)</f>
        <v>0</v>
      </c>
      <c r="D113" s="24">
        <v>43587</v>
      </c>
      <c r="E113" s="24">
        <v>43555</v>
      </c>
      <c r="F113" s="34"/>
      <c r="G113" s="35" t="str">
        <f t="shared" si="3"/>
        <v>--</v>
      </c>
      <c r="H113" s="5"/>
      <c r="I113" s="5"/>
      <c r="J113" s="5"/>
      <c r="K113" s="5"/>
    </row>
    <row r="114" spans="1:15" x14ac:dyDescent="0.25">
      <c r="A114" s="2"/>
      <c r="B114" s="2"/>
      <c r="C114" s="41">
        <f>IFERROR(INDEX($K$72:$K$123, MATCH(0, INDEX(COUNTIF($C$71:C113, $K$72:$K$123), 0, 0), 0)), 0)</f>
        <v>0</v>
      </c>
      <c r="D114" s="24">
        <v>43587</v>
      </c>
      <c r="E114" s="24">
        <v>43555</v>
      </c>
      <c r="F114" s="34"/>
      <c r="G114" s="35" t="str">
        <f t="shared" si="3"/>
        <v>--</v>
      </c>
      <c r="H114" s="5"/>
      <c r="I114" s="5"/>
      <c r="J114" s="5"/>
      <c r="K114" s="5"/>
    </row>
    <row r="115" spans="1:15" x14ac:dyDescent="0.25">
      <c r="A115" s="2"/>
      <c r="B115" s="2"/>
      <c r="C115" s="41">
        <f>IFERROR(INDEX($K$72:$K$123, MATCH(0, INDEX(COUNTIF($C$71:C114, $K$72:$K$123), 0, 0), 0)), 0)</f>
        <v>0</v>
      </c>
      <c r="D115" s="24">
        <v>43587</v>
      </c>
      <c r="E115" s="24">
        <v>43555</v>
      </c>
      <c r="F115" s="34"/>
      <c r="G115" s="35" t="str">
        <f t="shared" si="0"/>
        <v>--</v>
      </c>
      <c r="H115" s="5"/>
      <c r="I115" s="5"/>
      <c r="J115" s="5"/>
      <c r="K115" s="5"/>
    </row>
    <row r="116" spans="1:15" x14ac:dyDescent="0.25">
      <c r="A116" s="2"/>
      <c r="B116" s="2"/>
      <c r="C116" s="41">
        <f>IFERROR(INDEX($K$72:$K$123, MATCH(0, INDEX(COUNTIF($C$71:C115, $K$72:$K$123), 0, 0), 0)), 0)</f>
        <v>0</v>
      </c>
      <c r="D116" s="24">
        <v>43587</v>
      </c>
      <c r="E116" s="24">
        <v>43555</v>
      </c>
      <c r="F116" s="34"/>
      <c r="G116" s="35" t="str">
        <f t="shared" si="0"/>
        <v>--</v>
      </c>
      <c r="H116" s="5"/>
      <c r="I116" s="5"/>
      <c r="J116" s="5"/>
      <c r="K116" s="5"/>
    </row>
    <row r="117" spans="1:15" x14ac:dyDescent="0.25">
      <c r="A117" s="2"/>
      <c r="B117" s="2"/>
      <c r="C117" s="41">
        <f>IFERROR(INDEX($K$72:$K$123, MATCH(0, INDEX(COUNTIF($C$71:C116, $K$72:$K$123), 0, 0), 0)), 0)</f>
        <v>0</v>
      </c>
      <c r="D117" s="24">
        <v>43587</v>
      </c>
      <c r="E117" s="24">
        <v>43555</v>
      </c>
      <c r="F117" s="34"/>
      <c r="G117" s="35" t="str">
        <f t="shared" si="0"/>
        <v>--</v>
      </c>
      <c r="H117" s="5"/>
      <c r="I117" s="5"/>
      <c r="J117" s="5"/>
      <c r="K117" s="5"/>
    </row>
    <row r="118" spans="1:15" x14ac:dyDescent="0.25">
      <c r="A118" s="2"/>
      <c r="B118" s="2"/>
      <c r="C118" s="41">
        <f>IFERROR(INDEX($K$72:$K$123, MATCH(0, INDEX(COUNTIF($C$71:C117, $K$72:$K$123), 0, 0), 0)), 0)</f>
        <v>0</v>
      </c>
      <c r="D118" s="24">
        <v>43587</v>
      </c>
      <c r="E118" s="24">
        <v>43555</v>
      </c>
      <c r="F118" s="34"/>
      <c r="G118" s="35" t="str">
        <f t="shared" si="0"/>
        <v>--</v>
      </c>
      <c r="H118" s="5"/>
      <c r="I118" s="5"/>
      <c r="J118" s="5"/>
      <c r="K118" s="5"/>
    </row>
    <row r="119" spans="1:15" x14ac:dyDescent="0.25">
      <c r="A119" s="2"/>
      <c r="B119" s="2"/>
      <c r="C119" s="41">
        <f>IFERROR(INDEX($K$72:$K$123, MATCH(0, INDEX(COUNTIF($C$71:C118, $K$72:$K$123), 0, 0), 0)), 0)</f>
        <v>0</v>
      </c>
      <c r="D119" s="24">
        <v>43587</v>
      </c>
      <c r="E119" s="24">
        <v>43555</v>
      </c>
      <c r="F119" s="34"/>
      <c r="G119" s="35" t="str">
        <f t="shared" si="0"/>
        <v>--</v>
      </c>
      <c r="H119" s="5"/>
      <c r="I119" s="5"/>
      <c r="J119" s="5"/>
      <c r="K119" s="5"/>
    </row>
    <row r="120" spans="1:15" x14ac:dyDescent="0.25">
      <c r="A120" s="2"/>
      <c r="B120" s="2"/>
      <c r="C120" s="41">
        <f>IFERROR(INDEX($K$72:$K$123, MATCH(0, INDEX(COUNTIF($C$71:C119, $K$72:$K$123), 0, 0), 0)), 0)</f>
        <v>0</v>
      </c>
      <c r="D120" s="24">
        <v>43587</v>
      </c>
      <c r="E120" s="24">
        <v>43555</v>
      </c>
      <c r="F120" s="34"/>
      <c r="G120" s="35" t="str">
        <f t="shared" si="0"/>
        <v>--</v>
      </c>
      <c r="H120" s="5"/>
      <c r="I120" s="5"/>
      <c r="J120" s="5"/>
      <c r="K120" s="5"/>
    </row>
    <row r="121" spans="1:15" x14ac:dyDescent="0.25">
      <c r="A121" s="2"/>
      <c r="B121" s="2"/>
      <c r="C121" s="41">
        <f>IFERROR(INDEX($K$72:$K$123, MATCH(0, INDEX(COUNTIF($C$71:C120, $K$72:$K$123), 0, 0), 0)), 0)</f>
        <v>0</v>
      </c>
      <c r="D121" s="24">
        <v>43587</v>
      </c>
      <c r="E121" s="24">
        <v>43555</v>
      </c>
      <c r="F121" s="34"/>
      <c r="G121" s="35" t="str">
        <f t="shared" si="0"/>
        <v>--</v>
      </c>
      <c r="H121" s="5"/>
      <c r="I121" s="5"/>
      <c r="J121" s="5"/>
      <c r="K121" s="5"/>
    </row>
    <row r="122" spans="1:15" x14ac:dyDescent="0.25">
      <c r="A122" s="2"/>
      <c r="B122" s="2"/>
      <c r="C122" s="41">
        <f>IFERROR(INDEX($K$72:$K$123, MATCH(0, INDEX(COUNTIF($C$71:C121, $K$72:$K$123), 0, 0), 0)), 0)</f>
        <v>0</v>
      </c>
      <c r="D122" s="24">
        <v>43587</v>
      </c>
      <c r="E122" s="24">
        <v>43555</v>
      </c>
      <c r="F122" s="34"/>
      <c r="G122" s="35" t="str">
        <f t="shared" si="0"/>
        <v>--</v>
      </c>
      <c r="H122" s="5"/>
      <c r="I122" s="5"/>
      <c r="J122" s="5"/>
      <c r="K122" s="5"/>
    </row>
    <row r="123" spans="1:15" x14ac:dyDescent="0.25">
      <c r="A123" s="2"/>
      <c r="B123" s="2"/>
      <c r="C123" s="41">
        <f>IFERROR(INDEX($K$72:$K$123, MATCH(0, INDEX(COUNTIF($C$71:C122, $K$72:$K$123), 0, 0), 0)), 0)</f>
        <v>0</v>
      </c>
      <c r="D123" s="24">
        <v>43587</v>
      </c>
      <c r="E123" s="24">
        <v>43555</v>
      </c>
      <c r="F123" s="34"/>
      <c r="G123" s="35" t="str">
        <f t="shared" si="0"/>
        <v>--</v>
      </c>
      <c r="H123" s="5"/>
      <c r="I123" s="5"/>
      <c r="J123" s="5"/>
      <c r="K123" s="5"/>
    </row>
    <row r="124" spans="1:15" s="2" customFormat="1" ht="15.75" thickBot="1" x14ac:dyDescent="0.3"/>
    <row r="125" spans="1:15" s="2" customFormat="1" ht="22.9" customHeight="1" thickTop="1" x14ac:dyDescent="0.25">
      <c r="A125" s="4" t="s">
        <v>0</v>
      </c>
      <c r="B125" s="4" t="s">
        <v>1</v>
      </c>
      <c r="C125" s="4" t="s">
        <v>2</v>
      </c>
      <c r="D125" s="22"/>
      <c r="E125" s="22"/>
      <c r="F125" s="22"/>
      <c r="G125" s="22"/>
      <c r="H125" s="22"/>
      <c r="I125" s="22"/>
    </row>
    <row r="126" spans="1:15" s="2" customFormat="1" x14ac:dyDescent="0.25">
      <c r="A126" s="2">
        <v>83</v>
      </c>
      <c r="B126" s="2" t="s">
        <v>11</v>
      </c>
      <c r="C126" s="2" t="s">
        <v>19</v>
      </c>
      <c r="D126" s="3"/>
      <c r="E126" s="3"/>
      <c r="F126" s="3"/>
    </row>
    <row r="127" spans="1:15" s="7" customFormat="1" ht="36.6" customHeight="1" x14ac:dyDescent="0.25">
      <c r="B127" s="23" t="s">
        <v>67</v>
      </c>
      <c r="C127" s="23" t="s">
        <v>40</v>
      </c>
      <c r="D127" s="28" t="s">
        <v>3</v>
      </c>
      <c r="E127" s="28" t="s">
        <v>40</v>
      </c>
      <c r="F127" s="28" t="s">
        <v>41</v>
      </c>
      <c r="G127" s="28" t="s">
        <v>88</v>
      </c>
      <c r="H127" s="28" t="s">
        <v>70</v>
      </c>
      <c r="I127" s="28" t="s">
        <v>71</v>
      </c>
      <c r="J127" s="28" t="s">
        <v>92</v>
      </c>
      <c r="K127" s="28" t="s">
        <v>91</v>
      </c>
      <c r="L127" s="28" t="s">
        <v>93</v>
      </c>
      <c r="M127" s="28" t="s">
        <v>60</v>
      </c>
      <c r="N127" s="28" t="s">
        <v>94</v>
      </c>
      <c r="O127" s="28" t="s">
        <v>0</v>
      </c>
    </row>
    <row r="128" spans="1:15" x14ac:dyDescent="0.25">
      <c r="A128" s="2"/>
      <c r="B128" s="39" t="e">
        <f ca="1">IF(COUNTA($G$128:$G$157)=$C$131+C134,COUNTA($G$128:$G$157),"ERROR")</f>
        <v>#REF!</v>
      </c>
      <c r="C128" s="40" t="e">
        <f ca="1">MAX(OFFSET($F$128,0,0,COUNTA($G$128:$G$157)))</f>
        <v>#REF!</v>
      </c>
      <c r="D128" s="24">
        <v>43587</v>
      </c>
      <c r="E128" s="24">
        <v>43555</v>
      </c>
      <c r="F128" s="34"/>
      <c r="G128" s="5"/>
      <c r="H128" s="32"/>
      <c r="I128" s="5"/>
      <c r="J128" s="5"/>
      <c r="K128" s="6"/>
      <c r="L128" s="5"/>
      <c r="M128" s="5"/>
      <c r="N128" s="5"/>
      <c r="O128" s="43" t="str">
        <f>H128&amp;"-"&amp;G128</f>
        <v>-</v>
      </c>
    </row>
    <row r="129" spans="1:15" x14ac:dyDescent="0.25">
      <c r="A129" s="2"/>
      <c r="B129" s="2"/>
      <c r="C129" s="2"/>
      <c r="D129" s="24">
        <v>43587</v>
      </c>
      <c r="E129" s="24">
        <v>43555</v>
      </c>
      <c r="F129" s="34"/>
      <c r="G129" s="5"/>
      <c r="H129" s="32"/>
      <c r="I129" s="5"/>
      <c r="J129" s="5"/>
      <c r="K129" s="6"/>
      <c r="L129" s="5"/>
      <c r="M129" s="5"/>
      <c r="N129" s="5"/>
      <c r="O129" s="43" t="str">
        <f t="shared" ref="O129:O142" si="4">H129&amp;"-"&amp;G129</f>
        <v>-</v>
      </c>
    </row>
    <row r="130" spans="1:15" x14ac:dyDescent="0.25">
      <c r="A130" s="2"/>
      <c r="B130" s="2"/>
      <c r="C130" s="23" t="s">
        <v>89</v>
      </c>
      <c r="D130" s="24">
        <v>43587</v>
      </c>
      <c r="E130" s="24">
        <v>43555</v>
      </c>
      <c r="F130" s="34"/>
      <c r="G130" s="5"/>
      <c r="H130" s="32"/>
      <c r="I130" s="5"/>
      <c r="J130" s="5"/>
      <c r="K130" s="6"/>
      <c r="L130" s="5"/>
      <c r="M130" s="5"/>
      <c r="N130" s="5"/>
      <c r="O130" s="43" t="str">
        <f t="shared" si="4"/>
        <v>-</v>
      </c>
    </row>
    <row r="131" spans="1:15" x14ac:dyDescent="0.25">
      <c r="A131" s="2"/>
      <c r="B131" s="2"/>
      <c r="C131" s="39" t="e">
        <f ca="1">COUNTIF(OFFSET($K$128,0,0,COUNTA($G$128:$G$157)),"SI")</f>
        <v>#REF!</v>
      </c>
      <c r="D131" s="24">
        <v>43587</v>
      </c>
      <c r="E131" s="24">
        <v>43555</v>
      </c>
      <c r="F131" s="34"/>
      <c r="G131" s="5"/>
      <c r="H131" s="32"/>
      <c r="I131" s="5"/>
      <c r="J131" s="5"/>
      <c r="K131" s="6"/>
      <c r="L131" s="5"/>
      <c r="M131" s="5"/>
      <c r="N131" s="5"/>
      <c r="O131" s="43" t="str">
        <f t="shared" si="4"/>
        <v>-</v>
      </c>
    </row>
    <row r="132" spans="1:15" x14ac:dyDescent="0.25">
      <c r="A132" s="2"/>
      <c r="B132" s="2"/>
      <c r="C132" s="2"/>
      <c r="D132" s="24">
        <v>43587</v>
      </c>
      <c r="E132" s="24">
        <v>43555</v>
      </c>
      <c r="F132" s="34"/>
      <c r="G132" s="5"/>
      <c r="H132" s="32"/>
      <c r="I132" s="5"/>
      <c r="J132" s="5"/>
      <c r="K132" s="6"/>
      <c r="L132" s="5"/>
      <c r="M132" s="5"/>
      <c r="N132" s="5"/>
      <c r="O132" s="43" t="str">
        <f t="shared" si="4"/>
        <v>-</v>
      </c>
    </row>
    <row r="133" spans="1:15" x14ac:dyDescent="0.25">
      <c r="A133" s="2"/>
      <c r="B133" s="2"/>
      <c r="C133" s="23" t="s">
        <v>90</v>
      </c>
      <c r="D133" s="24">
        <v>43587</v>
      </c>
      <c r="E133" s="24">
        <v>43555</v>
      </c>
      <c r="F133" s="34"/>
      <c r="G133" s="5"/>
      <c r="H133" s="32"/>
      <c r="I133" s="5"/>
      <c r="J133" s="5"/>
      <c r="K133" s="6"/>
      <c r="L133" s="5"/>
      <c r="M133" s="5"/>
      <c r="N133" s="5"/>
      <c r="O133" s="43" t="str">
        <f t="shared" si="4"/>
        <v>-</v>
      </c>
    </row>
    <row r="134" spans="1:15" x14ac:dyDescent="0.25">
      <c r="A134" s="2"/>
      <c r="B134" s="2"/>
      <c r="C134" s="39" t="e">
        <f ca="1">COUNTIF(OFFSET($K$128,0,0,COUNTA($G$128:$G$157)),"NO APLICA")</f>
        <v>#REF!</v>
      </c>
      <c r="D134" s="24">
        <v>43587</v>
      </c>
      <c r="E134" s="24">
        <v>43555</v>
      </c>
      <c r="F134" s="34"/>
      <c r="G134" s="5"/>
      <c r="H134" s="29"/>
      <c r="I134" s="5"/>
      <c r="J134" s="5"/>
      <c r="K134" s="6"/>
      <c r="L134" s="5"/>
      <c r="M134" s="5"/>
      <c r="N134" s="5"/>
      <c r="O134" s="43" t="str">
        <f t="shared" si="4"/>
        <v>-</v>
      </c>
    </row>
    <row r="135" spans="1:15" x14ac:dyDescent="0.25">
      <c r="A135" s="2"/>
      <c r="B135" s="2"/>
      <c r="C135" s="2"/>
      <c r="D135" s="24">
        <v>43587</v>
      </c>
      <c r="E135" s="24">
        <v>43555</v>
      </c>
      <c r="F135" s="34"/>
      <c r="G135" s="5"/>
      <c r="H135" s="29"/>
      <c r="I135" s="5"/>
      <c r="J135" s="5"/>
      <c r="K135" s="6"/>
      <c r="L135" s="5"/>
      <c r="M135" s="5"/>
      <c r="N135" s="5"/>
      <c r="O135" s="43" t="str">
        <f t="shared" si="4"/>
        <v>-</v>
      </c>
    </row>
    <row r="136" spans="1:15" x14ac:dyDescent="0.25">
      <c r="A136" s="2"/>
      <c r="B136" s="2"/>
      <c r="C136" s="23" t="s">
        <v>101</v>
      </c>
      <c r="D136" s="24">
        <v>43587</v>
      </c>
      <c r="E136" s="24">
        <v>43555</v>
      </c>
      <c r="F136" s="34"/>
      <c r="G136" s="5"/>
      <c r="H136" s="32"/>
      <c r="I136" s="5"/>
      <c r="J136" s="5"/>
      <c r="K136" s="6"/>
      <c r="L136" s="5"/>
      <c r="M136" s="5"/>
      <c r="N136" s="5"/>
      <c r="O136" s="43" t="e">
        <f>#REF!&amp;"-"&amp;#REF!</f>
        <v>#REF!</v>
      </c>
    </row>
    <row r="137" spans="1:15" x14ac:dyDescent="0.25">
      <c r="A137" s="2"/>
      <c r="B137" s="2"/>
      <c r="C137" s="39" t="e">
        <f ca="1">COUNTIF(OFFSET($M$128,0,0,COUNTA($G$128:$G$157)),"ABIERTA")</f>
        <v>#REF!</v>
      </c>
      <c r="D137" s="24">
        <v>43587</v>
      </c>
      <c r="E137" s="24">
        <v>43555</v>
      </c>
      <c r="F137" s="34"/>
      <c r="G137" s="5"/>
      <c r="H137" s="32"/>
      <c r="I137" s="5"/>
      <c r="J137" s="5"/>
      <c r="K137" s="6"/>
      <c r="L137" s="5"/>
      <c r="M137" s="5"/>
      <c r="N137" s="5"/>
      <c r="O137" s="43" t="e">
        <f>#REF!&amp;"-"&amp;#REF!</f>
        <v>#REF!</v>
      </c>
    </row>
    <row r="138" spans="1:15" x14ac:dyDescent="0.25">
      <c r="A138" s="2"/>
      <c r="B138" s="2"/>
      <c r="C138" s="2"/>
      <c r="D138" s="24">
        <v>43587</v>
      </c>
      <c r="E138" s="24">
        <v>43555</v>
      </c>
      <c r="F138" s="34"/>
      <c r="G138" s="5"/>
      <c r="H138" s="32"/>
      <c r="I138" s="5"/>
      <c r="J138" s="5"/>
      <c r="K138" s="6"/>
      <c r="L138" s="5"/>
      <c r="M138" s="5"/>
      <c r="N138" s="5"/>
      <c r="O138" s="43" t="e">
        <f>#REF!&amp;"-"&amp;#REF!</f>
        <v>#REF!</v>
      </c>
    </row>
    <row r="139" spans="1:15" x14ac:dyDescent="0.25">
      <c r="A139" s="2"/>
      <c r="B139" s="2"/>
      <c r="C139" s="23" t="s">
        <v>102</v>
      </c>
      <c r="D139" s="24">
        <v>43587</v>
      </c>
      <c r="E139" s="24">
        <v>43555</v>
      </c>
      <c r="F139" s="34"/>
      <c r="G139" s="5"/>
      <c r="H139" s="32"/>
      <c r="I139" s="5"/>
      <c r="J139" s="5"/>
      <c r="K139" s="6"/>
      <c r="L139" s="5"/>
      <c r="M139" s="5"/>
      <c r="N139" s="5"/>
      <c r="O139" s="43" t="str">
        <f>H136&amp;"-"&amp;G136</f>
        <v>-</v>
      </c>
    </row>
    <row r="140" spans="1:15" x14ac:dyDescent="0.25">
      <c r="A140" s="2"/>
      <c r="B140" s="2"/>
      <c r="C140" s="39" t="e">
        <f ca="1">COUNTIF(OFFSET($M$128,0,0,COUNTA($G$128:$G$157)),"CERRADA")</f>
        <v>#REF!</v>
      </c>
      <c r="D140" s="24">
        <v>43587</v>
      </c>
      <c r="E140" s="24">
        <v>43555</v>
      </c>
      <c r="F140" s="34"/>
      <c r="G140" s="5"/>
      <c r="H140" s="29"/>
      <c r="I140" s="5"/>
      <c r="J140" s="5"/>
      <c r="K140" s="6"/>
      <c r="L140" s="5"/>
      <c r="M140" s="5"/>
      <c r="N140" s="5"/>
      <c r="O140" s="43" t="str">
        <f>H137&amp;"-"&amp;G137</f>
        <v>-</v>
      </c>
    </row>
    <row r="141" spans="1:15" x14ac:dyDescent="0.25">
      <c r="A141" s="2"/>
      <c r="B141" s="2"/>
      <c r="C141" s="2"/>
      <c r="D141" s="24">
        <v>43587</v>
      </c>
      <c r="E141" s="24">
        <v>43555</v>
      </c>
      <c r="F141" s="34"/>
      <c r="G141" s="5"/>
      <c r="H141" s="29"/>
      <c r="I141" s="5"/>
      <c r="J141" s="5"/>
      <c r="K141" s="6"/>
      <c r="L141" s="5"/>
      <c r="M141" s="5"/>
      <c r="N141" s="5"/>
      <c r="O141" s="43" t="str">
        <f>H138&amp;"-"&amp;G138</f>
        <v>-</v>
      </c>
    </row>
    <row r="142" spans="1:15" x14ac:dyDescent="0.25">
      <c r="A142" s="2"/>
      <c r="B142" s="2"/>
      <c r="C142" s="23" t="s">
        <v>103</v>
      </c>
      <c r="D142" s="24">
        <v>43587</v>
      </c>
      <c r="E142" s="24">
        <v>43555</v>
      </c>
      <c r="F142" s="34"/>
      <c r="G142" s="5"/>
      <c r="H142" s="32"/>
      <c r="I142" s="5"/>
      <c r="J142" s="5"/>
      <c r="K142" s="6"/>
      <c r="L142" s="5"/>
      <c r="M142" s="5"/>
      <c r="N142" s="5"/>
      <c r="O142" s="43" t="str">
        <f t="shared" si="4"/>
        <v>-</v>
      </c>
    </row>
    <row r="143" spans="1:15" x14ac:dyDescent="0.25">
      <c r="A143" s="2"/>
      <c r="B143" s="2"/>
      <c r="C143" s="39" t="e">
        <f ca="1">COUNTIF(OFFSET($M$128,0,0,COUNTA($G$128:$G$157)),"EN SEGUIMIENTO")</f>
        <v>#REF!</v>
      </c>
      <c r="D143" s="24">
        <v>43587</v>
      </c>
      <c r="E143" s="24">
        <v>43555</v>
      </c>
      <c r="F143" s="34"/>
      <c r="G143" s="5"/>
      <c r="H143" s="32"/>
      <c r="I143" s="5"/>
      <c r="J143" s="5"/>
      <c r="K143" s="6"/>
      <c r="L143" s="5"/>
      <c r="M143" s="5"/>
      <c r="N143" s="5"/>
      <c r="O143" s="43" t="str">
        <f>H139&amp;"-"&amp;G139</f>
        <v>-</v>
      </c>
    </row>
    <row r="144" spans="1:15" x14ac:dyDescent="0.25">
      <c r="A144" s="2"/>
      <c r="B144" s="2"/>
      <c r="C144" s="2"/>
      <c r="D144" s="24">
        <v>43587</v>
      </c>
      <c r="E144" s="24">
        <v>43555</v>
      </c>
      <c r="F144" s="34"/>
      <c r="G144" s="5"/>
      <c r="H144" s="32"/>
      <c r="I144" s="5"/>
      <c r="J144" s="5"/>
      <c r="K144" s="6"/>
      <c r="L144" s="5"/>
      <c r="M144" s="5"/>
      <c r="N144" s="5"/>
      <c r="O144" s="43" t="str">
        <f>H140&amp;"-"&amp;G140</f>
        <v>-</v>
      </c>
    </row>
    <row r="145" spans="1:15" x14ac:dyDescent="0.25">
      <c r="A145" s="2"/>
      <c r="B145" s="2"/>
      <c r="C145" s="23" t="s">
        <v>104</v>
      </c>
      <c r="D145" s="24">
        <v>43587</v>
      </c>
      <c r="E145" s="24">
        <v>43555</v>
      </c>
      <c r="F145" s="34"/>
      <c r="G145" s="5"/>
      <c r="H145" s="32"/>
      <c r="I145" s="5"/>
      <c r="J145" s="5"/>
      <c r="K145" s="6"/>
      <c r="L145" s="5"/>
      <c r="M145" s="5"/>
      <c r="N145" s="5"/>
      <c r="O145" s="43" t="str">
        <f>H141&amp;"-"&amp;G141</f>
        <v>-</v>
      </c>
    </row>
    <row r="146" spans="1:15" x14ac:dyDescent="0.25">
      <c r="A146" s="2"/>
      <c r="B146" s="2"/>
      <c r="C146" s="39" t="e">
        <f ca="1">COUNTIF(OFFSET($M$128,0,0,COUNTA($G$128:$G$157)), "ANULADA")</f>
        <v>#REF!</v>
      </c>
      <c r="D146" s="24">
        <v>43587</v>
      </c>
      <c r="E146" s="24">
        <v>43555</v>
      </c>
      <c r="F146" s="34"/>
      <c r="G146" s="5"/>
      <c r="H146" s="29"/>
      <c r="I146" s="5"/>
      <c r="J146" s="5"/>
      <c r="K146" s="6"/>
      <c r="L146" s="5"/>
      <c r="M146" s="5"/>
      <c r="N146" s="5"/>
      <c r="O146" s="43"/>
    </row>
    <row r="147" spans="1:15" x14ac:dyDescent="0.25">
      <c r="A147" s="2"/>
      <c r="B147" s="2"/>
      <c r="C147" s="2"/>
      <c r="D147" s="24">
        <v>43587</v>
      </c>
      <c r="E147" s="24">
        <v>43555</v>
      </c>
      <c r="F147" s="34"/>
      <c r="G147" s="5"/>
      <c r="H147" s="29"/>
      <c r="I147" s="5"/>
      <c r="J147" s="5"/>
      <c r="K147" s="6"/>
      <c r="L147" s="5"/>
      <c r="M147" s="5"/>
      <c r="N147" s="5"/>
      <c r="O147" s="43"/>
    </row>
    <row r="148" spans="1:15" x14ac:dyDescent="0.25">
      <c r="A148" s="2"/>
      <c r="B148" s="2"/>
      <c r="C148" s="2"/>
      <c r="D148" s="24">
        <v>43587</v>
      </c>
      <c r="E148" s="24">
        <v>43555</v>
      </c>
      <c r="F148" s="34"/>
      <c r="G148" s="5"/>
      <c r="H148" s="29"/>
      <c r="I148" s="5"/>
      <c r="J148" s="5"/>
      <c r="K148" s="6"/>
      <c r="L148" s="5"/>
      <c r="M148" s="5"/>
      <c r="N148" s="5"/>
      <c r="O148" s="43"/>
    </row>
    <row r="149" spans="1:15" x14ac:dyDescent="0.25">
      <c r="A149" s="2"/>
      <c r="B149" s="2"/>
      <c r="C149" s="2"/>
      <c r="D149" s="24">
        <v>43587</v>
      </c>
      <c r="E149" s="24">
        <v>43555</v>
      </c>
      <c r="F149" s="34"/>
      <c r="G149" s="5"/>
      <c r="H149" s="29"/>
      <c r="I149" s="5"/>
      <c r="J149" s="5"/>
      <c r="K149" s="6"/>
      <c r="L149" s="5"/>
      <c r="M149" s="5"/>
      <c r="N149" s="5"/>
      <c r="O149" s="43"/>
    </row>
    <row r="150" spans="1:15" x14ac:dyDescent="0.25">
      <c r="A150" s="2"/>
      <c r="B150" s="2"/>
      <c r="C150" s="2"/>
      <c r="D150" s="24">
        <v>43587</v>
      </c>
      <c r="E150" s="24">
        <v>43555</v>
      </c>
      <c r="F150" s="34"/>
      <c r="G150" s="5"/>
      <c r="H150" s="29"/>
      <c r="I150" s="5"/>
      <c r="J150" s="5"/>
      <c r="K150" s="6"/>
      <c r="L150" s="5"/>
      <c r="M150" s="5"/>
      <c r="N150" s="5"/>
      <c r="O150" s="43"/>
    </row>
    <row r="151" spans="1:15" x14ac:dyDescent="0.25">
      <c r="A151" s="2"/>
      <c r="B151" s="2"/>
      <c r="C151" s="2"/>
      <c r="D151" s="24">
        <v>43587</v>
      </c>
      <c r="E151" s="24">
        <v>43555</v>
      </c>
      <c r="F151" s="34"/>
      <c r="G151" s="5"/>
      <c r="H151" s="29"/>
      <c r="I151" s="5"/>
      <c r="J151" s="5"/>
      <c r="K151" s="6"/>
      <c r="L151" s="5"/>
      <c r="M151" s="5"/>
      <c r="N151" s="5"/>
      <c r="O151" s="43"/>
    </row>
    <row r="152" spans="1:15" x14ac:dyDescent="0.25">
      <c r="A152" s="2"/>
      <c r="B152" s="2"/>
      <c r="C152" s="2"/>
      <c r="D152" s="24">
        <v>43587</v>
      </c>
      <c r="E152" s="24">
        <v>43555</v>
      </c>
      <c r="F152" s="34"/>
      <c r="G152" s="5"/>
      <c r="H152" s="29"/>
      <c r="I152" s="5"/>
      <c r="J152" s="5"/>
      <c r="K152" s="6"/>
      <c r="L152" s="5"/>
      <c r="M152" s="5"/>
      <c r="N152" s="5"/>
      <c r="O152" s="43"/>
    </row>
    <row r="153" spans="1:15" x14ac:dyDescent="0.25">
      <c r="A153" s="2"/>
      <c r="B153" s="2"/>
      <c r="C153" s="2"/>
      <c r="D153" s="24">
        <v>43587</v>
      </c>
      <c r="E153" s="24">
        <v>43555</v>
      </c>
      <c r="F153" s="34"/>
      <c r="G153" s="5"/>
      <c r="H153" s="29"/>
      <c r="I153" s="5"/>
      <c r="J153" s="5"/>
      <c r="K153" s="6"/>
      <c r="L153" s="5"/>
      <c r="M153" s="5"/>
      <c r="N153" s="5"/>
      <c r="O153" s="43"/>
    </row>
    <row r="154" spans="1:15" x14ac:dyDescent="0.25">
      <c r="A154" s="2"/>
      <c r="B154" s="2"/>
      <c r="C154" s="2"/>
      <c r="D154" s="24">
        <v>43587</v>
      </c>
      <c r="E154" s="24">
        <v>43555</v>
      </c>
      <c r="F154" s="34"/>
      <c r="G154" s="5"/>
      <c r="H154" s="29"/>
      <c r="I154" s="5"/>
      <c r="J154" s="5"/>
      <c r="K154" s="6"/>
      <c r="L154" s="5"/>
      <c r="M154" s="5"/>
      <c r="N154" s="5"/>
      <c r="O154" s="43"/>
    </row>
    <row r="155" spans="1:15" x14ac:dyDescent="0.25">
      <c r="A155" s="2"/>
      <c r="B155" s="2"/>
      <c r="C155" s="2"/>
      <c r="D155" s="24">
        <v>43587</v>
      </c>
      <c r="E155" s="24">
        <v>43555</v>
      </c>
      <c r="F155" s="34"/>
      <c r="G155" s="5"/>
      <c r="H155" s="29"/>
      <c r="I155" s="5"/>
      <c r="J155" s="5"/>
      <c r="K155" s="6"/>
      <c r="L155" s="5"/>
      <c r="M155" s="5"/>
      <c r="N155" s="5"/>
      <c r="O155" s="43"/>
    </row>
    <row r="156" spans="1:15" x14ac:dyDescent="0.25">
      <c r="A156" s="2"/>
      <c r="B156" s="2"/>
      <c r="C156" s="2"/>
      <c r="D156" s="24">
        <v>43587</v>
      </c>
      <c r="E156" s="24">
        <v>43555</v>
      </c>
      <c r="F156" s="34"/>
      <c r="G156" s="5"/>
      <c r="H156" s="29"/>
      <c r="I156" s="5"/>
      <c r="J156" s="5"/>
      <c r="K156" s="6"/>
      <c r="L156" s="5"/>
      <c r="M156" s="5"/>
      <c r="N156" s="5"/>
      <c r="O156" s="43"/>
    </row>
    <row r="157" spans="1:15" x14ac:dyDescent="0.25">
      <c r="A157" s="2"/>
      <c r="B157" s="2"/>
      <c r="C157" s="2"/>
      <c r="D157" s="24">
        <v>43587</v>
      </c>
      <c r="E157" s="24">
        <v>43555</v>
      </c>
      <c r="F157" s="34"/>
      <c r="G157" s="5"/>
      <c r="H157" s="29"/>
      <c r="I157" s="5"/>
      <c r="J157" s="5"/>
      <c r="K157" s="6"/>
      <c r="L157" s="5"/>
      <c r="M157" s="5"/>
      <c r="N157" s="5"/>
      <c r="O157" s="43"/>
    </row>
    <row r="158" spans="1:15" s="2" customFormat="1" x14ac:dyDescent="0.25"/>
    <row r="159" spans="1:15" s="2" customFormat="1" x14ac:dyDescent="0.25"/>
    <row r="160" spans="1:15" s="2" customFormat="1" x14ac:dyDescent="0.25"/>
    <row r="161" spans="1:9" s="2" customFormat="1" ht="15.75" thickBot="1" x14ac:dyDescent="0.3"/>
    <row r="162" spans="1:9" s="2" customFormat="1" ht="22.9" customHeight="1" thickTop="1" x14ac:dyDescent="0.25">
      <c r="A162" s="4" t="s">
        <v>0</v>
      </c>
      <c r="B162" s="4" t="s">
        <v>1</v>
      </c>
      <c r="C162" s="4" t="s">
        <v>2</v>
      </c>
      <c r="D162" s="22"/>
      <c r="E162" s="22"/>
      <c r="F162" s="22"/>
      <c r="G162" s="22"/>
      <c r="H162" s="22"/>
      <c r="I162" s="22"/>
    </row>
    <row r="163" spans="1:9" s="2" customFormat="1" x14ac:dyDescent="0.25">
      <c r="A163" s="36">
        <v>84</v>
      </c>
      <c r="B163" s="2" t="s">
        <v>12</v>
      </c>
      <c r="C163" s="2" t="s">
        <v>20</v>
      </c>
      <c r="D163" s="3"/>
      <c r="E163" s="3"/>
      <c r="F163" s="3"/>
    </row>
    <row r="164" spans="1:9" s="7" customFormat="1" ht="45.6" customHeight="1" x14ac:dyDescent="0.25">
      <c r="B164" s="23" t="s">
        <v>29</v>
      </c>
      <c r="C164" s="8"/>
      <c r="D164" s="23" t="s">
        <v>3</v>
      </c>
      <c r="E164" s="23" t="s">
        <v>40</v>
      </c>
      <c r="F164" s="23" t="s">
        <v>41</v>
      </c>
      <c r="G164" s="23" t="s">
        <v>29</v>
      </c>
    </row>
    <row r="165" spans="1:9" x14ac:dyDescent="0.25">
      <c r="A165" s="2"/>
      <c r="B165" s="39"/>
      <c r="C165" s="2"/>
      <c r="D165" s="24">
        <v>43587</v>
      </c>
      <c r="E165" s="24">
        <v>43555</v>
      </c>
      <c r="F165" s="34"/>
      <c r="G165" s="5"/>
    </row>
    <row r="166" spans="1:9" x14ac:dyDescent="0.25">
      <c r="A166" s="2"/>
      <c r="B166" s="2"/>
      <c r="C166" s="2"/>
      <c r="D166" s="2"/>
      <c r="E166" s="2"/>
    </row>
    <row r="167" spans="1:9" x14ac:dyDescent="0.25">
      <c r="A167" s="2"/>
      <c r="B167" s="2"/>
      <c r="C167" s="2"/>
      <c r="D167" s="2"/>
      <c r="E167" s="2"/>
    </row>
    <row r="168" spans="1:9" x14ac:dyDescent="0.25">
      <c r="A168" s="2"/>
      <c r="B168" s="2"/>
      <c r="C168" s="2"/>
      <c r="D168" s="2"/>
      <c r="E168" s="2"/>
    </row>
    <row r="169" spans="1:9" x14ac:dyDescent="0.25">
      <c r="A169" s="2"/>
      <c r="B169" s="2"/>
      <c r="C169" s="2"/>
      <c r="D169" s="2"/>
      <c r="E169" s="2"/>
    </row>
    <row r="170" spans="1:9" x14ac:dyDescent="0.25">
      <c r="A170" s="2"/>
      <c r="B170" s="2"/>
      <c r="C170" s="2"/>
      <c r="D170" s="2"/>
      <c r="E170" s="2"/>
    </row>
  </sheetData>
  <sheetProtection algorithmName="SHA-512" hashValue="qCPUPZLKqy1MohwI0pZKrZLYPtzQikrT6WDoy/9H6ibyoMRNLpFR22MvPPzFmmKpgTsHKw739FHoUXMTxtYR4Q==" saltValue="ONBSquV0Cgppt/F0hzNb5w==" spinCount="100000" sheet="1" objects="1" scenarios="1"/>
  <mergeCells count="2">
    <mergeCell ref="A1:I2"/>
    <mergeCell ref="D70:J70"/>
  </mergeCells>
  <dataValidations count="7">
    <dataValidation allowBlank="1" showInputMessage="1" showErrorMessage="1" promptTitle="Validación" prompt="Diligenciar según estructura del formato CAS-R030 Form_Indic-Calidad.xlsx de la ruta  \\192.168.10.14\hseq2\1 ACT\10 REPRESENT_GER\ACTAS_REV_GER\2018\Ind procesos Ingresando valor de &quot;Hallazgo&quot; y sus respectivos &quot;Procesos&quot; en Pestaña GR09" sqref="F71:K71"/>
    <dataValidation type="list" allowBlank="1" showInputMessage="1" showErrorMessage="1" sqref="L15:L32">
      <formula1>ESTADO_Table</formula1>
    </dataValidation>
    <dataValidation type="list" allowBlank="1" showInputMessage="1" showErrorMessage="1" sqref="K128:K142 K146:K157">
      <formula1>SIGNIFICANCIA_Table</formula1>
    </dataValidation>
    <dataValidation type="list" allowBlank="1" showInputMessage="1" showErrorMessage="1" sqref="M128:M142 M146:M157">
      <formula1>ESTADO_Ger010_table</formula1>
    </dataValidation>
    <dataValidation type="list" allowBlank="1" showInputMessage="1" showErrorMessage="1" sqref="K15:K46">
      <formula1>PROCESO_JUDICIAL_Table</formula1>
    </dataValidation>
    <dataValidation type="list" allowBlank="1" showInputMessage="1" showErrorMessage="1" sqref="J128:J142 J146:J157">
      <formula1>TIPO_ACCION_Table</formula1>
    </dataValidation>
    <dataValidation type="list" allowBlank="1" showInputMessage="1" showErrorMessage="1" sqref="L128:L142 L146:L157">
      <formula1>TIPO_GER010_Table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4"/>
  <sheetViews>
    <sheetView workbookViewId="0"/>
  </sheetViews>
  <sheetFormatPr baseColWidth="10" defaultColWidth="11.5703125" defaultRowHeight="15" x14ac:dyDescent="0.25"/>
  <cols>
    <col min="1" max="1" width="3" style="16" bestFit="1" customWidth="1"/>
    <col min="2" max="2" width="7.7109375" style="16" bestFit="1" customWidth="1"/>
    <col min="3" max="3" width="20.28515625" style="16" bestFit="1" customWidth="1"/>
    <col min="4" max="4" width="24.5703125" style="16" bestFit="1" customWidth="1"/>
    <col min="5" max="16384" width="11.5703125" style="11"/>
  </cols>
  <sheetData>
    <row r="1" spans="1:4" x14ac:dyDescent="0.25">
      <c r="A1" s="19" t="s">
        <v>0</v>
      </c>
      <c r="B1" s="19" t="s">
        <v>1</v>
      </c>
      <c r="C1" s="19" t="s">
        <v>38</v>
      </c>
      <c r="D1" s="19" t="s">
        <v>2</v>
      </c>
    </row>
    <row r="2" spans="1:4" x14ac:dyDescent="0.25">
      <c r="A2" s="20">
        <v>79</v>
      </c>
      <c r="B2" s="20" t="s">
        <v>46</v>
      </c>
      <c r="C2" s="20" t="s">
        <v>39</v>
      </c>
      <c r="D2" s="21" t="s">
        <v>47</v>
      </c>
    </row>
    <row r="3" spans="1:4" x14ac:dyDescent="0.25">
      <c r="A3" s="20">
        <v>80</v>
      </c>
      <c r="B3" s="20" t="s">
        <v>48</v>
      </c>
      <c r="C3" s="20" t="s">
        <v>39</v>
      </c>
      <c r="D3" s="21" t="s">
        <v>49</v>
      </c>
    </row>
    <row r="4" spans="1:4" x14ac:dyDescent="0.25">
      <c r="A4" s="20">
        <v>81</v>
      </c>
      <c r="B4" s="20" t="s">
        <v>50</v>
      </c>
      <c r="C4" s="20" t="s">
        <v>39</v>
      </c>
      <c r="D4" s="21" t="s">
        <v>51</v>
      </c>
    </row>
  </sheetData>
  <sheetProtection algorithmName="SHA-512" hashValue="Zy76A+1mXnptpPCNjvOHwRwZww4OE1YhcReKz5elKo7rV+1UrqU/vXL23WqufgQd1DiEgUTQ9i9WfkPwHKeegQ==" saltValue="LbZxJIoRcQIxocBwkjg9u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8</vt:i4>
      </vt:variant>
    </vt:vector>
  </HeadingPairs>
  <TitlesOfParts>
    <vt:vector size="12" baseType="lpstr">
      <vt:lpstr>AdminList</vt:lpstr>
      <vt:lpstr>Menu</vt:lpstr>
      <vt:lpstr>G. GENERAL</vt:lpstr>
      <vt:lpstr>G. GENERAL FALTANTES</vt:lpstr>
      <vt:lpstr>ESTADO_Ger010_table</vt:lpstr>
      <vt:lpstr>ESTADO_Table</vt:lpstr>
      <vt:lpstr>PROCESO_JUDICIAL_Table</vt:lpstr>
      <vt:lpstr>PROCESO_table</vt:lpstr>
      <vt:lpstr>SelectProcess</vt:lpstr>
      <vt:lpstr>SIGNIFICANCIA_Table</vt:lpstr>
      <vt:lpstr>TIPO_ACCION_Table</vt:lpstr>
      <vt:lpstr>TIPO_GER010_Table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</dc:creator>
  <cp:lastModifiedBy>PROYECTO</cp:lastModifiedBy>
  <dcterms:created xsi:type="dcterms:W3CDTF">2019-02-13T14:56:54Z</dcterms:created>
  <dcterms:modified xsi:type="dcterms:W3CDTF">2019-08-13T16:12:11Z</dcterms:modified>
</cp:coreProperties>
</file>