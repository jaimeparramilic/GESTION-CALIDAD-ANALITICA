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YECTO\Escritorio\ANALÍTICA\PROYECTO 10. Replanificación\PROYECCIÓN\ASEGURADO Y OTROSÍ\"/>
    </mc:Choice>
  </mc:AlternateContent>
  <bookViews>
    <workbookView xWindow="0" yWindow="0" windowWidth="20490" windowHeight="7455" tabRatio="938" activeTab="3"/>
  </bookViews>
  <sheets>
    <sheet name="PROYECTO" sheetId="1" r:id="rId1"/>
    <sheet name="PERSONAS" sheetId="2" r:id="rId2"/>
    <sheet name="HONORARIOS" sheetId="3" r:id="rId3"/>
    <sheet name="SIMULACION" sheetId="4" r:id="rId4"/>
    <sheet name="DATOS_SIMULACION" sheetId="5" r:id="rId5"/>
    <sheet name="TABLA DINÁMICA" sheetId="6" r:id="rId6"/>
    <sheet name="COMPARACION" sheetId="7" r:id="rId7"/>
    <sheet name="TD OTROSÍES" sheetId="8" r:id="rId8"/>
    <sheet name="OTROSÍES" sheetId="9" r:id="rId9"/>
  </sheets>
  <externalReferences>
    <externalReference r:id="rId10"/>
  </externalReferences>
  <definedNames>
    <definedName name="_xlnm._FilterDatabase" localSheetId="6" hidden="1">COMPARACION!$A$1:$E$7133</definedName>
    <definedName name="_xlnm._FilterDatabase" localSheetId="4" hidden="1">DATOS_SIMULACION!$A$1:$D$3606</definedName>
    <definedName name="_xlnm._FilterDatabase" localSheetId="2" hidden="1">HONORARIOS!$B$1:$P$151</definedName>
    <definedName name="_xlnm._FilterDatabase" localSheetId="8" hidden="1">OTROSÍES!$A$1:$D$25</definedName>
    <definedName name="_xlnm._FilterDatabase" localSheetId="1" hidden="1">PERSONAS!$B$1:$Q$472</definedName>
    <definedName name="_xlnm._FilterDatabase" localSheetId="0" hidden="1">PROYECTO!$A$1:$H$59</definedName>
    <definedName name="_xlnm._FilterDatabase" localSheetId="3" hidden="1">SIMULACION!$A$1:$F$621</definedName>
  </definedNames>
  <calcPr calcId="152511"/>
  <pivotCaches>
    <pivotCache cacheId="74" r:id="rId11"/>
    <pivotCache cacheId="92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9" i="1" l="1" a="1"/>
  <c r="C59" i="1" s="1"/>
  <c r="C58" i="1" a="1"/>
  <c r="C58" i="1" s="1"/>
  <c r="C57" i="1" a="1"/>
  <c r="C57" i="1" s="1"/>
  <c r="C56" i="1" a="1"/>
  <c r="C56" i="1" s="1"/>
  <c r="C55" i="1" a="1"/>
  <c r="C55" i="1" s="1"/>
  <c r="C54" i="1" a="1"/>
  <c r="C54" i="1" s="1"/>
  <c r="C53" i="1" a="1"/>
  <c r="C53" i="1" s="1"/>
  <c r="C52" i="1" a="1"/>
  <c r="C52" i="1" s="1"/>
  <c r="C51" i="1" a="1"/>
  <c r="C51" i="1" s="1"/>
  <c r="C50" i="1" a="1"/>
  <c r="C50" i="1" s="1"/>
  <c r="C49" i="1" a="1"/>
  <c r="C49" i="1" s="1"/>
  <c r="C48" i="1" a="1"/>
  <c r="C48" i="1" s="1"/>
  <c r="C47" i="1" a="1"/>
  <c r="C47" i="1" s="1"/>
  <c r="C46" i="1" a="1"/>
  <c r="C46" i="1" s="1"/>
  <c r="C45" i="1" a="1"/>
  <c r="C45" i="1" s="1"/>
  <c r="C44" i="1" a="1"/>
  <c r="C44" i="1" s="1"/>
  <c r="C43" i="1" a="1"/>
  <c r="C43" i="1" s="1"/>
  <c r="C42" i="1" a="1"/>
  <c r="C42" i="1" s="1"/>
  <c r="C41" i="1" a="1"/>
  <c r="C41" i="1" s="1"/>
  <c r="C40" i="1" a="1"/>
  <c r="C40" i="1" s="1"/>
  <c r="C39" i="1" a="1"/>
  <c r="C39" i="1" s="1"/>
  <c r="C38" i="1" a="1"/>
  <c r="C38" i="1" s="1"/>
  <c r="C37" i="1" a="1"/>
  <c r="C37" i="1" s="1"/>
  <c r="C36" i="1" a="1"/>
  <c r="C36" i="1" s="1"/>
  <c r="C35" i="1" a="1"/>
  <c r="C35" i="1" s="1"/>
  <c r="C34" i="1" a="1"/>
  <c r="C34" i="1" s="1"/>
  <c r="C33" i="1" a="1"/>
  <c r="C33" i="1" s="1"/>
  <c r="C32" i="1" a="1"/>
  <c r="C32" i="1" s="1"/>
  <c r="C31" i="1" a="1"/>
  <c r="C31" i="1" s="1"/>
  <c r="C30" i="1" a="1"/>
  <c r="C30" i="1" s="1"/>
  <c r="C29" i="1" a="1"/>
  <c r="C29" i="1" s="1"/>
  <c r="C28" i="1" a="1"/>
  <c r="C28" i="1" s="1"/>
  <c r="C27" i="1" a="1"/>
  <c r="C27" i="1" s="1"/>
  <c r="C26" i="1" a="1"/>
  <c r="C26" i="1" s="1"/>
  <c r="C25" i="1" a="1"/>
  <c r="C25" i="1" s="1"/>
  <c r="C24" i="1" a="1"/>
  <c r="C24" i="1" s="1"/>
  <c r="C23" i="1" a="1"/>
  <c r="C23" i="1" s="1"/>
  <c r="C22" i="1" a="1"/>
  <c r="C22" i="1" s="1"/>
  <c r="C21" i="1" a="1"/>
  <c r="C21" i="1" s="1"/>
  <c r="C20" i="1" a="1"/>
  <c r="C20" i="1" s="1"/>
  <c r="C19" i="1" a="1"/>
  <c r="C19" i="1" s="1"/>
  <c r="C18" i="1" a="1"/>
  <c r="C18" i="1" s="1"/>
  <c r="C17" i="1" a="1"/>
  <c r="C17" i="1" s="1"/>
  <c r="C16" i="1" a="1"/>
  <c r="C16" i="1" s="1"/>
  <c r="C15" i="1" a="1"/>
  <c r="C15" i="1" s="1"/>
  <c r="C14" i="1" a="1"/>
  <c r="C14" i="1" s="1"/>
  <c r="C13" i="1" a="1"/>
  <c r="C13" i="1" s="1"/>
  <c r="C12" i="1" a="1"/>
  <c r="C12" i="1" s="1"/>
  <c r="C11" i="1" a="1"/>
  <c r="C11" i="1" s="1"/>
  <c r="C10" i="1" a="1"/>
  <c r="C10" i="1" s="1"/>
  <c r="C9" i="1" a="1"/>
  <c r="C9" i="1" s="1"/>
  <c r="C8" i="1" a="1"/>
  <c r="C8" i="1" s="1"/>
  <c r="C7" i="1" a="1"/>
  <c r="C7" i="1" s="1"/>
  <c r="C6" i="1" a="1"/>
  <c r="C6" i="1" s="1"/>
  <c r="C5" i="1" a="1"/>
  <c r="C5" i="1" s="1"/>
  <c r="C4" i="1" a="1"/>
  <c r="C4" i="1" s="1"/>
  <c r="C3" i="1" a="1"/>
  <c r="C3" i="1" s="1"/>
  <c r="C2" i="1" a="1"/>
  <c r="C2" i="1" s="1"/>
  <c r="Q25" i="4" l="1" a="1"/>
  <c r="Q25" i="4" s="1"/>
  <c r="O189" i="2"/>
  <c r="O229" i="2"/>
  <c r="O325" i="2"/>
  <c r="H7" i="1"/>
  <c r="O11" i="2" s="1"/>
  <c r="H17" i="1"/>
  <c r="O339" i="2" s="1"/>
  <c r="H16" i="1"/>
  <c r="O299" i="2" s="1"/>
  <c r="H15" i="1"/>
  <c r="O387" i="2" s="1"/>
  <c r="H14" i="1"/>
  <c r="O51" i="2" s="1"/>
  <c r="H13" i="1"/>
  <c r="O43" i="2" s="1"/>
  <c r="H12" i="1"/>
  <c r="O38" i="2" s="1"/>
  <c r="H11" i="1"/>
  <c r="O35" i="2" s="1"/>
  <c r="H10" i="1"/>
  <c r="O235" i="2" s="1"/>
  <c r="H9" i="1"/>
  <c r="O27" i="2" s="1"/>
  <c r="H8" i="1"/>
  <c r="O19" i="2" s="1"/>
  <c r="H6" i="1"/>
  <c r="O9" i="2" s="1"/>
  <c r="H5" i="1"/>
  <c r="O211" i="2" s="1"/>
  <c r="H4" i="1"/>
  <c r="H3" i="1"/>
  <c r="O206" i="2" s="1"/>
  <c r="O322" i="2" l="1"/>
  <c r="O226" i="2"/>
  <c r="O58" i="2"/>
  <c r="O386" i="2"/>
  <c r="O317" i="2"/>
  <c r="O221" i="2"/>
  <c r="O53" i="2"/>
  <c r="O346" i="2"/>
  <c r="O314" i="2"/>
  <c r="O218" i="2"/>
  <c r="O50" i="2"/>
  <c r="O341" i="2"/>
  <c r="O309" i="2"/>
  <c r="O213" i="2"/>
  <c r="O42" i="2"/>
  <c r="O338" i="2"/>
  <c r="O306" i="2"/>
  <c r="O210" i="2"/>
  <c r="O34" i="2"/>
  <c r="O333" i="2"/>
  <c r="O301" i="2"/>
  <c r="O197" i="2"/>
  <c r="O18" i="2"/>
  <c r="O330" i="2"/>
  <c r="O298" i="2"/>
  <c r="O194" i="2"/>
  <c r="O234" i="2"/>
  <c r="O394" i="2"/>
  <c r="O274" i="2"/>
  <c r="O242" i="2"/>
  <c r="O2" i="2"/>
  <c r="O401" i="2"/>
  <c r="O393" i="2"/>
  <c r="O385" i="2"/>
  <c r="O345" i="2"/>
  <c r="O337" i="2"/>
  <c r="O329" i="2"/>
  <c r="O321" i="2"/>
  <c r="O313" i="2"/>
  <c r="O305" i="2"/>
  <c r="O297" i="2"/>
  <c r="O289" i="2"/>
  <c r="O281" i="2"/>
  <c r="O273" i="2"/>
  <c r="O265" i="2"/>
  <c r="O257" i="2"/>
  <c r="O249" i="2"/>
  <c r="O241" i="2"/>
  <c r="O233" i="2"/>
  <c r="O225" i="2"/>
  <c r="O217" i="2"/>
  <c r="O209" i="2"/>
  <c r="O193" i="2"/>
  <c r="O57" i="2"/>
  <c r="O49" i="2"/>
  <c r="O41" i="2"/>
  <c r="O33" i="2"/>
  <c r="O25" i="2"/>
  <c r="O17" i="2"/>
  <c r="O7" i="2"/>
  <c r="O389" i="2"/>
  <c r="O402" i="2"/>
  <c r="O290" i="2"/>
  <c r="O266" i="2"/>
  <c r="O26" i="2"/>
  <c r="O8" i="2"/>
  <c r="O400" i="2"/>
  <c r="O392" i="2"/>
  <c r="O384" i="2"/>
  <c r="O344" i="2"/>
  <c r="O336" i="2"/>
  <c r="O328" i="2"/>
  <c r="O320" i="2"/>
  <c r="O312" i="2"/>
  <c r="O304" i="2"/>
  <c r="O296" i="2"/>
  <c r="O288" i="2"/>
  <c r="O280" i="2"/>
  <c r="O272" i="2"/>
  <c r="O264" i="2"/>
  <c r="O256" i="2"/>
  <c r="O248" i="2"/>
  <c r="O240" i="2"/>
  <c r="O232" i="2"/>
  <c r="O224" i="2"/>
  <c r="O216" i="2"/>
  <c r="O208" i="2"/>
  <c r="O200" i="2"/>
  <c r="O192" i="2"/>
  <c r="O56" i="2"/>
  <c r="O48" i="2"/>
  <c r="O40" i="2"/>
  <c r="O32" i="2"/>
  <c r="O24" i="2"/>
  <c r="O16" i="2"/>
  <c r="O6" i="2"/>
  <c r="O397" i="2"/>
  <c r="O250" i="2"/>
  <c r="O399" i="2"/>
  <c r="O391" i="2"/>
  <c r="O383" i="2"/>
  <c r="O343" i="2"/>
  <c r="O335" i="2"/>
  <c r="O327" i="2"/>
  <c r="O319" i="2"/>
  <c r="O311" i="2"/>
  <c r="O303" i="2"/>
  <c r="O295" i="2"/>
  <c r="O287" i="2"/>
  <c r="O279" i="2"/>
  <c r="O271" i="2"/>
  <c r="O263" i="2"/>
  <c r="O255" i="2"/>
  <c r="O247" i="2"/>
  <c r="O239" i="2"/>
  <c r="O231" i="2"/>
  <c r="O223" i="2"/>
  <c r="O215" i="2"/>
  <c r="O207" i="2"/>
  <c r="O199" i="2"/>
  <c r="O191" i="2"/>
  <c r="O55" i="2"/>
  <c r="O47" i="2"/>
  <c r="O39" i="2"/>
  <c r="O31" i="2"/>
  <c r="O23" i="2"/>
  <c r="O15" i="2"/>
  <c r="O5" i="2"/>
  <c r="O282" i="2"/>
  <c r="O258" i="2"/>
  <c r="O406" i="2"/>
  <c r="O398" i="2"/>
  <c r="O390" i="2"/>
  <c r="O382" i="2"/>
  <c r="O342" i="2"/>
  <c r="O334" i="2"/>
  <c r="O326" i="2"/>
  <c r="O318" i="2"/>
  <c r="O310" i="2"/>
  <c r="O302" i="2"/>
  <c r="O294" i="2"/>
  <c r="O286" i="2"/>
  <c r="O278" i="2"/>
  <c r="O270" i="2"/>
  <c r="O262" i="2"/>
  <c r="O254" i="2"/>
  <c r="O246" i="2"/>
  <c r="O238" i="2"/>
  <c r="O230" i="2"/>
  <c r="O222" i="2"/>
  <c r="O214" i="2"/>
  <c r="O198" i="2"/>
  <c r="O190" i="2"/>
  <c r="O54" i="2"/>
  <c r="O46" i="2"/>
  <c r="O30" i="2"/>
  <c r="O22" i="2"/>
  <c r="O14" i="2"/>
  <c r="O4" i="2"/>
  <c r="O37" i="2"/>
  <c r="O29" i="2"/>
  <c r="O21" i="2"/>
  <c r="O13" i="2"/>
  <c r="O3" i="2"/>
  <c r="O405" i="2"/>
  <c r="O293" i="2"/>
  <c r="O277" i="2"/>
  <c r="O261" i="2"/>
  <c r="O245" i="2"/>
  <c r="O45" i="2"/>
  <c r="O404" i="2"/>
  <c r="O396" i="2"/>
  <c r="O388" i="2"/>
  <c r="O348" i="2"/>
  <c r="O340" i="2"/>
  <c r="O332" i="2"/>
  <c r="O324" i="2"/>
  <c r="O316" i="2"/>
  <c r="O308" i="2"/>
  <c r="O300" i="2"/>
  <c r="O292" i="2"/>
  <c r="O284" i="2"/>
  <c r="O276" i="2"/>
  <c r="O268" i="2"/>
  <c r="O260" i="2"/>
  <c r="O252" i="2"/>
  <c r="O244" i="2"/>
  <c r="O236" i="2"/>
  <c r="O228" i="2"/>
  <c r="O220" i="2"/>
  <c r="O212" i="2"/>
  <c r="O196" i="2"/>
  <c r="O188" i="2"/>
  <c r="O52" i="2"/>
  <c r="O44" i="2"/>
  <c r="O36" i="2"/>
  <c r="O28" i="2"/>
  <c r="O20" i="2"/>
  <c r="O12" i="2"/>
  <c r="O10" i="2"/>
  <c r="O285" i="2"/>
  <c r="O269" i="2"/>
  <c r="O253" i="2"/>
  <c r="O237" i="2"/>
  <c r="O403" i="2"/>
  <c r="O395" i="2"/>
  <c r="O347" i="2"/>
  <c r="O331" i="2"/>
  <c r="O323" i="2"/>
  <c r="O315" i="2"/>
  <c r="O307" i="2"/>
  <c r="O291" i="2"/>
  <c r="O283" i="2"/>
  <c r="O275" i="2"/>
  <c r="O267" i="2"/>
  <c r="O259" i="2"/>
  <c r="O251" i="2"/>
  <c r="O243" i="2"/>
  <c r="O227" i="2"/>
  <c r="O219" i="2"/>
  <c r="O195" i="2"/>
  <c r="M6" i="3" l="1"/>
  <c r="R20" i="4" l="1"/>
  <c r="F15" i="1" l="1"/>
  <c r="L2" i="3" l="1"/>
  <c r="M472" i="2" l="1"/>
  <c r="N472" i="2" s="1"/>
  <c r="L46" i="3" l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2" i="1"/>
  <c r="G3" i="1"/>
  <c r="G4" i="1"/>
  <c r="G5" i="1"/>
  <c r="G6" i="1"/>
  <c r="G7" i="1"/>
  <c r="N7" i="1" s="1"/>
  <c r="G8" i="1"/>
  <c r="G9" i="1"/>
  <c r="N9" i="1" s="1"/>
  <c r="G10" i="1"/>
  <c r="G11" i="1"/>
  <c r="G12" i="1"/>
  <c r="N12" i="1" s="1"/>
  <c r="G13" i="1"/>
  <c r="G14" i="1"/>
  <c r="N14" i="1" s="1"/>
  <c r="G15" i="1"/>
  <c r="N15" i="1" s="1"/>
  <c r="G16" i="1"/>
  <c r="G17" i="1"/>
  <c r="G18" i="1"/>
  <c r="G19" i="1"/>
  <c r="N19" i="1" s="1"/>
  <c r="G20" i="1"/>
  <c r="G21" i="1"/>
  <c r="N21" i="1" s="1"/>
  <c r="G22" i="1"/>
  <c r="G23" i="1"/>
  <c r="G24" i="1"/>
  <c r="G25" i="1"/>
  <c r="G26" i="1"/>
  <c r="G27" i="1"/>
  <c r="N27" i="1" s="1"/>
  <c r="G28" i="1"/>
  <c r="G29" i="1"/>
  <c r="N29" i="1" s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2" i="1"/>
  <c r="O451" i="2" l="1"/>
  <c r="O453" i="2"/>
  <c r="O452" i="2"/>
  <c r="O454" i="2"/>
  <c r="O455" i="2"/>
  <c r="O450" i="2"/>
  <c r="O456" i="2"/>
  <c r="O449" i="2"/>
  <c r="O457" i="2"/>
  <c r="O458" i="2"/>
  <c r="O119" i="2"/>
  <c r="O120" i="2"/>
  <c r="O121" i="2"/>
  <c r="O122" i="2"/>
  <c r="O363" i="2"/>
  <c r="O365" i="2"/>
  <c r="O364" i="2"/>
  <c r="O459" i="2"/>
  <c r="O467" i="2"/>
  <c r="O460" i="2"/>
  <c r="O468" i="2"/>
  <c r="O462" i="2"/>
  <c r="O470" i="2"/>
  <c r="O463" i="2"/>
  <c r="O461" i="2"/>
  <c r="O471" i="2"/>
  <c r="O464" i="2"/>
  <c r="O472" i="2"/>
  <c r="O465" i="2"/>
  <c r="O469" i="2"/>
  <c r="O466" i="2"/>
  <c r="O371" i="2"/>
  <c r="O372" i="2"/>
  <c r="O374" i="2"/>
  <c r="O373" i="2"/>
  <c r="O375" i="2"/>
  <c r="O163" i="2"/>
  <c r="O171" i="2"/>
  <c r="O165" i="2"/>
  <c r="O164" i="2"/>
  <c r="O166" i="2"/>
  <c r="O167" i="2"/>
  <c r="O170" i="2"/>
  <c r="O160" i="2"/>
  <c r="O168" i="2"/>
  <c r="O161" i="2"/>
  <c r="O169" i="2"/>
  <c r="O162" i="2"/>
  <c r="O115" i="2"/>
  <c r="O117" i="2"/>
  <c r="O116" i="2"/>
  <c r="O172" i="2"/>
  <c r="O173" i="2"/>
  <c r="O118" i="2"/>
  <c r="O174" i="2"/>
  <c r="O175" i="2"/>
  <c r="O176" i="2"/>
  <c r="O114" i="2"/>
  <c r="O113" i="2"/>
  <c r="O67" i="2"/>
  <c r="O68" i="2"/>
  <c r="O64" i="2"/>
  <c r="O65" i="2"/>
  <c r="O66" i="2"/>
  <c r="O155" i="2"/>
  <c r="O156" i="2"/>
  <c r="O157" i="2"/>
  <c r="O158" i="2"/>
  <c r="O159" i="2"/>
  <c r="O355" i="2"/>
  <c r="O356" i="2"/>
  <c r="O358" i="2"/>
  <c r="O359" i="2"/>
  <c r="O360" i="2"/>
  <c r="O361" i="2"/>
  <c r="O362" i="2"/>
  <c r="O357" i="2"/>
  <c r="O147" i="2"/>
  <c r="O149" i="2"/>
  <c r="O148" i="2"/>
  <c r="O150" i="2"/>
  <c r="O75" i="2"/>
  <c r="O179" i="2"/>
  <c r="O76" i="2"/>
  <c r="O180" i="2"/>
  <c r="O77" i="2"/>
  <c r="O78" i="2"/>
  <c r="O79" i="2"/>
  <c r="O80" i="2"/>
  <c r="O74" i="2"/>
  <c r="O178" i="2"/>
  <c r="O81" i="2"/>
  <c r="O61" i="2"/>
  <c r="O62" i="2"/>
  <c r="O63" i="2"/>
  <c r="O407" i="2"/>
  <c r="O410" i="2"/>
  <c r="O408" i="2"/>
  <c r="O409" i="2"/>
  <c r="O99" i="2"/>
  <c r="O107" i="2"/>
  <c r="O93" i="2"/>
  <c r="O100" i="2"/>
  <c r="O108" i="2"/>
  <c r="O101" i="2"/>
  <c r="O109" i="2"/>
  <c r="O94" i="2"/>
  <c r="O102" i="2"/>
  <c r="O110" i="2"/>
  <c r="O366" i="2"/>
  <c r="O95" i="2"/>
  <c r="O103" i="2"/>
  <c r="O111" i="2"/>
  <c r="O367" i="2"/>
  <c r="O106" i="2"/>
  <c r="O370" i="2"/>
  <c r="O96" i="2"/>
  <c r="O104" i="2"/>
  <c r="O112" i="2"/>
  <c r="O368" i="2"/>
  <c r="O98" i="2"/>
  <c r="O97" i="2"/>
  <c r="O105" i="2"/>
  <c r="O369" i="2"/>
  <c r="O443" i="2"/>
  <c r="O444" i="2"/>
  <c r="O438" i="2"/>
  <c r="O446" i="2"/>
  <c r="O442" i="2"/>
  <c r="O439" i="2"/>
  <c r="O447" i="2"/>
  <c r="O445" i="2"/>
  <c r="O440" i="2"/>
  <c r="O448" i="2"/>
  <c r="O441" i="2"/>
  <c r="O379" i="2"/>
  <c r="O380" i="2"/>
  <c r="O376" i="2"/>
  <c r="O377" i="2"/>
  <c r="O381" i="2"/>
  <c r="O378" i="2"/>
  <c r="O143" i="2"/>
  <c r="O144" i="2"/>
  <c r="O146" i="2"/>
  <c r="O145" i="2"/>
  <c r="M2" i="1"/>
  <c r="O419" i="2"/>
  <c r="O427" i="2"/>
  <c r="O435" i="2"/>
  <c r="O421" i="2"/>
  <c r="O420" i="2"/>
  <c r="O428" i="2"/>
  <c r="O436" i="2"/>
  <c r="O437" i="2"/>
  <c r="O422" i="2"/>
  <c r="O430" i="2"/>
  <c r="O418" i="2"/>
  <c r="O423" i="2"/>
  <c r="O431" i="2"/>
  <c r="O416" i="2"/>
  <c r="O424" i="2"/>
  <c r="O432" i="2"/>
  <c r="O434" i="2"/>
  <c r="O429" i="2"/>
  <c r="O417" i="2"/>
  <c r="O425" i="2"/>
  <c r="O433" i="2"/>
  <c r="O426" i="2"/>
  <c r="O349" i="2"/>
  <c r="O350" i="2"/>
  <c r="O351" i="2"/>
  <c r="O352" i="2"/>
  <c r="O354" i="2"/>
  <c r="O353" i="2"/>
  <c r="O411" i="2"/>
  <c r="O412" i="2"/>
  <c r="O414" i="2"/>
  <c r="O415" i="2"/>
  <c r="O413" i="2"/>
  <c r="O181" i="2"/>
  <c r="O182" i="2"/>
  <c r="O183" i="2"/>
  <c r="O184" i="2"/>
  <c r="O123" i="2"/>
  <c r="O131" i="2"/>
  <c r="O139" i="2"/>
  <c r="O133" i="2"/>
  <c r="O124" i="2"/>
  <c r="O132" i="2"/>
  <c r="O140" i="2"/>
  <c r="O125" i="2"/>
  <c r="O141" i="2"/>
  <c r="O126" i="2"/>
  <c r="O134" i="2"/>
  <c r="O142" i="2"/>
  <c r="O130" i="2"/>
  <c r="O127" i="2"/>
  <c r="O135" i="2"/>
  <c r="O151" i="2"/>
  <c r="O138" i="2"/>
  <c r="O128" i="2"/>
  <c r="O136" i="2"/>
  <c r="O152" i="2"/>
  <c r="O129" i="2"/>
  <c r="O137" i="2"/>
  <c r="O91" i="2"/>
  <c r="O92" i="2"/>
  <c r="O90" i="2"/>
  <c r="O59" i="2"/>
  <c r="O187" i="2"/>
  <c r="O60" i="2"/>
  <c r="O186" i="2"/>
  <c r="O185" i="2"/>
  <c r="O203" i="2"/>
  <c r="O204" i="2"/>
  <c r="O69" i="2"/>
  <c r="O205" i="2"/>
  <c r="O70" i="2"/>
  <c r="O71" i="2"/>
  <c r="O202" i="2"/>
  <c r="O72" i="2"/>
  <c r="O73" i="2"/>
  <c r="O201" i="2"/>
  <c r="O154" i="2"/>
  <c r="O153" i="2"/>
  <c r="O83" i="2"/>
  <c r="O84" i="2"/>
  <c r="O85" i="2"/>
  <c r="O86" i="2"/>
  <c r="O87" i="2"/>
  <c r="O88" i="2"/>
  <c r="O89" i="2"/>
  <c r="O177" i="2"/>
  <c r="O82" i="2"/>
  <c r="M59" i="1"/>
  <c r="N150" i="3"/>
  <c r="N151" i="3"/>
  <c r="N149" i="3"/>
  <c r="M58" i="1"/>
  <c r="N148" i="3"/>
  <c r="M57" i="1"/>
  <c r="M56" i="1"/>
  <c r="N139" i="3"/>
  <c r="N63" i="3"/>
  <c r="M55" i="1"/>
  <c r="N120" i="3"/>
  <c r="M54" i="1"/>
  <c r="N58" i="3"/>
  <c r="M53" i="1"/>
  <c r="N121" i="3"/>
  <c r="M52" i="1"/>
  <c r="N56" i="3"/>
  <c r="N57" i="3"/>
  <c r="M51" i="1"/>
  <c r="N34" i="3"/>
  <c r="M50" i="1"/>
  <c r="N33" i="3"/>
  <c r="M49" i="1"/>
  <c r="N35" i="3"/>
  <c r="M48" i="1"/>
  <c r="N36" i="3"/>
  <c r="M47" i="1"/>
  <c r="N37" i="3"/>
  <c r="M46" i="1"/>
  <c r="N32" i="3"/>
  <c r="M45" i="1"/>
  <c r="N31" i="3"/>
  <c r="M44" i="1"/>
  <c r="N141" i="3"/>
  <c r="M43" i="1"/>
  <c r="N29" i="3"/>
  <c r="N30" i="3"/>
  <c r="M42" i="1"/>
  <c r="N28" i="3"/>
  <c r="M41" i="1"/>
  <c r="N112" i="3"/>
  <c r="N113" i="3"/>
  <c r="N114" i="3"/>
  <c r="N117" i="3"/>
  <c r="N115" i="3"/>
  <c r="N109" i="3"/>
  <c r="N116" i="3"/>
  <c r="N110" i="3"/>
  <c r="N118" i="3"/>
  <c r="N111" i="3"/>
  <c r="N119" i="3"/>
  <c r="M40" i="1"/>
  <c r="N27" i="3"/>
  <c r="M39" i="1"/>
  <c r="N26" i="3"/>
  <c r="M38" i="1"/>
  <c r="N136" i="3"/>
  <c r="N145" i="3"/>
  <c r="N130" i="3"/>
  <c r="N132" i="3"/>
  <c r="N133" i="3"/>
  <c r="N131" i="3"/>
  <c r="N38" i="3"/>
  <c r="N134" i="3"/>
  <c r="N142" i="3"/>
  <c r="N144" i="3"/>
  <c r="N135" i="3"/>
  <c r="N143" i="3"/>
  <c r="N128" i="3"/>
  <c r="N129" i="3"/>
  <c r="M37" i="1"/>
  <c r="N24" i="3"/>
  <c r="N108" i="3"/>
  <c r="N25" i="3"/>
  <c r="M36" i="1"/>
  <c r="N146" i="3"/>
  <c r="M35" i="1"/>
  <c r="N23" i="3"/>
  <c r="M34" i="1"/>
  <c r="N140" i="3"/>
  <c r="M33" i="1"/>
  <c r="N21" i="3"/>
  <c r="N22" i="3"/>
  <c r="M32" i="1"/>
  <c r="N61" i="3"/>
  <c r="N62" i="3"/>
  <c r="M31" i="1"/>
  <c r="N138" i="3"/>
  <c r="M30" i="1"/>
  <c r="N19" i="3"/>
  <c r="N20" i="3"/>
  <c r="M29" i="1"/>
  <c r="N17" i="3"/>
  <c r="N18" i="3"/>
  <c r="N39" i="3"/>
  <c r="M28" i="1"/>
  <c r="N137" i="3"/>
  <c r="M27" i="1"/>
  <c r="N16" i="3"/>
  <c r="M26" i="1"/>
  <c r="N15" i="3"/>
  <c r="M25" i="1"/>
  <c r="N59" i="3"/>
  <c r="N147" i="3"/>
  <c r="M23" i="1"/>
  <c r="N14" i="3"/>
  <c r="M22" i="1"/>
  <c r="N13" i="3"/>
  <c r="M21" i="1"/>
  <c r="N12" i="3"/>
  <c r="M20" i="1"/>
  <c r="N11" i="3"/>
  <c r="M19" i="1"/>
  <c r="N10" i="3"/>
  <c r="M18" i="1"/>
  <c r="N9" i="3"/>
  <c r="M17" i="1"/>
  <c r="N64" i="3"/>
  <c r="N72" i="3"/>
  <c r="N80" i="3"/>
  <c r="N88" i="3"/>
  <c r="N96" i="3"/>
  <c r="N104" i="3"/>
  <c r="N73" i="3"/>
  <c r="N89" i="3"/>
  <c r="N66" i="3"/>
  <c r="N74" i="3"/>
  <c r="N82" i="3"/>
  <c r="N90" i="3"/>
  <c r="N98" i="3"/>
  <c r="N106" i="3"/>
  <c r="N77" i="3"/>
  <c r="N93" i="3"/>
  <c r="N67" i="3"/>
  <c r="N75" i="3"/>
  <c r="N83" i="3"/>
  <c r="N91" i="3"/>
  <c r="N99" i="3"/>
  <c r="N107" i="3"/>
  <c r="N69" i="3"/>
  <c r="N85" i="3"/>
  <c r="N68" i="3"/>
  <c r="N76" i="3"/>
  <c r="N84" i="3"/>
  <c r="N92" i="3"/>
  <c r="N100" i="3"/>
  <c r="N101" i="3"/>
  <c r="N70" i="3"/>
  <c r="N78" i="3"/>
  <c r="N86" i="3"/>
  <c r="N94" i="3"/>
  <c r="N102" i="3"/>
  <c r="N65" i="3"/>
  <c r="N81" i="3"/>
  <c r="N105" i="3"/>
  <c r="N71" i="3"/>
  <c r="N79" i="3"/>
  <c r="N87" i="3"/>
  <c r="N95" i="3"/>
  <c r="N103" i="3"/>
  <c r="N97" i="3"/>
  <c r="M16" i="1"/>
  <c r="N55" i="3"/>
  <c r="M15" i="1"/>
  <c r="N122" i="3"/>
  <c r="N123" i="3"/>
  <c r="N124" i="3"/>
  <c r="N125" i="3"/>
  <c r="N126" i="3"/>
  <c r="N127" i="3"/>
  <c r="M14" i="1"/>
  <c r="N8" i="3"/>
  <c r="N40" i="3"/>
  <c r="N41" i="3"/>
  <c r="M13" i="1"/>
  <c r="N42" i="3"/>
  <c r="N7" i="3"/>
  <c r="M12" i="1"/>
  <c r="N6" i="3"/>
  <c r="M11" i="1"/>
  <c r="N43" i="3"/>
  <c r="N5" i="3"/>
  <c r="M10" i="1"/>
  <c r="N50" i="3"/>
  <c r="N51" i="3"/>
  <c r="M9" i="1"/>
  <c r="N44" i="3"/>
  <c r="N45" i="3"/>
  <c r="M8" i="1"/>
  <c r="N4" i="3"/>
  <c r="M7" i="1"/>
  <c r="N53" i="3"/>
  <c r="N52" i="3"/>
  <c r="N54" i="3"/>
  <c r="M6" i="1"/>
  <c r="N3" i="3"/>
  <c r="M5" i="1"/>
  <c r="N48" i="3"/>
  <c r="N49" i="3"/>
  <c r="N47" i="3"/>
  <c r="M4" i="1"/>
  <c r="N2" i="3"/>
  <c r="M3" i="1"/>
  <c r="N60" i="3"/>
  <c r="N46" i="3"/>
  <c r="M24" i="1"/>
  <c r="L59" i="1"/>
  <c r="K59" i="1"/>
  <c r="J59" i="1"/>
  <c r="L58" i="1"/>
  <c r="K58" i="1"/>
  <c r="J58" i="1"/>
  <c r="L57" i="1"/>
  <c r="K57" i="1"/>
  <c r="J57" i="1"/>
  <c r="F59" i="1"/>
  <c r="N59" i="1" s="1"/>
  <c r="F58" i="1"/>
  <c r="N58" i="1" s="1"/>
  <c r="F57" i="1"/>
  <c r="N57" i="1" s="1"/>
  <c r="M437" i="2" l="1"/>
  <c r="N437" i="2" s="1"/>
  <c r="M438" i="2"/>
  <c r="N438" i="2" s="1"/>
  <c r="M439" i="2"/>
  <c r="N439" i="2" s="1"/>
  <c r="M440" i="2"/>
  <c r="N440" i="2" s="1"/>
  <c r="M441" i="2"/>
  <c r="N441" i="2" s="1"/>
  <c r="M442" i="2"/>
  <c r="N442" i="2" s="1"/>
  <c r="M443" i="2"/>
  <c r="N443" i="2" s="1"/>
  <c r="M444" i="2"/>
  <c r="N444" i="2" s="1"/>
  <c r="M445" i="2"/>
  <c r="N445" i="2" s="1"/>
  <c r="M446" i="2"/>
  <c r="N446" i="2" s="1"/>
  <c r="M447" i="2"/>
  <c r="N447" i="2" s="1"/>
  <c r="M448" i="2"/>
  <c r="N448" i="2" s="1"/>
  <c r="M449" i="2"/>
  <c r="N449" i="2" s="1"/>
  <c r="M450" i="2"/>
  <c r="N450" i="2" s="1"/>
  <c r="M451" i="2"/>
  <c r="N451" i="2" s="1"/>
  <c r="M452" i="2"/>
  <c r="N452" i="2" s="1"/>
  <c r="M453" i="2"/>
  <c r="N453" i="2" s="1"/>
  <c r="M454" i="2"/>
  <c r="N454" i="2" s="1"/>
  <c r="M455" i="2"/>
  <c r="N455" i="2" s="1"/>
  <c r="M456" i="2"/>
  <c r="N456" i="2" s="1"/>
  <c r="M457" i="2"/>
  <c r="N457" i="2" s="1"/>
  <c r="M458" i="2"/>
  <c r="N458" i="2" s="1"/>
  <c r="M459" i="2"/>
  <c r="N459" i="2" s="1"/>
  <c r="M460" i="2"/>
  <c r="N460" i="2" s="1"/>
  <c r="M461" i="2"/>
  <c r="N461" i="2" s="1"/>
  <c r="M462" i="2"/>
  <c r="N462" i="2" s="1"/>
  <c r="M463" i="2"/>
  <c r="N463" i="2" s="1"/>
  <c r="M464" i="2"/>
  <c r="N464" i="2" s="1"/>
  <c r="M465" i="2"/>
  <c r="N465" i="2" s="1"/>
  <c r="M466" i="2"/>
  <c r="N466" i="2" s="1"/>
  <c r="M467" i="2"/>
  <c r="N467" i="2" s="1"/>
  <c r="M468" i="2"/>
  <c r="N468" i="2" s="1"/>
  <c r="M469" i="2"/>
  <c r="N469" i="2" s="1"/>
  <c r="M470" i="2"/>
  <c r="N470" i="2" s="1"/>
  <c r="M471" i="2"/>
  <c r="N471" i="2" s="1"/>
  <c r="M410" i="2" l="1"/>
  <c r="N410" i="2" s="1"/>
  <c r="M411" i="2"/>
  <c r="N411" i="2" s="1"/>
  <c r="M412" i="2"/>
  <c r="N412" i="2" s="1"/>
  <c r="M413" i="2"/>
  <c r="N413" i="2" s="1"/>
  <c r="M414" i="2"/>
  <c r="N414" i="2" s="1"/>
  <c r="M415" i="2"/>
  <c r="N415" i="2" s="1"/>
  <c r="M416" i="2"/>
  <c r="N416" i="2" s="1"/>
  <c r="M417" i="2"/>
  <c r="N417" i="2" s="1"/>
  <c r="M418" i="2"/>
  <c r="N418" i="2" s="1"/>
  <c r="M419" i="2"/>
  <c r="N419" i="2" s="1"/>
  <c r="M420" i="2"/>
  <c r="N420" i="2" s="1"/>
  <c r="M421" i="2"/>
  <c r="N421" i="2" s="1"/>
  <c r="M422" i="2"/>
  <c r="N422" i="2" s="1"/>
  <c r="M423" i="2"/>
  <c r="N423" i="2" s="1"/>
  <c r="M424" i="2"/>
  <c r="N424" i="2" s="1"/>
  <c r="M425" i="2"/>
  <c r="N425" i="2" s="1"/>
  <c r="M426" i="2"/>
  <c r="N426" i="2" s="1"/>
  <c r="M427" i="2"/>
  <c r="N427" i="2" s="1"/>
  <c r="M428" i="2"/>
  <c r="N428" i="2" s="1"/>
  <c r="M429" i="2"/>
  <c r="N429" i="2" s="1"/>
  <c r="M430" i="2"/>
  <c r="N430" i="2" s="1"/>
  <c r="M431" i="2"/>
  <c r="N431" i="2" s="1"/>
  <c r="M432" i="2"/>
  <c r="N432" i="2" s="1"/>
  <c r="M433" i="2"/>
  <c r="N433" i="2" s="1"/>
  <c r="M434" i="2"/>
  <c r="N434" i="2" s="1"/>
  <c r="M435" i="2"/>
  <c r="N435" i="2" s="1"/>
  <c r="M436" i="2"/>
  <c r="N436" i="2" s="1"/>
  <c r="L56" i="1"/>
  <c r="K56" i="1"/>
  <c r="J56" i="1"/>
  <c r="F56" i="1"/>
  <c r="N56" i="1" s="1"/>
  <c r="L55" i="1"/>
  <c r="K55" i="1"/>
  <c r="J55" i="1"/>
  <c r="F55" i="1"/>
  <c r="N55" i="1" s="1"/>
  <c r="L54" i="1"/>
  <c r="K54" i="1"/>
  <c r="J54" i="1"/>
  <c r="F54" i="1"/>
  <c r="N54" i="1" s="1"/>
  <c r="M3" i="3" l="1"/>
  <c r="M4" i="3"/>
  <c r="M5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2" i="3"/>
  <c r="M406" i="2"/>
  <c r="N406" i="2" s="1"/>
  <c r="M407" i="2"/>
  <c r="N407" i="2" s="1"/>
  <c r="M408" i="2"/>
  <c r="N408" i="2" s="1"/>
  <c r="M409" i="2"/>
  <c r="N409" i="2" s="1"/>
  <c r="F52" i="1"/>
  <c r="N52" i="1" s="1"/>
  <c r="J52" i="1"/>
  <c r="K52" i="1"/>
  <c r="L52" i="1"/>
  <c r="F53" i="1"/>
  <c r="N53" i="1" s="1"/>
  <c r="J53" i="1"/>
  <c r="K53" i="1"/>
  <c r="L53" i="1"/>
  <c r="L9" i="3" l="1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M17" i="2"/>
  <c r="N17" i="2" s="1"/>
  <c r="M18" i="2"/>
  <c r="N18" i="2" s="1"/>
  <c r="M19" i="2"/>
  <c r="N19" i="2" s="1"/>
  <c r="M20" i="2"/>
  <c r="N20" i="2" s="1"/>
  <c r="M21" i="2"/>
  <c r="N21" i="2" s="1"/>
  <c r="M22" i="2"/>
  <c r="N22" i="2" s="1"/>
  <c r="M23" i="2"/>
  <c r="N23" i="2" s="1"/>
  <c r="M24" i="2"/>
  <c r="N24" i="2" s="1"/>
  <c r="M25" i="2"/>
  <c r="N25" i="2" s="1"/>
  <c r="M26" i="2"/>
  <c r="N26" i="2" s="1"/>
  <c r="M27" i="2"/>
  <c r="N27" i="2" s="1"/>
  <c r="M28" i="2"/>
  <c r="N28" i="2" s="1"/>
  <c r="M29" i="2"/>
  <c r="N29" i="2" s="1"/>
  <c r="M30" i="2"/>
  <c r="N30" i="2" s="1"/>
  <c r="M31" i="2"/>
  <c r="N31" i="2" s="1"/>
  <c r="M32" i="2"/>
  <c r="N32" i="2" s="1"/>
  <c r="M33" i="2"/>
  <c r="N33" i="2" s="1"/>
  <c r="M34" i="2"/>
  <c r="N34" i="2" s="1"/>
  <c r="M35" i="2"/>
  <c r="N35" i="2" s="1"/>
  <c r="M36" i="2"/>
  <c r="N36" i="2" s="1"/>
  <c r="M37" i="2"/>
  <c r="N37" i="2" s="1"/>
  <c r="M38" i="2"/>
  <c r="N38" i="2" s="1"/>
  <c r="M39" i="2"/>
  <c r="N39" i="2" s="1"/>
  <c r="M40" i="2"/>
  <c r="N40" i="2" s="1"/>
  <c r="M41" i="2"/>
  <c r="N41" i="2" s="1"/>
  <c r="M42" i="2"/>
  <c r="N42" i="2" s="1"/>
  <c r="M43" i="2"/>
  <c r="N43" i="2" s="1"/>
  <c r="M44" i="2"/>
  <c r="N44" i="2" s="1"/>
  <c r="M45" i="2"/>
  <c r="N45" i="2" s="1"/>
  <c r="M46" i="2"/>
  <c r="N46" i="2" s="1"/>
  <c r="M47" i="2"/>
  <c r="N47" i="2" s="1"/>
  <c r="M48" i="2"/>
  <c r="N48" i="2" s="1"/>
  <c r="M49" i="2"/>
  <c r="N49" i="2" s="1"/>
  <c r="M50" i="2"/>
  <c r="N50" i="2" s="1"/>
  <c r="M51" i="2"/>
  <c r="N51" i="2" s="1"/>
  <c r="M52" i="2"/>
  <c r="N52" i="2" s="1"/>
  <c r="M53" i="2"/>
  <c r="N53" i="2" s="1"/>
  <c r="M54" i="2"/>
  <c r="N54" i="2" s="1"/>
  <c r="M55" i="2"/>
  <c r="N55" i="2" s="1"/>
  <c r="M56" i="2"/>
  <c r="N56" i="2" s="1"/>
  <c r="M57" i="2"/>
  <c r="N57" i="2" s="1"/>
  <c r="M58" i="2"/>
  <c r="N58" i="2" s="1"/>
  <c r="M59" i="2"/>
  <c r="N59" i="2" s="1"/>
  <c r="M60" i="2"/>
  <c r="N60" i="2" s="1"/>
  <c r="M61" i="2"/>
  <c r="N61" i="2" s="1"/>
  <c r="M62" i="2"/>
  <c r="N62" i="2" s="1"/>
  <c r="M63" i="2"/>
  <c r="N63" i="2" s="1"/>
  <c r="M64" i="2"/>
  <c r="N64" i="2" s="1"/>
  <c r="M65" i="2"/>
  <c r="N65" i="2" s="1"/>
  <c r="M66" i="2"/>
  <c r="N66" i="2" s="1"/>
  <c r="M67" i="2"/>
  <c r="N67" i="2" s="1"/>
  <c r="M68" i="2"/>
  <c r="N68" i="2" s="1"/>
  <c r="M69" i="2"/>
  <c r="N69" i="2" s="1"/>
  <c r="M70" i="2"/>
  <c r="N70" i="2" s="1"/>
  <c r="M71" i="2"/>
  <c r="N71" i="2" s="1"/>
  <c r="M72" i="2"/>
  <c r="N72" i="2" s="1"/>
  <c r="M73" i="2"/>
  <c r="N73" i="2" s="1"/>
  <c r="M74" i="2"/>
  <c r="N74" i="2" s="1"/>
  <c r="M75" i="2"/>
  <c r="N75" i="2" s="1"/>
  <c r="M76" i="2"/>
  <c r="N76" i="2" s="1"/>
  <c r="M77" i="2"/>
  <c r="N77" i="2" s="1"/>
  <c r="M78" i="2"/>
  <c r="N78" i="2" s="1"/>
  <c r="M79" i="2"/>
  <c r="N79" i="2" s="1"/>
  <c r="M80" i="2"/>
  <c r="N80" i="2" s="1"/>
  <c r="M81" i="2"/>
  <c r="N81" i="2" s="1"/>
  <c r="M82" i="2"/>
  <c r="N82" i="2" s="1"/>
  <c r="M83" i="2"/>
  <c r="N83" i="2" s="1"/>
  <c r="M84" i="2"/>
  <c r="N84" i="2" s="1"/>
  <c r="M85" i="2"/>
  <c r="N85" i="2" s="1"/>
  <c r="M86" i="2"/>
  <c r="N86" i="2" s="1"/>
  <c r="M87" i="2"/>
  <c r="N87" i="2" s="1"/>
  <c r="M88" i="2"/>
  <c r="N88" i="2" s="1"/>
  <c r="M89" i="2"/>
  <c r="N89" i="2" s="1"/>
  <c r="M90" i="2"/>
  <c r="N90" i="2" s="1"/>
  <c r="M91" i="2"/>
  <c r="N91" i="2" s="1"/>
  <c r="M92" i="2"/>
  <c r="N92" i="2" s="1"/>
  <c r="M93" i="2"/>
  <c r="N93" i="2" s="1"/>
  <c r="M94" i="2"/>
  <c r="N94" i="2" s="1"/>
  <c r="M95" i="2"/>
  <c r="N95" i="2" s="1"/>
  <c r="M96" i="2"/>
  <c r="N96" i="2" s="1"/>
  <c r="M97" i="2"/>
  <c r="N97" i="2" s="1"/>
  <c r="M98" i="2"/>
  <c r="N98" i="2" s="1"/>
  <c r="M99" i="2"/>
  <c r="N99" i="2" s="1"/>
  <c r="M100" i="2"/>
  <c r="N100" i="2" s="1"/>
  <c r="M101" i="2"/>
  <c r="N101" i="2" s="1"/>
  <c r="M102" i="2"/>
  <c r="N102" i="2" s="1"/>
  <c r="M103" i="2"/>
  <c r="N103" i="2" s="1"/>
  <c r="M104" i="2"/>
  <c r="N104" i="2" s="1"/>
  <c r="M105" i="2"/>
  <c r="N105" i="2" s="1"/>
  <c r="M106" i="2"/>
  <c r="N106" i="2" s="1"/>
  <c r="M107" i="2"/>
  <c r="N107" i="2" s="1"/>
  <c r="M108" i="2"/>
  <c r="N108" i="2" s="1"/>
  <c r="M109" i="2"/>
  <c r="N109" i="2" s="1"/>
  <c r="M110" i="2"/>
  <c r="N110" i="2" s="1"/>
  <c r="M111" i="2"/>
  <c r="N111" i="2" s="1"/>
  <c r="M112" i="2"/>
  <c r="N112" i="2" s="1"/>
  <c r="M113" i="2"/>
  <c r="N113" i="2" s="1"/>
  <c r="M114" i="2"/>
  <c r="N114" i="2" s="1"/>
  <c r="M115" i="2"/>
  <c r="N115" i="2" s="1"/>
  <c r="M116" i="2"/>
  <c r="N116" i="2" s="1"/>
  <c r="M117" i="2"/>
  <c r="N117" i="2" s="1"/>
  <c r="M118" i="2"/>
  <c r="N118" i="2" s="1"/>
  <c r="M119" i="2"/>
  <c r="N119" i="2" s="1"/>
  <c r="M120" i="2"/>
  <c r="N120" i="2" s="1"/>
  <c r="M121" i="2"/>
  <c r="N121" i="2" s="1"/>
  <c r="M122" i="2"/>
  <c r="N122" i="2" s="1"/>
  <c r="M123" i="2"/>
  <c r="N123" i="2" s="1"/>
  <c r="M124" i="2"/>
  <c r="N124" i="2" s="1"/>
  <c r="M125" i="2"/>
  <c r="N125" i="2" s="1"/>
  <c r="M126" i="2"/>
  <c r="N126" i="2" s="1"/>
  <c r="M127" i="2"/>
  <c r="N127" i="2" s="1"/>
  <c r="M128" i="2"/>
  <c r="N128" i="2" s="1"/>
  <c r="M129" i="2"/>
  <c r="N129" i="2" s="1"/>
  <c r="M130" i="2"/>
  <c r="N130" i="2" s="1"/>
  <c r="M131" i="2"/>
  <c r="N131" i="2" s="1"/>
  <c r="M132" i="2"/>
  <c r="N132" i="2" s="1"/>
  <c r="M133" i="2"/>
  <c r="N133" i="2" s="1"/>
  <c r="M134" i="2"/>
  <c r="N134" i="2" s="1"/>
  <c r="M135" i="2"/>
  <c r="N135" i="2" s="1"/>
  <c r="M136" i="2"/>
  <c r="N136" i="2" s="1"/>
  <c r="M137" i="2"/>
  <c r="N137" i="2" s="1"/>
  <c r="M138" i="2"/>
  <c r="N138" i="2" s="1"/>
  <c r="M139" i="2"/>
  <c r="N139" i="2" s="1"/>
  <c r="M140" i="2"/>
  <c r="N140" i="2" s="1"/>
  <c r="M141" i="2"/>
  <c r="N141" i="2" s="1"/>
  <c r="M142" i="2"/>
  <c r="N142" i="2" s="1"/>
  <c r="M143" i="2"/>
  <c r="N143" i="2" s="1"/>
  <c r="M144" i="2"/>
  <c r="N144" i="2" s="1"/>
  <c r="M145" i="2"/>
  <c r="N145" i="2" s="1"/>
  <c r="M146" i="2"/>
  <c r="N146" i="2" s="1"/>
  <c r="M147" i="2"/>
  <c r="N147" i="2" s="1"/>
  <c r="M148" i="2"/>
  <c r="N148" i="2" s="1"/>
  <c r="M149" i="2"/>
  <c r="N149" i="2" s="1"/>
  <c r="M150" i="2"/>
  <c r="N150" i="2" s="1"/>
  <c r="M151" i="2"/>
  <c r="N151" i="2" s="1"/>
  <c r="M152" i="2"/>
  <c r="N152" i="2" s="1"/>
  <c r="M153" i="2"/>
  <c r="N153" i="2" s="1"/>
  <c r="M154" i="2"/>
  <c r="N154" i="2" s="1"/>
  <c r="M155" i="2"/>
  <c r="N155" i="2" s="1"/>
  <c r="M156" i="2"/>
  <c r="N156" i="2" s="1"/>
  <c r="M157" i="2"/>
  <c r="N157" i="2" s="1"/>
  <c r="M158" i="2"/>
  <c r="N158" i="2" s="1"/>
  <c r="M159" i="2"/>
  <c r="N159" i="2" s="1"/>
  <c r="M160" i="2"/>
  <c r="N160" i="2" s="1"/>
  <c r="M161" i="2"/>
  <c r="N161" i="2" s="1"/>
  <c r="M162" i="2"/>
  <c r="N162" i="2" s="1"/>
  <c r="M163" i="2"/>
  <c r="N163" i="2" s="1"/>
  <c r="M164" i="2"/>
  <c r="N164" i="2" s="1"/>
  <c r="M165" i="2"/>
  <c r="N165" i="2" s="1"/>
  <c r="M166" i="2"/>
  <c r="N166" i="2" s="1"/>
  <c r="M167" i="2"/>
  <c r="N167" i="2" s="1"/>
  <c r="M168" i="2"/>
  <c r="N168" i="2" s="1"/>
  <c r="M169" i="2"/>
  <c r="N169" i="2" s="1"/>
  <c r="M170" i="2"/>
  <c r="N170" i="2" s="1"/>
  <c r="M171" i="2"/>
  <c r="N171" i="2" s="1"/>
  <c r="M172" i="2"/>
  <c r="N172" i="2" s="1"/>
  <c r="M173" i="2"/>
  <c r="N173" i="2" s="1"/>
  <c r="M174" i="2"/>
  <c r="N174" i="2" s="1"/>
  <c r="M175" i="2"/>
  <c r="N175" i="2" s="1"/>
  <c r="M176" i="2"/>
  <c r="N176" i="2" s="1"/>
  <c r="M177" i="2"/>
  <c r="N177" i="2" s="1"/>
  <c r="M178" i="2"/>
  <c r="N178" i="2" s="1"/>
  <c r="M179" i="2"/>
  <c r="N179" i="2" s="1"/>
  <c r="M180" i="2"/>
  <c r="N180" i="2" s="1"/>
  <c r="M181" i="2"/>
  <c r="N181" i="2" s="1"/>
  <c r="M182" i="2"/>
  <c r="N182" i="2" s="1"/>
  <c r="M183" i="2"/>
  <c r="N183" i="2" s="1"/>
  <c r="M184" i="2"/>
  <c r="N184" i="2" s="1"/>
  <c r="M185" i="2"/>
  <c r="N185" i="2" s="1"/>
  <c r="M186" i="2"/>
  <c r="N186" i="2" s="1"/>
  <c r="M187" i="2"/>
  <c r="N187" i="2" s="1"/>
  <c r="M188" i="2"/>
  <c r="N188" i="2" s="1"/>
  <c r="M189" i="2"/>
  <c r="N189" i="2" s="1"/>
  <c r="M190" i="2"/>
  <c r="N190" i="2" s="1"/>
  <c r="M191" i="2"/>
  <c r="N191" i="2" s="1"/>
  <c r="M192" i="2"/>
  <c r="N192" i="2" s="1"/>
  <c r="M193" i="2"/>
  <c r="N193" i="2" s="1"/>
  <c r="M194" i="2"/>
  <c r="N194" i="2" s="1"/>
  <c r="M195" i="2"/>
  <c r="N195" i="2" s="1"/>
  <c r="M196" i="2"/>
  <c r="N196" i="2" s="1"/>
  <c r="M197" i="2"/>
  <c r="N197" i="2" s="1"/>
  <c r="M198" i="2"/>
  <c r="N198" i="2" s="1"/>
  <c r="M199" i="2"/>
  <c r="N199" i="2" s="1"/>
  <c r="M200" i="2"/>
  <c r="N200" i="2" s="1"/>
  <c r="M201" i="2"/>
  <c r="N201" i="2" s="1"/>
  <c r="M202" i="2"/>
  <c r="N202" i="2" s="1"/>
  <c r="M203" i="2"/>
  <c r="N203" i="2" s="1"/>
  <c r="M204" i="2"/>
  <c r="N204" i="2" s="1"/>
  <c r="M205" i="2"/>
  <c r="N205" i="2" s="1"/>
  <c r="M206" i="2"/>
  <c r="N206" i="2" s="1"/>
  <c r="M207" i="2"/>
  <c r="N207" i="2" s="1"/>
  <c r="M208" i="2"/>
  <c r="N208" i="2" s="1"/>
  <c r="M209" i="2"/>
  <c r="N209" i="2" s="1"/>
  <c r="M210" i="2"/>
  <c r="N210" i="2" s="1"/>
  <c r="M211" i="2"/>
  <c r="N211" i="2" s="1"/>
  <c r="M212" i="2"/>
  <c r="N212" i="2" s="1"/>
  <c r="M213" i="2"/>
  <c r="N213" i="2" s="1"/>
  <c r="M214" i="2"/>
  <c r="N214" i="2" s="1"/>
  <c r="M215" i="2"/>
  <c r="N215" i="2" s="1"/>
  <c r="M216" i="2"/>
  <c r="N216" i="2" s="1"/>
  <c r="M217" i="2"/>
  <c r="N217" i="2" s="1"/>
  <c r="M218" i="2"/>
  <c r="N218" i="2" s="1"/>
  <c r="M219" i="2"/>
  <c r="N219" i="2" s="1"/>
  <c r="M220" i="2"/>
  <c r="N220" i="2" s="1"/>
  <c r="M221" i="2"/>
  <c r="N221" i="2" s="1"/>
  <c r="M222" i="2"/>
  <c r="N222" i="2" s="1"/>
  <c r="M223" i="2"/>
  <c r="N223" i="2" s="1"/>
  <c r="M224" i="2"/>
  <c r="N224" i="2" s="1"/>
  <c r="M225" i="2"/>
  <c r="N225" i="2" s="1"/>
  <c r="M226" i="2"/>
  <c r="N226" i="2" s="1"/>
  <c r="M227" i="2"/>
  <c r="N227" i="2" s="1"/>
  <c r="M228" i="2"/>
  <c r="N228" i="2" s="1"/>
  <c r="M229" i="2"/>
  <c r="N229" i="2" s="1"/>
  <c r="M230" i="2"/>
  <c r="N230" i="2" s="1"/>
  <c r="M231" i="2"/>
  <c r="N231" i="2" s="1"/>
  <c r="M232" i="2"/>
  <c r="N232" i="2" s="1"/>
  <c r="M233" i="2"/>
  <c r="N233" i="2" s="1"/>
  <c r="M234" i="2"/>
  <c r="N234" i="2" s="1"/>
  <c r="M235" i="2"/>
  <c r="N235" i="2" s="1"/>
  <c r="M236" i="2"/>
  <c r="N236" i="2" s="1"/>
  <c r="M237" i="2"/>
  <c r="N237" i="2" s="1"/>
  <c r="M238" i="2"/>
  <c r="N238" i="2" s="1"/>
  <c r="M239" i="2"/>
  <c r="N239" i="2" s="1"/>
  <c r="M240" i="2"/>
  <c r="N240" i="2" s="1"/>
  <c r="M241" i="2"/>
  <c r="N241" i="2" s="1"/>
  <c r="M242" i="2"/>
  <c r="N242" i="2" s="1"/>
  <c r="M243" i="2"/>
  <c r="N243" i="2" s="1"/>
  <c r="M244" i="2"/>
  <c r="N244" i="2" s="1"/>
  <c r="M245" i="2"/>
  <c r="N245" i="2" s="1"/>
  <c r="M246" i="2"/>
  <c r="N246" i="2" s="1"/>
  <c r="M247" i="2"/>
  <c r="N247" i="2" s="1"/>
  <c r="M248" i="2"/>
  <c r="N248" i="2" s="1"/>
  <c r="M249" i="2"/>
  <c r="N249" i="2" s="1"/>
  <c r="M250" i="2"/>
  <c r="N250" i="2" s="1"/>
  <c r="M251" i="2"/>
  <c r="N251" i="2" s="1"/>
  <c r="M252" i="2"/>
  <c r="N252" i="2" s="1"/>
  <c r="M253" i="2"/>
  <c r="N253" i="2" s="1"/>
  <c r="M254" i="2"/>
  <c r="N254" i="2" s="1"/>
  <c r="M255" i="2"/>
  <c r="N255" i="2" s="1"/>
  <c r="M256" i="2"/>
  <c r="N256" i="2" s="1"/>
  <c r="M257" i="2"/>
  <c r="N257" i="2" s="1"/>
  <c r="M258" i="2"/>
  <c r="N258" i="2" s="1"/>
  <c r="M259" i="2"/>
  <c r="N259" i="2" s="1"/>
  <c r="M260" i="2"/>
  <c r="N260" i="2" s="1"/>
  <c r="M261" i="2"/>
  <c r="N261" i="2" s="1"/>
  <c r="M262" i="2"/>
  <c r="N262" i="2" s="1"/>
  <c r="M263" i="2"/>
  <c r="N263" i="2" s="1"/>
  <c r="M264" i="2"/>
  <c r="N264" i="2" s="1"/>
  <c r="M265" i="2"/>
  <c r="N265" i="2" s="1"/>
  <c r="M266" i="2"/>
  <c r="N266" i="2" s="1"/>
  <c r="M267" i="2"/>
  <c r="N267" i="2" s="1"/>
  <c r="M268" i="2"/>
  <c r="N268" i="2" s="1"/>
  <c r="M269" i="2"/>
  <c r="N269" i="2" s="1"/>
  <c r="M270" i="2"/>
  <c r="N270" i="2" s="1"/>
  <c r="M271" i="2"/>
  <c r="N271" i="2" s="1"/>
  <c r="M272" i="2"/>
  <c r="N272" i="2" s="1"/>
  <c r="M273" i="2"/>
  <c r="N273" i="2" s="1"/>
  <c r="M274" i="2"/>
  <c r="N274" i="2" s="1"/>
  <c r="M275" i="2"/>
  <c r="N275" i="2" s="1"/>
  <c r="M276" i="2"/>
  <c r="N276" i="2" s="1"/>
  <c r="M277" i="2"/>
  <c r="N277" i="2" s="1"/>
  <c r="M278" i="2"/>
  <c r="N278" i="2" s="1"/>
  <c r="M279" i="2"/>
  <c r="N279" i="2" s="1"/>
  <c r="M280" i="2"/>
  <c r="N280" i="2" s="1"/>
  <c r="M281" i="2"/>
  <c r="N281" i="2" s="1"/>
  <c r="M282" i="2"/>
  <c r="N282" i="2" s="1"/>
  <c r="M283" i="2"/>
  <c r="N283" i="2" s="1"/>
  <c r="M284" i="2"/>
  <c r="N284" i="2" s="1"/>
  <c r="M285" i="2"/>
  <c r="N285" i="2" s="1"/>
  <c r="M286" i="2"/>
  <c r="N286" i="2" s="1"/>
  <c r="M287" i="2"/>
  <c r="N287" i="2" s="1"/>
  <c r="M288" i="2"/>
  <c r="N288" i="2" s="1"/>
  <c r="M289" i="2"/>
  <c r="N289" i="2" s="1"/>
  <c r="M290" i="2"/>
  <c r="N290" i="2" s="1"/>
  <c r="M291" i="2"/>
  <c r="N291" i="2" s="1"/>
  <c r="M292" i="2"/>
  <c r="N292" i="2" s="1"/>
  <c r="M293" i="2"/>
  <c r="N293" i="2" s="1"/>
  <c r="M294" i="2"/>
  <c r="N294" i="2" s="1"/>
  <c r="M295" i="2"/>
  <c r="N295" i="2" s="1"/>
  <c r="M296" i="2"/>
  <c r="N296" i="2" s="1"/>
  <c r="M297" i="2"/>
  <c r="N297" i="2" s="1"/>
  <c r="M298" i="2"/>
  <c r="N298" i="2" s="1"/>
  <c r="M299" i="2"/>
  <c r="N299" i="2" s="1"/>
  <c r="M300" i="2"/>
  <c r="N300" i="2" s="1"/>
  <c r="M301" i="2"/>
  <c r="N301" i="2" s="1"/>
  <c r="M302" i="2"/>
  <c r="N302" i="2" s="1"/>
  <c r="M303" i="2"/>
  <c r="N303" i="2" s="1"/>
  <c r="M304" i="2"/>
  <c r="N304" i="2" s="1"/>
  <c r="M305" i="2"/>
  <c r="N305" i="2" s="1"/>
  <c r="M306" i="2"/>
  <c r="N306" i="2" s="1"/>
  <c r="M307" i="2"/>
  <c r="N307" i="2" s="1"/>
  <c r="M308" i="2"/>
  <c r="N308" i="2" s="1"/>
  <c r="M309" i="2"/>
  <c r="N309" i="2" s="1"/>
  <c r="M310" i="2"/>
  <c r="N310" i="2" s="1"/>
  <c r="M311" i="2"/>
  <c r="N311" i="2" s="1"/>
  <c r="M312" i="2"/>
  <c r="N312" i="2" s="1"/>
  <c r="M313" i="2"/>
  <c r="N313" i="2" s="1"/>
  <c r="M314" i="2"/>
  <c r="N314" i="2" s="1"/>
  <c r="M315" i="2"/>
  <c r="N315" i="2" s="1"/>
  <c r="M316" i="2"/>
  <c r="N316" i="2" s="1"/>
  <c r="M317" i="2"/>
  <c r="N317" i="2" s="1"/>
  <c r="M318" i="2"/>
  <c r="N318" i="2" s="1"/>
  <c r="M319" i="2"/>
  <c r="N319" i="2" s="1"/>
  <c r="M320" i="2"/>
  <c r="N320" i="2" s="1"/>
  <c r="M321" i="2"/>
  <c r="N321" i="2" s="1"/>
  <c r="M322" i="2"/>
  <c r="N322" i="2" s="1"/>
  <c r="M323" i="2"/>
  <c r="N323" i="2" s="1"/>
  <c r="M324" i="2"/>
  <c r="N324" i="2" s="1"/>
  <c r="M325" i="2"/>
  <c r="N325" i="2" s="1"/>
  <c r="M326" i="2"/>
  <c r="N326" i="2" s="1"/>
  <c r="M327" i="2"/>
  <c r="N327" i="2" s="1"/>
  <c r="M328" i="2"/>
  <c r="N328" i="2" s="1"/>
  <c r="M329" i="2"/>
  <c r="N329" i="2" s="1"/>
  <c r="M330" i="2"/>
  <c r="N330" i="2" s="1"/>
  <c r="M331" i="2"/>
  <c r="N331" i="2" s="1"/>
  <c r="M332" i="2"/>
  <c r="N332" i="2" s="1"/>
  <c r="M333" i="2"/>
  <c r="N333" i="2" s="1"/>
  <c r="M334" i="2"/>
  <c r="N334" i="2" s="1"/>
  <c r="M335" i="2"/>
  <c r="N335" i="2" s="1"/>
  <c r="M336" i="2"/>
  <c r="N336" i="2" s="1"/>
  <c r="M337" i="2"/>
  <c r="N337" i="2" s="1"/>
  <c r="M338" i="2"/>
  <c r="N338" i="2" s="1"/>
  <c r="M339" i="2"/>
  <c r="N339" i="2" s="1"/>
  <c r="M340" i="2"/>
  <c r="N340" i="2" s="1"/>
  <c r="M341" i="2"/>
  <c r="N341" i="2" s="1"/>
  <c r="M342" i="2"/>
  <c r="N342" i="2" s="1"/>
  <c r="M343" i="2"/>
  <c r="N343" i="2" s="1"/>
  <c r="M344" i="2"/>
  <c r="N344" i="2" s="1"/>
  <c r="M345" i="2"/>
  <c r="N345" i="2" s="1"/>
  <c r="M346" i="2"/>
  <c r="N346" i="2" s="1"/>
  <c r="M347" i="2"/>
  <c r="N347" i="2" s="1"/>
  <c r="M348" i="2"/>
  <c r="N348" i="2" s="1"/>
  <c r="M349" i="2"/>
  <c r="N349" i="2" s="1"/>
  <c r="M350" i="2"/>
  <c r="N350" i="2" s="1"/>
  <c r="M351" i="2"/>
  <c r="N351" i="2" s="1"/>
  <c r="M352" i="2"/>
  <c r="N352" i="2" s="1"/>
  <c r="M353" i="2"/>
  <c r="N353" i="2" s="1"/>
  <c r="M354" i="2"/>
  <c r="N354" i="2" s="1"/>
  <c r="M355" i="2"/>
  <c r="N355" i="2" s="1"/>
  <c r="M356" i="2"/>
  <c r="N356" i="2" s="1"/>
  <c r="M357" i="2"/>
  <c r="N357" i="2" s="1"/>
  <c r="M358" i="2"/>
  <c r="N358" i="2" s="1"/>
  <c r="M359" i="2"/>
  <c r="N359" i="2" s="1"/>
  <c r="M360" i="2"/>
  <c r="N360" i="2" s="1"/>
  <c r="M361" i="2"/>
  <c r="N361" i="2" s="1"/>
  <c r="M362" i="2"/>
  <c r="N362" i="2" s="1"/>
  <c r="M363" i="2"/>
  <c r="N363" i="2" s="1"/>
  <c r="M364" i="2"/>
  <c r="N364" i="2" s="1"/>
  <c r="M365" i="2"/>
  <c r="N365" i="2" s="1"/>
  <c r="M366" i="2"/>
  <c r="N366" i="2" s="1"/>
  <c r="M367" i="2"/>
  <c r="N367" i="2" s="1"/>
  <c r="M368" i="2"/>
  <c r="N368" i="2" s="1"/>
  <c r="M369" i="2"/>
  <c r="N369" i="2" s="1"/>
  <c r="M370" i="2"/>
  <c r="N370" i="2" s="1"/>
  <c r="M371" i="2"/>
  <c r="N371" i="2" s="1"/>
  <c r="M372" i="2"/>
  <c r="N372" i="2" s="1"/>
  <c r="M373" i="2"/>
  <c r="N373" i="2" s="1"/>
  <c r="M374" i="2"/>
  <c r="N374" i="2" s="1"/>
  <c r="M375" i="2"/>
  <c r="N375" i="2" s="1"/>
  <c r="M376" i="2"/>
  <c r="N376" i="2" s="1"/>
  <c r="M377" i="2"/>
  <c r="N377" i="2" s="1"/>
  <c r="M378" i="2"/>
  <c r="N378" i="2" s="1"/>
  <c r="M379" i="2"/>
  <c r="N379" i="2" s="1"/>
  <c r="M380" i="2"/>
  <c r="N380" i="2" s="1"/>
  <c r="M381" i="2"/>
  <c r="N381" i="2" s="1"/>
  <c r="M382" i="2"/>
  <c r="N382" i="2" s="1"/>
  <c r="M383" i="2"/>
  <c r="N383" i="2" s="1"/>
  <c r="M384" i="2"/>
  <c r="N384" i="2" s="1"/>
  <c r="M385" i="2"/>
  <c r="N385" i="2" s="1"/>
  <c r="M386" i="2"/>
  <c r="N386" i="2" s="1"/>
  <c r="M387" i="2"/>
  <c r="N387" i="2" s="1"/>
  <c r="M388" i="2"/>
  <c r="N388" i="2" s="1"/>
  <c r="M389" i="2"/>
  <c r="N389" i="2" s="1"/>
  <c r="M390" i="2"/>
  <c r="N390" i="2" s="1"/>
  <c r="M391" i="2"/>
  <c r="N391" i="2" s="1"/>
  <c r="M392" i="2"/>
  <c r="N392" i="2" s="1"/>
  <c r="M393" i="2"/>
  <c r="N393" i="2" s="1"/>
  <c r="M394" i="2"/>
  <c r="N394" i="2" s="1"/>
  <c r="M395" i="2"/>
  <c r="N395" i="2" s="1"/>
  <c r="M396" i="2"/>
  <c r="N396" i="2" s="1"/>
  <c r="M397" i="2"/>
  <c r="N397" i="2" s="1"/>
  <c r="M398" i="2"/>
  <c r="N398" i="2" s="1"/>
  <c r="M399" i="2"/>
  <c r="N399" i="2" s="1"/>
  <c r="M400" i="2"/>
  <c r="N400" i="2" s="1"/>
  <c r="M401" i="2"/>
  <c r="N401" i="2" s="1"/>
  <c r="M402" i="2"/>
  <c r="N402" i="2" s="1"/>
  <c r="M403" i="2"/>
  <c r="N403" i="2" s="1"/>
  <c r="M404" i="2"/>
  <c r="N404" i="2" s="1"/>
  <c r="M405" i="2"/>
  <c r="N405" i="2" s="1"/>
  <c r="J13" i="1"/>
  <c r="K13" i="1"/>
  <c r="L13" i="1"/>
  <c r="J14" i="1"/>
  <c r="K14" i="1"/>
  <c r="L14" i="1"/>
  <c r="J15" i="1"/>
  <c r="K15" i="1"/>
  <c r="L15" i="1"/>
  <c r="J16" i="1"/>
  <c r="K16" i="1"/>
  <c r="L16" i="1"/>
  <c r="J17" i="1"/>
  <c r="K17" i="1"/>
  <c r="L17" i="1"/>
  <c r="J18" i="1"/>
  <c r="K18" i="1"/>
  <c r="L18" i="1"/>
  <c r="J19" i="1"/>
  <c r="K19" i="1"/>
  <c r="L19" i="1"/>
  <c r="J20" i="1"/>
  <c r="K20" i="1"/>
  <c r="L20" i="1"/>
  <c r="J21" i="1"/>
  <c r="K21" i="1"/>
  <c r="L21" i="1"/>
  <c r="J22" i="1"/>
  <c r="K22" i="1"/>
  <c r="L22" i="1"/>
  <c r="J23" i="1"/>
  <c r="K23" i="1"/>
  <c r="L23" i="1"/>
  <c r="J24" i="1"/>
  <c r="K24" i="1"/>
  <c r="L24" i="1"/>
  <c r="J25" i="1"/>
  <c r="K25" i="1"/>
  <c r="L25" i="1"/>
  <c r="J26" i="1"/>
  <c r="K26" i="1"/>
  <c r="L26" i="1"/>
  <c r="J27" i="1"/>
  <c r="K27" i="1"/>
  <c r="L27" i="1"/>
  <c r="J28" i="1"/>
  <c r="K28" i="1"/>
  <c r="L28" i="1"/>
  <c r="J29" i="1"/>
  <c r="K29" i="1"/>
  <c r="L29" i="1"/>
  <c r="J30" i="1"/>
  <c r="K30" i="1"/>
  <c r="L30" i="1"/>
  <c r="J31" i="1"/>
  <c r="K31" i="1"/>
  <c r="L31" i="1"/>
  <c r="J32" i="1"/>
  <c r="K32" i="1"/>
  <c r="L32" i="1"/>
  <c r="J33" i="1"/>
  <c r="K33" i="1"/>
  <c r="L33" i="1"/>
  <c r="J34" i="1"/>
  <c r="K34" i="1"/>
  <c r="L34" i="1"/>
  <c r="J35" i="1"/>
  <c r="K35" i="1"/>
  <c r="L35" i="1"/>
  <c r="J36" i="1"/>
  <c r="K36" i="1"/>
  <c r="L36" i="1"/>
  <c r="J37" i="1"/>
  <c r="K37" i="1"/>
  <c r="L37" i="1"/>
  <c r="J38" i="1"/>
  <c r="K38" i="1"/>
  <c r="L38" i="1"/>
  <c r="J39" i="1"/>
  <c r="K39" i="1"/>
  <c r="L39" i="1"/>
  <c r="J40" i="1"/>
  <c r="K40" i="1"/>
  <c r="L40" i="1"/>
  <c r="J41" i="1"/>
  <c r="K41" i="1"/>
  <c r="L41" i="1"/>
  <c r="J42" i="1"/>
  <c r="K42" i="1"/>
  <c r="L42" i="1"/>
  <c r="J43" i="1"/>
  <c r="K43" i="1"/>
  <c r="L43" i="1"/>
  <c r="J44" i="1"/>
  <c r="K44" i="1"/>
  <c r="L44" i="1"/>
  <c r="J45" i="1"/>
  <c r="K45" i="1"/>
  <c r="L45" i="1"/>
  <c r="J46" i="1"/>
  <c r="K46" i="1"/>
  <c r="L46" i="1"/>
  <c r="J47" i="1"/>
  <c r="K47" i="1"/>
  <c r="L47" i="1"/>
  <c r="J48" i="1"/>
  <c r="K48" i="1"/>
  <c r="L48" i="1"/>
  <c r="J49" i="1"/>
  <c r="K49" i="1"/>
  <c r="L49" i="1"/>
  <c r="J50" i="1"/>
  <c r="K50" i="1"/>
  <c r="L50" i="1"/>
  <c r="J51" i="1"/>
  <c r="K51" i="1"/>
  <c r="L51" i="1"/>
  <c r="F13" i="1"/>
  <c r="N13" i="1" s="1"/>
  <c r="F14" i="1"/>
  <c r="F16" i="1"/>
  <c r="N16" i="1" s="1"/>
  <c r="F17" i="1"/>
  <c r="N17" i="1" s="1"/>
  <c r="F18" i="1"/>
  <c r="N18" i="1" s="1"/>
  <c r="F19" i="1"/>
  <c r="F20" i="1"/>
  <c r="N20" i="1" s="1"/>
  <c r="F21" i="1"/>
  <c r="F22" i="1"/>
  <c r="N22" i="1" s="1"/>
  <c r="F23" i="1"/>
  <c r="N23" i="1" s="1"/>
  <c r="F24" i="1"/>
  <c r="N24" i="1" s="1"/>
  <c r="F25" i="1"/>
  <c r="N25" i="1" s="1"/>
  <c r="F26" i="1"/>
  <c r="N26" i="1" s="1"/>
  <c r="F27" i="1"/>
  <c r="F28" i="1"/>
  <c r="N28" i="1" s="1"/>
  <c r="F29" i="1"/>
  <c r="F30" i="1"/>
  <c r="N30" i="1" s="1"/>
  <c r="F31" i="1"/>
  <c r="N31" i="1" s="1"/>
  <c r="F32" i="1"/>
  <c r="N32" i="1" s="1"/>
  <c r="F33" i="1"/>
  <c r="N33" i="1" s="1"/>
  <c r="F34" i="1"/>
  <c r="N34" i="1" s="1"/>
  <c r="F35" i="1"/>
  <c r="N35" i="1" s="1"/>
  <c r="F36" i="1"/>
  <c r="N36" i="1" s="1"/>
  <c r="F37" i="1"/>
  <c r="N37" i="1" s="1"/>
  <c r="F38" i="1"/>
  <c r="N38" i="1" s="1"/>
  <c r="F39" i="1"/>
  <c r="N39" i="1" s="1"/>
  <c r="F40" i="1"/>
  <c r="N40" i="1" s="1"/>
  <c r="F41" i="1"/>
  <c r="N41" i="1" s="1"/>
  <c r="F42" i="1"/>
  <c r="N42" i="1" s="1"/>
  <c r="F43" i="1"/>
  <c r="N43" i="1" s="1"/>
  <c r="F44" i="1"/>
  <c r="N44" i="1" s="1"/>
  <c r="F45" i="1"/>
  <c r="N45" i="1" s="1"/>
  <c r="F46" i="1"/>
  <c r="N46" i="1" s="1"/>
  <c r="F47" i="1"/>
  <c r="N47" i="1" s="1"/>
  <c r="F48" i="1"/>
  <c r="N48" i="1" s="1"/>
  <c r="F49" i="1"/>
  <c r="N49" i="1" s="1"/>
  <c r="F50" i="1"/>
  <c r="N50" i="1" s="1"/>
  <c r="F51" i="1"/>
  <c r="N51" i="1" s="1"/>
  <c r="M3" i="2" l="1"/>
  <c r="N3" i="2" s="1"/>
  <c r="M4" i="2"/>
  <c r="N4" i="2" s="1"/>
  <c r="M5" i="2"/>
  <c r="N5" i="2" s="1"/>
  <c r="M6" i="2"/>
  <c r="N6" i="2" s="1"/>
  <c r="M7" i="2"/>
  <c r="N7" i="2" s="1"/>
  <c r="M8" i="2"/>
  <c r="N8" i="2" s="1"/>
  <c r="M9" i="2"/>
  <c r="N9" i="2" s="1"/>
  <c r="M10" i="2"/>
  <c r="N10" i="2" s="1"/>
  <c r="M11" i="2"/>
  <c r="N11" i="2" s="1"/>
  <c r="M12" i="2"/>
  <c r="N12" i="2" s="1"/>
  <c r="M13" i="2"/>
  <c r="N13" i="2" s="1"/>
  <c r="M14" i="2"/>
  <c r="N14" i="2" s="1"/>
  <c r="M15" i="2"/>
  <c r="N15" i="2" s="1"/>
  <c r="M16" i="2"/>
  <c r="N16" i="2" s="1"/>
  <c r="M2" i="2"/>
  <c r="N2" i="2" s="1"/>
  <c r="P3" i="2" l="1" a="1"/>
  <c r="P3" i="2" s="1"/>
  <c r="P12" i="2" a="1"/>
  <c r="P12" i="2" s="1"/>
  <c r="P21" i="2" a="1"/>
  <c r="P21" i="2" s="1"/>
  <c r="P26" i="2" a="1"/>
  <c r="P26" i="2" s="1"/>
  <c r="P35" i="2" a="1"/>
  <c r="P35" i="2" s="1"/>
  <c r="P44" i="2" a="1"/>
  <c r="P44" i="2" s="1"/>
  <c r="P53" i="2" a="1"/>
  <c r="P53" i="2" s="1"/>
  <c r="P58" i="2" a="1"/>
  <c r="P58" i="2" s="1"/>
  <c r="P67" i="2" a="1"/>
  <c r="P67" i="2" s="1"/>
  <c r="P76" i="2" a="1"/>
  <c r="P76" i="2" s="1"/>
  <c r="P85" i="2" a="1"/>
  <c r="P85" i="2" s="1"/>
  <c r="P90" i="2" a="1"/>
  <c r="P90" i="2" s="1"/>
  <c r="P99" i="2" a="1"/>
  <c r="P99" i="2" s="1"/>
  <c r="P108" i="2" a="1"/>
  <c r="P108" i="2" s="1"/>
  <c r="P117" i="2" a="1"/>
  <c r="P117" i="2" s="1"/>
  <c r="P122" i="2" a="1"/>
  <c r="P122" i="2" s="1"/>
  <c r="P131" i="2" a="1"/>
  <c r="P131" i="2" s="1"/>
  <c r="P140" i="2" a="1"/>
  <c r="P140" i="2" s="1"/>
  <c r="P149" i="2" a="1"/>
  <c r="P149" i="2" s="1"/>
  <c r="P154" i="2" a="1"/>
  <c r="P154" i="2" s="1"/>
  <c r="P163" i="2" a="1"/>
  <c r="P163" i="2" s="1"/>
  <c r="P172" i="2" a="1"/>
  <c r="P172" i="2" s="1"/>
  <c r="P181" i="2" a="1"/>
  <c r="P181" i="2" s="1"/>
  <c r="P186" i="2" a="1"/>
  <c r="P186" i="2" s="1"/>
  <c r="P195" i="2" a="1"/>
  <c r="P195" i="2" s="1"/>
  <c r="P204" i="2" a="1"/>
  <c r="P204" i="2" s="1"/>
  <c r="P213" i="2" a="1"/>
  <c r="P213" i="2" s="1"/>
  <c r="P218" i="2" a="1"/>
  <c r="P218" i="2" s="1"/>
  <c r="P227" i="2" a="1"/>
  <c r="P227" i="2" s="1"/>
  <c r="P236" i="2" a="1"/>
  <c r="P236" i="2" s="1"/>
  <c r="P245" i="2" a="1"/>
  <c r="P245" i="2" s="1"/>
  <c r="P250" i="2" a="1"/>
  <c r="P250" i="2" s="1"/>
  <c r="P259" i="2" a="1"/>
  <c r="P259" i="2" s="1"/>
  <c r="P268" i="2" a="1"/>
  <c r="P268" i="2" s="1"/>
  <c r="P277" i="2" a="1"/>
  <c r="P277" i="2" s="1"/>
  <c r="P282" i="2" a="1"/>
  <c r="P282" i="2" s="1"/>
  <c r="P291" i="2" a="1"/>
  <c r="P291" i="2" s="1"/>
  <c r="P300" i="2" a="1"/>
  <c r="P300" i="2" s="1"/>
  <c r="P309" i="2" a="1"/>
  <c r="P309" i="2" s="1"/>
  <c r="P314" i="2" a="1"/>
  <c r="P314" i="2" s="1"/>
  <c r="P323" i="2" a="1"/>
  <c r="P323" i="2" s="1"/>
  <c r="P8" i="2" a="1"/>
  <c r="P8" i="2" s="1"/>
  <c r="P17" i="2" a="1"/>
  <c r="P17" i="2" s="1"/>
  <c r="P22" i="2" a="1"/>
  <c r="P22" i="2" s="1"/>
  <c r="P31" i="2" a="1"/>
  <c r="P31" i="2" s="1"/>
  <c r="P40" i="2" a="1"/>
  <c r="P40" i="2" s="1"/>
  <c r="P49" i="2" a="1"/>
  <c r="P49" i="2" s="1"/>
  <c r="P54" i="2" a="1"/>
  <c r="P54" i="2" s="1"/>
  <c r="P63" i="2" a="1"/>
  <c r="P63" i="2" s="1"/>
  <c r="P72" i="2" a="1"/>
  <c r="P72" i="2" s="1"/>
  <c r="P81" i="2" a="1"/>
  <c r="P81" i="2" s="1"/>
  <c r="P86" i="2" a="1"/>
  <c r="P86" i="2" s="1"/>
  <c r="P95" i="2" a="1"/>
  <c r="P95" i="2" s="1"/>
  <c r="P104" i="2" a="1"/>
  <c r="P104" i="2" s="1"/>
  <c r="P113" i="2" a="1"/>
  <c r="P113" i="2" s="1"/>
  <c r="P118" i="2" a="1"/>
  <c r="P118" i="2" s="1"/>
  <c r="P127" i="2" a="1"/>
  <c r="P127" i="2" s="1"/>
  <c r="P136" i="2" a="1"/>
  <c r="P136" i="2" s="1"/>
  <c r="P145" i="2" a="1"/>
  <c r="P145" i="2" s="1"/>
  <c r="P150" i="2" a="1"/>
  <c r="P150" i="2" s="1"/>
  <c r="P159" i="2" a="1"/>
  <c r="P159" i="2" s="1"/>
  <c r="P168" i="2" a="1"/>
  <c r="P168" i="2" s="1"/>
  <c r="P177" i="2" a="1"/>
  <c r="P177" i="2" s="1"/>
  <c r="P182" i="2" a="1"/>
  <c r="P182" i="2" s="1"/>
  <c r="P191" i="2" a="1"/>
  <c r="P191" i="2" s="1"/>
  <c r="P200" i="2" a="1"/>
  <c r="P200" i="2" s="1"/>
  <c r="P209" i="2" a="1"/>
  <c r="P209" i="2" s="1"/>
  <c r="P214" i="2" a="1"/>
  <c r="P214" i="2" s="1"/>
  <c r="P223" i="2" a="1"/>
  <c r="P223" i="2" s="1"/>
  <c r="P232" i="2" a="1"/>
  <c r="P232" i="2" s="1"/>
  <c r="P241" i="2" a="1"/>
  <c r="P241" i="2" s="1"/>
  <c r="P246" i="2" a="1"/>
  <c r="P246" i="2" s="1"/>
  <c r="P255" i="2" a="1"/>
  <c r="P255" i="2" s="1"/>
  <c r="P264" i="2" a="1"/>
  <c r="P264" i="2" s="1"/>
  <c r="P273" i="2" a="1"/>
  <c r="P273" i="2" s="1"/>
  <c r="P278" i="2" a="1"/>
  <c r="P278" i="2" s="1"/>
  <c r="P287" i="2" a="1"/>
  <c r="P287" i="2" s="1"/>
  <c r="P296" i="2" a="1"/>
  <c r="P296" i="2" s="1"/>
  <c r="P305" i="2" a="1"/>
  <c r="P305" i="2" s="1"/>
  <c r="P310" i="2" a="1"/>
  <c r="P310" i="2" s="1"/>
  <c r="P319" i="2" a="1"/>
  <c r="P319" i="2" s="1"/>
  <c r="P328" i="2" a="1"/>
  <c r="P328" i="2" s="1"/>
  <c r="P337" i="2" a="1"/>
  <c r="P337" i="2" s="1"/>
  <c r="P342" i="2" a="1"/>
  <c r="P342" i="2" s="1"/>
  <c r="P4" i="2" a="1"/>
  <c r="P4" i="2" s="1"/>
  <c r="P13" i="2" a="1"/>
  <c r="P13" i="2" s="1"/>
  <c r="P18" i="2" a="1"/>
  <c r="P18" i="2" s="1"/>
  <c r="P27" i="2" a="1"/>
  <c r="P27" i="2" s="1"/>
  <c r="P36" i="2" a="1"/>
  <c r="P36" i="2" s="1"/>
  <c r="P45" i="2" a="1"/>
  <c r="P45" i="2" s="1"/>
  <c r="P50" i="2" a="1"/>
  <c r="P50" i="2" s="1"/>
  <c r="P59" i="2" a="1"/>
  <c r="P59" i="2" s="1"/>
  <c r="P68" i="2" a="1"/>
  <c r="P68" i="2" s="1"/>
  <c r="P77" i="2" a="1"/>
  <c r="P77" i="2" s="1"/>
  <c r="P82" i="2" a="1"/>
  <c r="P82" i="2" s="1"/>
  <c r="P91" i="2" a="1"/>
  <c r="P91" i="2" s="1"/>
  <c r="P100" i="2" a="1"/>
  <c r="P100" i="2" s="1"/>
  <c r="P109" i="2" a="1"/>
  <c r="P109" i="2" s="1"/>
  <c r="P114" i="2" a="1"/>
  <c r="P114" i="2" s="1"/>
  <c r="P123" i="2" a="1"/>
  <c r="P123" i="2" s="1"/>
  <c r="P132" i="2" a="1"/>
  <c r="P132" i="2" s="1"/>
  <c r="P141" i="2" a="1"/>
  <c r="P141" i="2" s="1"/>
  <c r="P146" i="2" a="1"/>
  <c r="P146" i="2" s="1"/>
  <c r="P155" i="2" a="1"/>
  <c r="P155" i="2" s="1"/>
  <c r="P164" i="2" a="1"/>
  <c r="P164" i="2" s="1"/>
  <c r="P173" i="2" a="1"/>
  <c r="P173" i="2" s="1"/>
  <c r="P178" i="2" a="1"/>
  <c r="P178" i="2" s="1"/>
  <c r="P187" i="2" a="1"/>
  <c r="P187" i="2" s="1"/>
  <c r="P196" i="2" a="1"/>
  <c r="P196" i="2" s="1"/>
  <c r="P205" i="2" a="1"/>
  <c r="P205" i="2" s="1"/>
  <c r="P210" i="2" a="1"/>
  <c r="P210" i="2" s="1"/>
  <c r="P219" i="2" a="1"/>
  <c r="P219" i="2" s="1"/>
  <c r="P228" i="2" a="1"/>
  <c r="P228" i="2" s="1"/>
  <c r="P237" i="2" a="1"/>
  <c r="P237" i="2" s="1"/>
  <c r="P242" i="2" a="1"/>
  <c r="P242" i="2" s="1"/>
  <c r="P251" i="2" a="1"/>
  <c r="P251" i="2" s="1"/>
  <c r="P260" i="2" a="1"/>
  <c r="P260" i="2" s="1"/>
  <c r="P269" i="2" a="1"/>
  <c r="P269" i="2" s="1"/>
  <c r="P274" i="2" a="1"/>
  <c r="P274" i="2" s="1"/>
  <c r="P283" i="2" a="1"/>
  <c r="P283" i="2" s="1"/>
  <c r="P292" i="2" a="1"/>
  <c r="P292" i="2" s="1"/>
  <c r="P301" i="2" a="1"/>
  <c r="P301" i="2" s="1"/>
  <c r="P306" i="2" a="1"/>
  <c r="P306" i="2" s="1"/>
  <c r="P315" i="2" a="1"/>
  <c r="P315" i="2" s="1"/>
  <c r="P324" i="2" a="1"/>
  <c r="P324" i="2" s="1"/>
  <c r="P9" i="2" a="1"/>
  <c r="P9" i="2" s="1"/>
  <c r="P14" i="2" a="1"/>
  <c r="P14" i="2" s="1"/>
  <c r="P23" i="2" a="1"/>
  <c r="P23" i="2" s="1"/>
  <c r="P32" i="2" a="1"/>
  <c r="P32" i="2" s="1"/>
  <c r="P41" i="2" a="1"/>
  <c r="P41" i="2" s="1"/>
  <c r="P46" i="2" a="1"/>
  <c r="P46" i="2" s="1"/>
  <c r="P55" i="2" a="1"/>
  <c r="P55" i="2" s="1"/>
  <c r="P64" i="2" a="1"/>
  <c r="P64" i="2" s="1"/>
  <c r="P73" i="2" a="1"/>
  <c r="P73" i="2" s="1"/>
  <c r="P78" i="2" a="1"/>
  <c r="P78" i="2" s="1"/>
  <c r="P87" i="2" a="1"/>
  <c r="P87" i="2" s="1"/>
  <c r="P96" i="2" a="1"/>
  <c r="P96" i="2" s="1"/>
  <c r="P105" i="2" a="1"/>
  <c r="P105" i="2" s="1"/>
  <c r="P110" i="2" a="1"/>
  <c r="P110" i="2" s="1"/>
  <c r="P119" i="2" a="1"/>
  <c r="P119" i="2" s="1"/>
  <c r="P128" i="2" a="1"/>
  <c r="P128" i="2" s="1"/>
  <c r="P137" i="2" a="1"/>
  <c r="P137" i="2" s="1"/>
  <c r="P142" i="2" a="1"/>
  <c r="P142" i="2" s="1"/>
  <c r="P151" i="2" a="1"/>
  <c r="P151" i="2" s="1"/>
  <c r="P160" i="2" a="1"/>
  <c r="P160" i="2" s="1"/>
  <c r="P169" i="2" a="1"/>
  <c r="P169" i="2" s="1"/>
  <c r="P174" i="2" a="1"/>
  <c r="P174" i="2" s="1"/>
  <c r="P183" i="2" a="1"/>
  <c r="P183" i="2" s="1"/>
  <c r="P192" i="2" a="1"/>
  <c r="P192" i="2" s="1"/>
  <c r="P201" i="2" a="1"/>
  <c r="P201" i="2" s="1"/>
  <c r="P206" i="2" a="1"/>
  <c r="P206" i="2" s="1"/>
  <c r="P215" i="2" a="1"/>
  <c r="P215" i="2" s="1"/>
  <c r="P224" i="2" a="1"/>
  <c r="P224" i="2" s="1"/>
  <c r="P233" i="2" a="1"/>
  <c r="P233" i="2" s="1"/>
  <c r="P238" i="2" a="1"/>
  <c r="P238" i="2" s="1"/>
  <c r="P247" i="2" a="1"/>
  <c r="P247" i="2" s="1"/>
  <c r="P256" i="2" a="1"/>
  <c r="P256" i="2" s="1"/>
  <c r="P265" i="2" a="1"/>
  <c r="P265" i="2" s="1"/>
  <c r="P270" i="2" a="1"/>
  <c r="P270" i="2" s="1"/>
  <c r="P279" i="2" a="1"/>
  <c r="P279" i="2" s="1"/>
  <c r="P288" i="2" a="1"/>
  <c r="P288" i="2" s="1"/>
  <c r="P297" i="2" a="1"/>
  <c r="P297" i="2" s="1"/>
  <c r="P302" i="2" a="1"/>
  <c r="P302" i="2" s="1"/>
  <c r="P311" i="2" a="1"/>
  <c r="P311" i="2" s="1"/>
  <c r="P320" i="2" a="1"/>
  <c r="P320" i="2" s="1"/>
  <c r="P5" i="2" a="1"/>
  <c r="P5" i="2" s="1"/>
  <c r="P10" i="2" a="1"/>
  <c r="P10" i="2" s="1"/>
  <c r="P19" i="2" a="1"/>
  <c r="P19" i="2" s="1"/>
  <c r="P28" i="2" a="1"/>
  <c r="P28" i="2" s="1"/>
  <c r="P37" i="2" a="1"/>
  <c r="P37" i="2" s="1"/>
  <c r="P42" i="2" a="1"/>
  <c r="P42" i="2" s="1"/>
  <c r="P51" i="2" a="1"/>
  <c r="P51" i="2" s="1"/>
  <c r="P60" i="2" a="1"/>
  <c r="P60" i="2" s="1"/>
  <c r="P69" i="2" a="1"/>
  <c r="P69" i="2" s="1"/>
  <c r="P74" i="2" a="1"/>
  <c r="P74" i="2" s="1"/>
  <c r="P83" i="2" a="1"/>
  <c r="P83" i="2" s="1"/>
  <c r="P92" i="2" a="1"/>
  <c r="P92" i="2" s="1"/>
  <c r="P101" i="2" a="1"/>
  <c r="P101" i="2" s="1"/>
  <c r="P106" i="2" a="1"/>
  <c r="P106" i="2" s="1"/>
  <c r="P115" i="2" a="1"/>
  <c r="P115" i="2" s="1"/>
  <c r="P124" i="2" a="1"/>
  <c r="P124" i="2" s="1"/>
  <c r="P133" i="2" a="1"/>
  <c r="P133" i="2" s="1"/>
  <c r="P138" i="2" a="1"/>
  <c r="P138" i="2" s="1"/>
  <c r="P147" i="2" a="1"/>
  <c r="P147" i="2" s="1"/>
  <c r="P156" i="2" a="1"/>
  <c r="P156" i="2" s="1"/>
  <c r="P165" i="2" a="1"/>
  <c r="P165" i="2" s="1"/>
  <c r="P170" i="2" a="1"/>
  <c r="P170" i="2" s="1"/>
  <c r="P179" i="2" a="1"/>
  <c r="P179" i="2" s="1"/>
  <c r="P188" i="2" a="1"/>
  <c r="P188" i="2" s="1"/>
  <c r="P197" i="2" a="1"/>
  <c r="P197" i="2" s="1"/>
  <c r="P202" i="2" a="1"/>
  <c r="P202" i="2" s="1"/>
  <c r="P211" i="2" a="1"/>
  <c r="P211" i="2" s="1"/>
  <c r="P220" i="2" a="1"/>
  <c r="P220" i="2" s="1"/>
  <c r="P229" i="2" a="1"/>
  <c r="P229" i="2" s="1"/>
  <c r="P234" i="2" a="1"/>
  <c r="P234" i="2" s="1"/>
  <c r="P243" i="2" a="1"/>
  <c r="P243" i="2" s="1"/>
  <c r="P252" i="2" a="1"/>
  <c r="P252" i="2" s="1"/>
  <c r="P261" i="2" a="1"/>
  <c r="P261" i="2" s="1"/>
  <c r="P266" i="2" a="1"/>
  <c r="P266" i="2" s="1"/>
  <c r="P275" i="2" a="1"/>
  <c r="P275" i="2" s="1"/>
  <c r="P284" i="2" a="1"/>
  <c r="P284" i="2" s="1"/>
  <c r="P293" i="2" a="1"/>
  <c r="P293" i="2" s="1"/>
  <c r="P298" i="2" a="1"/>
  <c r="P298" i="2" s="1"/>
  <c r="P307" i="2" a="1"/>
  <c r="P307" i="2" s="1"/>
  <c r="P316" i="2" a="1"/>
  <c r="P316" i="2" s="1"/>
  <c r="P325" i="2" a="1"/>
  <c r="P325" i="2" s="1"/>
  <c r="P330" i="2" a="1"/>
  <c r="P330" i="2" s="1"/>
  <c r="P339" i="2" a="1"/>
  <c r="P339" i="2" s="1"/>
  <c r="P6" i="2" a="1"/>
  <c r="P6" i="2" s="1"/>
  <c r="P15" i="2" a="1"/>
  <c r="P15" i="2" s="1"/>
  <c r="P24" i="2" a="1"/>
  <c r="P24" i="2" s="1"/>
  <c r="P33" i="2" a="1"/>
  <c r="P33" i="2" s="1"/>
  <c r="P38" i="2" a="1"/>
  <c r="P38" i="2" s="1"/>
  <c r="P47" i="2" a="1"/>
  <c r="P47" i="2" s="1"/>
  <c r="P56" i="2" a="1"/>
  <c r="P56" i="2" s="1"/>
  <c r="P65" i="2" a="1"/>
  <c r="P65" i="2" s="1"/>
  <c r="P70" i="2" a="1"/>
  <c r="P70" i="2" s="1"/>
  <c r="P79" i="2" a="1"/>
  <c r="P79" i="2" s="1"/>
  <c r="P88" i="2" a="1"/>
  <c r="P88" i="2" s="1"/>
  <c r="P97" i="2" a="1"/>
  <c r="P97" i="2" s="1"/>
  <c r="P102" i="2" a="1"/>
  <c r="P102" i="2" s="1"/>
  <c r="P111" i="2" a="1"/>
  <c r="P111" i="2" s="1"/>
  <c r="P120" i="2" a="1"/>
  <c r="P120" i="2" s="1"/>
  <c r="P129" i="2" a="1"/>
  <c r="P129" i="2" s="1"/>
  <c r="P134" i="2" a="1"/>
  <c r="P134" i="2" s="1"/>
  <c r="P143" i="2" a="1"/>
  <c r="P143" i="2" s="1"/>
  <c r="P152" i="2" a="1"/>
  <c r="P152" i="2" s="1"/>
  <c r="P161" i="2" a="1"/>
  <c r="P161" i="2" s="1"/>
  <c r="P166" i="2" a="1"/>
  <c r="P166" i="2" s="1"/>
  <c r="P175" i="2" a="1"/>
  <c r="P175" i="2" s="1"/>
  <c r="P184" i="2" a="1"/>
  <c r="P184" i="2" s="1"/>
  <c r="P193" i="2" a="1"/>
  <c r="P193" i="2" s="1"/>
  <c r="P198" i="2" a="1"/>
  <c r="P198" i="2" s="1"/>
  <c r="P207" i="2" a="1"/>
  <c r="P207" i="2" s="1"/>
  <c r="P216" i="2" a="1"/>
  <c r="P216" i="2" s="1"/>
  <c r="P225" i="2" a="1"/>
  <c r="P225" i="2" s="1"/>
  <c r="P230" i="2" a="1"/>
  <c r="P230" i="2" s="1"/>
  <c r="P239" i="2" a="1"/>
  <c r="P239" i="2" s="1"/>
  <c r="P248" i="2" a="1"/>
  <c r="P248" i="2" s="1"/>
  <c r="P257" i="2" a="1"/>
  <c r="P257" i="2" s="1"/>
  <c r="P262" i="2" a="1"/>
  <c r="P262" i="2" s="1"/>
  <c r="P271" i="2" a="1"/>
  <c r="P271" i="2" s="1"/>
  <c r="P280" i="2" a="1"/>
  <c r="P280" i="2" s="1"/>
  <c r="P289" i="2" a="1"/>
  <c r="P289" i="2" s="1"/>
  <c r="P294" i="2" a="1"/>
  <c r="P294" i="2" s="1"/>
  <c r="P303" i="2" a="1"/>
  <c r="P303" i="2" s="1"/>
  <c r="P312" i="2" a="1"/>
  <c r="P312" i="2" s="1"/>
  <c r="P321" i="2" a="1"/>
  <c r="P321" i="2" s="1"/>
  <c r="P326" i="2" a="1"/>
  <c r="P326" i="2" s="1"/>
  <c r="P335" i="2" a="1"/>
  <c r="P335" i="2" s="1"/>
  <c r="P344" i="2" a="1"/>
  <c r="P344" i="2" s="1"/>
  <c r="P11" i="2" a="1"/>
  <c r="P11" i="2" s="1"/>
  <c r="P20" i="2" a="1"/>
  <c r="P20" i="2" s="1"/>
  <c r="P29" i="2" a="1"/>
  <c r="P29" i="2" s="1"/>
  <c r="P34" i="2" a="1"/>
  <c r="P34" i="2" s="1"/>
  <c r="P43" i="2" a="1"/>
  <c r="P43" i="2" s="1"/>
  <c r="P52" i="2" a="1"/>
  <c r="P52" i="2" s="1"/>
  <c r="P61" i="2" a="1"/>
  <c r="P61" i="2" s="1"/>
  <c r="P66" i="2" a="1"/>
  <c r="P66" i="2" s="1"/>
  <c r="P75" i="2" a="1"/>
  <c r="P75" i="2" s="1"/>
  <c r="P84" i="2" a="1"/>
  <c r="P84" i="2" s="1"/>
  <c r="P93" i="2" a="1"/>
  <c r="P93" i="2" s="1"/>
  <c r="P98" i="2" a="1"/>
  <c r="P98" i="2" s="1"/>
  <c r="P107" i="2" a="1"/>
  <c r="P107" i="2" s="1"/>
  <c r="P116" i="2" a="1"/>
  <c r="P116" i="2" s="1"/>
  <c r="P125" i="2" a="1"/>
  <c r="P125" i="2" s="1"/>
  <c r="P130" i="2" a="1"/>
  <c r="P130" i="2" s="1"/>
  <c r="P139" i="2" a="1"/>
  <c r="P139" i="2" s="1"/>
  <c r="P148" i="2" a="1"/>
  <c r="P148" i="2" s="1"/>
  <c r="P157" i="2" a="1"/>
  <c r="P157" i="2" s="1"/>
  <c r="P162" i="2" a="1"/>
  <c r="P162" i="2" s="1"/>
  <c r="P171" i="2" a="1"/>
  <c r="P171" i="2" s="1"/>
  <c r="P180" i="2" a="1"/>
  <c r="P180" i="2" s="1"/>
  <c r="P189" i="2" a="1"/>
  <c r="P189" i="2" s="1"/>
  <c r="P194" i="2" a="1"/>
  <c r="P194" i="2" s="1"/>
  <c r="P203" i="2" a="1"/>
  <c r="P203" i="2" s="1"/>
  <c r="P212" i="2" a="1"/>
  <c r="P212" i="2" s="1"/>
  <c r="P221" i="2" a="1"/>
  <c r="P221" i="2" s="1"/>
  <c r="P226" i="2" a="1"/>
  <c r="P226" i="2" s="1"/>
  <c r="P235" i="2" a="1"/>
  <c r="P235" i="2" s="1"/>
  <c r="P244" i="2" a="1"/>
  <c r="P244" i="2" s="1"/>
  <c r="P253" i="2" a="1"/>
  <c r="P253" i="2" s="1"/>
  <c r="P258" i="2" a="1"/>
  <c r="P258" i="2" s="1"/>
  <c r="P267" i="2" a="1"/>
  <c r="P267" i="2" s="1"/>
  <c r="P276" i="2" a="1"/>
  <c r="P276" i="2" s="1"/>
  <c r="P285" i="2" a="1"/>
  <c r="P285" i="2" s="1"/>
  <c r="P290" i="2" a="1"/>
  <c r="P290" i="2" s="1"/>
  <c r="P299" i="2" a="1"/>
  <c r="P299" i="2" s="1"/>
  <c r="P308" i="2" a="1"/>
  <c r="P308" i="2" s="1"/>
  <c r="P317" i="2" a="1"/>
  <c r="P317" i="2" s="1"/>
  <c r="P322" i="2" a="1"/>
  <c r="P322" i="2" s="1"/>
  <c r="P7" i="2" a="1"/>
  <c r="P7" i="2" s="1"/>
  <c r="P16" i="2" a="1"/>
  <c r="P16" i="2" s="1"/>
  <c r="P25" i="2" a="1"/>
  <c r="P25" i="2" s="1"/>
  <c r="P30" i="2" a="1"/>
  <c r="P30" i="2" s="1"/>
  <c r="P39" i="2" a="1"/>
  <c r="P39" i="2" s="1"/>
  <c r="P48" i="2" a="1"/>
  <c r="P48" i="2" s="1"/>
  <c r="P57" i="2" a="1"/>
  <c r="P57" i="2" s="1"/>
  <c r="P62" i="2" a="1"/>
  <c r="P62" i="2" s="1"/>
  <c r="P71" i="2" a="1"/>
  <c r="P71" i="2" s="1"/>
  <c r="P80" i="2" a="1"/>
  <c r="P80" i="2" s="1"/>
  <c r="P89" i="2" a="1"/>
  <c r="P89" i="2" s="1"/>
  <c r="P94" i="2" a="1"/>
  <c r="P94" i="2" s="1"/>
  <c r="P103" i="2" a="1"/>
  <c r="P103" i="2" s="1"/>
  <c r="P112" i="2" a="1"/>
  <c r="P112" i="2" s="1"/>
  <c r="P121" i="2" a="1"/>
  <c r="P121" i="2" s="1"/>
  <c r="P126" i="2" a="1"/>
  <c r="P126" i="2" s="1"/>
  <c r="P135" i="2" a="1"/>
  <c r="P135" i="2" s="1"/>
  <c r="P144" i="2" a="1"/>
  <c r="P144" i="2" s="1"/>
  <c r="P153" i="2" a="1"/>
  <c r="P153" i="2" s="1"/>
  <c r="P158" i="2" a="1"/>
  <c r="P158" i="2" s="1"/>
  <c r="P167" i="2" a="1"/>
  <c r="P167" i="2" s="1"/>
  <c r="P176" i="2" a="1"/>
  <c r="P176" i="2" s="1"/>
  <c r="P185" i="2" a="1"/>
  <c r="P185" i="2" s="1"/>
  <c r="P190" i="2" a="1"/>
  <c r="P190" i="2" s="1"/>
  <c r="P199" i="2" a="1"/>
  <c r="P199" i="2" s="1"/>
  <c r="P208" i="2" a="1"/>
  <c r="P208" i="2" s="1"/>
  <c r="P217" i="2" a="1"/>
  <c r="P217" i="2" s="1"/>
  <c r="P222" i="2" a="1"/>
  <c r="P222" i="2" s="1"/>
  <c r="P231" i="2" a="1"/>
  <c r="P231" i="2" s="1"/>
  <c r="P240" i="2" a="1"/>
  <c r="P240" i="2" s="1"/>
  <c r="P249" i="2" a="1"/>
  <c r="P249" i="2" s="1"/>
  <c r="P254" i="2" a="1"/>
  <c r="P254" i="2" s="1"/>
  <c r="P263" i="2" a="1"/>
  <c r="P263" i="2" s="1"/>
  <c r="P272" i="2" a="1"/>
  <c r="P272" i="2" s="1"/>
  <c r="P281" i="2" a="1"/>
  <c r="P281" i="2" s="1"/>
  <c r="P286" i="2" a="1"/>
  <c r="P286" i="2" s="1"/>
  <c r="P295" i="2" a="1"/>
  <c r="P295" i="2" s="1"/>
  <c r="P304" i="2" a="1"/>
  <c r="P304" i="2" s="1"/>
  <c r="P313" i="2" a="1"/>
  <c r="P313" i="2" s="1"/>
  <c r="P318" i="2" a="1"/>
  <c r="P318" i="2" s="1"/>
  <c r="P327" i="2" a="1"/>
  <c r="P327" i="2" s="1"/>
  <c r="P333" i="2" a="1"/>
  <c r="P333" i="2" s="1"/>
  <c r="P351" i="2" a="1"/>
  <c r="P351" i="2" s="1"/>
  <c r="P356" i="2" a="1"/>
  <c r="P356" i="2" s="1"/>
  <c r="P365" i="2" a="1"/>
  <c r="P365" i="2" s="1"/>
  <c r="P374" i="2" a="1"/>
  <c r="P374" i="2" s="1"/>
  <c r="P383" i="2" a="1"/>
  <c r="P383" i="2" s="1"/>
  <c r="P384" i="2" a="1"/>
  <c r="P384" i="2" s="1"/>
  <c r="P392" i="2" a="1"/>
  <c r="P392" i="2" s="1"/>
  <c r="P400" i="2" a="1"/>
  <c r="P400" i="2" s="1"/>
  <c r="P408" i="2" a="1"/>
  <c r="P408" i="2" s="1"/>
  <c r="P416" i="2" a="1"/>
  <c r="P416" i="2" s="1"/>
  <c r="P424" i="2" a="1"/>
  <c r="P424" i="2" s="1"/>
  <c r="P432" i="2" a="1"/>
  <c r="P432" i="2" s="1"/>
  <c r="P440" i="2" a="1"/>
  <c r="P440" i="2" s="1"/>
  <c r="P448" i="2" a="1"/>
  <c r="P448" i="2" s="1"/>
  <c r="P456" i="2" a="1"/>
  <c r="P456" i="2" s="1"/>
  <c r="P468" i="2" a="1"/>
  <c r="P468" i="2" s="1"/>
  <c r="P334" i="2" a="1"/>
  <c r="P334" i="2" s="1"/>
  <c r="P341" i="2" a="1"/>
  <c r="P341" i="2" s="1"/>
  <c r="P347" i="2" a="1"/>
  <c r="P347" i="2" s="1"/>
  <c r="P352" i="2" a="1"/>
  <c r="P352" i="2" s="1"/>
  <c r="P361" i="2" a="1"/>
  <c r="P361" i="2" s="1"/>
  <c r="P370" i="2" a="1"/>
  <c r="P370" i="2" s="1"/>
  <c r="P379" i="2" a="1"/>
  <c r="P379" i="2" s="1"/>
  <c r="P388" i="2" a="1"/>
  <c r="P388" i="2" s="1"/>
  <c r="P396" i="2" a="1"/>
  <c r="P396" i="2" s="1"/>
  <c r="P404" i="2" a="1"/>
  <c r="P404" i="2" s="1"/>
  <c r="P412" i="2" a="1"/>
  <c r="P412" i="2" s="1"/>
  <c r="P420" i="2" a="1"/>
  <c r="P420" i="2" s="1"/>
  <c r="P428" i="2" a="1"/>
  <c r="P428" i="2" s="1"/>
  <c r="P436" i="2" a="1"/>
  <c r="P436" i="2" s="1"/>
  <c r="P444" i="2" a="1"/>
  <c r="P444" i="2" s="1"/>
  <c r="P452" i="2" a="1"/>
  <c r="P452" i="2" s="1"/>
  <c r="P460" i="2" a="1"/>
  <c r="P460" i="2" s="1"/>
  <c r="P472" i="2" a="1"/>
  <c r="P472" i="2" s="1"/>
  <c r="P348" i="2" a="1"/>
  <c r="P348" i="2" s="1"/>
  <c r="P357" i="2" a="1"/>
  <c r="P357" i="2" s="1"/>
  <c r="P366" i="2" a="1"/>
  <c r="P366" i="2" s="1"/>
  <c r="P375" i="2" a="1"/>
  <c r="P375" i="2" s="1"/>
  <c r="P380" i="2" a="1"/>
  <c r="P380" i="2" s="1"/>
  <c r="P385" i="2" a="1"/>
  <c r="P385" i="2" s="1"/>
  <c r="P393" i="2" a="1"/>
  <c r="P393" i="2" s="1"/>
  <c r="P401" i="2" a="1"/>
  <c r="P401" i="2" s="1"/>
  <c r="P409" i="2" a="1"/>
  <c r="P409" i="2" s="1"/>
  <c r="P417" i="2" a="1"/>
  <c r="P417" i="2" s="1"/>
  <c r="P425" i="2" a="1"/>
  <c r="P425" i="2" s="1"/>
  <c r="P433" i="2" a="1"/>
  <c r="P433" i="2" s="1"/>
  <c r="P441" i="2" a="1"/>
  <c r="P441" i="2" s="1"/>
  <c r="P449" i="2" a="1"/>
  <c r="P449" i="2" s="1"/>
  <c r="P457" i="2" a="1"/>
  <c r="P457" i="2" s="1"/>
  <c r="P465" i="2" a="1"/>
  <c r="P465" i="2" s="1"/>
  <c r="P2" i="2" a="1"/>
  <c r="P2" i="2" s="1"/>
  <c r="P336" i="2" a="1"/>
  <c r="P336" i="2" s="1"/>
  <c r="P343" i="2" a="1"/>
  <c r="P343" i="2" s="1"/>
  <c r="P353" i="2" a="1"/>
  <c r="P353" i="2" s="1"/>
  <c r="P362" i="2" a="1"/>
  <c r="P362" i="2" s="1"/>
  <c r="P371" i="2" a="1"/>
  <c r="P371" i="2" s="1"/>
  <c r="P376" i="2" a="1"/>
  <c r="P376" i="2" s="1"/>
  <c r="P389" i="2" a="1"/>
  <c r="P389" i="2" s="1"/>
  <c r="P397" i="2" a="1"/>
  <c r="P397" i="2" s="1"/>
  <c r="P405" i="2" a="1"/>
  <c r="P405" i="2" s="1"/>
  <c r="P413" i="2" a="1"/>
  <c r="P413" i="2" s="1"/>
  <c r="P421" i="2" a="1"/>
  <c r="P421" i="2" s="1"/>
  <c r="P429" i="2" a="1"/>
  <c r="P429" i="2" s="1"/>
  <c r="P437" i="2" a="1"/>
  <c r="P437" i="2" s="1"/>
  <c r="P445" i="2" a="1"/>
  <c r="P445" i="2" s="1"/>
  <c r="P453" i="2" a="1"/>
  <c r="P453" i="2" s="1"/>
  <c r="P461" i="2" a="1"/>
  <c r="P461" i="2" s="1"/>
  <c r="P469" i="2" a="1"/>
  <c r="P469" i="2" s="1"/>
  <c r="P470" i="2" a="1"/>
  <c r="P470" i="2" s="1"/>
  <c r="P329" i="2" a="1"/>
  <c r="P329" i="2" s="1"/>
  <c r="P349" i="2" a="1"/>
  <c r="P349" i="2" s="1"/>
  <c r="P358" i="2" a="1"/>
  <c r="P358" i="2" s="1"/>
  <c r="P367" i="2" a="1"/>
  <c r="P367" i="2" s="1"/>
  <c r="P372" i="2" a="1"/>
  <c r="P372" i="2" s="1"/>
  <c r="P381" i="2" a="1"/>
  <c r="P381" i="2" s="1"/>
  <c r="P386" i="2" a="1"/>
  <c r="P386" i="2" s="1"/>
  <c r="P394" i="2" a="1"/>
  <c r="P394" i="2" s="1"/>
  <c r="P402" i="2" a="1"/>
  <c r="P402" i="2" s="1"/>
  <c r="P410" i="2" a="1"/>
  <c r="P410" i="2" s="1"/>
  <c r="P418" i="2" a="1"/>
  <c r="P418" i="2" s="1"/>
  <c r="P426" i="2" a="1"/>
  <c r="P426" i="2" s="1"/>
  <c r="P434" i="2" a="1"/>
  <c r="P434" i="2" s="1"/>
  <c r="P442" i="2" a="1"/>
  <c r="P442" i="2" s="1"/>
  <c r="P450" i="2" a="1"/>
  <c r="P450" i="2" s="1"/>
  <c r="P458" i="2" a="1"/>
  <c r="P458" i="2" s="1"/>
  <c r="P466" i="2" a="1"/>
  <c r="P466" i="2" s="1"/>
  <c r="P331" i="2" a="1"/>
  <c r="P331" i="2" s="1"/>
  <c r="P338" i="2" a="1"/>
  <c r="P338" i="2" s="1"/>
  <c r="P345" i="2" a="1"/>
  <c r="P345" i="2" s="1"/>
  <c r="P354" i="2" a="1"/>
  <c r="P354" i="2" s="1"/>
  <c r="P363" i="2" a="1"/>
  <c r="P363" i="2" s="1"/>
  <c r="P368" i="2" a="1"/>
  <c r="P368" i="2" s="1"/>
  <c r="P377" i="2" a="1"/>
  <c r="P377" i="2" s="1"/>
  <c r="P390" i="2" a="1"/>
  <c r="P390" i="2" s="1"/>
  <c r="P398" i="2" a="1"/>
  <c r="P398" i="2" s="1"/>
  <c r="P406" i="2" a="1"/>
  <c r="P406" i="2" s="1"/>
  <c r="P414" i="2" a="1"/>
  <c r="P414" i="2" s="1"/>
  <c r="P422" i="2" a="1"/>
  <c r="P422" i="2" s="1"/>
  <c r="P430" i="2" a="1"/>
  <c r="P430" i="2" s="1"/>
  <c r="P438" i="2" a="1"/>
  <c r="P438" i="2" s="1"/>
  <c r="P446" i="2" a="1"/>
  <c r="P446" i="2" s="1"/>
  <c r="P454" i="2" a="1"/>
  <c r="P454" i="2" s="1"/>
  <c r="P462" i="2" a="1"/>
  <c r="P462" i="2" s="1"/>
  <c r="P464" i="2" a="1"/>
  <c r="P464" i="2" s="1"/>
  <c r="P350" i="2" a="1"/>
  <c r="P350" i="2" s="1"/>
  <c r="P359" i="2" a="1"/>
  <c r="P359" i="2" s="1"/>
  <c r="P364" i="2" a="1"/>
  <c r="P364" i="2" s="1"/>
  <c r="P373" i="2" a="1"/>
  <c r="P373" i="2" s="1"/>
  <c r="P382" i="2" a="1"/>
  <c r="P382" i="2" s="1"/>
  <c r="P378" i="2" a="1"/>
  <c r="P378" i="2" s="1"/>
  <c r="P391" i="2" a="1"/>
  <c r="P391" i="2" s="1"/>
  <c r="P395" i="2" a="1"/>
  <c r="P395" i="2" s="1"/>
  <c r="P403" i="2" a="1"/>
  <c r="P403" i="2" s="1"/>
  <c r="P411" i="2" a="1"/>
  <c r="P411" i="2" s="1"/>
  <c r="P419" i="2" a="1"/>
  <c r="P419" i="2" s="1"/>
  <c r="P427" i="2" a="1"/>
  <c r="P427" i="2" s="1"/>
  <c r="P435" i="2" a="1"/>
  <c r="P435" i="2" s="1"/>
  <c r="P443" i="2" a="1"/>
  <c r="P443" i="2" s="1"/>
  <c r="P451" i="2" a="1"/>
  <c r="P451" i="2" s="1"/>
  <c r="P463" i="2" a="1"/>
  <c r="P463" i="2" s="1"/>
  <c r="P471" i="2" a="1"/>
  <c r="P471" i="2" s="1"/>
  <c r="P332" i="2" a="1"/>
  <c r="P332" i="2" s="1"/>
  <c r="P340" i="2" a="1"/>
  <c r="P340" i="2" s="1"/>
  <c r="P346" i="2" a="1"/>
  <c r="P346" i="2" s="1"/>
  <c r="P355" i="2" a="1"/>
  <c r="P355" i="2" s="1"/>
  <c r="P360" i="2" a="1"/>
  <c r="P360" i="2" s="1"/>
  <c r="P369" i="2" a="1"/>
  <c r="P369" i="2" s="1"/>
  <c r="P387" i="2" a="1"/>
  <c r="P387" i="2" s="1"/>
  <c r="P399" i="2" a="1"/>
  <c r="P399" i="2" s="1"/>
  <c r="P407" i="2" a="1"/>
  <c r="P407" i="2" s="1"/>
  <c r="P415" i="2" a="1"/>
  <c r="P415" i="2" s="1"/>
  <c r="P423" i="2" a="1"/>
  <c r="P423" i="2" s="1"/>
  <c r="P431" i="2" a="1"/>
  <c r="P431" i="2" s="1"/>
  <c r="P439" i="2" a="1"/>
  <c r="P439" i="2" s="1"/>
  <c r="P447" i="2" a="1"/>
  <c r="P447" i="2" s="1"/>
  <c r="P455" i="2" a="1"/>
  <c r="P455" i="2" s="1"/>
  <c r="P459" i="2" a="1"/>
  <c r="P459" i="2" s="1"/>
  <c r="P467" i="2" a="1"/>
  <c r="P467" i="2" s="1"/>
  <c r="O2" i="3" a="1"/>
  <c r="O2" i="3" s="1"/>
  <c r="O66" i="3" a="1"/>
  <c r="O66" i="3" s="1"/>
  <c r="O130" i="3" a="1"/>
  <c r="O130" i="3" s="1"/>
  <c r="O47" i="3" a="1"/>
  <c r="O47" i="3" s="1"/>
  <c r="O111" i="3" a="1"/>
  <c r="O111" i="3" s="1"/>
  <c r="O16" i="3" a="1"/>
  <c r="O16" i="3" s="1"/>
  <c r="O80" i="3" a="1"/>
  <c r="O80" i="3" s="1"/>
  <c r="O144" i="3" a="1"/>
  <c r="O144" i="3" s="1"/>
  <c r="O62" i="3" a="1"/>
  <c r="O62" i="3" s="1"/>
  <c r="O126" i="3" a="1"/>
  <c r="O126" i="3" s="1"/>
  <c r="O37" i="3" a="1"/>
  <c r="O37" i="3" s="1"/>
  <c r="O101" i="3" a="1"/>
  <c r="O101" i="3" s="1"/>
  <c r="O12" i="3" a="1"/>
  <c r="O12" i="3" s="1"/>
  <c r="O76" i="3" a="1"/>
  <c r="O76" i="3" s="1"/>
  <c r="O140" i="3" a="1"/>
  <c r="O140" i="3" s="1"/>
  <c r="O64" i="3" a="1"/>
  <c r="O64" i="3" s="1"/>
  <c r="O128" i="3" a="1"/>
  <c r="O128" i="3" s="1"/>
  <c r="O46" i="3" a="1"/>
  <c r="O46" i="3" s="1"/>
  <c r="O129" i="3" a="1"/>
  <c r="O129" i="3" s="1"/>
  <c r="O8" i="3" a="1"/>
  <c r="O8" i="3" s="1"/>
  <c r="O72" i="3" a="1"/>
  <c r="O72" i="3" s="1"/>
  <c r="O136" i="3" a="1"/>
  <c r="O136" i="3" s="1"/>
  <c r="O54" i="3" a="1"/>
  <c r="O54" i="3" s="1"/>
  <c r="O118" i="3" a="1"/>
  <c r="O118" i="3" s="1"/>
  <c r="O29" i="3" a="1"/>
  <c r="O29" i="3" s="1"/>
  <c r="O93" i="3" a="1"/>
  <c r="O93" i="3" s="1"/>
  <c r="O4" i="3" a="1"/>
  <c r="O4" i="3" s="1"/>
  <c r="O68" i="3" a="1"/>
  <c r="O68" i="3" s="1"/>
  <c r="O132" i="3" a="1"/>
  <c r="O132" i="3" s="1"/>
  <c r="O43" i="3" a="1"/>
  <c r="O43" i="3" s="1"/>
  <c r="O107" i="3" a="1"/>
  <c r="O107" i="3" s="1"/>
  <c r="O25" i="3" a="1"/>
  <c r="O25" i="3" s="1"/>
  <c r="O89" i="3" a="1"/>
  <c r="O89" i="3" s="1"/>
  <c r="O13" i="3" a="1"/>
  <c r="O13" i="3" s="1"/>
  <c r="O77" i="3" a="1"/>
  <c r="O77" i="3" s="1"/>
  <c r="O141" i="3" a="1"/>
  <c r="O141" i="3" s="1"/>
  <c r="O52" i="3" a="1"/>
  <c r="O52" i="3" s="1"/>
  <c r="O116" i="3" a="1"/>
  <c r="O116" i="3" s="1"/>
  <c r="O21" i="3" a="1"/>
  <c r="O21" i="3" s="1"/>
  <c r="O85" i="3" a="1"/>
  <c r="O85" i="3" s="1"/>
  <c r="O149" i="3" a="1"/>
  <c r="O149" i="3" s="1"/>
  <c r="O60" i="3" a="1"/>
  <c r="O60" i="3" s="1"/>
  <c r="O124" i="3" a="1"/>
  <c r="O124" i="3" s="1"/>
  <c r="O35" i="3" a="1"/>
  <c r="O35" i="3" s="1"/>
  <c r="O99" i="3" a="1"/>
  <c r="O99" i="3" s="1"/>
  <c r="O17" i="3" a="1"/>
  <c r="O17" i="3" s="1"/>
  <c r="O81" i="3" a="1"/>
  <c r="O81" i="3" s="1"/>
  <c r="O145" i="3" a="1"/>
  <c r="O145" i="3" s="1"/>
  <c r="O50" i="3" a="1"/>
  <c r="O50" i="3" s="1"/>
  <c r="O114" i="3" a="1"/>
  <c r="O114" i="3" s="1"/>
  <c r="O31" i="3" a="1"/>
  <c r="O31" i="3" s="1"/>
  <c r="O95" i="3" a="1"/>
  <c r="O95" i="3" s="1"/>
  <c r="O19" i="3" a="1"/>
  <c r="O19" i="3" s="1"/>
  <c r="O83" i="3" a="1"/>
  <c r="O83" i="3" s="1"/>
  <c r="O147" i="3" a="1"/>
  <c r="O147" i="3" s="1"/>
  <c r="O65" i="3" a="1"/>
  <c r="O65" i="3" s="1"/>
  <c r="O27" i="3" a="1"/>
  <c r="O27" i="3" s="1"/>
  <c r="O91" i="3" a="1"/>
  <c r="O91" i="3" s="1"/>
  <c r="O9" i="3" a="1"/>
  <c r="O9" i="3" s="1"/>
  <c r="O73" i="3" a="1"/>
  <c r="O73" i="3" s="1"/>
  <c r="O137" i="3" a="1"/>
  <c r="O137" i="3" s="1"/>
  <c r="O42" i="3" a="1"/>
  <c r="O42" i="3" s="1"/>
  <c r="O106" i="3" a="1"/>
  <c r="O106" i="3" s="1"/>
  <c r="O23" i="3" a="1"/>
  <c r="O23" i="3" s="1"/>
  <c r="O87" i="3" a="1"/>
  <c r="O87" i="3" s="1"/>
  <c r="O151" i="3" a="1"/>
  <c r="O151" i="3" s="1"/>
  <c r="O56" i="3" a="1"/>
  <c r="O56" i="3" s="1"/>
  <c r="O120" i="3" a="1"/>
  <c r="O120" i="3" s="1"/>
  <c r="O38" i="3" a="1"/>
  <c r="O38" i="3" s="1"/>
  <c r="O102" i="3" a="1"/>
  <c r="O102" i="3" s="1"/>
  <c r="O26" i="3" a="1"/>
  <c r="O26" i="3" s="1"/>
  <c r="O90" i="3" a="1"/>
  <c r="O90" i="3" s="1"/>
  <c r="O7" i="3" a="1"/>
  <c r="O7" i="3" s="1"/>
  <c r="O71" i="3" a="1"/>
  <c r="O71" i="3" s="1"/>
  <c r="O135" i="3" a="1"/>
  <c r="O135" i="3" s="1"/>
  <c r="O34" i="3" a="1"/>
  <c r="O34" i="3" s="1"/>
  <c r="O98" i="3" a="1"/>
  <c r="O98" i="3" s="1"/>
  <c r="O15" i="3" a="1"/>
  <c r="O15" i="3" s="1"/>
  <c r="O79" i="3" a="1"/>
  <c r="O79" i="3" s="1"/>
  <c r="O143" i="3" a="1"/>
  <c r="O143" i="3" s="1"/>
  <c r="O48" i="3" a="1"/>
  <c r="O48" i="3" s="1"/>
  <c r="O112" i="3" a="1"/>
  <c r="O112" i="3" s="1"/>
  <c r="O30" i="3" a="1"/>
  <c r="O30" i="3" s="1"/>
  <c r="O94" i="3" a="1"/>
  <c r="O94" i="3" s="1"/>
  <c r="O5" i="3" a="1"/>
  <c r="O5" i="3" s="1"/>
  <c r="O69" i="3" a="1"/>
  <c r="O69" i="3" s="1"/>
  <c r="O133" i="3" a="1"/>
  <c r="O133" i="3" s="1"/>
  <c r="O44" i="3" a="1"/>
  <c r="O44" i="3" s="1"/>
  <c r="O108" i="3" a="1"/>
  <c r="O108" i="3" s="1"/>
  <c r="O32" i="3" a="1"/>
  <c r="O32" i="3" s="1"/>
  <c r="O96" i="3" a="1"/>
  <c r="O96" i="3" s="1"/>
  <c r="O14" i="3" a="1"/>
  <c r="O14" i="3" s="1"/>
  <c r="O78" i="3" a="1"/>
  <c r="O78" i="3" s="1"/>
  <c r="O142" i="3" a="1"/>
  <c r="O142" i="3" s="1"/>
  <c r="O40" i="3" a="1"/>
  <c r="O40" i="3" s="1"/>
  <c r="O104" i="3" a="1"/>
  <c r="O104" i="3" s="1"/>
  <c r="O22" i="3" a="1"/>
  <c r="O22" i="3" s="1"/>
  <c r="O86" i="3" a="1"/>
  <c r="O86" i="3" s="1"/>
  <c r="O150" i="3" a="1"/>
  <c r="O150" i="3" s="1"/>
  <c r="O61" i="3" a="1"/>
  <c r="O61" i="3" s="1"/>
  <c r="O125" i="3" a="1"/>
  <c r="O125" i="3" s="1"/>
  <c r="O36" i="3" a="1"/>
  <c r="O36" i="3" s="1"/>
  <c r="O100" i="3" a="1"/>
  <c r="O100" i="3" s="1"/>
  <c r="O11" i="3" a="1"/>
  <c r="O11" i="3" s="1"/>
  <c r="O75" i="3" a="1"/>
  <c r="O75" i="3" s="1"/>
  <c r="O139" i="3" a="1"/>
  <c r="O139" i="3" s="1"/>
  <c r="O57" i="3" a="1"/>
  <c r="O57" i="3" s="1"/>
  <c r="O121" i="3" a="1"/>
  <c r="O121" i="3" s="1"/>
  <c r="O45" i="3" a="1"/>
  <c r="O45" i="3" s="1"/>
  <c r="O109" i="3" a="1"/>
  <c r="O109" i="3" s="1"/>
  <c r="O20" i="3" a="1"/>
  <c r="O20" i="3" s="1"/>
  <c r="O84" i="3" a="1"/>
  <c r="O84" i="3" s="1"/>
  <c r="O148" i="3" a="1"/>
  <c r="O148" i="3" s="1"/>
  <c r="O53" i="3" a="1"/>
  <c r="O53" i="3" s="1"/>
  <c r="O117" i="3" a="1"/>
  <c r="O117" i="3" s="1"/>
  <c r="O28" i="3" a="1"/>
  <c r="O28" i="3" s="1"/>
  <c r="O92" i="3" a="1"/>
  <c r="O92" i="3" s="1"/>
  <c r="O3" i="3" a="1"/>
  <c r="O3" i="3" s="1"/>
  <c r="O67" i="3" a="1"/>
  <c r="O67" i="3" s="1"/>
  <c r="O131" i="3" a="1"/>
  <c r="O131" i="3" s="1"/>
  <c r="O49" i="3" a="1"/>
  <c r="O49" i="3" s="1"/>
  <c r="O113" i="3" a="1"/>
  <c r="O113" i="3" s="1"/>
  <c r="P113" i="3" s="1"/>
  <c r="O18" i="3" a="1"/>
  <c r="O18" i="3" s="1"/>
  <c r="O82" i="3" a="1"/>
  <c r="O82" i="3" s="1"/>
  <c r="O146" i="3" a="1"/>
  <c r="O146" i="3" s="1"/>
  <c r="O63" i="3" a="1"/>
  <c r="O63" i="3" s="1"/>
  <c r="O127" i="3" a="1"/>
  <c r="O127" i="3" s="1"/>
  <c r="O51" i="3" a="1"/>
  <c r="O51" i="3" s="1"/>
  <c r="O115" i="3" a="1"/>
  <c r="O115" i="3" s="1"/>
  <c r="P115" i="3" s="1"/>
  <c r="O33" i="3" a="1"/>
  <c r="O33" i="3" s="1"/>
  <c r="P33" i="3" s="1"/>
  <c r="O97" i="3" a="1"/>
  <c r="O97" i="3" s="1"/>
  <c r="O110" i="3" a="1"/>
  <c r="O110" i="3" s="1"/>
  <c r="O59" i="3" a="1"/>
  <c r="O59" i="3" s="1"/>
  <c r="O123" i="3" a="1"/>
  <c r="O123" i="3" s="1"/>
  <c r="O41" i="3" a="1"/>
  <c r="O41" i="3" s="1"/>
  <c r="O105" i="3" a="1"/>
  <c r="O105" i="3" s="1"/>
  <c r="O10" i="3" a="1"/>
  <c r="O10" i="3" s="1"/>
  <c r="O74" i="3" a="1"/>
  <c r="O74" i="3" s="1"/>
  <c r="O138" i="3" a="1"/>
  <c r="O138" i="3" s="1"/>
  <c r="O55" i="3" a="1"/>
  <c r="O55" i="3" s="1"/>
  <c r="O119" i="3" a="1"/>
  <c r="O119" i="3" s="1"/>
  <c r="O24" i="3" a="1"/>
  <c r="O24" i="3" s="1"/>
  <c r="O88" i="3" a="1"/>
  <c r="O88" i="3" s="1"/>
  <c r="O6" i="3" a="1"/>
  <c r="O6" i="3" s="1"/>
  <c r="O70" i="3" a="1"/>
  <c r="O70" i="3" s="1"/>
  <c r="O134" i="3" a="1"/>
  <c r="O134" i="3" s="1"/>
  <c r="P134" i="3" s="1"/>
  <c r="O58" i="3" a="1"/>
  <c r="O58" i="3" s="1"/>
  <c r="P58" i="3" s="1"/>
  <c r="O122" i="3" a="1"/>
  <c r="O122" i="3" s="1"/>
  <c r="O39" i="3" a="1"/>
  <c r="O39" i="3" s="1"/>
  <c r="P39" i="3" s="1"/>
  <c r="O103" i="3" a="1"/>
  <c r="O103" i="3" s="1"/>
  <c r="P2" i="3"/>
  <c r="P127" i="3"/>
  <c r="P140" i="3"/>
  <c r="P117" i="3"/>
  <c r="P12" i="3"/>
  <c r="P9" i="3"/>
  <c r="P135" i="3"/>
  <c r="P112" i="3"/>
  <c r="P130" i="3"/>
  <c r="P16" i="3"/>
  <c r="P18" i="3"/>
  <c r="P143" i="3"/>
  <c r="P133" i="3"/>
  <c r="P110" i="3"/>
  <c r="P17" i="3"/>
  <c r="P151" i="3"/>
  <c r="P128" i="3"/>
  <c r="P141" i="3"/>
  <c r="P118" i="3"/>
  <c r="P136" i="3"/>
  <c r="P131" i="3"/>
  <c r="P108" i="3"/>
  <c r="P60" i="3"/>
  <c r="P144" i="3"/>
  <c r="P116" i="3"/>
  <c r="P61" i="3"/>
  <c r="P34" i="3"/>
  <c r="P111" i="3"/>
  <c r="P129" i="3"/>
  <c r="P142" i="3"/>
  <c r="P27" i="3"/>
  <c r="P38" i="3"/>
  <c r="P137" i="3"/>
  <c r="P114" i="3"/>
  <c r="P132" i="3"/>
  <c r="P109" i="3"/>
  <c r="Q416" i="2"/>
  <c r="Q424" i="2"/>
  <c r="Q432" i="2"/>
  <c r="Q417" i="2"/>
  <c r="Q425" i="2"/>
  <c r="Q433" i="2"/>
  <c r="Q418" i="2"/>
  <c r="Q426" i="2"/>
  <c r="Q434" i="2"/>
  <c r="Q419" i="2"/>
  <c r="Q427" i="2"/>
  <c r="Q435" i="2"/>
  <c r="Q420" i="2"/>
  <c r="Q428" i="2"/>
  <c r="Q436" i="2"/>
  <c r="Q421" i="2"/>
  <c r="Q429" i="2"/>
  <c r="Q437" i="2"/>
  <c r="Q422" i="2"/>
  <c r="Q430" i="2"/>
  <c r="Q423" i="2"/>
  <c r="Q431" i="2"/>
  <c r="F2" i="1"/>
  <c r="N2" i="1" s="1"/>
  <c r="F3" i="1"/>
  <c r="N3" i="1" s="1"/>
  <c r="F4" i="1"/>
  <c r="N4" i="1" s="1"/>
  <c r="F5" i="1"/>
  <c r="N5" i="1" s="1"/>
  <c r="F6" i="1"/>
  <c r="N6" i="1" s="1"/>
  <c r="F7" i="1"/>
  <c r="F8" i="1"/>
  <c r="N8" i="1" s="1"/>
  <c r="F9" i="1"/>
  <c r="F10" i="1"/>
  <c r="N10" i="1" s="1"/>
  <c r="F11" i="1"/>
  <c r="N11" i="1" s="1"/>
  <c r="F12" i="1"/>
  <c r="L3" i="3" l="1"/>
  <c r="L4" i="3"/>
  <c r="L5" i="3"/>
  <c r="L6" i="3"/>
  <c r="L7" i="3"/>
  <c r="L8" i="3"/>
  <c r="L2" i="1" l="1"/>
  <c r="L3" i="1" l="1"/>
  <c r="L4" i="1"/>
  <c r="L5" i="1"/>
  <c r="L6" i="1"/>
  <c r="L7" i="1"/>
  <c r="L8" i="1"/>
  <c r="L9" i="1"/>
  <c r="L10" i="1"/>
  <c r="L11" i="1"/>
  <c r="L12" i="1"/>
  <c r="J3" i="1"/>
  <c r="K3" i="1"/>
  <c r="J4" i="1"/>
  <c r="K4" i="1"/>
  <c r="J5" i="1"/>
  <c r="K5" i="1"/>
  <c r="J6" i="1"/>
  <c r="K6" i="1"/>
  <c r="J7" i="1"/>
  <c r="K7" i="1"/>
  <c r="J8" i="1"/>
  <c r="K8" i="1"/>
  <c r="J9" i="1"/>
  <c r="K9" i="1"/>
  <c r="J10" i="1"/>
  <c r="K10" i="1"/>
  <c r="J11" i="1"/>
  <c r="K11" i="1"/>
  <c r="J12" i="1"/>
  <c r="K12" i="1"/>
  <c r="K2" i="1"/>
  <c r="J2" i="1"/>
  <c r="O25" i="4" l="1"/>
  <c r="P25" i="4"/>
  <c r="Q82" i="2" l="1"/>
  <c r="Q83" i="2"/>
  <c r="Q49" i="2"/>
  <c r="Q47" i="2"/>
  <c r="Q348" i="2"/>
  <c r="Q344" i="2"/>
  <c r="Q346" i="2"/>
  <c r="Q52" i="2"/>
  <c r="Q246" i="2"/>
  <c r="Q244" i="2"/>
  <c r="Q260" i="2"/>
  <c r="Q254" i="2"/>
  <c r="Q243" i="2"/>
  <c r="Q242" i="2"/>
  <c r="Q240" i="2"/>
  <c r="P49" i="3"/>
  <c r="Q269" i="2"/>
  <c r="Q267" i="2"/>
  <c r="Q135" i="2"/>
  <c r="Q126" i="2"/>
  <c r="P29" i="3"/>
  <c r="Q141" i="2"/>
  <c r="Q136" i="2"/>
  <c r="Q127" i="2"/>
  <c r="Q140" i="2"/>
  <c r="Q125" i="2"/>
  <c r="Q128" i="2"/>
  <c r="Q131" i="2"/>
  <c r="Q138" i="2"/>
  <c r="Q408" i="2"/>
  <c r="Q410" i="2"/>
  <c r="P139" i="3"/>
  <c r="Q91" i="2"/>
  <c r="Q92" i="2"/>
  <c r="P23" i="3"/>
  <c r="Q233" i="2"/>
  <c r="Q210" i="2"/>
  <c r="Q218" i="2"/>
  <c r="Q222" i="2"/>
  <c r="Q216" i="2"/>
  <c r="Q215" i="2"/>
  <c r="Q227" i="2"/>
  <c r="Q217" i="2"/>
  <c r="P46" i="3"/>
  <c r="Q212" i="2"/>
  <c r="Q228" i="2"/>
  <c r="Q209" i="2"/>
  <c r="Q230" i="2"/>
  <c r="Q219" i="2"/>
  <c r="Q231" i="2"/>
  <c r="Q221" i="2"/>
  <c r="Q232" i="2"/>
  <c r="Q213" i="2"/>
  <c r="Q225" i="2"/>
  <c r="Q229" i="2"/>
  <c r="Q223" i="2"/>
  <c r="Q220" i="2"/>
  <c r="Q224" i="2"/>
  <c r="Q214" i="2"/>
  <c r="Q226" i="2"/>
  <c r="Q211" i="2"/>
  <c r="Q184" i="2"/>
  <c r="P11" i="3"/>
  <c r="Q183" i="2"/>
  <c r="Q182" i="2"/>
  <c r="Q25" i="2"/>
  <c r="Q386" i="2"/>
  <c r="Q29" i="2"/>
  <c r="Q384" i="2"/>
  <c r="Q24" i="2"/>
  <c r="Q28" i="2"/>
  <c r="Q383" i="2"/>
  <c r="Q197" i="2"/>
  <c r="P44" i="3"/>
  <c r="Q382" i="2"/>
  <c r="Q385" i="2"/>
  <c r="Q27" i="2"/>
  <c r="Q26" i="2"/>
  <c r="Q443" i="2"/>
  <c r="Q441" i="2"/>
  <c r="Q445" i="2"/>
  <c r="Q447" i="2"/>
  <c r="Q440" i="2"/>
  <c r="P147" i="3"/>
  <c r="Q444" i="2"/>
  <c r="Q442" i="2"/>
  <c r="Q446" i="2"/>
  <c r="Q448" i="2"/>
  <c r="Q361" i="2"/>
  <c r="Q356" i="2"/>
  <c r="Q360" i="2"/>
  <c r="Q359" i="2"/>
  <c r="Q358" i="2"/>
  <c r="P57" i="3"/>
  <c r="Q362" i="2"/>
  <c r="Q357" i="2"/>
  <c r="Q403" i="2"/>
  <c r="Q402" i="2"/>
  <c r="Q394" i="2"/>
  <c r="Q393" i="2"/>
  <c r="Q405" i="2"/>
  <c r="Q404" i="2"/>
  <c r="Q388" i="2"/>
  <c r="Q400" i="2"/>
  <c r="Q395" i="2"/>
  <c r="Q406" i="2"/>
  <c r="Q391" i="2"/>
  <c r="Q398" i="2"/>
  <c r="Q397" i="2"/>
  <c r="Q389" i="2"/>
  <c r="Q392" i="2"/>
  <c r="P121" i="3"/>
  <c r="Q399" i="2"/>
  <c r="Q401" i="2"/>
  <c r="Q390" i="2"/>
  <c r="Q396" i="2"/>
  <c r="Q167" i="2"/>
  <c r="Q171" i="2"/>
  <c r="Q165" i="2"/>
  <c r="Q162" i="2"/>
  <c r="Q166" i="2"/>
  <c r="Q169" i="2"/>
  <c r="Q170" i="2"/>
  <c r="Q164" i="2"/>
  <c r="Q161" i="2"/>
  <c r="Q168" i="2"/>
  <c r="P37" i="3"/>
  <c r="Q163" i="2"/>
  <c r="Q463" i="2"/>
  <c r="Q466" i="2"/>
  <c r="Q461" i="2"/>
  <c r="Q467" i="2"/>
  <c r="Q468" i="2"/>
  <c r="Q469" i="2"/>
  <c r="Q464" i="2"/>
  <c r="P146" i="3"/>
  <c r="Q462" i="2"/>
  <c r="Q465" i="2"/>
  <c r="Q471" i="2"/>
  <c r="Q470" i="2"/>
  <c r="Q472" i="2"/>
  <c r="Q315" i="2"/>
  <c r="Q296" i="2"/>
  <c r="Q336" i="2"/>
  <c r="Q313" i="2"/>
  <c r="Q334" i="2"/>
  <c r="Q306" i="2"/>
  <c r="Q200" i="2"/>
  <c r="Q327" i="2"/>
  <c r="Q308" i="2"/>
  <c r="Q330" i="2"/>
  <c r="Q325" i="2"/>
  <c r="Q337" i="2"/>
  <c r="Q299" i="2"/>
  <c r="Q321" i="2"/>
  <c r="Q320" i="2"/>
  <c r="Q333" i="2"/>
  <c r="Q332" i="2"/>
  <c r="Q309" i="2"/>
  <c r="Q335" i="2"/>
  <c r="Q316" i="2"/>
  <c r="Q311" i="2"/>
  <c r="Q328" i="2"/>
  <c r="Q323" i="2"/>
  <c r="Q304" i="2"/>
  <c r="Q326" i="2"/>
  <c r="Q307" i="2"/>
  <c r="Q302" i="2"/>
  <c r="Q319" i="2"/>
  <c r="Q314" i="2"/>
  <c r="Q199" i="2"/>
  <c r="Q317" i="2"/>
  <c r="Q298" i="2"/>
  <c r="Q329" i="2"/>
  <c r="Q310" i="2"/>
  <c r="Q305" i="2"/>
  <c r="Q331" i="2"/>
  <c r="Q312" i="2"/>
  <c r="P54" i="3"/>
  <c r="Q324" i="2"/>
  <c r="Q301" i="2"/>
  <c r="Q300" i="2"/>
  <c r="Q322" i="2"/>
  <c r="Q303" i="2"/>
  <c r="Q154" i="2"/>
  <c r="P35" i="3"/>
  <c r="Q73" i="2"/>
  <c r="P15" i="3"/>
  <c r="Q205" i="2"/>
  <c r="Q72" i="2"/>
  <c r="Q204" i="2"/>
  <c r="Q71" i="2"/>
  <c r="Q203" i="2"/>
  <c r="Q70" i="2"/>
  <c r="Q201" i="2"/>
  <c r="Q202" i="2"/>
  <c r="Q414" i="2"/>
  <c r="P145" i="3"/>
  <c r="Q413" i="2"/>
  <c r="Q412" i="2"/>
  <c r="Q415" i="2"/>
  <c r="P6" i="3"/>
  <c r="Q41" i="2"/>
  <c r="Q40" i="2"/>
  <c r="Q39" i="2"/>
  <c r="Q194" i="2"/>
  <c r="Q42" i="2"/>
  <c r="Q364" i="2"/>
  <c r="P62" i="3"/>
  <c r="Q105" i="2"/>
  <c r="Q103" i="2"/>
  <c r="Q97" i="2"/>
  <c r="Q100" i="2"/>
  <c r="Q94" i="2"/>
  <c r="P24" i="3"/>
  <c r="Q109" i="2"/>
  <c r="Q107" i="2"/>
  <c r="Q370" i="2"/>
  <c r="Q104" i="2"/>
  <c r="Q98" i="2"/>
  <c r="Q369" i="2"/>
  <c r="Q95" i="2"/>
  <c r="Q111" i="2"/>
  <c r="Q368" i="2"/>
  <c r="Q110" i="2"/>
  <c r="Q108" i="2"/>
  <c r="Q102" i="2"/>
  <c r="Q367" i="2"/>
  <c r="Q101" i="2"/>
  <c r="Q99" i="2"/>
  <c r="Q96" i="2"/>
  <c r="Q112" i="2"/>
  <c r="Q106" i="2"/>
  <c r="Q31" i="2"/>
  <c r="Q195" i="2"/>
  <c r="Q35" i="2"/>
  <c r="P43" i="3"/>
  <c r="Q37" i="2"/>
  <c r="Q34" i="2"/>
  <c r="Q32" i="2"/>
  <c r="Q33" i="2"/>
  <c r="Q196" i="2"/>
  <c r="P5" i="3"/>
  <c r="Q36" i="2"/>
  <c r="Q176" i="2"/>
  <c r="Q117" i="2"/>
  <c r="Q174" i="2"/>
  <c r="Q116" i="2"/>
  <c r="Q114" i="2"/>
  <c r="Q175" i="2"/>
  <c r="Q173" i="2"/>
  <c r="Q115" i="2"/>
  <c r="Q118" i="2"/>
  <c r="P26" i="3"/>
  <c r="Q172" i="2"/>
  <c r="P10" i="3"/>
  <c r="Q187" i="2"/>
  <c r="Q186" i="2"/>
  <c r="Q185" i="2"/>
  <c r="Q60" i="2"/>
  <c r="Q288" i="2"/>
  <c r="Q13" i="2"/>
  <c r="Q16" i="2"/>
  <c r="Q15" i="2"/>
  <c r="Q279" i="2"/>
  <c r="Q291" i="2"/>
  <c r="Q290" i="2"/>
  <c r="Q289" i="2"/>
  <c r="Q14" i="2"/>
  <c r="Q282" i="2"/>
  <c r="Q281" i="2"/>
  <c r="Q292" i="2"/>
  <c r="Q17" i="2"/>
  <c r="Q276" i="2"/>
  <c r="Q275" i="2"/>
  <c r="Q283" i="2"/>
  <c r="Q12" i="2"/>
  <c r="Q11" i="2"/>
  <c r="Q274" i="2"/>
  <c r="Q295" i="2"/>
  <c r="Q294" i="2"/>
  <c r="P51" i="3"/>
  <c r="Q287" i="2"/>
  <c r="Q286" i="2"/>
  <c r="Q285" i="2"/>
  <c r="Q293" i="2"/>
  <c r="Q278" i="2"/>
  <c r="Q277" i="2"/>
  <c r="Q280" i="2"/>
  <c r="P119" i="3"/>
  <c r="Q374" i="2"/>
  <c r="Q373" i="2"/>
  <c r="Q372" i="2"/>
  <c r="P31" i="3"/>
  <c r="Q146" i="2"/>
  <c r="Q145" i="2"/>
  <c r="Q144" i="2"/>
  <c r="Q148" i="2"/>
  <c r="P32" i="3"/>
  <c r="Q150" i="2"/>
  <c r="Q149" i="2"/>
  <c r="Q68" i="2"/>
  <c r="Q67" i="2"/>
  <c r="Q66" i="2"/>
  <c r="Q65" i="2"/>
  <c r="P14" i="3"/>
  <c r="Q207" i="2"/>
  <c r="P59" i="3"/>
  <c r="P13" i="3"/>
  <c r="Q63" i="2"/>
  <c r="Q62" i="2"/>
  <c r="Q458" i="2"/>
  <c r="Q451" i="2"/>
  <c r="Q455" i="2"/>
  <c r="Q453" i="2"/>
  <c r="Q450" i="2"/>
  <c r="Q457" i="2"/>
  <c r="Q452" i="2"/>
  <c r="P148" i="3"/>
  <c r="Q454" i="2"/>
  <c r="Q456" i="2"/>
  <c r="Q9" i="2"/>
  <c r="Q4" i="2"/>
  <c r="Q8" i="2"/>
  <c r="Q3" i="2"/>
  <c r="Q7" i="2"/>
  <c r="Q6" i="2"/>
  <c r="P3" i="3"/>
  <c r="Q5" i="2"/>
  <c r="Q353" i="2"/>
  <c r="Q352" i="2"/>
  <c r="Q351" i="2"/>
  <c r="P55" i="3"/>
  <c r="Q350" i="2"/>
  <c r="Q354" i="2"/>
  <c r="Q122" i="2"/>
  <c r="Q121" i="2"/>
  <c r="Q120" i="2"/>
  <c r="P28" i="3"/>
  <c r="Q159" i="2"/>
  <c r="Q157" i="2"/>
  <c r="Q156" i="2"/>
  <c r="P36" i="3"/>
  <c r="Q297" i="2"/>
  <c r="Q365" i="2"/>
  <c r="Q284" i="2"/>
  <c r="Q366" i="2"/>
  <c r="Q158" i="2"/>
  <c r="Q318" i="2"/>
  <c r="Q375" i="2"/>
  <c r="Q439" i="2"/>
  <c r="Q376" i="2"/>
  <c r="Q379" i="2"/>
  <c r="Q438" i="2" l="1"/>
  <c r="Q155" i="2"/>
  <c r="Q198" i="2"/>
  <c r="Q371" i="2"/>
  <c r="Q378" i="2"/>
  <c r="Q381" i="2"/>
  <c r="Q380" i="2"/>
  <c r="Q377" i="2"/>
  <c r="P120" i="3"/>
  <c r="Q349" i="2"/>
  <c r="P56" i="3"/>
  <c r="Q449" i="2"/>
  <c r="Q113" i="2"/>
  <c r="Q93" i="2"/>
  <c r="P25" i="3"/>
  <c r="P107" i="3"/>
  <c r="Q387" i="2"/>
  <c r="P126" i="3"/>
  <c r="P122" i="3"/>
  <c r="P124" i="3"/>
  <c r="P125" i="3"/>
  <c r="P123" i="3"/>
  <c r="Q208" i="2"/>
  <c r="P48" i="3"/>
  <c r="P47" i="3"/>
  <c r="Q123" i="2"/>
  <c r="P30" i="3"/>
  <c r="P22" i="3"/>
  <c r="Q30" i="2"/>
  <c r="Q119" i="2"/>
  <c r="Q2" i="2"/>
  <c r="P149" i="3"/>
  <c r="P150" i="3"/>
  <c r="Q61" i="2"/>
  <c r="Q206" i="2"/>
  <c r="Q64" i="2"/>
  <c r="Q147" i="2"/>
  <c r="Q143" i="2"/>
  <c r="P53" i="3"/>
  <c r="Q10" i="2"/>
  <c r="P52" i="3"/>
  <c r="Q59" i="2"/>
  <c r="Q363" i="2"/>
  <c r="P138" i="3"/>
  <c r="Q38" i="2"/>
  <c r="Q411" i="2"/>
  <c r="Q69" i="2"/>
  <c r="Q153" i="2"/>
  <c r="Q460" i="2"/>
  <c r="Q459" i="2"/>
  <c r="Q160" i="2"/>
  <c r="Q355" i="2"/>
  <c r="Q23" i="2"/>
  <c r="P45" i="3"/>
  <c r="Q181" i="2"/>
  <c r="Q90" i="2"/>
  <c r="Q407" i="2"/>
  <c r="Q409" i="2"/>
  <c r="P20" i="3"/>
  <c r="Q20" i="2" l="1"/>
  <c r="P4" i="3"/>
  <c r="Q19" i="2"/>
  <c r="Q21" i="2"/>
  <c r="Q22" i="2"/>
  <c r="Q80" i="2"/>
  <c r="Q75" i="2"/>
  <c r="Q178" i="2"/>
  <c r="Q179" i="2"/>
  <c r="Q81" i="2"/>
  <c r="Q78" i="2"/>
  <c r="Q76" i="2"/>
  <c r="Q180" i="2"/>
  <c r="P19" i="3"/>
  <c r="Q79" i="2"/>
  <c r="Q77" i="2"/>
  <c r="Q247" i="2"/>
  <c r="Q266" i="2"/>
  <c r="Q237" i="2"/>
  <c r="Q245" i="2"/>
  <c r="Q258" i="2"/>
  <c r="Q255" i="2"/>
  <c r="Q263" i="2"/>
  <c r="Q262" i="2"/>
  <c r="Q256" i="2"/>
  <c r="Q239" i="2"/>
  <c r="Q272" i="2"/>
  <c r="Q271" i="2"/>
  <c r="Q270" i="2"/>
  <c r="Q253" i="2"/>
  <c r="Q261" i="2"/>
  <c r="Q248" i="2"/>
  <c r="Q236" i="2"/>
  <c r="Q235" i="2"/>
  <c r="Q251" i="2"/>
  <c r="Q264" i="2"/>
  <c r="Q249" i="2"/>
  <c r="Q265" i="2"/>
  <c r="Q252" i="2"/>
  <c r="Q268" i="2"/>
  <c r="Q241" i="2"/>
  <c r="Q238" i="2"/>
  <c r="Q257" i="2"/>
  <c r="Q273" i="2"/>
  <c r="Q259" i="2"/>
  <c r="Q250" i="2"/>
  <c r="Q177" i="2"/>
  <c r="Q84" i="2"/>
  <c r="P21" i="3"/>
  <c r="Q85" i="2"/>
  <c r="Q86" i="2"/>
  <c r="Q88" i="2"/>
  <c r="Q89" i="2"/>
  <c r="Q87" i="2"/>
  <c r="Q132" i="2"/>
  <c r="Q133" i="2"/>
  <c r="Q129" i="2"/>
  <c r="Q139" i="2"/>
  <c r="Q130" i="2"/>
  <c r="Q152" i="2"/>
  <c r="Q134" i="2"/>
  <c r="Q124" i="2"/>
  <c r="Q137" i="2"/>
  <c r="Q151" i="2"/>
  <c r="Q142" i="2"/>
  <c r="P83" i="3"/>
  <c r="P94" i="3"/>
  <c r="P81" i="3"/>
  <c r="P91" i="3"/>
  <c r="P102" i="3"/>
  <c r="P89" i="3"/>
  <c r="P99" i="3"/>
  <c r="P93" i="3"/>
  <c r="P88" i="3"/>
  <c r="P76" i="3"/>
  <c r="P79" i="3"/>
  <c r="P66" i="3"/>
  <c r="P70" i="3"/>
  <c r="P104" i="3"/>
  <c r="P100" i="3"/>
  <c r="P40" i="3"/>
  <c r="P82" i="3"/>
  <c r="P95" i="3"/>
  <c r="P73" i="3"/>
  <c r="P42" i="3"/>
  <c r="P80" i="3"/>
  <c r="P92" i="3"/>
  <c r="P86" i="3"/>
  <c r="Q192" i="2"/>
  <c r="P69" i="3"/>
  <c r="P64" i="3"/>
  <c r="P98" i="3"/>
  <c r="P77" i="3"/>
  <c r="P72" i="3"/>
  <c r="P106" i="3"/>
  <c r="P85" i="3"/>
  <c r="P68" i="3"/>
  <c r="P71" i="3"/>
  <c r="P105" i="3"/>
  <c r="P101" i="3"/>
  <c r="P96" i="3"/>
  <c r="P84" i="3"/>
  <c r="P87" i="3"/>
  <c r="P74" i="3"/>
  <c r="P75" i="3"/>
  <c r="P65" i="3"/>
  <c r="P78" i="3"/>
  <c r="P90" i="3"/>
  <c r="Q55" i="2"/>
  <c r="Q53" i="2"/>
  <c r="Q51" i="2"/>
  <c r="Q54" i="2"/>
  <c r="Q57" i="2"/>
  <c r="P8" i="3"/>
  <c r="Q58" i="2"/>
  <c r="Q189" i="2"/>
  <c r="Q190" i="2"/>
  <c r="Q56" i="2"/>
  <c r="Q188" i="2"/>
  <c r="Q191" i="2"/>
  <c r="P63" i="3"/>
  <c r="Q343" i="2"/>
  <c r="Q341" i="2"/>
  <c r="Q340" i="2"/>
  <c r="Q342" i="2"/>
  <c r="Q339" i="2"/>
  <c r="Q345" i="2"/>
  <c r="Q347" i="2"/>
  <c r="Q43" i="2"/>
  <c r="Q46" i="2"/>
  <c r="Q193" i="2"/>
  <c r="Q48" i="2"/>
  <c r="Q45" i="2"/>
  <c r="Q44" i="2"/>
  <c r="P7" i="3"/>
  <c r="P97" i="3"/>
  <c r="P67" i="3"/>
  <c r="P103" i="3"/>
  <c r="P41" i="3" l="1"/>
  <c r="Q50" i="2"/>
  <c r="Q18" i="2"/>
  <c r="Q338" i="2"/>
  <c r="P50" i="3"/>
  <c r="Q234" i="2"/>
  <c r="Q74" i="2"/>
</calcChain>
</file>

<file path=xl/comments1.xml><?xml version="1.0" encoding="utf-8"?>
<comments xmlns="http://schemas.openxmlformats.org/spreadsheetml/2006/main">
  <authors>
    <author>Andres Madrigal C</author>
  </authors>
  <commentList>
    <comment ref="E14" authorId="0" shapeId="0">
      <text>
        <r>
          <rPr>
            <b/>
            <sz val="9"/>
            <color indexed="81"/>
            <rFont val="Tahoma"/>
            <family val="2"/>
          </rPr>
          <t>Andres Madrigal C:</t>
        </r>
        <r>
          <rPr>
            <sz val="9"/>
            <color indexed="81"/>
            <rFont val="Tahoma"/>
            <family val="2"/>
          </rPr>
          <t xml:space="preserve">
1695360617.146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Andres Madrigal C:</t>
        </r>
        <r>
          <rPr>
            <sz val="9"/>
            <color indexed="81"/>
            <rFont val="Tahoma"/>
            <family val="2"/>
          </rPr>
          <t xml:space="preserve">
4407321173.5594</t>
        </r>
      </text>
    </comment>
    <comment ref="E20" authorId="0" shapeId="0">
      <text>
        <r>
          <rPr>
            <b/>
            <sz val="9"/>
            <color indexed="81"/>
            <rFont val="Tahoma"/>
            <family val="2"/>
          </rPr>
          <t>Andres Madrigal C:</t>
        </r>
        <r>
          <rPr>
            <sz val="9"/>
            <color indexed="81"/>
            <rFont val="Tahoma"/>
            <family val="2"/>
          </rPr>
          <t xml:space="preserve">
1323007066.50304</t>
        </r>
      </text>
    </comment>
    <comment ref="E26" authorId="0" shapeId="0">
      <text>
        <r>
          <rPr>
            <b/>
            <sz val="9"/>
            <color indexed="81"/>
            <rFont val="Tahoma"/>
            <family val="2"/>
          </rPr>
          <t>Andres Madrigal C:</t>
        </r>
        <r>
          <rPr>
            <sz val="9"/>
            <color indexed="81"/>
            <rFont val="Tahoma"/>
            <family val="2"/>
          </rPr>
          <t xml:space="preserve">
1394577430</t>
        </r>
      </text>
    </comment>
    <comment ref="B34" authorId="0" shapeId="0">
      <text>
        <r>
          <rPr>
            <b/>
            <sz val="9"/>
            <color indexed="81"/>
            <rFont val="Tahoma"/>
            <family val="2"/>
          </rPr>
          <t>Andres Madrigal C:</t>
        </r>
        <r>
          <rPr>
            <sz val="9"/>
            <color indexed="81"/>
            <rFont val="Tahoma"/>
            <family val="2"/>
          </rPr>
          <t xml:space="preserve">
126000000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</rPr>
          <t>Andres Madrigal C:</t>
        </r>
        <r>
          <rPr>
            <sz val="9"/>
            <color indexed="81"/>
            <rFont val="Tahoma"/>
            <family val="2"/>
          </rPr>
          <t xml:space="preserve">
611214917</t>
        </r>
      </text>
    </comment>
    <comment ref="E50" authorId="0" shapeId="0">
      <text>
        <r>
          <rPr>
            <b/>
            <sz val="9"/>
            <color indexed="81"/>
            <rFont val="Tahoma"/>
            <family val="2"/>
          </rPr>
          <t>Andres Madrigal C:</t>
        </r>
        <r>
          <rPr>
            <sz val="9"/>
            <color indexed="81"/>
            <rFont val="Tahoma"/>
            <family val="2"/>
          </rPr>
          <t xml:space="preserve">
1059310643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Andres Madrigal C:</t>
        </r>
        <r>
          <rPr>
            <sz val="9"/>
            <color indexed="81"/>
            <rFont val="Tahoma"/>
            <family val="2"/>
          </rPr>
          <t xml:space="preserve">
392855292</t>
        </r>
      </text>
    </comment>
  </commentList>
</comments>
</file>

<file path=xl/sharedStrings.xml><?xml version="1.0" encoding="utf-8"?>
<sst xmlns="http://schemas.openxmlformats.org/spreadsheetml/2006/main" count="23231" uniqueCount="337">
  <si>
    <t>CENTRO COSTO</t>
  </si>
  <si>
    <t>FECHA FIN</t>
  </si>
  <si>
    <t>ROL</t>
  </si>
  <si>
    <t>SALARIO COMERCIAL</t>
  </si>
  <si>
    <t>AÑO SALARIO</t>
  </si>
  <si>
    <t>DEDICACIÓN</t>
  </si>
  <si>
    <t>PRESTACIONES</t>
  </si>
  <si>
    <t>MULTIPLICADOR</t>
  </si>
  <si>
    <t>FECHA INICIO CONTRATO</t>
  </si>
  <si>
    <t>FECHA INICIO CONTROL PAGO</t>
  </si>
  <si>
    <t>PLAZO EN MESES EN CONTRATO</t>
  </si>
  <si>
    <t>OBSERVACIONES</t>
  </si>
  <si>
    <t>DIRECTOR</t>
  </si>
  <si>
    <t>RESIDENTE TECNICO DE COORDINACION</t>
  </si>
  <si>
    <t>RESIDENTE DE INSTALACIONES</t>
  </si>
  <si>
    <t>RESIDENTE  ADMINISTRATIVO</t>
  </si>
  <si>
    <t>PROFESIONAL CONTRATACIONES</t>
  </si>
  <si>
    <t>INSPECTOR 1</t>
  </si>
  <si>
    <t>INSPECTOR 2</t>
  </si>
  <si>
    <t>COORDINADOR</t>
  </si>
  <si>
    <t xml:space="preserve">NO SE ENCONTRO EL CONTRO Y EN EL OTRO SI NO HAY ESTA INFORMACION </t>
  </si>
  <si>
    <t>INSPECTOR DE ACABADOS 1</t>
  </si>
  <si>
    <t>INSPECTOR DE ACABADOS 2</t>
  </si>
  <si>
    <t>INSPECTOR INSTALACIONES</t>
  </si>
  <si>
    <t>INSPECTOR SISO</t>
  </si>
  <si>
    <t>PROFESIONAL CONTROL DE PPTO Y PROGRAMACION</t>
  </si>
  <si>
    <t>RESIDENTE TECNICO</t>
  </si>
  <si>
    <t>Etapa de diseños - Fecha inicio no es de incorporación del personal sino inicio del contrato, la incorporación se hace de acuerdo a la necesidad del proyecto</t>
  </si>
  <si>
    <t>PROFESIONAL DISEÑOS</t>
  </si>
  <si>
    <t>PROFESIONAL DE CONTRATACIONES</t>
  </si>
  <si>
    <t>RESIDENTE TÉCNICO</t>
  </si>
  <si>
    <t>ASESOR ESTRUCTURAL</t>
  </si>
  <si>
    <t>ASESOR HIDROSANITARIO</t>
  </si>
  <si>
    <t>Fase de construcción - Fecha inicio no es de incorporación del personal sino inicio del contrato, la incorporación se hace de acuerdo a la necesidad del proyecto</t>
  </si>
  <si>
    <t>RESIDENTE DE ACABADOS</t>
  </si>
  <si>
    <t>INSPECTOR GENERAL</t>
  </si>
  <si>
    <t>INSPECTOR DE INSTALACIONES</t>
  </si>
  <si>
    <t>SEGÚN CONTRATO</t>
  </si>
  <si>
    <t>INSPECTOR</t>
  </si>
  <si>
    <t>RESIDENTE ADMINISTRATIVO</t>
  </si>
  <si>
    <t>SEGÚN CONTRATO Y OTRO SI 1</t>
  </si>
  <si>
    <t>RESIDENTE TECNICO NOCTURNO</t>
  </si>
  <si>
    <t xml:space="preserve">SEGÚN CONTRATO Y OTRO SI 1 NO HAY INGRESO EN EL CP </t>
  </si>
  <si>
    <t xml:space="preserve">SEGÚN CONTRATO Y OTRO SI 1, EN EL CONTROL DE PAGOS SOLO INGRESO DOS MESES Y SE LIQUIDO CON EL SALARIO DE INSPECTOR NOCTURNO </t>
  </si>
  <si>
    <t>INSPECTOR NOCTURNO</t>
  </si>
  <si>
    <t>SOPORTE GERENCIAL PAYC</t>
  </si>
  <si>
    <t>SOPORTE GERENCIAL SYASA 1</t>
  </si>
  <si>
    <t xml:space="preserve">FECHA DE INICIO SE AGREGA SGUN EL INICIO DE ULTIMO OTRO SI, HASTA EL 8 DE ABEL DE 2019 </t>
  </si>
  <si>
    <t xml:space="preserve">SOPORTE GERENCIAL SYASA 2 </t>
  </si>
  <si>
    <t>DIRECTOR INTERNACIONAL SYASA</t>
  </si>
  <si>
    <t>DIRECTOR LOCAL (DIRECTOR)</t>
  </si>
  <si>
    <t>PROFESIONAL DE ESTRUCTURA</t>
  </si>
  <si>
    <t>PROFESIONAL DE ACABADOS</t>
  </si>
  <si>
    <t xml:space="preserve">PROFESIONAL DE CONTROLES SYASA </t>
  </si>
  <si>
    <t xml:space="preserve">PROFESIONAL DE CONTROLES </t>
  </si>
  <si>
    <t>RESIDENTE MEP 1</t>
  </si>
  <si>
    <t>RESIDENTE MEP 2</t>
  </si>
  <si>
    <t>RESIDENTE ADMINISTRATIVO 1</t>
  </si>
  <si>
    <t>RESIDENTE ADMINISTRATIVO 2</t>
  </si>
  <si>
    <t>AUXILIAR ADMINISTRATIVO</t>
  </si>
  <si>
    <t>INSPECTOR ESTRUCTURA 1</t>
  </si>
  <si>
    <t>INSPECTOR ESTRUCTURA 2</t>
  </si>
  <si>
    <t>INSPECTOR INSTALACIONES 1</t>
  </si>
  <si>
    <t>INSPECTOR INSTALACIONES 2</t>
  </si>
  <si>
    <t>INSPECTOR FACHADA</t>
  </si>
  <si>
    <t xml:space="preserve">PERSONAL SEGÚN ADICION </t>
  </si>
  <si>
    <t xml:space="preserve">SEGÚN CONTRATO SALARIO PONDERADO </t>
  </si>
  <si>
    <t>PROFESIONAL DE SOPORTE</t>
  </si>
  <si>
    <t>RESIDENTE DE ESTRUCTURA</t>
  </si>
  <si>
    <t>RESIDENTE SISO</t>
  </si>
  <si>
    <t>RESIDENTE ACABADOS</t>
  </si>
  <si>
    <t>COORDINADOR INTEGRAL</t>
  </si>
  <si>
    <t>SEGÚN OTRO SI</t>
  </si>
  <si>
    <t>SEGÚN OTRO SI/NO HAY INGRESO EN CP</t>
  </si>
  <si>
    <t>INSPECTOR CIMENTACION Y ESTRUCTURA</t>
  </si>
  <si>
    <t>SEGÚN OTRO SI 2</t>
  </si>
  <si>
    <t>INSPECTOR DE ACABADOS</t>
  </si>
  <si>
    <t xml:space="preserve">SEGÚN OTRO SI 2/NO HAY INGRESO AUN </t>
  </si>
  <si>
    <t>PROFESIONAL CONTRATACIONES 50%</t>
  </si>
  <si>
    <t>INSPECTOR ACABADOS</t>
  </si>
  <si>
    <t xml:space="preserve">ESTAPA PREVIA </t>
  </si>
  <si>
    <t>PROFESIONAL DE COORDINACION DE DISEÑOS</t>
  </si>
  <si>
    <t>ETAPA DE OBRA</t>
  </si>
  <si>
    <t>DIRECTOR DE INTERVENTORIA</t>
  </si>
  <si>
    <t>ARQUITECTO RESIDENTE</t>
  </si>
  <si>
    <t>ETAPA DE OBRA/NO HAY INGRESO</t>
  </si>
  <si>
    <t>INGENIERO CIVIL RESIDENTE ESTRUCTURAS</t>
  </si>
  <si>
    <t>PROFEISONAL PRESUPUESTOS</t>
  </si>
  <si>
    <t>RESIDENTE AMBIENTAL</t>
  </si>
  <si>
    <t xml:space="preserve">OTRO SI </t>
  </si>
  <si>
    <t>DIRECTOR DE CONTRATACIONES</t>
  </si>
  <si>
    <t>PROFESIONAL PRESUPUESTACION</t>
  </si>
  <si>
    <t xml:space="preserve">SEGÚN CONTRATO SALARIO PONDERADO, NO ENCONTRE CP GENERAL </t>
  </si>
  <si>
    <t>DIRECTOR CONTRATACIONES</t>
  </si>
  <si>
    <t>DIRECTOR 1A</t>
  </si>
  <si>
    <t xml:space="preserve">RESIDENTE TECNICO </t>
  </si>
  <si>
    <t xml:space="preserve">AUXILIAR ADMINISTRATIVO </t>
  </si>
  <si>
    <t>INSPECTOR ESTRUCTURA</t>
  </si>
  <si>
    <t>PROFESIONAL DE PRESUPUESTOS</t>
  </si>
  <si>
    <t>Contrato 24</t>
  </si>
  <si>
    <t>PROFESIONAL DE COORDINACIÓN DE DISEÑOS</t>
  </si>
  <si>
    <t xml:space="preserve">RESIDENTE SISO </t>
  </si>
  <si>
    <t>RESIDENTE DE EXTERIORES</t>
  </si>
  <si>
    <t>RESIDENTE DE URBANISMO</t>
  </si>
  <si>
    <t>INSPECTOR EXTERIORES</t>
  </si>
  <si>
    <t>HORAS EXTRA</t>
  </si>
  <si>
    <t>INSPECTOR URBANISMO</t>
  </si>
  <si>
    <t>RESIDENTE 2</t>
  </si>
  <si>
    <t>RESIDENTE PLANEACION - LOGISTICA</t>
  </si>
  <si>
    <t>Contrato 26</t>
  </si>
  <si>
    <t>RESIDENTE TORRE 5</t>
  </si>
  <si>
    <t>RESIDENTE VENTANERIA CARPINTERÍA METÁLICA</t>
  </si>
  <si>
    <t>RESIDENTE ASCENSORES (MECÁNICO)</t>
  </si>
  <si>
    <t>INSPECTOR PLATAFORMAS</t>
  </si>
  <si>
    <t>INSPECTOR TORRE 4</t>
  </si>
  <si>
    <t/>
  </si>
  <si>
    <t>Pendiente incluir información del contrato 25</t>
  </si>
  <si>
    <t>AUXILIAR DE CONTROLES</t>
  </si>
  <si>
    <t>AUXILIAR SISOMA</t>
  </si>
  <si>
    <t>RESIDENTE</t>
  </si>
  <si>
    <t>Información de acuerdo a Otro Si</t>
  </si>
  <si>
    <t>SE AGREGO SEGÚN CONTRATO</t>
  </si>
  <si>
    <t>DIRECTOR RESIDENTE</t>
  </si>
  <si>
    <t>RESIDENTE INSTALACIONES</t>
  </si>
  <si>
    <t>No es clara la ubicación del anexo MOA-1028-17, para poder corroborar la información del contrato. Se toma la información del Excel "2018-11-9 ampliación varios"</t>
  </si>
  <si>
    <t>PROFESIONAL COORDINACION DE DISEÑOS</t>
  </si>
  <si>
    <t>DIRECTOR ENVIGADO</t>
  </si>
  <si>
    <t>DIRECTOR TUNJA</t>
  </si>
  <si>
    <t>INSPECTOR ENVIGADO</t>
  </si>
  <si>
    <t>SEGÚN OTRO SI 1</t>
  </si>
  <si>
    <t>Etapa Previa</t>
  </si>
  <si>
    <t xml:space="preserve">Etapa de Obra/no hay ongreso  </t>
  </si>
  <si>
    <t>ESPECIALISTA INSTALACIONES</t>
  </si>
  <si>
    <t xml:space="preserve">Etapa Previa/no hay ingreso </t>
  </si>
  <si>
    <t xml:space="preserve">Etapa de Obra </t>
  </si>
  <si>
    <t>INSPECTOR DE OBRA 1</t>
  </si>
  <si>
    <t>RESIDENTE DE INTERVENTORIA</t>
  </si>
  <si>
    <t>ASESOR ELECTRICO</t>
  </si>
  <si>
    <t xml:space="preserve"> SEGÚN ACUERDO FINAL CONTRATO INTERVENTORIA</t>
  </si>
  <si>
    <t>COORDINADOR BIM</t>
  </si>
  <si>
    <t>INSPECTOR SISOMA</t>
  </si>
  <si>
    <t xml:space="preserve"> SEGÚN ACUERDO FINAL CONTRATO INTERVENTORIA/PRESTACIONES DEL 0.5 Y TODOS LOS INSPECTORES TIENE EL 0.59</t>
  </si>
  <si>
    <t>INSPECTOR DE INTERVENTORIA 1</t>
  </si>
  <si>
    <t xml:space="preserve">SUPERVISOR TECNICO </t>
  </si>
  <si>
    <t xml:space="preserve">AUXILIAR DE INGENIERIA </t>
  </si>
  <si>
    <t>ANTROPOLOGO</t>
  </si>
  <si>
    <t>ARQUIRECTO DISEÑADOR CON ESP EN URBANISMO</t>
  </si>
  <si>
    <t>BIOLOGO</t>
  </si>
  <si>
    <t>ESPECIALISTA CATASTRAL</t>
  </si>
  <si>
    <t>ESPECIALISTA DISEÑO GEOMETRICO</t>
  </si>
  <si>
    <t>ESPECIALISTA ELECTRICO</t>
  </si>
  <si>
    <t>ESPECIALISTA EN PAVIMENTOS</t>
  </si>
  <si>
    <t>ESPECIALISTA EN SEGURIDAD Y SALUD EN EL TRABAJO</t>
  </si>
  <si>
    <t>ESPECIALISTA EN TRANSITO</t>
  </si>
  <si>
    <t>ESPECIALISTA ESTRUCTURAL</t>
  </si>
  <si>
    <t>ESPECIALISTA FORESTAL</t>
  </si>
  <si>
    <t>ESPECIALISTA GEOTECNIA</t>
  </si>
  <si>
    <t>ESPECIALISTA HDROSANITARIO</t>
  </si>
  <si>
    <t>INGENIERO CATASTRAL</t>
  </si>
  <si>
    <t>PROFESIONAL DE APOYO ARQUITECTO</t>
  </si>
  <si>
    <t>PROFESIONAL SOCIAL</t>
  </si>
  <si>
    <t>RESIDENTE TRANSITO Y TRANSPORTE</t>
  </si>
  <si>
    <t>INSPECTOR EN OBRA</t>
  </si>
  <si>
    <t>INSPECTOR DE REDES</t>
  </si>
  <si>
    <t>ESPECIALISTA MECANICO</t>
  </si>
  <si>
    <t>CONTADOR</t>
  </si>
  <si>
    <t>PROFESIONAL SISO</t>
  </si>
  <si>
    <t>INSPECTOR DE OBRA CIVIL FRENTE 1</t>
  </si>
  <si>
    <t>INSPECTOR DE OBRA CIVIL FRENTE 2</t>
  </si>
  <si>
    <t>PROFESIONAL DE COORDINACION</t>
  </si>
  <si>
    <t>RESIDENTE DE COSTOS Y PRESUPUESTOS</t>
  </si>
  <si>
    <t>RESIDENTE DE OBRA</t>
  </si>
  <si>
    <t>INSPECTOR ADICIONAL</t>
  </si>
  <si>
    <t>DIRECTOR INTERVENTORIA</t>
  </si>
  <si>
    <t>RESIDENTE SISOMA</t>
  </si>
  <si>
    <t>INSPECTOR TECNICO</t>
  </si>
  <si>
    <t>RESIDENTE TECNICO DIURNO</t>
  </si>
  <si>
    <t>RESIDENTE TECNICO DIURNO ADICIONAL</t>
  </si>
  <si>
    <t>RESIDENTE INTERVENTOR HSQE</t>
  </si>
  <si>
    <t>RESIDENTE TECNICO NOCTURNO ADICIONAL</t>
  </si>
  <si>
    <t>INSPECTOR DE OBRA NOCTURNO</t>
  </si>
  <si>
    <t>INSPECTOR DE OBRA NOCTURNO ADICIONAL</t>
  </si>
  <si>
    <t>INSPECTOR DE OBRA 2</t>
  </si>
  <si>
    <t>Las prestaciones sociales no cuadran con ningún valor estándar</t>
  </si>
  <si>
    <t>CECO</t>
  </si>
  <si>
    <t>ITEM</t>
  </si>
  <si>
    <t>FECHA_INI</t>
  </si>
  <si>
    <t xml:space="preserve">FECHA INICIO CONTROL DE PAGOS </t>
  </si>
  <si>
    <t>MESES USO</t>
  </si>
  <si>
    <t>TIPO REEMBOLSO</t>
  </si>
  <si>
    <t>COSTO VARIABLE (MENSUAL)</t>
  </si>
  <si>
    <t>% (DEPENDIENTES)</t>
  </si>
  <si>
    <t>HONORARIOS</t>
  </si>
  <si>
    <t>FIJO</t>
  </si>
  <si>
    <t>Etapa de diseños</t>
  </si>
  <si>
    <t>Asesoría de costos</t>
  </si>
  <si>
    <t>Fase de construcción</t>
  </si>
  <si>
    <t xml:space="preserve">SEGÚN CONTRATO Y OTRO SI 1  </t>
  </si>
  <si>
    <t>SEGÚN OTRO SI 2, LOS HONORARIOS SOLO IRIAN HASTA MAYO PERO SE SIGUIO COBRANDO APLICANDO UN DESCUENTO DEL 2%</t>
  </si>
  <si>
    <t xml:space="preserve">HASTA ABRIL </t>
  </si>
  <si>
    <t xml:space="preserve">HONORARIOS APARTIR DE ABRIL DEL 2019 </t>
  </si>
  <si>
    <t xml:space="preserve">HONORARIO SEGÚN CONTRATO INICIAL </t>
  </si>
  <si>
    <t xml:space="preserve">HONORARIO ADICIONAL SEGÚN OTRO SI </t>
  </si>
  <si>
    <t xml:space="preserve">HONORARIOS SEGÚN CONTATRO </t>
  </si>
  <si>
    <t>ESTE HONORARIO DE PACTO AL INICIO DEL CONTRATO PERO EN EL CONTROL DE PAGOS SE COBRO HASTA MARZO DEL 2017</t>
  </si>
  <si>
    <t xml:space="preserve">CON EL SEGUNDO SI, CAMBIO EL VALOR MENSUAL Y LA CANTIDAD DE MESES </t>
  </si>
  <si>
    <t>HONORAROS ETAPA DE OBRA</t>
  </si>
  <si>
    <t xml:space="preserve">HONORARIOS ETAPA PREVIA </t>
  </si>
  <si>
    <t xml:space="preserve">HONORAROS OTRO SI </t>
  </si>
  <si>
    <t>VARIABLE</t>
  </si>
  <si>
    <t xml:space="preserve">SEGÚN CONTRATO </t>
  </si>
  <si>
    <t>Contrato de Gerencia</t>
  </si>
  <si>
    <t xml:space="preserve">CUOTA FIJA </t>
  </si>
  <si>
    <t xml:space="preserve">SE TIENE EN CUENTA ULTIMO CONTRATO LE GALIZADO </t>
  </si>
  <si>
    <t>FIJO INTERVENTORIA</t>
  </si>
  <si>
    <t>FIJO GERENCIA</t>
  </si>
  <si>
    <t>ESTE VALOR CAMBIA MENSUALMENTE</t>
  </si>
  <si>
    <t xml:space="preserve">Etapa Previa </t>
  </si>
  <si>
    <t xml:space="preserve">SEGÚN CONTRATO, ADICIONALMETE EL CONTRATANTE RETENDRA MENSUALMENTE UN VALOR EQUIVALENTE AL 10% A MOTIVO DE GARANTIA EL CUAL SE CANCELARA AL FINALIZAR EL CONTRATO </t>
  </si>
  <si>
    <t>Etapa de Obra</t>
  </si>
  <si>
    <t>VALOR</t>
  </si>
  <si>
    <t>PLAZO</t>
  </si>
  <si>
    <t>FECHA MÁXIMA</t>
  </si>
  <si>
    <t>SALDO</t>
  </si>
  <si>
    <t>FECHA</t>
  </si>
  <si>
    <t>PERSONA/ITEM</t>
  </si>
  <si>
    <t>SIN</t>
  </si>
  <si>
    <t>CON</t>
  </si>
  <si>
    <t>TIEMPO</t>
  </si>
  <si>
    <t>INSPECTOR HSEQ</t>
  </si>
  <si>
    <t>RESIDENTE TORRE 1</t>
  </si>
  <si>
    <t>RESIDENTE URBANISMO</t>
  </si>
  <si>
    <t>SALARIO INCLUIDO VALOR DE PRESTACIONES</t>
  </si>
  <si>
    <t>Etapa Previa / Se deja valor de la Económica dado que contrato no es claro</t>
  </si>
  <si>
    <t>INSPECTOR SÓTANOS</t>
  </si>
  <si>
    <t>Etapa de obra / Fecha de inicio se deja el valor de la económica</t>
  </si>
  <si>
    <t>RESIDENTE SOTANOS</t>
  </si>
  <si>
    <t>RESIDENTE COMERCIO</t>
  </si>
  <si>
    <t>RESIDENTE TORRE 2</t>
  </si>
  <si>
    <t>RESIDENTE RECIBO Y ENTREGAS</t>
  </si>
  <si>
    <t>Etapa de obra / Fecha de inicio se deja el valor de la económica / Personal reembolsable</t>
  </si>
  <si>
    <t>INSPECTOR SOTANOS</t>
  </si>
  <si>
    <t>INSPECTOR COMERCIO</t>
  </si>
  <si>
    <t>INSPECTOR COMERCIO ESTRUCTURA</t>
  </si>
  <si>
    <t>INSPECTOR COMERCIO ACABADOS</t>
  </si>
  <si>
    <t>RESIDENTE VENTANERÍA TORRES</t>
  </si>
  <si>
    <t>INSPECTOR TORRE 1</t>
  </si>
  <si>
    <t>INSPECTOR TORRE 1 ESTRUCTURA</t>
  </si>
  <si>
    <t>INSPECTOR TORRE 1 ACABADOS</t>
  </si>
  <si>
    <t>INSPECTOR TORRE 2</t>
  </si>
  <si>
    <t>ASESOR GEOTECNIA</t>
  </si>
  <si>
    <t>ASESOR ELECTRÓNICO</t>
  </si>
  <si>
    <t>INSPECTOR DE ESTRUCTURAS</t>
  </si>
  <si>
    <t>TOTAL FACTURADO</t>
  </si>
  <si>
    <t xml:space="preserve">SEGÚN OTRO SI 3 </t>
  </si>
  <si>
    <t>FIJO ETAPA PREVIA</t>
  </si>
  <si>
    <t>FIJO PILOTAJE Y ESTRUCTURA DE SÓTANOS</t>
  </si>
  <si>
    <t>LIQUIDACIÓN</t>
  </si>
  <si>
    <t>Completo</t>
  </si>
  <si>
    <t>Filas</t>
  </si>
  <si>
    <t>Etiquetas de fila</t>
  </si>
  <si>
    <t>Total general</t>
  </si>
  <si>
    <t>Etiquetas de columna</t>
  </si>
  <si>
    <t>Suma de VALOR</t>
  </si>
  <si>
    <t>2019</t>
  </si>
  <si>
    <t>ene</t>
  </si>
  <si>
    <t>feb</t>
  </si>
  <si>
    <t>PERSONAS</t>
  </si>
  <si>
    <t>RESTRINGIDO</t>
  </si>
  <si>
    <t>ADICIONALES A LA ORDEN</t>
  </si>
  <si>
    <t>De acuerdo con el otro sí 1</t>
  </si>
  <si>
    <t>ESPECIALISTA AMBIENTAL</t>
  </si>
  <si>
    <t>ESPECIALISTA DISEÑO DE REDES</t>
  </si>
  <si>
    <t>INGENIERO RESIDENTE DE OBRA</t>
  </si>
  <si>
    <t>POR AVANCE DE OBRA</t>
  </si>
  <si>
    <t>RESIDENTE CIMENTACION Y ESTRUCTURA</t>
  </si>
  <si>
    <t>Valores tomados de la ampliación del contrato (DESDE ENERO-19)</t>
  </si>
  <si>
    <t>PROFESIONAL ADMINISTRATIVO</t>
  </si>
  <si>
    <t>Según Control de Pagos</t>
  </si>
  <si>
    <t>Pendiente de legalización de Otro sí</t>
  </si>
  <si>
    <t>SE MODIFICARON VALORES SEGÚN EL CONTRATO LAS FECHAS DE ACUERDO CON LA PROPUESTA ECONÓMICA</t>
  </si>
  <si>
    <t>Fase preconstrucción</t>
  </si>
  <si>
    <t>Fase obra</t>
  </si>
  <si>
    <t>Fase de obra y liquidación</t>
  </si>
  <si>
    <t>OTRO SÍ 3 DESDE ENERO 2019</t>
  </si>
  <si>
    <t>PROYECCIÓN DE PROPUESTA ECONÓMICA</t>
  </si>
  <si>
    <t>AÑO</t>
  </si>
  <si>
    <t>VERBALMENTE SE ACORDÓ PROYECTAR ESTOS VALORES CONSTANTES HASTA MAYO</t>
  </si>
  <si>
    <t>Se ajusta de acuerdo con la propuesta económica</t>
  </si>
  <si>
    <t>Cuota fija, del contrato firmado</t>
  </si>
  <si>
    <t>COORDINADOR - SUPERVISOR ESTRUCTURAL</t>
  </si>
  <si>
    <t xml:space="preserve">Según contrato y económica, en CP no hay fecha de inicio </t>
  </si>
  <si>
    <t>Se modifica manualmente de acuerdo con la información de la carpeta de contratos</t>
  </si>
  <si>
    <t>GASTOS REEMBOLSABLES, ESTE VALOR CAMBIA EN EL MES 13. SE CAMBIA EL VALOR DEL HONORARIO VARIABLE, YA QUE ESTE INCLUÍA IVA</t>
  </si>
  <si>
    <t>Se corrige con la información de Vanessa, donde se extiende hasta abril-19 la etapa previa</t>
  </si>
  <si>
    <t>Se corrige con la información de Vanessa, los honorarios se disminuye al 70%</t>
  </si>
  <si>
    <t>Proyecto por avance de obra, por tanto el saldo se proyecta con cuotas fijas mensuales</t>
  </si>
  <si>
    <t xml:space="preserve">según economica </t>
  </si>
  <si>
    <t>VALOR TOTAL</t>
  </si>
  <si>
    <t>FACTURACIÓN ACUMULADA</t>
  </si>
  <si>
    <t>Según económica enviada por comercial</t>
  </si>
  <si>
    <t>DIRECTOR GENERAL</t>
  </si>
  <si>
    <t>según otro si, no se tiene claridad en el valor de las prestaciones y la dedicacion se agregaron valores según lo acordado</t>
  </si>
  <si>
    <t>INSPECTOR ACABADOS 1</t>
  </si>
  <si>
    <t>INSPECTOR ACABADOS 2</t>
  </si>
  <si>
    <t>INSPECTOR DE INSTALACIONES 1</t>
  </si>
  <si>
    <t>INSPECTOR DE INSTALACIONES 2</t>
  </si>
  <si>
    <t>RESIDENTE COORDINACION DE INSTALACIONES</t>
  </si>
  <si>
    <t>RESIDENTE COORDINACION OBRA NEGRA</t>
  </si>
  <si>
    <t>según contrato firmado</t>
  </si>
  <si>
    <t xml:space="preserve">ECONOMICA ETAPA DE DISEÑO </t>
  </si>
  <si>
    <t xml:space="preserve">ECONOMICA ETAPA DE CONSTRUCCION </t>
  </si>
  <si>
    <t>ECONOMICA ETAPA CUBIERTAS</t>
  </si>
  <si>
    <t xml:space="preserve">ECONOMICA ETAPA DE OBRA </t>
  </si>
  <si>
    <t>RESIDENTE TECNICO DE INTERVENTORIA</t>
  </si>
  <si>
    <t>APOYO SUPERVISOR ESTRUCTURAL</t>
  </si>
  <si>
    <t>RESIDENTE TECNICO DE INSTALACIONES</t>
  </si>
  <si>
    <t>RESIDENTE DE CONTROL DE PRESUPUESTO Y PROGRAMACION</t>
  </si>
  <si>
    <t>INSPECTOR DE OBRA 3</t>
  </si>
  <si>
    <t>ECONOMICA</t>
  </si>
  <si>
    <t>MESES OTROSÍ</t>
  </si>
  <si>
    <t>PROBABILIDAD OTROSÍ</t>
  </si>
  <si>
    <t>FECHA INICIO</t>
  </si>
  <si>
    <t>PLAZO OTROSÍ</t>
  </si>
  <si>
    <t>EXTENSIÓN OTROSÍ</t>
  </si>
  <si>
    <t>TODOS_DATOS</t>
  </si>
  <si>
    <t>SALDOS</t>
  </si>
  <si>
    <t>SALDOS_OTROSÍES</t>
  </si>
  <si>
    <t>NUEVA FECHA FIN</t>
  </si>
  <si>
    <t>NUEVO_SALDO</t>
  </si>
  <si>
    <t>CON OTROSI</t>
  </si>
  <si>
    <t>SIN OTROSI</t>
  </si>
  <si>
    <t>ORIGEN</t>
  </si>
  <si>
    <t>mar</t>
  </si>
  <si>
    <t>abr</t>
  </si>
  <si>
    <t>may</t>
  </si>
  <si>
    <t>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</si>
</sst>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2" formatCode="_-&quot;$&quot;\ * #,##0_-;\-&quot;$&quot;\ * #,##0_-;_-&quot;$&quot;\ * &quot;-&quot;_-;_-@_-"/>
    <numFmt numFmtId="41" formatCode="_-* #,##0_-;\-* #,##0_-;_-* &quot;-&quot;_-;_-@_-"/>
    <numFmt numFmtId="43" formatCode="_-* #,##0.00_-;\-* #,##0.00_-;_-* &quot;-&quot;??_-;_-@_-"/>
    <numFmt numFmtId="164" formatCode="_-* #,##0\ &quot;€&quot;_-;\-* #,##0\ &quot;€&quot;_-;_-* &quot;-&quot;\ &quot;€&quot;_-;_-@_-"/>
    <numFmt numFmtId="165" formatCode="_(&quot;$&quot;* #,##0.00_);_(&quot;$&quot;* \(#,##0.00\);_(&quot;$&quot;* &quot;-&quot;??_);_(@_)"/>
    <numFmt numFmtId="166" formatCode="_-* #,##0_-;\-* #,##0_-;_-* &quot;-&quot;??_-;_-@_-"/>
    <numFmt numFmtId="167" formatCode="0.000"/>
    <numFmt numFmtId="168" formatCode="_-[$$-240A]\ * #,##0_-;\-[$$-240A]\ * #,##0_-;_-[$$-240A]\ * &quot;-&quot;??_-;_-@_-"/>
    <numFmt numFmtId="169" formatCode="_-* #,##0.0_-;\-* #,##0.0_-;_-* &quot;-&quot;_-;_-@_-"/>
    <numFmt numFmtId="170" formatCode="&quot;$&quot;\ #,##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5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1" xfId="0" applyFill="1" applyBorder="1"/>
    <xf numFmtId="0" fontId="0" fillId="0" borderId="1" xfId="0" applyBorder="1"/>
    <xf numFmtId="0" fontId="0" fillId="0" borderId="0" xfId="0" applyBorder="1"/>
    <xf numFmtId="0" fontId="3" fillId="0" borderId="1" xfId="0" applyFont="1" applyFill="1" applyBorder="1"/>
    <xf numFmtId="0" fontId="2" fillId="2" borderId="1" xfId="0" applyNumberFormat="1" applyFont="1" applyFill="1" applyBorder="1" applyAlignment="1">
      <alignment horizontal="center" vertical="center" wrapText="1"/>
    </xf>
    <xf numFmtId="0" fontId="0" fillId="0" borderId="1" xfId="0" applyNumberFormat="1" applyBorder="1"/>
    <xf numFmtId="0" fontId="0" fillId="0" borderId="1" xfId="0" applyBorder="1" applyAlignment="1">
      <alignment horizontal="center" vertical="center"/>
    </xf>
    <xf numFmtId="14" fontId="0" fillId="0" borderId="1" xfId="0" applyNumberFormat="1" applyBorder="1"/>
    <xf numFmtId="0" fontId="0" fillId="0" borderId="1" xfId="0" applyBorder="1" applyAlignment="1">
      <alignment horizontal="center"/>
    </xf>
    <xf numFmtId="166" fontId="0" fillId="0" borderId="1" xfId="4" applyNumberFormat="1" applyFont="1" applyBorder="1"/>
    <xf numFmtId="2" fontId="0" fillId="0" borderId="1" xfId="0" applyNumberForma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2" fontId="0" fillId="0" borderId="1" xfId="0" applyNumberFormat="1" applyBorder="1"/>
    <xf numFmtId="2" fontId="0" fillId="0" borderId="1" xfId="0" applyNumberFormat="1" applyFill="1" applyBorder="1"/>
    <xf numFmtId="14" fontId="0" fillId="0" borderId="0" xfId="0" applyNumberFormat="1"/>
    <xf numFmtId="2" fontId="0" fillId="0" borderId="0" xfId="0" applyNumberFormat="1"/>
    <xf numFmtId="167" fontId="0" fillId="0" borderId="0" xfId="0" applyNumberFormat="1"/>
    <xf numFmtId="14" fontId="0" fillId="0" borderId="0" xfId="0" applyNumberFormat="1" applyFill="1"/>
    <xf numFmtId="42" fontId="0" fillId="0" borderId="0" xfId="3" applyFont="1"/>
    <xf numFmtId="42" fontId="0" fillId="0" borderId="0" xfId="0" applyNumberFormat="1"/>
    <xf numFmtId="168" fontId="0" fillId="0" borderId="0" xfId="1" applyNumberFormat="1" applyFont="1"/>
    <xf numFmtId="41" fontId="0" fillId="0" borderId="0" xfId="5" applyFont="1"/>
    <xf numFmtId="168" fontId="0" fillId="0" borderId="1" xfId="1" applyNumberFormat="1" applyFont="1" applyBorder="1"/>
    <xf numFmtId="169" fontId="0" fillId="0" borderId="1" xfId="5" applyNumberFormat="1" applyFont="1" applyBorder="1"/>
    <xf numFmtId="0" fontId="2" fillId="0" borderId="1" xfId="0" applyFont="1" applyBorder="1" applyAlignment="1">
      <alignment horizontal="center" vertical="center"/>
    </xf>
    <xf numFmtId="168" fontId="2" fillId="0" borderId="1" xfId="1" applyNumberFormat="1" applyFont="1" applyBorder="1" applyAlignment="1">
      <alignment horizontal="center" vertical="center"/>
    </xf>
    <xf numFmtId="41" fontId="2" fillId="2" borderId="1" xfId="5" applyFont="1" applyFill="1" applyBorder="1" applyAlignment="1">
      <alignment horizontal="center" vertical="center" wrapText="1"/>
    </xf>
    <xf numFmtId="41" fontId="0" fillId="0" borderId="1" xfId="5" applyFont="1" applyBorder="1"/>
    <xf numFmtId="41" fontId="4" fillId="2" borderId="1" xfId="5" applyFont="1" applyFill="1" applyBorder="1" applyAlignment="1">
      <alignment horizontal="center" vertical="center" wrapText="1"/>
    </xf>
    <xf numFmtId="168" fontId="0" fillId="0" borderId="0" xfId="0" applyNumberFormat="1"/>
    <xf numFmtId="0" fontId="0" fillId="0" borderId="0" xfId="0" applyAlignment="1">
      <alignment horizontal="center" vertical="center"/>
    </xf>
    <xf numFmtId="168" fontId="0" fillId="0" borderId="0" xfId="1" applyNumberFormat="1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5" applyNumberFormat="1" applyFont="1" applyAlignment="1">
      <alignment horizontal="center" vertical="center"/>
    </xf>
    <xf numFmtId="42" fontId="0" fillId="0" borderId="0" xfId="3" applyFont="1" applyAlignment="1">
      <alignment horizontal="center" vertical="center"/>
    </xf>
    <xf numFmtId="168" fontId="0" fillId="0" borderId="0" xfId="1" applyNumberFormat="1" applyFont="1" applyBorder="1"/>
    <xf numFmtId="14" fontId="0" fillId="0" borderId="0" xfId="0" applyNumberFormat="1" applyBorder="1"/>
    <xf numFmtId="169" fontId="0" fillId="0" borderId="0" xfId="5" applyNumberFormat="1" applyFont="1" applyBorder="1"/>
    <xf numFmtId="167" fontId="0" fillId="0" borderId="0" xfId="0" applyNumberFormat="1" applyBorder="1"/>
    <xf numFmtId="2" fontId="0" fillId="0" borderId="0" xfId="0" applyNumberFormat="1" applyBorder="1"/>
    <xf numFmtId="19" fontId="0" fillId="0" borderId="1" xfId="0" applyNumberFormat="1" applyBorder="1"/>
    <xf numFmtId="0" fontId="0" fillId="0" borderId="1" xfId="5" applyNumberFormat="1" applyFont="1" applyBorder="1"/>
    <xf numFmtId="9" fontId="0" fillId="0" borderId="0" xfId="6" applyFont="1"/>
    <xf numFmtId="0" fontId="2" fillId="2" borderId="2" xfId="0" applyFont="1" applyFill="1" applyBorder="1" applyAlignment="1">
      <alignment horizontal="center" vertical="center" wrapText="1"/>
    </xf>
    <xf numFmtId="41" fontId="2" fillId="2" borderId="2" xfId="5" applyFont="1" applyFill="1" applyBorder="1" applyAlignment="1">
      <alignment horizontal="center" vertical="center" wrapText="1"/>
    </xf>
    <xf numFmtId="0" fontId="0" fillId="0" borderId="3" xfId="0" applyBorder="1"/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68" fontId="0" fillId="0" borderId="0" xfId="1" applyNumberFormat="1" applyFont="1" applyBorder="1" applyAlignment="1">
      <alignment horizontal="center" vertical="center"/>
    </xf>
    <xf numFmtId="168" fontId="0" fillId="0" borderId="4" xfId="1" applyNumberFormat="1" applyFont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168" fontId="0" fillId="0" borderId="6" xfId="1" applyNumberFormat="1" applyFont="1" applyBorder="1" applyAlignment="1">
      <alignment horizontal="center" vertical="center"/>
    </xf>
    <xf numFmtId="168" fontId="0" fillId="0" borderId="7" xfId="1" applyNumberFormat="1" applyFont="1" applyBorder="1" applyAlignment="1">
      <alignment horizontal="center" vertical="center"/>
    </xf>
    <xf numFmtId="0" fontId="0" fillId="0" borderId="3" xfId="0" applyFont="1" applyBorder="1"/>
    <xf numFmtId="0" fontId="0" fillId="3" borderId="3" xfId="0" applyFill="1" applyBorder="1"/>
    <xf numFmtId="0" fontId="0" fillId="3" borderId="0" xfId="0" applyFill="1" applyBorder="1"/>
    <xf numFmtId="168" fontId="0" fillId="3" borderId="0" xfId="1" applyNumberFormat="1" applyFont="1" applyFill="1" applyBorder="1" applyAlignment="1">
      <alignment horizontal="center" vertical="center"/>
    </xf>
    <xf numFmtId="168" fontId="0" fillId="3" borderId="4" xfId="1" applyNumberFormat="1" applyFont="1" applyFill="1" applyBorder="1" applyAlignment="1">
      <alignment horizontal="center" vertical="center"/>
    </xf>
    <xf numFmtId="0" fontId="2" fillId="0" borderId="0" xfId="0" applyFont="1" applyBorder="1"/>
    <xf numFmtId="170" fontId="0" fillId="0" borderId="0" xfId="1" applyNumberFormat="1" applyFont="1"/>
    <xf numFmtId="0" fontId="2" fillId="0" borderId="1" xfId="0" applyFont="1" applyBorder="1" applyAlignment="1">
      <alignment horizontal="center"/>
    </xf>
  </cellXfs>
  <cellStyles count="7">
    <cellStyle name="Millares [0]" xfId="5" builtinId="6"/>
    <cellStyle name="Millares 4" xfId="4"/>
    <cellStyle name="Moneda [0]" xfId="1" builtinId="7"/>
    <cellStyle name="Moneda [0] 2" xfId="3"/>
    <cellStyle name="Moneda 2" xfId="2"/>
    <cellStyle name="Normal" xfId="0" builtinId="0"/>
    <cellStyle name="Porcentaje" xfId="6" builtinId="5"/>
  </cellStyles>
  <dxfs count="2">
    <dxf>
      <numFmt numFmtId="32" formatCode="_-&quot;$&quot;\ * #,##0_-;\-&quot;$&quot;\ * #,##0_-;_-&quot;$&quot;\ * &quot;-&quot;_-;_-@_-"/>
    </dxf>
    <dxf>
      <numFmt numFmtId="168" formatCode="_-[$$-240A]\ * #,##0_-;\-[$$-240A]\ * #,##0_-;_-[$$-240A]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</xdr:row>
          <xdr:rowOff>38100</xdr:rowOff>
        </xdr:from>
        <xdr:to>
          <xdr:col>10</xdr:col>
          <xdr:colOff>752475</xdr:colOff>
          <xdr:row>5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COMPILACIÓN DE DATOS OTROSÍ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8</xdr:row>
          <xdr:rowOff>66675</xdr:rowOff>
        </xdr:from>
        <xdr:to>
          <xdr:col>8</xdr:col>
          <xdr:colOff>581025</xdr:colOff>
          <xdr:row>10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SIN RESTRICCIONES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8</xdr:row>
          <xdr:rowOff>66675</xdr:rowOff>
        </xdr:from>
        <xdr:to>
          <xdr:col>10</xdr:col>
          <xdr:colOff>742950</xdr:colOff>
          <xdr:row>10</xdr:row>
          <xdr:rowOff>104775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RESTRINGIDO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12</xdr:row>
          <xdr:rowOff>19050</xdr:rowOff>
        </xdr:from>
        <xdr:to>
          <xdr:col>8</xdr:col>
          <xdr:colOff>581025</xdr:colOff>
          <xdr:row>14</xdr:row>
          <xdr:rowOff>57150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RESTRICCIÓN VALOR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19050</xdr:rowOff>
        </xdr:from>
        <xdr:to>
          <xdr:col>10</xdr:col>
          <xdr:colOff>742950</xdr:colOff>
          <xdr:row>14</xdr:row>
          <xdr:rowOff>57150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RESTRICCIÓN TIEMPO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2</xdr:row>
          <xdr:rowOff>19050</xdr:rowOff>
        </xdr:from>
        <xdr:to>
          <xdr:col>11</xdr:col>
          <xdr:colOff>114300</xdr:colOff>
          <xdr:row>6</xdr:row>
          <xdr:rowOff>76200</xdr:rowOff>
        </xdr:to>
        <xdr:sp macro="" textlink="">
          <xdr:nvSpPr>
            <xdr:cNvPr id="2057" name="Group Box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438150</xdr:colOff>
          <xdr:row>7</xdr:row>
          <xdr:rowOff>9525</xdr:rowOff>
        </xdr:from>
        <xdr:to>
          <xdr:col>11</xdr:col>
          <xdr:colOff>104775</xdr:colOff>
          <xdr:row>15</xdr:row>
          <xdr:rowOff>104775</xdr:rowOff>
        </xdr:to>
        <xdr:sp macro="" textlink="">
          <xdr:nvSpPr>
            <xdr:cNvPr id="2058" name="Group Box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Simulación Todos Datos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16</xdr:row>
          <xdr:rowOff>76200</xdr:rowOff>
        </xdr:from>
        <xdr:to>
          <xdr:col>11</xdr:col>
          <xdr:colOff>114300</xdr:colOff>
          <xdr:row>24</xdr:row>
          <xdr:rowOff>171450</xdr:rowOff>
        </xdr:to>
        <xdr:sp macro="" textlink="">
          <xdr:nvSpPr>
            <xdr:cNvPr id="2059" name="Group Box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Simulación Saldos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17</xdr:row>
          <xdr:rowOff>114300</xdr:rowOff>
        </xdr:from>
        <xdr:to>
          <xdr:col>8</xdr:col>
          <xdr:colOff>581025</xdr:colOff>
          <xdr:row>19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SIN RESTRICCIONES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17</xdr:row>
          <xdr:rowOff>114300</xdr:rowOff>
        </xdr:from>
        <xdr:to>
          <xdr:col>10</xdr:col>
          <xdr:colOff>742950</xdr:colOff>
          <xdr:row>19</xdr:row>
          <xdr:rowOff>152400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RESTRINGIDO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21</xdr:row>
          <xdr:rowOff>66675</xdr:rowOff>
        </xdr:from>
        <xdr:to>
          <xdr:col>8</xdr:col>
          <xdr:colOff>581025</xdr:colOff>
          <xdr:row>23</xdr:row>
          <xdr:rowOff>104775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RESTRICCIÓN VALOR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21</xdr:row>
          <xdr:rowOff>66675</xdr:rowOff>
        </xdr:from>
        <xdr:to>
          <xdr:col>10</xdr:col>
          <xdr:colOff>742950</xdr:colOff>
          <xdr:row>23</xdr:row>
          <xdr:rowOff>104775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RESTRICCIÓN TIEMPO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3</xdr:row>
          <xdr:rowOff>38100</xdr:rowOff>
        </xdr:from>
        <xdr:to>
          <xdr:col>8</xdr:col>
          <xdr:colOff>609600</xdr:colOff>
          <xdr:row>5</xdr:row>
          <xdr:rowOff>76200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COMPILACIÓN DE  DATOS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TROS&#205;ES/OtroS&#237;%20V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troSíes"/>
    </sheetNames>
    <sheetDataSet>
      <sheetData sheetId="0">
        <row r="1">
          <cell r="A1" t="str">
            <v>CECO</v>
          </cell>
          <cell r="B1" t="str">
            <v>PROYECTO</v>
          </cell>
          <cell r="C1" t="str">
            <v>COORDINADOR</v>
          </cell>
          <cell r="D1" t="str">
            <v>VALOR FACTURADO ACTUAL</v>
          </cell>
          <cell r="E1" t="str">
            <v>VALOR CONTRACTUAL</v>
          </cell>
          <cell r="F1" t="str">
            <v>% FACTURADO</v>
          </cell>
          <cell r="G1" t="str">
            <v>FECHA FIN CONTRACTUAL</v>
          </cell>
          <cell r="H1" t="str">
            <v>PROBABILIDAD DE OTROSÍ</v>
          </cell>
          <cell r="I1" t="str">
            <v>MESES DE  DURACIÓN</v>
          </cell>
          <cell r="J1" t="str">
            <v>VALOR ESTIMADO OTROSÍ</v>
          </cell>
          <cell r="K1" t="str">
            <v>AVANCE ACTUAL</v>
          </cell>
        </row>
        <row r="2">
          <cell r="A2">
            <v>1385</v>
          </cell>
          <cell r="B2" t="str">
            <v>CENTRO HOSPITALARIO SERENA DEL MAR (obra) (CARTAGENA)</v>
          </cell>
          <cell r="C2" t="str">
            <v xml:space="preserve">Sonia Franco </v>
          </cell>
          <cell r="D2">
            <v>6221744893</v>
          </cell>
          <cell r="E2">
            <v>8830060365</v>
          </cell>
          <cell r="F2">
            <v>0.70460955370830014</v>
          </cell>
          <cell r="G2">
            <v>43638</v>
          </cell>
          <cell r="H2">
            <v>0</v>
          </cell>
          <cell r="K2">
            <v>0.85</v>
          </cell>
        </row>
        <row r="3">
          <cell r="A3">
            <v>1507</v>
          </cell>
          <cell r="B3" t="str">
            <v>METROPOLIS</v>
          </cell>
          <cell r="C3" t="str">
            <v xml:space="preserve">Álvaro díaz </v>
          </cell>
          <cell r="D3">
            <v>2683044605</v>
          </cell>
          <cell r="E3">
            <v>4041562599.7321372</v>
          </cell>
          <cell r="F3">
            <v>0.66386318132937594</v>
          </cell>
          <cell r="G3">
            <v>43667</v>
          </cell>
          <cell r="H3">
            <v>0</v>
          </cell>
          <cell r="K3" t="str">
            <v>N/A</v>
          </cell>
        </row>
        <row r="4">
          <cell r="A4">
            <v>1577</v>
          </cell>
          <cell r="B4" t="str">
            <v>CENTRO MUNDIAL DE NEGOCIOS</v>
          </cell>
          <cell r="C4" t="str">
            <v>Yalenny Serrano</v>
          </cell>
          <cell r="D4">
            <v>4040172745</v>
          </cell>
          <cell r="E4">
            <v>5089087145</v>
          </cell>
          <cell r="F4">
            <v>0.79388947956402112</v>
          </cell>
          <cell r="G4">
            <v>43678</v>
          </cell>
          <cell r="H4">
            <v>0</v>
          </cell>
          <cell r="K4" t="str">
            <v>N/A</v>
          </cell>
        </row>
        <row r="5">
          <cell r="A5">
            <v>1580</v>
          </cell>
          <cell r="B5" t="str">
            <v>DESARROLLO CAMPUS EAN</v>
          </cell>
          <cell r="C5" t="str">
            <v>Ricardo La Rotta</v>
          </cell>
          <cell r="D5">
            <v>1271699630</v>
          </cell>
          <cell r="E5">
            <v>2477254514</v>
          </cell>
          <cell r="F5">
            <v>0.51335041386062441</v>
          </cell>
          <cell r="G5">
            <v>43889</v>
          </cell>
          <cell r="H5">
            <v>0</v>
          </cell>
          <cell r="K5">
            <v>0.22750000000000001</v>
          </cell>
        </row>
        <row r="6">
          <cell r="A6">
            <v>1588</v>
          </cell>
          <cell r="B6" t="str">
            <v>MALL PLAZA BARRANQUILLA</v>
          </cell>
          <cell r="C6" t="str">
            <v>Julio Ribon</v>
          </cell>
          <cell r="D6">
            <v>2677728560</v>
          </cell>
          <cell r="E6">
            <v>2785866588</v>
          </cell>
          <cell r="F6">
            <v>0.96118334292611141</v>
          </cell>
          <cell r="G6">
            <v>43585</v>
          </cell>
          <cell r="H6">
            <v>1</v>
          </cell>
          <cell r="I6">
            <v>5</v>
          </cell>
          <cell r="K6">
            <v>0.75849999999999995</v>
          </cell>
        </row>
        <row r="7">
          <cell r="A7">
            <v>1596</v>
          </cell>
          <cell r="B7" t="str">
            <v xml:space="preserve">COLEGIO HELVETIA </v>
          </cell>
          <cell r="C7" t="str">
            <v xml:space="preserve">Álvaro díaz </v>
          </cell>
          <cell r="D7">
            <v>887439815</v>
          </cell>
          <cell r="E7">
            <v>825013900</v>
          </cell>
          <cell r="F7">
            <v>1.0756665008916819</v>
          </cell>
          <cell r="G7">
            <v>43676</v>
          </cell>
          <cell r="H7">
            <v>0</v>
          </cell>
          <cell r="K7">
            <v>0.51</v>
          </cell>
        </row>
        <row r="8">
          <cell r="A8">
            <v>1618</v>
          </cell>
          <cell r="B8" t="str">
            <v>REMODELACION CC SALITRE PLAZA</v>
          </cell>
          <cell r="C8" t="str">
            <v>Ricardo La Rotta</v>
          </cell>
          <cell r="D8">
            <v>2181146853</v>
          </cell>
          <cell r="E8">
            <v>2143117379</v>
          </cell>
          <cell r="F8">
            <v>1.0177449328593215</v>
          </cell>
          <cell r="G8">
            <v>43524</v>
          </cell>
          <cell r="H8">
            <v>1</v>
          </cell>
          <cell r="I8">
            <v>2</v>
          </cell>
          <cell r="K8">
            <v>0.88</v>
          </cell>
        </row>
        <row r="9">
          <cell r="A9">
            <v>1687</v>
          </cell>
          <cell r="B9" t="str">
            <v>COLSUBSIDIO LA COLINA (ETAPA PARQUEADEROS)</v>
          </cell>
          <cell r="C9" t="str">
            <v>Mauricio Arango</v>
          </cell>
          <cell r="D9">
            <v>2817604508</v>
          </cell>
          <cell r="E9">
            <v>2625541821</v>
          </cell>
          <cell r="F9">
            <v>1.073151638821296</v>
          </cell>
          <cell r="G9">
            <v>43602</v>
          </cell>
          <cell r="H9">
            <v>0</v>
          </cell>
          <cell r="K9">
            <v>0.92900000000000005</v>
          </cell>
        </row>
        <row r="10">
          <cell r="A10">
            <v>1689</v>
          </cell>
          <cell r="B10" t="str">
            <v>HOTEL HILTON SANTA MARTA</v>
          </cell>
          <cell r="C10" t="str">
            <v>Julio Ribon</v>
          </cell>
          <cell r="D10">
            <v>1064721581</v>
          </cell>
          <cell r="E10">
            <v>1153504828</v>
          </cell>
          <cell r="F10">
            <v>0.92303175084760025</v>
          </cell>
          <cell r="G10">
            <v>43555</v>
          </cell>
          <cell r="H10">
            <v>1</v>
          </cell>
          <cell r="I10">
            <v>9</v>
          </cell>
          <cell r="K10">
            <v>0.38</v>
          </cell>
        </row>
        <row r="11">
          <cell r="A11">
            <v>1713</v>
          </cell>
          <cell r="B11" t="str">
            <v>UNIVERSIDAD SANTO TOMAS TUNJA</v>
          </cell>
          <cell r="C11" t="str">
            <v>Carlos Neira</v>
          </cell>
          <cell r="D11">
            <v>1432962868</v>
          </cell>
          <cell r="E11">
            <v>1383725155.8800001</v>
          </cell>
          <cell r="F11">
            <v>1.0355834479923771</v>
          </cell>
          <cell r="G11">
            <v>43496</v>
          </cell>
          <cell r="H11">
            <v>1</v>
          </cell>
          <cell r="I11">
            <v>2</v>
          </cell>
          <cell r="K11">
            <v>0.83360000000000001</v>
          </cell>
        </row>
        <row r="12">
          <cell r="A12">
            <v>1715</v>
          </cell>
          <cell r="B12" t="str">
            <v xml:space="preserve">GERENCIA INTEGRAL </v>
          </cell>
          <cell r="C12" t="str">
            <v>Ricardo La Rotta</v>
          </cell>
          <cell r="D12">
            <v>1762227664</v>
          </cell>
          <cell r="E12">
            <v>2024665704</v>
          </cell>
          <cell r="F12">
            <v>0.87037956958449081</v>
          </cell>
          <cell r="G12">
            <v>43555</v>
          </cell>
          <cell r="H12">
            <v>1</v>
          </cell>
          <cell r="I12">
            <v>1</v>
          </cell>
          <cell r="K12" t="str">
            <v>N/A</v>
          </cell>
        </row>
        <row r="13">
          <cell r="A13">
            <v>1723</v>
          </cell>
          <cell r="B13" t="str">
            <v>EDIFICIO SANTA MARIA</v>
          </cell>
          <cell r="C13" t="str">
            <v>Adriana Concha</v>
          </cell>
          <cell r="D13">
            <v>5727277625.25</v>
          </cell>
          <cell r="E13">
            <v>5619043124</v>
          </cell>
          <cell r="F13">
            <v>1.0192620876653731</v>
          </cell>
          <cell r="G13">
            <v>43646</v>
          </cell>
          <cell r="H13">
            <v>0</v>
          </cell>
          <cell r="K13">
            <v>0.5917</v>
          </cell>
        </row>
        <row r="14">
          <cell r="A14">
            <v>1739</v>
          </cell>
          <cell r="B14" t="str">
            <v>EDIFICIO CALLE 93 (Externado )</v>
          </cell>
          <cell r="C14" t="str">
            <v xml:space="preserve">Ricardo López </v>
          </cell>
          <cell r="D14">
            <v>98234041</v>
          </cell>
          <cell r="E14">
            <v>189854021</v>
          </cell>
          <cell r="F14">
            <v>0.51741880673678231</v>
          </cell>
          <cell r="G14">
            <v>43616</v>
          </cell>
          <cell r="H14">
            <v>0</v>
          </cell>
        </row>
        <row r="15">
          <cell r="A15">
            <v>1744</v>
          </cell>
          <cell r="B15" t="str">
            <v>EDIFICIO CALLE 92-11</v>
          </cell>
          <cell r="C15" t="str">
            <v xml:space="preserve">Mónica Cabrejo </v>
          </cell>
          <cell r="D15">
            <v>855735058</v>
          </cell>
          <cell r="E15">
            <v>1081488368</v>
          </cell>
          <cell r="F15">
            <v>0.79125683023527438</v>
          </cell>
          <cell r="G15">
            <v>43718</v>
          </cell>
          <cell r="H15">
            <v>0</v>
          </cell>
          <cell r="K15">
            <v>0.74</v>
          </cell>
        </row>
        <row r="16">
          <cell r="A16">
            <v>1751</v>
          </cell>
          <cell r="B16" t="str">
            <v>IROTAMA TORRE C (SANTA MARTA)</v>
          </cell>
          <cell r="C16" t="str">
            <v>Julio Ribon</v>
          </cell>
          <cell r="D16">
            <v>768710767</v>
          </cell>
          <cell r="E16">
            <v>805189890</v>
          </cell>
          <cell r="F16">
            <v>0.95469500616804814</v>
          </cell>
          <cell r="G16">
            <v>43555</v>
          </cell>
          <cell r="H16">
            <v>1</v>
          </cell>
          <cell r="I16">
            <v>3</v>
          </cell>
          <cell r="K16">
            <v>0.79</v>
          </cell>
        </row>
        <row r="17">
          <cell r="A17">
            <v>1756</v>
          </cell>
          <cell r="B17" t="str">
            <v>PRIMEROS EDIFICIOS U.CENTRAL</v>
          </cell>
          <cell r="C17" t="str">
            <v>Juan Carlos Piraquive</v>
          </cell>
          <cell r="D17">
            <v>1415816756</v>
          </cell>
          <cell r="E17">
            <v>1688630330</v>
          </cell>
          <cell r="F17">
            <v>0.83844091323410019</v>
          </cell>
          <cell r="G17">
            <v>43511</v>
          </cell>
          <cell r="H17">
            <v>1</v>
          </cell>
          <cell r="I17">
            <v>4</v>
          </cell>
          <cell r="K17" t="str">
            <v>N/A</v>
          </cell>
        </row>
        <row r="18">
          <cell r="A18">
            <v>1758</v>
          </cell>
          <cell r="B18" t="str">
            <v>PROYECTOS VARIOS UNI EXTERNADO</v>
          </cell>
          <cell r="C18" t="str">
            <v>Juan Carlos Piraquive</v>
          </cell>
          <cell r="D18">
            <v>632070669</v>
          </cell>
          <cell r="E18">
            <v>1127734320</v>
          </cell>
          <cell r="F18">
            <v>0.56047834830459009</v>
          </cell>
          <cell r="G18">
            <v>43830</v>
          </cell>
          <cell r="H18">
            <v>0</v>
          </cell>
          <cell r="K18" t="str">
            <v>N/A</v>
          </cell>
        </row>
        <row r="19">
          <cell r="A19">
            <v>1802</v>
          </cell>
          <cell r="B19" t="str">
            <v xml:space="preserve">ETAPA II PLAZA DE LAS AMÉRICAS </v>
          </cell>
          <cell r="C19" t="str">
            <v>Mauricio Arango</v>
          </cell>
          <cell r="D19">
            <v>783383698</v>
          </cell>
          <cell r="E19">
            <v>1411945204</v>
          </cell>
          <cell r="F19">
            <v>0.55482585002640084</v>
          </cell>
          <cell r="G19">
            <v>43709</v>
          </cell>
          <cell r="H19">
            <v>0</v>
          </cell>
          <cell r="K19">
            <v>0.36</v>
          </cell>
        </row>
        <row r="20">
          <cell r="A20">
            <v>1804</v>
          </cell>
          <cell r="B20" t="str">
            <v xml:space="preserve">EDIFICIO QUINTA MUTIS </v>
          </cell>
          <cell r="C20" t="str">
            <v>Ricardo La Rotta</v>
          </cell>
          <cell r="D20">
            <v>451548050</v>
          </cell>
          <cell r="E20">
            <v>447208046.21848744</v>
          </cell>
          <cell r="F20">
            <v>1.0097046638990752</v>
          </cell>
          <cell r="G20">
            <v>43521</v>
          </cell>
          <cell r="H20">
            <v>1</v>
          </cell>
          <cell r="I20">
            <v>7</v>
          </cell>
          <cell r="K20" t="str">
            <v>N/A</v>
          </cell>
        </row>
        <row r="21">
          <cell r="A21">
            <v>1806</v>
          </cell>
          <cell r="B21" t="str">
            <v xml:space="preserve">PROYECTOS VARIOS AVIANCA </v>
          </cell>
          <cell r="C21" t="str">
            <v xml:space="preserve">Mauricio Gallo </v>
          </cell>
          <cell r="D21">
            <v>1312827892</v>
          </cell>
          <cell r="E21">
            <v>1648018423</v>
          </cell>
          <cell r="F21">
            <v>0.79660996119823113</v>
          </cell>
          <cell r="G21">
            <v>43616</v>
          </cell>
          <cell r="H21">
            <v>0</v>
          </cell>
          <cell r="K21" t="str">
            <v>N/A</v>
          </cell>
        </row>
        <row r="22">
          <cell r="A22">
            <v>1813</v>
          </cell>
          <cell r="B22" t="str">
            <v>SEDE ÚNICA DE LA FISCALÍA GENERAL DE LA NACIÓN DE CÚCUTA</v>
          </cell>
          <cell r="C22" t="str">
            <v>Carlos Neira</v>
          </cell>
          <cell r="D22">
            <v>2402849344</v>
          </cell>
          <cell r="E22">
            <v>1987359844.8151259</v>
          </cell>
          <cell r="F22">
            <v>1.2090660633346575</v>
          </cell>
          <cell r="G22">
            <v>43524</v>
          </cell>
          <cell r="H22">
            <v>1</v>
          </cell>
          <cell r="I22">
            <v>3</v>
          </cell>
          <cell r="K22">
            <v>0.89</v>
          </cell>
        </row>
        <row r="23">
          <cell r="A23">
            <v>1824</v>
          </cell>
          <cell r="B23" t="str">
            <v>MEGAPORT</v>
          </cell>
          <cell r="C23" t="str">
            <v>Fabio Castro</v>
          </cell>
          <cell r="D23">
            <v>693688688</v>
          </cell>
          <cell r="E23">
            <v>1146170852.9411767</v>
          </cell>
          <cell r="F23">
            <v>0.60522276083005688</v>
          </cell>
          <cell r="G23">
            <v>43646</v>
          </cell>
          <cell r="H23">
            <v>0</v>
          </cell>
          <cell r="K23">
            <v>0.61</v>
          </cell>
        </row>
        <row r="24">
          <cell r="A24">
            <v>1826</v>
          </cell>
          <cell r="B24" t="str">
            <v xml:space="preserve">CENTRO DE INVESTIGACIÓN DE BIOLOGÍA LA VEGA </v>
          </cell>
          <cell r="C24" t="str">
            <v>Ricardo La Rotta</v>
          </cell>
          <cell r="D24">
            <v>104984493</v>
          </cell>
          <cell r="E24">
            <v>160008756</v>
          </cell>
          <cell r="F24">
            <v>0.65611717523758517</v>
          </cell>
          <cell r="G24">
            <v>43626</v>
          </cell>
          <cell r="H24">
            <v>0</v>
          </cell>
          <cell r="K24" t="str">
            <v>N/A</v>
          </cell>
        </row>
        <row r="25">
          <cell r="A25">
            <v>1831</v>
          </cell>
          <cell r="B25" t="str">
            <v>CENTRO MUNDIAL DE NEGOCIOS (URBANISMO)</v>
          </cell>
          <cell r="C25" t="str">
            <v>Carlos Neira</v>
          </cell>
          <cell r="E25">
            <v>415493821</v>
          </cell>
          <cell r="F25">
            <v>0</v>
          </cell>
          <cell r="G25" t="str">
            <v>SIN FECHA</v>
          </cell>
          <cell r="H25">
            <v>0</v>
          </cell>
          <cell r="K25" t="str">
            <v>N/A</v>
          </cell>
        </row>
        <row r="26">
          <cell r="A26">
            <v>1838</v>
          </cell>
          <cell r="B26" t="str">
            <v>CASA LA BUHARDILLA</v>
          </cell>
          <cell r="C26" t="str">
            <v>Fabio Castro</v>
          </cell>
          <cell r="D26">
            <v>134744364</v>
          </cell>
          <cell r="E26">
            <v>177763960</v>
          </cell>
          <cell r="F26">
            <v>0.75799596273620362</v>
          </cell>
          <cell r="G26">
            <v>43554</v>
          </cell>
          <cell r="H26">
            <v>0</v>
          </cell>
          <cell r="K26">
            <v>0.83</v>
          </cell>
        </row>
        <row r="27">
          <cell r="A27">
            <v>1845</v>
          </cell>
          <cell r="B27" t="str">
            <v>CAMBIO CUBIERTAS CC ANDINO</v>
          </cell>
          <cell r="C27" t="str">
            <v>Carlos Neira</v>
          </cell>
          <cell r="E27">
            <v>436274412.0986504</v>
          </cell>
          <cell r="F27">
            <v>0</v>
          </cell>
          <cell r="G27">
            <v>43465</v>
          </cell>
          <cell r="H27">
            <v>0</v>
          </cell>
          <cell r="K27" t="str">
            <v>N/A</v>
          </cell>
        </row>
        <row r="28">
          <cell r="A28">
            <v>1848</v>
          </cell>
          <cell r="B28" t="str">
            <v>REMODELACION OFICINAS BID PISO 20</v>
          </cell>
          <cell r="C28" t="str">
            <v xml:space="preserve">Ricardo López </v>
          </cell>
          <cell r="D28">
            <v>104615541</v>
          </cell>
          <cell r="E28">
            <v>181253858</v>
          </cell>
          <cell r="F28">
            <v>0.57717690621514939</v>
          </cell>
          <cell r="G28">
            <v>43623</v>
          </cell>
          <cell r="H28">
            <v>0</v>
          </cell>
          <cell r="K28">
            <v>0.87</v>
          </cell>
        </row>
        <row r="29">
          <cell r="A29">
            <v>1849</v>
          </cell>
          <cell r="B29" t="str">
            <v xml:space="preserve">ZONAS EXTERIORES CENTRO COMERCIAL ANDINO </v>
          </cell>
          <cell r="C29" t="str">
            <v>Carlos Neira</v>
          </cell>
          <cell r="D29">
            <v>96650300</v>
          </cell>
          <cell r="E29">
            <v>68769400</v>
          </cell>
          <cell r="F29">
            <v>1.4054259598018886</v>
          </cell>
          <cell r="G29">
            <v>43434</v>
          </cell>
          <cell r="H29">
            <v>0</v>
          </cell>
          <cell r="K29">
            <v>2.4299999999999999E-2</v>
          </cell>
        </row>
        <row r="30">
          <cell r="A30">
            <v>1882</v>
          </cell>
          <cell r="B30" t="str">
            <v xml:space="preserve">FINALIZACIÓN INTEGRACIÓN HOSPITAL UNIVERSITARIO - FUNDACIÓN SANTAFE </v>
          </cell>
          <cell r="C30" t="str">
            <v xml:space="preserve">Jimy Bula </v>
          </cell>
          <cell r="E30">
            <v>214412247</v>
          </cell>
          <cell r="F30">
            <v>0</v>
          </cell>
          <cell r="G30">
            <v>43524</v>
          </cell>
          <cell r="K30">
            <v>0.95540000000000003</v>
          </cell>
        </row>
        <row r="31">
          <cell r="A31">
            <v>1884</v>
          </cell>
          <cell r="B31" t="str">
            <v xml:space="preserve">CENTRO COMERCIAL NUESTRO CARTAGO </v>
          </cell>
          <cell r="C31" t="str">
            <v xml:space="preserve">Ricardo López </v>
          </cell>
          <cell r="D31">
            <v>141965813</v>
          </cell>
          <cell r="E31">
            <v>185647599</v>
          </cell>
          <cell r="F31">
            <v>0.76470589312604043</v>
          </cell>
          <cell r="G31">
            <v>43738</v>
          </cell>
          <cell r="H31">
            <v>0</v>
          </cell>
          <cell r="K31">
            <v>0.5</v>
          </cell>
        </row>
        <row r="32">
          <cell r="A32">
            <v>1890</v>
          </cell>
          <cell r="B32" t="str">
            <v>CENTRO CIVICO</v>
          </cell>
          <cell r="C32" t="str">
            <v>Fabio Castro</v>
          </cell>
          <cell r="E32">
            <v>860247406</v>
          </cell>
          <cell r="F32">
            <v>0</v>
          </cell>
          <cell r="G32">
            <v>44180</v>
          </cell>
          <cell r="H32">
            <v>0</v>
          </cell>
          <cell r="K32" t="str">
            <v>N/A</v>
          </cell>
        </row>
        <row r="33">
          <cell r="A33">
            <v>1899</v>
          </cell>
          <cell r="B33" t="str">
            <v>CLÍNICA AVIDANTI IBAGUÉ</v>
          </cell>
          <cell r="C33" t="str">
            <v xml:space="preserve">Álvaro díaz </v>
          </cell>
          <cell r="E33">
            <v>1417660599</v>
          </cell>
          <cell r="F33">
            <v>0</v>
          </cell>
          <cell r="G33">
            <v>44256</v>
          </cell>
          <cell r="H33">
            <v>0</v>
          </cell>
        </row>
        <row r="34">
          <cell r="A34">
            <v>1837</v>
          </cell>
          <cell r="G34">
            <v>43646</v>
          </cell>
          <cell r="H34">
            <v>1</v>
          </cell>
          <cell r="I34">
            <v>5</v>
          </cell>
        </row>
        <row r="37">
          <cell r="A37">
            <v>1791</v>
          </cell>
          <cell r="B37" t="str">
            <v>CENTRO COMERCIAL ALEGRA</v>
          </cell>
        </row>
        <row r="38">
          <cell r="A38">
            <v>1818</v>
          </cell>
          <cell r="B38" t="str">
            <v>BODEGA BAENAMORA</v>
          </cell>
        </row>
        <row r="39">
          <cell r="A39">
            <v>1829</v>
          </cell>
          <cell r="B39" t="str">
            <v>EDIFICIO NUEVA SEDE CORPORATIVA CINECOLOMBIA</v>
          </cell>
        </row>
        <row r="40">
          <cell r="A40">
            <v>1881</v>
          </cell>
          <cell r="B40" t="str">
            <v>IBIS BUDGET MARLY</v>
          </cell>
        </row>
        <row r="41">
          <cell r="A41">
            <v>1622</v>
          </cell>
          <cell r="B41" t="str">
            <v>ATRIO - QBO</v>
          </cell>
        </row>
        <row r="42">
          <cell r="A42">
            <v>1857</v>
          </cell>
          <cell r="B42" t="str">
            <v>COLPATRIA ALAMEDA SAN DIEGO</v>
          </cell>
        </row>
        <row r="43">
          <cell r="A43">
            <v>1860</v>
          </cell>
          <cell r="B43" t="str">
            <v>EDIFICIO 593</v>
          </cell>
        </row>
        <row r="44">
          <cell r="A44">
            <v>1873</v>
          </cell>
          <cell r="B44" t="str">
            <v>CALLE 77</v>
          </cell>
        </row>
        <row r="45">
          <cell r="A45">
            <v>1789</v>
          </cell>
          <cell r="B45" t="str">
            <v>CENTROS COMERCIALES TUNJA Y ENVIGADO</v>
          </cell>
        </row>
        <row r="46">
          <cell r="A46">
            <v>1891</v>
          </cell>
          <cell r="B46" t="str">
            <v>PLAZA DE LAS AMÉRICAS ETAPA 3 Y 4</v>
          </cell>
        </row>
        <row r="47">
          <cell r="A47">
            <v>1565</v>
          </cell>
          <cell r="B47" t="str">
            <v>HOSPITAL UNIVERSITARIO COMPENSAR CLINICA EL BOSQUE</v>
          </cell>
        </row>
        <row r="48">
          <cell r="A48">
            <v>1880</v>
          </cell>
          <cell r="B48" t="str">
            <v>REPARACION CASA C.C. MALL PLAZA</v>
          </cell>
        </row>
        <row r="49">
          <cell r="A49">
            <v>1701</v>
          </cell>
          <cell r="B49" t="str">
            <v>POLITECNICO GRAN COLOMBIANO</v>
          </cell>
        </row>
        <row r="50">
          <cell r="A50">
            <v>1720</v>
          </cell>
          <cell r="B50" t="str">
            <v>VIA DEPRIMIDA CRA 57</v>
          </cell>
        </row>
        <row r="51">
          <cell r="A51">
            <v>1803</v>
          </cell>
          <cell r="B51" t="str">
            <v>BODEGA PROSEGUR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dres Madrigal C" refreshedDate="43592.41704641204" createdVersion="5" refreshedVersion="5" minRefreshableVersion="3" recordCount="7132">
  <cacheSource type="worksheet">
    <worksheetSource ref="A1:E7133" sheet="COMPARACION"/>
  </cacheSource>
  <cacheFields count="5">
    <cacheField name="CECO" numFmtId="0">
      <sharedItems containsSemiMixedTypes="0" containsString="0" containsNumber="1" containsInteger="1" minValue="1385" maxValue="1900" count="58">
        <n v="1580"/>
        <n v="1588"/>
        <n v="1596"/>
        <n v="1687"/>
        <n v="1689"/>
        <n v="1701"/>
        <n v="1751"/>
        <n v="1758"/>
        <n v="1789"/>
        <n v="1802"/>
        <n v="1818"/>
        <n v="1829"/>
        <n v="1838"/>
        <n v="1846"/>
        <n v="1856"/>
        <n v="1860"/>
        <n v="1861"/>
        <n v="1873"/>
        <n v="1874"/>
        <n v="1881"/>
        <n v="1880"/>
        <n v="1877"/>
        <n v="1753"/>
        <n v="1723"/>
        <n v="1577"/>
        <n v="1622"/>
        <n v="1734"/>
        <n v="1888"/>
        <n v="1891"/>
        <n v="1895"/>
        <n v="1893"/>
        <n v="1890"/>
        <n v="1618"/>
        <n v="1715"/>
        <n v="1837"/>
        <n v="1845"/>
        <n v="1385"/>
        <n v="1899"/>
        <n v="1900"/>
        <n v="1790"/>
        <n v="1507"/>
        <n v="1744"/>
        <n v="1756"/>
        <n v="1804"/>
        <n v="1813"/>
        <n v="1857"/>
        <n v="1883"/>
        <n v="1884"/>
        <n v="1791"/>
        <n v="1453"/>
        <n v="1826"/>
        <n v="1858"/>
        <n v="1848"/>
        <n v="1806"/>
        <n v="1824"/>
        <n v="1866"/>
        <n v="1898"/>
        <n v="1713" u="1"/>
      </sharedItems>
    </cacheField>
    <cacheField name="FECHA" numFmtId="14">
      <sharedItems containsSemiMixedTypes="0" containsNonDate="0" containsDate="1" containsString="0" minDate="2019-01-01T00:00:00" maxDate="2021-10-02T00:00:00" count="34"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21-06-01T00:00:00"/>
        <d v="2021-07-01T00:00:00"/>
        <d v="2021-08-01T00:00:00"/>
        <d v="2021-09-01T00:00:00"/>
        <d v="2021-10-01T00:00:00"/>
      </sharedItems>
    </cacheField>
    <cacheField name="PERSONA/ITEM" numFmtId="0">
      <sharedItems count="142">
        <s v="COORDINADOR"/>
        <s v="DIRECTOR"/>
        <s v="RESIDENTE TECNICO DE COORDINACION"/>
        <s v="RESIDENTE DE INSTALACIONES"/>
        <s v="RESIDENTE  ADMINISTRATIVO"/>
        <s v="PROFESIONAL CONTRATACIONES"/>
        <s v="INSPECTOR 1"/>
        <s v="INSPECTOR 2"/>
        <s v="INSPECTOR DE ACABADOS 1"/>
        <s v="INSPECTOR DE ACABADOS 2"/>
        <s v="INSPECTOR INSTALACIONES"/>
        <s v="INSPECTOR SISO"/>
        <s v="PROFESIONAL CONTROL DE PPTO Y PROGRAMACION"/>
        <s v="RESIDENTE TECNICO"/>
        <s v="INSPECTOR"/>
        <s v="RESIDENTE ADMINISTRATIVO"/>
        <s v="PROFESIONAL DE SOPORTE"/>
        <s v="RESIDENTE DE ESTRUCTURA"/>
        <s v="RESIDENTE SISO"/>
        <s v="INSPECTOR DE INSTALACIONES"/>
        <s v="INSPECTOR GENERAL"/>
        <s v="INSPECTOR DE ACABADOS"/>
        <s v="PROFESIONAL COORDINACION DE DISEÑOS"/>
        <s v="DIRECTOR ENVIGADO"/>
        <s v="DIRECTOR TUNJA"/>
        <s v="INSPECTOR ENVIGADO"/>
        <s v="ESPECIALISTA INSTALACIONES"/>
        <s v="COORDINADOR BIM"/>
        <s v="INSPECTOR SISOMA"/>
        <s v="INSPECTOR DE INTERVENTORIA 1"/>
        <s v="AUXILIAR ADMINISTRATIVO"/>
        <s v="RESIDENTE DE INTERVENTORIA"/>
        <s v="AUXILIAR DE INGENIERIA "/>
        <s v="DIRECTOR DE INTERVENTORIA"/>
        <s v="RESIDENTE"/>
        <s v="ANTROPOLOGO"/>
        <s v="ARQUIRECTO DISEÑADOR CON ESP EN URBANISMO"/>
        <s v="BIOLOGO"/>
        <s v="ESPECIALISTA CATASTRAL"/>
        <s v="ESPECIALISTA DISEÑO GEOMETRICO"/>
        <s v="ESPECIALISTA ELECTRICO"/>
        <s v="ESPECIALISTA EN PAVIMENTOS"/>
        <s v="ESPECIALISTA EN SEGURIDAD Y SALUD EN EL TRABAJO"/>
        <s v="ESPECIALISTA EN TRANSITO"/>
        <s v="ESPECIALISTA ESTRUCTURAL"/>
        <s v="ESPECIALISTA FORESTAL"/>
        <s v="ESPECIALISTA GEOTECNIA"/>
        <s v="ESPECIALISTA HDROSANITARIO"/>
        <s v="INGENIERO CATASTRAL"/>
        <s v="PROFESIONAL DE APOYO ARQUITECTO"/>
        <s v="PROFESIONAL SOCIAL"/>
        <s v="RESIDENTE AMBIENTAL"/>
        <s v="RESIDENTE TRANSITO Y TRANSPORTE"/>
        <s v="INSPECTOR EN OBRA"/>
        <s v="INSPECTOR DE REDES"/>
        <s v="PROFESIONAL SISO"/>
        <s v="INSPECTOR DE OBRA CIVIL FRENTE 1"/>
        <s v="INSPECTOR DE OBRA CIVIL FRENTE 2"/>
        <s v="PROFESIONAL DE CONTRATACIONES"/>
        <s v="RESIDENTE DE COSTOS Y PRESUPUESTOS"/>
        <s v="RESIDENTE DE OBRA"/>
        <s v="INSPECTOR ADICIONAL"/>
        <s v="DIRECTOR INTERVENTORIA"/>
        <s v="RESIDENTE INSTALACIONES"/>
        <s v="RESIDENTE SISOMA"/>
        <s v="INSPECTOR TECNICO"/>
        <s v="CONTADOR"/>
        <s v="INSPECTOR DE OBRA 1"/>
        <s v="RESIDENTE TECNICO DIURNO"/>
        <s v="RESIDENTE TECNICO DIURNO ADICIONAL"/>
        <s v="RESIDENTE INTERVENTOR HSQE"/>
        <s v="RESIDENTE TECNICO NOCTURNO"/>
        <s v="RESIDENTE TECNICO NOCTURNO ADICIONAL"/>
        <s v="INSPECTOR DE OBRA NOCTURNO"/>
        <s v="INSPECTOR DE OBRA NOCTURNO ADICIONAL"/>
        <s v="INSPECTOR DE OBRA 2"/>
        <s v="SUPERVISOR TECNICO "/>
        <s v="DIRECTOR RESIDENTE"/>
        <s v="DIRECTOR CONTRATACIONES"/>
        <s v="RESIDENTE COMERCIO"/>
        <s v="RESIDENTE TORRE 1"/>
        <s v="RESIDENTE RECIBO Y ENTREGAS"/>
        <s v="INSPECTOR COMERCIO"/>
        <s v="INSPECTOR COMERCIO ACABADOS"/>
        <s v="RESIDENTE VENTANERÍA TORRES"/>
        <s v="INSPECTOR TORRE 1"/>
        <s v="INSPECTOR TORRE 1 ACABADOS"/>
        <s v="RESIDENTE URBANISMO"/>
        <s v="INSPECTOR URBANISMO"/>
        <s v="DIRECTOR INTERNACIONAL SYASA"/>
        <s v="DIRECTOR LOCAL (DIRECTOR)"/>
        <s v="PROFESIONAL DE ESTRUCTURA"/>
        <s v="PROFESIONAL DE CONTROLES SYASA "/>
        <s v="PROFESIONAL DE CONTROLES "/>
        <s v="RESIDENTE MEP 1"/>
        <s v="RESIDENTE MEP 2"/>
        <s v="INSPECTOR ESTRUCTURA 2"/>
        <s v="INSPECTOR INSTALACIONES 1"/>
        <s v="INSPECTOR INSTALACIONES 2"/>
        <s v="INSPECTOR FACHADA"/>
        <s v="SOPORTE GERENCIAL PAYC"/>
        <s v="SOPORTE GERENCIAL SYASA 1"/>
        <s v="SOPORTE GERENCIAL SYASA 2 "/>
        <s v="PROFESIONAL DE ACABADOS"/>
        <s v="RESIDENTE ADMINISTRATIVO 1"/>
        <s v="RESIDENTE ADMINISTRATIVO 2"/>
        <s v="DIRECTOR 1A"/>
        <s v="DIRECTOR DE CONTRATACIONES"/>
        <s v="AUXILIAR ADMINISTRATIVO "/>
        <s v="INSPECTOR ESTRUCTURA"/>
        <s v="INSPECTOR ACABADOS"/>
        <s v="RESIDENTE PLANEACION - LOGISTICA"/>
        <s v="RESIDENTE TORRE 5"/>
        <s v="RESIDENTE VENTANERIA CARPINTERÍA METÁLICA"/>
        <s v="INSPECTOR PLATAFORMAS"/>
        <s v="RESIDENTE TÉCNICO"/>
        <s v="RESIDENTE DE ACABADOS"/>
        <s v="AUXILIAR DE CONTROLES"/>
        <s v="AUXILIAR SISOMA"/>
        <s v="PROFESIONAL DE COORDINACION"/>
        <s v="ESPECIALISTA AMBIENTAL"/>
        <s v="INGENIERO RESIDENTE DE OBRA"/>
        <s v="RESIDENTE CIMENTACION Y ESTRUCTURA"/>
        <s v="INSPECTOR HSEQ"/>
        <s v="PROFESIONAL ADMINISTRATIVO"/>
        <s v="PROFESIONAL PRESUPUESTACION"/>
        <s v="COORDINADOR - SUPERVISOR ESTRUCTURAL"/>
        <s v="ESPECIALISTA MECANICO"/>
        <s v="DIRECTOR GENERAL"/>
        <s v="INSPECTOR ACABADOS 1"/>
        <s v="INSPECTOR ACABADOS 2"/>
        <s v="INSPECTOR DE INSTALACIONES 1"/>
        <s v="INSPECTOR DE INSTALACIONES 2"/>
        <s v="RESIDENTE COORDINACION DE INSTALACIONES"/>
        <s v="RESIDENTE COORDINACION OBRA NEGRA"/>
        <s v="RESIDENTE TECNICO DE INTERVENTORIA"/>
        <s v="APOYO SUPERVISOR ESTRUCTURAL"/>
        <s v="RESIDENTE TECNICO DE INSTALACIONES"/>
        <s v="RESIDENTE DE CONTROL DE PRESUPUESTO Y PROGRAMACION"/>
        <s v="INSPECTOR DE OBRA 3"/>
        <s v="HONORARIOS"/>
        <s v="INGENIERO CIVIL RESIDENTE ESTRUCTURAS" u="1"/>
      </sharedItems>
    </cacheField>
    <cacheField name="VALOR" numFmtId="0">
      <sharedItems containsSemiMixedTypes="0" containsString="0" containsNumber="1" minValue="-577000000" maxValue="577000000"/>
    </cacheField>
    <cacheField name="ORIGEN" numFmtId="0">
      <sharedItems count="2">
        <s v="SIN OTROSI"/>
        <s v="CON OTROS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ndres Madrigal C" refreshedDate="43592.426230671299" createdVersion="5" refreshedVersion="5" minRefreshableVersion="3" recordCount="3605">
  <cacheSource type="worksheet">
    <worksheetSource ref="A1:D3606" sheet="DATOS_SIMULACION"/>
  </cacheSource>
  <cacheFields count="5">
    <cacheField name="CECO" numFmtId="0">
      <sharedItems containsSemiMixedTypes="0" containsString="0" containsNumber="1" containsInteger="1" minValue="1385" maxValue="1900" count="57">
        <n v="1580"/>
        <n v="1588"/>
        <n v="1596"/>
        <n v="1687"/>
        <n v="1689"/>
        <n v="1701"/>
        <n v="1751"/>
        <n v="1758"/>
        <n v="1789"/>
        <n v="1802"/>
        <n v="1818"/>
        <n v="1829"/>
        <n v="1838"/>
        <n v="1846"/>
        <n v="1856"/>
        <n v="1860"/>
        <n v="1861"/>
        <n v="1873"/>
        <n v="1874"/>
        <n v="1881"/>
        <n v="1880"/>
        <n v="1877"/>
        <n v="1753"/>
        <n v="1723"/>
        <n v="1577"/>
        <n v="1622"/>
        <n v="1734"/>
        <n v="1888"/>
        <n v="1891"/>
        <n v="1895"/>
        <n v="1893"/>
        <n v="1890"/>
        <n v="1618"/>
        <n v="1715"/>
        <n v="1837"/>
        <n v="1845"/>
        <n v="1385"/>
        <n v="1899"/>
        <n v="1900"/>
        <n v="1790"/>
        <n v="1507"/>
        <n v="1744"/>
        <n v="1756"/>
        <n v="1804"/>
        <n v="1813"/>
        <n v="1857"/>
        <n v="1883"/>
        <n v="1884"/>
        <n v="1791"/>
        <n v="1453"/>
        <n v="1826"/>
        <n v="1858"/>
        <n v="1848"/>
        <n v="1806"/>
        <n v="1824"/>
        <n v="1866"/>
        <n v="1898"/>
      </sharedItems>
    </cacheField>
    <cacheField name="FECHA" numFmtId="14">
      <sharedItems containsSemiMixedTypes="0" containsNonDate="0" containsDate="1" containsString="0" minDate="2019-01-01T00:00:00" maxDate="2021-10-02T00:00:00" count="34"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21-06-01T00:00:00"/>
        <d v="2021-07-01T00:00:00"/>
        <d v="2021-08-01T00:00:00"/>
        <d v="2021-09-01T00:00:00"/>
        <d v="2021-10-01T00:00:00"/>
      </sharedItems>
      <fieldGroup par="4" base="1">
        <rangePr groupBy="months" startDate="2019-01-01T00:00:00" endDate="2021-10-02T00:00:00"/>
        <groupItems count="14">
          <s v="&lt;1/01/2019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/10/2021"/>
        </groupItems>
      </fieldGroup>
    </cacheField>
    <cacheField name="PERSONA/ITEM" numFmtId="0">
      <sharedItems count="141">
        <s v="COORDINADOR"/>
        <s v="DIRECTOR"/>
        <s v="RESIDENTE TECNICO DE COORDINACION"/>
        <s v="RESIDENTE DE INSTALACIONES"/>
        <s v="RESIDENTE  ADMINISTRATIVO"/>
        <s v="PROFESIONAL CONTRATACIONES"/>
        <s v="INSPECTOR 1"/>
        <s v="INSPECTOR 2"/>
        <s v="INSPECTOR DE ACABADOS 1"/>
        <s v="INSPECTOR DE ACABADOS 2"/>
        <s v="INSPECTOR INSTALACIONES"/>
        <s v="INSPECTOR SISO"/>
        <s v="PROFESIONAL CONTROL DE PPTO Y PROGRAMACION"/>
        <s v="RESIDENTE TECNICO"/>
        <s v="INSPECTOR"/>
        <s v="RESIDENTE ADMINISTRATIVO"/>
        <s v="PROFESIONAL DE SOPORTE"/>
        <s v="RESIDENTE DE ESTRUCTURA"/>
        <s v="RESIDENTE SISO"/>
        <s v="INSPECTOR DE INSTALACIONES"/>
        <s v="INSPECTOR GENERAL"/>
        <s v="INSPECTOR DE ACABADOS"/>
        <s v="PROFESIONAL COORDINACION DE DISEÑOS"/>
        <s v="DIRECTOR ENVIGADO"/>
        <s v="DIRECTOR TUNJA"/>
        <s v="INSPECTOR ENVIGADO"/>
        <s v="ESPECIALISTA INSTALACIONES"/>
        <s v="COORDINADOR BIM"/>
        <s v="INSPECTOR SISOMA"/>
        <s v="INSPECTOR DE INTERVENTORIA 1"/>
        <s v="AUXILIAR ADMINISTRATIVO"/>
        <s v="RESIDENTE DE INTERVENTORIA"/>
        <s v="AUXILIAR DE INGENIERIA "/>
        <s v="DIRECTOR DE INTERVENTORIA"/>
        <s v="RESIDENTE"/>
        <s v="ANTROPOLOGO"/>
        <s v="ARQUIRECTO DISEÑADOR CON ESP EN URBANISMO"/>
        <s v="BIOLOGO"/>
        <s v="ESPECIALISTA CATASTRAL"/>
        <s v="ESPECIALISTA DISEÑO GEOMETRICO"/>
        <s v="ESPECIALISTA ELECTRICO"/>
        <s v="ESPECIALISTA EN PAVIMENTOS"/>
        <s v="ESPECIALISTA EN SEGURIDAD Y SALUD EN EL TRABAJO"/>
        <s v="ESPECIALISTA EN TRANSITO"/>
        <s v="ESPECIALISTA ESTRUCTURAL"/>
        <s v="ESPECIALISTA FORESTAL"/>
        <s v="ESPECIALISTA GEOTECNIA"/>
        <s v="ESPECIALISTA HDROSANITARIO"/>
        <s v="INGENIERO CATASTRAL"/>
        <s v="PROFESIONAL DE APOYO ARQUITECTO"/>
        <s v="PROFESIONAL SOCIAL"/>
        <s v="RESIDENTE AMBIENTAL"/>
        <s v="RESIDENTE TRANSITO Y TRANSPORTE"/>
        <s v="INSPECTOR EN OBRA"/>
        <s v="INSPECTOR DE REDES"/>
        <s v="PROFESIONAL SISO"/>
        <s v="INSPECTOR DE OBRA CIVIL FRENTE 1"/>
        <s v="INSPECTOR DE OBRA CIVIL FRENTE 2"/>
        <s v="PROFESIONAL DE CONTRATACIONES"/>
        <s v="RESIDENTE DE COSTOS Y PRESUPUESTOS"/>
        <s v="RESIDENTE DE OBRA"/>
        <s v="INSPECTOR ADICIONAL"/>
        <s v="DIRECTOR INTERVENTORIA"/>
        <s v="RESIDENTE INSTALACIONES"/>
        <s v="RESIDENTE SISOMA"/>
        <s v="INSPECTOR TECNICO"/>
        <s v="CONTADOR"/>
        <s v="INSPECTOR DE OBRA 1"/>
        <s v="RESIDENTE TECNICO DIURNO"/>
        <s v="RESIDENTE TECNICO DIURNO ADICIONAL"/>
        <s v="RESIDENTE INTERVENTOR HSQE"/>
        <s v="RESIDENTE TECNICO NOCTURNO"/>
        <s v="RESIDENTE TECNICO NOCTURNO ADICIONAL"/>
        <s v="INSPECTOR DE OBRA NOCTURNO"/>
        <s v="INSPECTOR DE OBRA NOCTURNO ADICIONAL"/>
        <s v="INSPECTOR DE OBRA 2"/>
        <s v="SUPERVISOR TECNICO "/>
        <s v="DIRECTOR RESIDENTE"/>
        <s v="DIRECTOR CONTRATACIONES"/>
        <s v="RESIDENTE COMERCIO"/>
        <s v="RESIDENTE TORRE 1"/>
        <s v="RESIDENTE RECIBO Y ENTREGAS"/>
        <s v="INSPECTOR COMERCIO"/>
        <s v="INSPECTOR COMERCIO ACABADOS"/>
        <s v="RESIDENTE VENTANERÍA TORRES"/>
        <s v="INSPECTOR TORRE 1"/>
        <s v="INSPECTOR TORRE 1 ACABADOS"/>
        <s v="RESIDENTE URBANISMO"/>
        <s v="INSPECTOR URBANISMO"/>
        <s v="DIRECTOR INTERNACIONAL SYASA"/>
        <s v="DIRECTOR LOCAL (DIRECTOR)"/>
        <s v="PROFESIONAL DE ESTRUCTURA"/>
        <s v="PROFESIONAL DE CONTROLES SYASA "/>
        <s v="PROFESIONAL DE CONTROLES "/>
        <s v="RESIDENTE MEP 1"/>
        <s v="RESIDENTE MEP 2"/>
        <s v="INSPECTOR ESTRUCTURA 2"/>
        <s v="INSPECTOR INSTALACIONES 1"/>
        <s v="INSPECTOR INSTALACIONES 2"/>
        <s v="INSPECTOR FACHADA"/>
        <s v="SOPORTE GERENCIAL PAYC"/>
        <s v="SOPORTE GERENCIAL SYASA 1"/>
        <s v="SOPORTE GERENCIAL SYASA 2 "/>
        <s v="PROFESIONAL DE ACABADOS"/>
        <s v="RESIDENTE ADMINISTRATIVO 1"/>
        <s v="RESIDENTE ADMINISTRATIVO 2"/>
        <s v="DIRECTOR 1A"/>
        <s v="DIRECTOR DE CONTRATACIONES"/>
        <s v="AUXILIAR ADMINISTRATIVO "/>
        <s v="INSPECTOR ESTRUCTURA"/>
        <s v="INSPECTOR ACABADOS"/>
        <s v="RESIDENTE PLANEACION - LOGISTICA"/>
        <s v="RESIDENTE TORRE 5"/>
        <s v="RESIDENTE VENTANERIA CARPINTERÍA METÁLICA"/>
        <s v="INSPECTOR PLATAFORMAS"/>
        <s v="RESIDENTE TÉCNICO"/>
        <s v="RESIDENTE DE ACABADOS"/>
        <s v="AUXILIAR DE CONTROLES"/>
        <s v="AUXILIAR SISOMA"/>
        <s v="PROFESIONAL DE COORDINACION"/>
        <s v="ESPECIALISTA AMBIENTAL"/>
        <s v="INGENIERO RESIDENTE DE OBRA"/>
        <s v="RESIDENTE CIMENTACION Y ESTRUCTURA"/>
        <s v="INSPECTOR HSEQ"/>
        <s v="PROFESIONAL ADMINISTRATIVO"/>
        <s v="PROFESIONAL PRESUPUESTACION"/>
        <s v="COORDINADOR - SUPERVISOR ESTRUCTURAL"/>
        <s v="ESPECIALISTA MECANICO"/>
        <s v="DIRECTOR GENERAL"/>
        <s v="INSPECTOR ACABADOS 1"/>
        <s v="INSPECTOR ACABADOS 2"/>
        <s v="INSPECTOR DE INSTALACIONES 1"/>
        <s v="INSPECTOR DE INSTALACIONES 2"/>
        <s v="RESIDENTE COORDINACION DE INSTALACIONES"/>
        <s v="RESIDENTE COORDINACION OBRA NEGRA"/>
        <s v="RESIDENTE TECNICO DE INTERVENTORIA"/>
        <s v="APOYO SUPERVISOR ESTRUCTURAL"/>
        <s v="RESIDENTE TECNICO DE INSTALACIONES"/>
        <s v="RESIDENTE DE CONTROL DE PRESUPUESTO Y PROGRAMACION"/>
        <s v="INSPECTOR DE OBRA 3"/>
        <s v="HONORARIOS"/>
      </sharedItems>
    </cacheField>
    <cacheField name="VALOR" numFmtId="168">
      <sharedItems containsSemiMixedTypes="0" containsString="0" containsNumber="1" minValue="0" maxValue="577000000"/>
    </cacheField>
    <cacheField name="Años" numFmtId="0" databaseField="0">
      <fieldGroup base="1">
        <rangePr groupBy="years" startDate="2019-01-01T00:00:00" endDate="2021-10-02T00:00:00"/>
        <groupItems count="5">
          <s v="&lt;1/01/2019"/>
          <s v="2019"/>
          <s v="2020"/>
          <s v="2021"/>
          <s v="&gt;2/10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132">
  <r>
    <x v="0"/>
    <x v="0"/>
    <x v="0"/>
    <n v="-5273934.6806999994"/>
    <x v="0"/>
  </r>
  <r>
    <x v="0"/>
    <x v="1"/>
    <x v="0"/>
    <n v="-5273934.6806999994"/>
    <x v="0"/>
  </r>
  <r>
    <x v="0"/>
    <x v="2"/>
    <x v="0"/>
    <n v="-5273934.6806999994"/>
    <x v="0"/>
  </r>
  <r>
    <x v="0"/>
    <x v="3"/>
    <x v="0"/>
    <n v="-5273934.6806999994"/>
    <x v="0"/>
  </r>
  <r>
    <x v="0"/>
    <x v="4"/>
    <x v="0"/>
    <n v="-5273934.6806999994"/>
    <x v="0"/>
  </r>
  <r>
    <x v="0"/>
    <x v="5"/>
    <x v="0"/>
    <n v="-5273934.6806999994"/>
    <x v="0"/>
  </r>
  <r>
    <x v="0"/>
    <x v="6"/>
    <x v="0"/>
    <n v="-5273934.6806999994"/>
    <x v="0"/>
  </r>
  <r>
    <x v="0"/>
    <x v="7"/>
    <x v="0"/>
    <n v="-5273934.6806999994"/>
    <x v="0"/>
  </r>
  <r>
    <x v="0"/>
    <x v="8"/>
    <x v="0"/>
    <n v="-5273934.6806999994"/>
    <x v="0"/>
  </r>
  <r>
    <x v="0"/>
    <x v="9"/>
    <x v="0"/>
    <n v="-5273934.6806999994"/>
    <x v="0"/>
  </r>
  <r>
    <x v="0"/>
    <x v="10"/>
    <x v="0"/>
    <n v="-5273934.6806999994"/>
    <x v="0"/>
  </r>
  <r>
    <x v="0"/>
    <x v="11"/>
    <x v="0"/>
    <n v="-5273934.6806999994"/>
    <x v="0"/>
  </r>
  <r>
    <x v="0"/>
    <x v="12"/>
    <x v="0"/>
    <n v="-5273934.6806999994"/>
    <x v="0"/>
  </r>
  <r>
    <x v="0"/>
    <x v="13"/>
    <x v="0"/>
    <n v="-5273934.6806999994"/>
    <x v="0"/>
  </r>
  <r>
    <x v="0"/>
    <x v="0"/>
    <x v="1"/>
    <n v="-7784590.2750000004"/>
    <x v="0"/>
  </r>
  <r>
    <x v="0"/>
    <x v="1"/>
    <x v="1"/>
    <n v="-7784590.2750000004"/>
    <x v="0"/>
  </r>
  <r>
    <x v="0"/>
    <x v="2"/>
    <x v="1"/>
    <n v="-7784590.2750000004"/>
    <x v="0"/>
  </r>
  <r>
    <x v="0"/>
    <x v="3"/>
    <x v="1"/>
    <n v="-7784590.2750000004"/>
    <x v="0"/>
  </r>
  <r>
    <x v="0"/>
    <x v="4"/>
    <x v="1"/>
    <n v="-7784590.2750000004"/>
    <x v="0"/>
  </r>
  <r>
    <x v="0"/>
    <x v="5"/>
    <x v="1"/>
    <n v="-7784590.2750000004"/>
    <x v="0"/>
  </r>
  <r>
    <x v="0"/>
    <x v="6"/>
    <x v="1"/>
    <n v="-7784590.2750000004"/>
    <x v="0"/>
  </r>
  <r>
    <x v="0"/>
    <x v="7"/>
    <x v="1"/>
    <n v="-7784590.2750000004"/>
    <x v="0"/>
  </r>
  <r>
    <x v="0"/>
    <x v="8"/>
    <x v="1"/>
    <n v="-7784590.2750000004"/>
    <x v="0"/>
  </r>
  <r>
    <x v="0"/>
    <x v="9"/>
    <x v="1"/>
    <n v="-7784590.2750000004"/>
    <x v="0"/>
  </r>
  <r>
    <x v="0"/>
    <x v="10"/>
    <x v="1"/>
    <n v="-7784590.2750000004"/>
    <x v="0"/>
  </r>
  <r>
    <x v="0"/>
    <x v="11"/>
    <x v="1"/>
    <n v="-7784590.2750000004"/>
    <x v="0"/>
  </r>
  <r>
    <x v="0"/>
    <x v="12"/>
    <x v="1"/>
    <n v="-7784590.2750000004"/>
    <x v="0"/>
  </r>
  <r>
    <x v="0"/>
    <x v="13"/>
    <x v="1"/>
    <n v="-7784590.2750000004"/>
    <x v="0"/>
  </r>
  <r>
    <x v="0"/>
    <x v="0"/>
    <x v="2"/>
    <n v="-6517329.5250000004"/>
    <x v="0"/>
  </r>
  <r>
    <x v="0"/>
    <x v="1"/>
    <x v="2"/>
    <n v="-6517329.5250000004"/>
    <x v="0"/>
  </r>
  <r>
    <x v="0"/>
    <x v="2"/>
    <x v="2"/>
    <n v="-6517329.5250000004"/>
    <x v="0"/>
  </r>
  <r>
    <x v="0"/>
    <x v="3"/>
    <x v="2"/>
    <n v="-6517329.5250000004"/>
    <x v="0"/>
  </r>
  <r>
    <x v="0"/>
    <x v="4"/>
    <x v="2"/>
    <n v="-6517329.5250000004"/>
    <x v="0"/>
  </r>
  <r>
    <x v="0"/>
    <x v="5"/>
    <x v="2"/>
    <n v="-6517329.5250000004"/>
    <x v="0"/>
  </r>
  <r>
    <x v="0"/>
    <x v="6"/>
    <x v="2"/>
    <n v="-6517329.5250000004"/>
    <x v="0"/>
  </r>
  <r>
    <x v="0"/>
    <x v="7"/>
    <x v="2"/>
    <n v="-6517329.5250000004"/>
    <x v="0"/>
  </r>
  <r>
    <x v="0"/>
    <x v="8"/>
    <x v="2"/>
    <n v="-6517329.5250000004"/>
    <x v="0"/>
  </r>
  <r>
    <x v="0"/>
    <x v="9"/>
    <x v="2"/>
    <n v="-6517329.5250000004"/>
    <x v="0"/>
  </r>
  <r>
    <x v="0"/>
    <x v="10"/>
    <x v="2"/>
    <n v="-6517329.5250000004"/>
    <x v="0"/>
  </r>
  <r>
    <x v="0"/>
    <x v="11"/>
    <x v="2"/>
    <n v="-6517329.5250000004"/>
    <x v="0"/>
  </r>
  <r>
    <x v="0"/>
    <x v="12"/>
    <x v="2"/>
    <n v="-6517329.5250000004"/>
    <x v="0"/>
  </r>
  <r>
    <x v="0"/>
    <x v="0"/>
    <x v="3"/>
    <n v="-7791940.1186286025"/>
    <x v="0"/>
  </r>
  <r>
    <x v="0"/>
    <x v="1"/>
    <x v="3"/>
    <n v="-7791940.1186286025"/>
    <x v="0"/>
  </r>
  <r>
    <x v="0"/>
    <x v="2"/>
    <x v="3"/>
    <n v="-7791940.1186286025"/>
    <x v="0"/>
  </r>
  <r>
    <x v="0"/>
    <x v="3"/>
    <x v="3"/>
    <n v="-7791940.1186286025"/>
    <x v="0"/>
  </r>
  <r>
    <x v="0"/>
    <x v="4"/>
    <x v="3"/>
    <n v="-7791940.1186286025"/>
    <x v="0"/>
  </r>
  <r>
    <x v="0"/>
    <x v="5"/>
    <x v="3"/>
    <n v="-7791940.1186286025"/>
    <x v="0"/>
  </r>
  <r>
    <x v="0"/>
    <x v="6"/>
    <x v="3"/>
    <n v="-7791940.1186286025"/>
    <x v="0"/>
  </r>
  <r>
    <x v="0"/>
    <x v="7"/>
    <x v="3"/>
    <n v="-7791940.1186286025"/>
    <x v="0"/>
  </r>
  <r>
    <x v="0"/>
    <x v="8"/>
    <x v="3"/>
    <n v="-7791940.1186286025"/>
    <x v="0"/>
  </r>
  <r>
    <x v="0"/>
    <x v="9"/>
    <x v="3"/>
    <n v="-7791940.1186286025"/>
    <x v="0"/>
  </r>
  <r>
    <x v="0"/>
    <x v="10"/>
    <x v="3"/>
    <n v="-7791940.1186286025"/>
    <x v="0"/>
  </r>
  <r>
    <x v="0"/>
    <x v="11"/>
    <x v="3"/>
    <n v="-7791940.1186286025"/>
    <x v="0"/>
  </r>
  <r>
    <x v="0"/>
    <x v="12"/>
    <x v="3"/>
    <n v="-7791940.1186286025"/>
    <x v="0"/>
  </r>
  <r>
    <x v="0"/>
    <x v="13"/>
    <x v="3"/>
    <n v="-7791940.1186286025"/>
    <x v="0"/>
  </r>
  <r>
    <x v="0"/>
    <x v="0"/>
    <x v="4"/>
    <n v="-4525924.49505"/>
    <x v="0"/>
  </r>
  <r>
    <x v="0"/>
    <x v="1"/>
    <x v="4"/>
    <n v="-4525924.49505"/>
    <x v="0"/>
  </r>
  <r>
    <x v="0"/>
    <x v="2"/>
    <x v="4"/>
    <n v="-4525924.49505"/>
    <x v="0"/>
  </r>
  <r>
    <x v="0"/>
    <x v="3"/>
    <x v="4"/>
    <n v="-4525924.49505"/>
    <x v="0"/>
  </r>
  <r>
    <x v="0"/>
    <x v="4"/>
    <x v="4"/>
    <n v="-4525924.49505"/>
    <x v="0"/>
  </r>
  <r>
    <x v="0"/>
    <x v="5"/>
    <x v="4"/>
    <n v="-4525924.49505"/>
    <x v="0"/>
  </r>
  <r>
    <x v="0"/>
    <x v="6"/>
    <x v="4"/>
    <n v="-4525924.49505"/>
    <x v="0"/>
  </r>
  <r>
    <x v="0"/>
    <x v="7"/>
    <x v="4"/>
    <n v="-4525924.49505"/>
    <x v="0"/>
  </r>
  <r>
    <x v="0"/>
    <x v="8"/>
    <x v="4"/>
    <n v="-4525924.49505"/>
    <x v="0"/>
  </r>
  <r>
    <x v="0"/>
    <x v="9"/>
    <x v="4"/>
    <n v="-4525924.49505"/>
    <x v="0"/>
  </r>
  <r>
    <x v="0"/>
    <x v="10"/>
    <x v="4"/>
    <n v="-4525924.49505"/>
    <x v="0"/>
  </r>
  <r>
    <x v="0"/>
    <x v="11"/>
    <x v="4"/>
    <n v="-4525924.49505"/>
    <x v="0"/>
  </r>
  <r>
    <x v="0"/>
    <x v="12"/>
    <x v="4"/>
    <n v="-4525924.49505"/>
    <x v="0"/>
  </r>
  <r>
    <x v="0"/>
    <x v="13"/>
    <x v="4"/>
    <n v="-4525924.49505"/>
    <x v="0"/>
  </r>
  <r>
    <x v="0"/>
    <x v="0"/>
    <x v="5"/>
    <n v="-4797479.3643000005"/>
    <x v="0"/>
  </r>
  <r>
    <x v="0"/>
    <x v="1"/>
    <x v="5"/>
    <n v="-4797479.3643000005"/>
    <x v="0"/>
  </r>
  <r>
    <x v="0"/>
    <x v="2"/>
    <x v="5"/>
    <n v="-4797479.3643000005"/>
    <x v="0"/>
  </r>
  <r>
    <x v="0"/>
    <x v="3"/>
    <x v="5"/>
    <n v="-4797479.3643000005"/>
    <x v="0"/>
  </r>
  <r>
    <x v="0"/>
    <x v="4"/>
    <x v="5"/>
    <n v="-4797479.3643000005"/>
    <x v="0"/>
  </r>
  <r>
    <x v="0"/>
    <x v="5"/>
    <x v="5"/>
    <n v="-4797479.3643000005"/>
    <x v="0"/>
  </r>
  <r>
    <x v="0"/>
    <x v="6"/>
    <x v="5"/>
    <n v="-4797479.3643000005"/>
    <x v="0"/>
  </r>
  <r>
    <x v="0"/>
    <x v="7"/>
    <x v="5"/>
    <n v="-4797479.3643000005"/>
    <x v="0"/>
  </r>
  <r>
    <x v="0"/>
    <x v="8"/>
    <x v="5"/>
    <n v="-4797479.3643000005"/>
    <x v="0"/>
  </r>
  <r>
    <x v="0"/>
    <x v="0"/>
    <x v="6"/>
    <n v="-4024174.4865000001"/>
    <x v="0"/>
  </r>
  <r>
    <x v="0"/>
    <x v="1"/>
    <x v="6"/>
    <n v="-4024174.4865000001"/>
    <x v="0"/>
  </r>
  <r>
    <x v="0"/>
    <x v="2"/>
    <x v="6"/>
    <n v="-4024174.4865000001"/>
    <x v="0"/>
  </r>
  <r>
    <x v="0"/>
    <x v="3"/>
    <x v="6"/>
    <n v="-4024174.4865000001"/>
    <x v="0"/>
  </r>
  <r>
    <x v="0"/>
    <x v="4"/>
    <x v="6"/>
    <n v="-4024174.4865000001"/>
    <x v="0"/>
  </r>
  <r>
    <x v="0"/>
    <x v="5"/>
    <x v="6"/>
    <n v="-4024174.4865000001"/>
    <x v="0"/>
  </r>
  <r>
    <x v="0"/>
    <x v="6"/>
    <x v="6"/>
    <n v="-4024174.4865000001"/>
    <x v="0"/>
  </r>
  <r>
    <x v="0"/>
    <x v="7"/>
    <x v="6"/>
    <n v="-4024174.4865000001"/>
    <x v="0"/>
  </r>
  <r>
    <x v="0"/>
    <x v="8"/>
    <x v="6"/>
    <n v="-4024174.4865000001"/>
    <x v="0"/>
  </r>
  <r>
    <x v="0"/>
    <x v="9"/>
    <x v="6"/>
    <n v="-4024174.4865000001"/>
    <x v="0"/>
  </r>
  <r>
    <x v="0"/>
    <x v="10"/>
    <x v="6"/>
    <n v="-4024174.4865000001"/>
    <x v="0"/>
  </r>
  <r>
    <x v="0"/>
    <x v="11"/>
    <x v="6"/>
    <n v="-4024174.4865000001"/>
    <x v="0"/>
  </r>
  <r>
    <x v="0"/>
    <x v="12"/>
    <x v="6"/>
    <n v="-4024174.4865000001"/>
    <x v="0"/>
  </r>
  <r>
    <x v="0"/>
    <x v="3"/>
    <x v="7"/>
    <n v="-3995634.3839999996"/>
    <x v="0"/>
  </r>
  <r>
    <x v="0"/>
    <x v="4"/>
    <x v="7"/>
    <n v="-3995634.3839999996"/>
    <x v="0"/>
  </r>
  <r>
    <x v="0"/>
    <x v="5"/>
    <x v="7"/>
    <n v="-3995634.3839999996"/>
    <x v="0"/>
  </r>
  <r>
    <x v="0"/>
    <x v="6"/>
    <x v="7"/>
    <n v="-3995634.3839999996"/>
    <x v="0"/>
  </r>
  <r>
    <x v="0"/>
    <x v="7"/>
    <x v="7"/>
    <n v="-3995634.3839999996"/>
    <x v="0"/>
  </r>
  <r>
    <x v="0"/>
    <x v="8"/>
    <x v="7"/>
    <n v="-3995634.3839999996"/>
    <x v="0"/>
  </r>
  <r>
    <x v="0"/>
    <x v="9"/>
    <x v="7"/>
    <n v="-3995634.3839999996"/>
    <x v="0"/>
  </r>
  <r>
    <x v="0"/>
    <x v="10"/>
    <x v="7"/>
    <n v="-3995634.3839999996"/>
    <x v="0"/>
  </r>
  <r>
    <x v="0"/>
    <x v="11"/>
    <x v="7"/>
    <n v="-3995634.3839999996"/>
    <x v="0"/>
  </r>
  <r>
    <x v="1"/>
    <x v="0"/>
    <x v="1"/>
    <n v="-10120918.862249998"/>
    <x v="0"/>
  </r>
  <r>
    <x v="1"/>
    <x v="1"/>
    <x v="1"/>
    <n v="-10120918.862249998"/>
    <x v="0"/>
  </r>
  <r>
    <x v="1"/>
    <x v="2"/>
    <x v="1"/>
    <n v="-10120918.862249998"/>
    <x v="0"/>
  </r>
  <r>
    <x v="1"/>
    <x v="0"/>
    <x v="8"/>
    <n v="-3845949.1676549995"/>
    <x v="0"/>
  </r>
  <r>
    <x v="1"/>
    <x v="1"/>
    <x v="8"/>
    <n v="-3845949.1676549995"/>
    <x v="0"/>
  </r>
  <r>
    <x v="1"/>
    <x v="2"/>
    <x v="8"/>
    <n v="-3845949.1676549995"/>
    <x v="0"/>
  </r>
  <r>
    <x v="1"/>
    <x v="0"/>
    <x v="9"/>
    <n v="-3845949.1676549995"/>
    <x v="0"/>
  </r>
  <r>
    <x v="1"/>
    <x v="1"/>
    <x v="9"/>
    <n v="-3845949.1676549995"/>
    <x v="0"/>
  </r>
  <r>
    <x v="1"/>
    <x v="2"/>
    <x v="9"/>
    <n v="-3845949.1676549995"/>
    <x v="0"/>
  </r>
  <r>
    <x v="1"/>
    <x v="0"/>
    <x v="10"/>
    <n v="-4250785.9221449997"/>
    <x v="0"/>
  </r>
  <r>
    <x v="1"/>
    <x v="1"/>
    <x v="10"/>
    <n v="-4250785.9221449997"/>
    <x v="0"/>
  </r>
  <r>
    <x v="1"/>
    <x v="2"/>
    <x v="10"/>
    <n v="-4250785.9221449997"/>
    <x v="0"/>
  </r>
  <r>
    <x v="1"/>
    <x v="0"/>
    <x v="11"/>
    <n v="-3643530.7904099999"/>
    <x v="0"/>
  </r>
  <r>
    <x v="1"/>
    <x v="1"/>
    <x v="11"/>
    <n v="-3643530.7904099999"/>
    <x v="0"/>
  </r>
  <r>
    <x v="1"/>
    <x v="2"/>
    <x v="11"/>
    <n v="-3643530.7904099999"/>
    <x v="0"/>
  </r>
  <r>
    <x v="1"/>
    <x v="0"/>
    <x v="12"/>
    <n v="-4964979.0644999994"/>
    <x v="0"/>
  </r>
  <r>
    <x v="1"/>
    <x v="1"/>
    <x v="12"/>
    <n v="-4964979.0644999994"/>
    <x v="0"/>
  </r>
  <r>
    <x v="1"/>
    <x v="2"/>
    <x v="12"/>
    <n v="-4964979.0644999994"/>
    <x v="0"/>
  </r>
  <r>
    <x v="1"/>
    <x v="0"/>
    <x v="3"/>
    <n v="-8593232.9962500017"/>
    <x v="0"/>
  </r>
  <r>
    <x v="1"/>
    <x v="1"/>
    <x v="3"/>
    <n v="-8593232.9962500017"/>
    <x v="0"/>
  </r>
  <r>
    <x v="1"/>
    <x v="2"/>
    <x v="3"/>
    <n v="-8593232.9962500017"/>
    <x v="0"/>
  </r>
  <r>
    <x v="1"/>
    <x v="0"/>
    <x v="13"/>
    <n v="-6110743.4639999997"/>
    <x v="0"/>
  </r>
  <r>
    <x v="1"/>
    <x v="1"/>
    <x v="13"/>
    <n v="-6110743.4639999997"/>
    <x v="0"/>
  </r>
  <r>
    <x v="1"/>
    <x v="2"/>
    <x v="13"/>
    <n v="-6110743.4639999997"/>
    <x v="0"/>
  </r>
  <r>
    <x v="2"/>
    <x v="0"/>
    <x v="0"/>
    <n v="-2679075"/>
    <x v="0"/>
  </r>
  <r>
    <x v="2"/>
    <x v="1"/>
    <x v="0"/>
    <n v="-2679075"/>
    <x v="0"/>
  </r>
  <r>
    <x v="2"/>
    <x v="2"/>
    <x v="0"/>
    <n v="-2679075"/>
    <x v="0"/>
  </r>
  <r>
    <x v="2"/>
    <x v="3"/>
    <x v="0"/>
    <n v="-2679075"/>
    <x v="0"/>
  </r>
  <r>
    <x v="2"/>
    <x v="4"/>
    <x v="0"/>
    <n v="-2679075"/>
    <x v="0"/>
  </r>
  <r>
    <x v="2"/>
    <x v="5"/>
    <x v="0"/>
    <n v="-2679075"/>
    <x v="0"/>
  </r>
  <r>
    <x v="2"/>
    <x v="0"/>
    <x v="1"/>
    <n v="-9754920"/>
    <x v="0"/>
  </r>
  <r>
    <x v="2"/>
    <x v="1"/>
    <x v="1"/>
    <n v="-9754920"/>
    <x v="0"/>
  </r>
  <r>
    <x v="2"/>
    <x v="2"/>
    <x v="1"/>
    <n v="-9754920"/>
    <x v="0"/>
  </r>
  <r>
    <x v="2"/>
    <x v="3"/>
    <x v="1"/>
    <n v="-9754920"/>
    <x v="0"/>
  </r>
  <r>
    <x v="2"/>
    <x v="4"/>
    <x v="1"/>
    <n v="-9754920"/>
    <x v="0"/>
  </r>
  <r>
    <x v="2"/>
    <x v="5"/>
    <x v="1"/>
    <n v="-9754920"/>
    <x v="0"/>
  </r>
  <r>
    <x v="2"/>
    <x v="0"/>
    <x v="14"/>
    <n v="-4163260.5"/>
    <x v="0"/>
  </r>
  <r>
    <x v="2"/>
    <x v="1"/>
    <x v="14"/>
    <n v="-4163260.5"/>
    <x v="0"/>
  </r>
  <r>
    <x v="2"/>
    <x v="2"/>
    <x v="14"/>
    <n v="-4163260.5"/>
    <x v="0"/>
  </r>
  <r>
    <x v="2"/>
    <x v="3"/>
    <x v="14"/>
    <n v="-4163260.5"/>
    <x v="0"/>
  </r>
  <r>
    <x v="2"/>
    <x v="0"/>
    <x v="5"/>
    <n v="-1950380.3812500001"/>
    <x v="0"/>
  </r>
  <r>
    <x v="2"/>
    <x v="1"/>
    <x v="5"/>
    <n v="-1950380.3812500001"/>
    <x v="0"/>
  </r>
  <r>
    <x v="2"/>
    <x v="2"/>
    <x v="5"/>
    <n v="-1950380.3812500001"/>
    <x v="0"/>
  </r>
  <r>
    <x v="2"/>
    <x v="3"/>
    <x v="5"/>
    <n v="-1950380.3812500001"/>
    <x v="0"/>
  </r>
  <r>
    <x v="2"/>
    <x v="0"/>
    <x v="15"/>
    <n v="-5521981.5"/>
    <x v="0"/>
  </r>
  <r>
    <x v="2"/>
    <x v="1"/>
    <x v="15"/>
    <n v="-5521981.5"/>
    <x v="0"/>
  </r>
  <r>
    <x v="2"/>
    <x v="2"/>
    <x v="15"/>
    <n v="-5521981.5"/>
    <x v="0"/>
  </r>
  <r>
    <x v="3"/>
    <x v="0"/>
    <x v="0"/>
    <n v="-3804794.5320000006"/>
    <x v="0"/>
  </r>
  <r>
    <x v="3"/>
    <x v="1"/>
    <x v="0"/>
    <n v="-3804794.5320000006"/>
    <x v="0"/>
  </r>
  <r>
    <x v="3"/>
    <x v="2"/>
    <x v="0"/>
    <n v="-3804794.5320000006"/>
    <x v="0"/>
  </r>
  <r>
    <x v="3"/>
    <x v="3"/>
    <x v="0"/>
    <n v="-3804794.5320000006"/>
    <x v="0"/>
  </r>
  <r>
    <x v="3"/>
    <x v="0"/>
    <x v="1"/>
    <n v="-10868700"/>
    <x v="0"/>
  </r>
  <r>
    <x v="3"/>
    <x v="1"/>
    <x v="1"/>
    <n v="-10868700"/>
    <x v="0"/>
  </r>
  <r>
    <x v="3"/>
    <x v="2"/>
    <x v="1"/>
    <n v="-10868700"/>
    <x v="0"/>
  </r>
  <r>
    <x v="3"/>
    <x v="3"/>
    <x v="1"/>
    <n v="-10868700"/>
    <x v="0"/>
  </r>
  <r>
    <x v="3"/>
    <x v="0"/>
    <x v="14"/>
    <n v="-3601566.2399999998"/>
    <x v="0"/>
  </r>
  <r>
    <x v="3"/>
    <x v="1"/>
    <x v="14"/>
    <n v="-3601566.2399999998"/>
    <x v="0"/>
  </r>
  <r>
    <x v="3"/>
    <x v="2"/>
    <x v="14"/>
    <n v="-3601566.2399999998"/>
    <x v="0"/>
  </r>
  <r>
    <x v="3"/>
    <x v="3"/>
    <x v="14"/>
    <n v="-3601566.2399999998"/>
    <x v="0"/>
  </r>
  <r>
    <x v="3"/>
    <x v="0"/>
    <x v="16"/>
    <n v="-5246958"/>
    <x v="0"/>
  </r>
  <r>
    <x v="3"/>
    <x v="1"/>
    <x v="16"/>
    <n v="-5246958"/>
    <x v="0"/>
  </r>
  <r>
    <x v="3"/>
    <x v="2"/>
    <x v="16"/>
    <n v="-5246958"/>
    <x v="0"/>
  </r>
  <r>
    <x v="3"/>
    <x v="3"/>
    <x v="16"/>
    <n v="-5246958"/>
    <x v="0"/>
  </r>
  <r>
    <x v="3"/>
    <x v="0"/>
    <x v="15"/>
    <n v="-4544697"/>
    <x v="0"/>
  </r>
  <r>
    <x v="3"/>
    <x v="1"/>
    <x v="15"/>
    <n v="-4544697"/>
    <x v="0"/>
  </r>
  <r>
    <x v="3"/>
    <x v="2"/>
    <x v="15"/>
    <n v="-4544697"/>
    <x v="0"/>
  </r>
  <r>
    <x v="3"/>
    <x v="3"/>
    <x v="15"/>
    <n v="-4544697"/>
    <x v="0"/>
  </r>
  <r>
    <x v="3"/>
    <x v="0"/>
    <x v="17"/>
    <n v="-7308264"/>
    <x v="0"/>
  </r>
  <r>
    <x v="3"/>
    <x v="1"/>
    <x v="17"/>
    <n v="-7308264"/>
    <x v="0"/>
  </r>
  <r>
    <x v="3"/>
    <x v="2"/>
    <x v="17"/>
    <n v="-7308264"/>
    <x v="0"/>
  </r>
  <r>
    <x v="3"/>
    <x v="3"/>
    <x v="17"/>
    <n v="-7308264"/>
    <x v="0"/>
  </r>
  <r>
    <x v="3"/>
    <x v="0"/>
    <x v="18"/>
    <n v="-3989386.5"/>
    <x v="0"/>
  </r>
  <r>
    <x v="3"/>
    <x v="1"/>
    <x v="18"/>
    <n v="-3989386.5"/>
    <x v="0"/>
  </r>
  <r>
    <x v="3"/>
    <x v="2"/>
    <x v="18"/>
    <n v="-3989386.5"/>
    <x v="0"/>
  </r>
  <r>
    <x v="4"/>
    <x v="0"/>
    <x v="1"/>
    <n v="-9724050.0000000019"/>
    <x v="0"/>
  </r>
  <r>
    <x v="4"/>
    <x v="1"/>
    <x v="1"/>
    <n v="-9724050.0000000019"/>
    <x v="0"/>
  </r>
  <r>
    <x v="4"/>
    <x v="2"/>
    <x v="1"/>
    <n v="-9724050.0000000019"/>
    <x v="0"/>
  </r>
  <r>
    <x v="4"/>
    <x v="3"/>
    <x v="1"/>
    <n v="-9724050.0000000019"/>
    <x v="0"/>
  </r>
  <r>
    <x v="4"/>
    <x v="4"/>
    <x v="1"/>
    <n v="-9724050.0000000019"/>
    <x v="0"/>
  </r>
  <r>
    <x v="4"/>
    <x v="5"/>
    <x v="1"/>
    <n v="-9724050.0000000019"/>
    <x v="0"/>
  </r>
  <r>
    <x v="4"/>
    <x v="6"/>
    <x v="1"/>
    <n v="-9724050.0000000019"/>
    <x v="0"/>
  </r>
  <r>
    <x v="4"/>
    <x v="7"/>
    <x v="1"/>
    <n v="-9724050.0000000019"/>
    <x v="0"/>
  </r>
  <r>
    <x v="4"/>
    <x v="8"/>
    <x v="1"/>
    <n v="-9724050.0000000019"/>
    <x v="0"/>
  </r>
  <r>
    <x v="4"/>
    <x v="9"/>
    <x v="1"/>
    <n v="-9724050.0000000019"/>
    <x v="0"/>
  </r>
  <r>
    <x v="4"/>
    <x v="10"/>
    <x v="1"/>
    <n v="-9724050.0000000019"/>
    <x v="0"/>
  </r>
  <r>
    <x v="4"/>
    <x v="0"/>
    <x v="19"/>
    <n v="-3533997.5999999996"/>
    <x v="0"/>
  </r>
  <r>
    <x v="4"/>
    <x v="1"/>
    <x v="19"/>
    <n v="-3533997.5999999996"/>
    <x v="0"/>
  </r>
  <r>
    <x v="4"/>
    <x v="2"/>
    <x v="19"/>
    <n v="-3533997.5999999996"/>
    <x v="0"/>
  </r>
  <r>
    <x v="4"/>
    <x v="3"/>
    <x v="19"/>
    <n v="-3533997.5999999996"/>
    <x v="0"/>
  </r>
  <r>
    <x v="4"/>
    <x v="4"/>
    <x v="19"/>
    <n v="-3533997.5999999996"/>
    <x v="0"/>
  </r>
  <r>
    <x v="4"/>
    <x v="5"/>
    <x v="19"/>
    <n v="-3533997.5999999996"/>
    <x v="0"/>
  </r>
  <r>
    <x v="4"/>
    <x v="6"/>
    <x v="19"/>
    <n v="-3533997.5999999996"/>
    <x v="0"/>
  </r>
  <r>
    <x v="4"/>
    <x v="7"/>
    <x v="19"/>
    <n v="-3533997.5999999996"/>
    <x v="0"/>
  </r>
  <r>
    <x v="4"/>
    <x v="8"/>
    <x v="19"/>
    <n v="-3533997.5999999996"/>
    <x v="0"/>
  </r>
  <r>
    <x v="4"/>
    <x v="9"/>
    <x v="19"/>
    <n v="-3533997.5999999996"/>
    <x v="0"/>
  </r>
  <r>
    <x v="4"/>
    <x v="10"/>
    <x v="19"/>
    <n v="-3533997.5999999996"/>
    <x v="0"/>
  </r>
  <r>
    <x v="4"/>
    <x v="0"/>
    <x v="20"/>
    <n v="-3902122.35"/>
    <x v="0"/>
  </r>
  <r>
    <x v="4"/>
    <x v="1"/>
    <x v="20"/>
    <n v="-3902122.35"/>
    <x v="0"/>
  </r>
  <r>
    <x v="4"/>
    <x v="2"/>
    <x v="20"/>
    <n v="-3902122.35"/>
    <x v="0"/>
  </r>
  <r>
    <x v="4"/>
    <x v="3"/>
    <x v="20"/>
    <n v="-3902122.35"/>
    <x v="0"/>
  </r>
  <r>
    <x v="4"/>
    <x v="4"/>
    <x v="20"/>
    <n v="-3902122.35"/>
    <x v="0"/>
  </r>
  <r>
    <x v="4"/>
    <x v="5"/>
    <x v="20"/>
    <n v="-3902122.35"/>
    <x v="0"/>
  </r>
  <r>
    <x v="4"/>
    <x v="6"/>
    <x v="20"/>
    <n v="-3902122.35"/>
    <x v="0"/>
  </r>
  <r>
    <x v="4"/>
    <x v="7"/>
    <x v="20"/>
    <n v="-3902122.35"/>
    <x v="0"/>
  </r>
  <r>
    <x v="4"/>
    <x v="0"/>
    <x v="15"/>
    <n v="-3993806.2500000005"/>
    <x v="0"/>
  </r>
  <r>
    <x v="4"/>
    <x v="1"/>
    <x v="15"/>
    <n v="-3993806.2500000005"/>
    <x v="0"/>
  </r>
  <r>
    <x v="4"/>
    <x v="2"/>
    <x v="15"/>
    <n v="-3993806.2500000005"/>
    <x v="0"/>
  </r>
  <r>
    <x v="4"/>
    <x v="3"/>
    <x v="15"/>
    <n v="-3993806.2500000005"/>
    <x v="0"/>
  </r>
  <r>
    <x v="4"/>
    <x v="4"/>
    <x v="15"/>
    <n v="-3993806.2500000005"/>
    <x v="0"/>
  </r>
  <r>
    <x v="4"/>
    <x v="5"/>
    <x v="15"/>
    <n v="-3993806.2500000005"/>
    <x v="0"/>
  </r>
  <r>
    <x v="4"/>
    <x v="6"/>
    <x v="15"/>
    <n v="-3993806.2500000005"/>
    <x v="0"/>
  </r>
  <r>
    <x v="4"/>
    <x v="7"/>
    <x v="15"/>
    <n v="-3993806.2500000005"/>
    <x v="0"/>
  </r>
  <r>
    <x v="5"/>
    <x v="0"/>
    <x v="0"/>
    <n v="-4388324.8500000006"/>
    <x v="0"/>
  </r>
  <r>
    <x v="5"/>
    <x v="1"/>
    <x v="0"/>
    <n v="-4388324.8500000006"/>
    <x v="0"/>
  </r>
  <r>
    <x v="5"/>
    <x v="2"/>
    <x v="0"/>
    <n v="-4388324.8500000006"/>
    <x v="0"/>
  </r>
  <r>
    <x v="5"/>
    <x v="3"/>
    <x v="0"/>
    <n v="-4388324.8500000006"/>
    <x v="0"/>
  </r>
  <r>
    <x v="5"/>
    <x v="4"/>
    <x v="0"/>
    <n v="-4388324.8500000006"/>
    <x v="0"/>
  </r>
  <r>
    <x v="5"/>
    <x v="0"/>
    <x v="1"/>
    <n v="-8682187.5000000019"/>
    <x v="0"/>
  </r>
  <r>
    <x v="5"/>
    <x v="1"/>
    <x v="1"/>
    <n v="-8682187.5000000019"/>
    <x v="0"/>
  </r>
  <r>
    <x v="5"/>
    <x v="2"/>
    <x v="1"/>
    <n v="-8682187.5000000019"/>
    <x v="0"/>
  </r>
  <r>
    <x v="5"/>
    <x v="3"/>
    <x v="1"/>
    <n v="-8682187.5000000019"/>
    <x v="0"/>
  </r>
  <r>
    <x v="5"/>
    <x v="4"/>
    <x v="1"/>
    <n v="-8682187.5000000019"/>
    <x v="0"/>
  </r>
  <r>
    <x v="5"/>
    <x v="0"/>
    <x v="14"/>
    <n v="-3865309.875"/>
    <x v="0"/>
  </r>
  <r>
    <x v="5"/>
    <x v="1"/>
    <x v="14"/>
    <n v="-3865309.875"/>
    <x v="0"/>
  </r>
  <r>
    <x v="5"/>
    <x v="2"/>
    <x v="14"/>
    <n v="-3865309.875"/>
    <x v="0"/>
  </r>
  <r>
    <x v="5"/>
    <x v="3"/>
    <x v="14"/>
    <n v="-3865309.875"/>
    <x v="0"/>
  </r>
  <r>
    <x v="5"/>
    <x v="4"/>
    <x v="14"/>
    <n v="-3865309.875"/>
    <x v="0"/>
  </r>
  <r>
    <x v="5"/>
    <x v="0"/>
    <x v="21"/>
    <n v="-3497185.125"/>
    <x v="0"/>
  </r>
  <r>
    <x v="5"/>
    <x v="1"/>
    <x v="21"/>
    <n v="-3497185.125"/>
    <x v="0"/>
  </r>
  <r>
    <x v="5"/>
    <x v="2"/>
    <x v="21"/>
    <n v="-3497185.125"/>
    <x v="0"/>
  </r>
  <r>
    <x v="5"/>
    <x v="3"/>
    <x v="21"/>
    <n v="-3497185.125"/>
    <x v="0"/>
  </r>
  <r>
    <x v="5"/>
    <x v="4"/>
    <x v="21"/>
    <n v="-3497185.125"/>
    <x v="0"/>
  </r>
  <r>
    <x v="5"/>
    <x v="5"/>
    <x v="21"/>
    <n v="-3497185.125"/>
    <x v="0"/>
  </r>
  <r>
    <x v="5"/>
    <x v="6"/>
    <x v="21"/>
    <n v="-3497185.125"/>
    <x v="0"/>
  </r>
  <r>
    <x v="5"/>
    <x v="7"/>
    <x v="21"/>
    <n v="-3497185.125"/>
    <x v="0"/>
  </r>
  <r>
    <x v="5"/>
    <x v="8"/>
    <x v="21"/>
    <n v="-3497185.125"/>
    <x v="0"/>
  </r>
  <r>
    <x v="5"/>
    <x v="9"/>
    <x v="21"/>
    <n v="-3497185.125"/>
    <x v="0"/>
  </r>
  <r>
    <x v="5"/>
    <x v="10"/>
    <x v="21"/>
    <n v="-3497185.125"/>
    <x v="0"/>
  </r>
  <r>
    <x v="5"/>
    <x v="11"/>
    <x v="21"/>
    <n v="-3497185.125"/>
    <x v="0"/>
  </r>
  <r>
    <x v="5"/>
    <x v="12"/>
    <x v="21"/>
    <n v="-3497185.125"/>
    <x v="0"/>
  </r>
  <r>
    <x v="5"/>
    <x v="0"/>
    <x v="15"/>
    <n v="-3646518.7500000005"/>
    <x v="0"/>
  </r>
  <r>
    <x v="6"/>
    <x v="0"/>
    <x v="13"/>
    <n v="-8365287.65625"/>
    <x v="0"/>
  </r>
  <r>
    <x v="6"/>
    <x v="1"/>
    <x v="13"/>
    <n v="-8365287.65625"/>
    <x v="0"/>
  </r>
  <r>
    <x v="7"/>
    <x v="0"/>
    <x v="0"/>
    <n v="-3839596.7085000006"/>
    <x v="0"/>
  </r>
  <r>
    <x v="7"/>
    <x v="1"/>
    <x v="0"/>
    <n v="-3839596.7085000006"/>
    <x v="0"/>
  </r>
  <r>
    <x v="7"/>
    <x v="2"/>
    <x v="0"/>
    <n v="-3839596.7085000006"/>
    <x v="0"/>
  </r>
  <r>
    <x v="7"/>
    <x v="3"/>
    <x v="0"/>
    <n v="-3839596.7085000006"/>
    <x v="0"/>
  </r>
  <r>
    <x v="7"/>
    <x v="4"/>
    <x v="0"/>
    <n v="-3839596.7085000006"/>
    <x v="0"/>
  </r>
  <r>
    <x v="7"/>
    <x v="5"/>
    <x v="0"/>
    <n v="-3839596.7085000006"/>
    <x v="0"/>
  </r>
  <r>
    <x v="7"/>
    <x v="6"/>
    <x v="0"/>
    <n v="-3839596.7085000006"/>
    <x v="0"/>
  </r>
  <r>
    <x v="7"/>
    <x v="7"/>
    <x v="0"/>
    <n v="-3839596.7085000006"/>
    <x v="0"/>
  </r>
  <r>
    <x v="7"/>
    <x v="8"/>
    <x v="0"/>
    <n v="-3839596.7085000006"/>
    <x v="0"/>
  </r>
  <r>
    <x v="7"/>
    <x v="9"/>
    <x v="0"/>
    <n v="-3839596.7085000006"/>
    <x v="0"/>
  </r>
  <r>
    <x v="7"/>
    <x v="10"/>
    <x v="0"/>
    <n v="-3839596.7085000006"/>
    <x v="0"/>
  </r>
  <r>
    <x v="7"/>
    <x v="11"/>
    <x v="0"/>
    <n v="-3839596.7085000006"/>
    <x v="0"/>
  </r>
  <r>
    <x v="7"/>
    <x v="0"/>
    <x v="1"/>
    <n v="-12599152.25625"/>
    <x v="0"/>
  </r>
  <r>
    <x v="7"/>
    <x v="1"/>
    <x v="1"/>
    <n v="-12599152.25625"/>
    <x v="0"/>
  </r>
  <r>
    <x v="7"/>
    <x v="2"/>
    <x v="1"/>
    <n v="-12599152.25625"/>
    <x v="0"/>
  </r>
  <r>
    <x v="7"/>
    <x v="3"/>
    <x v="1"/>
    <n v="-12599152.25625"/>
    <x v="0"/>
  </r>
  <r>
    <x v="7"/>
    <x v="4"/>
    <x v="1"/>
    <n v="-12599152.25625"/>
    <x v="0"/>
  </r>
  <r>
    <x v="7"/>
    <x v="5"/>
    <x v="1"/>
    <n v="-12599152.25625"/>
    <x v="0"/>
  </r>
  <r>
    <x v="7"/>
    <x v="6"/>
    <x v="1"/>
    <n v="-12599152.25625"/>
    <x v="0"/>
  </r>
  <r>
    <x v="7"/>
    <x v="7"/>
    <x v="1"/>
    <n v="-12599152.25625"/>
    <x v="0"/>
  </r>
  <r>
    <x v="7"/>
    <x v="8"/>
    <x v="1"/>
    <n v="-12599152.25625"/>
    <x v="0"/>
  </r>
  <r>
    <x v="7"/>
    <x v="9"/>
    <x v="1"/>
    <n v="-12599152.25625"/>
    <x v="0"/>
  </r>
  <r>
    <x v="7"/>
    <x v="10"/>
    <x v="1"/>
    <n v="-12599152.25625"/>
    <x v="0"/>
  </r>
  <r>
    <x v="7"/>
    <x v="11"/>
    <x v="1"/>
    <n v="-12599152.25625"/>
    <x v="0"/>
  </r>
  <r>
    <x v="7"/>
    <x v="0"/>
    <x v="22"/>
    <n v="-7005285"/>
    <x v="0"/>
  </r>
  <r>
    <x v="7"/>
    <x v="1"/>
    <x v="22"/>
    <n v="-7005285"/>
    <x v="0"/>
  </r>
  <r>
    <x v="7"/>
    <x v="2"/>
    <x v="22"/>
    <n v="-7005285"/>
    <x v="0"/>
  </r>
  <r>
    <x v="7"/>
    <x v="3"/>
    <x v="22"/>
    <n v="-7005285"/>
    <x v="0"/>
  </r>
  <r>
    <x v="7"/>
    <x v="4"/>
    <x v="22"/>
    <n v="-7005285"/>
    <x v="0"/>
  </r>
  <r>
    <x v="7"/>
    <x v="5"/>
    <x v="22"/>
    <n v="-7005285"/>
    <x v="0"/>
  </r>
  <r>
    <x v="7"/>
    <x v="6"/>
    <x v="22"/>
    <n v="-7005285"/>
    <x v="0"/>
  </r>
  <r>
    <x v="7"/>
    <x v="7"/>
    <x v="22"/>
    <n v="-7005285"/>
    <x v="0"/>
  </r>
  <r>
    <x v="7"/>
    <x v="8"/>
    <x v="22"/>
    <n v="-7005285"/>
    <x v="0"/>
  </r>
  <r>
    <x v="7"/>
    <x v="9"/>
    <x v="22"/>
    <n v="-7005285"/>
    <x v="0"/>
  </r>
  <r>
    <x v="7"/>
    <x v="10"/>
    <x v="22"/>
    <n v="-7005285"/>
    <x v="0"/>
  </r>
  <r>
    <x v="7"/>
    <x v="11"/>
    <x v="22"/>
    <n v="-7005285"/>
    <x v="0"/>
  </r>
  <r>
    <x v="8"/>
    <x v="0"/>
    <x v="0"/>
    <n v="-2727772.2"/>
    <x v="0"/>
  </r>
  <r>
    <x v="8"/>
    <x v="0"/>
    <x v="23"/>
    <n v="-8520078"/>
    <x v="0"/>
  </r>
  <r>
    <x v="8"/>
    <x v="0"/>
    <x v="24"/>
    <n v="-8520078"/>
    <x v="0"/>
  </r>
  <r>
    <x v="8"/>
    <x v="0"/>
    <x v="25"/>
    <n v="-4462096.5"/>
    <x v="0"/>
  </r>
  <r>
    <x v="8"/>
    <x v="0"/>
    <x v="15"/>
    <n v="-3872763"/>
    <x v="0"/>
  </r>
  <r>
    <x v="9"/>
    <x v="0"/>
    <x v="1"/>
    <n v="-11721250.800000001"/>
    <x v="0"/>
  </r>
  <r>
    <x v="9"/>
    <x v="1"/>
    <x v="1"/>
    <n v="-11721250.800000001"/>
    <x v="0"/>
  </r>
  <r>
    <x v="9"/>
    <x v="2"/>
    <x v="1"/>
    <n v="-11721250.800000001"/>
    <x v="0"/>
  </r>
  <r>
    <x v="9"/>
    <x v="3"/>
    <x v="1"/>
    <n v="-11721250.800000001"/>
    <x v="0"/>
  </r>
  <r>
    <x v="9"/>
    <x v="4"/>
    <x v="1"/>
    <n v="-11721250.800000001"/>
    <x v="0"/>
  </r>
  <r>
    <x v="9"/>
    <x v="5"/>
    <x v="1"/>
    <n v="-11721250.800000001"/>
    <x v="0"/>
  </r>
  <r>
    <x v="9"/>
    <x v="6"/>
    <x v="1"/>
    <n v="-11721250.800000001"/>
    <x v="0"/>
  </r>
  <r>
    <x v="9"/>
    <x v="7"/>
    <x v="1"/>
    <n v="-11721250.800000001"/>
    <x v="0"/>
  </r>
  <r>
    <x v="9"/>
    <x v="0"/>
    <x v="14"/>
    <n v="-3810634.5847499999"/>
    <x v="0"/>
  </r>
  <r>
    <x v="9"/>
    <x v="1"/>
    <x v="14"/>
    <n v="-3810634.5847499999"/>
    <x v="0"/>
  </r>
  <r>
    <x v="9"/>
    <x v="2"/>
    <x v="14"/>
    <n v="-3810634.5847499999"/>
    <x v="0"/>
  </r>
  <r>
    <x v="9"/>
    <x v="3"/>
    <x v="14"/>
    <n v="-3810634.5847499999"/>
    <x v="0"/>
  </r>
  <r>
    <x v="9"/>
    <x v="4"/>
    <x v="14"/>
    <n v="-3810634.5847499999"/>
    <x v="0"/>
  </r>
  <r>
    <x v="9"/>
    <x v="5"/>
    <x v="14"/>
    <n v="-3810634.5847499999"/>
    <x v="0"/>
  </r>
  <r>
    <x v="9"/>
    <x v="6"/>
    <x v="14"/>
    <n v="-3810634.5847499999"/>
    <x v="0"/>
  </r>
  <r>
    <x v="9"/>
    <x v="0"/>
    <x v="15"/>
    <n v="-5301459.45"/>
    <x v="0"/>
  </r>
  <r>
    <x v="9"/>
    <x v="1"/>
    <x v="15"/>
    <n v="-5301459.45"/>
    <x v="0"/>
  </r>
  <r>
    <x v="9"/>
    <x v="2"/>
    <x v="15"/>
    <n v="-5301459.45"/>
    <x v="0"/>
  </r>
  <r>
    <x v="9"/>
    <x v="3"/>
    <x v="15"/>
    <n v="-5301459.45"/>
    <x v="0"/>
  </r>
  <r>
    <x v="9"/>
    <x v="4"/>
    <x v="15"/>
    <n v="-5301459.45"/>
    <x v="0"/>
  </r>
  <r>
    <x v="9"/>
    <x v="5"/>
    <x v="15"/>
    <n v="-5301459.45"/>
    <x v="0"/>
  </r>
  <r>
    <x v="9"/>
    <x v="6"/>
    <x v="15"/>
    <n v="-5301459.45"/>
    <x v="0"/>
  </r>
  <r>
    <x v="9"/>
    <x v="7"/>
    <x v="15"/>
    <n v="-5301459.45"/>
    <x v="0"/>
  </r>
  <r>
    <x v="9"/>
    <x v="0"/>
    <x v="18"/>
    <n v="-4777683.75"/>
    <x v="0"/>
  </r>
  <r>
    <x v="9"/>
    <x v="1"/>
    <x v="18"/>
    <n v="-4777683.75"/>
    <x v="0"/>
  </r>
  <r>
    <x v="9"/>
    <x v="2"/>
    <x v="18"/>
    <n v="-4777683.75"/>
    <x v="0"/>
  </r>
  <r>
    <x v="9"/>
    <x v="3"/>
    <x v="18"/>
    <n v="-4777683.75"/>
    <x v="0"/>
  </r>
  <r>
    <x v="9"/>
    <x v="4"/>
    <x v="18"/>
    <n v="-4777683.75"/>
    <x v="0"/>
  </r>
  <r>
    <x v="9"/>
    <x v="5"/>
    <x v="18"/>
    <n v="-4777683.75"/>
    <x v="0"/>
  </r>
  <r>
    <x v="9"/>
    <x v="6"/>
    <x v="18"/>
    <n v="-4777683.75"/>
    <x v="0"/>
  </r>
  <r>
    <x v="9"/>
    <x v="0"/>
    <x v="13"/>
    <n v="-7255001.25"/>
    <x v="0"/>
  </r>
  <r>
    <x v="9"/>
    <x v="1"/>
    <x v="13"/>
    <n v="-7255001.25"/>
    <x v="0"/>
  </r>
  <r>
    <x v="9"/>
    <x v="2"/>
    <x v="13"/>
    <n v="-7255001.25"/>
    <x v="0"/>
  </r>
  <r>
    <x v="9"/>
    <x v="3"/>
    <x v="13"/>
    <n v="-7255001.25"/>
    <x v="0"/>
  </r>
  <r>
    <x v="9"/>
    <x v="4"/>
    <x v="13"/>
    <n v="-7255001.25"/>
    <x v="0"/>
  </r>
  <r>
    <x v="9"/>
    <x v="5"/>
    <x v="13"/>
    <n v="-7255001.25"/>
    <x v="0"/>
  </r>
  <r>
    <x v="9"/>
    <x v="6"/>
    <x v="13"/>
    <n v="-7255001.25"/>
    <x v="0"/>
  </r>
  <r>
    <x v="9"/>
    <x v="7"/>
    <x v="13"/>
    <n v="-7255001.25"/>
    <x v="0"/>
  </r>
  <r>
    <x v="9"/>
    <x v="8"/>
    <x v="13"/>
    <n v="-7255001.25"/>
    <x v="0"/>
  </r>
  <r>
    <x v="9"/>
    <x v="9"/>
    <x v="13"/>
    <n v="-7255001.25"/>
    <x v="0"/>
  </r>
  <r>
    <x v="9"/>
    <x v="10"/>
    <x v="13"/>
    <n v="-7255001.25"/>
    <x v="0"/>
  </r>
  <r>
    <x v="9"/>
    <x v="11"/>
    <x v="13"/>
    <n v="-7255001.25"/>
    <x v="0"/>
  </r>
  <r>
    <x v="10"/>
    <x v="0"/>
    <x v="0"/>
    <n v="-4704455.7"/>
    <x v="0"/>
  </r>
  <r>
    <x v="10"/>
    <x v="1"/>
    <x v="0"/>
    <n v="-4704455.7"/>
    <x v="0"/>
  </r>
  <r>
    <x v="10"/>
    <x v="2"/>
    <x v="0"/>
    <n v="-4704455.7"/>
    <x v="0"/>
  </r>
  <r>
    <x v="10"/>
    <x v="3"/>
    <x v="0"/>
    <n v="-4704455.7"/>
    <x v="0"/>
  </r>
  <r>
    <x v="10"/>
    <x v="4"/>
    <x v="0"/>
    <n v="-4704455.7"/>
    <x v="0"/>
  </r>
  <r>
    <x v="10"/>
    <x v="5"/>
    <x v="0"/>
    <n v="-4704455.7"/>
    <x v="0"/>
  </r>
  <r>
    <x v="10"/>
    <x v="6"/>
    <x v="0"/>
    <n v="-4704455.7"/>
    <x v="0"/>
  </r>
  <r>
    <x v="10"/>
    <x v="7"/>
    <x v="0"/>
    <n v="-4704455.7"/>
    <x v="0"/>
  </r>
  <r>
    <x v="10"/>
    <x v="8"/>
    <x v="0"/>
    <n v="-4704455.7"/>
    <x v="0"/>
  </r>
  <r>
    <x v="10"/>
    <x v="9"/>
    <x v="0"/>
    <n v="-4704455.7"/>
    <x v="0"/>
  </r>
  <r>
    <x v="10"/>
    <x v="10"/>
    <x v="0"/>
    <n v="-4704455.7"/>
    <x v="0"/>
  </r>
  <r>
    <x v="10"/>
    <x v="11"/>
    <x v="0"/>
    <n v="-4704455.7"/>
    <x v="0"/>
  </r>
  <r>
    <x v="10"/>
    <x v="0"/>
    <x v="1"/>
    <n v="-8351437.5"/>
    <x v="0"/>
  </r>
  <r>
    <x v="10"/>
    <x v="1"/>
    <x v="1"/>
    <n v="-8351437.5"/>
    <x v="0"/>
  </r>
  <r>
    <x v="10"/>
    <x v="2"/>
    <x v="1"/>
    <n v="-8351437.5"/>
    <x v="0"/>
  </r>
  <r>
    <x v="10"/>
    <x v="3"/>
    <x v="1"/>
    <n v="-8351437.5"/>
    <x v="0"/>
  </r>
  <r>
    <x v="10"/>
    <x v="4"/>
    <x v="1"/>
    <n v="-8351437.5"/>
    <x v="0"/>
  </r>
  <r>
    <x v="10"/>
    <x v="5"/>
    <x v="1"/>
    <n v="-8351437.5"/>
    <x v="0"/>
  </r>
  <r>
    <x v="10"/>
    <x v="6"/>
    <x v="1"/>
    <n v="-8351437.5"/>
    <x v="0"/>
  </r>
  <r>
    <x v="10"/>
    <x v="7"/>
    <x v="1"/>
    <n v="-8351437.5"/>
    <x v="0"/>
  </r>
  <r>
    <x v="10"/>
    <x v="8"/>
    <x v="1"/>
    <n v="-8351437.5"/>
    <x v="0"/>
  </r>
  <r>
    <x v="10"/>
    <x v="9"/>
    <x v="1"/>
    <n v="-8351437.5"/>
    <x v="0"/>
  </r>
  <r>
    <x v="10"/>
    <x v="10"/>
    <x v="1"/>
    <n v="-8351437.5"/>
    <x v="0"/>
  </r>
  <r>
    <x v="10"/>
    <x v="11"/>
    <x v="1"/>
    <n v="-8351437.5"/>
    <x v="0"/>
  </r>
  <r>
    <x v="10"/>
    <x v="0"/>
    <x v="26"/>
    <n v="-2356593.75"/>
    <x v="0"/>
  </r>
  <r>
    <x v="10"/>
    <x v="1"/>
    <x v="26"/>
    <n v="-2356593.75"/>
    <x v="0"/>
  </r>
  <r>
    <x v="10"/>
    <x v="2"/>
    <x v="26"/>
    <n v="-2356593.75"/>
    <x v="0"/>
  </r>
  <r>
    <x v="10"/>
    <x v="3"/>
    <x v="26"/>
    <n v="-2356593.75"/>
    <x v="0"/>
  </r>
  <r>
    <x v="10"/>
    <x v="4"/>
    <x v="26"/>
    <n v="-2356593.75"/>
    <x v="0"/>
  </r>
  <r>
    <x v="10"/>
    <x v="5"/>
    <x v="26"/>
    <n v="-2356593.75"/>
    <x v="0"/>
  </r>
  <r>
    <x v="10"/>
    <x v="0"/>
    <x v="14"/>
    <n v="-3786425.9999999995"/>
    <x v="0"/>
  </r>
  <r>
    <x v="10"/>
    <x v="1"/>
    <x v="14"/>
    <n v="-3786425.9999999995"/>
    <x v="0"/>
  </r>
  <r>
    <x v="10"/>
    <x v="2"/>
    <x v="14"/>
    <n v="-3786425.9999999995"/>
    <x v="0"/>
  </r>
  <r>
    <x v="10"/>
    <x v="3"/>
    <x v="14"/>
    <n v="-3786425.9999999995"/>
    <x v="0"/>
  </r>
  <r>
    <x v="10"/>
    <x v="4"/>
    <x v="14"/>
    <n v="-3786425.9999999995"/>
    <x v="0"/>
  </r>
  <r>
    <x v="10"/>
    <x v="5"/>
    <x v="14"/>
    <n v="-3786425.9999999995"/>
    <x v="0"/>
  </r>
  <r>
    <x v="10"/>
    <x v="6"/>
    <x v="14"/>
    <n v="-3786425.9999999995"/>
    <x v="0"/>
  </r>
  <r>
    <x v="10"/>
    <x v="7"/>
    <x v="14"/>
    <n v="-3786425.9999999995"/>
    <x v="0"/>
  </r>
  <r>
    <x v="10"/>
    <x v="8"/>
    <x v="14"/>
    <n v="-3786425.9999999995"/>
    <x v="0"/>
  </r>
  <r>
    <x v="10"/>
    <x v="9"/>
    <x v="14"/>
    <n v="-3786425.9999999995"/>
    <x v="0"/>
  </r>
  <r>
    <x v="10"/>
    <x v="10"/>
    <x v="14"/>
    <n v="-3786425.9999999995"/>
    <x v="0"/>
  </r>
  <r>
    <x v="10"/>
    <x v="0"/>
    <x v="15"/>
    <n v="-3853237.5"/>
    <x v="0"/>
  </r>
  <r>
    <x v="10"/>
    <x v="1"/>
    <x v="15"/>
    <n v="-3853237.5"/>
    <x v="0"/>
  </r>
  <r>
    <x v="10"/>
    <x v="2"/>
    <x v="15"/>
    <n v="-3853237.5"/>
    <x v="0"/>
  </r>
  <r>
    <x v="10"/>
    <x v="3"/>
    <x v="15"/>
    <n v="-3853237.5"/>
    <x v="0"/>
  </r>
  <r>
    <x v="10"/>
    <x v="4"/>
    <x v="15"/>
    <n v="-3853237.5"/>
    <x v="0"/>
  </r>
  <r>
    <x v="10"/>
    <x v="5"/>
    <x v="15"/>
    <n v="-3853237.5"/>
    <x v="0"/>
  </r>
  <r>
    <x v="10"/>
    <x v="6"/>
    <x v="15"/>
    <n v="-3853237.5"/>
    <x v="0"/>
  </r>
  <r>
    <x v="10"/>
    <x v="7"/>
    <x v="15"/>
    <n v="-3853237.5"/>
    <x v="0"/>
  </r>
  <r>
    <x v="10"/>
    <x v="8"/>
    <x v="15"/>
    <n v="-3853237.5"/>
    <x v="0"/>
  </r>
  <r>
    <x v="10"/>
    <x v="9"/>
    <x v="15"/>
    <n v="-3853237.5"/>
    <x v="0"/>
  </r>
  <r>
    <x v="10"/>
    <x v="10"/>
    <x v="15"/>
    <n v="-3853237.5"/>
    <x v="0"/>
  </r>
  <r>
    <x v="10"/>
    <x v="11"/>
    <x v="15"/>
    <n v="-3853237.5"/>
    <x v="0"/>
  </r>
  <r>
    <x v="11"/>
    <x v="0"/>
    <x v="0"/>
    <n v="-3811675.6440000003"/>
    <x v="0"/>
  </r>
  <r>
    <x v="11"/>
    <x v="1"/>
    <x v="0"/>
    <n v="-3811675.6440000003"/>
    <x v="0"/>
  </r>
  <r>
    <x v="11"/>
    <x v="2"/>
    <x v="0"/>
    <n v="-3811675.6440000003"/>
    <x v="0"/>
  </r>
  <r>
    <x v="11"/>
    <x v="3"/>
    <x v="0"/>
    <n v="-3811675.6440000003"/>
    <x v="0"/>
  </r>
  <r>
    <x v="11"/>
    <x v="4"/>
    <x v="0"/>
    <n v="-3811675.6440000003"/>
    <x v="0"/>
  </r>
  <r>
    <x v="11"/>
    <x v="5"/>
    <x v="0"/>
    <n v="-3811675.6440000003"/>
    <x v="0"/>
  </r>
  <r>
    <x v="11"/>
    <x v="6"/>
    <x v="0"/>
    <n v="-3811675.6440000003"/>
    <x v="0"/>
  </r>
  <r>
    <x v="11"/>
    <x v="7"/>
    <x v="0"/>
    <n v="-3811675.6440000003"/>
    <x v="0"/>
  </r>
  <r>
    <x v="11"/>
    <x v="8"/>
    <x v="0"/>
    <n v="-3811675.6440000003"/>
    <x v="0"/>
  </r>
  <r>
    <x v="11"/>
    <x v="9"/>
    <x v="0"/>
    <n v="-3811675.6440000003"/>
    <x v="0"/>
  </r>
  <r>
    <x v="11"/>
    <x v="10"/>
    <x v="0"/>
    <n v="-3811675.6440000003"/>
    <x v="0"/>
  </r>
  <r>
    <x v="11"/>
    <x v="11"/>
    <x v="0"/>
    <n v="-3811675.6440000003"/>
    <x v="0"/>
  </r>
  <r>
    <x v="11"/>
    <x v="12"/>
    <x v="0"/>
    <n v="-3811675.6440000003"/>
    <x v="0"/>
  </r>
  <r>
    <x v="11"/>
    <x v="13"/>
    <x v="0"/>
    <n v="-3811675.6440000003"/>
    <x v="0"/>
  </r>
  <r>
    <x v="11"/>
    <x v="14"/>
    <x v="0"/>
    <n v="-3811675.6440000003"/>
    <x v="0"/>
  </r>
  <r>
    <x v="11"/>
    <x v="15"/>
    <x v="0"/>
    <n v="-3811675.6440000003"/>
    <x v="0"/>
  </r>
  <r>
    <x v="11"/>
    <x v="16"/>
    <x v="0"/>
    <n v="-3811675.6440000003"/>
    <x v="0"/>
  </r>
  <r>
    <x v="11"/>
    <x v="17"/>
    <x v="0"/>
    <n v="-3811675.6440000003"/>
    <x v="0"/>
  </r>
  <r>
    <x v="11"/>
    <x v="0"/>
    <x v="27"/>
    <n v="-7505662.5"/>
    <x v="0"/>
  </r>
  <r>
    <x v="11"/>
    <x v="1"/>
    <x v="27"/>
    <n v="-7505662.5"/>
    <x v="0"/>
  </r>
  <r>
    <x v="11"/>
    <x v="2"/>
    <x v="27"/>
    <n v="-7505662.5"/>
    <x v="0"/>
  </r>
  <r>
    <x v="11"/>
    <x v="3"/>
    <x v="27"/>
    <n v="-7505662.5"/>
    <x v="0"/>
  </r>
  <r>
    <x v="11"/>
    <x v="4"/>
    <x v="27"/>
    <n v="-7505662.5"/>
    <x v="0"/>
  </r>
  <r>
    <x v="11"/>
    <x v="5"/>
    <x v="27"/>
    <n v="-7505662.5"/>
    <x v="0"/>
  </r>
  <r>
    <x v="11"/>
    <x v="6"/>
    <x v="27"/>
    <n v="-7505662.5"/>
    <x v="0"/>
  </r>
  <r>
    <x v="11"/>
    <x v="7"/>
    <x v="27"/>
    <n v="-7505662.5"/>
    <x v="0"/>
  </r>
  <r>
    <x v="11"/>
    <x v="8"/>
    <x v="27"/>
    <n v="-7505662.5"/>
    <x v="0"/>
  </r>
  <r>
    <x v="11"/>
    <x v="9"/>
    <x v="27"/>
    <n v="-7505662.5"/>
    <x v="0"/>
  </r>
  <r>
    <x v="11"/>
    <x v="10"/>
    <x v="27"/>
    <n v="-7505662.5"/>
    <x v="0"/>
  </r>
  <r>
    <x v="11"/>
    <x v="11"/>
    <x v="27"/>
    <n v="-7505662.5"/>
    <x v="0"/>
  </r>
  <r>
    <x v="11"/>
    <x v="12"/>
    <x v="27"/>
    <n v="-7505662.5"/>
    <x v="0"/>
  </r>
  <r>
    <x v="11"/>
    <x v="13"/>
    <x v="27"/>
    <n v="-7505662.5"/>
    <x v="0"/>
  </r>
  <r>
    <x v="11"/>
    <x v="14"/>
    <x v="27"/>
    <n v="-7505662.5"/>
    <x v="0"/>
  </r>
  <r>
    <x v="11"/>
    <x v="15"/>
    <x v="27"/>
    <n v="-7505662.5"/>
    <x v="0"/>
  </r>
  <r>
    <x v="11"/>
    <x v="16"/>
    <x v="27"/>
    <n v="-7505662.5"/>
    <x v="0"/>
  </r>
  <r>
    <x v="11"/>
    <x v="0"/>
    <x v="1"/>
    <n v="-17112910.5"/>
    <x v="0"/>
  </r>
  <r>
    <x v="11"/>
    <x v="1"/>
    <x v="1"/>
    <n v="-17112910.5"/>
    <x v="0"/>
  </r>
  <r>
    <x v="11"/>
    <x v="2"/>
    <x v="1"/>
    <n v="-17112910.5"/>
    <x v="0"/>
  </r>
  <r>
    <x v="11"/>
    <x v="3"/>
    <x v="1"/>
    <n v="-17112910.5"/>
    <x v="0"/>
  </r>
  <r>
    <x v="11"/>
    <x v="4"/>
    <x v="1"/>
    <n v="-17112910.5"/>
    <x v="0"/>
  </r>
  <r>
    <x v="11"/>
    <x v="5"/>
    <x v="1"/>
    <n v="-17112910.5"/>
    <x v="0"/>
  </r>
  <r>
    <x v="11"/>
    <x v="6"/>
    <x v="1"/>
    <n v="-17112910.5"/>
    <x v="0"/>
  </r>
  <r>
    <x v="11"/>
    <x v="7"/>
    <x v="1"/>
    <n v="-17112910.5"/>
    <x v="0"/>
  </r>
  <r>
    <x v="11"/>
    <x v="8"/>
    <x v="1"/>
    <n v="-17112910.5"/>
    <x v="0"/>
  </r>
  <r>
    <x v="11"/>
    <x v="9"/>
    <x v="1"/>
    <n v="-17112910.5"/>
    <x v="0"/>
  </r>
  <r>
    <x v="11"/>
    <x v="10"/>
    <x v="1"/>
    <n v="-17112910.5"/>
    <x v="0"/>
  </r>
  <r>
    <x v="11"/>
    <x v="11"/>
    <x v="1"/>
    <n v="-17112910.5"/>
    <x v="0"/>
  </r>
  <r>
    <x v="11"/>
    <x v="12"/>
    <x v="1"/>
    <n v="-17112910.5"/>
    <x v="0"/>
  </r>
  <r>
    <x v="11"/>
    <x v="13"/>
    <x v="1"/>
    <n v="-17112910.5"/>
    <x v="0"/>
  </r>
  <r>
    <x v="11"/>
    <x v="14"/>
    <x v="1"/>
    <n v="-17112910.5"/>
    <x v="0"/>
  </r>
  <r>
    <x v="11"/>
    <x v="15"/>
    <x v="1"/>
    <n v="-17112910.5"/>
    <x v="0"/>
  </r>
  <r>
    <x v="11"/>
    <x v="16"/>
    <x v="1"/>
    <n v="-17112910.5"/>
    <x v="0"/>
  </r>
  <r>
    <x v="11"/>
    <x v="17"/>
    <x v="1"/>
    <n v="-17112910.5"/>
    <x v="0"/>
  </r>
  <r>
    <x v="11"/>
    <x v="0"/>
    <x v="28"/>
    <n v="-5821058.25"/>
    <x v="0"/>
  </r>
  <r>
    <x v="11"/>
    <x v="1"/>
    <x v="28"/>
    <n v="-5821058.25"/>
    <x v="0"/>
  </r>
  <r>
    <x v="11"/>
    <x v="2"/>
    <x v="28"/>
    <n v="-5821058.25"/>
    <x v="0"/>
  </r>
  <r>
    <x v="11"/>
    <x v="3"/>
    <x v="28"/>
    <n v="-5821058.25"/>
    <x v="0"/>
  </r>
  <r>
    <x v="11"/>
    <x v="4"/>
    <x v="28"/>
    <n v="-5821058.25"/>
    <x v="0"/>
  </r>
  <r>
    <x v="11"/>
    <x v="5"/>
    <x v="28"/>
    <n v="-5821058.25"/>
    <x v="0"/>
  </r>
  <r>
    <x v="11"/>
    <x v="6"/>
    <x v="28"/>
    <n v="-5821058.25"/>
    <x v="0"/>
  </r>
  <r>
    <x v="11"/>
    <x v="7"/>
    <x v="28"/>
    <n v="-5821058.25"/>
    <x v="0"/>
  </r>
  <r>
    <x v="11"/>
    <x v="8"/>
    <x v="28"/>
    <n v="-5821058.25"/>
    <x v="0"/>
  </r>
  <r>
    <x v="11"/>
    <x v="9"/>
    <x v="28"/>
    <n v="-5821058.25"/>
    <x v="0"/>
  </r>
  <r>
    <x v="11"/>
    <x v="10"/>
    <x v="28"/>
    <n v="-5821058.25"/>
    <x v="0"/>
  </r>
  <r>
    <x v="11"/>
    <x v="11"/>
    <x v="28"/>
    <n v="-5821058.25"/>
    <x v="0"/>
  </r>
  <r>
    <x v="11"/>
    <x v="0"/>
    <x v="29"/>
    <n v="-4154801.1749999998"/>
    <x v="0"/>
  </r>
  <r>
    <x v="11"/>
    <x v="1"/>
    <x v="29"/>
    <n v="-4154801.1749999998"/>
    <x v="0"/>
  </r>
  <r>
    <x v="11"/>
    <x v="2"/>
    <x v="29"/>
    <n v="-4154801.1749999998"/>
    <x v="0"/>
  </r>
  <r>
    <x v="11"/>
    <x v="3"/>
    <x v="29"/>
    <n v="-4154801.1749999998"/>
    <x v="0"/>
  </r>
  <r>
    <x v="11"/>
    <x v="4"/>
    <x v="29"/>
    <n v="-4154801.1749999998"/>
    <x v="0"/>
  </r>
  <r>
    <x v="11"/>
    <x v="5"/>
    <x v="29"/>
    <n v="-4154801.1749999998"/>
    <x v="0"/>
  </r>
  <r>
    <x v="11"/>
    <x v="6"/>
    <x v="29"/>
    <n v="-4154801.1749999998"/>
    <x v="0"/>
  </r>
  <r>
    <x v="11"/>
    <x v="7"/>
    <x v="29"/>
    <n v="-4154801.1749999998"/>
    <x v="0"/>
  </r>
  <r>
    <x v="11"/>
    <x v="8"/>
    <x v="29"/>
    <n v="-4154801.1749999998"/>
    <x v="0"/>
  </r>
  <r>
    <x v="11"/>
    <x v="9"/>
    <x v="29"/>
    <n v="-4154801.1749999998"/>
    <x v="0"/>
  </r>
  <r>
    <x v="11"/>
    <x v="10"/>
    <x v="29"/>
    <n v="-4154801.1749999998"/>
    <x v="0"/>
  </r>
  <r>
    <x v="11"/>
    <x v="11"/>
    <x v="29"/>
    <n v="-4154801.1749999998"/>
    <x v="0"/>
  </r>
  <r>
    <x v="11"/>
    <x v="12"/>
    <x v="29"/>
    <n v="-4154801.1749999998"/>
    <x v="0"/>
  </r>
  <r>
    <x v="11"/>
    <x v="13"/>
    <x v="29"/>
    <n v="-4154801.1749999998"/>
    <x v="0"/>
  </r>
  <r>
    <x v="11"/>
    <x v="0"/>
    <x v="30"/>
    <n v="-1667925"/>
    <x v="0"/>
  </r>
  <r>
    <x v="11"/>
    <x v="1"/>
    <x v="30"/>
    <n v="-1667925"/>
    <x v="0"/>
  </r>
  <r>
    <x v="11"/>
    <x v="2"/>
    <x v="30"/>
    <n v="-1667925"/>
    <x v="0"/>
  </r>
  <r>
    <x v="11"/>
    <x v="3"/>
    <x v="30"/>
    <n v="-1667925"/>
    <x v="0"/>
  </r>
  <r>
    <x v="11"/>
    <x v="4"/>
    <x v="30"/>
    <n v="-1667925"/>
    <x v="0"/>
  </r>
  <r>
    <x v="11"/>
    <x v="5"/>
    <x v="30"/>
    <n v="-1667925"/>
    <x v="0"/>
  </r>
  <r>
    <x v="11"/>
    <x v="6"/>
    <x v="30"/>
    <n v="-1667925"/>
    <x v="0"/>
  </r>
  <r>
    <x v="11"/>
    <x v="7"/>
    <x v="30"/>
    <n v="-1667925"/>
    <x v="0"/>
  </r>
  <r>
    <x v="11"/>
    <x v="8"/>
    <x v="30"/>
    <n v="-1667925"/>
    <x v="0"/>
  </r>
  <r>
    <x v="11"/>
    <x v="9"/>
    <x v="30"/>
    <n v="-1667925"/>
    <x v="0"/>
  </r>
  <r>
    <x v="11"/>
    <x v="10"/>
    <x v="30"/>
    <n v="-1667925"/>
    <x v="0"/>
  </r>
  <r>
    <x v="11"/>
    <x v="11"/>
    <x v="30"/>
    <n v="-1667925"/>
    <x v="0"/>
  </r>
  <r>
    <x v="11"/>
    <x v="12"/>
    <x v="30"/>
    <n v="-1667925"/>
    <x v="0"/>
  </r>
  <r>
    <x v="11"/>
    <x v="13"/>
    <x v="30"/>
    <n v="-1667925"/>
    <x v="0"/>
  </r>
  <r>
    <x v="11"/>
    <x v="14"/>
    <x v="30"/>
    <n v="-1667925"/>
    <x v="0"/>
  </r>
  <r>
    <x v="11"/>
    <x v="15"/>
    <x v="30"/>
    <n v="-1667925"/>
    <x v="0"/>
  </r>
  <r>
    <x v="11"/>
    <x v="0"/>
    <x v="15"/>
    <n v="-3886265.25"/>
    <x v="0"/>
  </r>
  <r>
    <x v="11"/>
    <x v="1"/>
    <x v="15"/>
    <n v="-3886265.25"/>
    <x v="0"/>
  </r>
  <r>
    <x v="11"/>
    <x v="2"/>
    <x v="15"/>
    <n v="-3886265.25"/>
    <x v="0"/>
  </r>
  <r>
    <x v="11"/>
    <x v="3"/>
    <x v="15"/>
    <n v="-3886265.25"/>
    <x v="0"/>
  </r>
  <r>
    <x v="11"/>
    <x v="4"/>
    <x v="15"/>
    <n v="-3886265.25"/>
    <x v="0"/>
  </r>
  <r>
    <x v="11"/>
    <x v="5"/>
    <x v="15"/>
    <n v="-3886265.25"/>
    <x v="0"/>
  </r>
  <r>
    <x v="11"/>
    <x v="6"/>
    <x v="15"/>
    <n v="-3886265.25"/>
    <x v="0"/>
  </r>
  <r>
    <x v="11"/>
    <x v="7"/>
    <x v="15"/>
    <n v="-3886265.25"/>
    <x v="0"/>
  </r>
  <r>
    <x v="11"/>
    <x v="8"/>
    <x v="15"/>
    <n v="-3886265.25"/>
    <x v="0"/>
  </r>
  <r>
    <x v="11"/>
    <x v="9"/>
    <x v="15"/>
    <n v="-3886265.25"/>
    <x v="0"/>
  </r>
  <r>
    <x v="11"/>
    <x v="10"/>
    <x v="15"/>
    <n v="-3886265.25"/>
    <x v="0"/>
  </r>
  <r>
    <x v="11"/>
    <x v="11"/>
    <x v="15"/>
    <n v="-3886265.25"/>
    <x v="0"/>
  </r>
  <r>
    <x v="11"/>
    <x v="12"/>
    <x v="15"/>
    <n v="-3886265.25"/>
    <x v="0"/>
  </r>
  <r>
    <x v="11"/>
    <x v="13"/>
    <x v="15"/>
    <n v="-3886265.25"/>
    <x v="0"/>
  </r>
  <r>
    <x v="11"/>
    <x v="14"/>
    <x v="15"/>
    <n v="-3886265.25"/>
    <x v="0"/>
  </r>
  <r>
    <x v="11"/>
    <x v="15"/>
    <x v="15"/>
    <n v="-3886265.25"/>
    <x v="0"/>
  </r>
  <r>
    <x v="11"/>
    <x v="16"/>
    <x v="15"/>
    <n v="-3886265.25"/>
    <x v="0"/>
  </r>
  <r>
    <x v="11"/>
    <x v="17"/>
    <x v="15"/>
    <n v="-3886265.25"/>
    <x v="0"/>
  </r>
  <r>
    <x v="11"/>
    <x v="0"/>
    <x v="31"/>
    <n v="-6004530"/>
    <x v="0"/>
  </r>
  <r>
    <x v="11"/>
    <x v="1"/>
    <x v="31"/>
    <n v="-6004530"/>
    <x v="0"/>
  </r>
  <r>
    <x v="11"/>
    <x v="2"/>
    <x v="31"/>
    <n v="-6004530"/>
    <x v="0"/>
  </r>
  <r>
    <x v="11"/>
    <x v="3"/>
    <x v="31"/>
    <n v="-6004530"/>
    <x v="0"/>
  </r>
  <r>
    <x v="11"/>
    <x v="4"/>
    <x v="31"/>
    <n v="-6004530"/>
    <x v="0"/>
  </r>
  <r>
    <x v="11"/>
    <x v="5"/>
    <x v="31"/>
    <n v="-6004530"/>
    <x v="0"/>
  </r>
  <r>
    <x v="11"/>
    <x v="6"/>
    <x v="31"/>
    <n v="-6004530"/>
    <x v="0"/>
  </r>
  <r>
    <x v="11"/>
    <x v="7"/>
    <x v="31"/>
    <n v="-6004530"/>
    <x v="0"/>
  </r>
  <r>
    <x v="11"/>
    <x v="8"/>
    <x v="31"/>
    <n v="-6004530"/>
    <x v="0"/>
  </r>
  <r>
    <x v="11"/>
    <x v="9"/>
    <x v="31"/>
    <n v="-6004530"/>
    <x v="0"/>
  </r>
  <r>
    <x v="11"/>
    <x v="10"/>
    <x v="31"/>
    <n v="-6004530"/>
    <x v="0"/>
  </r>
  <r>
    <x v="11"/>
    <x v="11"/>
    <x v="31"/>
    <n v="-6004530"/>
    <x v="0"/>
  </r>
  <r>
    <x v="11"/>
    <x v="12"/>
    <x v="31"/>
    <n v="-6004530"/>
    <x v="0"/>
  </r>
  <r>
    <x v="11"/>
    <x v="13"/>
    <x v="31"/>
    <n v="-6004530"/>
    <x v="0"/>
  </r>
  <r>
    <x v="11"/>
    <x v="14"/>
    <x v="31"/>
    <n v="-6004530"/>
    <x v="0"/>
  </r>
  <r>
    <x v="12"/>
    <x v="0"/>
    <x v="32"/>
    <n v="-1289925"/>
    <x v="0"/>
  </r>
  <r>
    <x v="12"/>
    <x v="1"/>
    <x v="32"/>
    <n v="-1289925"/>
    <x v="0"/>
  </r>
  <r>
    <x v="12"/>
    <x v="2"/>
    <x v="32"/>
    <n v="-1289925"/>
    <x v="0"/>
  </r>
  <r>
    <x v="12"/>
    <x v="0"/>
    <x v="33"/>
    <n v="-1129511.25"/>
    <x v="0"/>
  </r>
  <r>
    <x v="12"/>
    <x v="1"/>
    <x v="33"/>
    <n v="-1129511.25"/>
    <x v="0"/>
  </r>
  <r>
    <x v="12"/>
    <x v="2"/>
    <x v="33"/>
    <n v="-1129511.25"/>
    <x v="0"/>
  </r>
  <r>
    <x v="12"/>
    <x v="0"/>
    <x v="34"/>
    <n v="-7607250"/>
    <x v="0"/>
  </r>
  <r>
    <x v="12"/>
    <x v="1"/>
    <x v="34"/>
    <n v="-7607250"/>
    <x v="0"/>
  </r>
  <r>
    <x v="12"/>
    <x v="2"/>
    <x v="34"/>
    <n v="-7607250"/>
    <x v="0"/>
  </r>
  <r>
    <x v="13"/>
    <x v="0"/>
    <x v="35"/>
    <n v="-3780000"/>
    <x v="0"/>
  </r>
  <r>
    <x v="13"/>
    <x v="1"/>
    <x v="35"/>
    <n v="-3780000"/>
    <x v="0"/>
  </r>
  <r>
    <x v="13"/>
    <x v="2"/>
    <x v="35"/>
    <n v="-3780000"/>
    <x v="0"/>
  </r>
  <r>
    <x v="13"/>
    <x v="0"/>
    <x v="36"/>
    <n v="-5868450"/>
    <x v="0"/>
  </r>
  <r>
    <x v="13"/>
    <x v="1"/>
    <x v="36"/>
    <n v="-5868450"/>
    <x v="0"/>
  </r>
  <r>
    <x v="13"/>
    <x v="2"/>
    <x v="36"/>
    <n v="-5868450"/>
    <x v="0"/>
  </r>
  <r>
    <x v="13"/>
    <x v="2"/>
    <x v="37"/>
    <n v="-1535625"/>
    <x v="0"/>
  </r>
  <r>
    <x v="13"/>
    <x v="0"/>
    <x v="33"/>
    <n v="-19561500"/>
    <x v="0"/>
  </r>
  <r>
    <x v="13"/>
    <x v="1"/>
    <x v="33"/>
    <n v="-19561500"/>
    <x v="0"/>
  </r>
  <r>
    <x v="13"/>
    <x v="0"/>
    <x v="38"/>
    <n v="-2835913.5"/>
    <x v="0"/>
  </r>
  <r>
    <x v="13"/>
    <x v="1"/>
    <x v="38"/>
    <n v="-2835913.5"/>
    <x v="0"/>
  </r>
  <r>
    <x v="13"/>
    <x v="0"/>
    <x v="39"/>
    <n v="-5868450"/>
    <x v="0"/>
  </r>
  <r>
    <x v="13"/>
    <x v="1"/>
    <x v="39"/>
    <n v="-5868450"/>
    <x v="0"/>
  </r>
  <r>
    <x v="13"/>
    <x v="2"/>
    <x v="39"/>
    <n v="-5868450"/>
    <x v="0"/>
  </r>
  <r>
    <x v="13"/>
    <x v="0"/>
    <x v="40"/>
    <n v="-2531377.8000000003"/>
    <x v="0"/>
  </r>
  <r>
    <x v="13"/>
    <x v="1"/>
    <x v="40"/>
    <n v="-2531377.8000000003"/>
    <x v="0"/>
  </r>
  <r>
    <x v="13"/>
    <x v="2"/>
    <x v="40"/>
    <n v="-2531377.8000000003"/>
    <x v="0"/>
  </r>
  <r>
    <x v="13"/>
    <x v="0"/>
    <x v="41"/>
    <n v="-3780000"/>
    <x v="0"/>
  </r>
  <r>
    <x v="13"/>
    <x v="1"/>
    <x v="41"/>
    <n v="-3780000"/>
    <x v="0"/>
  </r>
  <r>
    <x v="13"/>
    <x v="2"/>
    <x v="41"/>
    <n v="-3780000"/>
    <x v="0"/>
  </r>
  <r>
    <x v="13"/>
    <x v="0"/>
    <x v="42"/>
    <n v="-2173500"/>
    <x v="0"/>
  </r>
  <r>
    <x v="13"/>
    <x v="1"/>
    <x v="42"/>
    <n v="-2173500"/>
    <x v="0"/>
  </r>
  <r>
    <x v="13"/>
    <x v="2"/>
    <x v="42"/>
    <n v="-2173500"/>
    <x v="0"/>
  </r>
  <r>
    <x v="13"/>
    <x v="0"/>
    <x v="43"/>
    <n v="-5460525"/>
    <x v="0"/>
  </r>
  <r>
    <x v="13"/>
    <x v="1"/>
    <x v="43"/>
    <n v="-5460525"/>
    <x v="0"/>
  </r>
  <r>
    <x v="13"/>
    <x v="2"/>
    <x v="43"/>
    <n v="-5460525"/>
    <x v="0"/>
  </r>
  <r>
    <x v="13"/>
    <x v="0"/>
    <x v="44"/>
    <n v="-3213000"/>
    <x v="0"/>
  </r>
  <r>
    <x v="13"/>
    <x v="1"/>
    <x v="44"/>
    <n v="-3213000"/>
    <x v="0"/>
  </r>
  <r>
    <x v="13"/>
    <x v="2"/>
    <x v="44"/>
    <n v="-3213000"/>
    <x v="0"/>
  </r>
  <r>
    <x v="13"/>
    <x v="0"/>
    <x v="45"/>
    <n v="-2173500"/>
    <x v="0"/>
  </r>
  <r>
    <x v="13"/>
    <x v="1"/>
    <x v="45"/>
    <n v="-2173500"/>
    <x v="0"/>
  </r>
  <r>
    <x v="13"/>
    <x v="2"/>
    <x v="45"/>
    <n v="-2173500"/>
    <x v="0"/>
  </r>
  <r>
    <x v="13"/>
    <x v="0"/>
    <x v="46"/>
    <n v="-3780000"/>
    <x v="0"/>
  </r>
  <r>
    <x v="13"/>
    <x v="1"/>
    <x v="46"/>
    <n v="-3780000"/>
    <x v="0"/>
  </r>
  <r>
    <x v="13"/>
    <x v="2"/>
    <x v="46"/>
    <n v="-3780000"/>
    <x v="0"/>
  </r>
  <r>
    <x v="13"/>
    <x v="0"/>
    <x v="47"/>
    <n v="-1890000"/>
    <x v="0"/>
  </r>
  <r>
    <x v="13"/>
    <x v="1"/>
    <x v="47"/>
    <n v="-1890000"/>
    <x v="0"/>
  </r>
  <r>
    <x v="13"/>
    <x v="2"/>
    <x v="47"/>
    <n v="-1890000"/>
    <x v="0"/>
  </r>
  <r>
    <x v="13"/>
    <x v="0"/>
    <x v="48"/>
    <n v="-1265688.9000000001"/>
    <x v="0"/>
  </r>
  <r>
    <x v="13"/>
    <x v="1"/>
    <x v="48"/>
    <n v="-1265688.9000000001"/>
    <x v="0"/>
  </r>
  <r>
    <x v="13"/>
    <x v="2"/>
    <x v="48"/>
    <n v="-1265688.9000000001"/>
    <x v="0"/>
  </r>
  <r>
    <x v="13"/>
    <x v="0"/>
    <x v="49"/>
    <n v="-5827500"/>
    <x v="0"/>
  </r>
  <r>
    <x v="13"/>
    <x v="1"/>
    <x v="49"/>
    <n v="-5827500"/>
    <x v="0"/>
  </r>
  <r>
    <x v="13"/>
    <x v="2"/>
    <x v="49"/>
    <n v="-5827500"/>
    <x v="0"/>
  </r>
  <r>
    <x v="13"/>
    <x v="0"/>
    <x v="50"/>
    <n v="-5118750"/>
    <x v="0"/>
  </r>
  <r>
    <x v="13"/>
    <x v="1"/>
    <x v="50"/>
    <n v="-5118750"/>
    <x v="0"/>
  </r>
  <r>
    <x v="13"/>
    <x v="0"/>
    <x v="51"/>
    <n v="-7245000"/>
    <x v="0"/>
  </r>
  <r>
    <x v="13"/>
    <x v="1"/>
    <x v="51"/>
    <n v="-7245000"/>
    <x v="0"/>
  </r>
  <r>
    <x v="13"/>
    <x v="0"/>
    <x v="52"/>
    <n v="-5118750"/>
    <x v="0"/>
  </r>
  <r>
    <x v="13"/>
    <x v="1"/>
    <x v="52"/>
    <n v="-5118750"/>
    <x v="0"/>
  </r>
  <r>
    <x v="14"/>
    <x v="0"/>
    <x v="1"/>
    <n v="-9910003.9500000011"/>
    <x v="0"/>
  </r>
  <r>
    <x v="14"/>
    <x v="1"/>
    <x v="1"/>
    <n v="-9910003.9500000011"/>
    <x v="0"/>
  </r>
  <r>
    <x v="14"/>
    <x v="2"/>
    <x v="1"/>
    <n v="-9910003.9500000011"/>
    <x v="0"/>
  </r>
  <r>
    <x v="14"/>
    <x v="3"/>
    <x v="1"/>
    <n v="-9910003.9500000011"/>
    <x v="0"/>
  </r>
  <r>
    <x v="14"/>
    <x v="4"/>
    <x v="1"/>
    <n v="-9910003.9500000011"/>
    <x v="0"/>
  </r>
  <r>
    <x v="14"/>
    <x v="5"/>
    <x v="1"/>
    <n v="-9910003.9500000011"/>
    <x v="0"/>
  </r>
  <r>
    <x v="14"/>
    <x v="6"/>
    <x v="1"/>
    <n v="-9910003.9500000011"/>
    <x v="0"/>
  </r>
  <r>
    <x v="14"/>
    <x v="7"/>
    <x v="1"/>
    <n v="-9910003.9500000011"/>
    <x v="0"/>
  </r>
  <r>
    <x v="14"/>
    <x v="8"/>
    <x v="1"/>
    <n v="-9910003.9500000011"/>
    <x v="0"/>
  </r>
  <r>
    <x v="14"/>
    <x v="9"/>
    <x v="1"/>
    <n v="-9910003.9500000011"/>
    <x v="0"/>
  </r>
  <r>
    <x v="14"/>
    <x v="10"/>
    <x v="1"/>
    <n v="-9910003.9500000011"/>
    <x v="0"/>
  </r>
  <r>
    <x v="14"/>
    <x v="11"/>
    <x v="1"/>
    <n v="-9910003.9500000011"/>
    <x v="0"/>
  </r>
  <r>
    <x v="14"/>
    <x v="12"/>
    <x v="1"/>
    <n v="-9910003.9500000011"/>
    <x v="0"/>
  </r>
  <r>
    <x v="14"/>
    <x v="13"/>
    <x v="1"/>
    <n v="-9910003.9500000011"/>
    <x v="0"/>
  </r>
  <r>
    <x v="14"/>
    <x v="14"/>
    <x v="1"/>
    <n v="-9910003.9500000011"/>
    <x v="0"/>
  </r>
  <r>
    <x v="14"/>
    <x v="15"/>
    <x v="1"/>
    <n v="-9910003.9500000011"/>
    <x v="0"/>
  </r>
  <r>
    <x v="14"/>
    <x v="16"/>
    <x v="1"/>
    <n v="-9910003.9500000011"/>
    <x v="0"/>
  </r>
  <r>
    <x v="14"/>
    <x v="17"/>
    <x v="1"/>
    <n v="-9910003.9500000011"/>
    <x v="0"/>
  </r>
  <r>
    <x v="14"/>
    <x v="18"/>
    <x v="1"/>
    <n v="-9910003.9500000011"/>
    <x v="0"/>
  </r>
  <r>
    <x v="14"/>
    <x v="19"/>
    <x v="1"/>
    <n v="-9910003.9500000011"/>
    <x v="0"/>
  </r>
  <r>
    <x v="14"/>
    <x v="20"/>
    <x v="1"/>
    <n v="-9910003.9500000011"/>
    <x v="0"/>
  </r>
  <r>
    <x v="14"/>
    <x v="21"/>
    <x v="1"/>
    <n v="-9910003.9500000011"/>
    <x v="0"/>
  </r>
  <r>
    <x v="14"/>
    <x v="22"/>
    <x v="1"/>
    <n v="-9910003.9500000011"/>
    <x v="0"/>
  </r>
  <r>
    <x v="14"/>
    <x v="23"/>
    <x v="1"/>
    <n v="-9910003.9500000011"/>
    <x v="0"/>
  </r>
  <r>
    <x v="14"/>
    <x v="24"/>
    <x v="1"/>
    <n v="-9910003.9500000011"/>
    <x v="0"/>
  </r>
  <r>
    <x v="14"/>
    <x v="25"/>
    <x v="1"/>
    <n v="-9910003.9500000011"/>
    <x v="0"/>
  </r>
  <r>
    <x v="14"/>
    <x v="0"/>
    <x v="53"/>
    <n v="-5019615.5309999995"/>
    <x v="0"/>
  </r>
  <r>
    <x v="14"/>
    <x v="1"/>
    <x v="53"/>
    <n v="-5019615.5309999995"/>
    <x v="0"/>
  </r>
  <r>
    <x v="14"/>
    <x v="2"/>
    <x v="53"/>
    <n v="-5019615.5309999995"/>
    <x v="0"/>
  </r>
  <r>
    <x v="14"/>
    <x v="3"/>
    <x v="53"/>
    <n v="-5019615.5309999995"/>
    <x v="0"/>
  </r>
  <r>
    <x v="14"/>
    <x v="4"/>
    <x v="53"/>
    <n v="-5019615.5309999995"/>
    <x v="0"/>
  </r>
  <r>
    <x v="14"/>
    <x v="5"/>
    <x v="53"/>
    <n v="-5019615.5309999995"/>
    <x v="0"/>
  </r>
  <r>
    <x v="14"/>
    <x v="6"/>
    <x v="53"/>
    <n v="-5019615.5309999995"/>
    <x v="0"/>
  </r>
  <r>
    <x v="14"/>
    <x v="7"/>
    <x v="53"/>
    <n v="-5019615.5309999995"/>
    <x v="0"/>
  </r>
  <r>
    <x v="14"/>
    <x v="8"/>
    <x v="53"/>
    <n v="-5019615.5309999995"/>
    <x v="0"/>
  </r>
  <r>
    <x v="14"/>
    <x v="9"/>
    <x v="53"/>
    <n v="-5019615.5309999995"/>
    <x v="0"/>
  </r>
  <r>
    <x v="14"/>
    <x v="10"/>
    <x v="53"/>
    <n v="-5019615.5309999995"/>
    <x v="0"/>
  </r>
  <r>
    <x v="14"/>
    <x v="11"/>
    <x v="53"/>
    <n v="-5019615.5309999995"/>
    <x v="0"/>
  </r>
  <r>
    <x v="14"/>
    <x v="12"/>
    <x v="53"/>
    <n v="-5019615.5309999995"/>
    <x v="0"/>
  </r>
  <r>
    <x v="14"/>
    <x v="13"/>
    <x v="53"/>
    <n v="-5019615.5309999995"/>
    <x v="0"/>
  </r>
  <r>
    <x v="14"/>
    <x v="14"/>
    <x v="53"/>
    <n v="-5019615.5309999995"/>
    <x v="0"/>
  </r>
  <r>
    <x v="14"/>
    <x v="15"/>
    <x v="53"/>
    <n v="-5019615.5309999995"/>
    <x v="0"/>
  </r>
  <r>
    <x v="14"/>
    <x v="16"/>
    <x v="53"/>
    <n v="-5019615.5309999995"/>
    <x v="0"/>
  </r>
  <r>
    <x v="14"/>
    <x v="17"/>
    <x v="53"/>
    <n v="-5019615.5309999995"/>
    <x v="0"/>
  </r>
  <r>
    <x v="14"/>
    <x v="18"/>
    <x v="53"/>
    <n v="-5019615.5309999995"/>
    <x v="0"/>
  </r>
  <r>
    <x v="14"/>
    <x v="19"/>
    <x v="53"/>
    <n v="-5019615.5309999995"/>
    <x v="0"/>
  </r>
  <r>
    <x v="14"/>
    <x v="20"/>
    <x v="53"/>
    <n v="-5019615.5309999995"/>
    <x v="0"/>
  </r>
  <r>
    <x v="14"/>
    <x v="21"/>
    <x v="53"/>
    <n v="-5019615.5309999995"/>
    <x v="0"/>
  </r>
  <r>
    <x v="14"/>
    <x v="22"/>
    <x v="53"/>
    <n v="-5019615.5309999995"/>
    <x v="0"/>
  </r>
  <r>
    <x v="14"/>
    <x v="23"/>
    <x v="53"/>
    <n v="-5019615.5309999995"/>
    <x v="0"/>
  </r>
  <r>
    <x v="14"/>
    <x v="24"/>
    <x v="53"/>
    <n v="-5019615.5309999995"/>
    <x v="0"/>
  </r>
  <r>
    <x v="14"/>
    <x v="0"/>
    <x v="21"/>
    <n v="-4260730.9499999993"/>
    <x v="0"/>
  </r>
  <r>
    <x v="14"/>
    <x v="1"/>
    <x v="21"/>
    <n v="-4260730.9499999993"/>
    <x v="0"/>
  </r>
  <r>
    <x v="14"/>
    <x v="2"/>
    <x v="21"/>
    <n v="-4260730.9499999993"/>
    <x v="0"/>
  </r>
  <r>
    <x v="14"/>
    <x v="3"/>
    <x v="21"/>
    <n v="-4260730.9499999993"/>
    <x v="0"/>
  </r>
  <r>
    <x v="14"/>
    <x v="4"/>
    <x v="21"/>
    <n v="-4260730.9499999993"/>
    <x v="0"/>
  </r>
  <r>
    <x v="14"/>
    <x v="5"/>
    <x v="21"/>
    <n v="-4260730.9499999993"/>
    <x v="0"/>
  </r>
  <r>
    <x v="14"/>
    <x v="6"/>
    <x v="21"/>
    <n v="-4260730.9499999993"/>
    <x v="0"/>
  </r>
  <r>
    <x v="14"/>
    <x v="7"/>
    <x v="21"/>
    <n v="-4260730.9499999993"/>
    <x v="0"/>
  </r>
  <r>
    <x v="14"/>
    <x v="0"/>
    <x v="54"/>
    <n v="-3984270.0974999997"/>
    <x v="0"/>
  </r>
  <r>
    <x v="14"/>
    <x v="0"/>
    <x v="15"/>
    <n v="-4205787.0750000002"/>
    <x v="0"/>
  </r>
  <r>
    <x v="14"/>
    <x v="1"/>
    <x v="15"/>
    <n v="-4205787.0750000002"/>
    <x v="0"/>
  </r>
  <r>
    <x v="14"/>
    <x v="2"/>
    <x v="15"/>
    <n v="-4205787.0750000002"/>
    <x v="0"/>
  </r>
  <r>
    <x v="14"/>
    <x v="3"/>
    <x v="15"/>
    <n v="-4205787.0750000002"/>
    <x v="0"/>
  </r>
  <r>
    <x v="14"/>
    <x v="4"/>
    <x v="15"/>
    <n v="-4205787.0750000002"/>
    <x v="0"/>
  </r>
  <r>
    <x v="14"/>
    <x v="5"/>
    <x v="15"/>
    <n v="-4205787.0750000002"/>
    <x v="0"/>
  </r>
  <r>
    <x v="14"/>
    <x v="6"/>
    <x v="15"/>
    <n v="-4205787.0750000002"/>
    <x v="0"/>
  </r>
  <r>
    <x v="14"/>
    <x v="7"/>
    <x v="15"/>
    <n v="-4205787.0750000002"/>
    <x v="0"/>
  </r>
  <r>
    <x v="14"/>
    <x v="8"/>
    <x v="15"/>
    <n v="-4205787.0750000002"/>
    <x v="0"/>
  </r>
  <r>
    <x v="14"/>
    <x v="9"/>
    <x v="15"/>
    <n v="-4205787.0750000002"/>
    <x v="0"/>
  </r>
  <r>
    <x v="14"/>
    <x v="10"/>
    <x v="15"/>
    <n v="-4205787.0750000002"/>
    <x v="0"/>
  </r>
  <r>
    <x v="14"/>
    <x v="11"/>
    <x v="15"/>
    <n v="-4205787.0750000002"/>
    <x v="0"/>
  </r>
  <r>
    <x v="14"/>
    <x v="12"/>
    <x v="15"/>
    <n v="-4205787.0750000002"/>
    <x v="0"/>
  </r>
  <r>
    <x v="14"/>
    <x v="13"/>
    <x v="15"/>
    <n v="-4205787.0750000002"/>
    <x v="0"/>
  </r>
  <r>
    <x v="14"/>
    <x v="14"/>
    <x v="15"/>
    <n v="-4205787.0750000002"/>
    <x v="0"/>
  </r>
  <r>
    <x v="14"/>
    <x v="15"/>
    <x v="15"/>
    <n v="-4205787.0750000002"/>
    <x v="0"/>
  </r>
  <r>
    <x v="14"/>
    <x v="16"/>
    <x v="15"/>
    <n v="-4205787.0750000002"/>
    <x v="0"/>
  </r>
  <r>
    <x v="14"/>
    <x v="17"/>
    <x v="15"/>
    <n v="-4205787.0750000002"/>
    <x v="0"/>
  </r>
  <r>
    <x v="14"/>
    <x v="18"/>
    <x v="15"/>
    <n v="-4205787.0750000002"/>
    <x v="0"/>
  </r>
  <r>
    <x v="14"/>
    <x v="19"/>
    <x v="15"/>
    <n v="-4205787.0750000002"/>
    <x v="0"/>
  </r>
  <r>
    <x v="14"/>
    <x v="20"/>
    <x v="15"/>
    <n v="-4205787.0750000002"/>
    <x v="0"/>
  </r>
  <r>
    <x v="14"/>
    <x v="21"/>
    <x v="15"/>
    <n v="-4205787.0750000002"/>
    <x v="0"/>
  </r>
  <r>
    <x v="14"/>
    <x v="22"/>
    <x v="15"/>
    <n v="-4205787.0750000002"/>
    <x v="0"/>
  </r>
  <r>
    <x v="14"/>
    <x v="23"/>
    <x v="15"/>
    <n v="-4205787.0750000002"/>
    <x v="0"/>
  </r>
  <r>
    <x v="14"/>
    <x v="24"/>
    <x v="15"/>
    <n v="-4205787.0750000002"/>
    <x v="0"/>
  </r>
  <r>
    <x v="14"/>
    <x v="3"/>
    <x v="13"/>
    <n v="-6444668.4750000006"/>
    <x v="0"/>
  </r>
  <r>
    <x v="14"/>
    <x v="4"/>
    <x v="13"/>
    <n v="-6444668.4750000006"/>
    <x v="0"/>
  </r>
  <r>
    <x v="14"/>
    <x v="5"/>
    <x v="13"/>
    <n v="-6444668.4750000006"/>
    <x v="0"/>
  </r>
  <r>
    <x v="14"/>
    <x v="6"/>
    <x v="13"/>
    <n v="-6444668.4750000006"/>
    <x v="0"/>
  </r>
  <r>
    <x v="14"/>
    <x v="7"/>
    <x v="13"/>
    <n v="-6444668.4750000006"/>
    <x v="0"/>
  </r>
  <r>
    <x v="14"/>
    <x v="8"/>
    <x v="13"/>
    <n v="-6444668.4750000006"/>
    <x v="0"/>
  </r>
  <r>
    <x v="14"/>
    <x v="9"/>
    <x v="13"/>
    <n v="-6444668.4750000006"/>
    <x v="0"/>
  </r>
  <r>
    <x v="14"/>
    <x v="10"/>
    <x v="13"/>
    <n v="-6444668.4750000006"/>
    <x v="0"/>
  </r>
  <r>
    <x v="14"/>
    <x v="11"/>
    <x v="13"/>
    <n v="-6444668.4750000006"/>
    <x v="0"/>
  </r>
  <r>
    <x v="14"/>
    <x v="12"/>
    <x v="13"/>
    <n v="-6444668.4750000006"/>
    <x v="0"/>
  </r>
  <r>
    <x v="14"/>
    <x v="13"/>
    <x v="13"/>
    <n v="-6444668.4750000006"/>
    <x v="0"/>
  </r>
  <r>
    <x v="14"/>
    <x v="14"/>
    <x v="13"/>
    <n v="-6444668.4750000006"/>
    <x v="0"/>
  </r>
  <r>
    <x v="14"/>
    <x v="15"/>
    <x v="13"/>
    <n v="-6444668.4750000006"/>
    <x v="0"/>
  </r>
  <r>
    <x v="14"/>
    <x v="16"/>
    <x v="13"/>
    <n v="-6444668.4750000006"/>
    <x v="0"/>
  </r>
  <r>
    <x v="14"/>
    <x v="17"/>
    <x v="13"/>
    <n v="-6444668.4750000006"/>
    <x v="0"/>
  </r>
  <r>
    <x v="14"/>
    <x v="18"/>
    <x v="13"/>
    <n v="-6444668.4750000006"/>
    <x v="0"/>
  </r>
  <r>
    <x v="14"/>
    <x v="19"/>
    <x v="13"/>
    <n v="-6444668.4750000006"/>
    <x v="0"/>
  </r>
  <r>
    <x v="14"/>
    <x v="20"/>
    <x v="13"/>
    <n v="-6444668.4750000006"/>
    <x v="0"/>
  </r>
  <r>
    <x v="14"/>
    <x v="21"/>
    <x v="13"/>
    <n v="-6444668.4750000006"/>
    <x v="0"/>
  </r>
  <r>
    <x v="14"/>
    <x v="22"/>
    <x v="13"/>
    <n v="-6444668.4750000006"/>
    <x v="0"/>
  </r>
  <r>
    <x v="14"/>
    <x v="23"/>
    <x v="13"/>
    <n v="-6444668.4750000006"/>
    <x v="0"/>
  </r>
  <r>
    <x v="14"/>
    <x v="24"/>
    <x v="13"/>
    <n v="-6444668.4750000006"/>
    <x v="0"/>
  </r>
  <r>
    <x v="15"/>
    <x v="0"/>
    <x v="0"/>
    <n v="-1905120.0000000002"/>
    <x v="0"/>
  </r>
  <r>
    <x v="15"/>
    <x v="1"/>
    <x v="0"/>
    <n v="-1905120.0000000002"/>
    <x v="0"/>
  </r>
  <r>
    <x v="15"/>
    <x v="2"/>
    <x v="0"/>
    <n v="-1905120.0000000002"/>
    <x v="0"/>
  </r>
  <r>
    <x v="15"/>
    <x v="3"/>
    <x v="0"/>
    <n v="-1905120.0000000002"/>
    <x v="0"/>
  </r>
  <r>
    <x v="15"/>
    <x v="4"/>
    <x v="0"/>
    <n v="-1905120.0000000002"/>
    <x v="0"/>
  </r>
  <r>
    <x v="15"/>
    <x v="5"/>
    <x v="0"/>
    <n v="-1905120.0000000002"/>
    <x v="0"/>
  </r>
  <r>
    <x v="15"/>
    <x v="6"/>
    <x v="0"/>
    <n v="-1905120.0000000002"/>
    <x v="0"/>
  </r>
  <r>
    <x v="15"/>
    <x v="7"/>
    <x v="0"/>
    <n v="-1905120.0000000002"/>
    <x v="0"/>
  </r>
  <r>
    <x v="15"/>
    <x v="8"/>
    <x v="0"/>
    <n v="-1905120.0000000002"/>
    <x v="0"/>
  </r>
  <r>
    <x v="15"/>
    <x v="9"/>
    <x v="0"/>
    <n v="-1905120.0000000002"/>
    <x v="0"/>
  </r>
  <r>
    <x v="15"/>
    <x v="10"/>
    <x v="0"/>
    <n v="-1905120.0000000002"/>
    <x v="0"/>
  </r>
  <r>
    <x v="15"/>
    <x v="11"/>
    <x v="0"/>
    <n v="-1905120.0000000002"/>
    <x v="0"/>
  </r>
  <r>
    <x v="15"/>
    <x v="12"/>
    <x v="0"/>
    <n v="-1905120.0000000002"/>
    <x v="0"/>
  </r>
  <r>
    <x v="15"/>
    <x v="13"/>
    <x v="0"/>
    <n v="-1905120.0000000002"/>
    <x v="0"/>
  </r>
  <r>
    <x v="15"/>
    <x v="14"/>
    <x v="0"/>
    <n v="-1905120.0000000002"/>
    <x v="0"/>
  </r>
  <r>
    <x v="15"/>
    <x v="15"/>
    <x v="0"/>
    <n v="-1905120.0000000002"/>
    <x v="0"/>
  </r>
  <r>
    <x v="15"/>
    <x v="16"/>
    <x v="0"/>
    <n v="-1905120.0000000002"/>
    <x v="0"/>
  </r>
  <r>
    <x v="15"/>
    <x v="17"/>
    <x v="0"/>
    <n v="-1905120.0000000002"/>
    <x v="0"/>
  </r>
  <r>
    <x v="15"/>
    <x v="18"/>
    <x v="0"/>
    <n v="-1905120.0000000002"/>
    <x v="0"/>
  </r>
  <r>
    <x v="15"/>
    <x v="19"/>
    <x v="0"/>
    <n v="-1905120.0000000002"/>
    <x v="0"/>
  </r>
  <r>
    <x v="15"/>
    <x v="20"/>
    <x v="0"/>
    <n v="-1905120.0000000002"/>
    <x v="0"/>
  </r>
  <r>
    <x v="15"/>
    <x v="21"/>
    <x v="0"/>
    <n v="-1905120.0000000002"/>
    <x v="0"/>
  </r>
  <r>
    <x v="15"/>
    <x v="22"/>
    <x v="0"/>
    <n v="-1905120.0000000002"/>
    <x v="0"/>
  </r>
  <r>
    <x v="15"/>
    <x v="23"/>
    <x v="0"/>
    <n v="-1905120.0000000002"/>
    <x v="0"/>
  </r>
  <r>
    <x v="15"/>
    <x v="24"/>
    <x v="0"/>
    <n v="-1905120.0000000002"/>
    <x v="0"/>
  </r>
  <r>
    <x v="15"/>
    <x v="25"/>
    <x v="0"/>
    <n v="-1905120.0000000002"/>
    <x v="0"/>
  </r>
  <r>
    <x v="15"/>
    <x v="26"/>
    <x v="0"/>
    <n v="-1905120.0000000002"/>
    <x v="0"/>
  </r>
  <r>
    <x v="15"/>
    <x v="27"/>
    <x v="0"/>
    <n v="-1905120.0000000002"/>
    <x v="0"/>
  </r>
  <r>
    <x v="15"/>
    <x v="19"/>
    <x v="21"/>
    <n v="-3923324.9999999995"/>
    <x v="0"/>
  </r>
  <r>
    <x v="15"/>
    <x v="20"/>
    <x v="21"/>
    <n v="-3923324.9999999995"/>
    <x v="0"/>
  </r>
  <r>
    <x v="15"/>
    <x v="21"/>
    <x v="21"/>
    <n v="-3923324.9999999995"/>
    <x v="0"/>
  </r>
  <r>
    <x v="15"/>
    <x v="22"/>
    <x v="21"/>
    <n v="-3923324.9999999995"/>
    <x v="0"/>
  </r>
  <r>
    <x v="15"/>
    <x v="23"/>
    <x v="21"/>
    <n v="-3923324.9999999995"/>
    <x v="0"/>
  </r>
  <r>
    <x v="15"/>
    <x v="24"/>
    <x v="21"/>
    <n v="-3923324.9999999995"/>
    <x v="0"/>
  </r>
  <r>
    <x v="15"/>
    <x v="25"/>
    <x v="21"/>
    <n v="-3923324.9999999995"/>
    <x v="0"/>
  </r>
  <r>
    <x v="15"/>
    <x v="26"/>
    <x v="21"/>
    <n v="-3923324.9999999995"/>
    <x v="0"/>
  </r>
  <r>
    <x v="15"/>
    <x v="27"/>
    <x v="21"/>
    <n v="-3923324.9999999995"/>
    <x v="0"/>
  </r>
  <r>
    <x v="15"/>
    <x v="28"/>
    <x v="21"/>
    <n v="-3923324.9999999995"/>
    <x v="0"/>
  </r>
  <r>
    <x v="15"/>
    <x v="29"/>
    <x v="21"/>
    <n v="-3923324.9999999995"/>
    <x v="0"/>
  </r>
  <r>
    <x v="15"/>
    <x v="30"/>
    <x v="21"/>
    <n v="-3923324.9999999995"/>
    <x v="0"/>
  </r>
  <r>
    <x v="15"/>
    <x v="0"/>
    <x v="53"/>
    <n v="-4758075"/>
    <x v="0"/>
  </r>
  <r>
    <x v="15"/>
    <x v="1"/>
    <x v="53"/>
    <n v="-4758075"/>
    <x v="0"/>
  </r>
  <r>
    <x v="15"/>
    <x v="2"/>
    <x v="53"/>
    <n v="-4758075"/>
    <x v="0"/>
  </r>
  <r>
    <x v="15"/>
    <x v="3"/>
    <x v="53"/>
    <n v="-4758075"/>
    <x v="0"/>
  </r>
  <r>
    <x v="15"/>
    <x v="4"/>
    <x v="53"/>
    <n v="-4758075"/>
    <x v="0"/>
  </r>
  <r>
    <x v="15"/>
    <x v="5"/>
    <x v="53"/>
    <n v="-4758075"/>
    <x v="0"/>
  </r>
  <r>
    <x v="15"/>
    <x v="6"/>
    <x v="53"/>
    <n v="-4758075"/>
    <x v="0"/>
  </r>
  <r>
    <x v="15"/>
    <x v="7"/>
    <x v="53"/>
    <n v="-4758075"/>
    <x v="0"/>
  </r>
  <r>
    <x v="15"/>
    <x v="8"/>
    <x v="53"/>
    <n v="-4758075"/>
    <x v="0"/>
  </r>
  <r>
    <x v="15"/>
    <x v="9"/>
    <x v="53"/>
    <n v="-4758075"/>
    <x v="0"/>
  </r>
  <r>
    <x v="15"/>
    <x v="10"/>
    <x v="53"/>
    <n v="-4758075"/>
    <x v="0"/>
  </r>
  <r>
    <x v="15"/>
    <x v="11"/>
    <x v="53"/>
    <n v="-4758075"/>
    <x v="0"/>
  </r>
  <r>
    <x v="15"/>
    <x v="12"/>
    <x v="53"/>
    <n v="-4758075"/>
    <x v="0"/>
  </r>
  <r>
    <x v="15"/>
    <x v="13"/>
    <x v="53"/>
    <n v="-4758075"/>
    <x v="0"/>
  </r>
  <r>
    <x v="15"/>
    <x v="14"/>
    <x v="53"/>
    <n v="-4758075"/>
    <x v="0"/>
  </r>
  <r>
    <x v="15"/>
    <x v="15"/>
    <x v="53"/>
    <n v="-4758075"/>
    <x v="0"/>
  </r>
  <r>
    <x v="15"/>
    <x v="16"/>
    <x v="53"/>
    <n v="-4758075"/>
    <x v="0"/>
  </r>
  <r>
    <x v="15"/>
    <x v="17"/>
    <x v="53"/>
    <n v="-4758075"/>
    <x v="0"/>
  </r>
  <r>
    <x v="15"/>
    <x v="18"/>
    <x v="53"/>
    <n v="-4758075"/>
    <x v="0"/>
  </r>
  <r>
    <x v="15"/>
    <x v="19"/>
    <x v="53"/>
    <n v="-4758075"/>
    <x v="0"/>
  </r>
  <r>
    <x v="15"/>
    <x v="20"/>
    <x v="53"/>
    <n v="-4758075"/>
    <x v="0"/>
  </r>
  <r>
    <x v="15"/>
    <x v="21"/>
    <x v="53"/>
    <n v="-4758075"/>
    <x v="0"/>
  </r>
  <r>
    <x v="15"/>
    <x v="22"/>
    <x v="53"/>
    <n v="-4758075"/>
    <x v="0"/>
  </r>
  <r>
    <x v="15"/>
    <x v="23"/>
    <x v="53"/>
    <n v="-4758075"/>
    <x v="0"/>
  </r>
  <r>
    <x v="15"/>
    <x v="24"/>
    <x v="53"/>
    <n v="-4758075"/>
    <x v="0"/>
  </r>
  <r>
    <x v="15"/>
    <x v="25"/>
    <x v="53"/>
    <n v="-4758075"/>
    <x v="0"/>
  </r>
  <r>
    <x v="15"/>
    <x v="26"/>
    <x v="53"/>
    <n v="-4758075"/>
    <x v="0"/>
  </r>
  <r>
    <x v="15"/>
    <x v="0"/>
    <x v="13"/>
    <n v="-5985000"/>
    <x v="0"/>
  </r>
  <r>
    <x v="15"/>
    <x v="1"/>
    <x v="13"/>
    <n v="-5985000"/>
    <x v="0"/>
  </r>
  <r>
    <x v="15"/>
    <x v="2"/>
    <x v="13"/>
    <n v="-5985000"/>
    <x v="0"/>
  </r>
  <r>
    <x v="15"/>
    <x v="3"/>
    <x v="13"/>
    <n v="-5985000"/>
    <x v="0"/>
  </r>
  <r>
    <x v="15"/>
    <x v="4"/>
    <x v="13"/>
    <n v="-5985000"/>
    <x v="0"/>
  </r>
  <r>
    <x v="15"/>
    <x v="5"/>
    <x v="13"/>
    <n v="-5985000"/>
    <x v="0"/>
  </r>
  <r>
    <x v="15"/>
    <x v="6"/>
    <x v="13"/>
    <n v="-5985000"/>
    <x v="0"/>
  </r>
  <r>
    <x v="15"/>
    <x v="7"/>
    <x v="13"/>
    <n v="-5985000"/>
    <x v="0"/>
  </r>
  <r>
    <x v="15"/>
    <x v="8"/>
    <x v="13"/>
    <n v="-5985000"/>
    <x v="0"/>
  </r>
  <r>
    <x v="15"/>
    <x v="9"/>
    <x v="13"/>
    <n v="-5985000"/>
    <x v="0"/>
  </r>
  <r>
    <x v="15"/>
    <x v="10"/>
    <x v="13"/>
    <n v="-5985000"/>
    <x v="0"/>
  </r>
  <r>
    <x v="15"/>
    <x v="11"/>
    <x v="13"/>
    <n v="-5985000"/>
    <x v="0"/>
  </r>
  <r>
    <x v="15"/>
    <x v="12"/>
    <x v="13"/>
    <n v="-5985000"/>
    <x v="0"/>
  </r>
  <r>
    <x v="15"/>
    <x v="13"/>
    <x v="13"/>
    <n v="-5985000"/>
    <x v="0"/>
  </r>
  <r>
    <x v="15"/>
    <x v="14"/>
    <x v="13"/>
    <n v="-5985000"/>
    <x v="0"/>
  </r>
  <r>
    <x v="15"/>
    <x v="15"/>
    <x v="13"/>
    <n v="-5985000"/>
    <x v="0"/>
  </r>
  <r>
    <x v="15"/>
    <x v="16"/>
    <x v="13"/>
    <n v="-5985000"/>
    <x v="0"/>
  </r>
  <r>
    <x v="15"/>
    <x v="17"/>
    <x v="13"/>
    <n v="-5985000"/>
    <x v="0"/>
  </r>
  <r>
    <x v="15"/>
    <x v="18"/>
    <x v="13"/>
    <n v="-5985000"/>
    <x v="0"/>
  </r>
  <r>
    <x v="15"/>
    <x v="19"/>
    <x v="13"/>
    <n v="-5985000"/>
    <x v="0"/>
  </r>
  <r>
    <x v="15"/>
    <x v="20"/>
    <x v="13"/>
    <n v="-5985000"/>
    <x v="0"/>
  </r>
  <r>
    <x v="15"/>
    <x v="21"/>
    <x v="13"/>
    <n v="-5985000"/>
    <x v="0"/>
  </r>
  <r>
    <x v="15"/>
    <x v="22"/>
    <x v="13"/>
    <n v="-5985000"/>
    <x v="0"/>
  </r>
  <r>
    <x v="15"/>
    <x v="23"/>
    <x v="13"/>
    <n v="-5985000"/>
    <x v="0"/>
  </r>
  <r>
    <x v="15"/>
    <x v="24"/>
    <x v="13"/>
    <n v="-5985000"/>
    <x v="0"/>
  </r>
  <r>
    <x v="15"/>
    <x v="25"/>
    <x v="13"/>
    <n v="-5985000"/>
    <x v="0"/>
  </r>
  <r>
    <x v="15"/>
    <x v="26"/>
    <x v="13"/>
    <n v="-5985000"/>
    <x v="0"/>
  </r>
  <r>
    <x v="15"/>
    <x v="27"/>
    <x v="13"/>
    <n v="-5985000"/>
    <x v="0"/>
  </r>
  <r>
    <x v="16"/>
    <x v="0"/>
    <x v="55"/>
    <n v="-5768028"/>
    <x v="0"/>
  </r>
  <r>
    <x v="16"/>
    <x v="1"/>
    <x v="55"/>
    <n v="-5768028"/>
    <x v="0"/>
  </r>
  <r>
    <x v="16"/>
    <x v="2"/>
    <x v="55"/>
    <n v="-5768028"/>
    <x v="0"/>
  </r>
  <r>
    <x v="16"/>
    <x v="3"/>
    <x v="55"/>
    <n v="-5768028"/>
    <x v="0"/>
  </r>
  <r>
    <x v="16"/>
    <x v="4"/>
    <x v="55"/>
    <n v="-5768028"/>
    <x v="0"/>
  </r>
  <r>
    <x v="16"/>
    <x v="5"/>
    <x v="55"/>
    <n v="-5768028"/>
    <x v="0"/>
  </r>
  <r>
    <x v="16"/>
    <x v="6"/>
    <x v="55"/>
    <n v="-5768028"/>
    <x v="0"/>
  </r>
  <r>
    <x v="16"/>
    <x v="7"/>
    <x v="55"/>
    <n v="-5768028"/>
    <x v="0"/>
  </r>
  <r>
    <x v="16"/>
    <x v="8"/>
    <x v="55"/>
    <n v="-5768028"/>
    <x v="0"/>
  </r>
  <r>
    <x v="16"/>
    <x v="9"/>
    <x v="55"/>
    <n v="-5768028"/>
    <x v="0"/>
  </r>
  <r>
    <x v="16"/>
    <x v="10"/>
    <x v="55"/>
    <n v="-5768028"/>
    <x v="0"/>
  </r>
  <r>
    <x v="16"/>
    <x v="11"/>
    <x v="55"/>
    <n v="-5768028"/>
    <x v="0"/>
  </r>
  <r>
    <x v="16"/>
    <x v="12"/>
    <x v="55"/>
    <n v="-5768028"/>
    <x v="0"/>
  </r>
  <r>
    <x v="16"/>
    <x v="13"/>
    <x v="55"/>
    <n v="-5768028"/>
    <x v="0"/>
  </r>
  <r>
    <x v="16"/>
    <x v="14"/>
    <x v="55"/>
    <n v="-5768028"/>
    <x v="0"/>
  </r>
  <r>
    <x v="16"/>
    <x v="15"/>
    <x v="55"/>
    <n v="-5768028"/>
    <x v="0"/>
  </r>
  <r>
    <x v="16"/>
    <x v="16"/>
    <x v="55"/>
    <n v="-5768028"/>
    <x v="0"/>
  </r>
  <r>
    <x v="16"/>
    <x v="17"/>
    <x v="55"/>
    <n v="-5768028"/>
    <x v="0"/>
  </r>
  <r>
    <x v="16"/>
    <x v="18"/>
    <x v="55"/>
    <n v="-5768028"/>
    <x v="0"/>
  </r>
  <r>
    <x v="16"/>
    <x v="19"/>
    <x v="55"/>
    <n v="-5768028"/>
    <x v="0"/>
  </r>
  <r>
    <x v="16"/>
    <x v="20"/>
    <x v="55"/>
    <n v="-5768028"/>
    <x v="0"/>
  </r>
  <r>
    <x v="16"/>
    <x v="21"/>
    <x v="55"/>
    <n v="-5768028"/>
    <x v="0"/>
  </r>
  <r>
    <x v="16"/>
    <x v="22"/>
    <x v="55"/>
    <n v="-5768028"/>
    <x v="0"/>
  </r>
  <r>
    <x v="16"/>
    <x v="0"/>
    <x v="55"/>
    <n v="-5853202.4250000007"/>
    <x v="0"/>
  </r>
  <r>
    <x v="16"/>
    <x v="1"/>
    <x v="55"/>
    <n v="-5853202.4250000007"/>
    <x v="0"/>
  </r>
  <r>
    <x v="16"/>
    <x v="2"/>
    <x v="55"/>
    <n v="-5853202.4250000007"/>
    <x v="0"/>
  </r>
  <r>
    <x v="16"/>
    <x v="3"/>
    <x v="55"/>
    <n v="-5853202.4250000007"/>
    <x v="0"/>
  </r>
  <r>
    <x v="16"/>
    <x v="4"/>
    <x v="55"/>
    <n v="-5853202.4250000007"/>
    <x v="0"/>
  </r>
  <r>
    <x v="16"/>
    <x v="5"/>
    <x v="55"/>
    <n v="-5853202.4250000007"/>
    <x v="0"/>
  </r>
  <r>
    <x v="16"/>
    <x v="6"/>
    <x v="55"/>
    <n v="-5853202.4250000007"/>
    <x v="0"/>
  </r>
  <r>
    <x v="16"/>
    <x v="7"/>
    <x v="55"/>
    <n v="-5853202.4250000007"/>
    <x v="0"/>
  </r>
  <r>
    <x v="16"/>
    <x v="8"/>
    <x v="55"/>
    <n v="-5853202.4250000007"/>
    <x v="0"/>
  </r>
  <r>
    <x v="16"/>
    <x v="9"/>
    <x v="55"/>
    <n v="-5853202.4250000007"/>
    <x v="0"/>
  </r>
  <r>
    <x v="16"/>
    <x v="10"/>
    <x v="55"/>
    <n v="-5853202.4250000007"/>
    <x v="0"/>
  </r>
  <r>
    <x v="16"/>
    <x v="11"/>
    <x v="55"/>
    <n v="-5853202.4250000007"/>
    <x v="0"/>
  </r>
  <r>
    <x v="16"/>
    <x v="12"/>
    <x v="55"/>
    <n v="-5853202.4250000007"/>
    <x v="0"/>
  </r>
  <r>
    <x v="16"/>
    <x v="13"/>
    <x v="55"/>
    <n v="-5853202.4250000007"/>
    <x v="0"/>
  </r>
  <r>
    <x v="16"/>
    <x v="14"/>
    <x v="55"/>
    <n v="-5853202.4250000007"/>
    <x v="0"/>
  </r>
  <r>
    <x v="16"/>
    <x v="15"/>
    <x v="55"/>
    <n v="-5853202.4250000007"/>
    <x v="0"/>
  </r>
  <r>
    <x v="16"/>
    <x v="16"/>
    <x v="55"/>
    <n v="-5853202.4250000007"/>
    <x v="0"/>
  </r>
  <r>
    <x v="16"/>
    <x v="0"/>
    <x v="1"/>
    <n v="-11280052.350000001"/>
    <x v="0"/>
  </r>
  <r>
    <x v="16"/>
    <x v="1"/>
    <x v="1"/>
    <n v="-11280052.350000001"/>
    <x v="0"/>
  </r>
  <r>
    <x v="16"/>
    <x v="2"/>
    <x v="1"/>
    <n v="-11280052.350000001"/>
    <x v="0"/>
  </r>
  <r>
    <x v="16"/>
    <x v="3"/>
    <x v="1"/>
    <n v="-11280052.350000001"/>
    <x v="0"/>
  </r>
  <r>
    <x v="16"/>
    <x v="4"/>
    <x v="1"/>
    <n v="-11280052.350000001"/>
    <x v="0"/>
  </r>
  <r>
    <x v="16"/>
    <x v="5"/>
    <x v="1"/>
    <n v="-11280052.350000001"/>
    <x v="0"/>
  </r>
  <r>
    <x v="16"/>
    <x v="6"/>
    <x v="1"/>
    <n v="-11280052.350000001"/>
    <x v="0"/>
  </r>
  <r>
    <x v="16"/>
    <x v="7"/>
    <x v="1"/>
    <n v="-11280052.350000001"/>
    <x v="0"/>
  </r>
  <r>
    <x v="16"/>
    <x v="8"/>
    <x v="1"/>
    <n v="-11280052.350000001"/>
    <x v="0"/>
  </r>
  <r>
    <x v="16"/>
    <x v="9"/>
    <x v="1"/>
    <n v="-11280052.350000001"/>
    <x v="0"/>
  </r>
  <r>
    <x v="16"/>
    <x v="10"/>
    <x v="1"/>
    <n v="-11280052.350000001"/>
    <x v="0"/>
  </r>
  <r>
    <x v="16"/>
    <x v="11"/>
    <x v="1"/>
    <n v="-11280052.350000001"/>
    <x v="0"/>
  </r>
  <r>
    <x v="16"/>
    <x v="12"/>
    <x v="1"/>
    <n v="-11280052.350000001"/>
    <x v="0"/>
  </r>
  <r>
    <x v="16"/>
    <x v="13"/>
    <x v="1"/>
    <n v="-11280052.350000001"/>
    <x v="0"/>
  </r>
  <r>
    <x v="16"/>
    <x v="14"/>
    <x v="1"/>
    <n v="-11280052.350000001"/>
    <x v="0"/>
  </r>
  <r>
    <x v="16"/>
    <x v="15"/>
    <x v="1"/>
    <n v="-11280052.350000001"/>
    <x v="0"/>
  </r>
  <r>
    <x v="16"/>
    <x v="16"/>
    <x v="1"/>
    <n v="-11280052.350000001"/>
    <x v="0"/>
  </r>
  <r>
    <x v="16"/>
    <x v="17"/>
    <x v="1"/>
    <n v="-11280052.350000001"/>
    <x v="0"/>
  </r>
  <r>
    <x v="16"/>
    <x v="18"/>
    <x v="1"/>
    <n v="-11280052.350000001"/>
    <x v="0"/>
  </r>
  <r>
    <x v="16"/>
    <x v="19"/>
    <x v="1"/>
    <n v="-11280052.350000001"/>
    <x v="0"/>
  </r>
  <r>
    <x v="16"/>
    <x v="20"/>
    <x v="1"/>
    <n v="-11280052.350000001"/>
    <x v="0"/>
  </r>
  <r>
    <x v="16"/>
    <x v="0"/>
    <x v="56"/>
    <n v="-4765579.4024999999"/>
    <x v="0"/>
  </r>
  <r>
    <x v="16"/>
    <x v="1"/>
    <x v="56"/>
    <n v="-4765579.4024999999"/>
    <x v="0"/>
  </r>
  <r>
    <x v="16"/>
    <x v="2"/>
    <x v="56"/>
    <n v="-4765579.4024999999"/>
    <x v="0"/>
  </r>
  <r>
    <x v="16"/>
    <x v="3"/>
    <x v="56"/>
    <n v="-4765579.4024999999"/>
    <x v="0"/>
  </r>
  <r>
    <x v="16"/>
    <x v="4"/>
    <x v="56"/>
    <n v="-4765579.4024999999"/>
    <x v="0"/>
  </r>
  <r>
    <x v="16"/>
    <x v="5"/>
    <x v="56"/>
    <n v="-4765579.4024999999"/>
    <x v="0"/>
  </r>
  <r>
    <x v="16"/>
    <x v="6"/>
    <x v="56"/>
    <n v="-4765579.4024999999"/>
    <x v="0"/>
  </r>
  <r>
    <x v="16"/>
    <x v="7"/>
    <x v="56"/>
    <n v="-4765579.4024999999"/>
    <x v="0"/>
  </r>
  <r>
    <x v="16"/>
    <x v="8"/>
    <x v="56"/>
    <n v="-4765579.4024999999"/>
    <x v="0"/>
  </r>
  <r>
    <x v="16"/>
    <x v="9"/>
    <x v="56"/>
    <n v="-4765579.4024999999"/>
    <x v="0"/>
  </r>
  <r>
    <x v="16"/>
    <x v="10"/>
    <x v="56"/>
    <n v="-4765579.4024999999"/>
    <x v="0"/>
  </r>
  <r>
    <x v="16"/>
    <x v="11"/>
    <x v="56"/>
    <n v="-4765579.4024999999"/>
    <x v="0"/>
  </r>
  <r>
    <x v="16"/>
    <x v="12"/>
    <x v="56"/>
    <n v="-4765579.4024999999"/>
    <x v="0"/>
  </r>
  <r>
    <x v="16"/>
    <x v="13"/>
    <x v="56"/>
    <n v="-4765579.4024999999"/>
    <x v="0"/>
  </r>
  <r>
    <x v="16"/>
    <x v="14"/>
    <x v="56"/>
    <n v="-4765579.4024999999"/>
    <x v="0"/>
  </r>
  <r>
    <x v="16"/>
    <x v="15"/>
    <x v="56"/>
    <n v="-4765579.4024999999"/>
    <x v="0"/>
  </r>
  <r>
    <x v="16"/>
    <x v="16"/>
    <x v="56"/>
    <n v="-4765579.4024999999"/>
    <x v="0"/>
  </r>
  <r>
    <x v="16"/>
    <x v="17"/>
    <x v="56"/>
    <n v="-4765579.4024999999"/>
    <x v="0"/>
  </r>
  <r>
    <x v="16"/>
    <x v="18"/>
    <x v="56"/>
    <n v="-4765579.4024999999"/>
    <x v="0"/>
  </r>
  <r>
    <x v="16"/>
    <x v="19"/>
    <x v="56"/>
    <n v="-4765579.4024999999"/>
    <x v="0"/>
  </r>
  <r>
    <x v="16"/>
    <x v="20"/>
    <x v="56"/>
    <n v="-4765579.4024999999"/>
    <x v="0"/>
  </r>
  <r>
    <x v="16"/>
    <x v="21"/>
    <x v="56"/>
    <n v="-4765579.4024999999"/>
    <x v="0"/>
  </r>
  <r>
    <x v="16"/>
    <x v="22"/>
    <x v="56"/>
    <n v="-4765579.4024999999"/>
    <x v="0"/>
  </r>
  <r>
    <x v="16"/>
    <x v="0"/>
    <x v="56"/>
    <n v="-6204394.5704999994"/>
    <x v="0"/>
  </r>
  <r>
    <x v="16"/>
    <x v="1"/>
    <x v="56"/>
    <n v="-6204394.5704999994"/>
    <x v="0"/>
  </r>
  <r>
    <x v="16"/>
    <x v="2"/>
    <x v="56"/>
    <n v="-6204394.5704999994"/>
    <x v="0"/>
  </r>
  <r>
    <x v="16"/>
    <x v="3"/>
    <x v="56"/>
    <n v="-6204394.5704999994"/>
    <x v="0"/>
  </r>
  <r>
    <x v="16"/>
    <x v="4"/>
    <x v="56"/>
    <n v="-6204394.5704999994"/>
    <x v="0"/>
  </r>
  <r>
    <x v="16"/>
    <x v="5"/>
    <x v="56"/>
    <n v="-6204394.5704999994"/>
    <x v="0"/>
  </r>
  <r>
    <x v="16"/>
    <x v="6"/>
    <x v="56"/>
    <n v="-6204394.5704999994"/>
    <x v="0"/>
  </r>
  <r>
    <x v="16"/>
    <x v="7"/>
    <x v="56"/>
    <n v="-6204394.5704999994"/>
    <x v="0"/>
  </r>
  <r>
    <x v="16"/>
    <x v="8"/>
    <x v="56"/>
    <n v="-6204394.5704999994"/>
    <x v="0"/>
  </r>
  <r>
    <x v="16"/>
    <x v="9"/>
    <x v="56"/>
    <n v="-6204394.5704999994"/>
    <x v="0"/>
  </r>
  <r>
    <x v="16"/>
    <x v="10"/>
    <x v="56"/>
    <n v="-6204394.5704999994"/>
    <x v="0"/>
  </r>
  <r>
    <x v="16"/>
    <x v="11"/>
    <x v="56"/>
    <n v="-6204394.5704999994"/>
    <x v="0"/>
  </r>
  <r>
    <x v="16"/>
    <x v="12"/>
    <x v="56"/>
    <n v="-6204394.5704999994"/>
    <x v="0"/>
  </r>
  <r>
    <x v="16"/>
    <x v="13"/>
    <x v="56"/>
    <n v="-6204394.5704999994"/>
    <x v="0"/>
  </r>
  <r>
    <x v="16"/>
    <x v="14"/>
    <x v="56"/>
    <n v="-6204394.5704999994"/>
    <x v="0"/>
  </r>
  <r>
    <x v="16"/>
    <x v="15"/>
    <x v="56"/>
    <n v="-6204394.5704999994"/>
    <x v="0"/>
  </r>
  <r>
    <x v="16"/>
    <x v="16"/>
    <x v="56"/>
    <n v="-6204394.5704999994"/>
    <x v="0"/>
  </r>
  <r>
    <x v="16"/>
    <x v="0"/>
    <x v="57"/>
    <n v="-4314814.4024999999"/>
    <x v="0"/>
  </r>
  <r>
    <x v="16"/>
    <x v="1"/>
    <x v="57"/>
    <n v="-4314814.4024999999"/>
    <x v="0"/>
  </r>
  <r>
    <x v="16"/>
    <x v="2"/>
    <x v="57"/>
    <n v="-4314814.4024999999"/>
    <x v="0"/>
  </r>
  <r>
    <x v="16"/>
    <x v="3"/>
    <x v="57"/>
    <n v="-4314814.4024999999"/>
    <x v="0"/>
  </r>
  <r>
    <x v="16"/>
    <x v="4"/>
    <x v="57"/>
    <n v="-4314814.4024999999"/>
    <x v="0"/>
  </r>
  <r>
    <x v="16"/>
    <x v="5"/>
    <x v="57"/>
    <n v="-4314814.4024999999"/>
    <x v="0"/>
  </r>
  <r>
    <x v="16"/>
    <x v="6"/>
    <x v="57"/>
    <n v="-4314814.4024999999"/>
    <x v="0"/>
  </r>
  <r>
    <x v="16"/>
    <x v="7"/>
    <x v="57"/>
    <n v="-4314814.4024999999"/>
    <x v="0"/>
  </r>
  <r>
    <x v="16"/>
    <x v="8"/>
    <x v="57"/>
    <n v="-4314814.4024999999"/>
    <x v="0"/>
  </r>
  <r>
    <x v="16"/>
    <x v="9"/>
    <x v="57"/>
    <n v="-4314814.4024999999"/>
    <x v="0"/>
  </r>
  <r>
    <x v="16"/>
    <x v="10"/>
    <x v="57"/>
    <n v="-4314814.4024999999"/>
    <x v="0"/>
  </r>
  <r>
    <x v="16"/>
    <x v="11"/>
    <x v="57"/>
    <n v="-4314814.4024999999"/>
    <x v="0"/>
  </r>
  <r>
    <x v="16"/>
    <x v="12"/>
    <x v="57"/>
    <n v="-4314814.4024999999"/>
    <x v="0"/>
  </r>
  <r>
    <x v="16"/>
    <x v="13"/>
    <x v="57"/>
    <n v="-4314814.4024999999"/>
    <x v="0"/>
  </r>
  <r>
    <x v="16"/>
    <x v="14"/>
    <x v="57"/>
    <n v="-4314814.4024999999"/>
    <x v="0"/>
  </r>
  <r>
    <x v="16"/>
    <x v="15"/>
    <x v="57"/>
    <n v="-4314814.4024999999"/>
    <x v="0"/>
  </r>
  <r>
    <x v="16"/>
    <x v="16"/>
    <x v="57"/>
    <n v="-4314814.4024999999"/>
    <x v="0"/>
  </r>
  <r>
    <x v="16"/>
    <x v="17"/>
    <x v="57"/>
    <n v="-4314814.4024999999"/>
    <x v="0"/>
  </r>
  <r>
    <x v="16"/>
    <x v="18"/>
    <x v="57"/>
    <n v="-4314814.4024999999"/>
    <x v="0"/>
  </r>
  <r>
    <x v="16"/>
    <x v="19"/>
    <x v="57"/>
    <n v="-4314814.4024999999"/>
    <x v="0"/>
  </r>
  <r>
    <x v="16"/>
    <x v="20"/>
    <x v="57"/>
    <n v="-4314814.4024999999"/>
    <x v="0"/>
  </r>
  <r>
    <x v="16"/>
    <x v="21"/>
    <x v="57"/>
    <n v="-4314814.4024999999"/>
    <x v="0"/>
  </r>
  <r>
    <x v="16"/>
    <x v="22"/>
    <x v="57"/>
    <n v="-4314814.4024999999"/>
    <x v="0"/>
  </r>
  <r>
    <x v="16"/>
    <x v="0"/>
    <x v="57"/>
    <n v="-4363154.7749999994"/>
    <x v="0"/>
  </r>
  <r>
    <x v="16"/>
    <x v="1"/>
    <x v="57"/>
    <n v="-4363154.7749999994"/>
    <x v="0"/>
  </r>
  <r>
    <x v="16"/>
    <x v="2"/>
    <x v="57"/>
    <n v="-4363154.7749999994"/>
    <x v="0"/>
  </r>
  <r>
    <x v="16"/>
    <x v="3"/>
    <x v="57"/>
    <n v="-4363154.7749999994"/>
    <x v="0"/>
  </r>
  <r>
    <x v="16"/>
    <x v="4"/>
    <x v="57"/>
    <n v="-4363154.7749999994"/>
    <x v="0"/>
  </r>
  <r>
    <x v="16"/>
    <x v="5"/>
    <x v="57"/>
    <n v="-4363154.7749999994"/>
    <x v="0"/>
  </r>
  <r>
    <x v="16"/>
    <x v="6"/>
    <x v="57"/>
    <n v="-4363154.7749999994"/>
    <x v="0"/>
  </r>
  <r>
    <x v="16"/>
    <x v="7"/>
    <x v="57"/>
    <n v="-4363154.7749999994"/>
    <x v="0"/>
  </r>
  <r>
    <x v="16"/>
    <x v="8"/>
    <x v="57"/>
    <n v="-4363154.7749999994"/>
    <x v="0"/>
  </r>
  <r>
    <x v="16"/>
    <x v="9"/>
    <x v="57"/>
    <n v="-4363154.7749999994"/>
    <x v="0"/>
  </r>
  <r>
    <x v="16"/>
    <x v="10"/>
    <x v="57"/>
    <n v="-4363154.7749999994"/>
    <x v="0"/>
  </r>
  <r>
    <x v="16"/>
    <x v="11"/>
    <x v="57"/>
    <n v="-4363154.7749999994"/>
    <x v="0"/>
  </r>
  <r>
    <x v="16"/>
    <x v="0"/>
    <x v="58"/>
    <n v="-5731070.625"/>
    <x v="0"/>
  </r>
  <r>
    <x v="16"/>
    <x v="1"/>
    <x v="58"/>
    <n v="-5731070.625"/>
    <x v="0"/>
  </r>
  <r>
    <x v="16"/>
    <x v="2"/>
    <x v="58"/>
    <n v="-5731070.625"/>
    <x v="0"/>
  </r>
  <r>
    <x v="16"/>
    <x v="3"/>
    <x v="58"/>
    <n v="-5731070.625"/>
    <x v="0"/>
  </r>
  <r>
    <x v="16"/>
    <x v="4"/>
    <x v="58"/>
    <n v="-5731070.625"/>
    <x v="0"/>
  </r>
  <r>
    <x v="16"/>
    <x v="5"/>
    <x v="58"/>
    <n v="-5731070.625"/>
    <x v="0"/>
  </r>
  <r>
    <x v="16"/>
    <x v="6"/>
    <x v="58"/>
    <n v="-5731070.625"/>
    <x v="0"/>
  </r>
  <r>
    <x v="16"/>
    <x v="7"/>
    <x v="58"/>
    <n v="-5731070.625"/>
    <x v="0"/>
  </r>
  <r>
    <x v="16"/>
    <x v="8"/>
    <x v="58"/>
    <n v="-5731070.625"/>
    <x v="0"/>
  </r>
  <r>
    <x v="16"/>
    <x v="9"/>
    <x v="58"/>
    <n v="-5731070.625"/>
    <x v="0"/>
  </r>
  <r>
    <x v="16"/>
    <x v="10"/>
    <x v="58"/>
    <n v="-5731070.625"/>
    <x v="0"/>
  </r>
  <r>
    <x v="16"/>
    <x v="11"/>
    <x v="58"/>
    <n v="-5731070.625"/>
    <x v="0"/>
  </r>
  <r>
    <x v="16"/>
    <x v="12"/>
    <x v="58"/>
    <n v="-5731070.625"/>
    <x v="0"/>
  </r>
  <r>
    <x v="16"/>
    <x v="13"/>
    <x v="58"/>
    <n v="-5731070.625"/>
    <x v="0"/>
  </r>
  <r>
    <x v="16"/>
    <x v="14"/>
    <x v="58"/>
    <n v="-5731070.625"/>
    <x v="0"/>
  </r>
  <r>
    <x v="16"/>
    <x v="15"/>
    <x v="58"/>
    <n v="-5731070.625"/>
    <x v="0"/>
  </r>
  <r>
    <x v="16"/>
    <x v="16"/>
    <x v="58"/>
    <n v="-5731070.625"/>
    <x v="0"/>
  </r>
  <r>
    <x v="16"/>
    <x v="17"/>
    <x v="58"/>
    <n v="-5731070.625"/>
    <x v="0"/>
  </r>
  <r>
    <x v="16"/>
    <x v="18"/>
    <x v="58"/>
    <n v="-5731070.625"/>
    <x v="0"/>
  </r>
  <r>
    <x v="16"/>
    <x v="0"/>
    <x v="59"/>
    <n v="-5735067.9750000006"/>
    <x v="0"/>
  </r>
  <r>
    <x v="16"/>
    <x v="1"/>
    <x v="59"/>
    <n v="-5735067.9750000006"/>
    <x v="0"/>
  </r>
  <r>
    <x v="16"/>
    <x v="2"/>
    <x v="59"/>
    <n v="-5735067.9750000006"/>
    <x v="0"/>
  </r>
  <r>
    <x v="16"/>
    <x v="3"/>
    <x v="59"/>
    <n v="-5735067.9750000006"/>
    <x v="0"/>
  </r>
  <r>
    <x v="16"/>
    <x v="4"/>
    <x v="59"/>
    <n v="-5735067.9750000006"/>
    <x v="0"/>
  </r>
  <r>
    <x v="16"/>
    <x v="5"/>
    <x v="59"/>
    <n v="-5735067.9750000006"/>
    <x v="0"/>
  </r>
  <r>
    <x v="16"/>
    <x v="6"/>
    <x v="59"/>
    <n v="-5735067.9750000006"/>
    <x v="0"/>
  </r>
  <r>
    <x v="16"/>
    <x v="7"/>
    <x v="59"/>
    <n v="-5735067.9750000006"/>
    <x v="0"/>
  </r>
  <r>
    <x v="16"/>
    <x v="8"/>
    <x v="59"/>
    <n v="-5735067.9750000006"/>
    <x v="0"/>
  </r>
  <r>
    <x v="16"/>
    <x v="9"/>
    <x v="59"/>
    <n v="-5735067.9750000006"/>
    <x v="0"/>
  </r>
  <r>
    <x v="16"/>
    <x v="10"/>
    <x v="59"/>
    <n v="-5735067.9750000006"/>
    <x v="0"/>
  </r>
  <r>
    <x v="16"/>
    <x v="11"/>
    <x v="59"/>
    <n v="-5735067.9750000006"/>
    <x v="0"/>
  </r>
  <r>
    <x v="16"/>
    <x v="12"/>
    <x v="59"/>
    <n v="-5735067.9750000006"/>
    <x v="0"/>
  </r>
  <r>
    <x v="16"/>
    <x v="13"/>
    <x v="59"/>
    <n v="-5735067.9750000006"/>
    <x v="0"/>
  </r>
  <r>
    <x v="16"/>
    <x v="14"/>
    <x v="59"/>
    <n v="-5735067.9750000006"/>
    <x v="0"/>
  </r>
  <r>
    <x v="16"/>
    <x v="15"/>
    <x v="59"/>
    <n v="-5735067.9750000006"/>
    <x v="0"/>
  </r>
  <r>
    <x v="16"/>
    <x v="16"/>
    <x v="59"/>
    <n v="-5735067.9750000006"/>
    <x v="0"/>
  </r>
  <r>
    <x v="16"/>
    <x v="17"/>
    <x v="59"/>
    <n v="-5735067.9750000006"/>
    <x v="0"/>
  </r>
  <r>
    <x v="16"/>
    <x v="18"/>
    <x v="59"/>
    <n v="-5735067.9750000006"/>
    <x v="0"/>
  </r>
  <r>
    <x v="16"/>
    <x v="19"/>
    <x v="59"/>
    <n v="-5735067.9750000006"/>
    <x v="0"/>
  </r>
  <r>
    <x v="16"/>
    <x v="20"/>
    <x v="59"/>
    <n v="-5735067.9750000006"/>
    <x v="0"/>
  </r>
  <r>
    <x v="16"/>
    <x v="21"/>
    <x v="59"/>
    <n v="-5735067.9750000006"/>
    <x v="0"/>
  </r>
  <r>
    <x v="16"/>
    <x v="22"/>
    <x v="59"/>
    <n v="-5735067.9750000006"/>
    <x v="0"/>
  </r>
  <r>
    <x v="16"/>
    <x v="0"/>
    <x v="15"/>
    <n v="-5532675.75"/>
    <x v="0"/>
  </r>
  <r>
    <x v="16"/>
    <x v="1"/>
    <x v="15"/>
    <n v="-5532675.75"/>
    <x v="0"/>
  </r>
  <r>
    <x v="16"/>
    <x v="2"/>
    <x v="15"/>
    <n v="-5532675.75"/>
    <x v="0"/>
  </r>
  <r>
    <x v="16"/>
    <x v="3"/>
    <x v="15"/>
    <n v="-5532675.75"/>
    <x v="0"/>
  </r>
  <r>
    <x v="16"/>
    <x v="4"/>
    <x v="15"/>
    <n v="-5532675.75"/>
    <x v="0"/>
  </r>
  <r>
    <x v="16"/>
    <x v="5"/>
    <x v="15"/>
    <n v="-5532675.75"/>
    <x v="0"/>
  </r>
  <r>
    <x v="16"/>
    <x v="6"/>
    <x v="15"/>
    <n v="-5532675.75"/>
    <x v="0"/>
  </r>
  <r>
    <x v="16"/>
    <x v="7"/>
    <x v="15"/>
    <n v="-5532675.75"/>
    <x v="0"/>
  </r>
  <r>
    <x v="16"/>
    <x v="8"/>
    <x v="15"/>
    <n v="-5532675.75"/>
    <x v="0"/>
  </r>
  <r>
    <x v="16"/>
    <x v="9"/>
    <x v="15"/>
    <n v="-5532675.75"/>
    <x v="0"/>
  </r>
  <r>
    <x v="16"/>
    <x v="10"/>
    <x v="15"/>
    <n v="-5532675.75"/>
    <x v="0"/>
  </r>
  <r>
    <x v="16"/>
    <x v="11"/>
    <x v="15"/>
    <n v="-5532675.75"/>
    <x v="0"/>
  </r>
  <r>
    <x v="16"/>
    <x v="12"/>
    <x v="15"/>
    <n v="-5532675.75"/>
    <x v="0"/>
  </r>
  <r>
    <x v="16"/>
    <x v="13"/>
    <x v="15"/>
    <n v="-5532675.75"/>
    <x v="0"/>
  </r>
  <r>
    <x v="16"/>
    <x v="14"/>
    <x v="15"/>
    <n v="-5532675.75"/>
    <x v="0"/>
  </r>
  <r>
    <x v="16"/>
    <x v="15"/>
    <x v="15"/>
    <n v="-5532675.75"/>
    <x v="0"/>
  </r>
  <r>
    <x v="16"/>
    <x v="16"/>
    <x v="15"/>
    <n v="-5532675.75"/>
    <x v="0"/>
  </r>
  <r>
    <x v="16"/>
    <x v="17"/>
    <x v="15"/>
    <n v="-5532675.75"/>
    <x v="0"/>
  </r>
  <r>
    <x v="16"/>
    <x v="18"/>
    <x v="15"/>
    <n v="-5532675.75"/>
    <x v="0"/>
  </r>
  <r>
    <x v="16"/>
    <x v="19"/>
    <x v="15"/>
    <n v="-5532675.75"/>
    <x v="0"/>
  </r>
  <r>
    <x v="16"/>
    <x v="20"/>
    <x v="15"/>
    <n v="-5532675.75"/>
    <x v="0"/>
  </r>
  <r>
    <x v="16"/>
    <x v="21"/>
    <x v="15"/>
    <n v="-5532675.75"/>
    <x v="0"/>
  </r>
  <r>
    <x v="16"/>
    <x v="22"/>
    <x v="15"/>
    <n v="-5532675.75"/>
    <x v="0"/>
  </r>
  <r>
    <x v="16"/>
    <x v="23"/>
    <x v="15"/>
    <n v="-5532675.75"/>
    <x v="0"/>
  </r>
  <r>
    <x v="16"/>
    <x v="0"/>
    <x v="60"/>
    <n v="-6478130.9250000007"/>
    <x v="0"/>
  </r>
  <r>
    <x v="16"/>
    <x v="1"/>
    <x v="60"/>
    <n v="-6478130.9250000007"/>
    <x v="0"/>
  </r>
  <r>
    <x v="16"/>
    <x v="2"/>
    <x v="60"/>
    <n v="-6478130.9250000007"/>
    <x v="0"/>
  </r>
  <r>
    <x v="16"/>
    <x v="3"/>
    <x v="60"/>
    <n v="-6478130.9250000007"/>
    <x v="0"/>
  </r>
  <r>
    <x v="16"/>
    <x v="4"/>
    <x v="60"/>
    <n v="-6478130.9250000007"/>
    <x v="0"/>
  </r>
  <r>
    <x v="16"/>
    <x v="5"/>
    <x v="60"/>
    <n v="-6478130.9250000007"/>
    <x v="0"/>
  </r>
  <r>
    <x v="16"/>
    <x v="6"/>
    <x v="60"/>
    <n v="-6478130.9250000007"/>
    <x v="0"/>
  </r>
  <r>
    <x v="16"/>
    <x v="7"/>
    <x v="60"/>
    <n v="-6478130.9250000007"/>
    <x v="0"/>
  </r>
  <r>
    <x v="16"/>
    <x v="8"/>
    <x v="60"/>
    <n v="-6478130.9250000007"/>
    <x v="0"/>
  </r>
  <r>
    <x v="16"/>
    <x v="9"/>
    <x v="60"/>
    <n v="-6478130.9250000007"/>
    <x v="0"/>
  </r>
  <r>
    <x v="16"/>
    <x v="10"/>
    <x v="60"/>
    <n v="-6478130.9250000007"/>
    <x v="0"/>
  </r>
  <r>
    <x v="16"/>
    <x v="11"/>
    <x v="60"/>
    <n v="-6478130.9250000007"/>
    <x v="0"/>
  </r>
  <r>
    <x v="16"/>
    <x v="12"/>
    <x v="60"/>
    <n v="-6478130.9250000007"/>
    <x v="0"/>
  </r>
  <r>
    <x v="16"/>
    <x v="13"/>
    <x v="60"/>
    <n v="-6478130.9250000007"/>
    <x v="0"/>
  </r>
  <r>
    <x v="16"/>
    <x v="14"/>
    <x v="60"/>
    <n v="-6478130.9250000007"/>
    <x v="0"/>
  </r>
  <r>
    <x v="16"/>
    <x v="15"/>
    <x v="60"/>
    <n v="-6478130.9250000007"/>
    <x v="0"/>
  </r>
  <r>
    <x v="16"/>
    <x v="16"/>
    <x v="60"/>
    <n v="-6478130.9250000007"/>
    <x v="0"/>
  </r>
  <r>
    <x v="16"/>
    <x v="17"/>
    <x v="60"/>
    <n v="-6478130.9250000007"/>
    <x v="0"/>
  </r>
  <r>
    <x v="16"/>
    <x v="18"/>
    <x v="60"/>
    <n v="-6478130.9250000007"/>
    <x v="0"/>
  </r>
  <r>
    <x v="16"/>
    <x v="19"/>
    <x v="60"/>
    <n v="-6478130.9250000007"/>
    <x v="0"/>
  </r>
  <r>
    <x v="16"/>
    <x v="20"/>
    <x v="60"/>
    <n v="-6478130.9250000007"/>
    <x v="0"/>
  </r>
  <r>
    <x v="16"/>
    <x v="21"/>
    <x v="60"/>
    <n v="-6478130.9250000007"/>
    <x v="0"/>
  </r>
  <r>
    <x v="16"/>
    <x v="22"/>
    <x v="60"/>
    <n v="-6478130.9250000007"/>
    <x v="0"/>
  </r>
  <r>
    <x v="16"/>
    <x v="0"/>
    <x v="60"/>
    <n v="-6478130.9250000007"/>
    <x v="0"/>
  </r>
  <r>
    <x v="16"/>
    <x v="1"/>
    <x v="60"/>
    <n v="-6478130.9250000007"/>
    <x v="0"/>
  </r>
  <r>
    <x v="16"/>
    <x v="2"/>
    <x v="60"/>
    <n v="-6478130.9250000007"/>
    <x v="0"/>
  </r>
  <r>
    <x v="16"/>
    <x v="3"/>
    <x v="60"/>
    <n v="-6478130.9250000007"/>
    <x v="0"/>
  </r>
  <r>
    <x v="16"/>
    <x v="4"/>
    <x v="60"/>
    <n v="-6478130.9250000007"/>
    <x v="0"/>
  </r>
  <r>
    <x v="16"/>
    <x v="5"/>
    <x v="60"/>
    <n v="-6478130.9250000007"/>
    <x v="0"/>
  </r>
  <r>
    <x v="16"/>
    <x v="6"/>
    <x v="60"/>
    <n v="-6478130.9250000007"/>
    <x v="0"/>
  </r>
  <r>
    <x v="16"/>
    <x v="7"/>
    <x v="60"/>
    <n v="-6478130.9250000007"/>
    <x v="0"/>
  </r>
  <r>
    <x v="16"/>
    <x v="8"/>
    <x v="60"/>
    <n v="-6478130.9250000007"/>
    <x v="0"/>
  </r>
  <r>
    <x v="16"/>
    <x v="9"/>
    <x v="60"/>
    <n v="-6478130.9250000007"/>
    <x v="0"/>
  </r>
  <r>
    <x v="16"/>
    <x v="10"/>
    <x v="60"/>
    <n v="-6478130.9250000007"/>
    <x v="0"/>
  </r>
  <r>
    <x v="16"/>
    <x v="11"/>
    <x v="60"/>
    <n v="-6478130.9250000007"/>
    <x v="0"/>
  </r>
  <r>
    <x v="16"/>
    <x v="12"/>
    <x v="60"/>
    <n v="-6478130.9250000007"/>
    <x v="0"/>
  </r>
  <r>
    <x v="16"/>
    <x v="13"/>
    <x v="60"/>
    <n v="-6478130.9250000007"/>
    <x v="0"/>
  </r>
  <r>
    <x v="16"/>
    <x v="14"/>
    <x v="60"/>
    <n v="-6478130.9250000007"/>
    <x v="0"/>
  </r>
  <r>
    <x v="16"/>
    <x v="15"/>
    <x v="60"/>
    <n v="-6478130.9250000007"/>
    <x v="0"/>
  </r>
  <r>
    <x v="16"/>
    <x v="16"/>
    <x v="60"/>
    <n v="-6478130.9250000007"/>
    <x v="0"/>
  </r>
  <r>
    <x v="16"/>
    <x v="17"/>
    <x v="60"/>
    <n v="-6478130.9250000007"/>
    <x v="0"/>
  </r>
  <r>
    <x v="16"/>
    <x v="18"/>
    <x v="60"/>
    <n v="-6478130.9250000007"/>
    <x v="0"/>
  </r>
  <r>
    <x v="16"/>
    <x v="19"/>
    <x v="60"/>
    <n v="-6478130.9250000007"/>
    <x v="0"/>
  </r>
  <r>
    <x v="16"/>
    <x v="20"/>
    <x v="60"/>
    <n v="-6478130.9250000007"/>
    <x v="0"/>
  </r>
  <r>
    <x v="16"/>
    <x v="21"/>
    <x v="60"/>
    <n v="-6478130.9250000007"/>
    <x v="0"/>
  </r>
  <r>
    <x v="16"/>
    <x v="22"/>
    <x v="60"/>
    <n v="-6478130.9250000007"/>
    <x v="0"/>
  </r>
  <r>
    <x v="17"/>
    <x v="0"/>
    <x v="0"/>
    <n v="-2806650"/>
    <x v="0"/>
  </r>
  <r>
    <x v="17"/>
    <x v="1"/>
    <x v="0"/>
    <n v="-2806650"/>
    <x v="0"/>
  </r>
  <r>
    <x v="17"/>
    <x v="2"/>
    <x v="0"/>
    <n v="-2806650"/>
    <x v="0"/>
  </r>
  <r>
    <x v="17"/>
    <x v="3"/>
    <x v="0"/>
    <n v="-2806650"/>
    <x v="0"/>
  </r>
  <r>
    <x v="17"/>
    <x v="4"/>
    <x v="0"/>
    <n v="-2806650"/>
    <x v="0"/>
  </r>
  <r>
    <x v="17"/>
    <x v="5"/>
    <x v="0"/>
    <n v="-2806650"/>
    <x v="0"/>
  </r>
  <r>
    <x v="17"/>
    <x v="6"/>
    <x v="0"/>
    <n v="-2806650"/>
    <x v="0"/>
  </r>
  <r>
    <x v="17"/>
    <x v="7"/>
    <x v="0"/>
    <n v="-2806650"/>
    <x v="0"/>
  </r>
  <r>
    <x v="17"/>
    <x v="8"/>
    <x v="0"/>
    <n v="-2806650"/>
    <x v="0"/>
  </r>
  <r>
    <x v="17"/>
    <x v="9"/>
    <x v="0"/>
    <n v="-2806650"/>
    <x v="0"/>
  </r>
  <r>
    <x v="17"/>
    <x v="10"/>
    <x v="0"/>
    <n v="-2806650"/>
    <x v="0"/>
  </r>
  <r>
    <x v="17"/>
    <x v="0"/>
    <x v="13"/>
    <n v="-5355000"/>
    <x v="0"/>
  </r>
  <r>
    <x v="17"/>
    <x v="1"/>
    <x v="13"/>
    <n v="-5355000"/>
    <x v="0"/>
  </r>
  <r>
    <x v="17"/>
    <x v="2"/>
    <x v="13"/>
    <n v="-5355000"/>
    <x v="0"/>
  </r>
  <r>
    <x v="17"/>
    <x v="3"/>
    <x v="13"/>
    <n v="-5355000"/>
    <x v="0"/>
  </r>
  <r>
    <x v="17"/>
    <x v="4"/>
    <x v="13"/>
    <n v="-5355000"/>
    <x v="0"/>
  </r>
  <r>
    <x v="17"/>
    <x v="5"/>
    <x v="13"/>
    <n v="-5355000"/>
    <x v="0"/>
  </r>
  <r>
    <x v="17"/>
    <x v="6"/>
    <x v="13"/>
    <n v="-5355000"/>
    <x v="0"/>
  </r>
  <r>
    <x v="17"/>
    <x v="7"/>
    <x v="13"/>
    <n v="-5355000"/>
    <x v="0"/>
  </r>
  <r>
    <x v="17"/>
    <x v="8"/>
    <x v="13"/>
    <n v="-5355000"/>
    <x v="0"/>
  </r>
  <r>
    <x v="17"/>
    <x v="9"/>
    <x v="13"/>
    <n v="-5355000"/>
    <x v="0"/>
  </r>
  <r>
    <x v="17"/>
    <x v="10"/>
    <x v="13"/>
    <n v="-5355000"/>
    <x v="0"/>
  </r>
  <r>
    <x v="17"/>
    <x v="0"/>
    <x v="14"/>
    <n v="-4123664.9999999995"/>
    <x v="0"/>
  </r>
  <r>
    <x v="17"/>
    <x v="1"/>
    <x v="14"/>
    <n v="-4123664.9999999995"/>
    <x v="0"/>
  </r>
  <r>
    <x v="17"/>
    <x v="2"/>
    <x v="14"/>
    <n v="-4123664.9999999995"/>
    <x v="0"/>
  </r>
  <r>
    <x v="17"/>
    <x v="3"/>
    <x v="14"/>
    <n v="-4123664.9999999995"/>
    <x v="0"/>
  </r>
  <r>
    <x v="17"/>
    <x v="4"/>
    <x v="14"/>
    <n v="-4123664.9999999995"/>
    <x v="0"/>
  </r>
  <r>
    <x v="17"/>
    <x v="5"/>
    <x v="14"/>
    <n v="-4123664.9999999995"/>
    <x v="0"/>
  </r>
  <r>
    <x v="17"/>
    <x v="6"/>
    <x v="14"/>
    <n v="-4123664.9999999995"/>
    <x v="0"/>
  </r>
  <r>
    <x v="17"/>
    <x v="7"/>
    <x v="14"/>
    <n v="-4123664.9999999995"/>
    <x v="0"/>
  </r>
  <r>
    <x v="17"/>
    <x v="0"/>
    <x v="61"/>
    <n v="-4123666.6694999998"/>
    <x v="0"/>
  </r>
  <r>
    <x v="17"/>
    <x v="1"/>
    <x v="61"/>
    <n v="-4123666.6694999998"/>
    <x v="0"/>
  </r>
  <r>
    <x v="18"/>
    <x v="0"/>
    <x v="62"/>
    <n v="-10415999.475"/>
    <x v="0"/>
  </r>
  <r>
    <x v="18"/>
    <x v="1"/>
    <x v="62"/>
    <n v="-10415999.475"/>
    <x v="0"/>
  </r>
  <r>
    <x v="18"/>
    <x v="2"/>
    <x v="62"/>
    <n v="-10415999.475"/>
    <x v="0"/>
  </r>
  <r>
    <x v="18"/>
    <x v="3"/>
    <x v="62"/>
    <n v="-10415999.475"/>
    <x v="0"/>
  </r>
  <r>
    <x v="18"/>
    <x v="4"/>
    <x v="62"/>
    <n v="-10415999.475"/>
    <x v="0"/>
  </r>
  <r>
    <x v="18"/>
    <x v="5"/>
    <x v="62"/>
    <n v="-10415999.475"/>
    <x v="0"/>
  </r>
  <r>
    <x v="18"/>
    <x v="6"/>
    <x v="62"/>
    <n v="-10415999.475"/>
    <x v="0"/>
  </r>
  <r>
    <x v="18"/>
    <x v="7"/>
    <x v="62"/>
    <n v="-10415999.475"/>
    <x v="0"/>
  </r>
  <r>
    <x v="18"/>
    <x v="8"/>
    <x v="62"/>
    <n v="-10415999.475"/>
    <x v="0"/>
  </r>
  <r>
    <x v="18"/>
    <x v="9"/>
    <x v="62"/>
    <n v="-10415999.475"/>
    <x v="0"/>
  </r>
  <r>
    <x v="18"/>
    <x v="0"/>
    <x v="63"/>
    <n v="-7207200"/>
    <x v="0"/>
  </r>
  <r>
    <x v="18"/>
    <x v="1"/>
    <x v="63"/>
    <n v="-7207200"/>
    <x v="0"/>
  </r>
  <r>
    <x v="18"/>
    <x v="2"/>
    <x v="63"/>
    <n v="-7207200"/>
    <x v="0"/>
  </r>
  <r>
    <x v="18"/>
    <x v="3"/>
    <x v="63"/>
    <n v="-7207200"/>
    <x v="0"/>
  </r>
  <r>
    <x v="18"/>
    <x v="4"/>
    <x v="63"/>
    <n v="-7207200"/>
    <x v="0"/>
  </r>
  <r>
    <x v="18"/>
    <x v="5"/>
    <x v="63"/>
    <n v="-7207200"/>
    <x v="0"/>
  </r>
  <r>
    <x v="18"/>
    <x v="6"/>
    <x v="63"/>
    <n v="-7207200"/>
    <x v="0"/>
  </r>
  <r>
    <x v="18"/>
    <x v="7"/>
    <x v="63"/>
    <n v="-7207200"/>
    <x v="0"/>
  </r>
  <r>
    <x v="18"/>
    <x v="0"/>
    <x v="64"/>
    <n v="-4866750"/>
    <x v="0"/>
  </r>
  <r>
    <x v="18"/>
    <x v="1"/>
    <x v="64"/>
    <n v="-4866750"/>
    <x v="0"/>
  </r>
  <r>
    <x v="18"/>
    <x v="2"/>
    <x v="64"/>
    <n v="-4866750"/>
    <x v="0"/>
  </r>
  <r>
    <x v="18"/>
    <x v="3"/>
    <x v="64"/>
    <n v="-4866750"/>
    <x v="0"/>
  </r>
  <r>
    <x v="18"/>
    <x v="4"/>
    <x v="64"/>
    <n v="-4866750"/>
    <x v="0"/>
  </r>
  <r>
    <x v="18"/>
    <x v="5"/>
    <x v="64"/>
    <n v="-4866750"/>
    <x v="0"/>
  </r>
  <r>
    <x v="18"/>
    <x v="6"/>
    <x v="64"/>
    <n v="-4866750"/>
    <x v="0"/>
  </r>
  <r>
    <x v="18"/>
    <x v="7"/>
    <x v="64"/>
    <n v="-4866750"/>
    <x v="0"/>
  </r>
  <r>
    <x v="18"/>
    <x v="0"/>
    <x v="65"/>
    <n v="-3916091.0564999999"/>
    <x v="0"/>
  </r>
  <r>
    <x v="18"/>
    <x v="1"/>
    <x v="65"/>
    <n v="-3916091.0564999999"/>
    <x v="0"/>
  </r>
  <r>
    <x v="18"/>
    <x v="2"/>
    <x v="65"/>
    <n v="-3916091.0564999999"/>
    <x v="0"/>
  </r>
  <r>
    <x v="18"/>
    <x v="3"/>
    <x v="65"/>
    <n v="-3916091.0564999999"/>
    <x v="0"/>
  </r>
  <r>
    <x v="18"/>
    <x v="4"/>
    <x v="65"/>
    <n v="-3916091.0564999999"/>
    <x v="0"/>
  </r>
  <r>
    <x v="18"/>
    <x v="5"/>
    <x v="65"/>
    <n v="-3916091.0564999999"/>
    <x v="0"/>
  </r>
  <r>
    <x v="18"/>
    <x v="6"/>
    <x v="65"/>
    <n v="-3916091.0564999999"/>
    <x v="0"/>
  </r>
  <r>
    <x v="18"/>
    <x v="7"/>
    <x v="65"/>
    <n v="-3916091.0564999999"/>
    <x v="0"/>
  </r>
  <r>
    <x v="18"/>
    <x v="8"/>
    <x v="65"/>
    <n v="-3916091.0564999999"/>
    <x v="0"/>
  </r>
  <r>
    <x v="18"/>
    <x v="9"/>
    <x v="65"/>
    <n v="-3916091.0564999999"/>
    <x v="0"/>
  </r>
  <r>
    <x v="16"/>
    <x v="0"/>
    <x v="0"/>
    <n v="-6263286.4602000006"/>
    <x v="0"/>
  </r>
  <r>
    <x v="16"/>
    <x v="1"/>
    <x v="0"/>
    <n v="-6263286.4602000006"/>
    <x v="0"/>
  </r>
  <r>
    <x v="16"/>
    <x v="2"/>
    <x v="0"/>
    <n v="-6263286.4602000006"/>
    <x v="0"/>
  </r>
  <r>
    <x v="16"/>
    <x v="3"/>
    <x v="0"/>
    <n v="-6263286.4602000006"/>
    <x v="0"/>
  </r>
  <r>
    <x v="16"/>
    <x v="4"/>
    <x v="0"/>
    <n v="-6263286.4602000006"/>
    <x v="0"/>
  </r>
  <r>
    <x v="16"/>
    <x v="5"/>
    <x v="0"/>
    <n v="-6263286.4602000006"/>
    <x v="0"/>
  </r>
  <r>
    <x v="16"/>
    <x v="6"/>
    <x v="0"/>
    <n v="-6263286.4602000006"/>
    <x v="0"/>
  </r>
  <r>
    <x v="16"/>
    <x v="7"/>
    <x v="0"/>
    <n v="-6263286.4602000006"/>
    <x v="0"/>
  </r>
  <r>
    <x v="16"/>
    <x v="8"/>
    <x v="0"/>
    <n v="-6263286.4602000006"/>
    <x v="0"/>
  </r>
  <r>
    <x v="16"/>
    <x v="9"/>
    <x v="0"/>
    <n v="-6263286.4602000006"/>
    <x v="0"/>
  </r>
  <r>
    <x v="16"/>
    <x v="10"/>
    <x v="0"/>
    <n v="-6263286.4602000006"/>
    <x v="0"/>
  </r>
  <r>
    <x v="16"/>
    <x v="11"/>
    <x v="0"/>
    <n v="-6263286.4602000006"/>
    <x v="0"/>
  </r>
  <r>
    <x v="16"/>
    <x v="12"/>
    <x v="0"/>
    <n v="-6263286.4602000006"/>
    <x v="0"/>
  </r>
  <r>
    <x v="16"/>
    <x v="13"/>
    <x v="0"/>
    <n v="-6263286.4602000006"/>
    <x v="0"/>
  </r>
  <r>
    <x v="16"/>
    <x v="14"/>
    <x v="0"/>
    <n v="-6263286.4602000006"/>
    <x v="0"/>
  </r>
  <r>
    <x v="16"/>
    <x v="15"/>
    <x v="0"/>
    <n v="-6263286.4602000006"/>
    <x v="0"/>
  </r>
  <r>
    <x v="16"/>
    <x v="16"/>
    <x v="0"/>
    <n v="-6263286.4602000006"/>
    <x v="0"/>
  </r>
  <r>
    <x v="16"/>
    <x v="17"/>
    <x v="0"/>
    <n v="-6263286.4602000006"/>
    <x v="0"/>
  </r>
  <r>
    <x v="16"/>
    <x v="18"/>
    <x v="0"/>
    <n v="-6263286.4602000006"/>
    <x v="0"/>
  </r>
  <r>
    <x v="16"/>
    <x v="19"/>
    <x v="0"/>
    <n v="-6263286.4602000006"/>
    <x v="0"/>
  </r>
  <r>
    <x v="16"/>
    <x v="0"/>
    <x v="66"/>
    <n v="-4120018.875"/>
    <x v="0"/>
  </r>
  <r>
    <x v="16"/>
    <x v="1"/>
    <x v="66"/>
    <n v="-4120018.875"/>
    <x v="0"/>
  </r>
  <r>
    <x v="16"/>
    <x v="2"/>
    <x v="66"/>
    <n v="-4120018.875"/>
    <x v="0"/>
  </r>
  <r>
    <x v="16"/>
    <x v="3"/>
    <x v="66"/>
    <n v="-4120018.875"/>
    <x v="0"/>
  </r>
  <r>
    <x v="16"/>
    <x v="4"/>
    <x v="66"/>
    <n v="-4120018.875"/>
    <x v="0"/>
  </r>
  <r>
    <x v="16"/>
    <x v="5"/>
    <x v="66"/>
    <n v="-4120018.875"/>
    <x v="0"/>
  </r>
  <r>
    <x v="16"/>
    <x v="6"/>
    <x v="66"/>
    <n v="-4120018.875"/>
    <x v="0"/>
  </r>
  <r>
    <x v="16"/>
    <x v="7"/>
    <x v="66"/>
    <n v="-4120018.875"/>
    <x v="0"/>
  </r>
  <r>
    <x v="16"/>
    <x v="8"/>
    <x v="66"/>
    <n v="-4120018.875"/>
    <x v="0"/>
  </r>
  <r>
    <x v="16"/>
    <x v="9"/>
    <x v="66"/>
    <n v="-4120018.875"/>
    <x v="0"/>
  </r>
  <r>
    <x v="16"/>
    <x v="10"/>
    <x v="66"/>
    <n v="-4120018.875"/>
    <x v="0"/>
  </r>
  <r>
    <x v="16"/>
    <x v="11"/>
    <x v="66"/>
    <n v="-4120018.875"/>
    <x v="0"/>
  </r>
  <r>
    <x v="16"/>
    <x v="12"/>
    <x v="66"/>
    <n v="-4120018.875"/>
    <x v="0"/>
  </r>
  <r>
    <x v="16"/>
    <x v="13"/>
    <x v="66"/>
    <n v="-4120018.875"/>
    <x v="0"/>
  </r>
  <r>
    <x v="16"/>
    <x v="14"/>
    <x v="66"/>
    <n v="-4120018.875"/>
    <x v="0"/>
  </r>
  <r>
    <x v="16"/>
    <x v="15"/>
    <x v="66"/>
    <n v="-4120018.875"/>
    <x v="0"/>
  </r>
  <r>
    <x v="16"/>
    <x v="16"/>
    <x v="66"/>
    <n v="-4120018.875"/>
    <x v="0"/>
  </r>
  <r>
    <x v="16"/>
    <x v="17"/>
    <x v="66"/>
    <n v="-4120018.875"/>
    <x v="0"/>
  </r>
  <r>
    <x v="16"/>
    <x v="18"/>
    <x v="66"/>
    <n v="-4120018.875"/>
    <x v="0"/>
  </r>
  <r>
    <x v="16"/>
    <x v="19"/>
    <x v="66"/>
    <n v="-4120018.875"/>
    <x v="0"/>
  </r>
  <r>
    <x v="16"/>
    <x v="20"/>
    <x v="66"/>
    <n v="-4120018.875"/>
    <x v="0"/>
  </r>
  <r>
    <x v="16"/>
    <x v="21"/>
    <x v="66"/>
    <n v="-4120018.875"/>
    <x v="0"/>
  </r>
  <r>
    <x v="16"/>
    <x v="22"/>
    <x v="66"/>
    <n v="-4120018.875"/>
    <x v="0"/>
  </r>
  <r>
    <x v="19"/>
    <x v="0"/>
    <x v="34"/>
    <n v="-6549894.2250000006"/>
    <x v="0"/>
  </r>
  <r>
    <x v="19"/>
    <x v="1"/>
    <x v="34"/>
    <n v="-6549894.2250000006"/>
    <x v="0"/>
  </r>
  <r>
    <x v="19"/>
    <x v="2"/>
    <x v="34"/>
    <n v="-6549894.2250000006"/>
    <x v="0"/>
  </r>
  <r>
    <x v="19"/>
    <x v="3"/>
    <x v="34"/>
    <n v="-6549894.2250000006"/>
    <x v="0"/>
  </r>
  <r>
    <x v="19"/>
    <x v="4"/>
    <x v="34"/>
    <n v="-6549894.2250000006"/>
    <x v="0"/>
  </r>
  <r>
    <x v="19"/>
    <x v="5"/>
    <x v="34"/>
    <n v="-6549894.2250000006"/>
    <x v="0"/>
  </r>
  <r>
    <x v="19"/>
    <x v="6"/>
    <x v="34"/>
    <n v="-6549894.2250000006"/>
    <x v="0"/>
  </r>
  <r>
    <x v="19"/>
    <x v="7"/>
    <x v="34"/>
    <n v="-6549894.2250000006"/>
    <x v="0"/>
  </r>
  <r>
    <x v="19"/>
    <x v="8"/>
    <x v="34"/>
    <n v="-6549894.2250000006"/>
    <x v="0"/>
  </r>
  <r>
    <x v="19"/>
    <x v="9"/>
    <x v="34"/>
    <n v="-6549894.2250000006"/>
    <x v="0"/>
  </r>
  <r>
    <x v="19"/>
    <x v="10"/>
    <x v="34"/>
    <n v="-6549894.2250000006"/>
    <x v="0"/>
  </r>
  <r>
    <x v="19"/>
    <x v="11"/>
    <x v="34"/>
    <n v="-6549894.2250000006"/>
    <x v="0"/>
  </r>
  <r>
    <x v="19"/>
    <x v="12"/>
    <x v="34"/>
    <n v="-6549894.2250000006"/>
    <x v="0"/>
  </r>
  <r>
    <x v="19"/>
    <x v="13"/>
    <x v="34"/>
    <n v="-6549894.2250000006"/>
    <x v="0"/>
  </r>
  <r>
    <x v="19"/>
    <x v="14"/>
    <x v="34"/>
    <n v="-6549894.2250000006"/>
    <x v="0"/>
  </r>
  <r>
    <x v="19"/>
    <x v="15"/>
    <x v="34"/>
    <n v="-6549894.2250000006"/>
    <x v="0"/>
  </r>
  <r>
    <x v="19"/>
    <x v="16"/>
    <x v="34"/>
    <n v="-6549894.2250000006"/>
    <x v="0"/>
  </r>
  <r>
    <x v="19"/>
    <x v="17"/>
    <x v="34"/>
    <n v="-6549894.2250000006"/>
    <x v="0"/>
  </r>
  <r>
    <x v="19"/>
    <x v="18"/>
    <x v="34"/>
    <n v="-6549894.2250000006"/>
    <x v="0"/>
  </r>
  <r>
    <x v="19"/>
    <x v="0"/>
    <x v="67"/>
    <n v="-3981406.9049999998"/>
    <x v="0"/>
  </r>
  <r>
    <x v="19"/>
    <x v="1"/>
    <x v="67"/>
    <n v="-3981406.9049999998"/>
    <x v="0"/>
  </r>
  <r>
    <x v="19"/>
    <x v="2"/>
    <x v="67"/>
    <n v="-3981406.9049999998"/>
    <x v="0"/>
  </r>
  <r>
    <x v="19"/>
    <x v="3"/>
    <x v="67"/>
    <n v="-3981406.9049999998"/>
    <x v="0"/>
  </r>
  <r>
    <x v="19"/>
    <x v="4"/>
    <x v="67"/>
    <n v="-3981406.9049999998"/>
    <x v="0"/>
  </r>
  <r>
    <x v="19"/>
    <x v="5"/>
    <x v="67"/>
    <n v="-3981406.9049999998"/>
    <x v="0"/>
  </r>
  <r>
    <x v="19"/>
    <x v="6"/>
    <x v="67"/>
    <n v="-3981406.9049999998"/>
    <x v="0"/>
  </r>
  <r>
    <x v="19"/>
    <x v="7"/>
    <x v="67"/>
    <n v="-3981406.9049999998"/>
    <x v="0"/>
  </r>
  <r>
    <x v="19"/>
    <x v="8"/>
    <x v="67"/>
    <n v="-3981406.9049999998"/>
    <x v="0"/>
  </r>
  <r>
    <x v="19"/>
    <x v="9"/>
    <x v="67"/>
    <n v="-3981406.9049999998"/>
    <x v="0"/>
  </r>
  <r>
    <x v="19"/>
    <x v="10"/>
    <x v="67"/>
    <n v="-3981406.9049999998"/>
    <x v="0"/>
  </r>
  <r>
    <x v="19"/>
    <x v="11"/>
    <x v="67"/>
    <n v="-3981406.9049999998"/>
    <x v="0"/>
  </r>
  <r>
    <x v="19"/>
    <x v="12"/>
    <x v="67"/>
    <n v="-3981406.9049999998"/>
    <x v="0"/>
  </r>
  <r>
    <x v="19"/>
    <x v="13"/>
    <x v="67"/>
    <n v="-3981406.9049999998"/>
    <x v="0"/>
  </r>
  <r>
    <x v="19"/>
    <x v="14"/>
    <x v="67"/>
    <n v="-3981406.9049999998"/>
    <x v="0"/>
  </r>
  <r>
    <x v="19"/>
    <x v="15"/>
    <x v="67"/>
    <n v="-3981406.9049999998"/>
    <x v="0"/>
  </r>
  <r>
    <x v="19"/>
    <x v="16"/>
    <x v="67"/>
    <n v="-3981406.9049999998"/>
    <x v="0"/>
  </r>
  <r>
    <x v="19"/>
    <x v="17"/>
    <x v="67"/>
    <n v="-3981406.9049999998"/>
    <x v="0"/>
  </r>
  <r>
    <x v="19"/>
    <x v="18"/>
    <x v="67"/>
    <n v="-3981406.9049999998"/>
    <x v="0"/>
  </r>
  <r>
    <x v="20"/>
    <x v="0"/>
    <x v="0"/>
    <n v="-2823017.4132300001"/>
    <x v="0"/>
  </r>
  <r>
    <x v="20"/>
    <x v="1"/>
    <x v="0"/>
    <n v="-2823017.4132300001"/>
    <x v="0"/>
  </r>
  <r>
    <x v="20"/>
    <x v="2"/>
    <x v="0"/>
    <n v="-2823017.4132300001"/>
    <x v="0"/>
  </r>
  <r>
    <x v="20"/>
    <x v="3"/>
    <x v="0"/>
    <n v="-2823017.4132300001"/>
    <x v="0"/>
  </r>
  <r>
    <x v="20"/>
    <x v="0"/>
    <x v="13"/>
    <n v="-6088446"/>
    <x v="0"/>
  </r>
  <r>
    <x v="20"/>
    <x v="1"/>
    <x v="13"/>
    <n v="-6088446"/>
    <x v="0"/>
  </r>
  <r>
    <x v="20"/>
    <x v="2"/>
    <x v="13"/>
    <n v="-6088446"/>
    <x v="0"/>
  </r>
  <r>
    <x v="20"/>
    <x v="3"/>
    <x v="13"/>
    <n v="-6088446"/>
    <x v="0"/>
  </r>
  <r>
    <x v="20"/>
    <x v="4"/>
    <x v="13"/>
    <n v="-6088446"/>
    <x v="0"/>
  </r>
  <r>
    <x v="20"/>
    <x v="5"/>
    <x v="13"/>
    <n v="-6088446"/>
    <x v="0"/>
  </r>
  <r>
    <x v="20"/>
    <x v="0"/>
    <x v="30"/>
    <n v="-3965084.6316681607"/>
    <x v="0"/>
  </r>
  <r>
    <x v="20"/>
    <x v="1"/>
    <x v="30"/>
    <n v="-3965084.6316681607"/>
    <x v="0"/>
  </r>
  <r>
    <x v="20"/>
    <x v="2"/>
    <x v="30"/>
    <n v="-3965084.6316681607"/>
    <x v="0"/>
  </r>
  <r>
    <x v="20"/>
    <x v="3"/>
    <x v="30"/>
    <n v="-3965084.6316681607"/>
    <x v="0"/>
  </r>
  <r>
    <x v="20"/>
    <x v="4"/>
    <x v="30"/>
    <n v="-3965084.6316681607"/>
    <x v="0"/>
  </r>
  <r>
    <x v="20"/>
    <x v="0"/>
    <x v="20"/>
    <n v="-3198581.6105249994"/>
    <x v="0"/>
  </r>
  <r>
    <x v="20"/>
    <x v="1"/>
    <x v="20"/>
    <n v="-3198581.6105249994"/>
    <x v="0"/>
  </r>
  <r>
    <x v="20"/>
    <x v="2"/>
    <x v="20"/>
    <n v="-3198581.6105249994"/>
    <x v="0"/>
  </r>
  <r>
    <x v="20"/>
    <x v="3"/>
    <x v="20"/>
    <n v="-3198581.6105249994"/>
    <x v="0"/>
  </r>
  <r>
    <x v="20"/>
    <x v="0"/>
    <x v="20"/>
    <n v="-3427052.1011999999"/>
    <x v="0"/>
  </r>
  <r>
    <x v="20"/>
    <x v="1"/>
    <x v="20"/>
    <n v="-3427052.1011999999"/>
    <x v="0"/>
  </r>
  <r>
    <x v="21"/>
    <x v="0"/>
    <x v="1"/>
    <n v="-11163096"/>
    <x v="0"/>
  </r>
  <r>
    <x v="21"/>
    <x v="1"/>
    <x v="1"/>
    <n v="-11163096"/>
    <x v="0"/>
  </r>
  <r>
    <x v="21"/>
    <x v="2"/>
    <x v="1"/>
    <n v="-11163096"/>
    <x v="0"/>
  </r>
  <r>
    <x v="21"/>
    <x v="3"/>
    <x v="1"/>
    <n v="-11163096"/>
    <x v="0"/>
  </r>
  <r>
    <x v="21"/>
    <x v="4"/>
    <x v="1"/>
    <n v="-11163096"/>
    <x v="0"/>
  </r>
  <r>
    <x v="21"/>
    <x v="5"/>
    <x v="1"/>
    <n v="-11163096"/>
    <x v="0"/>
  </r>
  <r>
    <x v="21"/>
    <x v="6"/>
    <x v="1"/>
    <n v="-11163096"/>
    <x v="0"/>
  </r>
  <r>
    <x v="21"/>
    <x v="7"/>
    <x v="1"/>
    <n v="-11163096"/>
    <x v="0"/>
  </r>
  <r>
    <x v="21"/>
    <x v="8"/>
    <x v="1"/>
    <n v="-11163096"/>
    <x v="0"/>
  </r>
  <r>
    <x v="21"/>
    <x v="9"/>
    <x v="1"/>
    <n v="-11163096"/>
    <x v="0"/>
  </r>
  <r>
    <x v="21"/>
    <x v="10"/>
    <x v="1"/>
    <n v="-11163096"/>
    <x v="0"/>
  </r>
  <r>
    <x v="21"/>
    <x v="11"/>
    <x v="1"/>
    <n v="-11163096"/>
    <x v="0"/>
  </r>
  <r>
    <x v="21"/>
    <x v="12"/>
    <x v="1"/>
    <n v="-11163096"/>
    <x v="0"/>
  </r>
  <r>
    <x v="21"/>
    <x v="13"/>
    <x v="1"/>
    <n v="-11163096"/>
    <x v="0"/>
  </r>
  <r>
    <x v="21"/>
    <x v="14"/>
    <x v="1"/>
    <n v="-11163096"/>
    <x v="0"/>
  </r>
  <r>
    <x v="21"/>
    <x v="0"/>
    <x v="68"/>
    <n v="-6909525"/>
    <x v="0"/>
  </r>
  <r>
    <x v="21"/>
    <x v="1"/>
    <x v="68"/>
    <n v="-6909525"/>
    <x v="0"/>
  </r>
  <r>
    <x v="21"/>
    <x v="2"/>
    <x v="68"/>
    <n v="-6909525"/>
    <x v="0"/>
  </r>
  <r>
    <x v="21"/>
    <x v="3"/>
    <x v="68"/>
    <n v="-6909525"/>
    <x v="0"/>
  </r>
  <r>
    <x v="21"/>
    <x v="4"/>
    <x v="68"/>
    <n v="-6909525"/>
    <x v="0"/>
  </r>
  <r>
    <x v="21"/>
    <x v="5"/>
    <x v="68"/>
    <n v="-6909525"/>
    <x v="0"/>
  </r>
  <r>
    <x v="21"/>
    <x v="6"/>
    <x v="68"/>
    <n v="-6909525"/>
    <x v="0"/>
  </r>
  <r>
    <x v="21"/>
    <x v="7"/>
    <x v="68"/>
    <n v="-6909525"/>
    <x v="0"/>
  </r>
  <r>
    <x v="21"/>
    <x v="8"/>
    <x v="68"/>
    <n v="-6909525"/>
    <x v="0"/>
  </r>
  <r>
    <x v="21"/>
    <x v="9"/>
    <x v="68"/>
    <n v="-6909525"/>
    <x v="0"/>
  </r>
  <r>
    <x v="21"/>
    <x v="10"/>
    <x v="68"/>
    <n v="-6909525"/>
    <x v="0"/>
  </r>
  <r>
    <x v="21"/>
    <x v="11"/>
    <x v="68"/>
    <n v="-6909525"/>
    <x v="0"/>
  </r>
  <r>
    <x v="21"/>
    <x v="0"/>
    <x v="69"/>
    <n v="-6909525"/>
    <x v="0"/>
  </r>
  <r>
    <x v="21"/>
    <x v="1"/>
    <x v="69"/>
    <n v="-6909525"/>
    <x v="0"/>
  </r>
  <r>
    <x v="21"/>
    <x v="2"/>
    <x v="69"/>
    <n v="-6909525"/>
    <x v="0"/>
  </r>
  <r>
    <x v="21"/>
    <x v="3"/>
    <x v="69"/>
    <n v="-6909525"/>
    <x v="0"/>
  </r>
  <r>
    <x v="21"/>
    <x v="4"/>
    <x v="69"/>
    <n v="-6909525"/>
    <x v="0"/>
  </r>
  <r>
    <x v="21"/>
    <x v="5"/>
    <x v="69"/>
    <n v="-6909525"/>
    <x v="0"/>
  </r>
  <r>
    <x v="21"/>
    <x v="6"/>
    <x v="69"/>
    <n v="-6909525"/>
    <x v="0"/>
  </r>
  <r>
    <x v="21"/>
    <x v="7"/>
    <x v="69"/>
    <n v="-6909525"/>
    <x v="0"/>
  </r>
  <r>
    <x v="21"/>
    <x v="8"/>
    <x v="69"/>
    <n v="-6909525"/>
    <x v="0"/>
  </r>
  <r>
    <x v="21"/>
    <x v="9"/>
    <x v="69"/>
    <n v="-6909525"/>
    <x v="0"/>
  </r>
  <r>
    <x v="21"/>
    <x v="0"/>
    <x v="15"/>
    <n v="-5049009"/>
    <x v="0"/>
  </r>
  <r>
    <x v="21"/>
    <x v="1"/>
    <x v="15"/>
    <n v="-5049009"/>
    <x v="0"/>
  </r>
  <r>
    <x v="21"/>
    <x v="2"/>
    <x v="15"/>
    <n v="-5049009"/>
    <x v="0"/>
  </r>
  <r>
    <x v="21"/>
    <x v="3"/>
    <x v="15"/>
    <n v="-5049009"/>
    <x v="0"/>
  </r>
  <r>
    <x v="21"/>
    <x v="4"/>
    <x v="15"/>
    <n v="-5049009"/>
    <x v="0"/>
  </r>
  <r>
    <x v="21"/>
    <x v="5"/>
    <x v="15"/>
    <n v="-5049009"/>
    <x v="0"/>
  </r>
  <r>
    <x v="21"/>
    <x v="6"/>
    <x v="15"/>
    <n v="-5049009"/>
    <x v="0"/>
  </r>
  <r>
    <x v="21"/>
    <x v="7"/>
    <x v="15"/>
    <n v="-5049009"/>
    <x v="0"/>
  </r>
  <r>
    <x v="21"/>
    <x v="8"/>
    <x v="15"/>
    <n v="-5049009"/>
    <x v="0"/>
  </r>
  <r>
    <x v="21"/>
    <x v="9"/>
    <x v="15"/>
    <n v="-5049009"/>
    <x v="0"/>
  </r>
  <r>
    <x v="21"/>
    <x v="10"/>
    <x v="15"/>
    <n v="-5049009"/>
    <x v="0"/>
  </r>
  <r>
    <x v="21"/>
    <x v="11"/>
    <x v="15"/>
    <n v="-5049009"/>
    <x v="0"/>
  </r>
  <r>
    <x v="21"/>
    <x v="12"/>
    <x v="15"/>
    <n v="-5049009"/>
    <x v="0"/>
  </r>
  <r>
    <x v="21"/>
    <x v="13"/>
    <x v="15"/>
    <n v="-5049009"/>
    <x v="0"/>
  </r>
  <r>
    <x v="21"/>
    <x v="14"/>
    <x v="15"/>
    <n v="-5049009"/>
    <x v="0"/>
  </r>
  <r>
    <x v="21"/>
    <x v="0"/>
    <x v="70"/>
    <n v="-4550175"/>
    <x v="0"/>
  </r>
  <r>
    <x v="21"/>
    <x v="1"/>
    <x v="70"/>
    <n v="-4550175"/>
    <x v="0"/>
  </r>
  <r>
    <x v="21"/>
    <x v="2"/>
    <x v="70"/>
    <n v="-4550175"/>
    <x v="0"/>
  </r>
  <r>
    <x v="21"/>
    <x v="3"/>
    <x v="70"/>
    <n v="-4550175"/>
    <x v="0"/>
  </r>
  <r>
    <x v="21"/>
    <x v="4"/>
    <x v="70"/>
    <n v="-4550175"/>
    <x v="0"/>
  </r>
  <r>
    <x v="21"/>
    <x v="5"/>
    <x v="70"/>
    <n v="-4550175"/>
    <x v="0"/>
  </r>
  <r>
    <x v="21"/>
    <x v="6"/>
    <x v="70"/>
    <n v="-4550175"/>
    <x v="0"/>
  </r>
  <r>
    <x v="21"/>
    <x v="7"/>
    <x v="70"/>
    <n v="-4550175"/>
    <x v="0"/>
  </r>
  <r>
    <x v="21"/>
    <x v="8"/>
    <x v="70"/>
    <n v="-4550175"/>
    <x v="0"/>
  </r>
  <r>
    <x v="21"/>
    <x v="9"/>
    <x v="70"/>
    <n v="-4550175"/>
    <x v="0"/>
  </r>
  <r>
    <x v="21"/>
    <x v="10"/>
    <x v="70"/>
    <n v="-4550175"/>
    <x v="0"/>
  </r>
  <r>
    <x v="21"/>
    <x v="11"/>
    <x v="70"/>
    <n v="-4550175"/>
    <x v="0"/>
  </r>
  <r>
    <x v="21"/>
    <x v="12"/>
    <x v="70"/>
    <n v="-4550175"/>
    <x v="0"/>
  </r>
  <r>
    <x v="21"/>
    <x v="13"/>
    <x v="70"/>
    <n v="-4550175"/>
    <x v="0"/>
  </r>
  <r>
    <x v="21"/>
    <x v="14"/>
    <x v="70"/>
    <n v="-4550175"/>
    <x v="0"/>
  </r>
  <r>
    <x v="21"/>
    <x v="0"/>
    <x v="71"/>
    <n v="-9327858.75"/>
    <x v="0"/>
  </r>
  <r>
    <x v="21"/>
    <x v="1"/>
    <x v="71"/>
    <n v="-9327858.75"/>
    <x v="0"/>
  </r>
  <r>
    <x v="21"/>
    <x v="2"/>
    <x v="71"/>
    <n v="-9327858.75"/>
    <x v="0"/>
  </r>
  <r>
    <x v="21"/>
    <x v="3"/>
    <x v="71"/>
    <n v="-9327858.75"/>
    <x v="0"/>
  </r>
  <r>
    <x v="21"/>
    <x v="4"/>
    <x v="71"/>
    <n v="-9327858.75"/>
    <x v="0"/>
  </r>
  <r>
    <x v="21"/>
    <x v="5"/>
    <x v="71"/>
    <n v="-9327858.75"/>
    <x v="0"/>
  </r>
  <r>
    <x v="21"/>
    <x v="6"/>
    <x v="71"/>
    <n v="-9327858.75"/>
    <x v="0"/>
  </r>
  <r>
    <x v="21"/>
    <x v="7"/>
    <x v="71"/>
    <n v="-9327858.75"/>
    <x v="0"/>
  </r>
  <r>
    <x v="21"/>
    <x v="0"/>
    <x v="72"/>
    <n v="-9327858.75"/>
    <x v="0"/>
  </r>
  <r>
    <x v="21"/>
    <x v="1"/>
    <x v="72"/>
    <n v="-9327858.75"/>
    <x v="0"/>
  </r>
  <r>
    <x v="21"/>
    <x v="0"/>
    <x v="73"/>
    <n v="-4899387.3232500004"/>
    <x v="0"/>
  </r>
  <r>
    <x v="21"/>
    <x v="1"/>
    <x v="73"/>
    <n v="-4899387.3232500004"/>
    <x v="0"/>
  </r>
  <r>
    <x v="21"/>
    <x v="2"/>
    <x v="73"/>
    <n v="-4899387.3232500004"/>
    <x v="0"/>
  </r>
  <r>
    <x v="21"/>
    <x v="3"/>
    <x v="73"/>
    <n v="-4899387.3232500004"/>
    <x v="0"/>
  </r>
  <r>
    <x v="21"/>
    <x v="4"/>
    <x v="73"/>
    <n v="-4899387.3232500004"/>
    <x v="0"/>
  </r>
  <r>
    <x v="21"/>
    <x v="5"/>
    <x v="73"/>
    <n v="-4899387.3232500004"/>
    <x v="0"/>
  </r>
  <r>
    <x v="21"/>
    <x v="6"/>
    <x v="73"/>
    <n v="-4899387.3232500004"/>
    <x v="0"/>
  </r>
  <r>
    <x v="21"/>
    <x v="7"/>
    <x v="73"/>
    <n v="-4899387.3232500004"/>
    <x v="0"/>
  </r>
  <r>
    <x v="21"/>
    <x v="8"/>
    <x v="73"/>
    <n v="-4899387.3232500004"/>
    <x v="0"/>
  </r>
  <r>
    <x v="21"/>
    <x v="9"/>
    <x v="73"/>
    <n v="-4899387.3232500004"/>
    <x v="0"/>
  </r>
  <r>
    <x v="21"/>
    <x v="10"/>
    <x v="73"/>
    <n v="-4899387.3232500004"/>
    <x v="0"/>
  </r>
  <r>
    <x v="21"/>
    <x v="11"/>
    <x v="73"/>
    <n v="-4899387.3232500004"/>
    <x v="0"/>
  </r>
  <r>
    <x v="21"/>
    <x v="0"/>
    <x v="74"/>
    <n v="-4899387.3232500004"/>
    <x v="0"/>
  </r>
  <r>
    <x v="21"/>
    <x v="1"/>
    <x v="74"/>
    <n v="-4899387.3232500004"/>
    <x v="0"/>
  </r>
  <r>
    <x v="21"/>
    <x v="2"/>
    <x v="74"/>
    <n v="-4899387.3232500004"/>
    <x v="0"/>
  </r>
  <r>
    <x v="21"/>
    <x v="3"/>
    <x v="74"/>
    <n v="-4899387.3232500004"/>
    <x v="0"/>
  </r>
  <r>
    <x v="21"/>
    <x v="4"/>
    <x v="74"/>
    <n v="-4899387.3232500004"/>
    <x v="0"/>
  </r>
  <r>
    <x v="21"/>
    <x v="5"/>
    <x v="74"/>
    <n v="-4899387.3232500004"/>
    <x v="0"/>
  </r>
  <r>
    <x v="21"/>
    <x v="6"/>
    <x v="74"/>
    <n v="-4899387.3232500004"/>
    <x v="0"/>
  </r>
  <r>
    <x v="21"/>
    <x v="0"/>
    <x v="67"/>
    <n v="-3629175.7949999999"/>
    <x v="0"/>
  </r>
  <r>
    <x v="21"/>
    <x v="1"/>
    <x v="67"/>
    <n v="-3629175.7949999999"/>
    <x v="0"/>
  </r>
  <r>
    <x v="21"/>
    <x v="2"/>
    <x v="67"/>
    <n v="-3629175.7949999999"/>
    <x v="0"/>
  </r>
  <r>
    <x v="21"/>
    <x v="3"/>
    <x v="67"/>
    <n v="-3629175.7949999999"/>
    <x v="0"/>
  </r>
  <r>
    <x v="21"/>
    <x v="4"/>
    <x v="67"/>
    <n v="-3629175.7949999999"/>
    <x v="0"/>
  </r>
  <r>
    <x v="21"/>
    <x v="5"/>
    <x v="67"/>
    <n v="-3629175.7949999999"/>
    <x v="0"/>
  </r>
  <r>
    <x v="21"/>
    <x v="6"/>
    <x v="67"/>
    <n v="-3629175.7949999999"/>
    <x v="0"/>
  </r>
  <r>
    <x v="21"/>
    <x v="7"/>
    <x v="67"/>
    <n v="-3629175.7949999999"/>
    <x v="0"/>
  </r>
  <r>
    <x v="21"/>
    <x v="0"/>
    <x v="75"/>
    <n v="-3690632.1209625001"/>
    <x v="0"/>
  </r>
  <r>
    <x v="21"/>
    <x v="1"/>
    <x v="75"/>
    <n v="-3690632.1209625001"/>
    <x v="0"/>
  </r>
  <r>
    <x v="21"/>
    <x v="2"/>
    <x v="75"/>
    <n v="-3690632.1209625001"/>
    <x v="0"/>
  </r>
  <r>
    <x v="21"/>
    <x v="3"/>
    <x v="75"/>
    <n v="-3690632.1209625001"/>
    <x v="0"/>
  </r>
  <r>
    <x v="21"/>
    <x v="4"/>
    <x v="75"/>
    <n v="-3690632.1209625001"/>
    <x v="0"/>
  </r>
  <r>
    <x v="21"/>
    <x v="5"/>
    <x v="75"/>
    <n v="-3690632.1209625001"/>
    <x v="0"/>
  </r>
  <r>
    <x v="21"/>
    <x v="6"/>
    <x v="75"/>
    <n v="-3690632.1209625001"/>
    <x v="0"/>
  </r>
  <r>
    <x v="21"/>
    <x v="7"/>
    <x v="75"/>
    <n v="-3690632.1209625001"/>
    <x v="0"/>
  </r>
  <r>
    <x v="21"/>
    <x v="8"/>
    <x v="75"/>
    <n v="-3690632.1209625001"/>
    <x v="0"/>
  </r>
  <r>
    <x v="21"/>
    <x v="9"/>
    <x v="75"/>
    <n v="-3690632.1209625001"/>
    <x v="0"/>
  </r>
  <r>
    <x v="21"/>
    <x v="0"/>
    <x v="11"/>
    <n v="-4935876.75"/>
    <x v="0"/>
  </r>
  <r>
    <x v="21"/>
    <x v="1"/>
    <x v="11"/>
    <n v="-4935876.75"/>
    <x v="0"/>
  </r>
  <r>
    <x v="21"/>
    <x v="2"/>
    <x v="11"/>
    <n v="-4935876.75"/>
    <x v="0"/>
  </r>
  <r>
    <x v="21"/>
    <x v="3"/>
    <x v="11"/>
    <n v="-4935876.75"/>
    <x v="0"/>
  </r>
  <r>
    <x v="21"/>
    <x v="4"/>
    <x v="11"/>
    <n v="-4935876.75"/>
    <x v="0"/>
  </r>
  <r>
    <x v="21"/>
    <x v="5"/>
    <x v="11"/>
    <n v="-4935876.75"/>
    <x v="0"/>
  </r>
  <r>
    <x v="21"/>
    <x v="6"/>
    <x v="11"/>
    <n v="-4935876.75"/>
    <x v="0"/>
  </r>
  <r>
    <x v="21"/>
    <x v="7"/>
    <x v="11"/>
    <n v="-4935876.75"/>
    <x v="0"/>
  </r>
  <r>
    <x v="14"/>
    <x v="0"/>
    <x v="11"/>
    <n v="-3771772.7985"/>
    <x v="0"/>
  </r>
  <r>
    <x v="14"/>
    <x v="1"/>
    <x v="11"/>
    <n v="-3771772.7985"/>
    <x v="0"/>
  </r>
  <r>
    <x v="14"/>
    <x v="2"/>
    <x v="11"/>
    <n v="-3771772.7985"/>
    <x v="0"/>
  </r>
  <r>
    <x v="14"/>
    <x v="3"/>
    <x v="11"/>
    <n v="-3771772.7985"/>
    <x v="0"/>
  </r>
  <r>
    <x v="14"/>
    <x v="4"/>
    <x v="11"/>
    <n v="-3771772.7985"/>
    <x v="0"/>
  </r>
  <r>
    <x v="14"/>
    <x v="5"/>
    <x v="11"/>
    <n v="-3771772.7985"/>
    <x v="0"/>
  </r>
  <r>
    <x v="14"/>
    <x v="6"/>
    <x v="11"/>
    <n v="-3771772.7985"/>
    <x v="0"/>
  </r>
  <r>
    <x v="14"/>
    <x v="7"/>
    <x v="11"/>
    <n v="-3771772.7985"/>
    <x v="0"/>
  </r>
  <r>
    <x v="14"/>
    <x v="8"/>
    <x v="11"/>
    <n v="-3771772.7985"/>
    <x v="0"/>
  </r>
  <r>
    <x v="14"/>
    <x v="9"/>
    <x v="11"/>
    <n v="-3771772.7985"/>
    <x v="0"/>
  </r>
  <r>
    <x v="14"/>
    <x v="10"/>
    <x v="11"/>
    <n v="-3771772.7985"/>
    <x v="0"/>
  </r>
  <r>
    <x v="14"/>
    <x v="11"/>
    <x v="11"/>
    <n v="-3771772.7985"/>
    <x v="0"/>
  </r>
  <r>
    <x v="14"/>
    <x v="12"/>
    <x v="11"/>
    <n v="-3771772.7985"/>
    <x v="0"/>
  </r>
  <r>
    <x v="14"/>
    <x v="13"/>
    <x v="11"/>
    <n v="-3771772.7985"/>
    <x v="0"/>
  </r>
  <r>
    <x v="14"/>
    <x v="14"/>
    <x v="11"/>
    <n v="-3771772.7985"/>
    <x v="0"/>
  </r>
  <r>
    <x v="14"/>
    <x v="15"/>
    <x v="11"/>
    <n v="-3771772.7985"/>
    <x v="0"/>
  </r>
  <r>
    <x v="14"/>
    <x v="16"/>
    <x v="11"/>
    <n v="-3771772.7985"/>
    <x v="0"/>
  </r>
  <r>
    <x v="14"/>
    <x v="17"/>
    <x v="11"/>
    <n v="-3771772.7985"/>
    <x v="0"/>
  </r>
  <r>
    <x v="14"/>
    <x v="18"/>
    <x v="11"/>
    <n v="-3771772.7985"/>
    <x v="0"/>
  </r>
  <r>
    <x v="14"/>
    <x v="19"/>
    <x v="11"/>
    <n v="-3771772.7985"/>
    <x v="0"/>
  </r>
  <r>
    <x v="14"/>
    <x v="20"/>
    <x v="11"/>
    <n v="-3771772.7985"/>
    <x v="0"/>
  </r>
  <r>
    <x v="14"/>
    <x v="21"/>
    <x v="11"/>
    <n v="-3771772.7985"/>
    <x v="0"/>
  </r>
  <r>
    <x v="14"/>
    <x v="22"/>
    <x v="11"/>
    <n v="-3771772.7985"/>
    <x v="0"/>
  </r>
  <r>
    <x v="14"/>
    <x v="23"/>
    <x v="11"/>
    <n v="-3771772.7985"/>
    <x v="0"/>
  </r>
  <r>
    <x v="14"/>
    <x v="24"/>
    <x v="11"/>
    <n v="-3771772.7985"/>
    <x v="0"/>
  </r>
  <r>
    <x v="11"/>
    <x v="0"/>
    <x v="76"/>
    <n v="-6004530"/>
    <x v="0"/>
  </r>
  <r>
    <x v="11"/>
    <x v="1"/>
    <x v="76"/>
    <n v="-6004530"/>
    <x v="0"/>
  </r>
  <r>
    <x v="11"/>
    <x v="2"/>
    <x v="76"/>
    <n v="-6004530"/>
    <x v="0"/>
  </r>
  <r>
    <x v="11"/>
    <x v="3"/>
    <x v="76"/>
    <n v="-6004530"/>
    <x v="0"/>
  </r>
  <r>
    <x v="11"/>
    <x v="4"/>
    <x v="76"/>
    <n v="-6004530"/>
    <x v="0"/>
  </r>
  <r>
    <x v="11"/>
    <x v="5"/>
    <x v="76"/>
    <n v="-6004530"/>
    <x v="0"/>
  </r>
  <r>
    <x v="11"/>
    <x v="6"/>
    <x v="76"/>
    <n v="-6004530"/>
    <x v="0"/>
  </r>
  <r>
    <x v="11"/>
    <x v="7"/>
    <x v="76"/>
    <n v="-6004530"/>
    <x v="0"/>
  </r>
  <r>
    <x v="11"/>
    <x v="8"/>
    <x v="76"/>
    <n v="-6004530"/>
    <x v="0"/>
  </r>
  <r>
    <x v="11"/>
    <x v="9"/>
    <x v="76"/>
    <n v="-6004530"/>
    <x v="0"/>
  </r>
  <r>
    <x v="11"/>
    <x v="10"/>
    <x v="76"/>
    <n v="-6004530"/>
    <x v="0"/>
  </r>
  <r>
    <x v="11"/>
    <x v="11"/>
    <x v="76"/>
    <n v="-6004530"/>
    <x v="0"/>
  </r>
  <r>
    <x v="11"/>
    <x v="12"/>
    <x v="76"/>
    <n v="-6004530"/>
    <x v="0"/>
  </r>
  <r>
    <x v="11"/>
    <x v="13"/>
    <x v="76"/>
    <n v="-6004530"/>
    <x v="0"/>
  </r>
  <r>
    <x v="11"/>
    <x v="14"/>
    <x v="76"/>
    <n v="-6004530"/>
    <x v="0"/>
  </r>
  <r>
    <x v="10"/>
    <x v="0"/>
    <x v="5"/>
    <n v="-380362.5"/>
    <x v="0"/>
  </r>
  <r>
    <x v="10"/>
    <x v="1"/>
    <x v="5"/>
    <n v="-380362.5"/>
    <x v="0"/>
  </r>
  <r>
    <x v="10"/>
    <x v="2"/>
    <x v="5"/>
    <n v="-380362.5"/>
    <x v="0"/>
  </r>
  <r>
    <x v="10"/>
    <x v="3"/>
    <x v="5"/>
    <n v="-380362.5"/>
    <x v="0"/>
  </r>
  <r>
    <x v="10"/>
    <x v="4"/>
    <x v="5"/>
    <n v="-380362.5"/>
    <x v="0"/>
  </r>
  <r>
    <x v="10"/>
    <x v="5"/>
    <x v="5"/>
    <n v="-380362.5"/>
    <x v="0"/>
  </r>
  <r>
    <x v="10"/>
    <x v="6"/>
    <x v="5"/>
    <n v="-380362.5"/>
    <x v="0"/>
  </r>
  <r>
    <x v="10"/>
    <x v="7"/>
    <x v="5"/>
    <n v="-380362.5"/>
    <x v="0"/>
  </r>
  <r>
    <x v="22"/>
    <x v="0"/>
    <x v="77"/>
    <n v="-7324096.5"/>
    <x v="0"/>
  </r>
  <r>
    <x v="22"/>
    <x v="0"/>
    <x v="30"/>
    <n v="-2504250"/>
    <x v="0"/>
  </r>
  <r>
    <x v="22"/>
    <x v="0"/>
    <x v="11"/>
    <n v="-4165803.1799999997"/>
    <x v="0"/>
  </r>
  <r>
    <x v="22"/>
    <x v="0"/>
    <x v="14"/>
    <n v="-4165803.1799999997"/>
    <x v="0"/>
  </r>
  <r>
    <x v="23"/>
    <x v="0"/>
    <x v="0"/>
    <n v="-6085367.1464827517"/>
    <x v="0"/>
  </r>
  <r>
    <x v="23"/>
    <x v="1"/>
    <x v="0"/>
    <n v="-6085367.1464827517"/>
    <x v="0"/>
  </r>
  <r>
    <x v="23"/>
    <x v="2"/>
    <x v="0"/>
    <n v="-6085367.1464827517"/>
    <x v="0"/>
  </r>
  <r>
    <x v="23"/>
    <x v="3"/>
    <x v="0"/>
    <n v="-6085367.1464827517"/>
    <x v="0"/>
  </r>
  <r>
    <x v="23"/>
    <x v="4"/>
    <x v="0"/>
    <n v="-6085367.1464827517"/>
    <x v="0"/>
  </r>
  <r>
    <x v="23"/>
    <x v="5"/>
    <x v="0"/>
    <n v="-6085367.1464827517"/>
    <x v="0"/>
  </r>
  <r>
    <x v="23"/>
    <x v="0"/>
    <x v="1"/>
    <n v="-11269198.072125001"/>
    <x v="0"/>
  </r>
  <r>
    <x v="23"/>
    <x v="1"/>
    <x v="1"/>
    <n v="-11269198.072125001"/>
    <x v="0"/>
  </r>
  <r>
    <x v="23"/>
    <x v="2"/>
    <x v="1"/>
    <n v="-11269198.072125001"/>
    <x v="0"/>
  </r>
  <r>
    <x v="23"/>
    <x v="3"/>
    <x v="1"/>
    <n v="-11269198.072125001"/>
    <x v="0"/>
  </r>
  <r>
    <x v="23"/>
    <x v="4"/>
    <x v="1"/>
    <n v="-11269198.072125001"/>
    <x v="0"/>
  </r>
  <r>
    <x v="23"/>
    <x v="5"/>
    <x v="1"/>
    <n v="-11269198.072125001"/>
    <x v="0"/>
  </r>
  <r>
    <x v="23"/>
    <x v="0"/>
    <x v="78"/>
    <n v="-960135.74937000009"/>
    <x v="0"/>
  </r>
  <r>
    <x v="23"/>
    <x v="1"/>
    <x v="78"/>
    <n v="-960135.74937000009"/>
    <x v="0"/>
  </r>
  <r>
    <x v="23"/>
    <x v="2"/>
    <x v="78"/>
    <n v="-960135.74937000009"/>
    <x v="0"/>
  </r>
  <r>
    <x v="23"/>
    <x v="3"/>
    <x v="78"/>
    <n v="-960135.74937000009"/>
    <x v="0"/>
  </r>
  <r>
    <x v="23"/>
    <x v="4"/>
    <x v="78"/>
    <n v="-960135.74937000009"/>
    <x v="0"/>
  </r>
  <r>
    <x v="23"/>
    <x v="5"/>
    <x v="78"/>
    <n v="-960135.74937000009"/>
    <x v="0"/>
  </r>
  <r>
    <x v="24"/>
    <x v="0"/>
    <x v="0"/>
    <n v="-3685661.2115662512"/>
    <x v="0"/>
  </r>
  <r>
    <x v="24"/>
    <x v="1"/>
    <x v="0"/>
    <n v="-3685661.2115662512"/>
    <x v="0"/>
  </r>
  <r>
    <x v="24"/>
    <x v="2"/>
    <x v="0"/>
    <n v="-3685661.2115662512"/>
    <x v="0"/>
  </r>
  <r>
    <x v="24"/>
    <x v="3"/>
    <x v="0"/>
    <n v="-3685661.2115662512"/>
    <x v="0"/>
  </r>
  <r>
    <x v="24"/>
    <x v="4"/>
    <x v="0"/>
    <n v="-3685661.2115662512"/>
    <x v="0"/>
  </r>
  <r>
    <x v="24"/>
    <x v="5"/>
    <x v="0"/>
    <n v="-3685661.2115662512"/>
    <x v="0"/>
  </r>
  <r>
    <x v="24"/>
    <x v="6"/>
    <x v="0"/>
    <n v="-3685661.2115662512"/>
    <x v="0"/>
  </r>
  <r>
    <x v="24"/>
    <x v="0"/>
    <x v="1"/>
    <n v="-11787098.370468752"/>
    <x v="0"/>
  </r>
  <r>
    <x v="24"/>
    <x v="1"/>
    <x v="1"/>
    <n v="-11787098.370468752"/>
    <x v="0"/>
  </r>
  <r>
    <x v="24"/>
    <x v="2"/>
    <x v="1"/>
    <n v="-11787098.370468752"/>
    <x v="0"/>
  </r>
  <r>
    <x v="24"/>
    <x v="3"/>
    <x v="1"/>
    <n v="-11787098.370468752"/>
    <x v="0"/>
  </r>
  <r>
    <x v="24"/>
    <x v="4"/>
    <x v="1"/>
    <n v="-11787098.370468752"/>
    <x v="0"/>
  </r>
  <r>
    <x v="24"/>
    <x v="5"/>
    <x v="1"/>
    <n v="-11787098.370468752"/>
    <x v="0"/>
  </r>
  <r>
    <x v="24"/>
    <x v="6"/>
    <x v="1"/>
    <n v="-11787098.370468752"/>
    <x v="0"/>
  </r>
  <r>
    <x v="24"/>
    <x v="0"/>
    <x v="3"/>
    <n v="-9796099.1329687536"/>
    <x v="0"/>
  </r>
  <r>
    <x v="24"/>
    <x v="1"/>
    <x v="3"/>
    <n v="-9796099.1329687536"/>
    <x v="0"/>
  </r>
  <r>
    <x v="24"/>
    <x v="2"/>
    <x v="3"/>
    <n v="-9796099.1329687536"/>
    <x v="0"/>
  </r>
  <r>
    <x v="24"/>
    <x v="3"/>
    <x v="3"/>
    <n v="-9796099.1329687536"/>
    <x v="0"/>
  </r>
  <r>
    <x v="24"/>
    <x v="4"/>
    <x v="3"/>
    <n v="-9796099.1329687536"/>
    <x v="0"/>
  </r>
  <r>
    <x v="24"/>
    <x v="0"/>
    <x v="79"/>
    <n v="-8143952.6503125019"/>
    <x v="0"/>
  </r>
  <r>
    <x v="24"/>
    <x v="0"/>
    <x v="80"/>
    <n v="-8143952.6503125019"/>
    <x v="0"/>
  </r>
  <r>
    <x v="24"/>
    <x v="1"/>
    <x v="80"/>
    <n v="-8143952.6503125019"/>
    <x v="0"/>
  </r>
  <r>
    <x v="24"/>
    <x v="2"/>
    <x v="80"/>
    <n v="-8143952.6503125019"/>
    <x v="0"/>
  </r>
  <r>
    <x v="24"/>
    <x v="3"/>
    <x v="80"/>
    <n v="-8143952.6503125019"/>
    <x v="0"/>
  </r>
  <r>
    <x v="24"/>
    <x v="4"/>
    <x v="80"/>
    <n v="-8143952.6503125019"/>
    <x v="0"/>
  </r>
  <r>
    <x v="24"/>
    <x v="0"/>
    <x v="81"/>
    <n v="-6891920.4375000019"/>
    <x v="0"/>
  </r>
  <r>
    <x v="24"/>
    <x v="1"/>
    <x v="81"/>
    <n v="-6891920.4375000019"/>
    <x v="0"/>
  </r>
  <r>
    <x v="24"/>
    <x v="2"/>
    <x v="81"/>
    <n v="-6891920.4375000019"/>
    <x v="0"/>
  </r>
  <r>
    <x v="24"/>
    <x v="3"/>
    <x v="81"/>
    <n v="-6891920.4375000019"/>
    <x v="0"/>
  </r>
  <r>
    <x v="24"/>
    <x v="4"/>
    <x v="81"/>
    <n v="-6891920.4375000019"/>
    <x v="0"/>
  </r>
  <r>
    <x v="24"/>
    <x v="0"/>
    <x v="30"/>
    <n v="-3882448.513125001"/>
    <x v="0"/>
  </r>
  <r>
    <x v="24"/>
    <x v="1"/>
    <x v="30"/>
    <n v="-3882448.513125001"/>
    <x v="0"/>
  </r>
  <r>
    <x v="24"/>
    <x v="2"/>
    <x v="30"/>
    <n v="-3882448.513125001"/>
    <x v="0"/>
  </r>
  <r>
    <x v="24"/>
    <x v="3"/>
    <x v="30"/>
    <n v="-3882448.513125001"/>
    <x v="0"/>
  </r>
  <r>
    <x v="24"/>
    <x v="4"/>
    <x v="30"/>
    <n v="-3882448.513125001"/>
    <x v="0"/>
  </r>
  <r>
    <x v="24"/>
    <x v="5"/>
    <x v="30"/>
    <n v="-3882448.513125001"/>
    <x v="0"/>
  </r>
  <r>
    <x v="24"/>
    <x v="6"/>
    <x v="30"/>
    <n v="-3882448.513125001"/>
    <x v="0"/>
  </r>
  <r>
    <x v="24"/>
    <x v="0"/>
    <x v="30"/>
    <n v="-3882448.513125001"/>
    <x v="0"/>
  </r>
  <r>
    <x v="24"/>
    <x v="1"/>
    <x v="30"/>
    <n v="-3882448.513125001"/>
    <x v="0"/>
  </r>
  <r>
    <x v="24"/>
    <x v="2"/>
    <x v="30"/>
    <n v="-3882448.513125001"/>
    <x v="0"/>
  </r>
  <r>
    <x v="24"/>
    <x v="3"/>
    <x v="30"/>
    <n v="-3882448.513125001"/>
    <x v="0"/>
  </r>
  <r>
    <x v="24"/>
    <x v="4"/>
    <x v="30"/>
    <n v="-3882448.513125001"/>
    <x v="0"/>
  </r>
  <r>
    <x v="24"/>
    <x v="5"/>
    <x v="30"/>
    <n v="-3882448.513125001"/>
    <x v="0"/>
  </r>
  <r>
    <x v="24"/>
    <x v="6"/>
    <x v="30"/>
    <n v="-3882448.513125001"/>
    <x v="0"/>
  </r>
  <r>
    <x v="24"/>
    <x v="0"/>
    <x v="82"/>
    <n v="-3802042.7746875011"/>
    <x v="0"/>
  </r>
  <r>
    <x v="24"/>
    <x v="0"/>
    <x v="83"/>
    <n v="-3802042.7746875011"/>
    <x v="0"/>
  </r>
  <r>
    <x v="24"/>
    <x v="0"/>
    <x v="84"/>
    <n v="-6769397.4075000016"/>
    <x v="0"/>
  </r>
  <r>
    <x v="24"/>
    <x v="1"/>
    <x v="84"/>
    <n v="-6769397.4075000016"/>
    <x v="0"/>
  </r>
  <r>
    <x v="24"/>
    <x v="2"/>
    <x v="84"/>
    <n v="-6769397.4075000016"/>
    <x v="0"/>
  </r>
  <r>
    <x v="24"/>
    <x v="0"/>
    <x v="85"/>
    <n v="-3802042.7746875011"/>
    <x v="0"/>
  </r>
  <r>
    <x v="24"/>
    <x v="1"/>
    <x v="85"/>
    <n v="-3802042.7746875011"/>
    <x v="0"/>
  </r>
  <r>
    <x v="24"/>
    <x v="2"/>
    <x v="85"/>
    <n v="-3802042.7746875011"/>
    <x v="0"/>
  </r>
  <r>
    <x v="24"/>
    <x v="3"/>
    <x v="85"/>
    <n v="-3802042.7746875011"/>
    <x v="0"/>
  </r>
  <r>
    <x v="24"/>
    <x v="4"/>
    <x v="85"/>
    <n v="-3802042.7746875011"/>
    <x v="0"/>
  </r>
  <r>
    <x v="24"/>
    <x v="0"/>
    <x v="86"/>
    <n v="-3802042.7746875011"/>
    <x v="0"/>
  </r>
  <r>
    <x v="24"/>
    <x v="1"/>
    <x v="86"/>
    <n v="-3802042.7746875011"/>
    <x v="0"/>
  </r>
  <r>
    <x v="24"/>
    <x v="2"/>
    <x v="86"/>
    <n v="-3802042.7746875011"/>
    <x v="0"/>
  </r>
  <r>
    <x v="24"/>
    <x v="3"/>
    <x v="86"/>
    <n v="-3802042.7746875011"/>
    <x v="0"/>
  </r>
  <r>
    <x v="24"/>
    <x v="4"/>
    <x v="86"/>
    <n v="-3802042.7746875011"/>
    <x v="0"/>
  </r>
  <r>
    <x v="24"/>
    <x v="0"/>
    <x v="87"/>
    <n v="-6891920.4375000019"/>
    <x v="0"/>
  </r>
  <r>
    <x v="24"/>
    <x v="1"/>
    <x v="87"/>
    <n v="-6891920.4375000019"/>
    <x v="0"/>
  </r>
  <r>
    <x v="24"/>
    <x v="2"/>
    <x v="87"/>
    <n v="-6891920.4375000019"/>
    <x v="0"/>
  </r>
  <r>
    <x v="24"/>
    <x v="3"/>
    <x v="87"/>
    <n v="-6891920.4375000019"/>
    <x v="0"/>
  </r>
  <r>
    <x v="24"/>
    <x v="4"/>
    <x v="87"/>
    <n v="-6891920.4375000019"/>
    <x v="0"/>
  </r>
  <r>
    <x v="24"/>
    <x v="0"/>
    <x v="88"/>
    <n v="-3802042.7746875011"/>
    <x v="0"/>
  </r>
  <r>
    <x v="24"/>
    <x v="1"/>
    <x v="88"/>
    <n v="-3802042.7746875011"/>
    <x v="0"/>
  </r>
  <r>
    <x v="24"/>
    <x v="2"/>
    <x v="88"/>
    <n v="-3802042.7746875011"/>
    <x v="0"/>
  </r>
  <r>
    <x v="24"/>
    <x v="3"/>
    <x v="88"/>
    <n v="-3802042.7746875011"/>
    <x v="0"/>
  </r>
  <r>
    <x v="24"/>
    <x v="4"/>
    <x v="88"/>
    <n v="-3802042.7746875011"/>
    <x v="0"/>
  </r>
  <r>
    <x v="25"/>
    <x v="0"/>
    <x v="89"/>
    <n v="-26786251"/>
    <x v="0"/>
  </r>
  <r>
    <x v="25"/>
    <x v="1"/>
    <x v="89"/>
    <n v="-26786251"/>
    <x v="0"/>
  </r>
  <r>
    <x v="25"/>
    <x v="2"/>
    <x v="89"/>
    <n v="-26786251"/>
    <x v="0"/>
  </r>
  <r>
    <x v="25"/>
    <x v="0"/>
    <x v="90"/>
    <n v="-15218233.5"/>
    <x v="0"/>
  </r>
  <r>
    <x v="25"/>
    <x v="0"/>
    <x v="91"/>
    <n v="-6015462"/>
    <x v="0"/>
  </r>
  <r>
    <x v="25"/>
    <x v="0"/>
    <x v="92"/>
    <n v="-4757001"/>
    <x v="0"/>
  </r>
  <r>
    <x v="25"/>
    <x v="1"/>
    <x v="92"/>
    <n v="-4757001"/>
    <x v="0"/>
  </r>
  <r>
    <x v="25"/>
    <x v="2"/>
    <x v="92"/>
    <n v="-4757001"/>
    <x v="0"/>
  </r>
  <r>
    <x v="25"/>
    <x v="3"/>
    <x v="92"/>
    <n v="-4757001"/>
    <x v="0"/>
  </r>
  <r>
    <x v="25"/>
    <x v="4"/>
    <x v="92"/>
    <n v="-4757001"/>
    <x v="0"/>
  </r>
  <r>
    <x v="25"/>
    <x v="5"/>
    <x v="92"/>
    <n v="-4757001"/>
    <x v="0"/>
  </r>
  <r>
    <x v="25"/>
    <x v="6"/>
    <x v="92"/>
    <n v="-4757001"/>
    <x v="0"/>
  </r>
  <r>
    <x v="25"/>
    <x v="7"/>
    <x v="92"/>
    <n v="-4757001"/>
    <x v="0"/>
  </r>
  <r>
    <x v="25"/>
    <x v="8"/>
    <x v="92"/>
    <n v="-4757001"/>
    <x v="0"/>
  </r>
  <r>
    <x v="25"/>
    <x v="9"/>
    <x v="92"/>
    <n v="-4757001"/>
    <x v="0"/>
  </r>
  <r>
    <x v="25"/>
    <x v="10"/>
    <x v="92"/>
    <n v="-4757001"/>
    <x v="0"/>
  </r>
  <r>
    <x v="25"/>
    <x v="11"/>
    <x v="92"/>
    <n v="-4757001"/>
    <x v="0"/>
  </r>
  <r>
    <x v="25"/>
    <x v="12"/>
    <x v="92"/>
    <n v="-4757001"/>
    <x v="0"/>
  </r>
  <r>
    <x v="25"/>
    <x v="13"/>
    <x v="92"/>
    <n v="-4757001"/>
    <x v="0"/>
  </r>
  <r>
    <x v="25"/>
    <x v="14"/>
    <x v="92"/>
    <n v="-4757001"/>
    <x v="0"/>
  </r>
  <r>
    <x v="25"/>
    <x v="15"/>
    <x v="92"/>
    <n v="-4757001"/>
    <x v="0"/>
  </r>
  <r>
    <x v="25"/>
    <x v="16"/>
    <x v="92"/>
    <n v="-4757001"/>
    <x v="0"/>
  </r>
  <r>
    <x v="25"/>
    <x v="17"/>
    <x v="92"/>
    <n v="-4757001"/>
    <x v="0"/>
  </r>
  <r>
    <x v="25"/>
    <x v="18"/>
    <x v="92"/>
    <n v="-4757001"/>
    <x v="0"/>
  </r>
  <r>
    <x v="25"/>
    <x v="19"/>
    <x v="92"/>
    <n v="-4757001"/>
    <x v="0"/>
  </r>
  <r>
    <x v="25"/>
    <x v="20"/>
    <x v="92"/>
    <n v="-4757001"/>
    <x v="0"/>
  </r>
  <r>
    <x v="25"/>
    <x v="21"/>
    <x v="92"/>
    <n v="-4757001"/>
    <x v="0"/>
  </r>
  <r>
    <x v="25"/>
    <x v="22"/>
    <x v="92"/>
    <n v="-4757001"/>
    <x v="0"/>
  </r>
  <r>
    <x v="25"/>
    <x v="23"/>
    <x v="92"/>
    <n v="-4757001"/>
    <x v="0"/>
  </r>
  <r>
    <x v="25"/>
    <x v="24"/>
    <x v="92"/>
    <n v="-4757001"/>
    <x v="0"/>
  </r>
  <r>
    <x v="25"/>
    <x v="25"/>
    <x v="92"/>
    <n v="-4757001"/>
    <x v="0"/>
  </r>
  <r>
    <x v="25"/>
    <x v="26"/>
    <x v="92"/>
    <n v="-4757001"/>
    <x v="0"/>
  </r>
  <r>
    <x v="25"/>
    <x v="27"/>
    <x v="92"/>
    <n v="-4757001"/>
    <x v="0"/>
  </r>
  <r>
    <x v="25"/>
    <x v="28"/>
    <x v="92"/>
    <n v="-4757001"/>
    <x v="0"/>
  </r>
  <r>
    <x v="25"/>
    <x v="29"/>
    <x v="92"/>
    <n v="-4757001"/>
    <x v="0"/>
  </r>
  <r>
    <x v="25"/>
    <x v="30"/>
    <x v="92"/>
    <n v="-4757001"/>
    <x v="0"/>
  </r>
  <r>
    <x v="25"/>
    <x v="31"/>
    <x v="92"/>
    <n v="-4757001"/>
    <x v="0"/>
  </r>
  <r>
    <x v="25"/>
    <x v="32"/>
    <x v="92"/>
    <n v="-4757001"/>
    <x v="0"/>
  </r>
  <r>
    <x v="25"/>
    <x v="33"/>
    <x v="92"/>
    <n v="-4757001"/>
    <x v="0"/>
  </r>
  <r>
    <x v="25"/>
    <x v="0"/>
    <x v="93"/>
    <n v="-6199545"/>
    <x v="0"/>
  </r>
  <r>
    <x v="25"/>
    <x v="1"/>
    <x v="93"/>
    <n v="-6199545"/>
    <x v="0"/>
  </r>
  <r>
    <x v="25"/>
    <x v="2"/>
    <x v="93"/>
    <n v="-6199545"/>
    <x v="0"/>
  </r>
  <r>
    <x v="25"/>
    <x v="3"/>
    <x v="93"/>
    <n v="-6199545"/>
    <x v="0"/>
  </r>
  <r>
    <x v="25"/>
    <x v="4"/>
    <x v="93"/>
    <n v="-6199545"/>
    <x v="0"/>
  </r>
  <r>
    <x v="25"/>
    <x v="5"/>
    <x v="93"/>
    <n v="-6199545"/>
    <x v="0"/>
  </r>
  <r>
    <x v="25"/>
    <x v="6"/>
    <x v="93"/>
    <n v="-6199545"/>
    <x v="0"/>
  </r>
  <r>
    <x v="25"/>
    <x v="7"/>
    <x v="93"/>
    <n v="-6199545"/>
    <x v="0"/>
  </r>
  <r>
    <x v="25"/>
    <x v="8"/>
    <x v="93"/>
    <n v="-6199545"/>
    <x v="0"/>
  </r>
  <r>
    <x v="25"/>
    <x v="9"/>
    <x v="93"/>
    <n v="-6199545"/>
    <x v="0"/>
  </r>
  <r>
    <x v="25"/>
    <x v="10"/>
    <x v="93"/>
    <n v="-6199545"/>
    <x v="0"/>
  </r>
  <r>
    <x v="25"/>
    <x v="11"/>
    <x v="93"/>
    <n v="-6199545"/>
    <x v="0"/>
  </r>
  <r>
    <x v="25"/>
    <x v="12"/>
    <x v="93"/>
    <n v="-6199545"/>
    <x v="0"/>
  </r>
  <r>
    <x v="25"/>
    <x v="13"/>
    <x v="93"/>
    <n v="-6199545"/>
    <x v="0"/>
  </r>
  <r>
    <x v="25"/>
    <x v="14"/>
    <x v="93"/>
    <n v="-6199545"/>
    <x v="0"/>
  </r>
  <r>
    <x v="25"/>
    <x v="15"/>
    <x v="93"/>
    <n v="-6199545"/>
    <x v="0"/>
  </r>
  <r>
    <x v="25"/>
    <x v="16"/>
    <x v="93"/>
    <n v="-6199545"/>
    <x v="0"/>
  </r>
  <r>
    <x v="25"/>
    <x v="17"/>
    <x v="93"/>
    <n v="-6199545"/>
    <x v="0"/>
  </r>
  <r>
    <x v="25"/>
    <x v="18"/>
    <x v="93"/>
    <n v="-6199545"/>
    <x v="0"/>
  </r>
  <r>
    <x v="25"/>
    <x v="19"/>
    <x v="93"/>
    <n v="-6199545"/>
    <x v="0"/>
  </r>
  <r>
    <x v="25"/>
    <x v="20"/>
    <x v="93"/>
    <n v="-6199545"/>
    <x v="0"/>
  </r>
  <r>
    <x v="25"/>
    <x v="21"/>
    <x v="93"/>
    <n v="-6199545"/>
    <x v="0"/>
  </r>
  <r>
    <x v="25"/>
    <x v="22"/>
    <x v="93"/>
    <n v="-6199545"/>
    <x v="0"/>
  </r>
  <r>
    <x v="25"/>
    <x v="23"/>
    <x v="93"/>
    <n v="-6199545"/>
    <x v="0"/>
  </r>
  <r>
    <x v="25"/>
    <x v="24"/>
    <x v="93"/>
    <n v="-6199545"/>
    <x v="0"/>
  </r>
  <r>
    <x v="25"/>
    <x v="25"/>
    <x v="93"/>
    <n v="-6199545"/>
    <x v="0"/>
  </r>
  <r>
    <x v="25"/>
    <x v="26"/>
    <x v="93"/>
    <n v="-6199545"/>
    <x v="0"/>
  </r>
  <r>
    <x v="25"/>
    <x v="27"/>
    <x v="93"/>
    <n v="-6199545"/>
    <x v="0"/>
  </r>
  <r>
    <x v="25"/>
    <x v="28"/>
    <x v="93"/>
    <n v="-6199545"/>
    <x v="0"/>
  </r>
  <r>
    <x v="25"/>
    <x v="29"/>
    <x v="93"/>
    <n v="-6199545"/>
    <x v="0"/>
  </r>
  <r>
    <x v="25"/>
    <x v="30"/>
    <x v="93"/>
    <n v="-6199545"/>
    <x v="0"/>
  </r>
  <r>
    <x v="25"/>
    <x v="31"/>
    <x v="93"/>
    <n v="-6199545"/>
    <x v="0"/>
  </r>
  <r>
    <x v="25"/>
    <x v="32"/>
    <x v="93"/>
    <n v="-6199545"/>
    <x v="0"/>
  </r>
  <r>
    <x v="25"/>
    <x v="33"/>
    <x v="93"/>
    <n v="-6199545"/>
    <x v="0"/>
  </r>
  <r>
    <x v="25"/>
    <x v="0"/>
    <x v="94"/>
    <n v="-6239898"/>
    <x v="0"/>
  </r>
  <r>
    <x v="25"/>
    <x v="1"/>
    <x v="94"/>
    <n v="-6239898"/>
    <x v="0"/>
  </r>
  <r>
    <x v="25"/>
    <x v="2"/>
    <x v="94"/>
    <n v="-6239898"/>
    <x v="0"/>
  </r>
  <r>
    <x v="25"/>
    <x v="3"/>
    <x v="94"/>
    <n v="-6239898"/>
    <x v="0"/>
  </r>
  <r>
    <x v="25"/>
    <x v="4"/>
    <x v="94"/>
    <n v="-6239898"/>
    <x v="0"/>
  </r>
  <r>
    <x v="25"/>
    <x v="5"/>
    <x v="94"/>
    <n v="-6239898"/>
    <x v="0"/>
  </r>
  <r>
    <x v="25"/>
    <x v="6"/>
    <x v="94"/>
    <n v="-6239898"/>
    <x v="0"/>
  </r>
  <r>
    <x v="25"/>
    <x v="7"/>
    <x v="94"/>
    <n v="-6239898"/>
    <x v="0"/>
  </r>
  <r>
    <x v="25"/>
    <x v="0"/>
    <x v="95"/>
    <n v="-7453077"/>
    <x v="0"/>
  </r>
  <r>
    <x v="25"/>
    <x v="1"/>
    <x v="95"/>
    <n v="-7453077"/>
    <x v="0"/>
  </r>
  <r>
    <x v="25"/>
    <x v="2"/>
    <x v="95"/>
    <n v="-7453077"/>
    <x v="0"/>
  </r>
  <r>
    <x v="25"/>
    <x v="3"/>
    <x v="95"/>
    <n v="-7453077"/>
    <x v="0"/>
  </r>
  <r>
    <x v="25"/>
    <x v="4"/>
    <x v="95"/>
    <n v="-7453077"/>
    <x v="0"/>
  </r>
  <r>
    <x v="25"/>
    <x v="5"/>
    <x v="95"/>
    <n v="-7453077"/>
    <x v="0"/>
  </r>
  <r>
    <x v="25"/>
    <x v="6"/>
    <x v="95"/>
    <n v="-7453077"/>
    <x v="0"/>
  </r>
  <r>
    <x v="25"/>
    <x v="7"/>
    <x v="95"/>
    <n v="-7453077"/>
    <x v="0"/>
  </r>
  <r>
    <x v="25"/>
    <x v="8"/>
    <x v="95"/>
    <n v="-7453077"/>
    <x v="0"/>
  </r>
  <r>
    <x v="25"/>
    <x v="9"/>
    <x v="95"/>
    <n v="-7453077"/>
    <x v="0"/>
  </r>
  <r>
    <x v="25"/>
    <x v="10"/>
    <x v="95"/>
    <n v="-7453077"/>
    <x v="0"/>
  </r>
  <r>
    <x v="25"/>
    <x v="11"/>
    <x v="95"/>
    <n v="-7453077"/>
    <x v="0"/>
  </r>
  <r>
    <x v="25"/>
    <x v="12"/>
    <x v="95"/>
    <n v="-7453077"/>
    <x v="0"/>
  </r>
  <r>
    <x v="25"/>
    <x v="0"/>
    <x v="20"/>
    <n v="-3580481.2499999995"/>
    <x v="0"/>
  </r>
  <r>
    <x v="25"/>
    <x v="1"/>
    <x v="20"/>
    <n v="-3580481.2499999995"/>
    <x v="0"/>
  </r>
  <r>
    <x v="25"/>
    <x v="0"/>
    <x v="96"/>
    <n v="-3687130.4999999995"/>
    <x v="0"/>
  </r>
  <r>
    <x v="25"/>
    <x v="1"/>
    <x v="96"/>
    <n v="-3687130.4999999995"/>
    <x v="0"/>
  </r>
  <r>
    <x v="25"/>
    <x v="2"/>
    <x v="96"/>
    <n v="-3687130.4999999995"/>
    <x v="0"/>
  </r>
  <r>
    <x v="25"/>
    <x v="3"/>
    <x v="96"/>
    <n v="-3687130.4999999995"/>
    <x v="0"/>
  </r>
  <r>
    <x v="25"/>
    <x v="0"/>
    <x v="97"/>
    <n v="-4479713.6999999993"/>
    <x v="0"/>
  </r>
  <r>
    <x v="25"/>
    <x v="1"/>
    <x v="97"/>
    <n v="-4479713.6999999993"/>
    <x v="0"/>
  </r>
  <r>
    <x v="25"/>
    <x v="2"/>
    <x v="97"/>
    <n v="-4479713.6999999993"/>
    <x v="0"/>
  </r>
  <r>
    <x v="25"/>
    <x v="3"/>
    <x v="97"/>
    <n v="-4479713.6999999993"/>
    <x v="0"/>
  </r>
  <r>
    <x v="25"/>
    <x v="4"/>
    <x v="97"/>
    <n v="-4479713.6999999993"/>
    <x v="0"/>
  </r>
  <r>
    <x v="25"/>
    <x v="5"/>
    <x v="97"/>
    <n v="-4479713.6999999993"/>
    <x v="0"/>
  </r>
  <r>
    <x v="25"/>
    <x v="6"/>
    <x v="97"/>
    <n v="-4479713.6999999993"/>
    <x v="0"/>
  </r>
  <r>
    <x v="25"/>
    <x v="7"/>
    <x v="97"/>
    <n v="-4479713.6999999993"/>
    <x v="0"/>
  </r>
  <r>
    <x v="25"/>
    <x v="8"/>
    <x v="97"/>
    <n v="-4479713.6999999993"/>
    <x v="0"/>
  </r>
  <r>
    <x v="25"/>
    <x v="9"/>
    <x v="97"/>
    <n v="-4479713.6999999993"/>
    <x v="0"/>
  </r>
  <r>
    <x v="25"/>
    <x v="0"/>
    <x v="98"/>
    <n v="-4487334.5699999994"/>
    <x v="0"/>
  </r>
  <r>
    <x v="25"/>
    <x v="1"/>
    <x v="98"/>
    <n v="-4487334.5699999994"/>
    <x v="0"/>
  </r>
  <r>
    <x v="25"/>
    <x v="0"/>
    <x v="8"/>
    <n v="-3611462.4"/>
    <x v="0"/>
  </r>
  <r>
    <x v="25"/>
    <x v="1"/>
    <x v="8"/>
    <n v="-3611462.4"/>
    <x v="0"/>
  </r>
  <r>
    <x v="25"/>
    <x v="2"/>
    <x v="8"/>
    <n v="-3611462.4"/>
    <x v="0"/>
  </r>
  <r>
    <x v="25"/>
    <x v="3"/>
    <x v="8"/>
    <n v="-3611462.4"/>
    <x v="0"/>
  </r>
  <r>
    <x v="25"/>
    <x v="0"/>
    <x v="99"/>
    <n v="-3767611.53"/>
    <x v="0"/>
  </r>
  <r>
    <x v="25"/>
    <x v="1"/>
    <x v="99"/>
    <n v="-3767611.53"/>
    <x v="0"/>
  </r>
  <r>
    <x v="25"/>
    <x v="0"/>
    <x v="9"/>
    <n v="-3767611.53"/>
    <x v="0"/>
  </r>
  <r>
    <x v="25"/>
    <x v="1"/>
    <x v="9"/>
    <n v="-3767611.53"/>
    <x v="0"/>
  </r>
  <r>
    <x v="25"/>
    <x v="2"/>
    <x v="9"/>
    <n v="-3767611.53"/>
    <x v="0"/>
  </r>
  <r>
    <x v="25"/>
    <x v="3"/>
    <x v="9"/>
    <n v="-3767611.53"/>
    <x v="0"/>
  </r>
  <r>
    <x v="25"/>
    <x v="3"/>
    <x v="100"/>
    <n v="-4477341.0150000006"/>
    <x v="0"/>
  </r>
  <r>
    <x v="25"/>
    <x v="4"/>
    <x v="100"/>
    <n v="-4477341.0150000006"/>
    <x v="0"/>
  </r>
  <r>
    <x v="25"/>
    <x v="5"/>
    <x v="100"/>
    <n v="-4477341.0150000006"/>
    <x v="0"/>
  </r>
  <r>
    <x v="25"/>
    <x v="6"/>
    <x v="100"/>
    <n v="-4477341.0150000006"/>
    <x v="0"/>
  </r>
  <r>
    <x v="25"/>
    <x v="7"/>
    <x v="100"/>
    <n v="-4477341.0150000006"/>
    <x v="0"/>
  </r>
  <r>
    <x v="25"/>
    <x v="8"/>
    <x v="100"/>
    <n v="-4477341.0150000006"/>
    <x v="0"/>
  </r>
  <r>
    <x v="25"/>
    <x v="9"/>
    <x v="100"/>
    <n v="-4477341.0150000006"/>
    <x v="0"/>
  </r>
  <r>
    <x v="25"/>
    <x v="3"/>
    <x v="101"/>
    <n v="-3062689.7"/>
    <x v="0"/>
  </r>
  <r>
    <x v="25"/>
    <x v="4"/>
    <x v="101"/>
    <n v="-3062689.7"/>
    <x v="0"/>
  </r>
  <r>
    <x v="25"/>
    <x v="5"/>
    <x v="101"/>
    <n v="-3062689.7"/>
    <x v="0"/>
  </r>
  <r>
    <x v="25"/>
    <x v="6"/>
    <x v="101"/>
    <n v="-3062689.7"/>
    <x v="0"/>
  </r>
  <r>
    <x v="25"/>
    <x v="7"/>
    <x v="101"/>
    <n v="-3062689.7"/>
    <x v="0"/>
  </r>
  <r>
    <x v="25"/>
    <x v="8"/>
    <x v="101"/>
    <n v="-3062689.7"/>
    <x v="0"/>
  </r>
  <r>
    <x v="25"/>
    <x v="9"/>
    <x v="101"/>
    <n v="-3062689.7"/>
    <x v="0"/>
  </r>
  <r>
    <x v="25"/>
    <x v="3"/>
    <x v="102"/>
    <n v="-4854913"/>
    <x v="0"/>
  </r>
  <r>
    <x v="25"/>
    <x v="4"/>
    <x v="102"/>
    <n v="-4854913"/>
    <x v="0"/>
  </r>
  <r>
    <x v="25"/>
    <x v="5"/>
    <x v="102"/>
    <n v="-4854913"/>
    <x v="0"/>
  </r>
  <r>
    <x v="25"/>
    <x v="6"/>
    <x v="102"/>
    <n v="-4854913"/>
    <x v="0"/>
  </r>
  <r>
    <x v="25"/>
    <x v="7"/>
    <x v="102"/>
    <n v="-4854913"/>
    <x v="0"/>
  </r>
  <r>
    <x v="25"/>
    <x v="8"/>
    <x v="102"/>
    <n v="-4854913"/>
    <x v="0"/>
  </r>
  <r>
    <x v="25"/>
    <x v="9"/>
    <x v="102"/>
    <n v="-4854913"/>
    <x v="0"/>
  </r>
  <r>
    <x v="25"/>
    <x v="3"/>
    <x v="89"/>
    <n v="-29161467"/>
    <x v="0"/>
  </r>
  <r>
    <x v="25"/>
    <x v="4"/>
    <x v="89"/>
    <n v="-29161467"/>
    <x v="0"/>
  </r>
  <r>
    <x v="25"/>
    <x v="5"/>
    <x v="89"/>
    <n v="-29161467"/>
    <x v="0"/>
  </r>
  <r>
    <x v="25"/>
    <x v="6"/>
    <x v="89"/>
    <n v="-29161467"/>
    <x v="0"/>
  </r>
  <r>
    <x v="25"/>
    <x v="7"/>
    <x v="89"/>
    <n v="-29161467"/>
    <x v="0"/>
  </r>
  <r>
    <x v="25"/>
    <x v="8"/>
    <x v="89"/>
    <n v="-29161467"/>
    <x v="0"/>
  </r>
  <r>
    <x v="25"/>
    <x v="9"/>
    <x v="89"/>
    <n v="-29161467"/>
    <x v="0"/>
  </r>
  <r>
    <x v="25"/>
    <x v="3"/>
    <x v="90"/>
    <n v="-16582744.5"/>
    <x v="0"/>
  </r>
  <r>
    <x v="25"/>
    <x v="4"/>
    <x v="90"/>
    <n v="-16582744.5"/>
    <x v="0"/>
  </r>
  <r>
    <x v="25"/>
    <x v="5"/>
    <x v="90"/>
    <n v="-16582744.5"/>
    <x v="0"/>
  </r>
  <r>
    <x v="25"/>
    <x v="6"/>
    <x v="90"/>
    <n v="-16582744.5"/>
    <x v="0"/>
  </r>
  <r>
    <x v="25"/>
    <x v="7"/>
    <x v="90"/>
    <n v="-16582744.5"/>
    <x v="0"/>
  </r>
  <r>
    <x v="25"/>
    <x v="8"/>
    <x v="90"/>
    <n v="-16582744.5"/>
    <x v="0"/>
  </r>
  <r>
    <x v="25"/>
    <x v="9"/>
    <x v="90"/>
    <n v="-16582744.5"/>
    <x v="0"/>
  </r>
  <r>
    <x v="25"/>
    <x v="3"/>
    <x v="103"/>
    <n v="-6633097.5"/>
    <x v="0"/>
  </r>
  <r>
    <x v="25"/>
    <x v="4"/>
    <x v="103"/>
    <n v="-6633097.5"/>
    <x v="0"/>
  </r>
  <r>
    <x v="25"/>
    <x v="5"/>
    <x v="103"/>
    <n v="-6633097.5"/>
    <x v="0"/>
  </r>
  <r>
    <x v="25"/>
    <x v="6"/>
    <x v="103"/>
    <n v="-6633097.5"/>
    <x v="0"/>
  </r>
  <r>
    <x v="25"/>
    <x v="7"/>
    <x v="103"/>
    <n v="-6633097.5"/>
    <x v="0"/>
  </r>
  <r>
    <x v="25"/>
    <x v="3"/>
    <x v="92"/>
    <n v="-5088885"/>
    <x v="0"/>
  </r>
  <r>
    <x v="25"/>
    <x v="4"/>
    <x v="92"/>
    <n v="-5088885"/>
    <x v="0"/>
  </r>
  <r>
    <x v="25"/>
    <x v="5"/>
    <x v="92"/>
    <n v="-5088885"/>
    <x v="0"/>
  </r>
  <r>
    <x v="25"/>
    <x v="6"/>
    <x v="92"/>
    <n v="-5088885"/>
    <x v="0"/>
  </r>
  <r>
    <x v="25"/>
    <x v="7"/>
    <x v="92"/>
    <n v="-5088885"/>
    <x v="0"/>
  </r>
  <r>
    <x v="25"/>
    <x v="8"/>
    <x v="92"/>
    <n v="-5088885"/>
    <x v="0"/>
  </r>
  <r>
    <x v="25"/>
    <x v="9"/>
    <x v="92"/>
    <n v="-5088885"/>
    <x v="0"/>
  </r>
  <r>
    <x v="25"/>
    <x v="3"/>
    <x v="93"/>
    <n v="-6663097.5"/>
    <x v="0"/>
  </r>
  <r>
    <x v="25"/>
    <x v="4"/>
    <x v="93"/>
    <n v="-6663097.5"/>
    <x v="0"/>
  </r>
  <r>
    <x v="25"/>
    <x v="5"/>
    <x v="93"/>
    <n v="-6663097.5"/>
    <x v="0"/>
  </r>
  <r>
    <x v="25"/>
    <x v="6"/>
    <x v="93"/>
    <n v="-6663097.5"/>
    <x v="0"/>
  </r>
  <r>
    <x v="25"/>
    <x v="7"/>
    <x v="93"/>
    <n v="-6663097.5"/>
    <x v="0"/>
  </r>
  <r>
    <x v="25"/>
    <x v="8"/>
    <x v="93"/>
    <n v="-6663097.5"/>
    <x v="0"/>
  </r>
  <r>
    <x v="25"/>
    <x v="9"/>
    <x v="93"/>
    <n v="-6663097.5"/>
    <x v="0"/>
  </r>
  <r>
    <x v="25"/>
    <x v="3"/>
    <x v="94"/>
    <n v="-6663097.5"/>
    <x v="0"/>
  </r>
  <r>
    <x v="25"/>
    <x v="4"/>
    <x v="94"/>
    <n v="-6663097.5"/>
    <x v="0"/>
  </r>
  <r>
    <x v="25"/>
    <x v="5"/>
    <x v="94"/>
    <n v="-6663097.5"/>
    <x v="0"/>
  </r>
  <r>
    <x v="25"/>
    <x v="6"/>
    <x v="94"/>
    <n v="-6663097.5"/>
    <x v="0"/>
  </r>
  <r>
    <x v="25"/>
    <x v="7"/>
    <x v="94"/>
    <n v="-6663097.5"/>
    <x v="0"/>
  </r>
  <r>
    <x v="25"/>
    <x v="8"/>
    <x v="94"/>
    <n v="-6663097.5"/>
    <x v="0"/>
  </r>
  <r>
    <x v="25"/>
    <x v="9"/>
    <x v="94"/>
    <n v="-6663097.5"/>
    <x v="0"/>
  </r>
  <r>
    <x v="25"/>
    <x v="3"/>
    <x v="95"/>
    <n v="-7922866.5"/>
    <x v="0"/>
  </r>
  <r>
    <x v="25"/>
    <x v="4"/>
    <x v="95"/>
    <n v="-7922866.5"/>
    <x v="0"/>
  </r>
  <r>
    <x v="25"/>
    <x v="5"/>
    <x v="95"/>
    <n v="-7922866.5"/>
    <x v="0"/>
  </r>
  <r>
    <x v="25"/>
    <x v="6"/>
    <x v="95"/>
    <n v="-7922866.5"/>
    <x v="0"/>
  </r>
  <r>
    <x v="25"/>
    <x v="7"/>
    <x v="95"/>
    <n v="-7922866.5"/>
    <x v="0"/>
  </r>
  <r>
    <x v="25"/>
    <x v="8"/>
    <x v="95"/>
    <n v="-7922866.5"/>
    <x v="0"/>
  </r>
  <r>
    <x v="25"/>
    <x v="9"/>
    <x v="95"/>
    <n v="-7922866.5"/>
    <x v="0"/>
  </r>
  <r>
    <x v="25"/>
    <x v="3"/>
    <x v="104"/>
    <n v="-7896546"/>
    <x v="0"/>
  </r>
  <r>
    <x v="25"/>
    <x v="4"/>
    <x v="104"/>
    <n v="-7896546"/>
    <x v="0"/>
  </r>
  <r>
    <x v="25"/>
    <x v="5"/>
    <x v="104"/>
    <n v="-7896546"/>
    <x v="0"/>
  </r>
  <r>
    <x v="25"/>
    <x v="6"/>
    <x v="104"/>
    <n v="-7896546"/>
    <x v="0"/>
  </r>
  <r>
    <x v="25"/>
    <x v="7"/>
    <x v="104"/>
    <n v="-7896546"/>
    <x v="0"/>
  </r>
  <r>
    <x v="25"/>
    <x v="8"/>
    <x v="104"/>
    <n v="-7896546"/>
    <x v="0"/>
  </r>
  <r>
    <x v="25"/>
    <x v="9"/>
    <x v="104"/>
    <n v="-7896546"/>
    <x v="0"/>
  </r>
  <r>
    <x v="25"/>
    <x v="3"/>
    <x v="105"/>
    <n v="-5159076"/>
    <x v="0"/>
  </r>
  <r>
    <x v="25"/>
    <x v="4"/>
    <x v="105"/>
    <n v="-5159076"/>
    <x v="0"/>
  </r>
  <r>
    <x v="25"/>
    <x v="5"/>
    <x v="105"/>
    <n v="-5159076"/>
    <x v="0"/>
  </r>
  <r>
    <x v="25"/>
    <x v="6"/>
    <x v="105"/>
    <n v="-5159076"/>
    <x v="0"/>
  </r>
  <r>
    <x v="25"/>
    <x v="7"/>
    <x v="105"/>
    <n v="-5159076"/>
    <x v="0"/>
  </r>
  <r>
    <x v="25"/>
    <x v="8"/>
    <x v="105"/>
    <n v="-5159076"/>
    <x v="0"/>
  </r>
  <r>
    <x v="25"/>
    <x v="9"/>
    <x v="105"/>
    <n v="-5159076"/>
    <x v="0"/>
  </r>
  <r>
    <x v="25"/>
    <x v="3"/>
    <x v="30"/>
    <n v="-1658274"/>
    <x v="0"/>
  </r>
  <r>
    <x v="25"/>
    <x v="4"/>
    <x v="30"/>
    <n v="-1658274"/>
    <x v="0"/>
  </r>
  <r>
    <x v="25"/>
    <x v="5"/>
    <x v="30"/>
    <n v="-1658274"/>
    <x v="0"/>
  </r>
  <r>
    <x v="25"/>
    <x v="6"/>
    <x v="30"/>
    <n v="-1658274"/>
    <x v="0"/>
  </r>
  <r>
    <x v="25"/>
    <x v="7"/>
    <x v="30"/>
    <n v="-1658274"/>
    <x v="0"/>
  </r>
  <r>
    <x v="25"/>
    <x v="8"/>
    <x v="30"/>
    <n v="-1658274"/>
    <x v="0"/>
  </r>
  <r>
    <x v="25"/>
    <x v="9"/>
    <x v="30"/>
    <n v="-1658274"/>
    <x v="0"/>
  </r>
  <r>
    <x v="25"/>
    <x v="3"/>
    <x v="20"/>
    <n v="-3906157.7699999996"/>
    <x v="0"/>
  </r>
  <r>
    <x v="25"/>
    <x v="4"/>
    <x v="20"/>
    <n v="-3906157.7699999996"/>
    <x v="0"/>
  </r>
  <r>
    <x v="25"/>
    <x v="5"/>
    <x v="20"/>
    <n v="-3906157.7699999996"/>
    <x v="0"/>
  </r>
  <r>
    <x v="25"/>
    <x v="3"/>
    <x v="97"/>
    <n v="-4687389.96"/>
    <x v="0"/>
  </r>
  <r>
    <x v="25"/>
    <x v="3"/>
    <x v="99"/>
    <n v="-3906157.7699999996"/>
    <x v="0"/>
  </r>
  <r>
    <x v="25"/>
    <x v="3"/>
    <x v="9"/>
    <n v="-3906157.7699999996"/>
    <x v="0"/>
  </r>
  <r>
    <x v="25"/>
    <x v="4"/>
    <x v="9"/>
    <n v="-3906157.7699999996"/>
    <x v="0"/>
  </r>
  <r>
    <x v="25"/>
    <x v="5"/>
    <x v="9"/>
    <n v="-3906157.7699999996"/>
    <x v="0"/>
  </r>
  <r>
    <x v="25"/>
    <x v="6"/>
    <x v="9"/>
    <n v="-3906157.7699999996"/>
    <x v="0"/>
  </r>
  <r>
    <x v="25"/>
    <x v="7"/>
    <x v="9"/>
    <n v="-3906157.7699999996"/>
    <x v="0"/>
  </r>
  <r>
    <x v="25"/>
    <x v="8"/>
    <x v="9"/>
    <n v="-3906157.7699999996"/>
    <x v="0"/>
  </r>
  <r>
    <x v="25"/>
    <x v="9"/>
    <x v="9"/>
    <n v="-3906157.7699999996"/>
    <x v="0"/>
  </r>
  <r>
    <x v="1"/>
    <x v="0"/>
    <x v="0"/>
    <n v="-3071827.3950000005"/>
    <x v="0"/>
  </r>
  <r>
    <x v="1"/>
    <x v="1"/>
    <x v="0"/>
    <n v="-3071827.3950000005"/>
    <x v="0"/>
  </r>
  <r>
    <x v="1"/>
    <x v="2"/>
    <x v="0"/>
    <n v="-3071827.3950000005"/>
    <x v="0"/>
  </r>
  <r>
    <x v="23"/>
    <x v="0"/>
    <x v="0"/>
    <n v="-5626057.5000000009"/>
    <x v="0"/>
  </r>
  <r>
    <x v="23"/>
    <x v="1"/>
    <x v="0"/>
    <n v="-5626057.5000000009"/>
    <x v="0"/>
  </r>
  <r>
    <x v="23"/>
    <x v="2"/>
    <x v="0"/>
    <n v="-5626057.5000000009"/>
    <x v="0"/>
  </r>
  <r>
    <x v="23"/>
    <x v="3"/>
    <x v="0"/>
    <n v="-5626057.5000000009"/>
    <x v="0"/>
  </r>
  <r>
    <x v="23"/>
    <x v="4"/>
    <x v="0"/>
    <n v="-5626057.5000000009"/>
    <x v="0"/>
  </r>
  <r>
    <x v="23"/>
    <x v="5"/>
    <x v="0"/>
    <n v="-5626057.5000000009"/>
    <x v="0"/>
  </r>
  <r>
    <x v="23"/>
    <x v="0"/>
    <x v="106"/>
    <n v="-10418625.000000002"/>
    <x v="0"/>
  </r>
  <r>
    <x v="23"/>
    <x v="1"/>
    <x v="106"/>
    <n v="-10418625.000000002"/>
    <x v="0"/>
  </r>
  <r>
    <x v="23"/>
    <x v="2"/>
    <x v="106"/>
    <n v="-10418625.000000002"/>
    <x v="0"/>
  </r>
  <r>
    <x v="23"/>
    <x v="3"/>
    <x v="106"/>
    <n v="-10418625.000000002"/>
    <x v="0"/>
  </r>
  <r>
    <x v="23"/>
    <x v="4"/>
    <x v="106"/>
    <n v="-10418625.000000002"/>
    <x v="0"/>
  </r>
  <r>
    <x v="23"/>
    <x v="5"/>
    <x v="106"/>
    <n v="-10418625.000000002"/>
    <x v="0"/>
  </r>
  <r>
    <x v="23"/>
    <x v="0"/>
    <x v="107"/>
    <n v="-887666.85000000009"/>
    <x v="0"/>
  </r>
  <r>
    <x v="23"/>
    <x v="1"/>
    <x v="107"/>
    <n v="-887666.85000000009"/>
    <x v="0"/>
  </r>
  <r>
    <x v="23"/>
    <x v="2"/>
    <x v="107"/>
    <n v="-887666.85000000009"/>
    <x v="0"/>
  </r>
  <r>
    <x v="23"/>
    <x v="3"/>
    <x v="107"/>
    <n v="-887666.85000000009"/>
    <x v="0"/>
  </r>
  <r>
    <x v="23"/>
    <x v="4"/>
    <x v="107"/>
    <n v="-887666.85000000009"/>
    <x v="0"/>
  </r>
  <r>
    <x v="23"/>
    <x v="5"/>
    <x v="107"/>
    <n v="-887666.85000000009"/>
    <x v="0"/>
  </r>
  <r>
    <x v="23"/>
    <x v="0"/>
    <x v="58"/>
    <n v="-4514737.5000000009"/>
    <x v="0"/>
  </r>
  <r>
    <x v="23"/>
    <x v="1"/>
    <x v="58"/>
    <n v="-4514737.5000000009"/>
    <x v="0"/>
  </r>
  <r>
    <x v="23"/>
    <x v="2"/>
    <x v="58"/>
    <n v="-4514737.5000000009"/>
    <x v="0"/>
  </r>
  <r>
    <x v="23"/>
    <x v="3"/>
    <x v="58"/>
    <n v="-4514737.5000000009"/>
    <x v="0"/>
  </r>
  <r>
    <x v="23"/>
    <x v="4"/>
    <x v="58"/>
    <n v="-4514737.5000000009"/>
    <x v="0"/>
  </r>
  <r>
    <x v="23"/>
    <x v="5"/>
    <x v="58"/>
    <n v="-4514737.5000000009"/>
    <x v="0"/>
  </r>
  <r>
    <x v="23"/>
    <x v="0"/>
    <x v="3"/>
    <n v="-2448376.8750000005"/>
    <x v="0"/>
  </r>
  <r>
    <x v="23"/>
    <x v="1"/>
    <x v="3"/>
    <n v="-2448376.8750000005"/>
    <x v="0"/>
  </r>
  <r>
    <x v="23"/>
    <x v="2"/>
    <x v="3"/>
    <n v="-2448376.8750000005"/>
    <x v="0"/>
  </r>
  <r>
    <x v="23"/>
    <x v="3"/>
    <x v="3"/>
    <n v="-2448376.8750000005"/>
    <x v="0"/>
  </r>
  <r>
    <x v="23"/>
    <x v="4"/>
    <x v="3"/>
    <n v="-2448376.8750000005"/>
    <x v="0"/>
  </r>
  <r>
    <x v="23"/>
    <x v="5"/>
    <x v="3"/>
    <n v="-2448376.8750000005"/>
    <x v="0"/>
  </r>
  <r>
    <x v="23"/>
    <x v="0"/>
    <x v="15"/>
    <n v="-5903887.5000000009"/>
    <x v="0"/>
  </r>
  <r>
    <x v="23"/>
    <x v="1"/>
    <x v="15"/>
    <n v="-5903887.5000000009"/>
    <x v="0"/>
  </r>
  <r>
    <x v="23"/>
    <x v="2"/>
    <x v="15"/>
    <n v="-5903887.5000000009"/>
    <x v="0"/>
  </r>
  <r>
    <x v="23"/>
    <x v="3"/>
    <x v="15"/>
    <n v="-5903887.5000000009"/>
    <x v="0"/>
  </r>
  <r>
    <x v="23"/>
    <x v="4"/>
    <x v="15"/>
    <n v="-5903887.5000000009"/>
    <x v="0"/>
  </r>
  <r>
    <x v="23"/>
    <x v="5"/>
    <x v="15"/>
    <n v="-5903887.5000000009"/>
    <x v="0"/>
  </r>
  <r>
    <x v="23"/>
    <x v="0"/>
    <x v="108"/>
    <n v="-2604656.2500000005"/>
    <x v="0"/>
  </r>
  <r>
    <x v="23"/>
    <x v="1"/>
    <x v="108"/>
    <n v="-2604656.2500000005"/>
    <x v="0"/>
  </r>
  <r>
    <x v="23"/>
    <x v="2"/>
    <x v="108"/>
    <n v="-2604656.2500000005"/>
    <x v="0"/>
  </r>
  <r>
    <x v="23"/>
    <x v="3"/>
    <x v="108"/>
    <n v="-2604656.2500000005"/>
    <x v="0"/>
  </r>
  <r>
    <x v="23"/>
    <x v="4"/>
    <x v="108"/>
    <n v="-2604656.2500000005"/>
    <x v="0"/>
  </r>
  <r>
    <x v="23"/>
    <x v="5"/>
    <x v="108"/>
    <n v="-2604656.2500000005"/>
    <x v="0"/>
  </r>
  <r>
    <x v="23"/>
    <x v="0"/>
    <x v="20"/>
    <n v="-4049372.25"/>
    <x v="0"/>
  </r>
  <r>
    <x v="23"/>
    <x v="1"/>
    <x v="20"/>
    <n v="-4049372.25"/>
    <x v="0"/>
  </r>
  <r>
    <x v="23"/>
    <x v="2"/>
    <x v="20"/>
    <n v="-4049372.25"/>
    <x v="0"/>
  </r>
  <r>
    <x v="23"/>
    <x v="3"/>
    <x v="20"/>
    <n v="-4049372.25"/>
    <x v="0"/>
  </r>
  <r>
    <x v="23"/>
    <x v="4"/>
    <x v="20"/>
    <n v="-4049372.25"/>
    <x v="0"/>
  </r>
  <r>
    <x v="23"/>
    <x v="5"/>
    <x v="20"/>
    <n v="-4049372.25"/>
    <x v="0"/>
  </r>
  <r>
    <x v="23"/>
    <x v="0"/>
    <x v="109"/>
    <n v="-3718059.9750000001"/>
    <x v="0"/>
  </r>
  <r>
    <x v="23"/>
    <x v="1"/>
    <x v="109"/>
    <n v="-3718059.9750000001"/>
    <x v="0"/>
  </r>
  <r>
    <x v="23"/>
    <x v="2"/>
    <x v="109"/>
    <n v="-3718059.9750000001"/>
    <x v="0"/>
  </r>
  <r>
    <x v="23"/>
    <x v="3"/>
    <x v="109"/>
    <n v="-3718059.9750000001"/>
    <x v="0"/>
  </r>
  <r>
    <x v="23"/>
    <x v="4"/>
    <x v="109"/>
    <n v="-3718059.9750000001"/>
    <x v="0"/>
  </r>
  <r>
    <x v="23"/>
    <x v="5"/>
    <x v="109"/>
    <n v="-3718059.9750000001"/>
    <x v="0"/>
  </r>
  <r>
    <x v="23"/>
    <x v="0"/>
    <x v="110"/>
    <n v="-3718059.9750000001"/>
    <x v="0"/>
  </r>
  <r>
    <x v="23"/>
    <x v="1"/>
    <x v="110"/>
    <n v="-3718059.9750000001"/>
    <x v="0"/>
  </r>
  <r>
    <x v="23"/>
    <x v="2"/>
    <x v="110"/>
    <n v="-3718059.9750000001"/>
    <x v="0"/>
  </r>
  <r>
    <x v="23"/>
    <x v="3"/>
    <x v="110"/>
    <n v="-3718059.9750000001"/>
    <x v="0"/>
  </r>
  <r>
    <x v="23"/>
    <x v="4"/>
    <x v="110"/>
    <n v="-3718059.9750000001"/>
    <x v="0"/>
  </r>
  <r>
    <x v="23"/>
    <x v="5"/>
    <x v="110"/>
    <n v="-3718059.9750000001"/>
    <x v="0"/>
  </r>
  <r>
    <x v="23"/>
    <x v="0"/>
    <x v="10"/>
    <n v="-4049372.25"/>
    <x v="0"/>
  </r>
  <r>
    <x v="23"/>
    <x v="1"/>
    <x v="10"/>
    <n v="-4049372.25"/>
    <x v="0"/>
  </r>
  <r>
    <x v="23"/>
    <x v="2"/>
    <x v="10"/>
    <n v="-4049372.25"/>
    <x v="0"/>
  </r>
  <r>
    <x v="23"/>
    <x v="3"/>
    <x v="10"/>
    <n v="-4049372.25"/>
    <x v="0"/>
  </r>
  <r>
    <x v="23"/>
    <x v="4"/>
    <x v="10"/>
    <n v="-4049372.25"/>
    <x v="0"/>
  </r>
  <r>
    <x v="23"/>
    <x v="5"/>
    <x v="10"/>
    <n v="-4049372.25"/>
    <x v="0"/>
  </r>
  <r>
    <x v="23"/>
    <x v="0"/>
    <x v="111"/>
    <n v="-6221250"/>
    <x v="0"/>
  </r>
  <r>
    <x v="23"/>
    <x v="1"/>
    <x v="111"/>
    <n v="-6221250"/>
    <x v="0"/>
  </r>
  <r>
    <x v="23"/>
    <x v="0"/>
    <x v="112"/>
    <n v="-6221250"/>
    <x v="0"/>
  </r>
  <r>
    <x v="23"/>
    <x v="1"/>
    <x v="112"/>
    <n v="-6221250"/>
    <x v="0"/>
  </r>
  <r>
    <x v="23"/>
    <x v="2"/>
    <x v="112"/>
    <n v="-6221250"/>
    <x v="0"/>
  </r>
  <r>
    <x v="23"/>
    <x v="3"/>
    <x v="112"/>
    <n v="-6221250"/>
    <x v="0"/>
  </r>
  <r>
    <x v="23"/>
    <x v="0"/>
    <x v="113"/>
    <n v="-6221250"/>
    <x v="0"/>
  </r>
  <r>
    <x v="23"/>
    <x v="0"/>
    <x v="114"/>
    <n v="-4123664.9999999995"/>
    <x v="0"/>
  </r>
  <r>
    <x v="23"/>
    <x v="1"/>
    <x v="114"/>
    <n v="-4123664.9999999995"/>
    <x v="0"/>
  </r>
  <r>
    <x v="23"/>
    <x v="2"/>
    <x v="114"/>
    <n v="-4123664.9999999995"/>
    <x v="0"/>
  </r>
  <r>
    <x v="23"/>
    <x v="0"/>
    <x v="10"/>
    <n v="-4123664.9999999995"/>
    <x v="0"/>
  </r>
  <r>
    <x v="23"/>
    <x v="1"/>
    <x v="10"/>
    <n v="-4123664.9999999995"/>
    <x v="0"/>
  </r>
  <r>
    <x v="23"/>
    <x v="2"/>
    <x v="10"/>
    <n v="-4123664.9999999995"/>
    <x v="0"/>
  </r>
  <r>
    <x v="23"/>
    <x v="3"/>
    <x v="10"/>
    <n v="-4123664.9999999995"/>
    <x v="0"/>
  </r>
  <r>
    <x v="26"/>
    <x v="0"/>
    <x v="0"/>
    <n v="-3572100"/>
    <x v="0"/>
  </r>
  <r>
    <x v="26"/>
    <x v="1"/>
    <x v="0"/>
    <n v="-3572100"/>
    <x v="0"/>
  </r>
  <r>
    <x v="26"/>
    <x v="2"/>
    <x v="0"/>
    <n v="-3572100"/>
    <x v="0"/>
  </r>
  <r>
    <x v="26"/>
    <x v="3"/>
    <x v="0"/>
    <n v="-3572100"/>
    <x v="0"/>
  </r>
  <r>
    <x v="26"/>
    <x v="4"/>
    <x v="0"/>
    <n v="-3572100"/>
    <x v="0"/>
  </r>
  <r>
    <x v="26"/>
    <x v="5"/>
    <x v="0"/>
    <n v="-3572100"/>
    <x v="0"/>
  </r>
  <r>
    <x v="26"/>
    <x v="6"/>
    <x v="0"/>
    <n v="-3572100"/>
    <x v="0"/>
  </r>
  <r>
    <x v="26"/>
    <x v="7"/>
    <x v="0"/>
    <n v="-3572100"/>
    <x v="0"/>
  </r>
  <r>
    <x v="26"/>
    <x v="8"/>
    <x v="0"/>
    <n v="-3572100"/>
    <x v="0"/>
  </r>
  <r>
    <x v="26"/>
    <x v="9"/>
    <x v="0"/>
    <n v="-3572100"/>
    <x v="0"/>
  </r>
  <r>
    <x v="26"/>
    <x v="10"/>
    <x v="0"/>
    <n v="-3572100"/>
    <x v="0"/>
  </r>
  <r>
    <x v="26"/>
    <x v="11"/>
    <x v="0"/>
    <n v="-3572100"/>
    <x v="0"/>
  </r>
  <r>
    <x v="26"/>
    <x v="12"/>
    <x v="0"/>
    <n v="-3572100"/>
    <x v="0"/>
  </r>
  <r>
    <x v="26"/>
    <x v="13"/>
    <x v="0"/>
    <n v="-3572100"/>
    <x v="0"/>
  </r>
  <r>
    <x v="26"/>
    <x v="14"/>
    <x v="0"/>
    <n v="-3572100"/>
    <x v="0"/>
  </r>
  <r>
    <x v="26"/>
    <x v="15"/>
    <x v="0"/>
    <n v="-3572100"/>
    <x v="0"/>
  </r>
  <r>
    <x v="26"/>
    <x v="16"/>
    <x v="0"/>
    <n v="-3572100"/>
    <x v="0"/>
  </r>
  <r>
    <x v="26"/>
    <x v="17"/>
    <x v="0"/>
    <n v="-3572100"/>
    <x v="0"/>
  </r>
  <r>
    <x v="26"/>
    <x v="18"/>
    <x v="0"/>
    <n v="-3572100"/>
    <x v="0"/>
  </r>
  <r>
    <x v="26"/>
    <x v="19"/>
    <x v="0"/>
    <n v="-3572100"/>
    <x v="0"/>
  </r>
  <r>
    <x v="26"/>
    <x v="20"/>
    <x v="0"/>
    <n v="-3572100"/>
    <x v="0"/>
  </r>
  <r>
    <x v="26"/>
    <x v="0"/>
    <x v="1"/>
    <n v="-10087875"/>
    <x v="0"/>
  </r>
  <r>
    <x v="26"/>
    <x v="1"/>
    <x v="1"/>
    <n v="-10087875"/>
    <x v="0"/>
  </r>
  <r>
    <x v="26"/>
    <x v="2"/>
    <x v="1"/>
    <n v="-10087875"/>
    <x v="0"/>
  </r>
  <r>
    <x v="26"/>
    <x v="3"/>
    <x v="1"/>
    <n v="-10087875"/>
    <x v="0"/>
  </r>
  <r>
    <x v="26"/>
    <x v="4"/>
    <x v="1"/>
    <n v="-10087875"/>
    <x v="0"/>
  </r>
  <r>
    <x v="26"/>
    <x v="5"/>
    <x v="1"/>
    <n v="-10087875"/>
    <x v="0"/>
  </r>
  <r>
    <x v="26"/>
    <x v="6"/>
    <x v="1"/>
    <n v="-10087875"/>
    <x v="0"/>
  </r>
  <r>
    <x v="26"/>
    <x v="7"/>
    <x v="1"/>
    <n v="-10087875"/>
    <x v="0"/>
  </r>
  <r>
    <x v="26"/>
    <x v="8"/>
    <x v="1"/>
    <n v="-10087875"/>
    <x v="0"/>
  </r>
  <r>
    <x v="26"/>
    <x v="9"/>
    <x v="1"/>
    <n v="-10087875"/>
    <x v="0"/>
  </r>
  <r>
    <x v="26"/>
    <x v="10"/>
    <x v="1"/>
    <n v="-10087875"/>
    <x v="0"/>
  </r>
  <r>
    <x v="26"/>
    <x v="11"/>
    <x v="1"/>
    <n v="-10087875"/>
    <x v="0"/>
  </r>
  <r>
    <x v="26"/>
    <x v="12"/>
    <x v="1"/>
    <n v="-10087875"/>
    <x v="0"/>
  </r>
  <r>
    <x v="26"/>
    <x v="13"/>
    <x v="1"/>
    <n v="-10087875"/>
    <x v="0"/>
  </r>
  <r>
    <x v="26"/>
    <x v="14"/>
    <x v="1"/>
    <n v="-10087875"/>
    <x v="0"/>
  </r>
  <r>
    <x v="26"/>
    <x v="15"/>
    <x v="1"/>
    <n v="-10087875"/>
    <x v="0"/>
  </r>
  <r>
    <x v="26"/>
    <x v="16"/>
    <x v="1"/>
    <n v="-10087875"/>
    <x v="0"/>
  </r>
  <r>
    <x v="26"/>
    <x v="17"/>
    <x v="1"/>
    <n v="-10087875"/>
    <x v="0"/>
  </r>
  <r>
    <x v="26"/>
    <x v="18"/>
    <x v="1"/>
    <n v="-10087875"/>
    <x v="0"/>
  </r>
  <r>
    <x v="26"/>
    <x v="19"/>
    <x v="1"/>
    <n v="-10087875"/>
    <x v="0"/>
  </r>
  <r>
    <x v="26"/>
    <x v="20"/>
    <x v="1"/>
    <n v="-10087875"/>
    <x v="0"/>
  </r>
  <r>
    <x v="26"/>
    <x v="0"/>
    <x v="115"/>
    <n v="-7594316.1000000006"/>
    <x v="0"/>
  </r>
  <r>
    <x v="26"/>
    <x v="1"/>
    <x v="115"/>
    <n v="-7594316.1000000006"/>
    <x v="0"/>
  </r>
  <r>
    <x v="26"/>
    <x v="2"/>
    <x v="115"/>
    <n v="-7594316.1000000006"/>
    <x v="0"/>
  </r>
  <r>
    <x v="26"/>
    <x v="3"/>
    <x v="115"/>
    <n v="-7594316.1000000006"/>
    <x v="0"/>
  </r>
  <r>
    <x v="26"/>
    <x v="4"/>
    <x v="115"/>
    <n v="-7594316.1000000006"/>
    <x v="0"/>
  </r>
  <r>
    <x v="26"/>
    <x v="5"/>
    <x v="115"/>
    <n v="-7594316.1000000006"/>
    <x v="0"/>
  </r>
  <r>
    <x v="26"/>
    <x v="6"/>
    <x v="115"/>
    <n v="-7594316.1000000006"/>
    <x v="0"/>
  </r>
  <r>
    <x v="26"/>
    <x v="7"/>
    <x v="115"/>
    <n v="-7594316.1000000006"/>
    <x v="0"/>
  </r>
  <r>
    <x v="26"/>
    <x v="8"/>
    <x v="115"/>
    <n v="-7594316.1000000006"/>
    <x v="0"/>
  </r>
  <r>
    <x v="26"/>
    <x v="9"/>
    <x v="115"/>
    <n v="-7594316.1000000006"/>
    <x v="0"/>
  </r>
  <r>
    <x v="26"/>
    <x v="10"/>
    <x v="115"/>
    <n v="-7594316.1000000006"/>
    <x v="0"/>
  </r>
  <r>
    <x v="26"/>
    <x v="11"/>
    <x v="115"/>
    <n v="-7594316.1000000006"/>
    <x v="0"/>
  </r>
  <r>
    <x v="26"/>
    <x v="12"/>
    <x v="115"/>
    <n v="-7594316.1000000006"/>
    <x v="0"/>
  </r>
  <r>
    <x v="26"/>
    <x v="13"/>
    <x v="115"/>
    <n v="-7594316.1000000006"/>
    <x v="0"/>
  </r>
  <r>
    <x v="26"/>
    <x v="14"/>
    <x v="115"/>
    <n v="-7594316.1000000006"/>
    <x v="0"/>
  </r>
  <r>
    <x v="26"/>
    <x v="15"/>
    <x v="115"/>
    <n v="-7594316.1000000006"/>
    <x v="0"/>
  </r>
  <r>
    <x v="26"/>
    <x v="16"/>
    <x v="115"/>
    <n v="-7594316.1000000006"/>
    <x v="0"/>
  </r>
  <r>
    <x v="26"/>
    <x v="17"/>
    <x v="115"/>
    <n v="-7594316.1000000006"/>
    <x v="0"/>
  </r>
  <r>
    <x v="26"/>
    <x v="18"/>
    <x v="115"/>
    <n v="-7594316.1000000006"/>
    <x v="0"/>
  </r>
  <r>
    <x v="26"/>
    <x v="19"/>
    <x v="115"/>
    <n v="-7594316.1000000006"/>
    <x v="0"/>
  </r>
  <r>
    <x v="26"/>
    <x v="20"/>
    <x v="115"/>
    <n v="-7594316.1000000006"/>
    <x v="0"/>
  </r>
  <r>
    <x v="26"/>
    <x v="0"/>
    <x v="15"/>
    <n v="-7594316.1000000006"/>
    <x v="0"/>
  </r>
  <r>
    <x v="26"/>
    <x v="1"/>
    <x v="15"/>
    <n v="-7594316.1000000006"/>
    <x v="0"/>
  </r>
  <r>
    <x v="26"/>
    <x v="2"/>
    <x v="15"/>
    <n v="-7594316.1000000006"/>
    <x v="0"/>
  </r>
  <r>
    <x v="26"/>
    <x v="3"/>
    <x v="15"/>
    <n v="-7594316.1000000006"/>
    <x v="0"/>
  </r>
  <r>
    <x v="26"/>
    <x v="4"/>
    <x v="15"/>
    <n v="-7594316.1000000006"/>
    <x v="0"/>
  </r>
  <r>
    <x v="26"/>
    <x v="5"/>
    <x v="15"/>
    <n v="-7594316.1000000006"/>
    <x v="0"/>
  </r>
  <r>
    <x v="26"/>
    <x v="6"/>
    <x v="15"/>
    <n v="-7594316.1000000006"/>
    <x v="0"/>
  </r>
  <r>
    <x v="26"/>
    <x v="7"/>
    <x v="15"/>
    <n v="-7594316.1000000006"/>
    <x v="0"/>
  </r>
  <r>
    <x v="26"/>
    <x v="8"/>
    <x v="15"/>
    <n v="-7594316.1000000006"/>
    <x v="0"/>
  </r>
  <r>
    <x v="26"/>
    <x v="9"/>
    <x v="15"/>
    <n v="-7594316.1000000006"/>
    <x v="0"/>
  </r>
  <r>
    <x v="26"/>
    <x v="10"/>
    <x v="15"/>
    <n v="-7594316.1000000006"/>
    <x v="0"/>
  </r>
  <r>
    <x v="26"/>
    <x v="11"/>
    <x v="15"/>
    <n v="-7594316.1000000006"/>
    <x v="0"/>
  </r>
  <r>
    <x v="26"/>
    <x v="12"/>
    <x v="15"/>
    <n v="-7594316.1000000006"/>
    <x v="0"/>
  </r>
  <r>
    <x v="26"/>
    <x v="13"/>
    <x v="15"/>
    <n v="-7594316.1000000006"/>
    <x v="0"/>
  </r>
  <r>
    <x v="26"/>
    <x v="14"/>
    <x v="15"/>
    <n v="-7594316.1000000006"/>
    <x v="0"/>
  </r>
  <r>
    <x v="26"/>
    <x v="15"/>
    <x v="15"/>
    <n v="-7594316.1000000006"/>
    <x v="0"/>
  </r>
  <r>
    <x v="26"/>
    <x v="16"/>
    <x v="15"/>
    <n v="-7594316.1000000006"/>
    <x v="0"/>
  </r>
  <r>
    <x v="26"/>
    <x v="17"/>
    <x v="15"/>
    <n v="-7594316.1000000006"/>
    <x v="0"/>
  </r>
  <r>
    <x v="26"/>
    <x v="18"/>
    <x v="15"/>
    <n v="-7594316.1000000006"/>
    <x v="0"/>
  </r>
  <r>
    <x v="26"/>
    <x v="19"/>
    <x v="15"/>
    <n v="-7594316.1000000006"/>
    <x v="0"/>
  </r>
  <r>
    <x v="26"/>
    <x v="20"/>
    <x v="15"/>
    <n v="-7594316.1000000006"/>
    <x v="0"/>
  </r>
  <r>
    <x v="26"/>
    <x v="6"/>
    <x v="116"/>
    <n v="-7594316.1000000006"/>
    <x v="0"/>
  </r>
  <r>
    <x v="26"/>
    <x v="7"/>
    <x v="116"/>
    <n v="-7594316.1000000006"/>
    <x v="0"/>
  </r>
  <r>
    <x v="26"/>
    <x v="8"/>
    <x v="116"/>
    <n v="-7594316.1000000006"/>
    <x v="0"/>
  </r>
  <r>
    <x v="26"/>
    <x v="9"/>
    <x v="116"/>
    <n v="-7594316.1000000006"/>
    <x v="0"/>
  </r>
  <r>
    <x v="26"/>
    <x v="10"/>
    <x v="116"/>
    <n v="-7594316.1000000006"/>
    <x v="0"/>
  </r>
  <r>
    <x v="26"/>
    <x v="11"/>
    <x v="116"/>
    <n v="-7594316.1000000006"/>
    <x v="0"/>
  </r>
  <r>
    <x v="26"/>
    <x v="12"/>
    <x v="116"/>
    <n v="-7594316.1000000006"/>
    <x v="0"/>
  </r>
  <r>
    <x v="26"/>
    <x v="13"/>
    <x v="116"/>
    <n v="-7594316.1000000006"/>
    <x v="0"/>
  </r>
  <r>
    <x v="26"/>
    <x v="14"/>
    <x v="116"/>
    <n v="-7594316.1000000006"/>
    <x v="0"/>
  </r>
  <r>
    <x v="26"/>
    <x v="15"/>
    <x v="116"/>
    <n v="-7594316.1000000006"/>
    <x v="0"/>
  </r>
  <r>
    <x v="26"/>
    <x v="16"/>
    <x v="116"/>
    <n v="-7594316.1000000006"/>
    <x v="0"/>
  </r>
  <r>
    <x v="26"/>
    <x v="17"/>
    <x v="116"/>
    <n v="-7594316.1000000006"/>
    <x v="0"/>
  </r>
  <r>
    <x v="26"/>
    <x v="18"/>
    <x v="116"/>
    <n v="-7594316.1000000006"/>
    <x v="0"/>
  </r>
  <r>
    <x v="26"/>
    <x v="19"/>
    <x v="116"/>
    <n v="-7594316.1000000006"/>
    <x v="0"/>
  </r>
  <r>
    <x v="26"/>
    <x v="20"/>
    <x v="116"/>
    <n v="-7594316.1000000006"/>
    <x v="0"/>
  </r>
  <r>
    <x v="26"/>
    <x v="6"/>
    <x v="3"/>
    <n v="-7008008.1750000007"/>
    <x v="0"/>
  </r>
  <r>
    <x v="26"/>
    <x v="7"/>
    <x v="3"/>
    <n v="-7008008.1750000007"/>
    <x v="0"/>
  </r>
  <r>
    <x v="26"/>
    <x v="8"/>
    <x v="3"/>
    <n v="-7008008.1750000007"/>
    <x v="0"/>
  </r>
  <r>
    <x v="26"/>
    <x v="9"/>
    <x v="3"/>
    <n v="-7008008.1750000007"/>
    <x v="0"/>
  </r>
  <r>
    <x v="26"/>
    <x v="10"/>
    <x v="3"/>
    <n v="-7008008.1750000007"/>
    <x v="0"/>
  </r>
  <r>
    <x v="26"/>
    <x v="11"/>
    <x v="3"/>
    <n v="-7008008.1750000007"/>
    <x v="0"/>
  </r>
  <r>
    <x v="26"/>
    <x v="12"/>
    <x v="3"/>
    <n v="-7008008.1750000007"/>
    <x v="0"/>
  </r>
  <r>
    <x v="26"/>
    <x v="13"/>
    <x v="3"/>
    <n v="-7008008.1750000007"/>
    <x v="0"/>
  </r>
  <r>
    <x v="26"/>
    <x v="14"/>
    <x v="3"/>
    <n v="-7008008.1750000007"/>
    <x v="0"/>
  </r>
  <r>
    <x v="26"/>
    <x v="15"/>
    <x v="3"/>
    <n v="-7008008.1750000007"/>
    <x v="0"/>
  </r>
  <r>
    <x v="26"/>
    <x v="16"/>
    <x v="3"/>
    <n v="-7008008.1750000007"/>
    <x v="0"/>
  </r>
  <r>
    <x v="26"/>
    <x v="17"/>
    <x v="3"/>
    <n v="-7008008.1750000007"/>
    <x v="0"/>
  </r>
  <r>
    <x v="26"/>
    <x v="18"/>
    <x v="3"/>
    <n v="-7008008.1750000007"/>
    <x v="0"/>
  </r>
  <r>
    <x v="26"/>
    <x v="19"/>
    <x v="3"/>
    <n v="-7008008.1750000007"/>
    <x v="0"/>
  </r>
  <r>
    <x v="26"/>
    <x v="20"/>
    <x v="3"/>
    <n v="-7008008.1750000007"/>
    <x v="0"/>
  </r>
  <r>
    <x v="26"/>
    <x v="0"/>
    <x v="117"/>
    <n v="-3731425.4250000003"/>
    <x v="0"/>
  </r>
  <r>
    <x v="26"/>
    <x v="1"/>
    <x v="117"/>
    <n v="-3731425.4250000003"/>
    <x v="0"/>
  </r>
  <r>
    <x v="26"/>
    <x v="2"/>
    <x v="117"/>
    <n v="-3731425.4250000003"/>
    <x v="0"/>
  </r>
  <r>
    <x v="26"/>
    <x v="3"/>
    <x v="117"/>
    <n v="-3731425.4250000003"/>
    <x v="0"/>
  </r>
  <r>
    <x v="26"/>
    <x v="4"/>
    <x v="117"/>
    <n v="-3731425.4250000003"/>
    <x v="0"/>
  </r>
  <r>
    <x v="26"/>
    <x v="5"/>
    <x v="117"/>
    <n v="-3731425.4250000003"/>
    <x v="0"/>
  </r>
  <r>
    <x v="26"/>
    <x v="6"/>
    <x v="117"/>
    <n v="-3731425.4250000003"/>
    <x v="0"/>
  </r>
  <r>
    <x v="26"/>
    <x v="7"/>
    <x v="117"/>
    <n v="-3731425.4250000003"/>
    <x v="0"/>
  </r>
  <r>
    <x v="26"/>
    <x v="8"/>
    <x v="117"/>
    <n v="-3731425.4250000003"/>
    <x v="0"/>
  </r>
  <r>
    <x v="26"/>
    <x v="9"/>
    <x v="117"/>
    <n v="-3731425.4250000003"/>
    <x v="0"/>
  </r>
  <r>
    <x v="26"/>
    <x v="10"/>
    <x v="117"/>
    <n v="-3731425.4250000003"/>
    <x v="0"/>
  </r>
  <r>
    <x v="26"/>
    <x v="11"/>
    <x v="117"/>
    <n v="-3731425.4250000003"/>
    <x v="0"/>
  </r>
  <r>
    <x v="26"/>
    <x v="12"/>
    <x v="117"/>
    <n v="-3731425.4250000003"/>
    <x v="0"/>
  </r>
  <r>
    <x v="26"/>
    <x v="13"/>
    <x v="117"/>
    <n v="-3731425.4250000003"/>
    <x v="0"/>
  </r>
  <r>
    <x v="26"/>
    <x v="14"/>
    <x v="117"/>
    <n v="-3731425.4250000003"/>
    <x v="0"/>
  </r>
  <r>
    <x v="26"/>
    <x v="15"/>
    <x v="117"/>
    <n v="-3731425.4250000003"/>
    <x v="0"/>
  </r>
  <r>
    <x v="26"/>
    <x v="16"/>
    <x v="117"/>
    <n v="-3731425.4250000003"/>
    <x v="0"/>
  </r>
  <r>
    <x v="26"/>
    <x v="17"/>
    <x v="117"/>
    <n v="-3731425.4250000003"/>
    <x v="0"/>
  </r>
  <r>
    <x v="26"/>
    <x v="18"/>
    <x v="117"/>
    <n v="-3731425.4250000003"/>
    <x v="0"/>
  </r>
  <r>
    <x v="26"/>
    <x v="19"/>
    <x v="117"/>
    <n v="-3731425.4250000003"/>
    <x v="0"/>
  </r>
  <r>
    <x v="26"/>
    <x v="20"/>
    <x v="117"/>
    <n v="-3731425.4250000003"/>
    <x v="0"/>
  </r>
  <r>
    <x v="26"/>
    <x v="0"/>
    <x v="118"/>
    <n v="-3544014.6"/>
    <x v="0"/>
  </r>
  <r>
    <x v="26"/>
    <x v="1"/>
    <x v="118"/>
    <n v="-3544014.6"/>
    <x v="0"/>
  </r>
  <r>
    <x v="26"/>
    <x v="2"/>
    <x v="118"/>
    <n v="-3544014.6"/>
    <x v="0"/>
  </r>
  <r>
    <x v="26"/>
    <x v="3"/>
    <x v="118"/>
    <n v="-3544014.6"/>
    <x v="0"/>
  </r>
  <r>
    <x v="26"/>
    <x v="4"/>
    <x v="118"/>
    <n v="-3544014.6"/>
    <x v="0"/>
  </r>
  <r>
    <x v="26"/>
    <x v="5"/>
    <x v="118"/>
    <n v="-3544014.6"/>
    <x v="0"/>
  </r>
  <r>
    <x v="26"/>
    <x v="6"/>
    <x v="118"/>
    <n v="-3544014.6"/>
    <x v="0"/>
  </r>
  <r>
    <x v="26"/>
    <x v="7"/>
    <x v="118"/>
    <n v="-3544014.6"/>
    <x v="0"/>
  </r>
  <r>
    <x v="26"/>
    <x v="8"/>
    <x v="118"/>
    <n v="-3544014.6"/>
    <x v="0"/>
  </r>
  <r>
    <x v="26"/>
    <x v="9"/>
    <x v="118"/>
    <n v="-3544014.6"/>
    <x v="0"/>
  </r>
  <r>
    <x v="26"/>
    <x v="10"/>
    <x v="118"/>
    <n v="-3544014.6"/>
    <x v="0"/>
  </r>
  <r>
    <x v="26"/>
    <x v="11"/>
    <x v="118"/>
    <n v="-3544014.6"/>
    <x v="0"/>
  </r>
  <r>
    <x v="26"/>
    <x v="12"/>
    <x v="118"/>
    <n v="-3544014.6"/>
    <x v="0"/>
  </r>
  <r>
    <x v="26"/>
    <x v="13"/>
    <x v="118"/>
    <n v="-3544014.6"/>
    <x v="0"/>
  </r>
  <r>
    <x v="26"/>
    <x v="14"/>
    <x v="118"/>
    <n v="-3544014.6"/>
    <x v="0"/>
  </r>
  <r>
    <x v="26"/>
    <x v="15"/>
    <x v="118"/>
    <n v="-3544014.6"/>
    <x v="0"/>
  </r>
  <r>
    <x v="26"/>
    <x v="16"/>
    <x v="118"/>
    <n v="-3544014.6"/>
    <x v="0"/>
  </r>
  <r>
    <x v="26"/>
    <x v="17"/>
    <x v="118"/>
    <n v="-3544014.6"/>
    <x v="0"/>
  </r>
  <r>
    <x v="26"/>
    <x v="18"/>
    <x v="118"/>
    <n v="-3544014.6"/>
    <x v="0"/>
  </r>
  <r>
    <x v="26"/>
    <x v="19"/>
    <x v="118"/>
    <n v="-3544014.6"/>
    <x v="0"/>
  </r>
  <r>
    <x v="26"/>
    <x v="20"/>
    <x v="118"/>
    <n v="-3544014.6"/>
    <x v="0"/>
  </r>
  <r>
    <x v="26"/>
    <x v="0"/>
    <x v="14"/>
    <n v="-4829985.3734999998"/>
    <x v="0"/>
  </r>
  <r>
    <x v="26"/>
    <x v="1"/>
    <x v="14"/>
    <n v="-4829985.3734999998"/>
    <x v="0"/>
  </r>
  <r>
    <x v="26"/>
    <x v="2"/>
    <x v="14"/>
    <n v="-4829985.3734999998"/>
    <x v="0"/>
  </r>
  <r>
    <x v="26"/>
    <x v="3"/>
    <x v="14"/>
    <n v="-4829985.3734999998"/>
    <x v="0"/>
  </r>
  <r>
    <x v="26"/>
    <x v="4"/>
    <x v="14"/>
    <n v="-4829985.3734999998"/>
    <x v="0"/>
  </r>
  <r>
    <x v="26"/>
    <x v="5"/>
    <x v="14"/>
    <n v="-4829985.3734999998"/>
    <x v="0"/>
  </r>
  <r>
    <x v="26"/>
    <x v="6"/>
    <x v="14"/>
    <n v="-4829985.3734999998"/>
    <x v="0"/>
  </r>
  <r>
    <x v="26"/>
    <x v="7"/>
    <x v="14"/>
    <n v="-4829985.3734999998"/>
    <x v="0"/>
  </r>
  <r>
    <x v="26"/>
    <x v="8"/>
    <x v="14"/>
    <n v="-4829985.3734999998"/>
    <x v="0"/>
  </r>
  <r>
    <x v="26"/>
    <x v="9"/>
    <x v="14"/>
    <n v="-4829985.3734999998"/>
    <x v="0"/>
  </r>
  <r>
    <x v="26"/>
    <x v="10"/>
    <x v="14"/>
    <n v="-4829985.3734999998"/>
    <x v="0"/>
  </r>
  <r>
    <x v="26"/>
    <x v="11"/>
    <x v="14"/>
    <n v="-4829985.3734999998"/>
    <x v="0"/>
  </r>
  <r>
    <x v="26"/>
    <x v="12"/>
    <x v="14"/>
    <n v="-4829985.3734999998"/>
    <x v="0"/>
  </r>
  <r>
    <x v="26"/>
    <x v="13"/>
    <x v="14"/>
    <n v="-4829985.3734999998"/>
    <x v="0"/>
  </r>
  <r>
    <x v="26"/>
    <x v="14"/>
    <x v="14"/>
    <n v="-4829985.3734999998"/>
    <x v="0"/>
  </r>
  <r>
    <x v="26"/>
    <x v="15"/>
    <x v="14"/>
    <n v="-4829985.3734999998"/>
    <x v="0"/>
  </r>
  <r>
    <x v="26"/>
    <x v="16"/>
    <x v="14"/>
    <n v="-4829985.3734999998"/>
    <x v="0"/>
  </r>
  <r>
    <x v="26"/>
    <x v="17"/>
    <x v="14"/>
    <n v="-4829985.3734999998"/>
    <x v="0"/>
  </r>
  <r>
    <x v="26"/>
    <x v="18"/>
    <x v="14"/>
    <n v="-4829985.3734999998"/>
    <x v="0"/>
  </r>
  <r>
    <x v="26"/>
    <x v="19"/>
    <x v="14"/>
    <n v="-4829985.3734999998"/>
    <x v="0"/>
  </r>
  <r>
    <x v="26"/>
    <x v="20"/>
    <x v="14"/>
    <n v="-4829985.3734999998"/>
    <x v="0"/>
  </r>
  <r>
    <x v="26"/>
    <x v="1"/>
    <x v="110"/>
    <n v="-4829985.3734999998"/>
    <x v="0"/>
  </r>
  <r>
    <x v="26"/>
    <x v="2"/>
    <x v="110"/>
    <n v="-4829985.3734999998"/>
    <x v="0"/>
  </r>
  <r>
    <x v="26"/>
    <x v="3"/>
    <x v="110"/>
    <n v="-4829985.3734999998"/>
    <x v="0"/>
  </r>
  <r>
    <x v="26"/>
    <x v="4"/>
    <x v="110"/>
    <n v="-4829985.3734999998"/>
    <x v="0"/>
  </r>
  <r>
    <x v="26"/>
    <x v="5"/>
    <x v="110"/>
    <n v="-4829985.3734999998"/>
    <x v="0"/>
  </r>
  <r>
    <x v="26"/>
    <x v="6"/>
    <x v="110"/>
    <n v="-4829985.3734999998"/>
    <x v="0"/>
  </r>
  <r>
    <x v="26"/>
    <x v="7"/>
    <x v="110"/>
    <n v="-4829985.3734999998"/>
    <x v="0"/>
  </r>
  <r>
    <x v="26"/>
    <x v="8"/>
    <x v="110"/>
    <n v="-4829985.3734999998"/>
    <x v="0"/>
  </r>
  <r>
    <x v="26"/>
    <x v="9"/>
    <x v="110"/>
    <n v="-4829985.3734999998"/>
    <x v="0"/>
  </r>
  <r>
    <x v="26"/>
    <x v="10"/>
    <x v="110"/>
    <n v="-4829985.3734999998"/>
    <x v="0"/>
  </r>
  <r>
    <x v="26"/>
    <x v="11"/>
    <x v="110"/>
    <n v="-4829985.3734999998"/>
    <x v="0"/>
  </r>
  <r>
    <x v="26"/>
    <x v="12"/>
    <x v="110"/>
    <n v="-4829985.3734999998"/>
    <x v="0"/>
  </r>
  <r>
    <x v="26"/>
    <x v="13"/>
    <x v="110"/>
    <n v="-4829985.3734999998"/>
    <x v="0"/>
  </r>
  <r>
    <x v="26"/>
    <x v="14"/>
    <x v="110"/>
    <n v="-4829985.3734999998"/>
    <x v="0"/>
  </r>
  <r>
    <x v="26"/>
    <x v="15"/>
    <x v="110"/>
    <n v="-4829985.3734999998"/>
    <x v="0"/>
  </r>
  <r>
    <x v="26"/>
    <x v="16"/>
    <x v="110"/>
    <n v="-4829985.3734999998"/>
    <x v="0"/>
  </r>
  <r>
    <x v="26"/>
    <x v="17"/>
    <x v="110"/>
    <n v="-4829985.3734999998"/>
    <x v="0"/>
  </r>
  <r>
    <x v="26"/>
    <x v="18"/>
    <x v="110"/>
    <n v="-4829985.3734999998"/>
    <x v="0"/>
  </r>
  <r>
    <x v="26"/>
    <x v="19"/>
    <x v="110"/>
    <n v="-4829985.3734999998"/>
    <x v="0"/>
  </r>
  <r>
    <x v="26"/>
    <x v="20"/>
    <x v="110"/>
    <n v="-4829985.3734999998"/>
    <x v="0"/>
  </r>
  <r>
    <x v="26"/>
    <x v="6"/>
    <x v="10"/>
    <n v="-3613544.2664999994"/>
    <x v="0"/>
  </r>
  <r>
    <x v="26"/>
    <x v="7"/>
    <x v="10"/>
    <n v="-3613544.2664999994"/>
    <x v="0"/>
  </r>
  <r>
    <x v="26"/>
    <x v="8"/>
    <x v="10"/>
    <n v="-3613544.2664999994"/>
    <x v="0"/>
  </r>
  <r>
    <x v="26"/>
    <x v="9"/>
    <x v="10"/>
    <n v="-3613544.2664999994"/>
    <x v="0"/>
  </r>
  <r>
    <x v="26"/>
    <x v="10"/>
    <x v="10"/>
    <n v="-3613544.2664999994"/>
    <x v="0"/>
  </r>
  <r>
    <x v="26"/>
    <x v="11"/>
    <x v="10"/>
    <n v="-3613544.2664999994"/>
    <x v="0"/>
  </r>
  <r>
    <x v="26"/>
    <x v="12"/>
    <x v="10"/>
    <n v="-3613544.2664999994"/>
    <x v="0"/>
  </r>
  <r>
    <x v="26"/>
    <x v="13"/>
    <x v="10"/>
    <n v="-3613544.2664999994"/>
    <x v="0"/>
  </r>
  <r>
    <x v="26"/>
    <x v="14"/>
    <x v="10"/>
    <n v="-3613544.2664999994"/>
    <x v="0"/>
  </r>
  <r>
    <x v="26"/>
    <x v="15"/>
    <x v="10"/>
    <n v="-3613544.2664999994"/>
    <x v="0"/>
  </r>
  <r>
    <x v="26"/>
    <x v="16"/>
    <x v="10"/>
    <n v="-3613544.2664999994"/>
    <x v="0"/>
  </r>
  <r>
    <x v="26"/>
    <x v="17"/>
    <x v="10"/>
    <n v="-3613544.2664999994"/>
    <x v="0"/>
  </r>
  <r>
    <x v="26"/>
    <x v="18"/>
    <x v="10"/>
    <n v="-3613544.2664999994"/>
    <x v="0"/>
  </r>
  <r>
    <x v="26"/>
    <x v="19"/>
    <x v="10"/>
    <n v="-3613544.2664999994"/>
    <x v="0"/>
  </r>
  <r>
    <x v="26"/>
    <x v="20"/>
    <x v="10"/>
    <n v="-3613544.2664999994"/>
    <x v="0"/>
  </r>
  <r>
    <x v="27"/>
    <x v="2"/>
    <x v="0"/>
    <n v="-3170664"/>
    <x v="0"/>
  </r>
  <r>
    <x v="27"/>
    <x v="3"/>
    <x v="0"/>
    <n v="-3170664"/>
    <x v="0"/>
  </r>
  <r>
    <x v="27"/>
    <x v="4"/>
    <x v="0"/>
    <n v="-3170664"/>
    <x v="0"/>
  </r>
  <r>
    <x v="27"/>
    <x v="5"/>
    <x v="0"/>
    <n v="-3170664"/>
    <x v="0"/>
  </r>
  <r>
    <x v="27"/>
    <x v="6"/>
    <x v="0"/>
    <n v="-3170664"/>
    <x v="0"/>
  </r>
  <r>
    <x v="27"/>
    <x v="7"/>
    <x v="0"/>
    <n v="-3170664"/>
    <x v="0"/>
  </r>
  <r>
    <x v="27"/>
    <x v="8"/>
    <x v="0"/>
    <n v="-3170664"/>
    <x v="0"/>
  </r>
  <r>
    <x v="27"/>
    <x v="9"/>
    <x v="0"/>
    <n v="-3170664"/>
    <x v="0"/>
  </r>
  <r>
    <x v="27"/>
    <x v="10"/>
    <x v="0"/>
    <n v="-3170664"/>
    <x v="0"/>
  </r>
  <r>
    <x v="27"/>
    <x v="11"/>
    <x v="0"/>
    <n v="-3170664"/>
    <x v="0"/>
  </r>
  <r>
    <x v="27"/>
    <x v="12"/>
    <x v="0"/>
    <n v="-3170664"/>
    <x v="0"/>
  </r>
  <r>
    <x v="27"/>
    <x v="13"/>
    <x v="0"/>
    <n v="-3170664"/>
    <x v="0"/>
  </r>
  <r>
    <x v="27"/>
    <x v="14"/>
    <x v="0"/>
    <n v="-3170664"/>
    <x v="0"/>
  </r>
  <r>
    <x v="27"/>
    <x v="15"/>
    <x v="0"/>
    <n v="-3170664"/>
    <x v="0"/>
  </r>
  <r>
    <x v="27"/>
    <x v="16"/>
    <x v="0"/>
    <n v="-3170664"/>
    <x v="0"/>
  </r>
  <r>
    <x v="27"/>
    <x v="2"/>
    <x v="1"/>
    <n v="-8741250"/>
    <x v="0"/>
  </r>
  <r>
    <x v="27"/>
    <x v="3"/>
    <x v="1"/>
    <n v="-8741250"/>
    <x v="0"/>
  </r>
  <r>
    <x v="27"/>
    <x v="4"/>
    <x v="1"/>
    <n v="-8741250"/>
    <x v="0"/>
  </r>
  <r>
    <x v="27"/>
    <x v="5"/>
    <x v="1"/>
    <n v="-8741250"/>
    <x v="0"/>
  </r>
  <r>
    <x v="27"/>
    <x v="6"/>
    <x v="1"/>
    <n v="-8741250"/>
    <x v="0"/>
  </r>
  <r>
    <x v="27"/>
    <x v="7"/>
    <x v="1"/>
    <n v="-8741250"/>
    <x v="0"/>
  </r>
  <r>
    <x v="27"/>
    <x v="8"/>
    <x v="1"/>
    <n v="-8741250"/>
    <x v="0"/>
  </r>
  <r>
    <x v="27"/>
    <x v="9"/>
    <x v="1"/>
    <n v="-8741250"/>
    <x v="0"/>
  </r>
  <r>
    <x v="27"/>
    <x v="10"/>
    <x v="1"/>
    <n v="-8741250"/>
    <x v="0"/>
  </r>
  <r>
    <x v="27"/>
    <x v="11"/>
    <x v="1"/>
    <n v="-8741250"/>
    <x v="0"/>
  </r>
  <r>
    <x v="27"/>
    <x v="12"/>
    <x v="1"/>
    <n v="-8741250"/>
    <x v="0"/>
  </r>
  <r>
    <x v="27"/>
    <x v="13"/>
    <x v="1"/>
    <n v="-8741250"/>
    <x v="0"/>
  </r>
  <r>
    <x v="27"/>
    <x v="2"/>
    <x v="15"/>
    <n v="-4725000"/>
    <x v="0"/>
  </r>
  <r>
    <x v="27"/>
    <x v="3"/>
    <x v="15"/>
    <n v="-4725000"/>
    <x v="0"/>
  </r>
  <r>
    <x v="27"/>
    <x v="4"/>
    <x v="15"/>
    <n v="-4725000"/>
    <x v="0"/>
  </r>
  <r>
    <x v="27"/>
    <x v="5"/>
    <x v="15"/>
    <n v="-4725000"/>
    <x v="0"/>
  </r>
  <r>
    <x v="27"/>
    <x v="6"/>
    <x v="15"/>
    <n v="-4725000"/>
    <x v="0"/>
  </r>
  <r>
    <x v="27"/>
    <x v="7"/>
    <x v="15"/>
    <n v="-4725000"/>
    <x v="0"/>
  </r>
  <r>
    <x v="27"/>
    <x v="8"/>
    <x v="15"/>
    <n v="-4725000"/>
    <x v="0"/>
  </r>
  <r>
    <x v="27"/>
    <x v="9"/>
    <x v="15"/>
    <n v="-4725000"/>
    <x v="0"/>
  </r>
  <r>
    <x v="27"/>
    <x v="10"/>
    <x v="15"/>
    <n v="-4725000"/>
    <x v="0"/>
  </r>
  <r>
    <x v="27"/>
    <x v="11"/>
    <x v="15"/>
    <n v="-4725000"/>
    <x v="0"/>
  </r>
  <r>
    <x v="27"/>
    <x v="12"/>
    <x v="15"/>
    <n v="-4725000"/>
    <x v="0"/>
  </r>
  <r>
    <x v="27"/>
    <x v="13"/>
    <x v="15"/>
    <n v="-4725000"/>
    <x v="0"/>
  </r>
  <r>
    <x v="27"/>
    <x v="2"/>
    <x v="14"/>
    <n v="-4006799.9999999995"/>
    <x v="0"/>
  </r>
  <r>
    <x v="27"/>
    <x v="3"/>
    <x v="14"/>
    <n v="-4006799.9999999995"/>
    <x v="0"/>
  </r>
  <r>
    <x v="27"/>
    <x v="4"/>
    <x v="14"/>
    <n v="-4006799.9999999995"/>
    <x v="0"/>
  </r>
  <r>
    <x v="27"/>
    <x v="5"/>
    <x v="14"/>
    <n v="-4006799.9999999995"/>
    <x v="0"/>
  </r>
  <r>
    <x v="27"/>
    <x v="6"/>
    <x v="14"/>
    <n v="-4006799.9999999995"/>
    <x v="0"/>
  </r>
  <r>
    <x v="27"/>
    <x v="7"/>
    <x v="14"/>
    <n v="-4006799.9999999995"/>
    <x v="0"/>
  </r>
  <r>
    <x v="27"/>
    <x v="8"/>
    <x v="14"/>
    <n v="-4006799.9999999995"/>
    <x v="0"/>
  </r>
  <r>
    <x v="27"/>
    <x v="9"/>
    <x v="14"/>
    <n v="-4006799.9999999995"/>
    <x v="0"/>
  </r>
  <r>
    <x v="27"/>
    <x v="10"/>
    <x v="14"/>
    <n v="-4006799.9999999995"/>
    <x v="0"/>
  </r>
  <r>
    <x v="27"/>
    <x v="11"/>
    <x v="14"/>
    <n v="-4006799.9999999995"/>
    <x v="0"/>
  </r>
  <r>
    <x v="27"/>
    <x v="12"/>
    <x v="14"/>
    <n v="-4006799.9999999995"/>
    <x v="0"/>
  </r>
  <r>
    <x v="27"/>
    <x v="2"/>
    <x v="58"/>
    <n v="-1850625"/>
    <x v="0"/>
  </r>
  <r>
    <x v="27"/>
    <x v="3"/>
    <x v="58"/>
    <n v="-1850625"/>
    <x v="0"/>
  </r>
  <r>
    <x v="27"/>
    <x v="4"/>
    <x v="58"/>
    <n v="-1850625"/>
    <x v="0"/>
  </r>
  <r>
    <x v="27"/>
    <x v="5"/>
    <x v="58"/>
    <n v="-1850625"/>
    <x v="0"/>
  </r>
  <r>
    <x v="27"/>
    <x v="2"/>
    <x v="119"/>
    <n v="-2583000"/>
    <x v="0"/>
  </r>
  <r>
    <x v="27"/>
    <x v="3"/>
    <x v="119"/>
    <n v="-2583000"/>
    <x v="0"/>
  </r>
  <r>
    <x v="27"/>
    <x v="4"/>
    <x v="119"/>
    <n v="-2583000"/>
    <x v="0"/>
  </r>
  <r>
    <x v="27"/>
    <x v="5"/>
    <x v="119"/>
    <n v="-2583000"/>
    <x v="0"/>
  </r>
  <r>
    <x v="28"/>
    <x v="1"/>
    <x v="1"/>
    <n v="-12134941.875"/>
    <x v="0"/>
  </r>
  <r>
    <x v="28"/>
    <x v="2"/>
    <x v="1"/>
    <n v="-12134941.875"/>
    <x v="0"/>
  </r>
  <r>
    <x v="28"/>
    <x v="3"/>
    <x v="1"/>
    <n v="-12134941.875"/>
    <x v="0"/>
  </r>
  <r>
    <x v="28"/>
    <x v="4"/>
    <x v="1"/>
    <n v="-12134941.875"/>
    <x v="0"/>
  </r>
  <r>
    <x v="28"/>
    <x v="5"/>
    <x v="1"/>
    <n v="-12134941.875"/>
    <x v="0"/>
  </r>
  <r>
    <x v="28"/>
    <x v="6"/>
    <x v="1"/>
    <n v="-12134941.875"/>
    <x v="0"/>
  </r>
  <r>
    <x v="28"/>
    <x v="7"/>
    <x v="1"/>
    <n v="-12134941.875"/>
    <x v="0"/>
  </r>
  <r>
    <x v="28"/>
    <x v="8"/>
    <x v="1"/>
    <n v="-12134941.875"/>
    <x v="0"/>
  </r>
  <r>
    <x v="28"/>
    <x v="9"/>
    <x v="1"/>
    <n v="-12134941.875"/>
    <x v="0"/>
  </r>
  <r>
    <x v="28"/>
    <x v="10"/>
    <x v="1"/>
    <n v="-12134941.875"/>
    <x v="0"/>
  </r>
  <r>
    <x v="28"/>
    <x v="11"/>
    <x v="1"/>
    <n v="-12134941.875"/>
    <x v="0"/>
  </r>
  <r>
    <x v="28"/>
    <x v="12"/>
    <x v="1"/>
    <n v="-12134941.875"/>
    <x v="0"/>
  </r>
  <r>
    <x v="28"/>
    <x v="13"/>
    <x v="1"/>
    <n v="-12134941.875"/>
    <x v="0"/>
  </r>
  <r>
    <x v="28"/>
    <x v="14"/>
    <x v="1"/>
    <n v="-12134941.875"/>
    <x v="0"/>
  </r>
  <r>
    <x v="28"/>
    <x v="15"/>
    <x v="1"/>
    <n v="-12134941.875"/>
    <x v="0"/>
  </r>
  <r>
    <x v="28"/>
    <x v="16"/>
    <x v="1"/>
    <n v="-12134941.875"/>
    <x v="0"/>
  </r>
  <r>
    <x v="28"/>
    <x v="17"/>
    <x v="1"/>
    <n v="-12134941.875"/>
    <x v="0"/>
  </r>
  <r>
    <x v="28"/>
    <x v="1"/>
    <x v="13"/>
    <n v="-7406867.4750000006"/>
    <x v="0"/>
  </r>
  <r>
    <x v="28"/>
    <x v="2"/>
    <x v="13"/>
    <n v="-7406867.4750000006"/>
    <x v="0"/>
  </r>
  <r>
    <x v="28"/>
    <x v="3"/>
    <x v="13"/>
    <n v="-7406867.4750000006"/>
    <x v="0"/>
  </r>
  <r>
    <x v="28"/>
    <x v="4"/>
    <x v="13"/>
    <n v="-7406867.4750000006"/>
    <x v="0"/>
  </r>
  <r>
    <x v="28"/>
    <x v="5"/>
    <x v="13"/>
    <n v="-7406867.4750000006"/>
    <x v="0"/>
  </r>
  <r>
    <x v="28"/>
    <x v="6"/>
    <x v="13"/>
    <n v="-7406867.4750000006"/>
    <x v="0"/>
  </r>
  <r>
    <x v="28"/>
    <x v="7"/>
    <x v="13"/>
    <n v="-7406867.4750000006"/>
    <x v="0"/>
  </r>
  <r>
    <x v="28"/>
    <x v="8"/>
    <x v="13"/>
    <n v="-7406867.4750000006"/>
    <x v="0"/>
  </r>
  <r>
    <x v="28"/>
    <x v="9"/>
    <x v="13"/>
    <n v="-7406867.4750000006"/>
    <x v="0"/>
  </r>
  <r>
    <x v="28"/>
    <x v="10"/>
    <x v="13"/>
    <n v="-7406867.4750000006"/>
    <x v="0"/>
  </r>
  <r>
    <x v="28"/>
    <x v="11"/>
    <x v="13"/>
    <n v="-7406867.4750000006"/>
    <x v="0"/>
  </r>
  <r>
    <x v="28"/>
    <x v="12"/>
    <x v="13"/>
    <n v="-7406867.4750000006"/>
    <x v="0"/>
  </r>
  <r>
    <x v="28"/>
    <x v="13"/>
    <x v="13"/>
    <n v="-7406867.4750000006"/>
    <x v="0"/>
  </r>
  <r>
    <x v="28"/>
    <x v="14"/>
    <x v="13"/>
    <n v="-7406867.4750000006"/>
    <x v="0"/>
  </r>
  <r>
    <x v="28"/>
    <x v="15"/>
    <x v="13"/>
    <n v="-7406867.4750000006"/>
    <x v="0"/>
  </r>
  <r>
    <x v="28"/>
    <x v="16"/>
    <x v="13"/>
    <n v="-7406867.4750000006"/>
    <x v="0"/>
  </r>
  <r>
    <x v="28"/>
    <x v="17"/>
    <x v="13"/>
    <n v="-7406867.4750000006"/>
    <x v="0"/>
  </r>
  <r>
    <x v="28"/>
    <x v="18"/>
    <x v="13"/>
    <n v="-7406867.4750000006"/>
    <x v="0"/>
  </r>
  <r>
    <x v="28"/>
    <x v="19"/>
    <x v="13"/>
    <n v="-7406867.4750000006"/>
    <x v="0"/>
  </r>
  <r>
    <x v="28"/>
    <x v="20"/>
    <x v="13"/>
    <n v="-7406867.4750000006"/>
    <x v="0"/>
  </r>
  <r>
    <x v="28"/>
    <x v="21"/>
    <x v="13"/>
    <n v="-7406867.4750000006"/>
    <x v="0"/>
  </r>
  <r>
    <x v="28"/>
    <x v="22"/>
    <x v="13"/>
    <n v="-7406867.4750000006"/>
    <x v="0"/>
  </r>
  <r>
    <x v="28"/>
    <x v="23"/>
    <x v="13"/>
    <n v="-7406867.4750000006"/>
    <x v="0"/>
  </r>
  <r>
    <x v="28"/>
    <x v="1"/>
    <x v="63"/>
    <n v="-7540019.5500000007"/>
    <x v="0"/>
  </r>
  <r>
    <x v="28"/>
    <x v="2"/>
    <x v="63"/>
    <n v="-7540019.5500000007"/>
    <x v="0"/>
  </r>
  <r>
    <x v="28"/>
    <x v="3"/>
    <x v="63"/>
    <n v="-7540019.5500000007"/>
    <x v="0"/>
  </r>
  <r>
    <x v="28"/>
    <x v="4"/>
    <x v="63"/>
    <n v="-7540019.5500000007"/>
    <x v="0"/>
  </r>
  <r>
    <x v="28"/>
    <x v="5"/>
    <x v="63"/>
    <n v="-7540019.5500000007"/>
    <x v="0"/>
  </r>
  <r>
    <x v="28"/>
    <x v="6"/>
    <x v="63"/>
    <n v="-7540019.5500000007"/>
    <x v="0"/>
  </r>
  <r>
    <x v="28"/>
    <x v="7"/>
    <x v="63"/>
    <n v="-7540019.5500000007"/>
    <x v="0"/>
  </r>
  <r>
    <x v="28"/>
    <x v="8"/>
    <x v="63"/>
    <n v="-7540019.5500000007"/>
    <x v="0"/>
  </r>
  <r>
    <x v="28"/>
    <x v="9"/>
    <x v="63"/>
    <n v="-7540019.5500000007"/>
    <x v="0"/>
  </r>
  <r>
    <x v="28"/>
    <x v="10"/>
    <x v="63"/>
    <n v="-7540019.5500000007"/>
    <x v="0"/>
  </r>
  <r>
    <x v="28"/>
    <x v="11"/>
    <x v="63"/>
    <n v="-7540019.5500000007"/>
    <x v="0"/>
  </r>
  <r>
    <x v="28"/>
    <x v="12"/>
    <x v="63"/>
    <n v="-7540019.5500000007"/>
    <x v="0"/>
  </r>
  <r>
    <x v="28"/>
    <x v="13"/>
    <x v="63"/>
    <n v="-7540019.5500000007"/>
    <x v="0"/>
  </r>
  <r>
    <x v="28"/>
    <x v="14"/>
    <x v="63"/>
    <n v="-7540019.5500000007"/>
    <x v="0"/>
  </r>
  <r>
    <x v="28"/>
    <x v="1"/>
    <x v="15"/>
    <n v="-5488569.4500000002"/>
    <x v="0"/>
  </r>
  <r>
    <x v="28"/>
    <x v="2"/>
    <x v="15"/>
    <n v="-5488569.4500000002"/>
    <x v="0"/>
  </r>
  <r>
    <x v="28"/>
    <x v="3"/>
    <x v="15"/>
    <n v="-5488569.4500000002"/>
    <x v="0"/>
  </r>
  <r>
    <x v="28"/>
    <x v="4"/>
    <x v="15"/>
    <n v="-5488569.4500000002"/>
    <x v="0"/>
  </r>
  <r>
    <x v="28"/>
    <x v="5"/>
    <x v="15"/>
    <n v="-5488569.4500000002"/>
    <x v="0"/>
  </r>
  <r>
    <x v="28"/>
    <x v="6"/>
    <x v="15"/>
    <n v="-5488569.4500000002"/>
    <x v="0"/>
  </r>
  <r>
    <x v="28"/>
    <x v="7"/>
    <x v="15"/>
    <n v="-5488569.4500000002"/>
    <x v="0"/>
  </r>
  <r>
    <x v="28"/>
    <x v="8"/>
    <x v="15"/>
    <n v="-5488569.4500000002"/>
    <x v="0"/>
  </r>
  <r>
    <x v="28"/>
    <x v="9"/>
    <x v="15"/>
    <n v="-5488569.4500000002"/>
    <x v="0"/>
  </r>
  <r>
    <x v="28"/>
    <x v="10"/>
    <x v="15"/>
    <n v="-5488569.4500000002"/>
    <x v="0"/>
  </r>
  <r>
    <x v="28"/>
    <x v="11"/>
    <x v="15"/>
    <n v="-5488569.4500000002"/>
    <x v="0"/>
  </r>
  <r>
    <x v="28"/>
    <x v="12"/>
    <x v="15"/>
    <n v="-5488569.4500000002"/>
    <x v="0"/>
  </r>
  <r>
    <x v="28"/>
    <x v="13"/>
    <x v="15"/>
    <n v="-5488569.4500000002"/>
    <x v="0"/>
  </r>
  <r>
    <x v="28"/>
    <x v="14"/>
    <x v="15"/>
    <n v="-5488569.4500000002"/>
    <x v="0"/>
  </r>
  <r>
    <x v="28"/>
    <x v="15"/>
    <x v="15"/>
    <n v="-5488569.4500000002"/>
    <x v="0"/>
  </r>
  <r>
    <x v="28"/>
    <x v="16"/>
    <x v="15"/>
    <n v="-5488569.4500000002"/>
    <x v="0"/>
  </r>
  <r>
    <x v="28"/>
    <x v="17"/>
    <x v="15"/>
    <n v="-5488569.4500000002"/>
    <x v="0"/>
  </r>
  <r>
    <x v="28"/>
    <x v="1"/>
    <x v="70"/>
    <n v="-4923668.9249999998"/>
    <x v="0"/>
  </r>
  <r>
    <x v="28"/>
    <x v="2"/>
    <x v="70"/>
    <n v="-4923668.9249999998"/>
    <x v="0"/>
  </r>
  <r>
    <x v="28"/>
    <x v="3"/>
    <x v="70"/>
    <n v="-4923668.9249999998"/>
    <x v="0"/>
  </r>
  <r>
    <x v="28"/>
    <x v="4"/>
    <x v="70"/>
    <n v="-4923668.9249999998"/>
    <x v="0"/>
  </r>
  <r>
    <x v="28"/>
    <x v="5"/>
    <x v="70"/>
    <n v="-4923668.9249999998"/>
    <x v="0"/>
  </r>
  <r>
    <x v="28"/>
    <x v="6"/>
    <x v="70"/>
    <n v="-4923668.9249999998"/>
    <x v="0"/>
  </r>
  <r>
    <x v="28"/>
    <x v="7"/>
    <x v="70"/>
    <n v="-4923668.9249999998"/>
    <x v="0"/>
  </r>
  <r>
    <x v="28"/>
    <x v="8"/>
    <x v="70"/>
    <n v="-4923668.9249999998"/>
    <x v="0"/>
  </r>
  <r>
    <x v="28"/>
    <x v="9"/>
    <x v="70"/>
    <n v="-4923668.9249999998"/>
    <x v="0"/>
  </r>
  <r>
    <x v="28"/>
    <x v="10"/>
    <x v="70"/>
    <n v="-4923668.9249999998"/>
    <x v="0"/>
  </r>
  <r>
    <x v="28"/>
    <x v="11"/>
    <x v="70"/>
    <n v="-4923668.9249999998"/>
    <x v="0"/>
  </r>
  <r>
    <x v="28"/>
    <x v="12"/>
    <x v="70"/>
    <n v="-4923668.9249999998"/>
    <x v="0"/>
  </r>
  <r>
    <x v="28"/>
    <x v="13"/>
    <x v="70"/>
    <n v="-4923668.9249999998"/>
    <x v="0"/>
  </r>
  <r>
    <x v="28"/>
    <x v="14"/>
    <x v="70"/>
    <n v="-4923668.9249999998"/>
    <x v="0"/>
  </r>
  <r>
    <x v="28"/>
    <x v="15"/>
    <x v="70"/>
    <n v="-4923668.9249999998"/>
    <x v="0"/>
  </r>
  <r>
    <x v="28"/>
    <x v="16"/>
    <x v="70"/>
    <n v="-4923668.9249999998"/>
    <x v="0"/>
  </r>
  <r>
    <x v="28"/>
    <x v="17"/>
    <x v="70"/>
    <n v="-4923668.9249999998"/>
    <x v="0"/>
  </r>
  <r>
    <x v="28"/>
    <x v="18"/>
    <x v="70"/>
    <n v="-4923668.9249999998"/>
    <x v="0"/>
  </r>
  <r>
    <x v="28"/>
    <x v="1"/>
    <x v="30"/>
    <n v="-3222031.0500000003"/>
    <x v="0"/>
  </r>
  <r>
    <x v="28"/>
    <x v="2"/>
    <x v="30"/>
    <n v="-3222031.0500000003"/>
    <x v="0"/>
  </r>
  <r>
    <x v="28"/>
    <x v="3"/>
    <x v="30"/>
    <n v="-3222031.0500000003"/>
    <x v="0"/>
  </r>
  <r>
    <x v="28"/>
    <x v="4"/>
    <x v="30"/>
    <n v="-3222031.0500000003"/>
    <x v="0"/>
  </r>
  <r>
    <x v="28"/>
    <x v="5"/>
    <x v="30"/>
    <n v="-3222031.0500000003"/>
    <x v="0"/>
  </r>
  <r>
    <x v="28"/>
    <x v="6"/>
    <x v="30"/>
    <n v="-3222031.0500000003"/>
    <x v="0"/>
  </r>
  <r>
    <x v="28"/>
    <x v="7"/>
    <x v="30"/>
    <n v="-3222031.0500000003"/>
    <x v="0"/>
  </r>
  <r>
    <x v="28"/>
    <x v="8"/>
    <x v="30"/>
    <n v="-3222031.0500000003"/>
    <x v="0"/>
  </r>
  <r>
    <x v="28"/>
    <x v="9"/>
    <x v="30"/>
    <n v="-3222031.0500000003"/>
    <x v="0"/>
  </r>
  <r>
    <x v="28"/>
    <x v="10"/>
    <x v="30"/>
    <n v="-3222031.0500000003"/>
    <x v="0"/>
  </r>
  <r>
    <x v="28"/>
    <x v="11"/>
    <x v="30"/>
    <n v="-3222031.0500000003"/>
    <x v="0"/>
  </r>
  <r>
    <x v="28"/>
    <x v="12"/>
    <x v="30"/>
    <n v="-3222031.0500000003"/>
    <x v="0"/>
  </r>
  <r>
    <x v="28"/>
    <x v="13"/>
    <x v="30"/>
    <n v="-3222031.0500000003"/>
    <x v="0"/>
  </r>
  <r>
    <x v="28"/>
    <x v="14"/>
    <x v="30"/>
    <n v="-3222031.0500000003"/>
    <x v="0"/>
  </r>
  <r>
    <x v="28"/>
    <x v="15"/>
    <x v="30"/>
    <n v="-3222031.0500000003"/>
    <x v="0"/>
  </r>
  <r>
    <x v="28"/>
    <x v="16"/>
    <x v="30"/>
    <n v="-3222031.0500000003"/>
    <x v="0"/>
  </r>
  <r>
    <x v="28"/>
    <x v="17"/>
    <x v="30"/>
    <n v="-3222031.0500000003"/>
    <x v="0"/>
  </r>
  <r>
    <x v="28"/>
    <x v="18"/>
    <x v="30"/>
    <n v="-3222031.0500000003"/>
    <x v="0"/>
  </r>
  <r>
    <x v="28"/>
    <x v="19"/>
    <x v="30"/>
    <n v="-3222031.0500000003"/>
    <x v="0"/>
  </r>
  <r>
    <x v="28"/>
    <x v="20"/>
    <x v="30"/>
    <n v="-3222031.0500000003"/>
    <x v="0"/>
  </r>
  <r>
    <x v="28"/>
    <x v="21"/>
    <x v="30"/>
    <n v="-3222031.0500000003"/>
    <x v="0"/>
  </r>
  <r>
    <x v="28"/>
    <x v="22"/>
    <x v="30"/>
    <n v="-3222031.0500000003"/>
    <x v="0"/>
  </r>
  <r>
    <x v="28"/>
    <x v="23"/>
    <x v="30"/>
    <n v="-3222031.0500000003"/>
    <x v="0"/>
  </r>
  <r>
    <x v="28"/>
    <x v="1"/>
    <x v="67"/>
    <n v="-3868248.1949999994"/>
    <x v="0"/>
  </r>
  <r>
    <x v="28"/>
    <x v="2"/>
    <x v="67"/>
    <n v="-3868248.1949999994"/>
    <x v="0"/>
  </r>
  <r>
    <x v="28"/>
    <x v="3"/>
    <x v="67"/>
    <n v="-3868248.1949999994"/>
    <x v="0"/>
  </r>
  <r>
    <x v="28"/>
    <x v="4"/>
    <x v="67"/>
    <n v="-3868248.1949999994"/>
    <x v="0"/>
  </r>
  <r>
    <x v="28"/>
    <x v="5"/>
    <x v="67"/>
    <n v="-3868248.1949999994"/>
    <x v="0"/>
  </r>
  <r>
    <x v="28"/>
    <x v="6"/>
    <x v="67"/>
    <n v="-3868248.1949999994"/>
    <x v="0"/>
  </r>
  <r>
    <x v="28"/>
    <x v="7"/>
    <x v="67"/>
    <n v="-3868248.1949999994"/>
    <x v="0"/>
  </r>
  <r>
    <x v="28"/>
    <x v="8"/>
    <x v="67"/>
    <n v="-3868248.1949999994"/>
    <x v="0"/>
  </r>
  <r>
    <x v="28"/>
    <x v="9"/>
    <x v="67"/>
    <n v="-3868248.1949999994"/>
    <x v="0"/>
  </r>
  <r>
    <x v="28"/>
    <x v="10"/>
    <x v="67"/>
    <n v="-3868248.1949999994"/>
    <x v="0"/>
  </r>
  <r>
    <x v="28"/>
    <x v="11"/>
    <x v="67"/>
    <n v="-3868248.1949999994"/>
    <x v="0"/>
  </r>
  <r>
    <x v="28"/>
    <x v="12"/>
    <x v="67"/>
    <n v="-3868248.1949999994"/>
    <x v="0"/>
  </r>
  <r>
    <x v="28"/>
    <x v="13"/>
    <x v="67"/>
    <n v="-3868248.1949999994"/>
    <x v="0"/>
  </r>
  <r>
    <x v="28"/>
    <x v="14"/>
    <x v="67"/>
    <n v="-3868248.1949999994"/>
    <x v="0"/>
  </r>
  <r>
    <x v="28"/>
    <x v="15"/>
    <x v="67"/>
    <n v="-3868248.1949999994"/>
    <x v="0"/>
  </r>
  <r>
    <x v="28"/>
    <x v="16"/>
    <x v="67"/>
    <n v="-3868248.1949999994"/>
    <x v="0"/>
  </r>
  <r>
    <x v="28"/>
    <x v="17"/>
    <x v="67"/>
    <n v="-3868248.1949999994"/>
    <x v="0"/>
  </r>
  <r>
    <x v="28"/>
    <x v="18"/>
    <x v="67"/>
    <n v="-3868248.1949999994"/>
    <x v="0"/>
  </r>
  <r>
    <x v="28"/>
    <x v="19"/>
    <x v="67"/>
    <n v="-3868248.1949999994"/>
    <x v="0"/>
  </r>
  <r>
    <x v="28"/>
    <x v="20"/>
    <x v="67"/>
    <n v="-3868248.1949999994"/>
    <x v="0"/>
  </r>
  <r>
    <x v="28"/>
    <x v="1"/>
    <x v="21"/>
    <n v="-4001167.1069999998"/>
    <x v="0"/>
  </r>
  <r>
    <x v="28"/>
    <x v="2"/>
    <x v="21"/>
    <n v="-4001167.1069999998"/>
    <x v="0"/>
  </r>
  <r>
    <x v="28"/>
    <x v="3"/>
    <x v="21"/>
    <n v="-4001167.1069999998"/>
    <x v="0"/>
  </r>
  <r>
    <x v="28"/>
    <x v="4"/>
    <x v="21"/>
    <n v="-4001167.1069999998"/>
    <x v="0"/>
  </r>
  <r>
    <x v="28"/>
    <x v="5"/>
    <x v="21"/>
    <n v="-4001167.1069999998"/>
    <x v="0"/>
  </r>
  <r>
    <x v="28"/>
    <x v="6"/>
    <x v="21"/>
    <n v="-4001167.1069999998"/>
    <x v="0"/>
  </r>
  <r>
    <x v="28"/>
    <x v="7"/>
    <x v="21"/>
    <n v="-4001167.1069999998"/>
    <x v="0"/>
  </r>
  <r>
    <x v="28"/>
    <x v="8"/>
    <x v="21"/>
    <n v="-4001167.1069999998"/>
    <x v="0"/>
  </r>
  <r>
    <x v="28"/>
    <x v="9"/>
    <x v="21"/>
    <n v="-4001167.1069999998"/>
    <x v="0"/>
  </r>
  <r>
    <x v="28"/>
    <x v="10"/>
    <x v="21"/>
    <n v="-4001167.1069999998"/>
    <x v="0"/>
  </r>
  <r>
    <x v="29"/>
    <x v="0"/>
    <x v="0"/>
    <n v="-3230392.9140000003"/>
    <x v="0"/>
  </r>
  <r>
    <x v="29"/>
    <x v="0"/>
    <x v="13"/>
    <n v="-6132105"/>
    <x v="0"/>
  </r>
  <r>
    <x v="29"/>
    <x v="0"/>
    <x v="30"/>
    <n v="-2367673.875"/>
    <x v="0"/>
  </r>
  <r>
    <x v="13"/>
    <x v="0"/>
    <x v="1"/>
    <n v="-19561500"/>
    <x v="0"/>
  </r>
  <r>
    <x v="13"/>
    <x v="1"/>
    <x v="1"/>
    <n v="-19561500"/>
    <x v="0"/>
  </r>
  <r>
    <x v="13"/>
    <x v="2"/>
    <x v="1"/>
    <n v="-19561500"/>
    <x v="0"/>
  </r>
  <r>
    <x v="13"/>
    <x v="3"/>
    <x v="1"/>
    <n v="-19561500"/>
    <x v="0"/>
  </r>
  <r>
    <x v="13"/>
    <x v="0"/>
    <x v="120"/>
    <n v="-1449000"/>
    <x v="0"/>
  </r>
  <r>
    <x v="13"/>
    <x v="0"/>
    <x v="121"/>
    <n v="-8437922.3250000011"/>
    <x v="0"/>
  </r>
  <r>
    <x v="13"/>
    <x v="1"/>
    <x v="121"/>
    <n v="-8437922.3250000011"/>
    <x v="0"/>
  </r>
  <r>
    <x v="13"/>
    <x v="0"/>
    <x v="28"/>
    <n v="-6177149.9999999991"/>
    <x v="0"/>
  </r>
  <r>
    <x v="13"/>
    <x v="1"/>
    <x v="28"/>
    <n v="-6177149.9999999991"/>
    <x v="0"/>
  </r>
  <r>
    <x v="30"/>
    <x v="0"/>
    <x v="0"/>
    <n v="-1956490.2000000004"/>
    <x v="0"/>
  </r>
  <r>
    <x v="30"/>
    <x v="1"/>
    <x v="0"/>
    <n v="-1956490.2000000004"/>
    <x v="0"/>
  </r>
  <r>
    <x v="30"/>
    <x v="2"/>
    <x v="0"/>
    <n v="-1956490.2000000004"/>
    <x v="0"/>
  </r>
  <r>
    <x v="30"/>
    <x v="3"/>
    <x v="0"/>
    <n v="-1956490.2000000004"/>
    <x v="0"/>
  </r>
  <r>
    <x v="30"/>
    <x v="4"/>
    <x v="0"/>
    <n v="-1956490.2000000004"/>
    <x v="0"/>
  </r>
  <r>
    <x v="30"/>
    <x v="5"/>
    <x v="0"/>
    <n v="-1956490.2000000004"/>
    <x v="0"/>
  </r>
  <r>
    <x v="30"/>
    <x v="6"/>
    <x v="0"/>
    <n v="-1956490.2000000004"/>
    <x v="0"/>
  </r>
  <r>
    <x v="30"/>
    <x v="7"/>
    <x v="0"/>
    <n v="-1956490.2000000004"/>
    <x v="0"/>
  </r>
  <r>
    <x v="30"/>
    <x v="8"/>
    <x v="0"/>
    <n v="-1956490.2000000004"/>
    <x v="0"/>
  </r>
  <r>
    <x v="30"/>
    <x v="9"/>
    <x v="0"/>
    <n v="-1956490.2000000004"/>
    <x v="0"/>
  </r>
  <r>
    <x v="30"/>
    <x v="10"/>
    <x v="0"/>
    <n v="-1956490.2000000004"/>
    <x v="0"/>
  </r>
  <r>
    <x v="30"/>
    <x v="11"/>
    <x v="0"/>
    <n v="-1956490.2000000004"/>
    <x v="0"/>
  </r>
  <r>
    <x v="30"/>
    <x v="12"/>
    <x v="0"/>
    <n v="-1956490.2000000004"/>
    <x v="0"/>
  </r>
  <r>
    <x v="30"/>
    <x v="13"/>
    <x v="0"/>
    <n v="-1956490.2000000004"/>
    <x v="0"/>
  </r>
  <r>
    <x v="30"/>
    <x v="14"/>
    <x v="0"/>
    <n v="-1956490.2000000004"/>
    <x v="0"/>
  </r>
  <r>
    <x v="30"/>
    <x v="0"/>
    <x v="1"/>
    <n v="-8716050"/>
    <x v="0"/>
  </r>
  <r>
    <x v="30"/>
    <x v="1"/>
    <x v="1"/>
    <n v="-8716050"/>
    <x v="0"/>
  </r>
  <r>
    <x v="30"/>
    <x v="2"/>
    <x v="1"/>
    <n v="-8716050"/>
    <x v="0"/>
  </r>
  <r>
    <x v="30"/>
    <x v="3"/>
    <x v="1"/>
    <n v="-8716050"/>
    <x v="0"/>
  </r>
  <r>
    <x v="30"/>
    <x v="4"/>
    <x v="1"/>
    <n v="-8716050"/>
    <x v="0"/>
  </r>
  <r>
    <x v="30"/>
    <x v="5"/>
    <x v="1"/>
    <n v="-8716050"/>
    <x v="0"/>
  </r>
  <r>
    <x v="30"/>
    <x v="6"/>
    <x v="1"/>
    <n v="-8716050"/>
    <x v="0"/>
  </r>
  <r>
    <x v="30"/>
    <x v="7"/>
    <x v="1"/>
    <n v="-8716050"/>
    <x v="0"/>
  </r>
  <r>
    <x v="30"/>
    <x v="8"/>
    <x v="1"/>
    <n v="-8716050"/>
    <x v="0"/>
  </r>
  <r>
    <x v="30"/>
    <x v="9"/>
    <x v="1"/>
    <n v="-8716050"/>
    <x v="0"/>
  </r>
  <r>
    <x v="30"/>
    <x v="10"/>
    <x v="1"/>
    <n v="-8716050"/>
    <x v="0"/>
  </r>
  <r>
    <x v="30"/>
    <x v="11"/>
    <x v="1"/>
    <n v="-8716050"/>
    <x v="0"/>
  </r>
  <r>
    <x v="30"/>
    <x v="12"/>
    <x v="1"/>
    <n v="-8716050"/>
    <x v="0"/>
  </r>
  <r>
    <x v="30"/>
    <x v="13"/>
    <x v="1"/>
    <n v="-8716050"/>
    <x v="0"/>
  </r>
  <r>
    <x v="30"/>
    <x v="14"/>
    <x v="1"/>
    <n v="-8716050"/>
    <x v="0"/>
  </r>
  <r>
    <x v="30"/>
    <x v="0"/>
    <x v="122"/>
    <n v="-6150375"/>
    <x v="0"/>
  </r>
  <r>
    <x v="30"/>
    <x v="1"/>
    <x v="122"/>
    <n v="-6150375"/>
    <x v="0"/>
  </r>
  <r>
    <x v="30"/>
    <x v="2"/>
    <x v="122"/>
    <n v="-6150375"/>
    <x v="0"/>
  </r>
  <r>
    <x v="30"/>
    <x v="3"/>
    <x v="122"/>
    <n v="-6150375"/>
    <x v="0"/>
  </r>
  <r>
    <x v="30"/>
    <x v="4"/>
    <x v="122"/>
    <n v="-6150375"/>
    <x v="0"/>
  </r>
  <r>
    <x v="30"/>
    <x v="5"/>
    <x v="122"/>
    <n v="-6150375"/>
    <x v="0"/>
  </r>
  <r>
    <x v="30"/>
    <x v="6"/>
    <x v="122"/>
    <n v="-6150375"/>
    <x v="0"/>
  </r>
  <r>
    <x v="30"/>
    <x v="7"/>
    <x v="122"/>
    <n v="-6150375"/>
    <x v="0"/>
  </r>
  <r>
    <x v="30"/>
    <x v="8"/>
    <x v="122"/>
    <n v="-6150375"/>
    <x v="0"/>
  </r>
  <r>
    <x v="30"/>
    <x v="9"/>
    <x v="122"/>
    <n v="-6150375"/>
    <x v="0"/>
  </r>
  <r>
    <x v="30"/>
    <x v="10"/>
    <x v="122"/>
    <n v="-6150375"/>
    <x v="0"/>
  </r>
  <r>
    <x v="30"/>
    <x v="11"/>
    <x v="122"/>
    <n v="-6150375"/>
    <x v="0"/>
  </r>
  <r>
    <x v="30"/>
    <x v="12"/>
    <x v="122"/>
    <n v="-6150375"/>
    <x v="0"/>
  </r>
  <r>
    <x v="30"/>
    <x v="13"/>
    <x v="122"/>
    <n v="-6150375"/>
    <x v="0"/>
  </r>
  <r>
    <x v="30"/>
    <x v="14"/>
    <x v="122"/>
    <n v="-6150375"/>
    <x v="0"/>
  </r>
  <r>
    <x v="30"/>
    <x v="0"/>
    <x v="123"/>
    <n v="-3369208.5"/>
    <x v="0"/>
  </r>
  <r>
    <x v="30"/>
    <x v="1"/>
    <x v="123"/>
    <n v="-3369208.5"/>
    <x v="0"/>
  </r>
  <r>
    <x v="30"/>
    <x v="2"/>
    <x v="123"/>
    <n v="-3369208.5"/>
    <x v="0"/>
  </r>
  <r>
    <x v="30"/>
    <x v="3"/>
    <x v="123"/>
    <n v="-3369208.5"/>
    <x v="0"/>
  </r>
  <r>
    <x v="30"/>
    <x v="4"/>
    <x v="123"/>
    <n v="-3369208.5"/>
    <x v="0"/>
  </r>
  <r>
    <x v="30"/>
    <x v="5"/>
    <x v="123"/>
    <n v="-3369208.5"/>
    <x v="0"/>
  </r>
  <r>
    <x v="30"/>
    <x v="6"/>
    <x v="123"/>
    <n v="-3369208.5"/>
    <x v="0"/>
  </r>
  <r>
    <x v="30"/>
    <x v="7"/>
    <x v="123"/>
    <n v="-3369208.5"/>
    <x v="0"/>
  </r>
  <r>
    <x v="30"/>
    <x v="8"/>
    <x v="123"/>
    <n v="-3369208.5"/>
    <x v="0"/>
  </r>
  <r>
    <x v="30"/>
    <x v="9"/>
    <x v="123"/>
    <n v="-3369208.5"/>
    <x v="0"/>
  </r>
  <r>
    <x v="30"/>
    <x v="10"/>
    <x v="123"/>
    <n v="-3369208.5"/>
    <x v="0"/>
  </r>
  <r>
    <x v="30"/>
    <x v="11"/>
    <x v="123"/>
    <n v="-3369208.5"/>
    <x v="0"/>
  </r>
  <r>
    <x v="30"/>
    <x v="12"/>
    <x v="123"/>
    <n v="-3369208.5"/>
    <x v="0"/>
  </r>
  <r>
    <x v="30"/>
    <x v="13"/>
    <x v="123"/>
    <n v="-3369208.5"/>
    <x v="0"/>
  </r>
  <r>
    <x v="30"/>
    <x v="14"/>
    <x v="123"/>
    <n v="-3369208.5"/>
    <x v="0"/>
  </r>
  <r>
    <x v="30"/>
    <x v="0"/>
    <x v="14"/>
    <n v="-3571361.01"/>
    <x v="0"/>
  </r>
  <r>
    <x v="30"/>
    <x v="1"/>
    <x v="14"/>
    <n v="-3571361.01"/>
    <x v="0"/>
  </r>
  <r>
    <x v="30"/>
    <x v="2"/>
    <x v="14"/>
    <n v="-3571361.01"/>
    <x v="0"/>
  </r>
  <r>
    <x v="30"/>
    <x v="3"/>
    <x v="14"/>
    <n v="-3571361.01"/>
    <x v="0"/>
  </r>
  <r>
    <x v="30"/>
    <x v="4"/>
    <x v="14"/>
    <n v="-3571361.01"/>
    <x v="0"/>
  </r>
  <r>
    <x v="30"/>
    <x v="5"/>
    <x v="14"/>
    <n v="-3571361.01"/>
    <x v="0"/>
  </r>
  <r>
    <x v="30"/>
    <x v="6"/>
    <x v="14"/>
    <n v="-3571361.01"/>
    <x v="0"/>
  </r>
  <r>
    <x v="30"/>
    <x v="7"/>
    <x v="14"/>
    <n v="-3571361.01"/>
    <x v="0"/>
  </r>
  <r>
    <x v="30"/>
    <x v="8"/>
    <x v="14"/>
    <n v="-3571361.01"/>
    <x v="0"/>
  </r>
  <r>
    <x v="30"/>
    <x v="9"/>
    <x v="14"/>
    <n v="-3571361.01"/>
    <x v="0"/>
  </r>
  <r>
    <x v="30"/>
    <x v="10"/>
    <x v="14"/>
    <n v="-3571361.01"/>
    <x v="0"/>
  </r>
  <r>
    <x v="30"/>
    <x v="11"/>
    <x v="14"/>
    <n v="-3571361.01"/>
    <x v="0"/>
  </r>
  <r>
    <x v="30"/>
    <x v="12"/>
    <x v="14"/>
    <n v="-3571361.01"/>
    <x v="0"/>
  </r>
  <r>
    <x v="30"/>
    <x v="13"/>
    <x v="14"/>
    <n v="-3571361.01"/>
    <x v="0"/>
  </r>
  <r>
    <x v="30"/>
    <x v="14"/>
    <x v="14"/>
    <n v="-3571361.01"/>
    <x v="0"/>
  </r>
  <r>
    <x v="31"/>
    <x v="0"/>
    <x v="0"/>
    <n v="-3868074.0000000005"/>
    <x v="0"/>
  </r>
  <r>
    <x v="31"/>
    <x v="1"/>
    <x v="0"/>
    <n v="-3868074.0000000005"/>
    <x v="0"/>
  </r>
  <r>
    <x v="31"/>
    <x v="2"/>
    <x v="0"/>
    <n v="-3868074.0000000005"/>
    <x v="0"/>
  </r>
  <r>
    <x v="31"/>
    <x v="3"/>
    <x v="0"/>
    <n v="-3868074.0000000005"/>
    <x v="0"/>
  </r>
  <r>
    <x v="31"/>
    <x v="4"/>
    <x v="0"/>
    <n v="-3868074.0000000005"/>
    <x v="0"/>
  </r>
  <r>
    <x v="31"/>
    <x v="5"/>
    <x v="0"/>
    <n v="-3868074.0000000005"/>
    <x v="0"/>
  </r>
  <r>
    <x v="31"/>
    <x v="6"/>
    <x v="0"/>
    <n v="-3868074.0000000005"/>
    <x v="0"/>
  </r>
  <r>
    <x v="31"/>
    <x v="7"/>
    <x v="0"/>
    <n v="-3868074.0000000005"/>
    <x v="0"/>
  </r>
  <r>
    <x v="31"/>
    <x v="8"/>
    <x v="0"/>
    <n v="-3868074.0000000005"/>
    <x v="0"/>
  </r>
  <r>
    <x v="31"/>
    <x v="9"/>
    <x v="0"/>
    <n v="-3868074.0000000005"/>
    <x v="0"/>
  </r>
  <r>
    <x v="31"/>
    <x v="10"/>
    <x v="0"/>
    <n v="-3868074.0000000005"/>
    <x v="0"/>
  </r>
  <r>
    <x v="31"/>
    <x v="11"/>
    <x v="0"/>
    <n v="-3868074.0000000005"/>
    <x v="0"/>
  </r>
  <r>
    <x v="31"/>
    <x v="12"/>
    <x v="0"/>
    <n v="-3868074.0000000005"/>
    <x v="0"/>
  </r>
  <r>
    <x v="31"/>
    <x v="13"/>
    <x v="0"/>
    <n v="-3868074.0000000005"/>
    <x v="0"/>
  </r>
  <r>
    <x v="31"/>
    <x v="14"/>
    <x v="0"/>
    <n v="-3868074.0000000005"/>
    <x v="0"/>
  </r>
  <r>
    <x v="31"/>
    <x v="15"/>
    <x v="0"/>
    <n v="-3868074.0000000005"/>
    <x v="0"/>
  </r>
  <r>
    <x v="31"/>
    <x v="16"/>
    <x v="0"/>
    <n v="-3868074.0000000005"/>
    <x v="0"/>
  </r>
  <r>
    <x v="31"/>
    <x v="17"/>
    <x v="0"/>
    <n v="-3868074.0000000005"/>
    <x v="0"/>
  </r>
  <r>
    <x v="31"/>
    <x v="18"/>
    <x v="0"/>
    <n v="-3868074.0000000005"/>
    <x v="0"/>
  </r>
  <r>
    <x v="31"/>
    <x v="19"/>
    <x v="0"/>
    <n v="-3868074.0000000005"/>
    <x v="0"/>
  </r>
  <r>
    <x v="31"/>
    <x v="20"/>
    <x v="0"/>
    <n v="-3868074.0000000005"/>
    <x v="0"/>
  </r>
  <r>
    <x v="31"/>
    <x v="21"/>
    <x v="0"/>
    <n v="-3868074.0000000005"/>
    <x v="0"/>
  </r>
  <r>
    <x v="31"/>
    <x v="22"/>
    <x v="0"/>
    <n v="-3868074.0000000005"/>
    <x v="0"/>
  </r>
  <r>
    <x v="31"/>
    <x v="23"/>
    <x v="0"/>
    <n v="-3868074.0000000005"/>
    <x v="0"/>
  </r>
  <r>
    <x v="31"/>
    <x v="0"/>
    <x v="1"/>
    <n v="-9450000"/>
    <x v="0"/>
  </r>
  <r>
    <x v="31"/>
    <x v="1"/>
    <x v="1"/>
    <n v="-9450000"/>
    <x v="0"/>
  </r>
  <r>
    <x v="31"/>
    <x v="2"/>
    <x v="1"/>
    <n v="-9450000"/>
    <x v="0"/>
  </r>
  <r>
    <x v="31"/>
    <x v="3"/>
    <x v="1"/>
    <n v="-9450000"/>
    <x v="0"/>
  </r>
  <r>
    <x v="31"/>
    <x v="4"/>
    <x v="1"/>
    <n v="-9450000"/>
    <x v="0"/>
  </r>
  <r>
    <x v="31"/>
    <x v="5"/>
    <x v="1"/>
    <n v="-9450000"/>
    <x v="0"/>
  </r>
  <r>
    <x v="31"/>
    <x v="6"/>
    <x v="1"/>
    <n v="-9450000"/>
    <x v="0"/>
  </r>
  <r>
    <x v="31"/>
    <x v="7"/>
    <x v="1"/>
    <n v="-9450000"/>
    <x v="0"/>
  </r>
  <r>
    <x v="31"/>
    <x v="8"/>
    <x v="1"/>
    <n v="-9450000"/>
    <x v="0"/>
  </r>
  <r>
    <x v="31"/>
    <x v="9"/>
    <x v="1"/>
    <n v="-9450000"/>
    <x v="0"/>
  </r>
  <r>
    <x v="31"/>
    <x v="10"/>
    <x v="1"/>
    <n v="-9450000"/>
    <x v="0"/>
  </r>
  <r>
    <x v="31"/>
    <x v="11"/>
    <x v="1"/>
    <n v="-9450000"/>
    <x v="0"/>
  </r>
  <r>
    <x v="31"/>
    <x v="12"/>
    <x v="1"/>
    <n v="-9450000"/>
    <x v="0"/>
  </r>
  <r>
    <x v="31"/>
    <x v="13"/>
    <x v="1"/>
    <n v="-9450000"/>
    <x v="0"/>
  </r>
  <r>
    <x v="31"/>
    <x v="14"/>
    <x v="1"/>
    <n v="-9450000"/>
    <x v="0"/>
  </r>
  <r>
    <x v="31"/>
    <x v="15"/>
    <x v="1"/>
    <n v="-9450000"/>
    <x v="0"/>
  </r>
  <r>
    <x v="31"/>
    <x v="16"/>
    <x v="1"/>
    <n v="-9450000"/>
    <x v="0"/>
  </r>
  <r>
    <x v="31"/>
    <x v="17"/>
    <x v="1"/>
    <n v="-9450000"/>
    <x v="0"/>
  </r>
  <r>
    <x v="31"/>
    <x v="18"/>
    <x v="1"/>
    <n v="-9450000"/>
    <x v="0"/>
  </r>
  <r>
    <x v="31"/>
    <x v="19"/>
    <x v="1"/>
    <n v="-9450000"/>
    <x v="0"/>
  </r>
  <r>
    <x v="31"/>
    <x v="20"/>
    <x v="1"/>
    <n v="-9450000"/>
    <x v="0"/>
  </r>
  <r>
    <x v="31"/>
    <x v="21"/>
    <x v="1"/>
    <n v="-9450000"/>
    <x v="0"/>
  </r>
  <r>
    <x v="31"/>
    <x v="22"/>
    <x v="1"/>
    <n v="-9450000"/>
    <x v="0"/>
  </r>
  <r>
    <x v="31"/>
    <x v="23"/>
    <x v="1"/>
    <n v="-9450000"/>
    <x v="0"/>
  </r>
  <r>
    <x v="31"/>
    <x v="12"/>
    <x v="13"/>
    <n v="-6221250"/>
    <x v="0"/>
  </r>
  <r>
    <x v="31"/>
    <x v="13"/>
    <x v="13"/>
    <n v="-6221250"/>
    <x v="0"/>
  </r>
  <r>
    <x v="31"/>
    <x v="14"/>
    <x v="13"/>
    <n v="-6221250"/>
    <x v="0"/>
  </r>
  <r>
    <x v="31"/>
    <x v="15"/>
    <x v="13"/>
    <n v="-6221250"/>
    <x v="0"/>
  </r>
  <r>
    <x v="31"/>
    <x v="16"/>
    <x v="13"/>
    <n v="-6221250"/>
    <x v="0"/>
  </r>
  <r>
    <x v="31"/>
    <x v="17"/>
    <x v="13"/>
    <n v="-6221250"/>
    <x v="0"/>
  </r>
  <r>
    <x v="31"/>
    <x v="18"/>
    <x v="13"/>
    <n v="-6221250"/>
    <x v="0"/>
  </r>
  <r>
    <x v="31"/>
    <x v="19"/>
    <x v="13"/>
    <n v="-6221250"/>
    <x v="0"/>
  </r>
  <r>
    <x v="31"/>
    <x v="20"/>
    <x v="13"/>
    <n v="-6221250"/>
    <x v="0"/>
  </r>
  <r>
    <x v="31"/>
    <x v="21"/>
    <x v="13"/>
    <n v="-6221250"/>
    <x v="0"/>
  </r>
  <r>
    <x v="31"/>
    <x v="12"/>
    <x v="15"/>
    <n v="-4095000"/>
    <x v="0"/>
  </r>
  <r>
    <x v="31"/>
    <x v="13"/>
    <x v="15"/>
    <n v="-4095000"/>
    <x v="0"/>
  </r>
  <r>
    <x v="31"/>
    <x v="14"/>
    <x v="15"/>
    <n v="-4095000"/>
    <x v="0"/>
  </r>
  <r>
    <x v="31"/>
    <x v="15"/>
    <x v="15"/>
    <n v="-4095000"/>
    <x v="0"/>
  </r>
  <r>
    <x v="31"/>
    <x v="16"/>
    <x v="15"/>
    <n v="-4095000"/>
    <x v="0"/>
  </r>
  <r>
    <x v="31"/>
    <x v="17"/>
    <x v="15"/>
    <n v="-4095000"/>
    <x v="0"/>
  </r>
  <r>
    <x v="31"/>
    <x v="18"/>
    <x v="15"/>
    <n v="-4095000"/>
    <x v="0"/>
  </r>
  <r>
    <x v="31"/>
    <x v="19"/>
    <x v="15"/>
    <n v="-4095000"/>
    <x v="0"/>
  </r>
  <r>
    <x v="31"/>
    <x v="20"/>
    <x v="15"/>
    <n v="-4095000"/>
    <x v="0"/>
  </r>
  <r>
    <x v="31"/>
    <x v="21"/>
    <x v="15"/>
    <n v="-4095000"/>
    <x v="0"/>
  </r>
  <r>
    <x v="31"/>
    <x v="22"/>
    <x v="15"/>
    <n v="-4095000"/>
    <x v="0"/>
  </r>
  <r>
    <x v="31"/>
    <x v="23"/>
    <x v="15"/>
    <n v="-4095000"/>
    <x v="0"/>
  </r>
  <r>
    <x v="31"/>
    <x v="1"/>
    <x v="109"/>
    <n v="-4006799.9999999995"/>
    <x v="0"/>
  </r>
  <r>
    <x v="31"/>
    <x v="2"/>
    <x v="109"/>
    <n v="-4006799.9999999995"/>
    <x v="0"/>
  </r>
  <r>
    <x v="31"/>
    <x v="3"/>
    <x v="109"/>
    <n v="-4006799.9999999995"/>
    <x v="0"/>
  </r>
  <r>
    <x v="31"/>
    <x v="4"/>
    <x v="109"/>
    <n v="-4006799.9999999995"/>
    <x v="0"/>
  </r>
  <r>
    <x v="31"/>
    <x v="5"/>
    <x v="109"/>
    <n v="-4006799.9999999995"/>
    <x v="0"/>
  </r>
  <r>
    <x v="31"/>
    <x v="6"/>
    <x v="109"/>
    <n v="-4006799.9999999995"/>
    <x v="0"/>
  </r>
  <r>
    <x v="31"/>
    <x v="7"/>
    <x v="109"/>
    <n v="-4006799.9999999995"/>
    <x v="0"/>
  </r>
  <r>
    <x v="31"/>
    <x v="8"/>
    <x v="109"/>
    <n v="-4006799.9999999995"/>
    <x v="0"/>
  </r>
  <r>
    <x v="31"/>
    <x v="9"/>
    <x v="109"/>
    <n v="-4006799.9999999995"/>
    <x v="0"/>
  </r>
  <r>
    <x v="31"/>
    <x v="10"/>
    <x v="109"/>
    <n v="-4006799.9999999995"/>
    <x v="0"/>
  </r>
  <r>
    <x v="31"/>
    <x v="11"/>
    <x v="109"/>
    <n v="-4006799.9999999995"/>
    <x v="0"/>
  </r>
  <r>
    <x v="31"/>
    <x v="12"/>
    <x v="109"/>
    <n v="-4006799.9999999995"/>
    <x v="0"/>
  </r>
  <r>
    <x v="31"/>
    <x v="13"/>
    <x v="109"/>
    <n v="-4006799.9999999995"/>
    <x v="0"/>
  </r>
  <r>
    <x v="31"/>
    <x v="14"/>
    <x v="109"/>
    <n v="-4006799.9999999995"/>
    <x v="0"/>
  </r>
  <r>
    <x v="31"/>
    <x v="15"/>
    <x v="109"/>
    <n v="-4006799.9999999995"/>
    <x v="0"/>
  </r>
  <r>
    <x v="31"/>
    <x v="16"/>
    <x v="109"/>
    <n v="-4006799.9999999995"/>
    <x v="0"/>
  </r>
  <r>
    <x v="31"/>
    <x v="17"/>
    <x v="109"/>
    <n v="-4006799.9999999995"/>
    <x v="0"/>
  </r>
  <r>
    <x v="31"/>
    <x v="18"/>
    <x v="109"/>
    <n v="-4006799.9999999995"/>
    <x v="0"/>
  </r>
  <r>
    <x v="31"/>
    <x v="19"/>
    <x v="109"/>
    <n v="-4006799.9999999995"/>
    <x v="0"/>
  </r>
  <r>
    <x v="31"/>
    <x v="20"/>
    <x v="109"/>
    <n v="-4006799.9999999995"/>
    <x v="0"/>
  </r>
  <r>
    <x v="31"/>
    <x v="21"/>
    <x v="109"/>
    <n v="-4006799.9999999995"/>
    <x v="0"/>
  </r>
  <r>
    <x v="31"/>
    <x v="12"/>
    <x v="10"/>
    <n v="-4006799.9999999995"/>
    <x v="0"/>
  </r>
  <r>
    <x v="31"/>
    <x v="13"/>
    <x v="10"/>
    <n v="-4006799.9999999995"/>
    <x v="0"/>
  </r>
  <r>
    <x v="31"/>
    <x v="14"/>
    <x v="10"/>
    <n v="-4006799.9999999995"/>
    <x v="0"/>
  </r>
  <r>
    <x v="31"/>
    <x v="15"/>
    <x v="10"/>
    <n v="-4006799.9999999995"/>
    <x v="0"/>
  </r>
  <r>
    <x v="31"/>
    <x v="16"/>
    <x v="10"/>
    <n v="-4006799.9999999995"/>
    <x v="0"/>
  </r>
  <r>
    <x v="31"/>
    <x v="17"/>
    <x v="10"/>
    <n v="-4006799.9999999995"/>
    <x v="0"/>
  </r>
  <r>
    <x v="31"/>
    <x v="18"/>
    <x v="10"/>
    <n v="-4006799.9999999995"/>
    <x v="0"/>
  </r>
  <r>
    <x v="31"/>
    <x v="19"/>
    <x v="10"/>
    <n v="-4006799.9999999995"/>
    <x v="0"/>
  </r>
  <r>
    <x v="31"/>
    <x v="20"/>
    <x v="10"/>
    <n v="-4006799.9999999995"/>
    <x v="0"/>
  </r>
  <r>
    <x v="31"/>
    <x v="21"/>
    <x v="10"/>
    <n v="-4006799.9999999995"/>
    <x v="0"/>
  </r>
  <r>
    <x v="32"/>
    <x v="0"/>
    <x v="0"/>
    <n v="-5898109.7507954882"/>
    <x v="0"/>
  </r>
  <r>
    <x v="32"/>
    <x v="0"/>
    <x v="1"/>
    <n v="-10573456.644736286"/>
    <x v="0"/>
  </r>
  <r>
    <x v="32"/>
    <x v="1"/>
    <x v="1"/>
    <n v="-10573456.644736286"/>
    <x v="0"/>
  </r>
  <r>
    <x v="32"/>
    <x v="0"/>
    <x v="71"/>
    <n v="-8420426.5965553131"/>
    <x v="0"/>
  </r>
  <r>
    <x v="32"/>
    <x v="0"/>
    <x v="13"/>
    <n v="-5968758.5524032004"/>
    <x v="0"/>
  </r>
  <r>
    <x v="32"/>
    <x v="0"/>
    <x v="58"/>
    <n v="-2694198.4714365834"/>
    <x v="0"/>
  </r>
  <r>
    <x v="32"/>
    <x v="1"/>
    <x v="58"/>
    <n v="-2694198.4714365834"/>
    <x v="0"/>
  </r>
  <r>
    <x v="33"/>
    <x v="0"/>
    <x v="0"/>
    <n v="-2992909.5"/>
    <x v="0"/>
  </r>
  <r>
    <x v="33"/>
    <x v="1"/>
    <x v="0"/>
    <n v="-2992909.5"/>
    <x v="0"/>
  </r>
  <r>
    <x v="33"/>
    <x v="2"/>
    <x v="0"/>
    <n v="-2992909.5"/>
    <x v="0"/>
  </r>
  <r>
    <x v="33"/>
    <x v="0"/>
    <x v="1"/>
    <n v="-2835000"/>
    <x v="0"/>
  </r>
  <r>
    <x v="33"/>
    <x v="1"/>
    <x v="1"/>
    <n v="-2835000"/>
    <x v="0"/>
  </r>
  <r>
    <x v="33"/>
    <x v="2"/>
    <x v="1"/>
    <n v="-2835000"/>
    <x v="0"/>
  </r>
  <r>
    <x v="33"/>
    <x v="0"/>
    <x v="15"/>
    <n v="-1228500"/>
    <x v="0"/>
  </r>
  <r>
    <x v="33"/>
    <x v="1"/>
    <x v="15"/>
    <n v="-1228500"/>
    <x v="0"/>
  </r>
  <r>
    <x v="33"/>
    <x v="2"/>
    <x v="15"/>
    <n v="-1228500"/>
    <x v="0"/>
  </r>
  <r>
    <x v="33"/>
    <x v="0"/>
    <x v="5"/>
    <n v="-1181250"/>
    <x v="0"/>
  </r>
  <r>
    <x v="33"/>
    <x v="1"/>
    <x v="5"/>
    <n v="-1181250"/>
    <x v="0"/>
  </r>
  <r>
    <x v="33"/>
    <x v="2"/>
    <x v="5"/>
    <n v="-1181250"/>
    <x v="0"/>
  </r>
  <r>
    <x v="33"/>
    <x v="0"/>
    <x v="0"/>
    <n v="-2494091.25"/>
    <x v="0"/>
  </r>
  <r>
    <x v="33"/>
    <x v="1"/>
    <x v="0"/>
    <n v="-2494091.25"/>
    <x v="0"/>
  </r>
  <r>
    <x v="33"/>
    <x v="2"/>
    <x v="0"/>
    <n v="-2494091.25"/>
    <x v="0"/>
  </r>
  <r>
    <x v="33"/>
    <x v="0"/>
    <x v="1"/>
    <n v="-2362500"/>
    <x v="0"/>
  </r>
  <r>
    <x v="33"/>
    <x v="1"/>
    <x v="1"/>
    <n v="-2362500"/>
    <x v="0"/>
  </r>
  <r>
    <x v="33"/>
    <x v="2"/>
    <x v="1"/>
    <n v="-2362500"/>
    <x v="0"/>
  </r>
  <r>
    <x v="33"/>
    <x v="0"/>
    <x v="15"/>
    <n v="-1023750"/>
    <x v="0"/>
  </r>
  <r>
    <x v="33"/>
    <x v="1"/>
    <x v="15"/>
    <n v="-1023750"/>
    <x v="0"/>
  </r>
  <r>
    <x v="33"/>
    <x v="2"/>
    <x v="15"/>
    <n v="-1023750"/>
    <x v="0"/>
  </r>
  <r>
    <x v="33"/>
    <x v="0"/>
    <x v="58"/>
    <n v="-708750"/>
    <x v="0"/>
  </r>
  <r>
    <x v="33"/>
    <x v="1"/>
    <x v="58"/>
    <n v="-708750"/>
    <x v="0"/>
  </r>
  <r>
    <x v="33"/>
    <x v="2"/>
    <x v="58"/>
    <n v="-708750"/>
    <x v="0"/>
  </r>
  <r>
    <x v="33"/>
    <x v="0"/>
    <x v="0"/>
    <n v="-1496454.75"/>
    <x v="0"/>
  </r>
  <r>
    <x v="33"/>
    <x v="1"/>
    <x v="0"/>
    <n v="-1496454.75"/>
    <x v="0"/>
  </r>
  <r>
    <x v="33"/>
    <x v="2"/>
    <x v="0"/>
    <n v="-1496454.75"/>
    <x v="0"/>
  </r>
  <r>
    <x v="33"/>
    <x v="0"/>
    <x v="1"/>
    <n v="-945000"/>
    <x v="0"/>
  </r>
  <r>
    <x v="33"/>
    <x v="1"/>
    <x v="1"/>
    <n v="-945000"/>
    <x v="0"/>
  </r>
  <r>
    <x v="33"/>
    <x v="2"/>
    <x v="1"/>
    <n v="-945000"/>
    <x v="0"/>
  </r>
  <r>
    <x v="33"/>
    <x v="0"/>
    <x v="15"/>
    <n v="-409500"/>
    <x v="0"/>
  </r>
  <r>
    <x v="33"/>
    <x v="1"/>
    <x v="15"/>
    <n v="-409500"/>
    <x v="0"/>
  </r>
  <r>
    <x v="33"/>
    <x v="2"/>
    <x v="15"/>
    <n v="-409500"/>
    <x v="0"/>
  </r>
  <r>
    <x v="33"/>
    <x v="0"/>
    <x v="124"/>
    <n v="-236250"/>
    <x v="0"/>
  </r>
  <r>
    <x v="33"/>
    <x v="1"/>
    <x v="124"/>
    <n v="-236250"/>
    <x v="0"/>
  </r>
  <r>
    <x v="33"/>
    <x v="2"/>
    <x v="124"/>
    <n v="-236250"/>
    <x v="0"/>
  </r>
  <r>
    <x v="33"/>
    <x v="0"/>
    <x v="0"/>
    <n v="-1496454.75"/>
    <x v="0"/>
  </r>
  <r>
    <x v="33"/>
    <x v="1"/>
    <x v="0"/>
    <n v="-1496454.75"/>
    <x v="0"/>
  </r>
  <r>
    <x v="33"/>
    <x v="2"/>
    <x v="0"/>
    <n v="-1496454.75"/>
    <x v="0"/>
  </r>
  <r>
    <x v="33"/>
    <x v="0"/>
    <x v="1"/>
    <n v="-1890000"/>
    <x v="0"/>
  </r>
  <r>
    <x v="33"/>
    <x v="1"/>
    <x v="1"/>
    <n v="-1890000"/>
    <x v="0"/>
  </r>
  <r>
    <x v="33"/>
    <x v="2"/>
    <x v="1"/>
    <n v="-1890000"/>
    <x v="0"/>
  </r>
  <r>
    <x v="33"/>
    <x v="0"/>
    <x v="15"/>
    <n v="-819000"/>
    <x v="0"/>
  </r>
  <r>
    <x v="33"/>
    <x v="1"/>
    <x v="15"/>
    <n v="-819000"/>
    <x v="0"/>
  </r>
  <r>
    <x v="33"/>
    <x v="2"/>
    <x v="15"/>
    <n v="-819000"/>
    <x v="0"/>
  </r>
  <r>
    <x v="33"/>
    <x v="0"/>
    <x v="125"/>
    <n v="-441000"/>
    <x v="0"/>
  </r>
  <r>
    <x v="33"/>
    <x v="1"/>
    <x v="125"/>
    <n v="-441000"/>
    <x v="0"/>
  </r>
  <r>
    <x v="33"/>
    <x v="2"/>
    <x v="125"/>
    <n v="-441000"/>
    <x v="0"/>
  </r>
  <r>
    <x v="33"/>
    <x v="0"/>
    <x v="58"/>
    <n v="-354375"/>
    <x v="0"/>
  </r>
  <r>
    <x v="33"/>
    <x v="1"/>
    <x v="58"/>
    <n v="-354375"/>
    <x v="0"/>
  </r>
  <r>
    <x v="33"/>
    <x v="2"/>
    <x v="58"/>
    <n v="-354375"/>
    <x v="0"/>
  </r>
  <r>
    <x v="33"/>
    <x v="0"/>
    <x v="0"/>
    <n v="-1496454.75"/>
    <x v="0"/>
  </r>
  <r>
    <x v="33"/>
    <x v="1"/>
    <x v="0"/>
    <n v="-1496454.75"/>
    <x v="0"/>
  </r>
  <r>
    <x v="33"/>
    <x v="2"/>
    <x v="0"/>
    <n v="-1496454.75"/>
    <x v="0"/>
  </r>
  <r>
    <x v="33"/>
    <x v="0"/>
    <x v="1"/>
    <n v="-1417500"/>
    <x v="0"/>
  </r>
  <r>
    <x v="33"/>
    <x v="1"/>
    <x v="1"/>
    <n v="-1417500"/>
    <x v="0"/>
  </r>
  <r>
    <x v="33"/>
    <x v="2"/>
    <x v="1"/>
    <n v="-1417500"/>
    <x v="0"/>
  </r>
  <r>
    <x v="33"/>
    <x v="0"/>
    <x v="15"/>
    <n v="-614250"/>
    <x v="0"/>
  </r>
  <r>
    <x v="33"/>
    <x v="1"/>
    <x v="15"/>
    <n v="-614250"/>
    <x v="0"/>
  </r>
  <r>
    <x v="33"/>
    <x v="2"/>
    <x v="15"/>
    <n v="-614250"/>
    <x v="0"/>
  </r>
  <r>
    <x v="34"/>
    <x v="0"/>
    <x v="126"/>
    <n v="-1778395.5"/>
    <x v="0"/>
  </r>
  <r>
    <x v="34"/>
    <x v="1"/>
    <x v="126"/>
    <n v="-1778395.5"/>
    <x v="0"/>
  </r>
  <r>
    <x v="34"/>
    <x v="0"/>
    <x v="77"/>
    <n v="-7426125"/>
    <x v="0"/>
  </r>
  <r>
    <x v="34"/>
    <x v="1"/>
    <x v="77"/>
    <n v="-7426125"/>
    <x v="0"/>
  </r>
  <r>
    <x v="34"/>
    <x v="0"/>
    <x v="127"/>
    <n v="-964096.875"/>
    <x v="0"/>
  </r>
  <r>
    <x v="34"/>
    <x v="1"/>
    <x v="127"/>
    <n v="-964096.875"/>
    <x v="0"/>
  </r>
  <r>
    <x v="34"/>
    <x v="0"/>
    <x v="67"/>
    <n v="-3764722.4999999995"/>
    <x v="0"/>
  </r>
  <r>
    <x v="34"/>
    <x v="1"/>
    <x v="67"/>
    <n v="-3764722.4999999995"/>
    <x v="0"/>
  </r>
  <r>
    <x v="35"/>
    <x v="1"/>
    <x v="0"/>
    <n v="-3818881.08"/>
    <x v="0"/>
  </r>
  <r>
    <x v="35"/>
    <x v="2"/>
    <x v="0"/>
    <n v="-3818881.08"/>
    <x v="0"/>
  </r>
  <r>
    <x v="35"/>
    <x v="3"/>
    <x v="0"/>
    <n v="-3818881.08"/>
    <x v="0"/>
  </r>
  <r>
    <x v="35"/>
    <x v="4"/>
    <x v="0"/>
    <n v="-3818881.08"/>
    <x v="0"/>
  </r>
  <r>
    <x v="35"/>
    <x v="5"/>
    <x v="0"/>
    <n v="-3818881.08"/>
    <x v="0"/>
  </r>
  <r>
    <x v="35"/>
    <x v="6"/>
    <x v="0"/>
    <n v="-3818881.08"/>
    <x v="0"/>
  </r>
  <r>
    <x v="35"/>
    <x v="7"/>
    <x v="0"/>
    <n v="-3818881.08"/>
    <x v="0"/>
  </r>
  <r>
    <x v="35"/>
    <x v="1"/>
    <x v="77"/>
    <n v="-6750000"/>
    <x v="0"/>
  </r>
  <r>
    <x v="35"/>
    <x v="2"/>
    <x v="77"/>
    <n v="-6750000"/>
    <x v="0"/>
  </r>
  <r>
    <x v="35"/>
    <x v="3"/>
    <x v="77"/>
    <n v="-6750000"/>
    <x v="0"/>
  </r>
  <r>
    <x v="35"/>
    <x v="4"/>
    <x v="77"/>
    <n v="-6750000"/>
    <x v="0"/>
  </r>
  <r>
    <x v="35"/>
    <x v="5"/>
    <x v="77"/>
    <n v="-6750000"/>
    <x v="0"/>
  </r>
  <r>
    <x v="35"/>
    <x v="6"/>
    <x v="77"/>
    <n v="-6750000"/>
    <x v="0"/>
  </r>
  <r>
    <x v="35"/>
    <x v="7"/>
    <x v="77"/>
    <n v="-6750000"/>
    <x v="0"/>
  </r>
  <r>
    <x v="35"/>
    <x v="1"/>
    <x v="58"/>
    <n v="-1961638.6500000001"/>
    <x v="0"/>
  </r>
  <r>
    <x v="35"/>
    <x v="2"/>
    <x v="58"/>
    <n v="-1961638.6500000001"/>
    <x v="0"/>
  </r>
  <r>
    <x v="35"/>
    <x v="3"/>
    <x v="58"/>
    <n v="-1961638.6500000001"/>
    <x v="0"/>
  </r>
  <r>
    <x v="35"/>
    <x v="4"/>
    <x v="58"/>
    <n v="-1961638.6500000001"/>
    <x v="0"/>
  </r>
  <r>
    <x v="35"/>
    <x v="5"/>
    <x v="58"/>
    <n v="-1961638.6500000001"/>
    <x v="0"/>
  </r>
  <r>
    <x v="35"/>
    <x v="6"/>
    <x v="58"/>
    <n v="-1961638.6500000001"/>
    <x v="0"/>
  </r>
  <r>
    <x v="35"/>
    <x v="7"/>
    <x v="58"/>
    <n v="-1961638.6500000001"/>
    <x v="0"/>
  </r>
  <r>
    <x v="35"/>
    <x v="1"/>
    <x v="15"/>
    <n v="-5271741.5887850448"/>
    <x v="0"/>
  </r>
  <r>
    <x v="35"/>
    <x v="2"/>
    <x v="15"/>
    <n v="-5271741.5887850448"/>
    <x v="0"/>
  </r>
  <r>
    <x v="35"/>
    <x v="3"/>
    <x v="15"/>
    <n v="-5271741.5887850448"/>
    <x v="0"/>
  </r>
  <r>
    <x v="35"/>
    <x v="4"/>
    <x v="15"/>
    <n v="-5271741.5887850448"/>
    <x v="0"/>
  </r>
  <r>
    <x v="35"/>
    <x v="5"/>
    <x v="15"/>
    <n v="-5271741.5887850448"/>
    <x v="0"/>
  </r>
  <r>
    <x v="35"/>
    <x v="6"/>
    <x v="15"/>
    <n v="-5271741.5887850448"/>
    <x v="0"/>
  </r>
  <r>
    <x v="35"/>
    <x v="7"/>
    <x v="15"/>
    <n v="-5271741.5887850448"/>
    <x v="0"/>
  </r>
  <r>
    <x v="35"/>
    <x v="1"/>
    <x v="14"/>
    <n v="-3855251.3759999997"/>
    <x v="0"/>
  </r>
  <r>
    <x v="35"/>
    <x v="2"/>
    <x v="14"/>
    <n v="-3855251.3759999997"/>
    <x v="0"/>
  </r>
  <r>
    <x v="35"/>
    <x v="3"/>
    <x v="14"/>
    <n v="-3855251.3759999997"/>
    <x v="0"/>
  </r>
  <r>
    <x v="35"/>
    <x v="4"/>
    <x v="14"/>
    <n v="-3855251.3759999997"/>
    <x v="0"/>
  </r>
  <r>
    <x v="35"/>
    <x v="5"/>
    <x v="14"/>
    <n v="-3855251.3759999997"/>
    <x v="0"/>
  </r>
  <r>
    <x v="35"/>
    <x v="6"/>
    <x v="14"/>
    <n v="-3855251.3759999997"/>
    <x v="0"/>
  </r>
  <r>
    <x v="35"/>
    <x v="7"/>
    <x v="14"/>
    <n v="-3855251.3759999997"/>
    <x v="0"/>
  </r>
  <r>
    <x v="36"/>
    <x v="0"/>
    <x v="128"/>
    <n v="-12913846.050000001"/>
    <x v="0"/>
  </r>
  <r>
    <x v="36"/>
    <x v="1"/>
    <x v="128"/>
    <n v="-12913846.050000001"/>
    <x v="0"/>
  </r>
  <r>
    <x v="36"/>
    <x v="2"/>
    <x v="128"/>
    <n v="-12913846.050000001"/>
    <x v="0"/>
  </r>
  <r>
    <x v="36"/>
    <x v="3"/>
    <x v="128"/>
    <n v="-12913846.050000001"/>
    <x v="0"/>
  </r>
  <r>
    <x v="36"/>
    <x v="4"/>
    <x v="128"/>
    <n v="-12913846.050000001"/>
    <x v="0"/>
  </r>
  <r>
    <x v="36"/>
    <x v="0"/>
    <x v="13"/>
    <n v="-7300574.4000000004"/>
    <x v="0"/>
  </r>
  <r>
    <x v="36"/>
    <x v="1"/>
    <x v="13"/>
    <n v="-7300574.4000000004"/>
    <x v="0"/>
  </r>
  <r>
    <x v="36"/>
    <x v="2"/>
    <x v="13"/>
    <n v="-7300574.4000000004"/>
    <x v="0"/>
  </r>
  <r>
    <x v="36"/>
    <x v="3"/>
    <x v="13"/>
    <n v="-7300574.4000000004"/>
    <x v="0"/>
  </r>
  <r>
    <x v="36"/>
    <x v="4"/>
    <x v="13"/>
    <n v="-7300574.4000000004"/>
    <x v="0"/>
  </r>
  <r>
    <x v="36"/>
    <x v="0"/>
    <x v="13"/>
    <n v="-7300574.4000000004"/>
    <x v="0"/>
  </r>
  <r>
    <x v="36"/>
    <x v="1"/>
    <x v="13"/>
    <n v="-7300574.4000000004"/>
    <x v="0"/>
  </r>
  <r>
    <x v="36"/>
    <x v="2"/>
    <x v="13"/>
    <n v="-7300574.4000000004"/>
    <x v="0"/>
  </r>
  <r>
    <x v="36"/>
    <x v="3"/>
    <x v="13"/>
    <n v="-7300574.4000000004"/>
    <x v="0"/>
  </r>
  <r>
    <x v="36"/>
    <x v="4"/>
    <x v="13"/>
    <n v="-7300574.4000000004"/>
    <x v="0"/>
  </r>
  <r>
    <x v="36"/>
    <x v="0"/>
    <x v="13"/>
    <n v="-7300574.4000000004"/>
    <x v="0"/>
  </r>
  <r>
    <x v="36"/>
    <x v="1"/>
    <x v="13"/>
    <n v="-7300574.4000000004"/>
    <x v="0"/>
  </r>
  <r>
    <x v="36"/>
    <x v="2"/>
    <x v="13"/>
    <n v="-7300574.4000000004"/>
    <x v="0"/>
  </r>
  <r>
    <x v="36"/>
    <x v="3"/>
    <x v="13"/>
    <n v="-7300574.4000000004"/>
    <x v="0"/>
  </r>
  <r>
    <x v="36"/>
    <x v="4"/>
    <x v="13"/>
    <n v="-7300574.4000000004"/>
    <x v="0"/>
  </r>
  <r>
    <x v="36"/>
    <x v="0"/>
    <x v="15"/>
    <n v="-5214695.8500000006"/>
    <x v="0"/>
  </r>
  <r>
    <x v="36"/>
    <x v="1"/>
    <x v="15"/>
    <n v="-5214695.8500000006"/>
    <x v="0"/>
  </r>
  <r>
    <x v="36"/>
    <x v="2"/>
    <x v="15"/>
    <n v="-5214695.8500000006"/>
    <x v="0"/>
  </r>
  <r>
    <x v="36"/>
    <x v="3"/>
    <x v="15"/>
    <n v="-5214695.8500000006"/>
    <x v="0"/>
  </r>
  <r>
    <x v="36"/>
    <x v="4"/>
    <x v="15"/>
    <n v="-5214695.8500000006"/>
    <x v="0"/>
  </r>
  <r>
    <x v="36"/>
    <x v="0"/>
    <x v="104"/>
    <n v="-5214695.8500000006"/>
    <x v="0"/>
  </r>
  <r>
    <x v="36"/>
    <x v="1"/>
    <x v="104"/>
    <n v="-5214695.8500000006"/>
    <x v="0"/>
  </r>
  <r>
    <x v="36"/>
    <x v="2"/>
    <x v="104"/>
    <n v="-5214695.8500000006"/>
    <x v="0"/>
  </r>
  <r>
    <x v="36"/>
    <x v="3"/>
    <x v="104"/>
    <n v="-5214695.8500000006"/>
    <x v="0"/>
  </r>
  <r>
    <x v="36"/>
    <x v="4"/>
    <x v="104"/>
    <n v="-5214695.8500000006"/>
    <x v="0"/>
  </r>
  <r>
    <x v="36"/>
    <x v="0"/>
    <x v="105"/>
    <n v="-5142002.25"/>
    <x v="0"/>
  </r>
  <r>
    <x v="36"/>
    <x v="1"/>
    <x v="105"/>
    <n v="-5142002.25"/>
    <x v="0"/>
  </r>
  <r>
    <x v="36"/>
    <x v="2"/>
    <x v="105"/>
    <n v="-5142002.25"/>
    <x v="0"/>
  </r>
  <r>
    <x v="36"/>
    <x v="3"/>
    <x v="105"/>
    <n v="-5142002.25"/>
    <x v="0"/>
  </r>
  <r>
    <x v="36"/>
    <x v="4"/>
    <x v="105"/>
    <n v="-5142002.25"/>
    <x v="0"/>
  </r>
  <r>
    <x v="36"/>
    <x v="0"/>
    <x v="3"/>
    <n v="-9867809.7000000011"/>
    <x v="0"/>
  </r>
  <r>
    <x v="36"/>
    <x v="1"/>
    <x v="3"/>
    <n v="-9867809.7000000011"/>
    <x v="0"/>
  </r>
  <r>
    <x v="36"/>
    <x v="2"/>
    <x v="3"/>
    <n v="-9867809.7000000011"/>
    <x v="0"/>
  </r>
  <r>
    <x v="36"/>
    <x v="3"/>
    <x v="3"/>
    <n v="-9867809.7000000011"/>
    <x v="0"/>
  </r>
  <r>
    <x v="36"/>
    <x v="4"/>
    <x v="3"/>
    <n v="-9867809.7000000011"/>
    <x v="0"/>
  </r>
  <r>
    <x v="36"/>
    <x v="0"/>
    <x v="117"/>
    <n v="-3569121.1500000004"/>
    <x v="0"/>
  </r>
  <r>
    <x v="36"/>
    <x v="1"/>
    <x v="117"/>
    <n v="-3569121.1500000004"/>
    <x v="0"/>
  </r>
  <r>
    <x v="36"/>
    <x v="2"/>
    <x v="117"/>
    <n v="-3569121.1500000004"/>
    <x v="0"/>
  </r>
  <r>
    <x v="36"/>
    <x v="3"/>
    <x v="117"/>
    <n v="-3569121.1500000004"/>
    <x v="0"/>
  </r>
  <r>
    <x v="36"/>
    <x v="4"/>
    <x v="117"/>
    <n v="-3569121.1500000004"/>
    <x v="0"/>
  </r>
  <r>
    <x v="36"/>
    <x v="0"/>
    <x v="67"/>
    <n v="-4240842.9000000004"/>
    <x v="0"/>
  </r>
  <r>
    <x v="36"/>
    <x v="1"/>
    <x v="67"/>
    <n v="-4240842.9000000004"/>
    <x v="0"/>
  </r>
  <r>
    <x v="36"/>
    <x v="2"/>
    <x v="67"/>
    <n v="-4240842.9000000004"/>
    <x v="0"/>
  </r>
  <r>
    <x v="36"/>
    <x v="3"/>
    <x v="67"/>
    <n v="-4240842.9000000004"/>
    <x v="0"/>
  </r>
  <r>
    <x v="36"/>
    <x v="4"/>
    <x v="67"/>
    <n v="-4240842.9000000004"/>
    <x v="0"/>
  </r>
  <r>
    <x v="36"/>
    <x v="0"/>
    <x v="109"/>
    <n v="-3348034.2"/>
    <x v="0"/>
  </r>
  <r>
    <x v="36"/>
    <x v="1"/>
    <x v="109"/>
    <n v="-3348034.2"/>
    <x v="0"/>
  </r>
  <r>
    <x v="36"/>
    <x v="2"/>
    <x v="109"/>
    <n v="-3348034.2"/>
    <x v="0"/>
  </r>
  <r>
    <x v="36"/>
    <x v="3"/>
    <x v="109"/>
    <n v="-3348034.2"/>
    <x v="0"/>
  </r>
  <r>
    <x v="36"/>
    <x v="4"/>
    <x v="109"/>
    <n v="-3348034.2"/>
    <x v="0"/>
  </r>
  <r>
    <x v="36"/>
    <x v="0"/>
    <x v="129"/>
    <n v="-3348034.2"/>
    <x v="0"/>
  </r>
  <r>
    <x v="36"/>
    <x v="1"/>
    <x v="129"/>
    <n v="-3348034.2"/>
    <x v="0"/>
  </r>
  <r>
    <x v="36"/>
    <x v="2"/>
    <x v="129"/>
    <n v="-3348034.2"/>
    <x v="0"/>
  </r>
  <r>
    <x v="36"/>
    <x v="3"/>
    <x v="129"/>
    <n v="-3348034.2"/>
    <x v="0"/>
  </r>
  <r>
    <x v="36"/>
    <x v="4"/>
    <x v="129"/>
    <n v="-3348034.2"/>
    <x v="0"/>
  </r>
  <r>
    <x v="36"/>
    <x v="0"/>
    <x v="130"/>
    <n v="-3348034.2"/>
    <x v="0"/>
  </r>
  <r>
    <x v="36"/>
    <x v="1"/>
    <x v="130"/>
    <n v="-3348034.2"/>
    <x v="0"/>
  </r>
  <r>
    <x v="36"/>
    <x v="2"/>
    <x v="130"/>
    <n v="-3348034.2"/>
    <x v="0"/>
  </r>
  <r>
    <x v="36"/>
    <x v="3"/>
    <x v="130"/>
    <n v="-3348034.2"/>
    <x v="0"/>
  </r>
  <r>
    <x v="36"/>
    <x v="4"/>
    <x v="130"/>
    <n v="-3348034.2"/>
    <x v="0"/>
  </r>
  <r>
    <x v="36"/>
    <x v="0"/>
    <x v="19"/>
    <n v="-3348034.2"/>
    <x v="0"/>
  </r>
  <r>
    <x v="36"/>
    <x v="1"/>
    <x v="19"/>
    <n v="-3348034.2"/>
    <x v="0"/>
  </r>
  <r>
    <x v="36"/>
    <x v="2"/>
    <x v="19"/>
    <n v="-3348034.2"/>
    <x v="0"/>
  </r>
  <r>
    <x v="36"/>
    <x v="3"/>
    <x v="19"/>
    <n v="-3348034.2"/>
    <x v="0"/>
  </r>
  <r>
    <x v="36"/>
    <x v="4"/>
    <x v="19"/>
    <n v="-3348034.2"/>
    <x v="0"/>
  </r>
  <r>
    <x v="36"/>
    <x v="0"/>
    <x v="131"/>
    <n v="-3348034.2"/>
    <x v="0"/>
  </r>
  <r>
    <x v="36"/>
    <x v="1"/>
    <x v="131"/>
    <n v="-3348034.2"/>
    <x v="0"/>
  </r>
  <r>
    <x v="36"/>
    <x v="2"/>
    <x v="131"/>
    <n v="-3348034.2"/>
    <x v="0"/>
  </r>
  <r>
    <x v="36"/>
    <x v="3"/>
    <x v="131"/>
    <n v="-3348034.2"/>
    <x v="0"/>
  </r>
  <r>
    <x v="36"/>
    <x v="4"/>
    <x v="131"/>
    <n v="-3348034.2"/>
    <x v="0"/>
  </r>
  <r>
    <x v="36"/>
    <x v="0"/>
    <x v="132"/>
    <n v="-3348034.2"/>
    <x v="0"/>
  </r>
  <r>
    <x v="36"/>
    <x v="1"/>
    <x v="132"/>
    <n v="-3348034.2"/>
    <x v="0"/>
  </r>
  <r>
    <x v="36"/>
    <x v="2"/>
    <x v="132"/>
    <n v="-3348034.2"/>
    <x v="0"/>
  </r>
  <r>
    <x v="36"/>
    <x v="3"/>
    <x v="132"/>
    <n v="-3348034.2"/>
    <x v="0"/>
  </r>
  <r>
    <x v="36"/>
    <x v="4"/>
    <x v="132"/>
    <n v="-3348034.2"/>
    <x v="0"/>
  </r>
  <r>
    <x v="36"/>
    <x v="0"/>
    <x v="33"/>
    <n v="-1989931.6500000001"/>
    <x v="0"/>
  </r>
  <r>
    <x v="36"/>
    <x v="1"/>
    <x v="33"/>
    <n v="-1989931.6500000001"/>
    <x v="0"/>
  </r>
  <r>
    <x v="36"/>
    <x v="2"/>
    <x v="33"/>
    <n v="-1989931.6500000001"/>
    <x v="0"/>
  </r>
  <r>
    <x v="36"/>
    <x v="3"/>
    <x v="33"/>
    <n v="-1989931.6500000001"/>
    <x v="0"/>
  </r>
  <r>
    <x v="36"/>
    <x v="4"/>
    <x v="33"/>
    <n v="-1989931.6500000001"/>
    <x v="0"/>
  </r>
  <r>
    <x v="36"/>
    <x v="0"/>
    <x v="58"/>
    <n v="-6819217.6500000004"/>
    <x v="0"/>
  </r>
  <r>
    <x v="36"/>
    <x v="1"/>
    <x v="58"/>
    <n v="-6819217.6500000004"/>
    <x v="0"/>
  </r>
  <r>
    <x v="36"/>
    <x v="2"/>
    <x v="58"/>
    <n v="-6819217.6500000004"/>
    <x v="0"/>
  </r>
  <r>
    <x v="36"/>
    <x v="3"/>
    <x v="58"/>
    <n v="-6819217.6500000004"/>
    <x v="0"/>
  </r>
  <r>
    <x v="36"/>
    <x v="4"/>
    <x v="58"/>
    <n v="-6819217.6500000004"/>
    <x v="0"/>
  </r>
  <r>
    <x v="36"/>
    <x v="0"/>
    <x v="13"/>
    <n v="-9827696.5500000007"/>
    <x v="0"/>
  </r>
  <r>
    <x v="36"/>
    <x v="1"/>
    <x v="13"/>
    <n v="-9827696.5500000007"/>
    <x v="0"/>
  </r>
  <r>
    <x v="36"/>
    <x v="2"/>
    <x v="13"/>
    <n v="-9827696.5500000007"/>
    <x v="0"/>
  </r>
  <r>
    <x v="36"/>
    <x v="3"/>
    <x v="13"/>
    <n v="-9827696.5500000007"/>
    <x v="0"/>
  </r>
  <r>
    <x v="36"/>
    <x v="4"/>
    <x v="13"/>
    <n v="-9827696.5500000007"/>
    <x v="0"/>
  </r>
  <r>
    <x v="36"/>
    <x v="0"/>
    <x v="133"/>
    <n v="-9827696.5500000007"/>
    <x v="0"/>
  </r>
  <r>
    <x v="36"/>
    <x v="1"/>
    <x v="133"/>
    <n v="-9827696.5500000007"/>
    <x v="0"/>
  </r>
  <r>
    <x v="36"/>
    <x v="2"/>
    <x v="133"/>
    <n v="-9827696.5500000007"/>
    <x v="0"/>
  </r>
  <r>
    <x v="36"/>
    <x v="3"/>
    <x v="133"/>
    <n v="-9827696.5500000007"/>
    <x v="0"/>
  </r>
  <r>
    <x v="36"/>
    <x v="4"/>
    <x v="133"/>
    <n v="-9827696.5500000007"/>
    <x v="0"/>
  </r>
  <r>
    <x v="36"/>
    <x v="0"/>
    <x v="133"/>
    <n v="-9827696.5500000007"/>
    <x v="0"/>
  </r>
  <r>
    <x v="36"/>
    <x v="1"/>
    <x v="133"/>
    <n v="-9827696.5500000007"/>
    <x v="0"/>
  </r>
  <r>
    <x v="36"/>
    <x v="2"/>
    <x v="133"/>
    <n v="-9827696.5500000007"/>
    <x v="0"/>
  </r>
  <r>
    <x v="36"/>
    <x v="3"/>
    <x v="133"/>
    <n v="-9827696.5500000007"/>
    <x v="0"/>
  </r>
  <r>
    <x v="36"/>
    <x v="4"/>
    <x v="133"/>
    <n v="-9827696.5500000007"/>
    <x v="0"/>
  </r>
  <r>
    <x v="36"/>
    <x v="0"/>
    <x v="134"/>
    <n v="-7822044.3000000007"/>
    <x v="0"/>
  </r>
  <r>
    <x v="36"/>
    <x v="1"/>
    <x v="134"/>
    <n v="-7822044.3000000007"/>
    <x v="0"/>
  </r>
  <r>
    <x v="36"/>
    <x v="2"/>
    <x v="134"/>
    <n v="-7822044.3000000007"/>
    <x v="0"/>
  </r>
  <r>
    <x v="36"/>
    <x v="3"/>
    <x v="134"/>
    <n v="-7822044.3000000007"/>
    <x v="0"/>
  </r>
  <r>
    <x v="36"/>
    <x v="4"/>
    <x v="134"/>
    <n v="-7822044.3000000007"/>
    <x v="0"/>
  </r>
  <r>
    <x v="37"/>
    <x v="2"/>
    <x v="0"/>
    <n v="-3184375.68"/>
    <x v="0"/>
  </r>
  <r>
    <x v="37"/>
    <x v="3"/>
    <x v="0"/>
    <n v="-3184375.68"/>
    <x v="0"/>
  </r>
  <r>
    <x v="37"/>
    <x v="4"/>
    <x v="0"/>
    <n v="-3184375.68"/>
    <x v="0"/>
  </r>
  <r>
    <x v="37"/>
    <x v="5"/>
    <x v="0"/>
    <n v="-3184375.68"/>
    <x v="0"/>
  </r>
  <r>
    <x v="37"/>
    <x v="6"/>
    <x v="0"/>
    <n v="-3184375.68"/>
    <x v="0"/>
  </r>
  <r>
    <x v="37"/>
    <x v="7"/>
    <x v="0"/>
    <n v="-4776563.5200000005"/>
    <x v="0"/>
  </r>
  <r>
    <x v="37"/>
    <x v="8"/>
    <x v="0"/>
    <n v="-4776563.5200000005"/>
    <x v="0"/>
  </r>
  <r>
    <x v="37"/>
    <x v="9"/>
    <x v="0"/>
    <n v="-4776563.5200000005"/>
    <x v="0"/>
  </r>
  <r>
    <x v="37"/>
    <x v="10"/>
    <x v="0"/>
    <n v="-4776563.5200000005"/>
    <x v="0"/>
  </r>
  <r>
    <x v="37"/>
    <x v="11"/>
    <x v="0"/>
    <n v="-4776563.5200000005"/>
    <x v="0"/>
  </r>
  <r>
    <x v="37"/>
    <x v="12"/>
    <x v="0"/>
    <n v="-4776563.5200000005"/>
    <x v="0"/>
  </r>
  <r>
    <x v="37"/>
    <x v="13"/>
    <x v="0"/>
    <n v="-4776563.5200000005"/>
    <x v="0"/>
  </r>
  <r>
    <x v="37"/>
    <x v="14"/>
    <x v="0"/>
    <n v="-4776563.5200000005"/>
    <x v="0"/>
  </r>
  <r>
    <x v="37"/>
    <x v="15"/>
    <x v="0"/>
    <n v="-4776563.5200000005"/>
    <x v="0"/>
  </r>
  <r>
    <x v="37"/>
    <x v="16"/>
    <x v="0"/>
    <n v="-4776563.5200000005"/>
    <x v="0"/>
  </r>
  <r>
    <x v="37"/>
    <x v="17"/>
    <x v="0"/>
    <n v="-4776563.5200000005"/>
    <x v="0"/>
  </r>
  <r>
    <x v="37"/>
    <x v="18"/>
    <x v="0"/>
    <n v="-4776563.5200000005"/>
    <x v="0"/>
  </r>
  <r>
    <x v="37"/>
    <x v="19"/>
    <x v="0"/>
    <n v="-4776563.5200000005"/>
    <x v="0"/>
  </r>
  <r>
    <x v="37"/>
    <x v="20"/>
    <x v="0"/>
    <n v="-4776563.5200000005"/>
    <x v="0"/>
  </r>
  <r>
    <x v="37"/>
    <x v="21"/>
    <x v="0"/>
    <n v="-4776563.5200000005"/>
    <x v="0"/>
  </r>
  <r>
    <x v="37"/>
    <x v="22"/>
    <x v="0"/>
    <n v="-4776563.5200000005"/>
    <x v="0"/>
  </r>
  <r>
    <x v="37"/>
    <x v="23"/>
    <x v="0"/>
    <n v="-4776563.5200000005"/>
    <x v="0"/>
  </r>
  <r>
    <x v="37"/>
    <x v="24"/>
    <x v="0"/>
    <n v="-4776563.5200000005"/>
    <x v="0"/>
  </r>
  <r>
    <x v="37"/>
    <x v="25"/>
    <x v="0"/>
    <n v="-4776563.5200000005"/>
    <x v="0"/>
  </r>
  <r>
    <x v="37"/>
    <x v="26"/>
    <x v="0"/>
    <n v="-4776563.5200000005"/>
    <x v="0"/>
  </r>
  <r>
    <x v="37"/>
    <x v="2"/>
    <x v="1"/>
    <n v="-6862500"/>
    <x v="0"/>
  </r>
  <r>
    <x v="37"/>
    <x v="3"/>
    <x v="1"/>
    <n v="-6862500"/>
    <x v="0"/>
  </r>
  <r>
    <x v="37"/>
    <x v="4"/>
    <x v="1"/>
    <n v="-6862500"/>
    <x v="0"/>
  </r>
  <r>
    <x v="37"/>
    <x v="5"/>
    <x v="1"/>
    <n v="-6862500"/>
    <x v="0"/>
  </r>
  <r>
    <x v="37"/>
    <x v="6"/>
    <x v="1"/>
    <n v="-6862500"/>
    <x v="0"/>
  </r>
  <r>
    <x v="37"/>
    <x v="7"/>
    <x v="1"/>
    <n v="-9150000"/>
    <x v="0"/>
  </r>
  <r>
    <x v="37"/>
    <x v="8"/>
    <x v="1"/>
    <n v="-9150000"/>
    <x v="0"/>
  </r>
  <r>
    <x v="37"/>
    <x v="9"/>
    <x v="1"/>
    <n v="-9150000"/>
    <x v="0"/>
  </r>
  <r>
    <x v="37"/>
    <x v="10"/>
    <x v="1"/>
    <n v="-9150000"/>
    <x v="0"/>
  </r>
  <r>
    <x v="37"/>
    <x v="11"/>
    <x v="1"/>
    <n v="-9150000"/>
    <x v="0"/>
  </r>
  <r>
    <x v="37"/>
    <x v="12"/>
    <x v="1"/>
    <n v="-9150000"/>
    <x v="0"/>
  </r>
  <r>
    <x v="37"/>
    <x v="13"/>
    <x v="1"/>
    <n v="-9150000"/>
    <x v="0"/>
  </r>
  <r>
    <x v="37"/>
    <x v="14"/>
    <x v="1"/>
    <n v="-9150000"/>
    <x v="0"/>
  </r>
  <r>
    <x v="37"/>
    <x v="15"/>
    <x v="1"/>
    <n v="-9150000"/>
    <x v="0"/>
  </r>
  <r>
    <x v="37"/>
    <x v="16"/>
    <x v="1"/>
    <n v="-9150000"/>
    <x v="0"/>
  </r>
  <r>
    <x v="37"/>
    <x v="17"/>
    <x v="1"/>
    <n v="-9150000"/>
    <x v="0"/>
  </r>
  <r>
    <x v="37"/>
    <x v="18"/>
    <x v="1"/>
    <n v="-9150000"/>
    <x v="0"/>
  </r>
  <r>
    <x v="37"/>
    <x v="19"/>
    <x v="1"/>
    <n v="-9150000"/>
    <x v="0"/>
  </r>
  <r>
    <x v="37"/>
    <x v="20"/>
    <x v="1"/>
    <n v="-9150000"/>
    <x v="0"/>
  </r>
  <r>
    <x v="37"/>
    <x v="21"/>
    <x v="1"/>
    <n v="-9150000"/>
    <x v="0"/>
  </r>
  <r>
    <x v="37"/>
    <x v="22"/>
    <x v="1"/>
    <n v="-9150000"/>
    <x v="0"/>
  </r>
  <r>
    <x v="37"/>
    <x v="23"/>
    <x v="1"/>
    <n v="-9150000"/>
    <x v="0"/>
  </r>
  <r>
    <x v="37"/>
    <x v="24"/>
    <x v="1"/>
    <n v="-9150000"/>
    <x v="0"/>
  </r>
  <r>
    <x v="37"/>
    <x v="25"/>
    <x v="1"/>
    <n v="-9150000"/>
    <x v="0"/>
  </r>
  <r>
    <x v="37"/>
    <x v="26"/>
    <x v="1"/>
    <n v="-9150000"/>
    <x v="0"/>
  </r>
  <r>
    <x v="37"/>
    <x v="2"/>
    <x v="119"/>
    <n v="-6000000"/>
    <x v="0"/>
  </r>
  <r>
    <x v="37"/>
    <x v="3"/>
    <x v="119"/>
    <n v="-6000000"/>
    <x v="0"/>
  </r>
  <r>
    <x v="37"/>
    <x v="4"/>
    <x v="119"/>
    <n v="-6000000"/>
    <x v="0"/>
  </r>
  <r>
    <x v="37"/>
    <x v="5"/>
    <x v="119"/>
    <n v="-6000000"/>
    <x v="0"/>
  </r>
  <r>
    <x v="37"/>
    <x v="6"/>
    <x v="119"/>
    <n v="-6000000"/>
    <x v="0"/>
  </r>
  <r>
    <x v="37"/>
    <x v="7"/>
    <x v="119"/>
    <n v="-6000000"/>
    <x v="0"/>
  </r>
  <r>
    <x v="37"/>
    <x v="8"/>
    <x v="119"/>
    <n v="-6000000"/>
    <x v="0"/>
  </r>
  <r>
    <x v="37"/>
    <x v="9"/>
    <x v="119"/>
    <n v="-6000000"/>
    <x v="0"/>
  </r>
  <r>
    <x v="37"/>
    <x v="10"/>
    <x v="119"/>
    <n v="-6000000"/>
    <x v="0"/>
  </r>
  <r>
    <x v="37"/>
    <x v="11"/>
    <x v="119"/>
    <n v="-6000000"/>
    <x v="0"/>
  </r>
  <r>
    <x v="37"/>
    <x v="12"/>
    <x v="119"/>
    <n v="-6000000"/>
    <x v="0"/>
  </r>
  <r>
    <x v="37"/>
    <x v="13"/>
    <x v="119"/>
    <n v="-6000000"/>
    <x v="0"/>
  </r>
  <r>
    <x v="37"/>
    <x v="14"/>
    <x v="119"/>
    <n v="-6000000"/>
    <x v="0"/>
  </r>
  <r>
    <x v="37"/>
    <x v="15"/>
    <x v="119"/>
    <n v="-6000000"/>
    <x v="0"/>
  </r>
  <r>
    <x v="37"/>
    <x v="2"/>
    <x v="3"/>
    <n v="-6000000"/>
    <x v="0"/>
  </r>
  <r>
    <x v="37"/>
    <x v="3"/>
    <x v="3"/>
    <n v="-6000000"/>
    <x v="0"/>
  </r>
  <r>
    <x v="37"/>
    <x v="4"/>
    <x v="3"/>
    <n v="-6000000"/>
    <x v="0"/>
  </r>
  <r>
    <x v="37"/>
    <x v="5"/>
    <x v="3"/>
    <n v="-6000000"/>
    <x v="0"/>
  </r>
  <r>
    <x v="37"/>
    <x v="6"/>
    <x v="3"/>
    <n v="-6000000"/>
    <x v="0"/>
  </r>
  <r>
    <x v="37"/>
    <x v="7"/>
    <x v="3"/>
    <n v="-6000000"/>
    <x v="0"/>
  </r>
  <r>
    <x v="37"/>
    <x v="8"/>
    <x v="3"/>
    <n v="-6000000"/>
    <x v="0"/>
  </r>
  <r>
    <x v="37"/>
    <x v="9"/>
    <x v="3"/>
    <n v="-6000000"/>
    <x v="0"/>
  </r>
  <r>
    <x v="37"/>
    <x v="10"/>
    <x v="3"/>
    <n v="-6000000"/>
    <x v="0"/>
  </r>
  <r>
    <x v="37"/>
    <x v="11"/>
    <x v="3"/>
    <n v="-6000000"/>
    <x v="0"/>
  </r>
  <r>
    <x v="37"/>
    <x v="12"/>
    <x v="3"/>
    <n v="-6000000"/>
    <x v="0"/>
  </r>
  <r>
    <x v="37"/>
    <x v="13"/>
    <x v="3"/>
    <n v="-6000000"/>
    <x v="0"/>
  </r>
  <r>
    <x v="37"/>
    <x v="2"/>
    <x v="15"/>
    <n v="-3058762.5"/>
    <x v="0"/>
  </r>
  <r>
    <x v="37"/>
    <x v="3"/>
    <x v="15"/>
    <n v="-3058762.5"/>
    <x v="0"/>
  </r>
  <r>
    <x v="37"/>
    <x v="4"/>
    <x v="15"/>
    <n v="-3058762.5"/>
    <x v="0"/>
  </r>
  <r>
    <x v="37"/>
    <x v="2"/>
    <x v="15"/>
    <n v="-4078350"/>
    <x v="0"/>
  </r>
  <r>
    <x v="37"/>
    <x v="3"/>
    <x v="15"/>
    <n v="-4078350"/>
    <x v="0"/>
  </r>
  <r>
    <x v="37"/>
    <x v="4"/>
    <x v="15"/>
    <n v="-4078350"/>
    <x v="0"/>
  </r>
  <r>
    <x v="37"/>
    <x v="5"/>
    <x v="15"/>
    <n v="-4078350"/>
    <x v="0"/>
  </r>
  <r>
    <x v="37"/>
    <x v="6"/>
    <x v="15"/>
    <n v="-4078350"/>
    <x v="0"/>
  </r>
  <r>
    <x v="37"/>
    <x v="7"/>
    <x v="15"/>
    <n v="-4078350"/>
    <x v="0"/>
  </r>
  <r>
    <x v="37"/>
    <x v="8"/>
    <x v="15"/>
    <n v="-4078350"/>
    <x v="0"/>
  </r>
  <r>
    <x v="37"/>
    <x v="9"/>
    <x v="15"/>
    <n v="-4078350"/>
    <x v="0"/>
  </r>
  <r>
    <x v="37"/>
    <x v="10"/>
    <x v="15"/>
    <n v="-4078350"/>
    <x v="0"/>
  </r>
  <r>
    <x v="37"/>
    <x v="11"/>
    <x v="15"/>
    <n v="-4078350"/>
    <x v="0"/>
  </r>
  <r>
    <x v="37"/>
    <x v="12"/>
    <x v="15"/>
    <n v="-4078350"/>
    <x v="0"/>
  </r>
  <r>
    <x v="37"/>
    <x v="13"/>
    <x v="15"/>
    <n v="-4078350"/>
    <x v="0"/>
  </r>
  <r>
    <x v="37"/>
    <x v="14"/>
    <x v="15"/>
    <n v="-4078350"/>
    <x v="0"/>
  </r>
  <r>
    <x v="37"/>
    <x v="15"/>
    <x v="15"/>
    <n v="-4078350"/>
    <x v="0"/>
  </r>
  <r>
    <x v="37"/>
    <x v="16"/>
    <x v="15"/>
    <n v="-4078350"/>
    <x v="0"/>
  </r>
  <r>
    <x v="37"/>
    <x v="17"/>
    <x v="15"/>
    <n v="-4078350"/>
    <x v="0"/>
  </r>
  <r>
    <x v="37"/>
    <x v="18"/>
    <x v="15"/>
    <n v="-4078350"/>
    <x v="0"/>
  </r>
  <r>
    <x v="37"/>
    <x v="19"/>
    <x v="15"/>
    <n v="-4078350"/>
    <x v="0"/>
  </r>
  <r>
    <x v="37"/>
    <x v="20"/>
    <x v="15"/>
    <n v="-4078350"/>
    <x v="0"/>
  </r>
  <r>
    <x v="37"/>
    <x v="21"/>
    <x v="15"/>
    <n v="-4078350"/>
    <x v="0"/>
  </r>
  <r>
    <x v="37"/>
    <x v="2"/>
    <x v="58"/>
    <n v="-3923277"/>
    <x v="0"/>
  </r>
  <r>
    <x v="37"/>
    <x v="3"/>
    <x v="58"/>
    <n v="-3923277"/>
    <x v="0"/>
  </r>
  <r>
    <x v="37"/>
    <x v="4"/>
    <x v="58"/>
    <n v="-3923277"/>
    <x v="0"/>
  </r>
  <r>
    <x v="37"/>
    <x v="5"/>
    <x v="58"/>
    <n v="-3923277"/>
    <x v="0"/>
  </r>
  <r>
    <x v="37"/>
    <x v="6"/>
    <x v="58"/>
    <n v="-3923277"/>
    <x v="0"/>
  </r>
  <r>
    <x v="37"/>
    <x v="7"/>
    <x v="58"/>
    <n v="-3923277"/>
    <x v="0"/>
  </r>
  <r>
    <x v="37"/>
    <x v="8"/>
    <x v="58"/>
    <n v="-3923277"/>
    <x v="0"/>
  </r>
  <r>
    <x v="37"/>
    <x v="2"/>
    <x v="20"/>
    <n v="-3815999.9999999995"/>
    <x v="0"/>
  </r>
  <r>
    <x v="37"/>
    <x v="3"/>
    <x v="20"/>
    <n v="-3815999.9999999995"/>
    <x v="0"/>
  </r>
  <r>
    <x v="37"/>
    <x v="4"/>
    <x v="20"/>
    <n v="-3815999.9999999995"/>
    <x v="0"/>
  </r>
  <r>
    <x v="37"/>
    <x v="5"/>
    <x v="20"/>
    <n v="-3815999.9999999995"/>
    <x v="0"/>
  </r>
  <r>
    <x v="37"/>
    <x v="6"/>
    <x v="20"/>
    <n v="-3815999.9999999995"/>
    <x v="0"/>
  </r>
  <r>
    <x v="37"/>
    <x v="7"/>
    <x v="20"/>
    <n v="-3815999.9999999995"/>
    <x v="0"/>
  </r>
  <r>
    <x v="37"/>
    <x v="8"/>
    <x v="20"/>
    <n v="-3815999.9999999995"/>
    <x v="0"/>
  </r>
  <r>
    <x v="37"/>
    <x v="9"/>
    <x v="20"/>
    <n v="-3815999.9999999995"/>
    <x v="0"/>
  </r>
  <r>
    <x v="37"/>
    <x v="10"/>
    <x v="20"/>
    <n v="-3815999.9999999995"/>
    <x v="0"/>
  </r>
  <r>
    <x v="37"/>
    <x v="11"/>
    <x v="20"/>
    <n v="-3815999.9999999995"/>
    <x v="0"/>
  </r>
  <r>
    <x v="37"/>
    <x v="12"/>
    <x v="20"/>
    <n v="-3815999.9999999995"/>
    <x v="0"/>
  </r>
  <r>
    <x v="37"/>
    <x v="13"/>
    <x v="20"/>
    <n v="-3815999.9999999995"/>
    <x v="0"/>
  </r>
  <r>
    <x v="37"/>
    <x v="14"/>
    <x v="20"/>
    <n v="-3815999.9999999995"/>
    <x v="0"/>
  </r>
  <r>
    <x v="37"/>
    <x v="15"/>
    <x v="20"/>
    <n v="-3815999.9999999995"/>
    <x v="0"/>
  </r>
  <r>
    <x v="37"/>
    <x v="16"/>
    <x v="20"/>
    <n v="-3815999.9999999995"/>
    <x v="0"/>
  </r>
  <r>
    <x v="37"/>
    <x v="17"/>
    <x v="20"/>
    <n v="-3815999.9999999995"/>
    <x v="0"/>
  </r>
  <r>
    <x v="37"/>
    <x v="18"/>
    <x v="20"/>
    <n v="-3815999.9999999995"/>
    <x v="0"/>
  </r>
  <r>
    <x v="37"/>
    <x v="19"/>
    <x v="20"/>
    <n v="-3815999.9999999995"/>
    <x v="0"/>
  </r>
  <r>
    <x v="37"/>
    <x v="20"/>
    <x v="20"/>
    <n v="-3815999.9999999995"/>
    <x v="0"/>
  </r>
  <r>
    <x v="37"/>
    <x v="21"/>
    <x v="20"/>
    <n v="-3815999.9999999995"/>
    <x v="0"/>
  </r>
  <r>
    <x v="37"/>
    <x v="22"/>
    <x v="20"/>
    <n v="-3815999.9999999995"/>
    <x v="0"/>
  </r>
  <r>
    <x v="37"/>
    <x v="23"/>
    <x v="20"/>
    <n v="-3815999.9999999995"/>
    <x v="0"/>
  </r>
  <r>
    <x v="37"/>
    <x v="24"/>
    <x v="20"/>
    <n v="-3815999.9999999995"/>
    <x v="0"/>
  </r>
  <r>
    <x v="37"/>
    <x v="25"/>
    <x v="20"/>
    <n v="-3815999.9999999995"/>
    <x v="0"/>
  </r>
  <r>
    <x v="38"/>
    <x v="3"/>
    <x v="13"/>
    <n v="-5724000"/>
    <x v="0"/>
  </r>
  <r>
    <x v="38"/>
    <x v="3"/>
    <x v="15"/>
    <n v="-5271741"/>
    <x v="0"/>
  </r>
  <r>
    <x v="38"/>
    <x v="3"/>
    <x v="5"/>
    <n v="-1963650"/>
    <x v="0"/>
  </r>
  <r>
    <x v="38"/>
    <x v="3"/>
    <x v="0"/>
    <n v="-3183727.68"/>
    <x v="0"/>
  </r>
  <r>
    <x v="38"/>
    <x v="4"/>
    <x v="0"/>
    <n v="-3183727.68"/>
    <x v="0"/>
  </r>
  <r>
    <x v="38"/>
    <x v="5"/>
    <x v="0"/>
    <n v="-3183727.68"/>
    <x v="0"/>
  </r>
  <r>
    <x v="38"/>
    <x v="6"/>
    <x v="0"/>
    <n v="-3183727.68"/>
    <x v="0"/>
  </r>
  <r>
    <x v="38"/>
    <x v="7"/>
    <x v="0"/>
    <n v="-3183727.68"/>
    <x v="0"/>
  </r>
  <r>
    <x v="38"/>
    <x v="8"/>
    <x v="0"/>
    <n v="-3183727.68"/>
    <x v="0"/>
  </r>
  <r>
    <x v="38"/>
    <x v="9"/>
    <x v="0"/>
    <n v="-3183727.68"/>
    <x v="0"/>
  </r>
  <r>
    <x v="38"/>
    <x v="10"/>
    <x v="0"/>
    <n v="-3183727.68"/>
    <x v="0"/>
  </r>
  <r>
    <x v="38"/>
    <x v="11"/>
    <x v="0"/>
    <n v="-3183727.68"/>
    <x v="0"/>
  </r>
  <r>
    <x v="38"/>
    <x v="12"/>
    <x v="0"/>
    <n v="-3183727.68"/>
    <x v="0"/>
  </r>
  <r>
    <x v="38"/>
    <x v="3"/>
    <x v="77"/>
    <n v="-6750000"/>
    <x v="0"/>
  </r>
  <r>
    <x v="38"/>
    <x v="4"/>
    <x v="77"/>
    <n v="-6750000"/>
    <x v="0"/>
  </r>
  <r>
    <x v="38"/>
    <x v="5"/>
    <x v="77"/>
    <n v="-6750000"/>
    <x v="0"/>
  </r>
  <r>
    <x v="38"/>
    <x v="6"/>
    <x v="77"/>
    <n v="-6750000"/>
    <x v="0"/>
  </r>
  <r>
    <x v="38"/>
    <x v="7"/>
    <x v="77"/>
    <n v="-6750000"/>
    <x v="0"/>
  </r>
  <r>
    <x v="38"/>
    <x v="8"/>
    <x v="77"/>
    <n v="-6750000"/>
    <x v="0"/>
  </r>
  <r>
    <x v="38"/>
    <x v="9"/>
    <x v="77"/>
    <n v="-6750000"/>
    <x v="0"/>
  </r>
  <r>
    <x v="38"/>
    <x v="10"/>
    <x v="77"/>
    <n v="-6750000"/>
    <x v="0"/>
  </r>
  <r>
    <x v="38"/>
    <x v="11"/>
    <x v="77"/>
    <n v="-6750000"/>
    <x v="0"/>
  </r>
  <r>
    <x v="38"/>
    <x v="12"/>
    <x v="77"/>
    <n v="-6750000"/>
    <x v="0"/>
  </r>
  <r>
    <x v="38"/>
    <x v="3"/>
    <x v="58"/>
    <n v="-1961638.5"/>
    <x v="0"/>
  </r>
  <r>
    <x v="38"/>
    <x v="4"/>
    <x v="58"/>
    <n v="-1961638.5"/>
    <x v="0"/>
  </r>
  <r>
    <x v="38"/>
    <x v="5"/>
    <x v="58"/>
    <n v="-1961638.5"/>
    <x v="0"/>
  </r>
  <r>
    <x v="38"/>
    <x v="6"/>
    <x v="58"/>
    <n v="-1961638.5"/>
    <x v="0"/>
  </r>
  <r>
    <x v="38"/>
    <x v="7"/>
    <x v="58"/>
    <n v="-1961638.5"/>
    <x v="0"/>
  </r>
  <r>
    <x v="38"/>
    <x v="8"/>
    <x v="58"/>
    <n v="-1961638.5"/>
    <x v="0"/>
  </r>
  <r>
    <x v="38"/>
    <x v="9"/>
    <x v="58"/>
    <n v="-1961638.5"/>
    <x v="0"/>
  </r>
  <r>
    <x v="38"/>
    <x v="3"/>
    <x v="15"/>
    <n v="-4078350"/>
    <x v="0"/>
  </r>
  <r>
    <x v="38"/>
    <x v="4"/>
    <x v="15"/>
    <n v="-4078350"/>
    <x v="0"/>
  </r>
  <r>
    <x v="38"/>
    <x v="5"/>
    <x v="15"/>
    <n v="-4078350"/>
    <x v="0"/>
  </r>
  <r>
    <x v="38"/>
    <x v="6"/>
    <x v="15"/>
    <n v="-4078350"/>
    <x v="0"/>
  </r>
  <r>
    <x v="38"/>
    <x v="7"/>
    <x v="15"/>
    <n v="-4078350"/>
    <x v="0"/>
  </r>
  <r>
    <x v="38"/>
    <x v="8"/>
    <x v="15"/>
    <n v="-4078350"/>
    <x v="0"/>
  </r>
  <r>
    <x v="38"/>
    <x v="9"/>
    <x v="15"/>
    <n v="-4078350"/>
    <x v="0"/>
  </r>
  <r>
    <x v="38"/>
    <x v="10"/>
    <x v="15"/>
    <n v="-4078350"/>
    <x v="0"/>
  </r>
  <r>
    <x v="38"/>
    <x v="11"/>
    <x v="15"/>
    <n v="-4078350"/>
    <x v="0"/>
  </r>
  <r>
    <x v="38"/>
    <x v="12"/>
    <x v="15"/>
    <n v="-4078350"/>
    <x v="0"/>
  </r>
  <r>
    <x v="38"/>
    <x v="3"/>
    <x v="14"/>
    <n v="-4626300.8879999993"/>
    <x v="0"/>
  </r>
  <r>
    <x v="38"/>
    <x v="4"/>
    <x v="14"/>
    <n v="-4626300.8879999993"/>
    <x v="0"/>
  </r>
  <r>
    <x v="38"/>
    <x v="5"/>
    <x v="14"/>
    <n v="-4626300.8879999993"/>
    <x v="0"/>
  </r>
  <r>
    <x v="38"/>
    <x v="6"/>
    <x v="14"/>
    <n v="-4626300.8879999993"/>
    <x v="0"/>
  </r>
  <r>
    <x v="38"/>
    <x v="7"/>
    <x v="14"/>
    <n v="-4626300.8879999993"/>
    <x v="0"/>
  </r>
  <r>
    <x v="38"/>
    <x v="8"/>
    <x v="14"/>
    <n v="-4626300.8879999993"/>
    <x v="0"/>
  </r>
  <r>
    <x v="38"/>
    <x v="9"/>
    <x v="14"/>
    <n v="-4626300.8879999993"/>
    <x v="0"/>
  </r>
  <r>
    <x v="38"/>
    <x v="10"/>
    <x v="14"/>
    <n v="-4626300.8879999993"/>
    <x v="0"/>
  </r>
  <r>
    <x v="38"/>
    <x v="11"/>
    <x v="14"/>
    <n v="-4626300.8879999993"/>
    <x v="0"/>
  </r>
  <r>
    <x v="38"/>
    <x v="3"/>
    <x v="13"/>
    <n v="-7512750"/>
    <x v="0"/>
  </r>
  <r>
    <x v="38"/>
    <x v="4"/>
    <x v="13"/>
    <n v="-7512750"/>
    <x v="0"/>
  </r>
  <r>
    <x v="38"/>
    <x v="5"/>
    <x v="13"/>
    <n v="-7512750"/>
    <x v="0"/>
  </r>
  <r>
    <x v="38"/>
    <x v="6"/>
    <x v="13"/>
    <n v="-7512750"/>
    <x v="0"/>
  </r>
  <r>
    <x v="38"/>
    <x v="3"/>
    <x v="14"/>
    <n v="-5204588.4989999998"/>
    <x v="0"/>
  </r>
  <r>
    <x v="38"/>
    <x v="4"/>
    <x v="14"/>
    <n v="-5204588.4989999998"/>
    <x v="0"/>
  </r>
  <r>
    <x v="38"/>
    <x v="5"/>
    <x v="14"/>
    <n v="-5204588.4989999998"/>
    <x v="0"/>
  </r>
  <r>
    <x v="39"/>
    <x v="3"/>
    <x v="0"/>
    <n v="-2323944"/>
    <x v="0"/>
  </r>
  <r>
    <x v="39"/>
    <x v="4"/>
    <x v="0"/>
    <n v="-2323944"/>
    <x v="0"/>
  </r>
  <r>
    <x v="39"/>
    <x v="5"/>
    <x v="0"/>
    <n v="-2323944"/>
    <x v="0"/>
  </r>
  <r>
    <x v="39"/>
    <x v="6"/>
    <x v="0"/>
    <n v="-2323944"/>
    <x v="0"/>
  </r>
  <r>
    <x v="39"/>
    <x v="7"/>
    <x v="0"/>
    <n v="-2323944"/>
    <x v="0"/>
  </r>
  <r>
    <x v="39"/>
    <x v="8"/>
    <x v="0"/>
    <n v="-2323944"/>
    <x v="0"/>
  </r>
  <r>
    <x v="39"/>
    <x v="9"/>
    <x v="0"/>
    <n v="-2323944"/>
    <x v="0"/>
  </r>
  <r>
    <x v="39"/>
    <x v="10"/>
    <x v="0"/>
    <n v="-2323944"/>
    <x v="0"/>
  </r>
  <r>
    <x v="39"/>
    <x v="11"/>
    <x v="0"/>
    <n v="-2323944"/>
    <x v="0"/>
  </r>
  <r>
    <x v="39"/>
    <x v="12"/>
    <x v="0"/>
    <n v="-2323944"/>
    <x v="0"/>
  </r>
  <r>
    <x v="39"/>
    <x v="13"/>
    <x v="0"/>
    <n v="-2323944"/>
    <x v="0"/>
  </r>
  <r>
    <x v="39"/>
    <x v="14"/>
    <x v="0"/>
    <n v="-2323944"/>
    <x v="0"/>
  </r>
  <r>
    <x v="39"/>
    <x v="15"/>
    <x v="0"/>
    <n v="-2323944"/>
    <x v="0"/>
  </r>
  <r>
    <x v="39"/>
    <x v="3"/>
    <x v="0"/>
    <n v="-726232.5"/>
    <x v="0"/>
  </r>
  <r>
    <x v="39"/>
    <x v="4"/>
    <x v="0"/>
    <n v="-726232.5"/>
    <x v="0"/>
  </r>
  <r>
    <x v="39"/>
    <x v="5"/>
    <x v="0"/>
    <n v="-726232.5"/>
    <x v="0"/>
  </r>
  <r>
    <x v="39"/>
    <x v="6"/>
    <x v="0"/>
    <n v="-726232.5"/>
    <x v="0"/>
  </r>
  <r>
    <x v="39"/>
    <x v="3"/>
    <x v="62"/>
    <n v="-9883440"/>
    <x v="0"/>
  </r>
  <r>
    <x v="39"/>
    <x v="4"/>
    <x v="62"/>
    <n v="-9883440"/>
    <x v="0"/>
  </r>
  <r>
    <x v="39"/>
    <x v="5"/>
    <x v="62"/>
    <n v="-9883440"/>
    <x v="0"/>
  </r>
  <r>
    <x v="39"/>
    <x v="6"/>
    <x v="62"/>
    <n v="-9883440"/>
    <x v="0"/>
  </r>
  <r>
    <x v="39"/>
    <x v="7"/>
    <x v="62"/>
    <n v="-9883440"/>
    <x v="0"/>
  </r>
  <r>
    <x v="39"/>
    <x v="8"/>
    <x v="62"/>
    <n v="-9883440"/>
    <x v="0"/>
  </r>
  <r>
    <x v="39"/>
    <x v="9"/>
    <x v="62"/>
    <n v="-9883440"/>
    <x v="0"/>
  </r>
  <r>
    <x v="39"/>
    <x v="10"/>
    <x v="62"/>
    <n v="-9883440"/>
    <x v="0"/>
  </r>
  <r>
    <x v="39"/>
    <x v="11"/>
    <x v="62"/>
    <n v="-9883440"/>
    <x v="0"/>
  </r>
  <r>
    <x v="39"/>
    <x v="12"/>
    <x v="62"/>
    <n v="-9883440"/>
    <x v="0"/>
  </r>
  <r>
    <x v="39"/>
    <x v="13"/>
    <x v="62"/>
    <n v="-9883440"/>
    <x v="0"/>
  </r>
  <r>
    <x v="39"/>
    <x v="14"/>
    <x v="62"/>
    <n v="-9883440"/>
    <x v="0"/>
  </r>
  <r>
    <x v="39"/>
    <x v="15"/>
    <x v="62"/>
    <n v="-9883440"/>
    <x v="0"/>
  </r>
  <r>
    <x v="39"/>
    <x v="3"/>
    <x v="135"/>
    <n v="-5930064"/>
    <x v="0"/>
  </r>
  <r>
    <x v="39"/>
    <x v="4"/>
    <x v="135"/>
    <n v="-5930064"/>
    <x v="0"/>
  </r>
  <r>
    <x v="39"/>
    <x v="5"/>
    <x v="135"/>
    <n v="-5930064"/>
    <x v="0"/>
  </r>
  <r>
    <x v="39"/>
    <x v="6"/>
    <x v="135"/>
    <n v="-5930064"/>
    <x v="0"/>
  </r>
  <r>
    <x v="39"/>
    <x v="7"/>
    <x v="135"/>
    <n v="-5930064"/>
    <x v="0"/>
  </r>
  <r>
    <x v="39"/>
    <x v="8"/>
    <x v="135"/>
    <n v="-5930064"/>
    <x v="0"/>
  </r>
  <r>
    <x v="39"/>
    <x v="9"/>
    <x v="135"/>
    <n v="-5930064"/>
    <x v="0"/>
  </r>
  <r>
    <x v="39"/>
    <x v="10"/>
    <x v="135"/>
    <n v="-5930064"/>
    <x v="0"/>
  </r>
  <r>
    <x v="39"/>
    <x v="11"/>
    <x v="135"/>
    <n v="-5930064"/>
    <x v="0"/>
  </r>
  <r>
    <x v="39"/>
    <x v="12"/>
    <x v="135"/>
    <n v="-5930064"/>
    <x v="0"/>
  </r>
  <r>
    <x v="39"/>
    <x v="13"/>
    <x v="135"/>
    <n v="-5930064"/>
    <x v="0"/>
  </r>
  <r>
    <x v="39"/>
    <x v="14"/>
    <x v="135"/>
    <n v="-5930064"/>
    <x v="0"/>
  </r>
  <r>
    <x v="39"/>
    <x v="15"/>
    <x v="135"/>
    <n v="-5930064"/>
    <x v="0"/>
  </r>
  <r>
    <x v="39"/>
    <x v="3"/>
    <x v="136"/>
    <n v="-3916647"/>
    <x v="0"/>
  </r>
  <r>
    <x v="39"/>
    <x v="4"/>
    <x v="136"/>
    <n v="-3916647"/>
    <x v="0"/>
  </r>
  <r>
    <x v="39"/>
    <x v="5"/>
    <x v="136"/>
    <n v="-3916647"/>
    <x v="0"/>
  </r>
  <r>
    <x v="39"/>
    <x v="6"/>
    <x v="136"/>
    <n v="-3916647"/>
    <x v="0"/>
  </r>
  <r>
    <x v="39"/>
    <x v="7"/>
    <x v="136"/>
    <n v="-3916647"/>
    <x v="0"/>
  </r>
  <r>
    <x v="39"/>
    <x v="8"/>
    <x v="136"/>
    <n v="-3916647"/>
    <x v="0"/>
  </r>
  <r>
    <x v="39"/>
    <x v="9"/>
    <x v="136"/>
    <n v="-3916647"/>
    <x v="0"/>
  </r>
  <r>
    <x v="39"/>
    <x v="10"/>
    <x v="136"/>
    <n v="-3916647"/>
    <x v="0"/>
  </r>
  <r>
    <x v="39"/>
    <x v="11"/>
    <x v="136"/>
    <n v="-3916647"/>
    <x v="0"/>
  </r>
  <r>
    <x v="39"/>
    <x v="12"/>
    <x v="136"/>
    <n v="-3916647"/>
    <x v="0"/>
  </r>
  <r>
    <x v="39"/>
    <x v="13"/>
    <x v="136"/>
    <n v="-3916647"/>
    <x v="0"/>
  </r>
  <r>
    <x v="39"/>
    <x v="14"/>
    <x v="136"/>
    <n v="-3916647"/>
    <x v="0"/>
  </r>
  <r>
    <x v="39"/>
    <x v="15"/>
    <x v="136"/>
    <n v="-3916647"/>
    <x v="0"/>
  </r>
  <r>
    <x v="39"/>
    <x v="3"/>
    <x v="137"/>
    <n v="-7103634.4399999995"/>
    <x v="0"/>
  </r>
  <r>
    <x v="39"/>
    <x v="4"/>
    <x v="137"/>
    <n v="-7103634.4399999995"/>
    <x v="0"/>
  </r>
  <r>
    <x v="39"/>
    <x v="5"/>
    <x v="137"/>
    <n v="-7103634.4399999995"/>
    <x v="0"/>
  </r>
  <r>
    <x v="39"/>
    <x v="6"/>
    <x v="137"/>
    <n v="-7103634.4399999995"/>
    <x v="0"/>
  </r>
  <r>
    <x v="39"/>
    <x v="7"/>
    <x v="137"/>
    <n v="-7103634.4399999995"/>
    <x v="0"/>
  </r>
  <r>
    <x v="39"/>
    <x v="8"/>
    <x v="137"/>
    <n v="-7103634.4399999995"/>
    <x v="0"/>
  </r>
  <r>
    <x v="39"/>
    <x v="9"/>
    <x v="137"/>
    <n v="-7103634.4399999995"/>
    <x v="0"/>
  </r>
  <r>
    <x v="39"/>
    <x v="10"/>
    <x v="137"/>
    <n v="-7103634.4399999995"/>
    <x v="0"/>
  </r>
  <r>
    <x v="39"/>
    <x v="11"/>
    <x v="137"/>
    <n v="-7103634.4399999995"/>
    <x v="0"/>
  </r>
  <r>
    <x v="39"/>
    <x v="12"/>
    <x v="137"/>
    <n v="-7103634.4399999995"/>
    <x v="0"/>
  </r>
  <r>
    <x v="39"/>
    <x v="13"/>
    <x v="137"/>
    <n v="-7103634.4399999995"/>
    <x v="0"/>
  </r>
  <r>
    <x v="39"/>
    <x v="14"/>
    <x v="137"/>
    <n v="-7103634.4399999995"/>
    <x v="0"/>
  </r>
  <r>
    <x v="39"/>
    <x v="15"/>
    <x v="137"/>
    <n v="-7103634.4399999995"/>
    <x v="0"/>
  </r>
  <r>
    <x v="39"/>
    <x v="3"/>
    <x v="135"/>
    <n v="-5930064"/>
    <x v="0"/>
  </r>
  <r>
    <x v="39"/>
    <x v="4"/>
    <x v="135"/>
    <n v="-5930064"/>
    <x v="0"/>
  </r>
  <r>
    <x v="39"/>
    <x v="5"/>
    <x v="135"/>
    <n v="-5930064"/>
    <x v="0"/>
  </r>
  <r>
    <x v="39"/>
    <x v="6"/>
    <x v="135"/>
    <n v="-5930064"/>
    <x v="0"/>
  </r>
  <r>
    <x v="39"/>
    <x v="7"/>
    <x v="135"/>
    <n v="-5930064"/>
    <x v="0"/>
  </r>
  <r>
    <x v="39"/>
    <x v="8"/>
    <x v="135"/>
    <n v="-5930064"/>
    <x v="0"/>
  </r>
  <r>
    <x v="39"/>
    <x v="9"/>
    <x v="135"/>
    <n v="-5930064"/>
    <x v="0"/>
  </r>
  <r>
    <x v="39"/>
    <x v="10"/>
    <x v="135"/>
    <n v="-5930064"/>
    <x v="0"/>
  </r>
  <r>
    <x v="39"/>
    <x v="11"/>
    <x v="135"/>
    <n v="-5930064"/>
    <x v="0"/>
  </r>
  <r>
    <x v="39"/>
    <x v="12"/>
    <x v="135"/>
    <n v="-5930064"/>
    <x v="0"/>
  </r>
  <r>
    <x v="39"/>
    <x v="13"/>
    <x v="135"/>
    <n v="-5930064"/>
    <x v="0"/>
  </r>
  <r>
    <x v="39"/>
    <x v="14"/>
    <x v="135"/>
    <n v="-5930064"/>
    <x v="0"/>
  </r>
  <r>
    <x v="39"/>
    <x v="15"/>
    <x v="135"/>
    <n v="-5930064"/>
    <x v="0"/>
  </r>
  <r>
    <x v="39"/>
    <x v="3"/>
    <x v="30"/>
    <n v="-3847852"/>
    <x v="0"/>
  </r>
  <r>
    <x v="39"/>
    <x v="4"/>
    <x v="30"/>
    <n v="-3847852"/>
    <x v="0"/>
  </r>
  <r>
    <x v="39"/>
    <x v="5"/>
    <x v="30"/>
    <n v="-3847852"/>
    <x v="0"/>
  </r>
  <r>
    <x v="39"/>
    <x v="6"/>
    <x v="30"/>
    <n v="-3847852"/>
    <x v="0"/>
  </r>
  <r>
    <x v="39"/>
    <x v="7"/>
    <x v="30"/>
    <n v="-3847852"/>
    <x v="0"/>
  </r>
  <r>
    <x v="39"/>
    <x v="8"/>
    <x v="30"/>
    <n v="-3847852"/>
    <x v="0"/>
  </r>
  <r>
    <x v="39"/>
    <x v="9"/>
    <x v="30"/>
    <n v="-3847852"/>
    <x v="0"/>
  </r>
  <r>
    <x v="39"/>
    <x v="10"/>
    <x v="30"/>
    <n v="-3847852"/>
    <x v="0"/>
  </r>
  <r>
    <x v="39"/>
    <x v="11"/>
    <x v="30"/>
    <n v="-3847852"/>
    <x v="0"/>
  </r>
  <r>
    <x v="39"/>
    <x v="12"/>
    <x v="30"/>
    <n v="-3847852"/>
    <x v="0"/>
  </r>
  <r>
    <x v="39"/>
    <x v="13"/>
    <x v="30"/>
    <n v="-3847852"/>
    <x v="0"/>
  </r>
  <r>
    <x v="39"/>
    <x v="14"/>
    <x v="30"/>
    <n v="-3847852"/>
    <x v="0"/>
  </r>
  <r>
    <x v="39"/>
    <x v="15"/>
    <x v="30"/>
    <n v="-3847852"/>
    <x v="0"/>
  </r>
  <r>
    <x v="39"/>
    <x v="3"/>
    <x v="27"/>
    <n v="-6012426"/>
    <x v="0"/>
  </r>
  <r>
    <x v="39"/>
    <x v="4"/>
    <x v="27"/>
    <n v="-6012426"/>
    <x v="0"/>
  </r>
  <r>
    <x v="39"/>
    <x v="5"/>
    <x v="27"/>
    <n v="-6012426"/>
    <x v="0"/>
  </r>
  <r>
    <x v="39"/>
    <x v="6"/>
    <x v="27"/>
    <n v="-6012426"/>
    <x v="0"/>
  </r>
  <r>
    <x v="39"/>
    <x v="7"/>
    <x v="27"/>
    <n v="-6012426"/>
    <x v="0"/>
  </r>
  <r>
    <x v="39"/>
    <x v="8"/>
    <x v="27"/>
    <n v="-6012426"/>
    <x v="0"/>
  </r>
  <r>
    <x v="39"/>
    <x v="9"/>
    <x v="27"/>
    <n v="-6012426"/>
    <x v="0"/>
  </r>
  <r>
    <x v="39"/>
    <x v="10"/>
    <x v="27"/>
    <n v="-6012426"/>
    <x v="0"/>
  </r>
  <r>
    <x v="39"/>
    <x v="11"/>
    <x v="27"/>
    <n v="-6012426"/>
    <x v="0"/>
  </r>
  <r>
    <x v="39"/>
    <x v="12"/>
    <x v="27"/>
    <n v="-6012426"/>
    <x v="0"/>
  </r>
  <r>
    <x v="39"/>
    <x v="13"/>
    <x v="27"/>
    <n v="-6012426"/>
    <x v="0"/>
  </r>
  <r>
    <x v="39"/>
    <x v="14"/>
    <x v="27"/>
    <n v="-6012426"/>
    <x v="0"/>
  </r>
  <r>
    <x v="39"/>
    <x v="15"/>
    <x v="27"/>
    <n v="-6012426"/>
    <x v="0"/>
  </r>
  <r>
    <x v="39"/>
    <x v="3"/>
    <x v="138"/>
    <n v="-4941720"/>
    <x v="0"/>
  </r>
  <r>
    <x v="39"/>
    <x v="4"/>
    <x v="138"/>
    <n v="-4941720"/>
    <x v="0"/>
  </r>
  <r>
    <x v="39"/>
    <x v="5"/>
    <x v="138"/>
    <n v="-4941720"/>
    <x v="0"/>
  </r>
  <r>
    <x v="39"/>
    <x v="6"/>
    <x v="138"/>
    <n v="-4941720"/>
    <x v="0"/>
  </r>
  <r>
    <x v="39"/>
    <x v="7"/>
    <x v="138"/>
    <n v="-4941720"/>
    <x v="0"/>
  </r>
  <r>
    <x v="39"/>
    <x v="8"/>
    <x v="138"/>
    <n v="-4941720"/>
    <x v="0"/>
  </r>
  <r>
    <x v="39"/>
    <x v="9"/>
    <x v="138"/>
    <n v="-4941720"/>
    <x v="0"/>
  </r>
  <r>
    <x v="39"/>
    <x v="10"/>
    <x v="138"/>
    <n v="-4941720"/>
    <x v="0"/>
  </r>
  <r>
    <x v="39"/>
    <x v="11"/>
    <x v="138"/>
    <n v="-4941720"/>
    <x v="0"/>
  </r>
  <r>
    <x v="39"/>
    <x v="12"/>
    <x v="138"/>
    <n v="-4941720"/>
    <x v="0"/>
  </r>
  <r>
    <x v="39"/>
    <x v="13"/>
    <x v="138"/>
    <n v="-4941720"/>
    <x v="0"/>
  </r>
  <r>
    <x v="39"/>
    <x v="14"/>
    <x v="138"/>
    <n v="-4941720"/>
    <x v="0"/>
  </r>
  <r>
    <x v="39"/>
    <x v="15"/>
    <x v="138"/>
    <n v="-4941720"/>
    <x v="0"/>
  </r>
  <r>
    <x v="39"/>
    <x v="3"/>
    <x v="64"/>
    <n v="-4612272"/>
    <x v="0"/>
  </r>
  <r>
    <x v="39"/>
    <x v="4"/>
    <x v="64"/>
    <n v="-4612272"/>
    <x v="0"/>
  </r>
  <r>
    <x v="39"/>
    <x v="5"/>
    <x v="64"/>
    <n v="-4612272"/>
    <x v="0"/>
  </r>
  <r>
    <x v="39"/>
    <x v="6"/>
    <x v="64"/>
    <n v="-4612272"/>
    <x v="0"/>
  </r>
  <r>
    <x v="39"/>
    <x v="7"/>
    <x v="64"/>
    <n v="-4612272"/>
    <x v="0"/>
  </r>
  <r>
    <x v="39"/>
    <x v="8"/>
    <x v="64"/>
    <n v="-4612272"/>
    <x v="0"/>
  </r>
  <r>
    <x v="39"/>
    <x v="9"/>
    <x v="64"/>
    <n v="-4612272"/>
    <x v="0"/>
  </r>
  <r>
    <x v="39"/>
    <x v="10"/>
    <x v="64"/>
    <n v="-4612272"/>
    <x v="0"/>
  </r>
  <r>
    <x v="39"/>
    <x v="11"/>
    <x v="64"/>
    <n v="-4612272"/>
    <x v="0"/>
  </r>
  <r>
    <x v="39"/>
    <x v="12"/>
    <x v="64"/>
    <n v="-4612272"/>
    <x v="0"/>
  </r>
  <r>
    <x v="39"/>
    <x v="13"/>
    <x v="64"/>
    <n v="-4612272"/>
    <x v="0"/>
  </r>
  <r>
    <x v="39"/>
    <x v="14"/>
    <x v="64"/>
    <n v="-4612272"/>
    <x v="0"/>
  </r>
  <r>
    <x v="39"/>
    <x v="15"/>
    <x v="64"/>
    <n v="-4612272"/>
    <x v="0"/>
  </r>
  <r>
    <x v="39"/>
    <x v="3"/>
    <x v="67"/>
    <n v="-3669727.95"/>
    <x v="0"/>
  </r>
  <r>
    <x v="39"/>
    <x v="4"/>
    <x v="67"/>
    <n v="-3669727.95"/>
    <x v="0"/>
  </r>
  <r>
    <x v="39"/>
    <x v="5"/>
    <x v="67"/>
    <n v="-3669727.95"/>
    <x v="0"/>
  </r>
  <r>
    <x v="39"/>
    <x v="6"/>
    <x v="67"/>
    <n v="-3669727.95"/>
    <x v="0"/>
  </r>
  <r>
    <x v="39"/>
    <x v="7"/>
    <x v="67"/>
    <n v="-3669727.95"/>
    <x v="0"/>
  </r>
  <r>
    <x v="39"/>
    <x v="8"/>
    <x v="67"/>
    <n v="-3669727.95"/>
    <x v="0"/>
  </r>
  <r>
    <x v="39"/>
    <x v="9"/>
    <x v="67"/>
    <n v="-3669727.95"/>
    <x v="0"/>
  </r>
  <r>
    <x v="39"/>
    <x v="10"/>
    <x v="67"/>
    <n v="-3669727.95"/>
    <x v="0"/>
  </r>
  <r>
    <x v="39"/>
    <x v="11"/>
    <x v="67"/>
    <n v="-3669727.95"/>
    <x v="0"/>
  </r>
  <r>
    <x v="39"/>
    <x v="12"/>
    <x v="67"/>
    <n v="-3669727.95"/>
    <x v="0"/>
  </r>
  <r>
    <x v="39"/>
    <x v="13"/>
    <x v="67"/>
    <n v="-3669727.95"/>
    <x v="0"/>
  </r>
  <r>
    <x v="39"/>
    <x v="14"/>
    <x v="67"/>
    <n v="-3669727.95"/>
    <x v="0"/>
  </r>
  <r>
    <x v="39"/>
    <x v="15"/>
    <x v="67"/>
    <n v="-3669727.95"/>
    <x v="0"/>
  </r>
  <r>
    <x v="39"/>
    <x v="3"/>
    <x v="75"/>
    <n v="-3678242.4"/>
    <x v="0"/>
  </r>
  <r>
    <x v="39"/>
    <x v="4"/>
    <x v="75"/>
    <n v="-3678242.4"/>
    <x v="0"/>
  </r>
  <r>
    <x v="39"/>
    <x v="5"/>
    <x v="75"/>
    <n v="-3678242.4"/>
    <x v="0"/>
  </r>
  <r>
    <x v="39"/>
    <x v="6"/>
    <x v="75"/>
    <n v="-3678242.4"/>
    <x v="0"/>
  </r>
  <r>
    <x v="39"/>
    <x v="7"/>
    <x v="75"/>
    <n v="-3678242.4"/>
    <x v="0"/>
  </r>
  <r>
    <x v="39"/>
    <x v="8"/>
    <x v="75"/>
    <n v="-3678242.4"/>
    <x v="0"/>
  </r>
  <r>
    <x v="39"/>
    <x v="9"/>
    <x v="75"/>
    <n v="-3678242.4"/>
    <x v="0"/>
  </r>
  <r>
    <x v="39"/>
    <x v="10"/>
    <x v="75"/>
    <n v="-3678242.4"/>
    <x v="0"/>
  </r>
  <r>
    <x v="39"/>
    <x v="11"/>
    <x v="75"/>
    <n v="-3678242.4"/>
    <x v="0"/>
  </r>
  <r>
    <x v="39"/>
    <x v="12"/>
    <x v="75"/>
    <n v="-3678242.4"/>
    <x v="0"/>
  </r>
  <r>
    <x v="39"/>
    <x v="13"/>
    <x v="75"/>
    <n v="-3678242.4"/>
    <x v="0"/>
  </r>
  <r>
    <x v="39"/>
    <x v="14"/>
    <x v="75"/>
    <n v="-3678242.4"/>
    <x v="0"/>
  </r>
  <r>
    <x v="39"/>
    <x v="15"/>
    <x v="75"/>
    <n v="-3678242.4"/>
    <x v="0"/>
  </r>
  <r>
    <x v="39"/>
    <x v="3"/>
    <x v="139"/>
    <n v="-3678242.4"/>
    <x v="0"/>
  </r>
  <r>
    <x v="39"/>
    <x v="4"/>
    <x v="139"/>
    <n v="-3678242.4"/>
    <x v="0"/>
  </r>
  <r>
    <x v="39"/>
    <x v="5"/>
    <x v="139"/>
    <n v="-3678242.4"/>
    <x v="0"/>
  </r>
  <r>
    <x v="39"/>
    <x v="6"/>
    <x v="139"/>
    <n v="-3678242.4"/>
    <x v="0"/>
  </r>
  <r>
    <x v="39"/>
    <x v="7"/>
    <x v="139"/>
    <n v="-3678242.4"/>
    <x v="0"/>
  </r>
  <r>
    <x v="39"/>
    <x v="8"/>
    <x v="139"/>
    <n v="-3678242.4"/>
    <x v="0"/>
  </r>
  <r>
    <x v="39"/>
    <x v="9"/>
    <x v="139"/>
    <n v="-3678242.4"/>
    <x v="0"/>
  </r>
  <r>
    <x v="39"/>
    <x v="10"/>
    <x v="139"/>
    <n v="-3678242.4"/>
    <x v="0"/>
  </r>
  <r>
    <x v="39"/>
    <x v="11"/>
    <x v="139"/>
    <n v="-3678242.4"/>
    <x v="0"/>
  </r>
  <r>
    <x v="40"/>
    <x v="5"/>
    <x v="140"/>
    <n v="-577000000"/>
    <x v="0"/>
  </r>
  <r>
    <x v="0"/>
    <x v="0"/>
    <x v="140"/>
    <n v="-29400000"/>
    <x v="0"/>
  </r>
  <r>
    <x v="0"/>
    <x v="1"/>
    <x v="140"/>
    <n v="-29400000"/>
    <x v="0"/>
  </r>
  <r>
    <x v="0"/>
    <x v="2"/>
    <x v="140"/>
    <n v="-29400000"/>
    <x v="0"/>
  </r>
  <r>
    <x v="0"/>
    <x v="3"/>
    <x v="140"/>
    <n v="-29400000"/>
    <x v="0"/>
  </r>
  <r>
    <x v="0"/>
    <x v="4"/>
    <x v="140"/>
    <n v="-29400000"/>
    <x v="0"/>
  </r>
  <r>
    <x v="0"/>
    <x v="5"/>
    <x v="140"/>
    <n v="-29400000"/>
    <x v="0"/>
  </r>
  <r>
    <x v="0"/>
    <x v="6"/>
    <x v="140"/>
    <n v="-29400000"/>
    <x v="0"/>
  </r>
  <r>
    <x v="0"/>
    <x v="7"/>
    <x v="140"/>
    <n v="-29400000"/>
    <x v="0"/>
  </r>
  <r>
    <x v="0"/>
    <x v="8"/>
    <x v="140"/>
    <n v="-29400000"/>
    <x v="0"/>
  </r>
  <r>
    <x v="0"/>
    <x v="9"/>
    <x v="140"/>
    <n v="-29400000"/>
    <x v="0"/>
  </r>
  <r>
    <x v="0"/>
    <x v="10"/>
    <x v="140"/>
    <n v="-29400000"/>
    <x v="0"/>
  </r>
  <r>
    <x v="0"/>
    <x v="11"/>
    <x v="140"/>
    <n v="-29400000"/>
    <x v="0"/>
  </r>
  <r>
    <x v="0"/>
    <x v="12"/>
    <x v="140"/>
    <n v="-29400000"/>
    <x v="0"/>
  </r>
  <r>
    <x v="0"/>
    <x v="13"/>
    <x v="140"/>
    <n v="-29400000"/>
    <x v="0"/>
  </r>
  <r>
    <x v="2"/>
    <x v="0"/>
    <x v="140"/>
    <n v="-21263797.894736841"/>
    <x v="0"/>
  </r>
  <r>
    <x v="2"/>
    <x v="1"/>
    <x v="140"/>
    <n v="-21263797.894736841"/>
    <x v="0"/>
  </r>
  <r>
    <x v="2"/>
    <x v="2"/>
    <x v="140"/>
    <n v="-21263797.894736841"/>
    <x v="0"/>
  </r>
  <r>
    <x v="2"/>
    <x v="3"/>
    <x v="140"/>
    <n v="-21263797.894736841"/>
    <x v="0"/>
  </r>
  <r>
    <x v="2"/>
    <x v="4"/>
    <x v="140"/>
    <n v="-21263797.894736841"/>
    <x v="0"/>
  </r>
  <r>
    <x v="2"/>
    <x v="5"/>
    <x v="140"/>
    <n v="-21263797.894736841"/>
    <x v="0"/>
  </r>
  <r>
    <x v="4"/>
    <x v="0"/>
    <x v="140"/>
    <n v="-15665740"/>
    <x v="0"/>
  </r>
  <r>
    <x v="4"/>
    <x v="1"/>
    <x v="140"/>
    <n v="-15665740"/>
    <x v="0"/>
  </r>
  <r>
    <x v="4"/>
    <x v="2"/>
    <x v="140"/>
    <n v="-15665740"/>
    <x v="0"/>
  </r>
  <r>
    <x v="4"/>
    <x v="3"/>
    <x v="140"/>
    <n v="-15665740"/>
    <x v="0"/>
  </r>
  <r>
    <x v="4"/>
    <x v="4"/>
    <x v="140"/>
    <n v="-15665740"/>
    <x v="0"/>
  </r>
  <r>
    <x v="4"/>
    <x v="5"/>
    <x v="140"/>
    <n v="-15665740"/>
    <x v="0"/>
  </r>
  <r>
    <x v="4"/>
    <x v="6"/>
    <x v="140"/>
    <n v="-15665740"/>
    <x v="0"/>
  </r>
  <r>
    <x v="4"/>
    <x v="7"/>
    <x v="140"/>
    <n v="-15665740"/>
    <x v="0"/>
  </r>
  <r>
    <x v="4"/>
    <x v="8"/>
    <x v="140"/>
    <n v="-15665740"/>
    <x v="0"/>
  </r>
  <r>
    <x v="41"/>
    <x v="0"/>
    <x v="140"/>
    <n v="-35458635"/>
    <x v="0"/>
  </r>
  <r>
    <x v="41"/>
    <x v="1"/>
    <x v="140"/>
    <n v="-35458635"/>
    <x v="0"/>
  </r>
  <r>
    <x v="41"/>
    <x v="2"/>
    <x v="140"/>
    <n v="-35458635"/>
    <x v="0"/>
  </r>
  <r>
    <x v="41"/>
    <x v="3"/>
    <x v="140"/>
    <n v="-35458635"/>
    <x v="0"/>
  </r>
  <r>
    <x v="41"/>
    <x v="4"/>
    <x v="140"/>
    <n v="-35458635"/>
    <x v="0"/>
  </r>
  <r>
    <x v="41"/>
    <x v="5"/>
    <x v="140"/>
    <n v="-35458635"/>
    <x v="0"/>
  </r>
  <r>
    <x v="41"/>
    <x v="6"/>
    <x v="140"/>
    <n v="-35458635"/>
    <x v="0"/>
  </r>
  <r>
    <x v="41"/>
    <x v="7"/>
    <x v="140"/>
    <n v="-35458635"/>
    <x v="0"/>
  </r>
  <r>
    <x v="6"/>
    <x v="0"/>
    <x v="140"/>
    <n v="-15500000"/>
    <x v="0"/>
  </r>
  <r>
    <x v="6"/>
    <x v="1"/>
    <x v="140"/>
    <n v="-15500000"/>
    <x v="0"/>
  </r>
  <r>
    <x v="22"/>
    <x v="0"/>
    <x v="140"/>
    <n v="-10000000"/>
    <x v="0"/>
  </r>
  <r>
    <x v="42"/>
    <x v="0"/>
    <x v="140"/>
    <n v="-62778573"/>
    <x v="0"/>
  </r>
  <r>
    <x v="42"/>
    <x v="1"/>
    <x v="140"/>
    <n v="-62778573"/>
    <x v="0"/>
  </r>
  <r>
    <x v="42"/>
    <x v="2"/>
    <x v="140"/>
    <n v="-62778573"/>
    <x v="0"/>
  </r>
  <r>
    <x v="42"/>
    <x v="3"/>
    <x v="140"/>
    <n v="-62778573"/>
    <x v="0"/>
  </r>
  <r>
    <x v="42"/>
    <x v="4"/>
    <x v="140"/>
    <n v="-62778573"/>
    <x v="0"/>
  </r>
  <r>
    <x v="7"/>
    <x v="0"/>
    <x v="140"/>
    <n v="-16500000"/>
    <x v="0"/>
  </r>
  <r>
    <x v="7"/>
    <x v="1"/>
    <x v="140"/>
    <n v="-16500000"/>
    <x v="0"/>
  </r>
  <r>
    <x v="7"/>
    <x v="2"/>
    <x v="140"/>
    <n v="-16500000"/>
    <x v="0"/>
  </r>
  <r>
    <x v="7"/>
    <x v="3"/>
    <x v="140"/>
    <n v="-16500000"/>
    <x v="0"/>
  </r>
  <r>
    <x v="7"/>
    <x v="4"/>
    <x v="140"/>
    <n v="-16500000"/>
    <x v="0"/>
  </r>
  <r>
    <x v="7"/>
    <x v="5"/>
    <x v="140"/>
    <n v="-16500000"/>
    <x v="0"/>
  </r>
  <r>
    <x v="7"/>
    <x v="6"/>
    <x v="140"/>
    <n v="-16500000"/>
    <x v="0"/>
  </r>
  <r>
    <x v="7"/>
    <x v="7"/>
    <x v="140"/>
    <n v="-16500000"/>
    <x v="0"/>
  </r>
  <r>
    <x v="7"/>
    <x v="8"/>
    <x v="140"/>
    <n v="-16500000"/>
    <x v="0"/>
  </r>
  <r>
    <x v="7"/>
    <x v="9"/>
    <x v="140"/>
    <n v="-16500000"/>
    <x v="0"/>
  </r>
  <r>
    <x v="7"/>
    <x v="10"/>
    <x v="140"/>
    <n v="-16500000"/>
    <x v="0"/>
  </r>
  <r>
    <x v="7"/>
    <x v="11"/>
    <x v="140"/>
    <n v="-16500000"/>
    <x v="0"/>
  </r>
  <r>
    <x v="8"/>
    <x v="0"/>
    <x v="140"/>
    <n v="-15400000"/>
    <x v="0"/>
  </r>
  <r>
    <x v="9"/>
    <x v="0"/>
    <x v="140"/>
    <n v="-21063300"/>
    <x v="0"/>
  </r>
  <r>
    <x v="9"/>
    <x v="1"/>
    <x v="140"/>
    <n v="-21063300"/>
    <x v="0"/>
  </r>
  <r>
    <x v="9"/>
    <x v="2"/>
    <x v="140"/>
    <n v="-21063300"/>
    <x v="0"/>
  </r>
  <r>
    <x v="9"/>
    <x v="3"/>
    <x v="140"/>
    <n v="-21063300"/>
    <x v="0"/>
  </r>
  <r>
    <x v="9"/>
    <x v="4"/>
    <x v="140"/>
    <n v="-21063300"/>
    <x v="0"/>
  </r>
  <r>
    <x v="9"/>
    <x v="5"/>
    <x v="140"/>
    <n v="-21063300"/>
    <x v="0"/>
  </r>
  <r>
    <x v="9"/>
    <x v="6"/>
    <x v="140"/>
    <n v="-21063300"/>
    <x v="0"/>
  </r>
  <r>
    <x v="9"/>
    <x v="7"/>
    <x v="140"/>
    <n v="-21063300"/>
    <x v="0"/>
  </r>
  <r>
    <x v="9"/>
    <x v="8"/>
    <x v="140"/>
    <n v="-21063300"/>
    <x v="0"/>
  </r>
  <r>
    <x v="9"/>
    <x v="9"/>
    <x v="140"/>
    <n v="-21063300"/>
    <x v="0"/>
  </r>
  <r>
    <x v="9"/>
    <x v="10"/>
    <x v="140"/>
    <n v="-21063300"/>
    <x v="0"/>
  </r>
  <r>
    <x v="9"/>
    <x v="11"/>
    <x v="140"/>
    <n v="-21063300"/>
    <x v="0"/>
  </r>
  <r>
    <x v="9"/>
    <x v="12"/>
    <x v="140"/>
    <n v="-21063300"/>
    <x v="0"/>
  </r>
  <r>
    <x v="9"/>
    <x v="13"/>
    <x v="140"/>
    <n v="-21063300"/>
    <x v="0"/>
  </r>
  <r>
    <x v="43"/>
    <x v="0"/>
    <x v="140"/>
    <n v="-29813870"/>
    <x v="0"/>
  </r>
  <r>
    <x v="44"/>
    <x v="0"/>
    <x v="140"/>
    <n v="-39668026.912500001"/>
    <x v="0"/>
  </r>
  <r>
    <x v="44"/>
    <x v="1"/>
    <x v="140"/>
    <n v="-39668026.912500001"/>
    <x v="0"/>
  </r>
  <r>
    <x v="44"/>
    <x v="2"/>
    <x v="140"/>
    <n v="-39668026.912500001"/>
    <x v="0"/>
  </r>
  <r>
    <x v="44"/>
    <x v="3"/>
    <x v="140"/>
    <n v="-39668026.912500001"/>
    <x v="0"/>
  </r>
  <r>
    <x v="44"/>
    <x v="0"/>
    <x v="140"/>
    <n v="-86911842.894736797"/>
    <x v="0"/>
  </r>
  <r>
    <x v="44"/>
    <x v="1"/>
    <x v="140"/>
    <n v="-86911842.894736797"/>
    <x v="0"/>
  </r>
  <r>
    <x v="44"/>
    <x v="2"/>
    <x v="140"/>
    <n v="-86911842.894736797"/>
    <x v="0"/>
  </r>
  <r>
    <x v="44"/>
    <x v="3"/>
    <x v="140"/>
    <n v="-86911842.894736797"/>
    <x v="0"/>
  </r>
  <r>
    <x v="10"/>
    <x v="0"/>
    <x v="140"/>
    <n v="-14500000"/>
    <x v="0"/>
  </r>
  <r>
    <x v="10"/>
    <x v="1"/>
    <x v="140"/>
    <n v="-14500000"/>
    <x v="0"/>
  </r>
  <r>
    <x v="10"/>
    <x v="2"/>
    <x v="140"/>
    <n v="-14500000"/>
    <x v="0"/>
  </r>
  <r>
    <x v="10"/>
    <x v="3"/>
    <x v="140"/>
    <n v="-14500000"/>
    <x v="0"/>
  </r>
  <r>
    <x v="10"/>
    <x v="4"/>
    <x v="140"/>
    <n v="-14500000"/>
    <x v="0"/>
  </r>
  <r>
    <x v="10"/>
    <x v="5"/>
    <x v="140"/>
    <n v="-14500000"/>
    <x v="0"/>
  </r>
  <r>
    <x v="10"/>
    <x v="6"/>
    <x v="140"/>
    <n v="-14500000"/>
    <x v="0"/>
  </r>
  <r>
    <x v="10"/>
    <x v="7"/>
    <x v="140"/>
    <n v="-14500000"/>
    <x v="0"/>
  </r>
  <r>
    <x v="10"/>
    <x v="8"/>
    <x v="140"/>
    <n v="-14500000"/>
    <x v="0"/>
  </r>
  <r>
    <x v="10"/>
    <x v="9"/>
    <x v="140"/>
    <n v="-14500000"/>
    <x v="0"/>
  </r>
  <r>
    <x v="10"/>
    <x v="10"/>
    <x v="140"/>
    <n v="-14500000"/>
    <x v="0"/>
  </r>
  <r>
    <x v="10"/>
    <x v="11"/>
    <x v="140"/>
    <n v="-14500000"/>
    <x v="0"/>
  </r>
  <r>
    <x v="11"/>
    <x v="0"/>
    <x v="140"/>
    <n v="-13393000"/>
    <x v="0"/>
  </r>
  <r>
    <x v="11"/>
    <x v="1"/>
    <x v="140"/>
    <n v="-13393000"/>
    <x v="0"/>
  </r>
  <r>
    <x v="11"/>
    <x v="2"/>
    <x v="140"/>
    <n v="-13393000"/>
    <x v="0"/>
  </r>
  <r>
    <x v="11"/>
    <x v="3"/>
    <x v="140"/>
    <n v="-13393000"/>
    <x v="0"/>
  </r>
  <r>
    <x v="11"/>
    <x v="4"/>
    <x v="140"/>
    <n v="-13393000"/>
    <x v="0"/>
  </r>
  <r>
    <x v="11"/>
    <x v="5"/>
    <x v="140"/>
    <n v="-13393000"/>
    <x v="0"/>
  </r>
  <r>
    <x v="11"/>
    <x v="6"/>
    <x v="140"/>
    <n v="-13393000"/>
    <x v="0"/>
  </r>
  <r>
    <x v="11"/>
    <x v="7"/>
    <x v="140"/>
    <n v="-13393000"/>
    <x v="0"/>
  </r>
  <r>
    <x v="11"/>
    <x v="8"/>
    <x v="140"/>
    <n v="-13393000"/>
    <x v="0"/>
  </r>
  <r>
    <x v="11"/>
    <x v="9"/>
    <x v="140"/>
    <n v="-13393000"/>
    <x v="0"/>
  </r>
  <r>
    <x v="11"/>
    <x v="10"/>
    <x v="140"/>
    <n v="-13393000"/>
    <x v="0"/>
  </r>
  <r>
    <x v="11"/>
    <x v="11"/>
    <x v="140"/>
    <n v="-13393000"/>
    <x v="0"/>
  </r>
  <r>
    <x v="11"/>
    <x v="12"/>
    <x v="140"/>
    <n v="-13393000"/>
    <x v="0"/>
  </r>
  <r>
    <x v="11"/>
    <x v="13"/>
    <x v="140"/>
    <n v="-13393000"/>
    <x v="0"/>
  </r>
  <r>
    <x v="11"/>
    <x v="14"/>
    <x v="140"/>
    <n v="-13393000"/>
    <x v="0"/>
  </r>
  <r>
    <x v="11"/>
    <x v="15"/>
    <x v="140"/>
    <n v="-13393000"/>
    <x v="0"/>
  </r>
  <r>
    <x v="11"/>
    <x v="16"/>
    <x v="140"/>
    <n v="-13393000"/>
    <x v="0"/>
  </r>
  <r>
    <x v="11"/>
    <x v="17"/>
    <x v="140"/>
    <n v="-13393000"/>
    <x v="0"/>
  </r>
  <r>
    <x v="11"/>
    <x v="0"/>
    <x v="140"/>
    <n v="-2337394.9579831935"/>
    <x v="0"/>
  </r>
  <r>
    <x v="11"/>
    <x v="1"/>
    <x v="140"/>
    <n v="-2337394.9579831935"/>
    <x v="0"/>
  </r>
  <r>
    <x v="11"/>
    <x v="2"/>
    <x v="140"/>
    <n v="-2337394.9579831935"/>
    <x v="0"/>
  </r>
  <r>
    <x v="11"/>
    <x v="3"/>
    <x v="140"/>
    <n v="-2337394.9579831935"/>
    <x v="0"/>
  </r>
  <r>
    <x v="11"/>
    <x v="4"/>
    <x v="140"/>
    <n v="-2337394.9579831935"/>
    <x v="0"/>
  </r>
  <r>
    <x v="11"/>
    <x v="5"/>
    <x v="140"/>
    <n v="-2337394.9579831935"/>
    <x v="0"/>
  </r>
  <r>
    <x v="11"/>
    <x v="6"/>
    <x v="140"/>
    <n v="-2337394.9579831935"/>
    <x v="0"/>
  </r>
  <r>
    <x v="11"/>
    <x v="7"/>
    <x v="140"/>
    <n v="-2337394.9579831935"/>
    <x v="0"/>
  </r>
  <r>
    <x v="11"/>
    <x v="8"/>
    <x v="140"/>
    <n v="-2337394.9579831935"/>
    <x v="0"/>
  </r>
  <r>
    <x v="11"/>
    <x v="9"/>
    <x v="140"/>
    <n v="-2337394.9579831935"/>
    <x v="0"/>
  </r>
  <r>
    <x v="11"/>
    <x v="10"/>
    <x v="140"/>
    <n v="-2337394.9579831935"/>
    <x v="0"/>
  </r>
  <r>
    <x v="11"/>
    <x v="11"/>
    <x v="140"/>
    <n v="-2337394.9579831935"/>
    <x v="0"/>
  </r>
  <r>
    <x v="11"/>
    <x v="12"/>
    <x v="140"/>
    <n v="-2337394.9579831935"/>
    <x v="0"/>
  </r>
  <r>
    <x v="11"/>
    <x v="13"/>
    <x v="140"/>
    <n v="-2337394.9579831935"/>
    <x v="0"/>
  </r>
  <r>
    <x v="11"/>
    <x v="14"/>
    <x v="140"/>
    <n v="-2337394.9579831935"/>
    <x v="0"/>
  </r>
  <r>
    <x v="11"/>
    <x v="15"/>
    <x v="140"/>
    <n v="-2337394.9579831935"/>
    <x v="0"/>
  </r>
  <r>
    <x v="11"/>
    <x v="16"/>
    <x v="140"/>
    <n v="-2337394.9579831935"/>
    <x v="0"/>
  </r>
  <r>
    <x v="11"/>
    <x v="17"/>
    <x v="140"/>
    <n v="-2337394.9579831935"/>
    <x v="0"/>
  </r>
  <r>
    <x v="12"/>
    <x v="0"/>
    <x v="140"/>
    <n v="-5797541"/>
    <x v="0"/>
  </r>
  <r>
    <x v="12"/>
    <x v="1"/>
    <x v="140"/>
    <n v="-5797541"/>
    <x v="0"/>
  </r>
  <r>
    <x v="12"/>
    <x v="2"/>
    <x v="140"/>
    <n v="-5797541"/>
    <x v="0"/>
  </r>
  <r>
    <x v="14"/>
    <x v="0"/>
    <x v="140"/>
    <n v="-20000000"/>
    <x v="0"/>
  </r>
  <r>
    <x v="14"/>
    <x v="1"/>
    <x v="140"/>
    <n v="-20000000"/>
    <x v="0"/>
  </r>
  <r>
    <x v="14"/>
    <x v="2"/>
    <x v="140"/>
    <n v="-20000000"/>
    <x v="0"/>
  </r>
  <r>
    <x v="14"/>
    <x v="3"/>
    <x v="140"/>
    <n v="-20000000"/>
    <x v="0"/>
  </r>
  <r>
    <x v="14"/>
    <x v="4"/>
    <x v="140"/>
    <n v="-20000000"/>
    <x v="0"/>
  </r>
  <r>
    <x v="14"/>
    <x v="5"/>
    <x v="140"/>
    <n v="-20000000"/>
    <x v="0"/>
  </r>
  <r>
    <x v="14"/>
    <x v="6"/>
    <x v="140"/>
    <n v="-20000000"/>
    <x v="0"/>
  </r>
  <r>
    <x v="14"/>
    <x v="7"/>
    <x v="140"/>
    <n v="-20000000"/>
    <x v="0"/>
  </r>
  <r>
    <x v="14"/>
    <x v="8"/>
    <x v="140"/>
    <n v="-20000000"/>
    <x v="0"/>
  </r>
  <r>
    <x v="14"/>
    <x v="9"/>
    <x v="140"/>
    <n v="-20000000"/>
    <x v="0"/>
  </r>
  <r>
    <x v="14"/>
    <x v="10"/>
    <x v="140"/>
    <n v="-20000000"/>
    <x v="0"/>
  </r>
  <r>
    <x v="14"/>
    <x v="11"/>
    <x v="140"/>
    <n v="-20000000"/>
    <x v="0"/>
  </r>
  <r>
    <x v="14"/>
    <x v="12"/>
    <x v="140"/>
    <n v="-20000000"/>
    <x v="0"/>
  </r>
  <r>
    <x v="14"/>
    <x v="13"/>
    <x v="140"/>
    <n v="-20000000"/>
    <x v="0"/>
  </r>
  <r>
    <x v="14"/>
    <x v="14"/>
    <x v="140"/>
    <n v="-20000000"/>
    <x v="0"/>
  </r>
  <r>
    <x v="14"/>
    <x v="15"/>
    <x v="140"/>
    <n v="-20000000"/>
    <x v="0"/>
  </r>
  <r>
    <x v="14"/>
    <x v="16"/>
    <x v="140"/>
    <n v="-20000000"/>
    <x v="0"/>
  </r>
  <r>
    <x v="14"/>
    <x v="17"/>
    <x v="140"/>
    <n v="-20000000"/>
    <x v="0"/>
  </r>
  <r>
    <x v="14"/>
    <x v="18"/>
    <x v="140"/>
    <n v="-20000000"/>
    <x v="0"/>
  </r>
  <r>
    <x v="14"/>
    <x v="19"/>
    <x v="140"/>
    <n v="-20000000"/>
    <x v="0"/>
  </r>
  <r>
    <x v="14"/>
    <x v="20"/>
    <x v="140"/>
    <n v="-20000000"/>
    <x v="0"/>
  </r>
  <r>
    <x v="14"/>
    <x v="21"/>
    <x v="140"/>
    <n v="-20000000"/>
    <x v="0"/>
  </r>
  <r>
    <x v="14"/>
    <x v="22"/>
    <x v="140"/>
    <n v="-20000000"/>
    <x v="0"/>
  </r>
  <r>
    <x v="14"/>
    <x v="23"/>
    <x v="140"/>
    <n v="-20000000"/>
    <x v="0"/>
  </r>
  <r>
    <x v="14"/>
    <x v="24"/>
    <x v="140"/>
    <n v="-20000000"/>
    <x v="0"/>
  </r>
  <r>
    <x v="45"/>
    <x v="0"/>
    <x v="140"/>
    <n v="-9800000"/>
    <x v="0"/>
  </r>
  <r>
    <x v="45"/>
    <x v="1"/>
    <x v="140"/>
    <n v="-9800000"/>
    <x v="0"/>
  </r>
  <r>
    <x v="45"/>
    <x v="2"/>
    <x v="140"/>
    <n v="-9800000"/>
    <x v="0"/>
  </r>
  <r>
    <x v="45"/>
    <x v="3"/>
    <x v="140"/>
    <n v="-9800000"/>
    <x v="0"/>
  </r>
  <r>
    <x v="45"/>
    <x v="4"/>
    <x v="140"/>
    <n v="-9800000"/>
    <x v="0"/>
  </r>
  <r>
    <x v="45"/>
    <x v="5"/>
    <x v="140"/>
    <n v="-9800000"/>
    <x v="0"/>
  </r>
  <r>
    <x v="45"/>
    <x v="6"/>
    <x v="140"/>
    <n v="-9800000"/>
    <x v="0"/>
  </r>
  <r>
    <x v="45"/>
    <x v="7"/>
    <x v="140"/>
    <n v="-9800000"/>
    <x v="0"/>
  </r>
  <r>
    <x v="45"/>
    <x v="8"/>
    <x v="140"/>
    <n v="-9800000"/>
    <x v="0"/>
  </r>
  <r>
    <x v="15"/>
    <x v="0"/>
    <x v="140"/>
    <n v="-7700000"/>
    <x v="0"/>
  </r>
  <r>
    <x v="15"/>
    <x v="1"/>
    <x v="140"/>
    <n v="-7700000"/>
    <x v="0"/>
  </r>
  <r>
    <x v="15"/>
    <x v="2"/>
    <x v="140"/>
    <n v="-7700000"/>
    <x v="0"/>
  </r>
  <r>
    <x v="15"/>
    <x v="3"/>
    <x v="140"/>
    <n v="-7700000"/>
    <x v="0"/>
  </r>
  <r>
    <x v="15"/>
    <x v="4"/>
    <x v="140"/>
    <n v="-7700000"/>
    <x v="0"/>
  </r>
  <r>
    <x v="15"/>
    <x v="5"/>
    <x v="140"/>
    <n v="-7700000"/>
    <x v="0"/>
  </r>
  <r>
    <x v="15"/>
    <x v="6"/>
    <x v="140"/>
    <n v="-7700000"/>
    <x v="0"/>
  </r>
  <r>
    <x v="15"/>
    <x v="7"/>
    <x v="140"/>
    <n v="-7700000"/>
    <x v="0"/>
  </r>
  <r>
    <x v="15"/>
    <x v="8"/>
    <x v="140"/>
    <n v="-7700000"/>
    <x v="0"/>
  </r>
  <r>
    <x v="15"/>
    <x v="9"/>
    <x v="140"/>
    <n v="-7700000"/>
    <x v="0"/>
  </r>
  <r>
    <x v="15"/>
    <x v="10"/>
    <x v="140"/>
    <n v="-7700000"/>
    <x v="0"/>
  </r>
  <r>
    <x v="15"/>
    <x v="11"/>
    <x v="140"/>
    <n v="-7700000"/>
    <x v="0"/>
  </r>
  <r>
    <x v="15"/>
    <x v="12"/>
    <x v="140"/>
    <n v="-7700000"/>
    <x v="0"/>
  </r>
  <r>
    <x v="15"/>
    <x v="13"/>
    <x v="140"/>
    <n v="-7700000"/>
    <x v="0"/>
  </r>
  <r>
    <x v="15"/>
    <x v="14"/>
    <x v="140"/>
    <n v="-7700000"/>
    <x v="0"/>
  </r>
  <r>
    <x v="15"/>
    <x v="15"/>
    <x v="140"/>
    <n v="-7700000"/>
    <x v="0"/>
  </r>
  <r>
    <x v="15"/>
    <x v="16"/>
    <x v="140"/>
    <n v="-7700000"/>
    <x v="0"/>
  </r>
  <r>
    <x v="15"/>
    <x v="17"/>
    <x v="140"/>
    <n v="-7700000"/>
    <x v="0"/>
  </r>
  <r>
    <x v="15"/>
    <x v="18"/>
    <x v="140"/>
    <n v="-7700000"/>
    <x v="0"/>
  </r>
  <r>
    <x v="15"/>
    <x v="19"/>
    <x v="140"/>
    <n v="-7700000"/>
    <x v="0"/>
  </r>
  <r>
    <x v="15"/>
    <x v="20"/>
    <x v="140"/>
    <n v="-7700000"/>
    <x v="0"/>
  </r>
  <r>
    <x v="15"/>
    <x v="21"/>
    <x v="140"/>
    <n v="-7700000"/>
    <x v="0"/>
  </r>
  <r>
    <x v="15"/>
    <x v="22"/>
    <x v="140"/>
    <n v="-7700000"/>
    <x v="0"/>
  </r>
  <r>
    <x v="15"/>
    <x v="23"/>
    <x v="140"/>
    <n v="-7700000"/>
    <x v="0"/>
  </r>
  <r>
    <x v="15"/>
    <x v="24"/>
    <x v="140"/>
    <n v="-7700000"/>
    <x v="0"/>
  </r>
  <r>
    <x v="15"/>
    <x v="25"/>
    <x v="140"/>
    <n v="-7700000"/>
    <x v="0"/>
  </r>
  <r>
    <x v="15"/>
    <x v="26"/>
    <x v="140"/>
    <n v="-7700000"/>
    <x v="0"/>
  </r>
  <r>
    <x v="15"/>
    <x v="27"/>
    <x v="140"/>
    <n v="-7700000"/>
    <x v="0"/>
  </r>
  <r>
    <x v="16"/>
    <x v="0"/>
    <x v="140"/>
    <n v="-64030000"/>
    <x v="0"/>
  </r>
  <r>
    <x v="16"/>
    <x v="1"/>
    <x v="140"/>
    <n v="-64030000"/>
    <x v="0"/>
  </r>
  <r>
    <x v="16"/>
    <x v="2"/>
    <x v="140"/>
    <n v="-64030000"/>
    <x v="0"/>
  </r>
  <r>
    <x v="16"/>
    <x v="0"/>
    <x v="140"/>
    <n v="-48811000"/>
    <x v="0"/>
  </r>
  <r>
    <x v="16"/>
    <x v="1"/>
    <x v="140"/>
    <n v="-48811000"/>
    <x v="0"/>
  </r>
  <r>
    <x v="16"/>
    <x v="2"/>
    <x v="140"/>
    <n v="-48811000"/>
    <x v="0"/>
  </r>
  <r>
    <x v="16"/>
    <x v="3"/>
    <x v="140"/>
    <n v="-48811000"/>
    <x v="0"/>
  </r>
  <r>
    <x v="16"/>
    <x v="4"/>
    <x v="140"/>
    <n v="-48811000"/>
    <x v="0"/>
  </r>
  <r>
    <x v="16"/>
    <x v="5"/>
    <x v="140"/>
    <n v="-48811000"/>
    <x v="0"/>
  </r>
  <r>
    <x v="16"/>
    <x v="6"/>
    <x v="140"/>
    <n v="-48811000"/>
    <x v="0"/>
  </r>
  <r>
    <x v="16"/>
    <x v="7"/>
    <x v="140"/>
    <n v="-48811000"/>
    <x v="0"/>
  </r>
  <r>
    <x v="16"/>
    <x v="8"/>
    <x v="140"/>
    <n v="-48811000"/>
    <x v="0"/>
  </r>
  <r>
    <x v="16"/>
    <x v="9"/>
    <x v="140"/>
    <n v="-48811000"/>
    <x v="0"/>
  </r>
  <r>
    <x v="16"/>
    <x v="10"/>
    <x v="140"/>
    <n v="-48811000"/>
    <x v="0"/>
  </r>
  <r>
    <x v="16"/>
    <x v="11"/>
    <x v="140"/>
    <n v="-48811000"/>
    <x v="0"/>
  </r>
  <r>
    <x v="16"/>
    <x v="12"/>
    <x v="140"/>
    <n v="-48811000"/>
    <x v="0"/>
  </r>
  <r>
    <x v="16"/>
    <x v="13"/>
    <x v="140"/>
    <n v="-48811000"/>
    <x v="0"/>
  </r>
  <r>
    <x v="16"/>
    <x v="14"/>
    <x v="140"/>
    <n v="-48811000"/>
    <x v="0"/>
  </r>
  <r>
    <x v="16"/>
    <x v="15"/>
    <x v="140"/>
    <n v="-48811000"/>
    <x v="0"/>
  </r>
  <r>
    <x v="16"/>
    <x v="16"/>
    <x v="140"/>
    <n v="-48811000"/>
    <x v="0"/>
  </r>
  <r>
    <x v="16"/>
    <x v="17"/>
    <x v="140"/>
    <n v="-48811000"/>
    <x v="0"/>
  </r>
  <r>
    <x v="16"/>
    <x v="18"/>
    <x v="140"/>
    <n v="-48811000"/>
    <x v="0"/>
  </r>
  <r>
    <x v="16"/>
    <x v="19"/>
    <x v="140"/>
    <n v="-48811000"/>
    <x v="0"/>
  </r>
  <r>
    <x v="16"/>
    <x v="20"/>
    <x v="140"/>
    <n v="-48811000"/>
    <x v="0"/>
  </r>
  <r>
    <x v="16"/>
    <x v="21"/>
    <x v="140"/>
    <n v="-48811000"/>
    <x v="0"/>
  </r>
  <r>
    <x v="16"/>
    <x v="22"/>
    <x v="140"/>
    <n v="-48811000"/>
    <x v="0"/>
  </r>
  <r>
    <x v="16"/>
    <x v="23"/>
    <x v="140"/>
    <n v="-48811000"/>
    <x v="0"/>
  </r>
  <r>
    <x v="17"/>
    <x v="0"/>
    <x v="140"/>
    <n v="-6950000"/>
    <x v="0"/>
  </r>
  <r>
    <x v="17"/>
    <x v="1"/>
    <x v="140"/>
    <n v="-6950000"/>
    <x v="0"/>
  </r>
  <r>
    <x v="17"/>
    <x v="2"/>
    <x v="140"/>
    <n v="-6950000"/>
    <x v="0"/>
  </r>
  <r>
    <x v="17"/>
    <x v="3"/>
    <x v="140"/>
    <n v="-6950000"/>
    <x v="0"/>
  </r>
  <r>
    <x v="17"/>
    <x v="4"/>
    <x v="140"/>
    <n v="-6950000"/>
    <x v="0"/>
  </r>
  <r>
    <x v="17"/>
    <x v="5"/>
    <x v="140"/>
    <n v="-6950000"/>
    <x v="0"/>
  </r>
  <r>
    <x v="17"/>
    <x v="6"/>
    <x v="140"/>
    <n v="-6950000"/>
    <x v="0"/>
  </r>
  <r>
    <x v="17"/>
    <x v="7"/>
    <x v="140"/>
    <n v="-6950000"/>
    <x v="0"/>
  </r>
  <r>
    <x v="17"/>
    <x v="8"/>
    <x v="140"/>
    <n v="-6950000"/>
    <x v="0"/>
  </r>
  <r>
    <x v="17"/>
    <x v="9"/>
    <x v="140"/>
    <n v="-6950000"/>
    <x v="0"/>
  </r>
  <r>
    <x v="17"/>
    <x v="10"/>
    <x v="140"/>
    <n v="-6950000"/>
    <x v="0"/>
  </r>
  <r>
    <x v="17"/>
    <x v="11"/>
    <x v="140"/>
    <n v="-6950000"/>
    <x v="0"/>
  </r>
  <r>
    <x v="18"/>
    <x v="0"/>
    <x v="140"/>
    <n v="-19400000"/>
    <x v="0"/>
  </r>
  <r>
    <x v="18"/>
    <x v="1"/>
    <x v="140"/>
    <n v="-19400000"/>
    <x v="0"/>
  </r>
  <r>
    <x v="18"/>
    <x v="2"/>
    <x v="140"/>
    <n v="-19400000"/>
    <x v="0"/>
  </r>
  <r>
    <x v="18"/>
    <x v="3"/>
    <x v="140"/>
    <n v="-19400000"/>
    <x v="0"/>
  </r>
  <r>
    <x v="18"/>
    <x v="4"/>
    <x v="140"/>
    <n v="-19400000"/>
    <x v="0"/>
  </r>
  <r>
    <x v="18"/>
    <x v="5"/>
    <x v="140"/>
    <n v="-19400000"/>
    <x v="0"/>
  </r>
  <r>
    <x v="18"/>
    <x v="6"/>
    <x v="140"/>
    <n v="-19400000"/>
    <x v="0"/>
  </r>
  <r>
    <x v="18"/>
    <x v="7"/>
    <x v="140"/>
    <n v="-19400000"/>
    <x v="0"/>
  </r>
  <r>
    <x v="18"/>
    <x v="8"/>
    <x v="140"/>
    <n v="-19400000"/>
    <x v="0"/>
  </r>
  <r>
    <x v="18"/>
    <x v="9"/>
    <x v="140"/>
    <n v="-19400000"/>
    <x v="0"/>
  </r>
  <r>
    <x v="46"/>
    <x v="0"/>
    <x v="140"/>
    <n v="-11029019"/>
    <x v="0"/>
  </r>
  <r>
    <x v="46"/>
    <x v="1"/>
    <x v="140"/>
    <n v="-11029019"/>
    <x v="0"/>
  </r>
  <r>
    <x v="46"/>
    <x v="2"/>
    <x v="140"/>
    <n v="-11029019"/>
    <x v="0"/>
  </r>
  <r>
    <x v="46"/>
    <x v="3"/>
    <x v="140"/>
    <n v="-11029019"/>
    <x v="0"/>
  </r>
  <r>
    <x v="46"/>
    <x v="4"/>
    <x v="140"/>
    <n v="-11029019"/>
    <x v="0"/>
  </r>
  <r>
    <x v="46"/>
    <x v="5"/>
    <x v="140"/>
    <n v="-11029019"/>
    <x v="0"/>
  </r>
  <r>
    <x v="46"/>
    <x v="6"/>
    <x v="140"/>
    <n v="-11029019"/>
    <x v="0"/>
  </r>
  <r>
    <x v="46"/>
    <x v="7"/>
    <x v="140"/>
    <n v="-11029019"/>
    <x v="0"/>
  </r>
  <r>
    <x v="46"/>
    <x v="8"/>
    <x v="140"/>
    <n v="-11029019"/>
    <x v="0"/>
  </r>
  <r>
    <x v="46"/>
    <x v="9"/>
    <x v="140"/>
    <n v="-11029019"/>
    <x v="0"/>
  </r>
  <r>
    <x v="46"/>
    <x v="10"/>
    <x v="140"/>
    <n v="-11029019"/>
    <x v="0"/>
  </r>
  <r>
    <x v="46"/>
    <x v="11"/>
    <x v="140"/>
    <n v="-11029019"/>
    <x v="0"/>
  </r>
  <r>
    <x v="46"/>
    <x v="12"/>
    <x v="140"/>
    <n v="-11029019"/>
    <x v="0"/>
  </r>
  <r>
    <x v="46"/>
    <x v="13"/>
    <x v="140"/>
    <n v="-11029019"/>
    <x v="0"/>
  </r>
  <r>
    <x v="46"/>
    <x v="14"/>
    <x v="140"/>
    <n v="-11029019"/>
    <x v="0"/>
  </r>
  <r>
    <x v="46"/>
    <x v="15"/>
    <x v="140"/>
    <n v="-11029019"/>
    <x v="0"/>
  </r>
  <r>
    <x v="46"/>
    <x v="16"/>
    <x v="140"/>
    <n v="-11029019"/>
    <x v="0"/>
  </r>
  <r>
    <x v="46"/>
    <x v="17"/>
    <x v="140"/>
    <n v="-11029019"/>
    <x v="0"/>
  </r>
  <r>
    <x v="46"/>
    <x v="18"/>
    <x v="140"/>
    <n v="-11029019"/>
    <x v="0"/>
  </r>
  <r>
    <x v="46"/>
    <x v="19"/>
    <x v="140"/>
    <n v="-11029019"/>
    <x v="0"/>
  </r>
  <r>
    <x v="46"/>
    <x v="20"/>
    <x v="140"/>
    <n v="-11029019"/>
    <x v="0"/>
  </r>
  <r>
    <x v="46"/>
    <x v="21"/>
    <x v="140"/>
    <n v="-11029019"/>
    <x v="0"/>
  </r>
  <r>
    <x v="46"/>
    <x v="22"/>
    <x v="140"/>
    <n v="-11029019"/>
    <x v="0"/>
  </r>
  <r>
    <x v="46"/>
    <x v="23"/>
    <x v="140"/>
    <n v="-11029019"/>
    <x v="0"/>
  </r>
  <r>
    <x v="46"/>
    <x v="24"/>
    <x v="140"/>
    <n v="-11029019"/>
    <x v="0"/>
  </r>
  <r>
    <x v="46"/>
    <x v="25"/>
    <x v="140"/>
    <n v="-11029019"/>
    <x v="0"/>
  </r>
  <r>
    <x v="47"/>
    <x v="0"/>
    <x v="140"/>
    <n v="-10920000"/>
    <x v="0"/>
  </r>
  <r>
    <x v="47"/>
    <x v="1"/>
    <x v="140"/>
    <n v="-10920000"/>
    <x v="0"/>
  </r>
  <r>
    <x v="47"/>
    <x v="2"/>
    <x v="140"/>
    <n v="-10920000"/>
    <x v="0"/>
  </r>
  <r>
    <x v="47"/>
    <x v="3"/>
    <x v="140"/>
    <n v="-10920000"/>
    <x v="0"/>
  </r>
  <r>
    <x v="47"/>
    <x v="4"/>
    <x v="140"/>
    <n v="-10920000"/>
    <x v="0"/>
  </r>
  <r>
    <x v="47"/>
    <x v="5"/>
    <x v="140"/>
    <n v="-10920000"/>
    <x v="0"/>
  </r>
  <r>
    <x v="47"/>
    <x v="6"/>
    <x v="140"/>
    <n v="-10920000"/>
    <x v="0"/>
  </r>
  <r>
    <x v="47"/>
    <x v="7"/>
    <x v="140"/>
    <n v="-10920000"/>
    <x v="0"/>
  </r>
  <r>
    <x v="47"/>
    <x v="8"/>
    <x v="140"/>
    <n v="-10920000"/>
    <x v="0"/>
  </r>
  <r>
    <x v="47"/>
    <x v="9"/>
    <x v="140"/>
    <n v="-10920000"/>
    <x v="0"/>
  </r>
  <r>
    <x v="47"/>
    <x v="10"/>
    <x v="140"/>
    <n v="-10920000"/>
    <x v="0"/>
  </r>
  <r>
    <x v="47"/>
    <x v="11"/>
    <x v="140"/>
    <n v="-10920000"/>
    <x v="0"/>
  </r>
  <r>
    <x v="47"/>
    <x v="12"/>
    <x v="140"/>
    <n v="-10920000"/>
    <x v="0"/>
  </r>
  <r>
    <x v="19"/>
    <x v="0"/>
    <x v="140"/>
    <n v="-8200000"/>
    <x v="0"/>
  </r>
  <r>
    <x v="19"/>
    <x v="1"/>
    <x v="140"/>
    <n v="-8200000"/>
    <x v="0"/>
  </r>
  <r>
    <x v="19"/>
    <x v="2"/>
    <x v="140"/>
    <n v="-8200000"/>
    <x v="0"/>
  </r>
  <r>
    <x v="19"/>
    <x v="3"/>
    <x v="140"/>
    <n v="-8200000"/>
    <x v="0"/>
  </r>
  <r>
    <x v="19"/>
    <x v="4"/>
    <x v="140"/>
    <n v="-8200000"/>
    <x v="0"/>
  </r>
  <r>
    <x v="19"/>
    <x v="5"/>
    <x v="140"/>
    <n v="-8200000"/>
    <x v="0"/>
  </r>
  <r>
    <x v="19"/>
    <x v="6"/>
    <x v="140"/>
    <n v="-8200000"/>
    <x v="0"/>
  </r>
  <r>
    <x v="19"/>
    <x v="7"/>
    <x v="140"/>
    <n v="-8200000"/>
    <x v="0"/>
  </r>
  <r>
    <x v="19"/>
    <x v="8"/>
    <x v="140"/>
    <n v="-8200000"/>
    <x v="0"/>
  </r>
  <r>
    <x v="19"/>
    <x v="9"/>
    <x v="140"/>
    <n v="-8200000"/>
    <x v="0"/>
  </r>
  <r>
    <x v="19"/>
    <x v="10"/>
    <x v="140"/>
    <n v="-8200000"/>
    <x v="0"/>
  </r>
  <r>
    <x v="19"/>
    <x v="11"/>
    <x v="140"/>
    <n v="-8200000"/>
    <x v="0"/>
  </r>
  <r>
    <x v="19"/>
    <x v="12"/>
    <x v="140"/>
    <n v="-8200000"/>
    <x v="0"/>
  </r>
  <r>
    <x v="19"/>
    <x v="13"/>
    <x v="140"/>
    <n v="-8200000"/>
    <x v="0"/>
  </r>
  <r>
    <x v="19"/>
    <x v="14"/>
    <x v="140"/>
    <n v="-8200000"/>
    <x v="0"/>
  </r>
  <r>
    <x v="19"/>
    <x v="15"/>
    <x v="140"/>
    <n v="-8200000"/>
    <x v="0"/>
  </r>
  <r>
    <x v="19"/>
    <x v="16"/>
    <x v="140"/>
    <n v="-8200000"/>
    <x v="0"/>
  </r>
  <r>
    <x v="19"/>
    <x v="17"/>
    <x v="140"/>
    <n v="-8200000"/>
    <x v="0"/>
  </r>
  <r>
    <x v="19"/>
    <x v="18"/>
    <x v="140"/>
    <n v="-8200000"/>
    <x v="0"/>
  </r>
  <r>
    <x v="20"/>
    <x v="0"/>
    <x v="140"/>
    <n v="-9080000"/>
    <x v="0"/>
  </r>
  <r>
    <x v="20"/>
    <x v="1"/>
    <x v="140"/>
    <n v="-9080000"/>
    <x v="0"/>
  </r>
  <r>
    <x v="20"/>
    <x v="2"/>
    <x v="140"/>
    <n v="-9080000"/>
    <x v="0"/>
  </r>
  <r>
    <x v="20"/>
    <x v="3"/>
    <x v="140"/>
    <n v="-9080000"/>
    <x v="0"/>
  </r>
  <r>
    <x v="20"/>
    <x v="4"/>
    <x v="140"/>
    <n v="-9080000"/>
    <x v="0"/>
  </r>
  <r>
    <x v="20"/>
    <x v="5"/>
    <x v="140"/>
    <n v="-9080000"/>
    <x v="0"/>
  </r>
  <r>
    <x v="21"/>
    <x v="0"/>
    <x v="140"/>
    <n v="-27800000"/>
    <x v="0"/>
  </r>
  <r>
    <x v="21"/>
    <x v="1"/>
    <x v="140"/>
    <n v="-27800000"/>
    <x v="0"/>
  </r>
  <r>
    <x v="21"/>
    <x v="2"/>
    <x v="140"/>
    <n v="-27800000"/>
    <x v="0"/>
  </r>
  <r>
    <x v="21"/>
    <x v="3"/>
    <x v="140"/>
    <n v="-27800000"/>
    <x v="0"/>
  </r>
  <r>
    <x v="21"/>
    <x v="4"/>
    <x v="140"/>
    <n v="-27800000"/>
    <x v="0"/>
  </r>
  <r>
    <x v="21"/>
    <x v="5"/>
    <x v="140"/>
    <n v="-27800000"/>
    <x v="0"/>
  </r>
  <r>
    <x v="21"/>
    <x v="6"/>
    <x v="140"/>
    <n v="-27800000"/>
    <x v="0"/>
  </r>
  <r>
    <x v="21"/>
    <x v="7"/>
    <x v="140"/>
    <n v="-27800000"/>
    <x v="0"/>
  </r>
  <r>
    <x v="21"/>
    <x v="8"/>
    <x v="140"/>
    <n v="-27800000"/>
    <x v="0"/>
  </r>
  <r>
    <x v="21"/>
    <x v="9"/>
    <x v="140"/>
    <n v="-27800000"/>
    <x v="0"/>
  </r>
  <r>
    <x v="21"/>
    <x v="10"/>
    <x v="140"/>
    <n v="-27800000"/>
    <x v="0"/>
  </r>
  <r>
    <x v="21"/>
    <x v="11"/>
    <x v="140"/>
    <n v="-27800000"/>
    <x v="0"/>
  </r>
  <r>
    <x v="21"/>
    <x v="12"/>
    <x v="140"/>
    <n v="-27800000"/>
    <x v="0"/>
  </r>
  <r>
    <x v="21"/>
    <x v="13"/>
    <x v="140"/>
    <n v="-27800000"/>
    <x v="0"/>
  </r>
  <r>
    <x v="21"/>
    <x v="14"/>
    <x v="140"/>
    <n v="-27800000"/>
    <x v="0"/>
  </r>
  <r>
    <x v="44"/>
    <x v="0"/>
    <x v="140"/>
    <n v="0"/>
    <x v="0"/>
  </r>
  <r>
    <x v="44"/>
    <x v="1"/>
    <x v="140"/>
    <n v="0"/>
    <x v="0"/>
  </r>
  <r>
    <x v="44"/>
    <x v="2"/>
    <x v="140"/>
    <n v="0"/>
    <x v="0"/>
  </r>
  <r>
    <x v="44"/>
    <x v="3"/>
    <x v="140"/>
    <n v="0"/>
    <x v="0"/>
  </r>
  <r>
    <x v="5"/>
    <x v="0"/>
    <x v="140"/>
    <n v="-19000000"/>
    <x v="0"/>
  </r>
  <r>
    <x v="5"/>
    <x v="1"/>
    <x v="140"/>
    <n v="-19000000"/>
    <x v="0"/>
  </r>
  <r>
    <x v="5"/>
    <x v="2"/>
    <x v="140"/>
    <n v="-19000000"/>
    <x v="0"/>
  </r>
  <r>
    <x v="5"/>
    <x v="3"/>
    <x v="140"/>
    <n v="-19000000"/>
    <x v="0"/>
  </r>
  <r>
    <x v="5"/>
    <x v="4"/>
    <x v="140"/>
    <n v="-19000000"/>
    <x v="0"/>
  </r>
  <r>
    <x v="5"/>
    <x v="5"/>
    <x v="140"/>
    <n v="-19000000"/>
    <x v="0"/>
  </r>
  <r>
    <x v="5"/>
    <x v="6"/>
    <x v="140"/>
    <n v="-19000000"/>
    <x v="0"/>
  </r>
  <r>
    <x v="5"/>
    <x v="7"/>
    <x v="140"/>
    <n v="-19000000"/>
    <x v="0"/>
  </r>
  <r>
    <x v="5"/>
    <x v="8"/>
    <x v="140"/>
    <n v="-19000000"/>
    <x v="0"/>
  </r>
  <r>
    <x v="5"/>
    <x v="9"/>
    <x v="140"/>
    <n v="-19000000"/>
    <x v="0"/>
  </r>
  <r>
    <x v="5"/>
    <x v="10"/>
    <x v="140"/>
    <n v="-19000000"/>
    <x v="0"/>
  </r>
  <r>
    <x v="5"/>
    <x v="11"/>
    <x v="140"/>
    <n v="-19000000"/>
    <x v="0"/>
  </r>
  <r>
    <x v="3"/>
    <x v="0"/>
    <x v="140"/>
    <n v="-32000000"/>
    <x v="0"/>
  </r>
  <r>
    <x v="24"/>
    <x v="0"/>
    <x v="140"/>
    <n v="-33000000"/>
    <x v="0"/>
  </r>
  <r>
    <x v="24"/>
    <x v="1"/>
    <x v="140"/>
    <n v="-33000000"/>
    <x v="0"/>
  </r>
  <r>
    <x v="24"/>
    <x v="2"/>
    <x v="140"/>
    <n v="-33000000"/>
    <x v="0"/>
  </r>
  <r>
    <x v="24"/>
    <x v="3"/>
    <x v="140"/>
    <n v="-33000000"/>
    <x v="0"/>
  </r>
  <r>
    <x v="24"/>
    <x v="4"/>
    <x v="140"/>
    <n v="-33000000"/>
    <x v="0"/>
  </r>
  <r>
    <x v="24"/>
    <x v="5"/>
    <x v="140"/>
    <n v="-15000000"/>
    <x v="0"/>
  </r>
  <r>
    <x v="24"/>
    <x v="6"/>
    <x v="140"/>
    <n v="-15000000"/>
    <x v="0"/>
  </r>
  <r>
    <x v="25"/>
    <x v="0"/>
    <x v="140"/>
    <n v="-36049228"/>
    <x v="0"/>
  </r>
  <r>
    <x v="25"/>
    <x v="1"/>
    <x v="140"/>
    <n v="-36049228"/>
    <x v="0"/>
  </r>
  <r>
    <x v="25"/>
    <x v="2"/>
    <x v="140"/>
    <n v="-36049228"/>
    <x v="0"/>
  </r>
  <r>
    <x v="25"/>
    <x v="0"/>
    <x v="140"/>
    <n v="-44700000"/>
    <x v="0"/>
  </r>
  <r>
    <x v="25"/>
    <x v="1"/>
    <x v="140"/>
    <n v="-44700000"/>
    <x v="0"/>
  </r>
  <r>
    <x v="25"/>
    <x v="2"/>
    <x v="140"/>
    <n v="-44700000"/>
    <x v="0"/>
  </r>
  <r>
    <x v="25"/>
    <x v="3"/>
    <x v="140"/>
    <n v="-44700000"/>
    <x v="0"/>
  </r>
  <r>
    <x v="1"/>
    <x v="0"/>
    <x v="140"/>
    <n v="-20430000"/>
    <x v="0"/>
  </r>
  <r>
    <x v="1"/>
    <x v="1"/>
    <x v="140"/>
    <n v="-20430000"/>
    <x v="0"/>
  </r>
  <r>
    <x v="1"/>
    <x v="2"/>
    <x v="140"/>
    <n v="-20430000"/>
    <x v="0"/>
  </r>
  <r>
    <x v="23"/>
    <x v="0"/>
    <x v="140"/>
    <n v="-48600000"/>
    <x v="0"/>
  </r>
  <r>
    <x v="23"/>
    <x v="1"/>
    <x v="140"/>
    <n v="-48600000"/>
    <x v="0"/>
  </r>
  <r>
    <x v="23"/>
    <x v="2"/>
    <x v="140"/>
    <n v="-48600000"/>
    <x v="0"/>
  </r>
  <r>
    <x v="23"/>
    <x v="3"/>
    <x v="140"/>
    <n v="-48600000"/>
    <x v="0"/>
  </r>
  <r>
    <x v="23"/>
    <x v="4"/>
    <x v="140"/>
    <n v="-48600000"/>
    <x v="0"/>
  </r>
  <r>
    <x v="23"/>
    <x v="5"/>
    <x v="140"/>
    <n v="-48600000"/>
    <x v="0"/>
  </r>
  <r>
    <x v="27"/>
    <x v="2"/>
    <x v="140"/>
    <n v="-6040000"/>
    <x v="0"/>
  </r>
  <r>
    <x v="27"/>
    <x v="3"/>
    <x v="140"/>
    <n v="-6040000"/>
    <x v="0"/>
  </r>
  <r>
    <x v="27"/>
    <x v="4"/>
    <x v="140"/>
    <n v="-6040000"/>
    <x v="0"/>
  </r>
  <r>
    <x v="27"/>
    <x v="5"/>
    <x v="140"/>
    <n v="-6040000"/>
    <x v="0"/>
  </r>
  <r>
    <x v="27"/>
    <x v="2"/>
    <x v="140"/>
    <n v="-19220000"/>
    <x v="0"/>
  </r>
  <r>
    <x v="27"/>
    <x v="3"/>
    <x v="140"/>
    <n v="-19220000"/>
    <x v="0"/>
  </r>
  <r>
    <x v="27"/>
    <x v="4"/>
    <x v="140"/>
    <n v="-19220000"/>
    <x v="0"/>
  </r>
  <r>
    <x v="27"/>
    <x v="5"/>
    <x v="140"/>
    <n v="-19220000"/>
    <x v="0"/>
  </r>
  <r>
    <x v="27"/>
    <x v="6"/>
    <x v="140"/>
    <n v="-19220000"/>
    <x v="0"/>
  </r>
  <r>
    <x v="27"/>
    <x v="7"/>
    <x v="140"/>
    <n v="-19220000"/>
    <x v="0"/>
  </r>
  <r>
    <x v="27"/>
    <x v="8"/>
    <x v="140"/>
    <n v="-19220000"/>
    <x v="0"/>
  </r>
  <r>
    <x v="27"/>
    <x v="9"/>
    <x v="140"/>
    <n v="-19220000"/>
    <x v="0"/>
  </r>
  <r>
    <x v="27"/>
    <x v="10"/>
    <x v="140"/>
    <n v="-19220000"/>
    <x v="0"/>
  </r>
  <r>
    <x v="27"/>
    <x v="11"/>
    <x v="140"/>
    <n v="-19220000"/>
    <x v="0"/>
  </r>
  <r>
    <x v="27"/>
    <x v="12"/>
    <x v="140"/>
    <n v="-19220000"/>
    <x v="0"/>
  </r>
  <r>
    <x v="27"/>
    <x v="13"/>
    <x v="140"/>
    <n v="-19220000"/>
    <x v="0"/>
  </r>
  <r>
    <x v="28"/>
    <x v="1"/>
    <x v="140"/>
    <n v="-23250000"/>
    <x v="0"/>
  </r>
  <r>
    <x v="28"/>
    <x v="2"/>
    <x v="140"/>
    <n v="-23250000"/>
    <x v="0"/>
  </r>
  <r>
    <x v="28"/>
    <x v="3"/>
    <x v="140"/>
    <n v="-23250000"/>
    <x v="0"/>
  </r>
  <r>
    <x v="28"/>
    <x v="4"/>
    <x v="140"/>
    <n v="-23250000"/>
    <x v="0"/>
  </r>
  <r>
    <x v="28"/>
    <x v="5"/>
    <x v="140"/>
    <n v="-23250000"/>
    <x v="0"/>
  </r>
  <r>
    <x v="28"/>
    <x v="6"/>
    <x v="140"/>
    <n v="-23250000"/>
    <x v="0"/>
  </r>
  <r>
    <x v="28"/>
    <x v="7"/>
    <x v="140"/>
    <n v="-23250000"/>
    <x v="0"/>
  </r>
  <r>
    <x v="28"/>
    <x v="8"/>
    <x v="140"/>
    <n v="-23250000"/>
    <x v="0"/>
  </r>
  <r>
    <x v="28"/>
    <x v="9"/>
    <x v="140"/>
    <n v="-23250000"/>
    <x v="0"/>
  </r>
  <r>
    <x v="28"/>
    <x v="10"/>
    <x v="140"/>
    <n v="-23250000"/>
    <x v="0"/>
  </r>
  <r>
    <x v="28"/>
    <x v="11"/>
    <x v="140"/>
    <n v="-23250000"/>
    <x v="0"/>
  </r>
  <r>
    <x v="28"/>
    <x v="12"/>
    <x v="140"/>
    <n v="-23250000"/>
    <x v="0"/>
  </r>
  <r>
    <x v="28"/>
    <x v="13"/>
    <x v="140"/>
    <n v="-23250000"/>
    <x v="0"/>
  </r>
  <r>
    <x v="28"/>
    <x v="14"/>
    <x v="140"/>
    <n v="-23250000"/>
    <x v="0"/>
  </r>
  <r>
    <x v="28"/>
    <x v="15"/>
    <x v="140"/>
    <n v="-23250000"/>
    <x v="0"/>
  </r>
  <r>
    <x v="28"/>
    <x v="16"/>
    <x v="140"/>
    <n v="-23250000"/>
    <x v="0"/>
  </r>
  <r>
    <x v="28"/>
    <x v="17"/>
    <x v="140"/>
    <n v="-23250000"/>
    <x v="0"/>
  </r>
  <r>
    <x v="28"/>
    <x v="18"/>
    <x v="140"/>
    <n v="-23250000"/>
    <x v="0"/>
  </r>
  <r>
    <x v="28"/>
    <x v="19"/>
    <x v="140"/>
    <n v="-23250000"/>
    <x v="0"/>
  </r>
  <r>
    <x v="28"/>
    <x v="20"/>
    <x v="140"/>
    <n v="-23250000"/>
    <x v="0"/>
  </r>
  <r>
    <x v="28"/>
    <x v="21"/>
    <x v="140"/>
    <n v="-23250000"/>
    <x v="0"/>
  </r>
  <r>
    <x v="28"/>
    <x v="22"/>
    <x v="140"/>
    <n v="-23250000"/>
    <x v="0"/>
  </r>
  <r>
    <x v="28"/>
    <x v="23"/>
    <x v="140"/>
    <n v="-23250000"/>
    <x v="0"/>
  </r>
  <r>
    <x v="48"/>
    <x v="0"/>
    <x v="140"/>
    <n v="-60561853.894285716"/>
    <x v="0"/>
  </r>
  <r>
    <x v="48"/>
    <x v="1"/>
    <x v="140"/>
    <n v="-60561853.894285716"/>
    <x v="0"/>
  </r>
  <r>
    <x v="48"/>
    <x v="2"/>
    <x v="140"/>
    <n v="-60561853.894285716"/>
    <x v="0"/>
  </r>
  <r>
    <x v="48"/>
    <x v="3"/>
    <x v="140"/>
    <n v="-60561853.894285716"/>
    <x v="0"/>
  </r>
  <r>
    <x v="48"/>
    <x v="4"/>
    <x v="140"/>
    <n v="-60561853.894285716"/>
    <x v="0"/>
  </r>
  <r>
    <x v="48"/>
    <x v="5"/>
    <x v="140"/>
    <n v="-60561853.894285716"/>
    <x v="0"/>
  </r>
  <r>
    <x v="48"/>
    <x v="6"/>
    <x v="140"/>
    <n v="-60561853.894285716"/>
    <x v="0"/>
  </r>
  <r>
    <x v="48"/>
    <x v="7"/>
    <x v="140"/>
    <n v="-60561853.894285716"/>
    <x v="0"/>
  </r>
  <r>
    <x v="48"/>
    <x v="8"/>
    <x v="140"/>
    <n v="-60561853.894285716"/>
    <x v="0"/>
  </r>
  <r>
    <x v="48"/>
    <x v="9"/>
    <x v="140"/>
    <n v="-60561853.894285716"/>
    <x v="0"/>
  </r>
  <r>
    <x v="48"/>
    <x v="10"/>
    <x v="140"/>
    <n v="-60561853.894285716"/>
    <x v="0"/>
  </r>
  <r>
    <x v="48"/>
    <x v="11"/>
    <x v="140"/>
    <n v="-60561853.894285716"/>
    <x v="0"/>
  </r>
  <r>
    <x v="49"/>
    <x v="0"/>
    <x v="140"/>
    <n v="-15250000"/>
    <x v="0"/>
  </r>
  <r>
    <x v="49"/>
    <x v="1"/>
    <x v="140"/>
    <n v="-15250000"/>
    <x v="0"/>
  </r>
  <r>
    <x v="49"/>
    <x v="2"/>
    <x v="140"/>
    <n v="-15250000"/>
    <x v="0"/>
  </r>
  <r>
    <x v="49"/>
    <x v="3"/>
    <x v="140"/>
    <n v="-15250000"/>
    <x v="0"/>
  </r>
  <r>
    <x v="49"/>
    <x v="4"/>
    <x v="140"/>
    <n v="-15250000"/>
    <x v="0"/>
  </r>
  <r>
    <x v="49"/>
    <x v="5"/>
    <x v="140"/>
    <n v="-15250000"/>
    <x v="0"/>
  </r>
  <r>
    <x v="49"/>
    <x v="6"/>
    <x v="140"/>
    <n v="-15250000"/>
    <x v="0"/>
  </r>
  <r>
    <x v="49"/>
    <x v="7"/>
    <x v="140"/>
    <n v="-15250000"/>
    <x v="0"/>
  </r>
  <r>
    <x v="49"/>
    <x v="8"/>
    <x v="140"/>
    <n v="-15250000"/>
    <x v="0"/>
  </r>
  <r>
    <x v="49"/>
    <x v="9"/>
    <x v="140"/>
    <n v="-15250000"/>
    <x v="0"/>
  </r>
  <r>
    <x v="49"/>
    <x v="10"/>
    <x v="140"/>
    <n v="-15250000"/>
    <x v="0"/>
  </r>
  <r>
    <x v="49"/>
    <x v="11"/>
    <x v="140"/>
    <n v="-15250000"/>
    <x v="0"/>
  </r>
  <r>
    <x v="50"/>
    <x v="0"/>
    <x v="140"/>
    <n v="-20341421"/>
    <x v="0"/>
  </r>
  <r>
    <x v="50"/>
    <x v="1"/>
    <x v="140"/>
    <n v="-20341421"/>
    <x v="0"/>
  </r>
  <r>
    <x v="50"/>
    <x v="2"/>
    <x v="140"/>
    <n v="-20341421"/>
    <x v="0"/>
  </r>
  <r>
    <x v="29"/>
    <x v="0"/>
    <x v="140"/>
    <n v="-7100000"/>
    <x v="0"/>
  </r>
  <r>
    <x v="26"/>
    <x v="0"/>
    <x v="140"/>
    <n v="-15173515.981735155"/>
    <x v="0"/>
  </r>
  <r>
    <x v="26"/>
    <x v="1"/>
    <x v="140"/>
    <n v="-14609589.041095892"/>
    <x v="0"/>
  </r>
  <r>
    <x v="26"/>
    <x v="2"/>
    <x v="140"/>
    <n v="-15203196.347031964"/>
    <x v="0"/>
  </r>
  <r>
    <x v="26"/>
    <x v="3"/>
    <x v="140"/>
    <n v="-18824200.913242016"/>
    <x v="0"/>
  </r>
  <r>
    <x v="26"/>
    <x v="4"/>
    <x v="140"/>
    <n v="-21317351.598173514"/>
    <x v="0"/>
  </r>
  <r>
    <x v="26"/>
    <x v="5"/>
    <x v="140"/>
    <n v="-22860730.593607314"/>
    <x v="0"/>
  </r>
  <r>
    <x v="26"/>
    <x v="6"/>
    <x v="140"/>
    <n v="-21079908.675799087"/>
    <x v="0"/>
  </r>
  <r>
    <x v="26"/>
    <x v="7"/>
    <x v="140"/>
    <n v="-25917808.219178069"/>
    <x v="0"/>
  </r>
  <r>
    <x v="26"/>
    <x v="8"/>
    <x v="140"/>
    <n v="-23216894.977168947"/>
    <x v="0"/>
  </r>
  <r>
    <x v="26"/>
    <x v="9"/>
    <x v="140"/>
    <n v="-24226027.397260282"/>
    <x v="0"/>
  </r>
  <r>
    <x v="26"/>
    <x v="10"/>
    <x v="140"/>
    <n v="-25977168.949771687"/>
    <x v="0"/>
  </r>
  <r>
    <x v="26"/>
    <x v="11"/>
    <x v="140"/>
    <n v="-20456621.00456623"/>
    <x v="0"/>
  </r>
  <r>
    <x v="26"/>
    <x v="12"/>
    <x v="140"/>
    <n v="-20812785.388127822"/>
    <x v="0"/>
  </r>
  <r>
    <x v="26"/>
    <x v="13"/>
    <x v="140"/>
    <n v="-23038812.785388142"/>
    <x v="0"/>
  </r>
  <r>
    <x v="26"/>
    <x v="14"/>
    <x v="140"/>
    <n v="-20219178.082191784"/>
    <x v="0"/>
  </r>
  <r>
    <x v="26"/>
    <x v="15"/>
    <x v="140"/>
    <n v="-22415525.11415524"/>
    <x v="0"/>
  </r>
  <r>
    <x v="26"/>
    <x v="16"/>
    <x v="140"/>
    <n v="-22920091.324200906"/>
    <x v="0"/>
  </r>
  <r>
    <x v="26"/>
    <x v="17"/>
    <x v="140"/>
    <n v="-18468036.529680401"/>
    <x v="0"/>
  </r>
  <r>
    <x v="26"/>
    <x v="18"/>
    <x v="140"/>
    <n v="-17013698.630136952"/>
    <x v="0"/>
  </r>
  <r>
    <x v="26"/>
    <x v="19"/>
    <x v="140"/>
    <n v="-16894977.168949805"/>
    <x v="0"/>
  </r>
  <r>
    <x v="26"/>
    <x v="20"/>
    <x v="140"/>
    <n v="-14609589.041095892"/>
    <x v="0"/>
  </r>
  <r>
    <x v="13"/>
    <x v="0"/>
    <x v="140"/>
    <n v="-29900000"/>
    <x v="0"/>
  </r>
  <r>
    <x v="13"/>
    <x v="1"/>
    <x v="140"/>
    <n v="-29900000"/>
    <x v="0"/>
  </r>
  <r>
    <x v="13"/>
    <x v="2"/>
    <x v="140"/>
    <n v="-29900000"/>
    <x v="0"/>
  </r>
  <r>
    <x v="51"/>
    <x v="0"/>
    <x v="140"/>
    <n v="-118601976.15000001"/>
    <x v="0"/>
  </r>
  <r>
    <x v="51"/>
    <x v="1"/>
    <x v="140"/>
    <n v="-197669960.25"/>
    <x v="0"/>
  </r>
  <r>
    <x v="51"/>
    <x v="2"/>
    <x v="140"/>
    <n v="-171313965.55000007"/>
    <x v="0"/>
  </r>
  <r>
    <x v="51"/>
    <x v="3"/>
    <x v="140"/>
    <n v="-210847957.5999999"/>
    <x v="0"/>
  </r>
  <r>
    <x v="30"/>
    <x v="0"/>
    <x v="140"/>
    <n v="-14000000"/>
    <x v="0"/>
  </r>
  <r>
    <x v="30"/>
    <x v="1"/>
    <x v="140"/>
    <n v="-14000000"/>
    <x v="0"/>
  </r>
  <r>
    <x v="30"/>
    <x v="2"/>
    <x v="140"/>
    <n v="-14000000"/>
    <x v="0"/>
  </r>
  <r>
    <x v="30"/>
    <x v="3"/>
    <x v="140"/>
    <n v="-14000000"/>
    <x v="0"/>
  </r>
  <r>
    <x v="30"/>
    <x v="4"/>
    <x v="140"/>
    <n v="-14000000"/>
    <x v="0"/>
  </r>
  <r>
    <x v="30"/>
    <x v="5"/>
    <x v="140"/>
    <n v="-14000000"/>
    <x v="0"/>
  </r>
  <r>
    <x v="30"/>
    <x v="6"/>
    <x v="140"/>
    <n v="-14000000"/>
    <x v="0"/>
  </r>
  <r>
    <x v="30"/>
    <x v="7"/>
    <x v="140"/>
    <n v="-14000000"/>
    <x v="0"/>
  </r>
  <r>
    <x v="30"/>
    <x v="8"/>
    <x v="140"/>
    <n v="-14000000"/>
    <x v="0"/>
  </r>
  <r>
    <x v="30"/>
    <x v="9"/>
    <x v="140"/>
    <n v="-14000000"/>
    <x v="0"/>
  </r>
  <r>
    <x v="30"/>
    <x v="10"/>
    <x v="140"/>
    <n v="-14000000"/>
    <x v="0"/>
  </r>
  <r>
    <x v="30"/>
    <x v="11"/>
    <x v="140"/>
    <n v="-14000000"/>
    <x v="0"/>
  </r>
  <r>
    <x v="30"/>
    <x v="12"/>
    <x v="140"/>
    <n v="-14000000"/>
    <x v="0"/>
  </r>
  <r>
    <x v="30"/>
    <x v="13"/>
    <x v="140"/>
    <n v="-14000000"/>
    <x v="0"/>
  </r>
  <r>
    <x v="30"/>
    <x v="14"/>
    <x v="140"/>
    <n v="-14000000"/>
    <x v="0"/>
  </r>
  <r>
    <x v="31"/>
    <x v="0"/>
    <x v="140"/>
    <n v="-12000000"/>
    <x v="0"/>
  </r>
  <r>
    <x v="31"/>
    <x v="1"/>
    <x v="140"/>
    <n v="-12000000"/>
    <x v="0"/>
  </r>
  <r>
    <x v="31"/>
    <x v="2"/>
    <x v="140"/>
    <n v="-12000000"/>
    <x v="0"/>
  </r>
  <r>
    <x v="31"/>
    <x v="3"/>
    <x v="140"/>
    <n v="-12000000"/>
    <x v="0"/>
  </r>
  <r>
    <x v="31"/>
    <x v="4"/>
    <x v="140"/>
    <n v="-12000000"/>
    <x v="0"/>
  </r>
  <r>
    <x v="31"/>
    <x v="5"/>
    <x v="140"/>
    <n v="-12000000"/>
    <x v="0"/>
  </r>
  <r>
    <x v="31"/>
    <x v="6"/>
    <x v="140"/>
    <n v="-12000000"/>
    <x v="0"/>
  </r>
  <r>
    <x v="31"/>
    <x v="7"/>
    <x v="140"/>
    <n v="-12000000"/>
    <x v="0"/>
  </r>
  <r>
    <x v="31"/>
    <x v="8"/>
    <x v="140"/>
    <n v="-12000000"/>
    <x v="0"/>
  </r>
  <r>
    <x v="31"/>
    <x v="9"/>
    <x v="140"/>
    <n v="-12000000"/>
    <x v="0"/>
  </r>
  <r>
    <x v="31"/>
    <x v="10"/>
    <x v="140"/>
    <n v="-12000000"/>
    <x v="0"/>
  </r>
  <r>
    <x v="31"/>
    <x v="11"/>
    <x v="140"/>
    <n v="-12000000"/>
    <x v="0"/>
  </r>
  <r>
    <x v="31"/>
    <x v="12"/>
    <x v="140"/>
    <n v="-12000000"/>
    <x v="0"/>
  </r>
  <r>
    <x v="31"/>
    <x v="13"/>
    <x v="140"/>
    <n v="-12000000"/>
    <x v="0"/>
  </r>
  <r>
    <x v="31"/>
    <x v="14"/>
    <x v="140"/>
    <n v="-12000000"/>
    <x v="0"/>
  </r>
  <r>
    <x v="31"/>
    <x v="15"/>
    <x v="140"/>
    <n v="-12000000"/>
    <x v="0"/>
  </r>
  <r>
    <x v="31"/>
    <x v="16"/>
    <x v="140"/>
    <n v="-12000000"/>
    <x v="0"/>
  </r>
  <r>
    <x v="31"/>
    <x v="17"/>
    <x v="140"/>
    <n v="-12000000"/>
    <x v="0"/>
  </r>
  <r>
    <x v="31"/>
    <x v="18"/>
    <x v="140"/>
    <n v="-12000000"/>
    <x v="0"/>
  </r>
  <r>
    <x v="31"/>
    <x v="19"/>
    <x v="140"/>
    <n v="-12000000"/>
    <x v="0"/>
  </r>
  <r>
    <x v="31"/>
    <x v="20"/>
    <x v="140"/>
    <n v="-12000000"/>
    <x v="0"/>
  </r>
  <r>
    <x v="31"/>
    <x v="21"/>
    <x v="140"/>
    <n v="-12000000"/>
    <x v="0"/>
  </r>
  <r>
    <x v="31"/>
    <x v="22"/>
    <x v="140"/>
    <n v="-12000000"/>
    <x v="0"/>
  </r>
  <r>
    <x v="31"/>
    <x v="23"/>
    <x v="140"/>
    <n v="-12000000"/>
    <x v="0"/>
  </r>
  <r>
    <x v="33"/>
    <x v="0"/>
    <x v="140"/>
    <n v="-7050296.2803877732"/>
    <x v="0"/>
  </r>
  <r>
    <x v="33"/>
    <x v="1"/>
    <x v="140"/>
    <n v="-7050296.2803877732"/>
    <x v="0"/>
  </r>
  <r>
    <x v="33"/>
    <x v="2"/>
    <x v="140"/>
    <n v="-7050296.2803877732"/>
    <x v="0"/>
  </r>
  <r>
    <x v="33"/>
    <x v="0"/>
    <x v="140"/>
    <n v="-5301683.8089733012"/>
    <x v="0"/>
  </r>
  <r>
    <x v="33"/>
    <x v="1"/>
    <x v="140"/>
    <n v="-5301683.8089733012"/>
    <x v="0"/>
  </r>
  <r>
    <x v="33"/>
    <x v="2"/>
    <x v="140"/>
    <n v="-5301683.8089733012"/>
    <x v="0"/>
  </r>
  <r>
    <x v="33"/>
    <x v="0"/>
    <x v="140"/>
    <n v="-7122595.6118260631"/>
    <x v="0"/>
  </r>
  <r>
    <x v="33"/>
    <x v="1"/>
    <x v="140"/>
    <n v="-7122595.6118260631"/>
    <x v="0"/>
  </r>
  <r>
    <x v="33"/>
    <x v="2"/>
    <x v="140"/>
    <n v="-7122595.6118260631"/>
    <x v="0"/>
  </r>
  <r>
    <x v="33"/>
    <x v="0"/>
    <x v="140"/>
    <n v="-2753063.7872998388"/>
    <x v="0"/>
  </r>
  <r>
    <x v="33"/>
    <x v="1"/>
    <x v="140"/>
    <n v="-2753063.7872998388"/>
    <x v="0"/>
  </r>
  <r>
    <x v="33"/>
    <x v="2"/>
    <x v="140"/>
    <n v="-2753063.7872998388"/>
    <x v="0"/>
  </r>
  <r>
    <x v="33"/>
    <x v="0"/>
    <x v="140"/>
    <n v="-4064763.0345789804"/>
    <x v="0"/>
  </r>
  <r>
    <x v="33"/>
    <x v="1"/>
    <x v="140"/>
    <n v="-4064763.0345789804"/>
    <x v="0"/>
  </r>
  <r>
    <x v="33"/>
    <x v="2"/>
    <x v="140"/>
    <n v="-4064763.0345789804"/>
    <x v="0"/>
  </r>
  <r>
    <x v="33"/>
    <x v="0"/>
    <x v="140"/>
    <n v="-3114204.2269340428"/>
    <x v="0"/>
  </r>
  <r>
    <x v="33"/>
    <x v="1"/>
    <x v="140"/>
    <n v="-3114204.2269340428"/>
    <x v="0"/>
  </r>
  <r>
    <x v="33"/>
    <x v="2"/>
    <x v="140"/>
    <n v="-3114204.2269340428"/>
    <x v="0"/>
  </r>
  <r>
    <x v="52"/>
    <x v="0"/>
    <x v="140"/>
    <n v="-12773052.833333334"/>
    <x v="0"/>
  </r>
  <r>
    <x v="52"/>
    <x v="1"/>
    <x v="140"/>
    <n v="-12773052.833333334"/>
    <x v="0"/>
  </r>
  <r>
    <x v="53"/>
    <x v="0"/>
    <x v="140"/>
    <n v="-50000000"/>
    <x v="0"/>
  </r>
  <r>
    <x v="53"/>
    <x v="1"/>
    <x v="140"/>
    <n v="-50000000"/>
    <x v="0"/>
  </r>
  <r>
    <x v="53"/>
    <x v="2"/>
    <x v="140"/>
    <n v="-50000000"/>
    <x v="0"/>
  </r>
  <r>
    <x v="53"/>
    <x v="3"/>
    <x v="140"/>
    <n v="-50000000"/>
    <x v="0"/>
  </r>
  <r>
    <x v="53"/>
    <x v="4"/>
    <x v="140"/>
    <n v="-50000000"/>
    <x v="0"/>
  </r>
  <r>
    <x v="54"/>
    <x v="0"/>
    <x v="140"/>
    <n v="-48166666.666666664"/>
    <x v="0"/>
  </r>
  <r>
    <x v="54"/>
    <x v="1"/>
    <x v="140"/>
    <n v="-48166666.666666664"/>
    <x v="0"/>
  </r>
  <r>
    <x v="54"/>
    <x v="2"/>
    <x v="140"/>
    <n v="-48166666.666666664"/>
    <x v="0"/>
  </r>
  <r>
    <x v="54"/>
    <x v="3"/>
    <x v="140"/>
    <n v="-48166666.666666664"/>
    <x v="0"/>
  </r>
  <r>
    <x v="54"/>
    <x v="4"/>
    <x v="140"/>
    <n v="-48166666.666666664"/>
    <x v="0"/>
  </r>
  <r>
    <x v="54"/>
    <x v="5"/>
    <x v="140"/>
    <n v="-48166666.666666664"/>
    <x v="0"/>
  </r>
  <r>
    <x v="34"/>
    <x v="0"/>
    <x v="140"/>
    <n v="-10500000"/>
    <x v="0"/>
  </r>
  <r>
    <x v="34"/>
    <x v="1"/>
    <x v="140"/>
    <n v="-10500000"/>
    <x v="0"/>
  </r>
  <r>
    <x v="55"/>
    <x v="1"/>
    <x v="140"/>
    <n v="-9800000"/>
    <x v="0"/>
  </r>
  <r>
    <x v="55"/>
    <x v="2"/>
    <x v="140"/>
    <n v="-9800000"/>
    <x v="0"/>
  </r>
  <r>
    <x v="55"/>
    <x v="3"/>
    <x v="140"/>
    <n v="-9800000"/>
    <x v="0"/>
  </r>
  <r>
    <x v="55"/>
    <x v="4"/>
    <x v="140"/>
    <n v="-9800000"/>
    <x v="0"/>
  </r>
  <r>
    <x v="55"/>
    <x v="5"/>
    <x v="140"/>
    <n v="-9800000"/>
    <x v="0"/>
  </r>
  <r>
    <x v="55"/>
    <x v="6"/>
    <x v="140"/>
    <n v="-9800000"/>
    <x v="0"/>
  </r>
  <r>
    <x v="55"/>
    <x v="7"/>
    <x v="140"/>
    <n v="-9800000"/>
    <x v="0"/>
  </r>
  <r>
    <x v="55"/>
    <x v="8"/>
    <x v="140"/>
    <n v="-9800000"/>
    <x v="0"/>
  </r>
  <r>
    <x v="55"/>
    <x v="9"/>
    <x v="140"/>
    <n v="-9800000"/>
    <x v="0"/>
  </r>
  <r>
    <x v="55"/>
    <x v="10"/>
    <x v="140"/>
    <n v="-9800000"/>
    <x v="0"/>
  </r>
  <r>
    <x v="55"/>
    <x v="11"/>
    <x v="140"/>
    <n v="-9800000"/>
    <x v="0"/>
  </r>
  <r>
    <x v="55"/>
    <x v="12"/>
    <x v="140"/>
    <n v="-9800000"/>
    <x v="0"/>
  </r>
  <r>
    <x v="55"/>
    <x v="13"/>
    <x v="140"/>
    <n v="-9800000"/>
    <x v="0"/>
  </r>
  <r>
    <x v="55"/>
    <x v="14"/>
    <x v="140"/>
    <n v="-9800000"/>
    <x v="0"/>
  </r>
  <r>
    <x v="52"/>
    <x v="2"/>
    <x v="140"/>
    <n v="-12773052.833333334"/>
    <x v="0"/>
  </r>
  <r>
    <x v="52"/>
    <x v="3"/>
    <x v="140"/>
    <n v="-12773052.833333334"/>
    <x v="0"/>
  </r>
  <r>
    <x v="52"/>
    <x v="4"/>
    <x v="140"/>
    <n v="-12773052.833333334"/>
    <x v="0"/>
  </r>
  <r>
    <x v="52"/>
    <x v="5"/>
    <x v="140"/>
    <n v="-12773052.833333334"/>
    <x v="0"/>
  </r>
  <r>
    <x v="52"/>
    <x v="6"/>
    <x v="140"/>
    <n v="-12773052.833333334"/>
    <x v="0"/>
  </r>
  <r>
    <x v="52"/>
    <x v="7"/>
    <x v="140"/>
    <n v="-12773052.833333334"/>
    <x v="0"/>
  </r>
  <r>
    <x v="52"/>
    <x v="8"/>
    <x v="140"/>
    <n v="-12773052.833333334"/>
    <x v="0"/>
  </r>
  <r>
    <x v="52"/>
    <x v="9"/>
    <x v="140"/>
    <n v="-12773052.833333334"/>
    <x v="0"/>
  </r>
  <r>
    <x v="52"/>
    <x v="10"/>
    <x v="140"/>
    <n v="-12773052.833333334"/>
    <x v="0"/>
  </r>
  <r>
    <x v="35"/>
    <x v="1"/>
    <x v="140"/>
    <n v="-22250000"/>
    <x v="0"/>
  </r>
  <r>
    <x v="35"/>
    <x v="2"/>
    <x v="140"/>
    <n v="-22250000"/>
    <x v="0"/>
  </r>
  <r>
    <x v="35"/>
    <x v="3"/>
    <x v="140"/>
    <n v="-22250000"/>
    <x v="0"/>
  </r>
  <r>
    <x v="35"/>
    <x v="4"/>
    <x v="140"/>
    <n v="-22250000"/>
    <x v="0"/>
  </r>
  <r>
    <x v="35"/>
    <x v="5"/>
    <x v="140"/>
    <n v="-22250000"/>
    <x v="0"/>
  </r>
  <r>
    <x v="35"/>
    <x v="6"/>
    <x v="140"/>
    <n v="-22250000"/>
    <x v="0"/>
  </r>
  <r>
    <x v="35"/>
    <x v="7"/>
    <x v="140"/>
    <n v="-22250000"/>
    <x v="0"/>
  </r>
  <r>
    <x v="39"/>
    <x v="3"/>
    <x v="140"/>
    <n v="-17160000"/>
    <x v="0"/>
  </r>
  <r>
    <x v="39"/>
    <x v="4"/>
    <x v="140"/>
    <n v="-17160000"/>
    <x v="0"/>
  </r>
  <r>
    <x v="39"/>
    <x v="5"/>
    <x v="140"/>
    <n v="-17160000"/>
    <x v="0"/>
  </r>
  <r>
    <x v="39"/>
    <x v="6"/>
    <x v="140"/>
    <n v="-17160000"/>
    <x v="0"/>
  </r>
  <r>
    <x v="39"/>
    <x v="7"/>
    <x v="140"/>
    <n v="-17160000"/>
    <x v="0"/>
  </r>
  <r>
    <x v="39"/>
    <x v="8"/>
    <x v="140"/>
    <n v="-17160000"/>
    <x v="0"/>
  </r>
  <r>
    <x v="39"/>
    <x v="9"/>
    <x v="140"/>
    <n v="-17160000"/>
    <x v="0"/>
  </r>
  <r>
    <x v="39"/>
    <x v="10"/>
    <x v="140"/>
    <n v="-17160000"/>
    <x v="0"/>
  </r>
  <r>
    <x v="39"/>
    <x v="11"/>
    <x v="140"/>
    <n v="-17160000"/>
    <x v="0"/>
  </r>
  <r>
    <x v="39"/>
    <x v="12"/>
    <x v="140"/>
    <n v="-17160000"/>
    <x v="0"/>
  </r>
  <r>
    <x v="39"/>
    <x v="13"/>
    <x v="140"/>
    <n v="-17160000"/>
    <x v="0"/>
  </r>
  <r>
    <x v="39"/>
    <x v="14"/>
    <x v="140"/>
    <n v="-17160000"/>
    <x v="0"/>
  </r>
  <r>
    <x v="39"/>
    <x v="15"/>
    <x v="140"/>
    <n v="-17160000"/>
    <x v="0"/>
  </r>
  <r>
    <x v="37"/>
    <x v="2"/>
    <x v="140"/>
    <n v="-26936126"/>
    <x v="0"/>
  </r>
  <r>
    <x v="37"/>
    <x v="3"/>
    <x v="140"/>
    <n v="-26936126"/>
    <x v="0"/>
  </r>
  <r>
    <x v="37"/>
    <x v="4"/>
    <x v="140"/>
    <n v="-26936126"/>
    <x v="0"/>
  </r>
  <r>
    <x v="37"/>
    <x v="5"/>
    <x v="140"/>
    <n v="-26936126"/>
    <x v="0"/>
  </r>
  <r>
    <x v="37"/>
    <x v="6"/>
    <x v="140"/>
    <n v="-26936126"/>
    <x v="0"/>
  </r>
  <r>
    <x v="37"/>
    <x v="7"/>
    <x v="140"/>
    <n v="-26936126"/>
    <x v="0"/>
  </r>
  <r>
    <x v="37"/>
    <x v="8"/>
    <x v="140"/>
    <n v="-26936126"/>
    <x v="0"/>
  </r>
  <r>
    <x v="37"/>
    <x v="9"/>
    <x v="140"/>
    <n v="-26936126"/>
    <x v="0"/>
  </r>
  <r>
    <x v="37"/>
    <x v="10"/>
    <x v="140"/>
    <n v="-26936126"/>
    <x v="0"/>
  </r>
  <r>
    <x v="37"/>
    <x v="11"/>
    <x v="140"/>
    <n v="-26936126"/>
    <x v="0"/>
  </r>
  <r>
    <x v="37"/>
    <x v="12"/>
    <x v="140"/>
    <n v="-26936126"/>
    <x v="0"/>
  </r>
  <r>
    <x v="37"/>
    <x v="13"/>
    <x v="140"/>
    <n v="-26936126"/>
    <x v="0"/>
  </r>
  <r>
    <x v="37"/>
    <x v="14"/>
    <x v="140"/>
    <n v="-26936126"/>
    <x v="0"/>
  </r>
  <r>
    <x v="37"/>
    <x v="15"/>
    <x v="140"/>
    <n v="-26936126"/>
    <x v="0"/>
  </r>
  <r>
    <x v="37"/>
    <x v="16"/>
    <x v="140"/>
    <n v="-26936126"/>
    <x v="0"/>
  </r>
  <r>
    <x v="37"/>
    <x v="17"/>
    <x v="140"/>
    <n v="-26936126"/>
    <x v="0"/>
  </r>
  <r>
    <x v="37"/>
    <x v="18"/>
    <x v="140"/>
    <n v="-26936126"/>
    <x v="0"/>
  </r>
  <r>
    <x v="37"/>
    <x v="19"/>
    <x v="140"/>
    <n v="-26936126"/>
    <x v="0"/>
  </r>
  <r>
    <x v="37"/>
    <x v="20"/>
    <x v="140"/>
    <n v="-26936126"/>
    <x v="0"/>
  </r>
  <r>
    <x v="37"/>
    <x v="21"/>
    <x v="140"/>
    <n v="-26936126"/>
    <x v="0"/>
  </r>
  <r>
    <x v="37"/>
    <x v="22"/>
    <x v="140"/>
    <n v="-26936126"/>
    <x v="0"/>
  </r>
  <r>
    <x v="37"/>
    <x v="23"/>
    <x v="140"/>
    <n v="-26936126"/>
    <x v="0"/>
  </r>
  <r>
    <x v="37"/>
    <x v="24"/>
    <x v="140"/>
    <n v="-26936126"/>
    <x v="0"/>
  </r>
  <r>
    <x v="37"/>
    <x v="25"/>
    <x v="140"/>
    <n v="-26936126"/>
    <x v="0"/>
  </r>
  <r>
    <x v="37"/>
    <x v="26"/>
    <x v="140"/>
    <n v="-26936126"/>
    <x v="0"/>
  </r>
  <r>
    <x v="38"/>
    <x v="3"/>
    <x v="140"/>
    <n v="-8700000"/>
    <x v="0"/>
  </r>
  <r>
    <x v="38"/>
    <x v="3"/>
    <x v="140"/>
    <n v="-20600000"/>
    <x v="0"/>
  </r>
  <r>
    <x v="38"/>
    <x v="4"/>
    <x v="140"/>
    <n v="-20600000"/>
    <x v="0"/>
  </r>
  <r>
    <x v="38"/>
    <x v="5"/>
    <x v="140"/>
    <n v="-20600000"/>
    <x v="0"/>
  </r>
  <r>
    <x v="38"/>
    <x v="6"/>
    <x v="140"/>
    <n v="-20600000"/>
    <x v="0"/>
  </r>
  <r>
    <x v="38"/>
    <x v="7"/>
    <x v="140"/>
    <n v="-20600000"/>
    <x v="0"/>
  </r>
  <r>
    <x v="38"/>
    <x v="8"/>
    <x v="140"/>
    <n v="-20600000"/>
    <x v="0"/>
  </r>
  <r>
    <x v="38"/>
    <x v="9"/>
    <x v="140"/>
    <n v="-20600000"/>
    <x v="0"/>
  </r>
  <r>
    <x v="38"/>
    <x v="10"/>
    <x v="140"/>
    <n v="-20600000"/>
    <x v="0"/>
  </r>
  <r>
    <x v="38"/>
    <x v="11"/>
    <x v="140"/>
    <n v="-20600000"/>
    <x v="0"/>
  </r>
  <r>
    <x v="38"/>
    <x v="12"/>
    <x v="140"/>
    <n v="-20600000"/>
    <x v="0"/>
  </r>
  <r>
    <x v="38"/>
    <x v="3"/>
    <x v="140"/>
    <n v="-14200000"/>
    <x v="0"/>
  </r>
  <r>
    <x v="38"/>
    <x v="4"/>
    <x v="140"/>
    <n v="-14200000"/>
    <x v="0"/>
  </r>
  <r>
    <x v="38"/>
    <x v="5"/>
    <x v="140"/>
    <n v="-14200000"/>
    <x v="0"/>
  </r>
  <r>
    <x v="38"/>
    <x v="6"/>
    <x v="140"/>
    <n v="-14200000"/>
    <x v="0"/>
  </r>
  <r>
    <x v="56"/>
    <x v="3"/>
    <x v="140"/>
    <n v="-10000000"/>
    <x v="0"/>
  </r>
  <r>
    <x v="56"/>
    <x v="4"/>
    <x v="140"/>
    <n v="-10000000"/>
    <x v="0"/>
  </r>
  <r>
    <x v="56"/>
    <x v="5"/>
    <x v="140"/>
    <n v="-10000000"/>
    <x v="0"/>
  </r>
  <r>
    <x v="0"/>
    <x v="0"/>
    <x v="0"/>
    <n v="5273934.6806999994"/>
    <x v="1"/>
  </r>
  <r>
    <x v="0"/>
    <x v="1"/>
    <x v="0"/>
    <n v="5273934.6806999994"/>
    <x v="1"/>
  </r>
  <r>
    <x v="0"/>
    <x v="2"/>
    <x v="0"/>
    <n v="5273934.6806999994"/>
    <x v="1"/>
  </r>
  <r>
    <x v="0"/>
    <x v="3"/>
    <x v="0"/>
    <n v="5273934.6806999994"/>
    <x v="1"/>
  </r>
  <r>
    <x v="0"/>
    <x v="4"/>
    <x v="0"/>
    <n v="5273934.6806999994"/>
    <x v="1"/>
  </r>
  <r>
    <x v="0"/>
    <x v="5"/>
    <x v="0"/>
    <n v="5273934.6806999994"/>
    <x v="1"/>
  </r>
  <r>
    <x v="0"/>
    <x v="6"/>
    <x v="0"/>
    <n v="5273934.6806999994"/>
    <x v="1"/>
  </r>
  <r>
    <x v="0"/>
    <x v="7"/>
    <x v="0"/>
    <n v="5273934.6806999994"/>
    <x v="1"/>
  </r>
  <r>
    <x v="0"/>
    <x v="8"/>
    <x v="0"/>
    <n v="5273934.6806999994"/>
    <x v="1"/>
  </r>
  <r>
    <x v="0"/>
    <x v="9"/>
    <x v="0"/>
    <n v="5273934.6806999994"/>
    <x v="1"/>
  </r>
  <r>
    <x v="0"/>
    <x v="10"/>
    <x v="0"/>
    <n v="5273934.6806999994"/>
    <x v="1"/>
  </r>
  <r>
    <x v="0"/>
    <x v="11"/>
    <x v="0"/>
    <n v="5273934.6806999994"/>
    <x v="1"/>
  </r>
  <r>
    <x v="0"/>
    <x v="12"/>
    <x v="0"/>
    <n v="5273934.6806999994"/>
    <x v="1"/>
  </r>
  <r>
    <x v="0"/>
    <x v="13"/>
    <x v="0"/>
    <n v="5273934.6806999994"/>
    <x v="1"/>
  </r>
  <r>
    <x v="0"/>
    <x v="0"/>
    <x v="1"/>
    <n v="7784590.2750000004"/>
    <x v="1"/>
  </r>
  <r>
    <x v="0"/>
    <x v="1"/>
    <x v="1"/>
    <n v="7784590.2750000004"/>
    <x v="1"/>
  </r>
  <r>
    <x v="0"/>
    <x v="2"/>
    <x v="1"/>
    <n v="7784590.2750000004"/>
    <x v="1"/>
  </r>
  <r>
    <x v="0"/>
    <x v="3"/>
    <x v="1"/>
    <n v="7784590.2750000004"/>
    <x v="1"/>
  </r>
  <r>
    <x v="0"/>
    <x v="4"/>
    <x v="1"/>
    <n v="7784590.2750000004"/>
    <x v="1"/>
  </r>
  <r>
    <x v="0"/>
    <x v="5"/>
    <x v="1"/>
    <n v="7784590.2750000004"/>
    <x v="1"/>
  </r>
  <r>
    <x v="0"/>
    <x v="6"/>
    <x v="1"/>
    <n v="7784590.2750000004"/>
    <x v="1"/>
  </r>
  <r>
    <x v="0"/>
    <x v="7"/>
    <x v="1"/>
    <n v="7784590.2750000004"/>
    <x v="1"/>
  </r>
  <r>
    <x v="0"/>
    <x v="8"/>
    <x v="1"/>
    <n v="7784590.2750000004"/>
    <x v="1"/>
  </r>
  <r>
    <x v="0"/>
    <x v="9"/>
    <x v="1"/>
    <n v="7784590.2750000004"/>
    <x v="1"/>
  </r>
  <r>
    <x v="0"/>
    <x v="10"/>
    <x v="1"/>
    <n v="7784590.2750000004"/>
    <x v="1"/>
  </r>
  <r>
    <x v="0"/>
    <x v="11"/>
    <x v="1"/>
    <n v="7784590.2750000004"/>
    <x v="1"/>
  </r>
  <r>
    <x v="0"/>
    <x v="12"/>
    <x v="1"/>
    <n v="7784590.2750000004"/>
    <x v="1"/>
  </r>
  <r>
    <x v="0"/>
    <x v="13"/>
    <x v="1"/>
    <n v="7784590.2750000004"/>
    <x v="1"/>
  </r>
  <r>
    <x v="0"/>
    <x v="0"/>
    <x v="2"/>
    <n v="6517329.5250000004"/>
    <x v="1"/>
  </r>
  <r>
    <x v="0"/>
    <x v="1"/>
    <x v="2"/>
    <n v="6517329.5250000004"/>
    <x v="1"/>
  </r>
  <r>
    <x v="0"/>
    <x v="2"/>
    <x v="2"/>
    <n v="6517329.5250000004"/>
    <x v="1"/>
  </r>
  <r>
    <x v="0"/>
    <x v="3"/>
    <x v="2"/>
    <n v="6517329.5250000004"/>
    <x v="1"/>
  </r>
  <r>
    <x v="0"/>
    <x v="4"/>
    <x v="2"/>
    <n v="6517329.5250000004"/>
    <x v="1"/>
  </r>
  <r>
    <x v="0"/>
    <x v="5"/>
    <x v="2"/>
    <n v="6517329.5250000004"/>
    <x v="1"/>
  </r>
  <r>
    <x v="0"/>
    <x v="6"/>
    <x v="2"/>
    <n v="6517329.5250000004"/>
    <x v="1"/>
  </r>
  <r>
    <x v="0"/>
    <x v="7"/>
    <x v="2"/>
    <n v="6517329.5250000004"/>
    <x v="1"/>
  </r>
  <r>
    <x v="0"/>
    <x v="8"/>
    <x v="2"/>
    <n v="6517329.5250000004"/>
    <x v="1"/>
  </r>
  <r>
    <x v="0"/>
    <x v="9"/>
    <x v="2"/>
    <n v="6517329.5250000004"/>
    <x v="1"/>
  </r>
  <r>
    <x v="0"/>
    <x v="10"/>
    <x v="2"/>
    <n v="6517329.5250000004"/>
    <x v="1"/>
  </r>
  <r>
    <x v="0"/>
    <x v="11"/>
    <x v="2"/>
    <n v="6517329.5250000004"/>
    <x v="1"/>
  </r>
  <r>
    <x v="0"/>
    <x v="12"/>
    <x v="2"/>
    <n v="6517329.5250000004"/>
    <x v="1"/>
  </r>
  <r>
    <x v="0"/>
    <x v="0"/>
    <x v="3"/>
    <n v="7791940.1186286025"/>
    <x v="1"/>
  </r>
  <r>
    <x v="0"/>
    <x v="1"/>
    <x v="3"/>
    <n v="7791940.1186286025"/>
    <x v="1"/>
  </r>
  <r>
    <x v="0"/>
    <x v="2"/>
    <x v="3"/>
    <n v="7791940.1186286025"/>
    <x v="1"/>
  </r>
  <r>
    <x v="0"/>
    <x v="3"/>
    <x v="3"/>
    <n v="7791940.1186286025"/>
    <x v="1"/>
  </r>
  <r>
    <x v="0"/>
    <x v="4"/>
    <x v="3"/>
    <n v="7791940.1186286025"/>
    <x v="1"/>
  </r>
  <r>
    <x v="0"/>
    <x v="5"/>
    <x v="3"/>
    <n v="7791940.1186286025"/>
    <x v="1"/>
  </r>
  <r>
    <x v="0"/>
    <x v="6"/>
    <x v="3"/>
    <n v="7791940.1186286025"/>
    <x v="1"/>
  </r>
  <r>
    <x v="0"/>
    <x v="7"/>
    <x v="3"/>
    <n v="7791940.1186286025"/>
    <x v="1"/>
  </r>
  <r>
    <x v="0"/>
    <x v="8"/>
    <x v="3"/>
    <n v="7791940.1186286025"/>
    <x v="1"/>
  </r>
  <r>
    <x v="0"/>
    <x v="9"/>
    <x v="3"/>
    <n v="7791940.1186286025"/>
    <x v="1"/>
  </r>
  <r>
    <x v="0"/>
    <x v="10"/>
    <x v="3"/>
    <n v="7791940.1186286025"/>
    <x v="1"/>
  </r>
  <r>
    <x v="0"/>
    <x v="11"/>
    <x v="3"/>
    <n v="7791940.1186286025"/>
    <x v="1"/>
  </r>
  <r>
    <x v="0"/>
    <x v="12"/>
    <x v="3"/>
    <n v="7791940.1186286025"/>
    <x v="1"/>
  </r>
  <r>
    <x v="0"/>
    <x v="13"/>
    <x v="3"/>
    <n v="7791940.1186286025"/>
    <x v="1"/>
  </r>
  <r>
    <x v="0"/>
    <x v="0"/>
    <x v="4"/>
    <n v="4525924.49505"/>
    <x v="1"/>
  </r>
  <r>
    <x v="0"/>
    <x v="1"/>
    <x v="4"/>
    <n v="4525924.49505"/>
    <x v="1"/>
  </r>
  <r>
    <x v="0"/>
    <x v="2"/>
    <x v="4"/>
    <n v="4525924.49505"/>
    <x v="1"/>
  </r>
  <r>
    <x v="0"/>
    <x v="3"/>
    <x v="4"/>
    <n v="4525924.49505"/>
    <x v="1"/>
  </r>
  <r>
    <x v="0"/>
    <x v="4"/>
    <x v="4"/>
    <n v="4525924.49505"/>
    <x v="1"/>
  </r>
  <r>
    <x v="0"/>
    <x v="5"/>
    <x v="4"/>
    <n v="4525924.49505"/>
    <x v="1"/>
  </r>
  <r>
    <x v="0"/>
    <x v="6"/>
    <x v="4"/>
    <n v="4525924.49505"/>
    <x v="1"/>
  </r>
  <r>
    <x v="0"/>
    <x v="7"/>
    <x v="4"/>
    <n v="4525924.49505"/>
    <x v="1"/>
  </r>
  <r>
    <x v="0"/>
    <x v="8"/>
    <x v="4"/>
    <n v="4525924.49505"/>
    <x v="1"/>
  </r>
  <r>
    <x v="0"/>
    <x v="9"/>
    <x v="4"/>
    <n v="4525924.49505"/>
    <x v="1"/>
  </r>
  <r>
    <x v="0"/>
    <x v="10"/>
    <x v="4"/>
    <n v="4525924.49505"/>
    <x v="1"/>
  </r>
  <r>
    <x v="0"/>
    <x v="11"/>
    <x v="4"/>
    <n v="4525924.49505"/>
    <x v="1"/>
  </r>
  <r>
    <x v="0"/>
    <x v="12"/>
    <x v="4"/>
    <n v="4525924.49505"/>
    <x v="1"/>
  </r>
  <r>
    <x v="0"/>
    <x v="13"/>
    <x v="4"/>
    <n v="4525924.49505"/>
    <x v="1"/>
  </r>
  <r>
    <x v="0"/>
    <x v="0"/>
    <x v="5"/>
    <n v="4797479.3643000005"/>
    <x v="1"/>
  </r>
  <r>
    <x v="0"/>
    <x v="1"/>
    <x v="5"/>
    <n v="4797479.3643000005"/>
    <x v="1"/>
  </r>
  <r>
    <x v="0"/>
    <x v="2"/>
    <x v="5"/>
    <n v="4797479.3643000005"/>
    <x v="1"/>
  </r>
  <r>
    <x v="0"/>
    <x v="3"/>
    <x v="5"/>
    <n v="4797479.3643000005"/>
    <x v="1"/>
  </r>
  <r>
    <x v="0"/>
    <x v="4"/>
    <x v="5"/>
    <n v="4797479.3643000005"/>
    <x v="1"/>
  </r>
  <r>
    <x v="0"/>
    <x v="5"/>
    <x v="5"/>
    <n v="4797479.3643000005"/>
    <x v="1"/>
  </r>
  <r>
    <x v="0"/>
    <x v="6"/>
    <x v="5"/>
    <n v="4797479.3643000005"/>
    <x v="1"/>
  </r>
  <r>
    <x v="0"/>
    <x v="7"/>
    <x v="5"/>
    <n v="4797479.3643000005"/>
    <x v="1"/>
  </r>
  <r>
    <x v="0"/>
    <x v="8"/>
    <x v="5"/>
    <n v="4797479.3643000005"/>
    <x v="1"/>
  </r>
  <r>
    <x v="0"/>
    <x v="0"/>
    <x v="6"/>
    <n v="4024174.4865000001"/>
    <x v="1"/>
  </r>
  <r>
    <x v="0"/>
    <x v="1"/>
    <x v="6"/>
    <n v="4024174.4865000001"/>
    <x v="1"/>
  </r>
  <r>
    <x v="0"/>
    <x v="2"/>
    <x v="6"/>
    <n v="4024174.4865000001"/>
    <x v="1"/>
  </r>
  <r>
    <x v="0"/>
    <x v="3"/>
    <x v="6"/>
    <n v="4024174.4865000001"/>
    <x v="1"/>
  </r>
  <r>
    <x v="0"/>
    <x v="4"/>
    <x v="6"/>
    <n v="4024174.4865000001"/>
    <x v="1"/>
  </r>
  <r>
    <x v="0"/>
    <x v="5"/>
    <x v="6"/>
    <n v="4024174.4865000001"/>
    <x v="1"/>
  </r>
  <r>
    <x v="0"/>
    <x v="6"/>
    <x v="6"/>
    <n v="4024174.4865000001"/>
    <x v="1"/>
  </r>
  <r>
    <x v="0"/>
    <x v="7"/>
    <x v="6"/>
    <n v="4024174.4865000001"/>
    <x v="1"/>
  </r>
  <r>
    <x v="0"/>
    <x v="8"/>
    <x v="6"/>
    <n v="4024174.4865000001"/>
    <x v="1"/>
  </r>
  <r>
    <x v="0"/>
    <x v="9"/>
    <x v="6"/>
    <n v="4024174.4865000001"/>
    <x v="1"/>
  </r>
  <r>
    <x v="0"/>
    <x v="10"/>
    <x v="6"/>
    <n v="4024174.4865000001"/>
    <x v="1"/>
  </r>
  <r>
    <x v="0"/>
    <x v="11"/>
    <x v="6"/>
    <n v="4024174.4865000001"/>
    <x v="1"/>
  </r>
  <r>
    <x v="0"/>
    <x v="12"/>
    <x v="6"/>
    <n v="4024174.4865000001"/>
    <x v="1"/>
  </r>
  <r>
    <x v="0"/>
    <x v="3"/>
    <x v="7"/>
    <n v="3995634.3839999996"/>
    <x v="1"/>
  </r>
  <r>
    <x v="0"/>
    <x v="4"/>
    <x v="7"/>
    <n v="3995634.3839999996"/>
    <x v="1"/>
  </r>
  <r>
    <x v="0"/>
    <x v="5"/>
    <x v="7"/>
    <n v="3995634.3839999996"/>
    <x v="1"/>
  </r>
  <r>
    <x v="0"/>
    <x v="6"/>
    <x v="7"/>
    <n v="3995634.3839999996"/>
    <x v="1"/>
  </r>
  <r>
    <x v="0"/>
    <x v="7"/>
    <x v="7"/>
    <n v="3995634.3839999996"/>
    <x v="1"/>
  </r>
  <r>
    <x v="0"/>
    <x v="8"/>
    <x v="7"/>
    <n v="3995634.3839999996"/>
    <x v="1"/>
  </r>
  <r>
    <x v="0"/>
    <x v="9"/>
    <x v="7"/>
    <n v="3995634.3839999996"/>
    <x v="1"/>
  </r>
  <r>
    <x v="0"/>
    <x v="10"/>
    <x v="7"/>
    <n v="3995634.3839999996"/>
    <x v="1"/>
  </r>
  <r>
    <x v="0"/>
    <x v="11"/>
    <x v="7"/>
    <n v="3995634.3839999996"/>
    <x v="1"/>
  </r>
  <r>
    <x v="1"/>
    <x v="0"/>
    <x v="1"/>
    <n v="10120918.862249998"/>
    <x v="1"/>
  </r>
  <r>
    <x v="1"/>
    <x v="1"/>
    <x v="1"/>
    <n v="10120918.862249998"/>
    <x v="1"/>
  </r>
  <r>
    <x v="1"/>
    <x v="2"/>
    <x v="1"/>
    <n v="10120918.862249998"/>
    <x v="1"/>
  </r>
  <r>
    <x v="1"/>
    <x v="0"/>
    <x v="8"/>
    <n v="3845949.1676549995"/>
    <x v="1"/>
  </r>
  <r>
    <x v="1"/>
    <x v="1"/>
    <x v="8"/>
    <n v="3845949.1676549995"/>
    <x v="1"/>
  </r>
  <r>
    <x v="1"/>
    <x v="2"/>
    <x v="8"/>
    <n v="3845949.1676549995"/>
    <x v="1"/>
  </r>
  <r>
    <x v="1"/>
    <x v="0"/>
    <x v="9"/>
    <n v="3845949.1676549995"/>
    <x v="1"/>
  </r>
  <r>
    <x v="1"/>
    <x v="1"/>
    <x v="9"/>
    <n v="3845949.1676549995"/>
    <x v="1"/>
  </r>
  <r>
    <x v="1"/>
    <x v="2"/>
    <x v="9"/>
    <n v="3845949.1676549995"/>
    <x v="1"/>
  </r>
  <r>
    <x v="1"/>
    <x v="0"/>
    <x v="10"/>
    <n v="4250785.9221449997"/>
    <x v="1"/>
  </r>
  <r>
    <x v="1"/>
    <x v="1"/>
    <x v="10"/>
    <n v="4250785.9221449997"/>
    <x v="1"/>
  </r>
  <r>
    <x v="1"/>
    <x v="2"/>
    <x v="10"/>
    <n v="4250785.9221449997"/>
    <x v="1"/>
  </r>
  <r>
    <x v="1"/>
    <x v="0"/>
    <x v="11"/>
    <n v="3643530.7904099999"/>
    <x v="1"/>
  </r>
  <r>
    <x v="1"/>
    <x v="1"/>
    <x v="11"/>
    <n v="3643530.7904099999"/>
    <x v="1"/>
  </r>
  <r>
    <x v="1"/>
    <x v="2"/>
    <x v="11"/>
    <n v="3643530.7904099999"/>
    <x v="1"/>
  </r>
  <r>
    <x v="1"/>
    <x v="0"/>
    <x v="12"/>
    <n v="4964979.0644999994"/>
    <x v="1"/>
  </r>
  <r>
    <x v="1"/>
    <x v="1"/>
    <x v="12"/>
    <n v="4964979.0644999994"/>
    <x v="1"/>
  </r>
  <r>
    <x v="1"/>
    <x v="2"/>
    <x v="12"/>
    <n v="4964979.0644999994"/>
    <x v="1"/>
  </r>
  <r>
    <x v="1"/>
    <x v="0"/>
    <x v="3"/>
    <n v="8593232.9962500017"/>
    <x v="1"/>
  </r>
  <r>
    <x v="1"/>
    <x v="1"/>
    <x v="3"/>
    <n v="8593232.9962500017"/>
    <x v="1"/>
  </r>
  <r>
    <x v="1"/>
    <x v="2"/>
    <x v="3"/>
    <n v="8593232.9962500017"/>
    <x v="1"/>
  </r>
  <r>
    <x v="1"/>
    <x v="0"/>
    <x v="13"/>
    <n v="6110743.4639999997"/>
    <x v="1"/>
  </r>
  <r>
    <x v="1"/>
    <x v="1"/>
    <x v="13"/>
    <n v="6110743.4639999997"/>
    <x v="1"/>
  </r>
  <r>
    <x v="1"/>
    <x v="2"/>
    <x v="13"/>
    <n v="6110743.4639999997"/>
    <x v="1"/>
  </r>
  <r>
    <x v="2"/>
    <x v="0"/>
    <x v="0"/>
    <n v="2679075"/>
    <x v="1"/>
  </r>
  <r>
    <x v="2"/>
    <x v="1"/>
    <x v="0"/>
    <n v="2679075"/>
    <x v="1"/>
  </r>
  <r>
    <x v="2"/>
    <x v="2"/>
    <x v="0"/>
    <n v="2679075"/>
    <x v="1"/>
  </r>
  <r>
    <x v="2"/>
    <x v="3"/>
    <x v="0"/>
    <n v="2679075"/>
    <x v="1"/>
  </r>
  <r>
    <x v="2"/>
    <x v="4"/>
    <x v="0"/>
    <n v="2679075"/>
    <x v="1"/>
  </r>
  <r>
    <x v="2"/>
    <x v="5"/>
    <x v="0"/>
    <n v="2679075"/>
    <x v="1"/>
  </r>
  <r>
    <x v="2"/>
    <x v="0"/>
    <x v="1"/>
    <n v="9754920"/>
    <x v="1"/>
  </r>
  <r>
    <x v="2"/>
    <x v="1"/>
    <x v="1"/>
    <n v="9754920"/>
    <x v="1"/>
  </r>
  <r>
    <x v="2"/>
    <x v="2"/>
    <x v="1"/>
    <n v="9754920"/>
    <x v="1"/>
  </r>
  <r>
    <x v="2"/>
    <x v="3"/>
    <x v="1"/>
    <n v="9754920"/>
    <x v="1"/>
  </r>
  <r>
    <x v="2"/>
    <x v="4"/>
    <x v="1"/>
    <n v="9754920"/>
    <x v="1"/>
  </r>
  <r>
    <x v="2"/>
    <x v="5"/>
    <x v="1"/>
    <n v="9754920"/>
    <x v="1"/>
  </r>
  <r>
    <x v="2"/>
    <x v="0"/>
    <x v="14"/>
    <n v="4163260.5"/>
    <x v="1"/>
  </r>
  <r>
    <x v="2"/>
    <x v="1"/>
    <x v="14"/>
    <n v="4163260.5"/>
    <x v="1"/>
  </r>
  <r>
    <x v="2"/>
    <x v="2"/>
    <x v="14"/>
    <n v="4163260.5"/>
    <x v="1"/>
  </r>
  <r>
    <x v="2"/>
    <x v="3"/>
    <x v="14"/>
    <n v="4163260.5"/>
    <x v="1"/>
  </r>
  <r>
    <x v="2"/>
    <x v="0"/>
    <x v="5"/>
    <n v="1950380.3812500001"/>
    <x v="1"/>
  </r>
  <r>
    <x v="2"/>
    <x v="1"/>
    <x v="5"/>
    <n v="1950380.3812500001"/>
    <x v="1"/>
  </r>
  <r>
    <x v="2"/>
    <x v="2"/>
    <x v="5"/>
    <n v="1950380.3812500001"/>
    <x v="1"/>
  </r>
  <r>
    <x v="2"/>
    <x v="3"/>
    <x v="5"/>
    <n v="1950380.3812500001"/>
    <x v="1"/>
  </r>
  <r>
    <x v="2"/>
    <x v="0"/>
    <x v="15"/>
    <n v="5521981.5"/>
    <x v="1"/>
  </r>
  <r>
    <x v="2"/>
    <x v="1"/>
    <x v="15"/>
    <n v="5521981.5"/>
    <x v="1"/>
  </r>
  <r>
    <x v="2"/>
    <x v="2"/>
    <x v="15"/>
    <n v="5521981.5"/>
    <x v="1"/>
  </r>
  <r>
    <x v="3"/>
    <x v="0"/>
    <x v="0"/>
    <n v="3804794.5320000006"/>
    <x v="1"/>
  </r>
  <r>
    <x v="3"/>
    <x v="1"/>
    <x v="0"/>
    <n v="3804794.5320000006"/>
    <x v="1"/>
  </r>
  <r>
    <x v="3"/>
    <x v="2"/>
    <x v="0"/>
    <n v="3804794.5320000006"/>
    <x v="1"/>
  </r>
  <r>
    <x v="3"/>
    <x v="3"/>
    <x v="0"/>
    <n v="3804794.5320000006"/>
    <x v="1"/>
  </r>
  <r>
    <x v="3"/>
    <x v="0"/>
    <x v="1"/>
    <n v="10868700"/>
    <x v="1"/>
  </r>
  <r>
    <x v="3"/>
    <x v="1"/>
    <x v="1"/>
    <n v="10868700"/>
    <x v="1"/>
  </r>
  <r>
    <x v="3"/>
    <x v="2"/>
    <x v="1"/>
    <n v="10868700"/>
    <x v="1"/>
  </r>
  <r>
    <x v="3"/>
    <x v="3"/>
    <x v="1"/>
    <n v="10868700"/>
    <x v="1"/>
  </r>
  <r>
    <x v="3"/>
    <x v="0"/>
    <x v="14"/>
    <n v="3601566.2399999998"/>
    <x v="1"/>
  </r>
  <r>
    <x v="3"/>
    <x v="1"/>
    <x v="14"/>
    <n v="3601566.2399999998"/>
    <x v="1"/>
  </r>
  <r>
    <x v="3"/>
    <x v="2"/>
    <x v="14"/>
    <n v="3601566.2399999998"/>
    <x v="1"/>
  </r>
  <r>
    <x v="3"/>
    <x v="3"/>
    <x v="14"/>
    <n v="3601566.2399999998"/>
    <x v="1"/>
  </r>
  <r>
    <x v="3"/>
    <x v="0"/>
    <x v="16"/>
    <n v="5246958"/>
    <x v="1"/>
  </r>
  <r>
    <x v="3"/>
    <x v="1"/>
    <x v="16"/>
    <n v="5246958"/>
    <x v="1"/>
  </r>
  <r>
    <x v="3"/>
    <x v="2"/>
    <x v="16"/>
    <n v="5246958"/>
    <x v="1"/>
  </r>
  <r>
    <x v="3"/>
    <x v="3"/>
    <x v="16"/>
    <n v="5246958"/>
    <x v="1"/>
  </r>
  <r>
    <x v="3"/>
    <x v="0"/>
    <x v="15"/>
    <n v="4544697"/>
    <x v="1"/>
  </r>
  <r>
    <x v="3"/>
    <x v="1"/>
    <x v="15"/>
    <n v="4544697"/>
    <x v="1"/>
  </r>
  <r>
    <x v="3"/>
    <x v="2"/>
    <x v="15"/>
    <n v="4544697"/>
    <x v="1"/>
  </r>
  <r>
    <x v="3"/>
    <x v="3"/>
    <x v="15"/>
    <n v="4544697"/>
    <x v="1"/>
  </r>
  <r>
    <x v="3"/>
    <x v="0"/>
    <x v="17"/>
    <n v="7308264"/>
    <x v="1"/>
  </r>
  <r>
    <x v="3"/>
    <x v="1"/>
    <x v="17"/>
    <n v="7308264"/>
    <x v="1"/>
  </r>
  <r>
    <x v="3"/>
    <x v="2"/>
    <x v="17"/>
    <n v="7308264"/>
    <x v="1"/>
  </r>
  <r>
    <x v="3"/>
    <x v="3"/>
    <x v="17"/>
    <n v="7308264"/>
    <x v="1"/>
  </r>
  <r>
    <x v="3"/>
    <x v="0"/>
    <x v="18"/>
    <n v="3989386.5"/>
    <x v="1"/>
  </r>
  <r>
    <x v="3"/>
    <x v="1"/>
    <x v="18"/>
    <n v="3989386.5"/>
    <x v="1"/>
  </r>
  <r>
    <x v="3"/>
    <x v="2"/>
    <x v="18"/>
    <n v="3989386.5"/>
    <x v="1"/>
  </r>
  <r>
    <x v="4"/>
    <x v="0"/>
    <x v="1"/>
    <n v="9724050.0000000019"/>
    <x v="1"/>
  </r>
  <r>
    <x v="4"/>
    <x v="1"/>
    <x v="1"/>
    <n v="9724050.0000000019"/>
    <x v="1"/>
  </r>
  <r>
    <x v="4"/>
    <x v="2"/>
    <x v="1"/>
    <n v="9724050.0000000019"/>
    <x v="1"/>
  </r>
  <r>
    <x v="4"/>
    <x v="3"/>
    <x v="1"/>
    <n v="9724050.0000000019"/>
    <x v="1"/>
  </r>
  <r>
    <x v="4"/>
    <x v="4"/>
    <x v="1"/>
    <n v="9724050.0000000019"/>
    <x v="1"/>
  </r>
  <r>
    <x v="4"/>
    <x v="5"/>
    <x v="1"/>
    <n v="9724050.0000000019"/>
    <x v="1"/>
  </r>
  <r>
    <x v="4"/>
    <x v="6"/>
    <x v="1"/>
    <n v="9724050.0000000019"/>
    <x v="1"/>
  </r>
  <r>
    <x v="4"/>
    <x v="7"/>
    <x v="1"/>
    <n v="9724050.0000000019"/>
    <x v="1"/>
  </r>
  <r>
    <x v="4"/>
    <x v="8"/>
    <x v="1"/>
    <n v="9724050.0000000019"/>
    <x v="1"/>
  </r>
  <r>
    <x v="4"/>
    <x v="9"/>
    <x v="1"/>
    <n v="9724050.0000000019"/>
    <x v="1"/>
  </r>
  <r>
    <x v="4"/>
    <x v="10"/>
    <x v="1"/>
    <n v="9724050.0000000019"/>
    <x v="1"/>
  </r>
  <r>
    <x v="4"/>
    <x v="11"/>
    <x v="1"/>
    <n v="9724050.0000000019"/>
    <x v="1"/>
  </r>
  <r>
    <x v="4"/>
    <x v="0"/>
    <x v="19"/>
    <n v="3533997.5999999996"/>
    <x v="1"/>
  </r>
  <r>
    <x v="4"/>
    <x v="1"/>
    <x v="19"/>
    <n v="3533997.5999999996"/>
    <x v="1"/>
  </r>
  <r>
    <x v="4"/>
    <x v="2"/>
    <x v="19"/>
    <n v="3533997.5999999996"/>
    <x v="1"/>
  </r>
  <r>
    <x v="4"/>
    <x v="3"/>
    <x v="19"/>
    <n v="3533997.5999999996"/>
    <x v="1"/>
  </r>
  <r>
    <x v="4"/>
    <x v="4"/>
    <x v="19"/>
    <n v="3533997.5999999996"/>
    <x v="1"/>
  </r>
  <r>
    <x v="4"/>
    <x v="5"/>
    <x v="19"/>
    <n v="3533997.5999999996"/>
    <x v="1"/>
  </r>
  <r>
    <x v="4"/>
    <x v="6"/>
    <x v="19"/>
    <n v="3533997.5999999996"/>
    <x v="1"/>
  </r>
  <r>
    <x v="4"/>
    <x v="7"/>
    <x v="19"/>
    <n v="3533997.5999999996"/>
    <x v="1"/>
  </r>
  <r>
    <x v="4"/>
    <x v="8"/>
    <x v="19"/>
    <n v="3533997.5999999996"/>
    <x v="1"/>
  </r>
  <r>
    <x v="4"/>
    <x v="9"/>
    <x v="19"/>
    <n v="3533997.5999999996"/>
    <x v="1"/>
  </r>
  <r>
    <x v="4"/>
    <x v="10"/>
    <x v="19"/>
    <n v="3533997.5999999996"/>
    <x v="1"/>
  </r>
  <r>
    <x v="4"/>
    <x v="11"/>
    <x v="19"/>
    <n v="3533997.5999999996"/>
    <x v="1"/>
  </r>
  <r>
    <x v="4"/>
    <x v="0"/>
    <x v="20"/>
    <n v="3902122.35"/>
    <x v="1"/>
  </r>
  <r>
    <x v="4"/>
    <x v="1"/>
    <x v="20"/>
    <n v="3902122.35"/>
    <x v="1"/>
  </r>
  <r>
    <x v="4"/>
    <x v="2"/>
    <x v="20"/>
    <n v="3902122.35"/>
    <x v="1"/>
  </r>
  <r>
    <x v="4"/>
    <x v="3"/>
    <x v="20"/>
    <n v="3902122.35"/>
    <x v="1"/>
  </r>
  <r>
    <x v="4"/>
    <x v="4"/>
    <x v="20"/>
    <n v="3902122.35"/>
    <x v="1"/>
  </r>
  <r>
    <x v="4"/>
    <x v="5"/>
    <x v="20"/>
    <n v="3902122.35"/>
    <x v="1"/>
  </r>
  <r>
    <x v="4"/>
    <x v="6"/>
    <x v="20"/>
    <n v="3902122.35"/>
    <x v="1"/>
  </r>
  <r>
    <x v="4"/>
    <x v="7"/>
    <x v="20"/>
    <n v="3902122.35"/>
    <x v="1"/>
  </r>
  <r>
    <x v="4"/>
    <x v="0"/>
    <x v="15"/>
    <n v="3993806.2500000005"/>
    <x v="1"/>
  </r>
  <r>
    <x v="4"/>
    <x v="1"/>
    <x v="15"/>
    <n v="3993806.2500000005"/>
    <x v="1"/>
  </r>
  <r>
    <x v="4"/>
    <x v="2"/>
    <x v="15"/>
    <n v="3993806.2500000005"/>
    <x v="1"/>
  </r>
  <r>
    <x v="4"/>
    <x v="3"/>
    <x v="15"/>
    <n v="3993806.2500000005"/>
    <x v="1"/>
  </r>
  <r>
    <x v="4"/>
    <x v="4"/>
    <x v="15"/>
    <n v="3993806.2500000005"/>
    <x v="1"/>
  </r>
  <r>
    <x v="4"/>
    <x v="5"/>
    <x v="15"/>
    <n v="3993806.2500000005"/>
    <x v="1"/>
  </r>
  <r>
    <x v="4"/>
    <x v="6"/>
    <x v="15"/>
    <n v="3993806.2500000005"/>
    <x v="1"/>
  </r>
  <r>
    <x v="4"/>
    <x v="7"/>
    <x v="15"/>
    <n v="3993806.2500000005"/>
    <x v="1"/>
  </r>
  <r>
    <x v="5"/>
    <x v="0"/>
    <x v="0"/>
    <n v="4388324.8500000006"/>
    <x v="1"/>
  </r>
  <r>
    <x v="5"/>
    <x v="1"/>
    <x v="0"/>
    <n v="4388324.8500000006"/>
    <x v="1"/>
  </r>
  <r>
    <x v="5"/>
    <x v="2"/>
    <x v="0"/>
    <n v="4388324.8500000006"/>
    <x v="1"/>
  </r>
  <r>
    <x v="5"/>
    <x v="3"/>
    <x v="0"/>
    <n v="4388324.8500000006"/>
    <x v="1"/>
  </r>
  <r>
    <x v="5"/>
    <x v="4"/>
    <x v="0"/>
    <n v="4388324.8500000006"/>
    <x v="1"/>
  </r>
  <r>
    <x v="5"/>
    <x v="0"/>
    <x v="1"/>
    <n v="8682187.5000000019"/>
    <x v="1"/>
  </r>
  <r>
    <x v="5"/>
    <x v="1"/>
    <x v="1"/>
    <n v="8682187.5000000019"/>
    <x v="1"/>
  </r>
  <r>
    <x v="5"/>
    <x v="2"/>
    <x v="1"/>
    <n v="8682187.5000000019"/>
    <x v="1"/>
  </r>
  <r>
    <x v="5"/>
    <x v="3"/>
    <x v="1"/>
    <n v="8682187.5000000019"/>
    <x v="1"/>
  </r>
  <r>
    <x v="5"/>
    <x v="4"/>
    <x v="1"/>
    <n v="8682187.5000000019"/>
    <x v="1"/>
  </r>
  <r>
    <x v="5"/>
    <x v="0"/>
    <x v="14"/>
    <n v="3865309.875"/>
    <x v="1"/>
  </r>
  <r>
    <x v="5"/>
    <x v="1"/>
    <x v="14"/>
    <n v="3865309.875"/>
    <x v="1"/>
  </r>
  <r>
    <x v="5"/>
    <x v="2"/>
    <x v="14"/>
    <n v="3865309.875"/>
    <x v="1"/>
  </r>
  <r>
    <x v="5"/>
    <x v="3"/>
    <x v="14"/>
    <n v="3865309.875"/>
    <x v="1"/>
  </r>
  <r>
    <x v="5"/>
    <x v="4"/>
    <x v="14"/>
    <n v="3865309.875"/>
    <x v="1"/>
  </r>
  <r>
    <x v="5"/>
    <x v="0"/>
    <x v="21"/>
    <n v="3497185.125"/>
    <x v="1"/>
  </r>
  <r>
    <x v="5"/>
    <x v="1"/>
    <x v="21"/>
    <n v="3497185.125"/>
    <x v="1"/>
  </r>
  <r>
    <x v="5"/>
    <x v="2"/>
    <x v="21"/>
    <n v="3497185.125"/>
    <x v="1"/>
  </r>
  <r>
    <x v="5"/>
    <x v="3"/>
    <x v="21"/>
    <n v="3497185.125"/>
    <x v="1"/>
  </r>
  <r>
    <x v="5"/>
    <x v="4"/>
    <x v="21"/>
    <n v="3497185.125"/>
    <x v="1"/>
  </r>
  <r>
    <x v="5"/>
    <x v="5"/>
    <x v="21"/>
    <n v="3497185.125"/>
    <x v="1"/>
  </r>
  <r>
    <x v="5"/>
    <x v="6"/>
    <x v="21"/>
    <n v="3497185.125"/>
    <x v="1"/>
  </r>
  <r>
    <x v="5"/>
    <x v="7"/>
    <x v="21"/>
    <n v="3497185.125"/>
    <x v="1"/>
  </r>
  <r>
    <x v="5"/>
    <x v="8"/>
    <x v="21"/>
    <n v="3497185.125"/>
    <x v="1"/>
  </r>
  <r>
    <x v="5"/>
    <x v="9"/>
    <x v="21"/>
    <n v="3497185.125"/>
    <x v="1"/>
  </r>
  <r>
    <x v="5"/>
    <x v="10"/>
    <x v="21"/>
    <n v="3497185.125"/>
    <x v="1"/>
  </r>
  <r>
    <x v="5"/>
    <x v="11"/>
    <x v="21"/>
    <n v="3497185.125"/>
    <x v="1"/>
  </r>
  <r>
    <x v="5"/>
    <x v="12"/>
    <x v="21"/>
    <n v="3497185.125"/>
    <x v="1"/>
  </r>
  <r>
    <x v="5"/>
    <x v="0"/>
    <x v="15"/>
    <n v="3646518.7500000005"/>
    <x v="1"/>
  </r>
  <r>
    <x v="6"/>
    <x v="0"/>
    <x v="13"/>
    <n v="8365287.65625"/>
    <x v="1"/>
  </r>
  <r>
    <x v="6"/>
    <x v="1"/>
    <x v="13"/>
    <n v="8365287.65625"/>
    <x v="1"/>
  </r>
  <r>
    <x v="7"/>
    <x v="0"/>
    <x v="0"/>
    <n v="3839596.7085000006"/>
    <x v="1"/>
  </r>
  <r>
    <x v="7"/>
    <x v="1"/>
    <x v="0"/>
    <n v="3839596.7085000006"/>
    <x v="1"/>
  </r>
  <r>
    <x v="7"/>
    <x v="2"/>
    <x v="0"/>
    <n v="3839596.7085000006"/>
    <x v="1"/>
  </r>
  <r>
    <x v="7"/>
    <x v="3"/>
    <x v="0"/>
    <n v="3839596.7085000006"/>
    <x v="1"/>
  </r>
  <r>
    <x v="7"/>
    <x v="4"/>
    <x v="0"/>
    <n v="3839596.7085000006"/>
    <x v="1"/>
  </r>
  <r>
    <x v="7"/>
    <x v="5"/>
    <x v="0"/>
    <n v="3839596.7085000006"/>
    <x v="1"/>
  </r>
  <r>
    <x v="7"/>
    <x v="6"/>
    <x v="0"/>
    <n v="3839596.7085000006"/>
    <x v="1"/>
  </r>
  <r>
    <x v="7"/>
    <x v="7"/>
    <x v="0"/>
    <n v="3839596.7085000006"/>
    <x v="1"/>
  </r>
  <r>
    <x v="7"/>
    <x v="8"/>
    <x v="0"/>
    <n v="3839596.7085000006"/>
    <x v="1"/>
  </r>
  <r>
    <x v="7"/>
    <x v="9"/>
    <x v="0"/>
    <n v="3839596.7085000006"/>
    <x v="1"/>
  </r>
  <r>
    <x v="7"/>
    <x v="10"/>
    <x v="0"/>
    <n v="3839596.7085000006"/>
    <x v="1"/>
  </r>
  <r>
    <x v="7"/>
    <x v="11"/>
    <x v="0"/>
    <n v="3839596.7085000006"/>
    <x v="1"/>
  </r>
  <r>
    <x v="7"/>
    <x v="0"/>
    <x v="1"/>
    <n v="12599152.25625"/>
    <x v="1"/>
  </r>
  <r>
    <x v="7"/>
    <x v="1"/>
    <x v="1"/>
    <n v="12599152.25625"/>
    <x v="1"/>
  </r>
  <r>
    <x v="7"/>
    <x v="2"/>
    <x v="1"/>
    <n v="12599152.25625"/>
    <x v="1"/>
  </r>
  <r>
    <x v="7"/>
    <x v="3"/>
    <x v="1"/>
    <n v="12599152.25625"/>
    <x v="1"/>
  </r>
  <r>
    <x v="7"/>
    <x v="4"/>
    <x v="1"/>
    <n v="12599152.25625"/>
    <x v="1"/>
  </r>
  <r>
    <x v="7"/>
    <x v="5"/>
    <x v="1"/>
    <n v="12599152.25625"/>
    <x v="1"/>
  </r>
  <r>
    <x v="7"/>
    <x v="6"/>
    <x v="1"/>
    <n v="12599152.25625"/>
    <x v="1"/>
  </r>
  <r>
    <x v="7"/>
    <x v="7"/>
    <x v="1"/>
    <n v="12599152.25625"/>
    <x v="1"/>
  </r>
  <r>
    <x v="7"/>
    <x v="8"/>
    <x v="1"/>
    <n v="12599152.25625"/>
    <x v="1"/>
  </r>
  <r>
    <x v="7"/>
    <x v="9"/>
    <x v="1"/>
    <n v="12599152.25625"/>
    <x v="1"/>
  </r>
  <r>
    <x v="7"/>
    <x v="10"/>
    <x v="1"/>
    <n v="12599152.25625"/>
    <x v="1"/>
  </r>
  <r>
    <x v="7"/>
    <x v="11"/>
    <x v="1"/>
    <n v="12599152.25625"/>
    <x v="1"/>
  </r>
  <r>
    <x v="7"/>
    <x v="0"/>
    <x v="22"/>
    <n v="7005285"/>
    <x v="1"/>
  </r>
  <r>
    <x v="7"/>
    <x v="1"/>
    <x v="22"/>
    <n v="7005285"/>
    <x v="1"/>
  </r>
  <r>
    <x v="7"/>
    <x v="2"/>
    <x v="22"/>
    <n v="7005285"/>
    <x v="1"/>
  </r>
  <r>
    <x v="7"/>
    <x v="3"/>
    <x v="22"/>
    <n v="7005285"/>
    <x v="1"/>
  </r>
  <r>
    <x v="7"/>
    <x v="4"/>
    <x v="22"/>
    <n v="7005285"/>
    <x v="1"/>
  </r>
  <r>
    <x v="7"/>
    <x v="5"/>
    <x v="22"/>
    <n v="7005285"/>
    <x v="1"/>
  </r>
  <r>
    <x v="7"/>
    <x v="6"/>
    <x v="22"/>
    <n v="7005285"/>
    <x v="1"/>
  </r>
  <r>
    <x v="7"/>
    <x v="7"/>
    <x v="22"/>
    <n v="7005285"/>
    <x v="1"/>
  </r>
  <r>
    <x v="7"/>
    <x v="8"/>
    <x v="22"/>
    <n v="7005285"/>
    <x v="1"/>
  </r>
  <r>
    <x v="7"/>
    <x v="9"/>
    <x v="22"/>
    <n v="7005285"/>
    <x v="1"/>
  </r>
  <r>
    <x v="7"/>
    <x v="10"/>
    <x v="22"/>
    <n v="7005285"/>
    <x v="1"/>
  </r>
  <r>
    <x v="7"/>
    <x v="11"/>
    <x v="22"/>
    <n v="7005285"/>
    <x v="1"/>
  </r>
  <r>
    <x v="8"/>
    <x v="0"/>
    <x v="0"/>
    <n v="2727772.2"/>
    <x v="1"/>
  </r>
  <r>
    <x v="8"/>
    <x v="0"/>
    <x v="23"/>
    <n v="8520078"/>
    <x v="1"/>
  </r>
  <r>
    <x v="8"/>
    <x v="0"/>
    <x v="24"/>
    <n v="8520078"/>
    <x v="1"/>
  </r>
  <r>
    <x v="8"/>
    <x v="0"/>
    <x v="25"/>
    <n v="4462096.5"/>
    <x v="1"/>
  </r>
  <r>
    <x v="8"/>
    <x v="0"/>
    <x v="15"/>
    <n v="3872763"/>
    <x v="1"/>
  </r>
  <r>
    <x v="9"/>
    <x v="0"/>
    <x v="1"/>
    <n v="11721250.800000001"/>
    <x v="1"/>
  </r>
  <r>
    <x v="9"/>
    <x v="1"/>
    <x v="1"/>
    <n v="11721250.800000001"/>
    <x v="1"/>
  </r>
  <r>
    <x v="9"/>
    <x v="2"/>
    <x v="1"/>
    <n v="11721250.800000001"/>
    <x v="1"/>
  </r>
  <r>
    <x v="9"/>
    <x v="3"/>
    <x v="1"/>
    <n v="11721250.800000001"/>
    <x v="1"/>
  </r>
  <r>
    <x v="9"/>
    <x v="4"/>
    <x v="1"/>
    <n v="11721250.800000001"/>
    <x v="1"/>
  </r>
  <r>
    <x v="9"/>
    <x v="5"/>
    <x v="1"/>
    <n v="11721250.800000001"/>
    <x v="1"/>
  </r>
  <r>
    <x v="9"/>
    <x v="6"/>
    <x v="1"/>
    <n v="11721250.800000001"/>
    <x v="1"/>
  </r>
  <r>
    <x v="9"/>
    <x v="7"/>
    <x v="1"/>
    <n v="11721250.800000001"/>
    <x v="1"/>
  </r>
  <r>
    <x v="9"/>
    <x v="0"/>
    <x v="14"/>
    <n v="3810634.5847499999"/>
    <x v="1"/>
  </r>
  <r>
    <x v="9"/>
    <x v="1"/>
    <x v="14"/>
    <n v="3810634.5847499999"/>
    <x v="1"/>
  </r>
  <r>
    <x v="9"/>
    <x v="2"/>
    <x v="14"/>
    <n v="3810634.5847499999"/>
    <x v="1"/>
  </r>
  <r>
    <x v="9"/>
    <x v="3"/>
    <x v="14"/>
    <n v="3810634.5847499999"/>
    <x v="1"/>
  </r>
  <r>
    <x v="9"/>
    <x v="4"/>
    <x v="14"/>
    <n v="3810634.5847499999"/>
    <x v="1"/>
  </r>
  <r>
    <x v="9"/>
    <x v="5"/>
    <x v="14"/>
    <n v="3810634.5847499999"/>
    <x v="1"/>
  </r>
  <r>
    <x v="9"/>
    <x v="6"/>
    <x v="14"/>
    <n v="3810634.5847499999"/>
    <x v="1"/>
  </r>
  <r>
    <x v="9"/>
    <x v="0"/>
    <x v="15"/>
    <n v="5301459.45"/>
    <x v="1"/>
  </r>
  <r>
    <x v="9"/>
    <x v="1"/>
    <x v="15"/>
    <n v="5301459.45"/>
    <x v="1"/>
  </r>
  <r>
    <x v="9"/>
    <x v="2"/>
    <x v="15"/>
    <n v="5301459.45"/>
    <x v="1"/>
  </r>
  <r>
    <x v="9"/>
    <x v="3"/>
    <x v="15"/>
    <n v="5301459.45"/>
    <x v="1"/>
  </r>
  <r>
    <x v="9"/>
    <x v="4"/>
    <x v="15"/>
    <n v="5301459.45"/>
    <x v="1"/>
  </r>
  <r>
    <x v="9"/>
    <x v="5"/>
    <x v="15"/>
    <n v="5301459.45"/>
    <x v="1"/>
  </r>
  <r>
    <x v="9"/>
    <x v="6"/>
    <x v="15"/>
    <n v="5301459.45"/>
    <x v="1"/>
  </r>
  <r>
    <x v="9"/>
    <x v="7"/>
    <x v="15"/>
    <n v="5301459.45"/>
    <x v="1"/>
  </r>
  <r>
    <x v="9"/>
    <x v="0"/>
    <x v="18"/>
    <n v="4777683.75"/>
    <x v="1"/>
  </r>
  <r>
    <x v="9"/>
    <x v="1"/>
    <x v="18"/>
    <n v="4777683.75"/>
    <x v="1"/>
  </r>
  <r>
    <x v="9"/>
    <x v="2"/>
    <x v="18"/>
    <n v="4777683.75"/>
    <x v="1"/>
  </r>
  <r>
    <x v="9"/>
    <x v="3"/>
    <x v="18"/>
    <n v="4777683.75"/>
    <x v="1"/>
  </r>
  <r>
    <x v="9"/>
    <x v="4"/>
    <x v="18"/>
    <n v="4777683.75"/>
    <x v="1"/>
  </r>
  <r>
    <x v="9"/>
    <x v="5"/>
    <x v="18"/>
    <n v="4777683.75"/>
    <x v="1"/>
  </r>
  <r>
    <x v="9"/>
    <x v="6"/>
    <x v="18"/>
    <n v="4777683.75"/>
    <x v="1"/>
  </r>
  <r>
    <x v="9"/>
    <x v="0"/>
    <x v="13"/>
    <n v="7255001.25"/>
    <x v="1"/>
  </r>
  <r>
    <x v="9"/>
    <x v="1"/>
    <x v="13"/>
    <n v="7255001.25"/>
    <x v="1"/>
  </r>
  <r>
    <x v="9"/>
    <x v="2"/>
    <x v="13"/>
    <n v="7255001.25"/>
    <x v="1"/>
  </r>
  <r>
    <x v="9"/>
    <x v="3"/>
    <x v="13"/>
    <n v="7255001.25"/>
    <x v="1"/>
  </r>
  <r>
    <x v="9"/>
    <x v="4"/>
    <x v="13"/>
    <n v="7255001.25"/>
    <x v="1"/>
  </r>
  <r>
    <x v="9"/>
    <x v="5"/>
    <x v="13"/>
    <n v="7255001.25"/>
    <x v="1"/>
  </r>
  <r>
    <x v="9"/>
    <x v="6"/>
    <x v="13"/>
    <n v="7255001.25"/>
    <x v="1"/>
  </r>
  <r>
    <x v="9"/>
    <x v="7"/>
    <x v="13"/>
    <n v="7255001.25"/>
    <x v="1"/>
  </r>
  <r>
    <x v="9"/>
    <x v="8"/>
    <x v="13"/>
    <n v="7255001.25"/>
    <x v="1"/>
  </r>
  <r>
    <x v="9"/>
    <x v="9"/>
    <x v="13"/>
    <n v="7255001.25"/>
    <x v="1"/>
  </r>
  <r>
    <x v="9"/>
    <x v="10"/>
    <x v="13"/>
    <n v="7255001.25"/>
    <x v="1"/>
  </r>
  <r>
    <x v="9"/>
    <x v="11"/>
    <x v="13"/>
    <n v="7255001.25"/>
    <x v="1"/>
  </r>
  <r>
    <x v="10"/>
    <x v="0"/>
    <x v="0"/>
    <n v="4704455.7"/>
    <x v="1"/>
  </r>
  <r>
    <x v="10"/>
    <x v="1"/>
    <x v="0"/>
    <n v="4704455.7"/>
    <x v="1"/>
  </r>
  <r>
    <x v="10"/>
    <x v="2"/>
    <x v="0"/>
    <n v="4704455.7"/>
    <x v="1"/>
  </r>
  <r>
    <x v="10"/>
    <x v="3"/>
    <x v="0"/>
    <n v="4704455.7"/>
    <x v="1"/>
  </r>
  <r>
    <x v="10"/>
    <x v="4"/>
    <x v="0"/>
    <n v="4704455.7"/>
    <x v="1"/>
  </r>
  <r>
    <x v="10"/>
    <x v="5"/>
    <x v="0"/>
    <n v="4704455.7"/>
    <x v="1"/>
  </r>
  <r>
    <x v="10"/>
    <x v="6"/>
    <x v="0"/>
    <n v="4704455.7"/>
    <x v="1"/>
  </r>
  <r>
    <x v="10"/>
    <x v="7"/>
    <x v="0"/>
    <n v="4704455.7"/>
    <x v="1"/>
  </r>
  <r>
    <x v="10"/>
    <x v="8"/>
    <x v="0"/>
    <n v="4704455.7"/>
    <x v="1"/>
  </r>
  <r>
    <x v="10"/>
    <x v="9"/>
    <x v="0"/>
    <n v="4704455.7"/>
    <x v="1"/>
  </r>
  <r>
    <x v="10"/>
    <x v="10"/>
    <x v="0"/>
    <n v="4704455.7"/>
    <x v="1"/>
  </r>
  <r>
    <x v="10"/>
    <x v="11"/>
    <x v="0"/>
    <n v="4704455.7"/>
    <x v="1"/>
  </r>
  <r>
    <x v="10"/>
    <x v="0"/>
    <x v="1"/>
    <n v="8351437.5"/>
    <x v="1"/>
  </r>
  <r>
    <x v="10"/>
    <x v="1"/>
    <x v="1"/>
    <n v="8351437.5"/>
    <x v="1"/>
  </r>
  <r>
    <x v="10"/>
    <x v="2"/>
    <x v="1"/>
    <n v="8351437.5"/>
    <x v="1"/>
  </r>
  <r>
    <x v="10"/>
    <x v="3"/>
    <x v="1"/>
    <n v="8351437.5"/>
    <x v="1"/>
  </r>
  <r>
    <x v="10"/>
    <x v="4"/>
    <x v="1"/>
    <n v="8351437.5"/>
    <x v="1"/>
  </r>
  <r>
    <x v="10"/>
    <x v="5"/>
    <x v="1"/>
    <n v="8351437.5"/>
    <x v="1"/>
  </r>
  <r>
    <x v="10"/>
    <x v="6"/>
    <x v="1"/>
    <n v="8351437.5"/>
    <x v="1"/>
  </r>
  <r>
    <x v="10"/>
    <x v="7"/>
    <x v="1"/>
    <n v="8351437.5"/>
    <x v="1"/>
  </r>
  <r>
    <x v="10"/>
    <x v="8"/>
    <x v="1"/>
    <n v="8351437.5"/>
    <x v="1"/>
  </r>
  <r>
    <x v="10"/>
    <x v="9"/>
    <x v="1"/>
    <n v="8351437.5"/>
    <x v="1"/>
  </r>
  <r>
    <x v="10"/>
    <x v="10"/>
    <x v="1"/>
    <n v="8351437.5"/>
    <x v="1"/>
  </r>
  <r>
    <x v="10"/>
    <x v="11"/>
    <x v="1"/>
    <n v="8351437.5"/>
    <x v="1"/>
  </r>
  <r>
    <x v="10"/>
    <x v="0"/>
    <x v="26"/>
    <n v="2356593.75"/>
    <x v="1"/>
  </r>
  <r>
    <x v="10"/>
    <x v="1"/>
    <x v="26"/>
    <n v="2356593.75"/>
    <x v="1"/>
  </r>
  <r>
    <x v="10"/>
    <x v="2"/>
    <x v="26"/>
    <n v="2356593.75"/>
    <x v="1"/>
  </r>
  <r>
    <x v="10"/>
    <x v="3"/>
    <x v="26"/>
    <n v="2356593.75"/>
    <x v="1"/>
  </r>
  <r>
    <x v="10"/>
    <x v="4"/>
    <x v="26"/>
    <n v="2356593.75"/>
    <x v="1"/>
  </r>
  <r>
    <x v="10"/>
    <x v="5"/>
    <x v="26"/>
    <n v="2356593.75"/>
    <x v="1"/>
  </r>
  <r>
    <x v="10"/>
    <x v="0"/>
    <x v="14"/>
    <n v="3786425.9999999995"/>
    <x v="1"/>
  </r>
  <r>
    <x v="10"/>
    <x v="1"/>
    <x v="14"/>
    <n v="3786425.9999999995"/>
    <x v="1"/>
  </r>
  <r>
    <x v="10"/>
    <x v="2"/>
    <x v="14"/>
    <n v="3786425.9999999995"/>
    <x v="1"/>
  </r>
  <r>
    <x v="10"/>
    <x v="3"/>
    <x v="14"/>
    <n v="3786425.9999999995"/>
    <x v="1"/>
  </r>
  <r>
    <x v="10"/>
    <x v="4"/>
    <x v="14"/>
    <n v="3786425.9999999995"/>
    <x v="1"/>
  </r>
  <r>
    <x v="10"/>
    <x v="5"/>
    <x v="14"/>
    <n v="3786425.9999999995"/>
    <x v="1"/>
  </r>
  <r>
    <x v="10"/>
    <x v="6"/>
    <x v="14"/>
    <n v="3786425.9999999995"/>
    <x v="1"/>
  </r>
  <r>
    <x v="10"/>
    <x v="7"/>
    <x v="14"/>
    <n v="3786425.9999999995"/>
    <x v="1"/>
  </r>
  <r>
    <x v="10"/>
    <x v="8"/>
    <x v="14"/>
    <n v="3786425.9999999995"/>
    <x v="1"/>
  </r>
  <r>
    <x v="10"/>
    <x v="9"/>
    <x v="14"/>
    <n v="3786425.9999999995"/>
    <x v="1"/>
  </r>
  <r>
    <x v="10"/>
    <x v="10"/>
    <x v="14"/>
    <n v="3786425.9999999995"/>
    <x v="1"/>
  </r>
  <r>
    <x v="10"/>
    <x v="0"/>
    <x v="15"/>
    <n v="3853237.5"/>
    <x v="1"/>
  </r>
  <r>
    <x v="10"/>
    <x v="1"/>
    <x v="15"/>
    <n v="3853237.5"/>
    <x v="1"/>
  </r>
  <r>
    <x v="10"/>
    <x v="2"/>
    <x v="15"/>
    <n v="3853237.5"/>
    <x v="1"/>
  </r>
  <r>
    <x v="10"/>
    <x v="3"/>
    <x v="15"/>
    <n v="3853237.5"/>
    <x v="1"/>
  </r>
  <r>
    <x v="10"/>
    <x v="4"/>
    <x v="15"/>
    <n v="3853237.5"/>
    <x v="1"/>
  </r>
  <r>
    <x v="10"/>
    <x v="5"/>
    <x v="15"/>
    <n v="3853237.5"/>
    <x v="1"/>
  </r>
  <r>
    <x v="10"/>
    <x v="6"/>
    <x v="15"/>
    <n v="3853237.5"/>
    <x v="1"/>
  </r>
  <r>
    <x v="10"/>
    <x v="7"/>
    <x v="15"/>
    <n v="3853237.5"/>
    <x v="1"/>
  </r>
  <r>
    <x v="10"/>
    <x v="8"/>
    <x v="15"/>
    <n v="3853237.5"/>
    <x v="1"/>
  </r>
  <r>
    <x v="10"/>
    <x v="9"/>
    <x v="15"/>
    <n v="3853237.5"/>
    <x v="1"/>
  </r>
  <r>
    <x v="10"/>
    <x v="10"/>
    <x v="15"/>
    <n v="3853237.5"/>
    <x v="1"/>
  </r>
  <r>
    <x v="10"/>
    <x v="11"/>
    <x v="15"/>
    <n v="3853237.5"/>
    <x v="1"/>
  </r>
  <r>
    <x v="11"/>
    <x v="0"/>
    <x v="0"/>
    <n v="3811675.6440000003"/>
    <x v="1"/>
  </r>
  <r>
    <x v="11"/>
    <x v="1"/>
    <x v="0"/>
    <n v="3811675.6440000003"/>
    <x v="1"/>
  </r>
  <r>
    <x v="11"/>
    <x v="2"/>
    <x v="0"/>
    <n v="3811675.6440000003"/>
    <x v="1"/>
  </r>
  <r>
    <x v="11"/>
    <x v="3"/>
    <x v="0"/>
    <n v="3811675.6440000003"/>
    <x v="1"/>
  </r>
  <r>
    <x v="11"/>
    <x v="4"/>
    <x v="0"/>
    <n v="3811675.6440000003"/>
    <x v="1"/>
  </r>
  <r>
    <x v="11"/>
    <x v="5"/>
    <x v="0"/>
    <n v="3811675.6440000003"/>
    <x v="1"/>
  </r>
  <r>
    <x v="11"/>
    <x v="6"/>
    <x v="0"/>
    <n v="3811675.6440000003"/>
    <x v="1"/>
  </r>
  <r>
    <x v="11"/>
    <x v="7"/>
    <x v="0"/>
    <n v="3811675.6440000003"/>
    <x v="1"/>
  </r>
  <r>
    <x v="11"/>
    <x v="8"/>
    <x v="0"/>
    <n v="3811675.6440000003"/>
    <x v="1"/>
  </r>
  <r>
    <x v="11"/>
    <x v="9"/>
    <x v="0"/>
    <n v="3811675.6440000003"/>
    <x v="1"/>
  </r>
  <r>
    <x v="11"/>
    <x v="10"/>
    <x v="0"/>
    <n v="3811675.6440000003"/>
    <x v="1"/>
  </r>
  <r>
    <x v="11"/>
    <x v="11"/>
    <x v="0"/>
    <n v="3811675.6440000003"/>
    <x v="1"/>
  </r>
  <r>
    <x v="11"/>
    <x v="12"/>
    <x v="0"/>
    <n v="3811675.6440000003"/>
    <x v="1"/>
  </r>
  <r>
    <x v="11"/>
    <x v="13"/>
    <x v="0"/>
    <n v="3811675.6440000003"/>
    <x v="1"/>
  </r>
  <r>
    <x v="11"/>
    <x v="14"/>
    <x v="0"/>
    <n v="3811675.6440000003"/>
    <x v="1"/>
  </r>
  <r>
    <x v="11"/>
    <x v="15"/>
    <x v="0"/>
    <n v="3811675.6440000003"/>
    <x v="1"/>
  </r>
  <r>
    <x v="11"/>
    <x v="16"/>
    <x v="0"/>
    <n v="3811675.6440000003"/>
    <x v="1"/>
  </r>
  <r>
    <x v="11"/>
    <x v="17"/>
    <x v="0"/>
    <n v="3811675.6440000003"/>
    <x v="1"/>
  </r>
  <r>
    <x v="11"/>
    <x v="0"/>
    <x v="27"/>
    <n v="7505662.5"/>
    <x v="1"/>
  </r>
  <r>
    <x v="11"/>
    <x v="1"/>
    <x v="27"/>
    <n v="7505662.5"/>
    <x v="1"/>
  </r>
  <r>
    <x v="11"/>
    <x v="2"/>
    <x v="27"/>
    <n v="7505662.5"/>
    <x v="1"/>
  </r>
  <r>
    <x v="11"/>
    <x v="3"/>
    <x v="27"/>
    <n v="7505662.5"/>
    <x v="1"/>
  </r>
  <r>
    <x v="11"/>
    <x v="4"/>
    <x v="27"/>
    <n v="7505662.5"/>
    <x v="1"/>
  </r>
  <r>
    <x v="11"/>
    <x v="5"/>
    <x v="27"/>
    <n v="7505662.5"/>
    <x v="1"/>
  </r>
  <r>
    <x v="11"/>
    <x v="6"/>
    <x v="27"/>
    <n v="7505662.5"/>
    <x v="1"/>
  </r>
  <r>
    <x v="11"/>
    <x v="7"/>
    <x v="27"/>
    <n v="7505662.5"/>
    <x v="1"/>
  </r>
  <r>
    <x v="11"/>
    <x v="8"/>
    <x v="27"/>
    <n v="7505662.5"/>
    <x v="1"/>
  </r>
  <r>
    <x v="11"/>
    <x v="9"/>
    <x v="27"/>
    <n v="7505662.5"/>
    <x v="1"/>
  </r>
  <r>
    <x v="11"/>
    <x v="10"/>
    <x v="27"/>
    <n v="7505662.5"/>
    <x v="1"/>
  </r>
  <r>
    <x v="11"/>
    <x v="11"/>
    <x v="27"/>
    <n v="7505662.5"/>
    <x v="1"/>
  </r>
  <r>
    <x v="11"/>
    <x v="12"/>
    <x v="27"/>
    <n v="7505662.5"/>
    <x v="1"/>
  </r>
  <r>
    <x v="11"/>
    <x v="13"/>
    <x v="27"/>
    <n v="7505662.5"/>
    <x v="1"/>
  </r>
  <r>
    <x v="11"/>
    <x v="14"/>
    <x v="27"/>
    <n v="7505662.5"/>
    <x v="1"/>
  </r>
  <r>
    <x v="11"/>
    <x v="15"/>
    <x v="27"/>
    <n v="7505662.5"/>
    <x v="1"/>
  </r>
  <r>
    <x v="11"/>
    <x v="16"/>
    <x v="27"/>
    <n v="7505662.5"/>
    <x v="1"/>
  </r>
  <r>
    <x v="11"/>
    <x v="0"/>
    <x v="1"/>
    <n v="17112910.5"/>
    <x v="1"/>
  </r>
  <r>
    <x v="11"/>
    <x v="1"/>
    <x v="1"/>
    <n v="17112910.5"/>
    <x v="1"/>
  </r>
  <r>
    <x v="11"/>
    <x v="2"/>
    <x v="1"/>
    <n v="17112910.5"/>
    <x v="1"/>
  </r>
  <r>
    <x v="11"/>
    <x v="3"/>
    <x v="1"/>
    <n v="17112910.5"/>
    <x v="1"/>
  </r>
  <r>
    <x v="11"/>
    <x v="4"/>
    <x v="1"/>
    <n v="17112910.5"/>
    <x v="1"/>
  </r>
  <r>
    <x v="11"/>
    <x v="5"/>
    <x v="1"/>
    <n v="17112910.5"/>
    <x v="1"/>
  </r>
  <r>
    <x v="11"/>
    <x v="6"/>
    <x v="1"/>
    <n v="17112910.5"/>
    <x v="1"/>
  </r>
  <r>
    <x v="11"/>
    <x v="7"/>
    <x v="1"/>
    <n v="17112910.5"/>
    <x v="1"/>
  </r>
  <r>
    <x v="11"/>
    <x v="8"/>
    <x v="1"/>
    <n v="17112910.5"/>
    <x v="1"/>
  </r>
  <r>
    <x v="11"/>
    <x v="9"/>
    <x v="1"/>
    <n v="17112910.5"/>
    <x v="1"/>
  </r>
  <r>
    <x v="11"/>
    <x v="10"/>
    <x v="1"/>
    <n v="17112910.5"/>
    <x v="1"/>
  </r>
  <r>
    <x v="11"/>
    <x v="11"/>
    <x v="1"/>
    <n v="17112910.5"/>
    <x v="1"/>
  </r>
  <r>
    <x v="11"/>
    <x v="12"/>
    <x v="1"/>
    <n v="17112910.5"/>
    <x v="1"/>
  </r>
  <r>
    <x v="11"/>
    <x v="13"/>
    <x v="1"/>
    <n v="17112910.5"/>
    <x v="1"/>
  </r>
  <r>
    <x v="11"/>
    <x v="14"/>
    <x v="1"/>
    <n v="17112910.5"/>
    <x v="1"/>
  </r>
  <r>
    <x v="11"/>
    <x v="15"/>
    <x v="1"/>
    <n v="17112910.5"/>
    <x v="1"/>
  </r>
  <r>
    <x v="11"/>
    <x v="16"/>
    <x v="1"/>
    <n v="17112910.5"/>
    <x v="1"/>
  </r>
  <r>
    <x v="11"/>
    <x v="17"/>
    <x v="1"/>
    <n v="17112910.5"/>
    <x v="1"/>
  </r>
  <r>
    <x v="11"/>
    <x v="0"/>
    <x v="28"/>
    <n v="5821058.25"/>
    <x v="1"/>
  </r>
  <r>
    <x v="11"/>
    <x v="1"/>
    <x v="28"/>
    <n v="5821058.25"/>
    <x v="1"/>
  </r>
  <r>
    <x v="11"/>
    <x v="2"/>
    <x v="28"/>
    <n v="5821058.25"/>
    <x v="1"/>
  </r>
  <r>
    <x v="11"/>
    <x v="3"/>
    <x v="28"/>
    <n v="5821058.25"/>
    <x v="1"/>
  </r>
  <r>
    <x v="11"/>
    <x v="4"/>
    <x v="28"/>
    <n v="5821058.25"/>
    <x v="1"/>
  </r>
  <r>
    <x v="11"/>
    <x v="5"/>
    <x v="28"/>
    <n v="5821058.25"/>
    <x v="1"/>
  </r>
  <r>
    <x v="11"/>
    <x v="6"/>
    <x v="28"/>
    <n v="5821058.25"/>
    <x v="1"/>
  </r>
  <r>
    <x v="11"/>
    <x v="7"/>
    <x v="28"/>
    <n v="5821058.25"/>
    <x v="1"/>
  </r>
  <r>
    <x v="11"/>
    <x v="8"/>
    <x v="28"/>
    <n v="5821058.25"/>
    <x v="1"/>
  </r>
  <r>
    <x v="11"/>
    <x v="9"/>
    <x v="28"/>
    <n v="5821058.25"/>
    <x v="1"/>
  </r>
  <r>
    <x v="11"/>
    <x v="10"/>
    <x v="28"/>
    <n v="5821058.25"/>
    <x v="1"/>
  </r>
  <r>
    <x v="11"/>
    <x v="11"/>
    <x v="28"/>
    <n v="5821058.25"/>
    <x v="1"/>
  </r>
  <r>
    <x v="11"/>
    <x v="0"/>
    <x v="29"/>
    <n v="4154801.1749999998"/>
    <x v="1"/>
  </r>
  <r>
    <x v="11"/>
    <x v="1"/>
    <x v="29"/>
    <n v="4154801.1749999998"/>
    <x v="1"/>
  </r>
  <r>
    <x v="11"/>
    <x v="2"/>
    <x v="29"/>
    <n v="4154801.1749999998"/>
    <x v="1"/>
  </r>
  <r>
    <x v="11"/>
    <x v="3"/>
    <x v="29"/>
    <n v="4154801.1749999998"/>
    <x v="1"/>
  </r>
  <r>
    <x v="11"/>
    <x v="4"/>
    <x v="29"/>
    <n v="4154801.1749999998"/>
    <x v="1"/>
  </r>
  <r>
    <x v="11"/>
    <x v="5"/>
    <x v="29"/>
    <n v="4154801.1749999998"/>
    <x v="1"/>
  </r>
  <r>
    <x v="11"/>
    <x v="6"/>
    <x v="29"/>
    <n v="4154801.1749999998"/>
    <x v="1"/>
  </r>
  <r>
    <x v="11"/>
    <x v="7"/>
    <x v="29"/>
    <n v="4154801.1749999998"/>
    <x v="1"/>
  </r>
  <r>
    <x v="11"/>
    <x v="8"/>
    <x v="29"/>
    <n v="4154801.1749999998"/>
    <x v="1"/>
  </r>
  <r>
    <x v="11"/>
    <x v="9"/>
    <x v="29"/>
    <n v="4154801.1749999998"/>
    <x v="1"/>
  </r>
  <r>
    <x v="11"/>
    <x v="10"/>
    <x v="29"/>
    <n v="4154801.1749999998"/>
    <x v="1"/>
  </r>
  <r>
    <x v="11"/>
    <x v="11"/>
    <x v="29"/>
    <n v="4154801.1749999998"/>
    <x v="1"/>
  </r>
  <r>
    <x v="11"/>
    <x v="12"/>
    <x v="29"/>
    <n v="4154801.1749999998"/>
    <x v="1"/>
  </r>
  <r>
    <x v="11"/>
    <x v="13"/>
    <x v="29"/>
    <n v="4154801.1749999998"/>
    <x v="1"/>
  </r>
  <r>
    <x v="11"/>
    <x v="0"/>
    <x v="30"/>
    <n v="1667925"/>
    <x v="1"/>
  </r>
  <r>
    <x v="11"/>
    <x v="1"/>
    <x v="30"/>
    <n v="1667925"/>
    <x v="1"/>
  </r>
  <r>
    <x v="11"/>
    <x v="2"/>
    <x v="30"/>
    <n v="1667925"/>
    <x v="1"/>
  </r>
  <r>
    <x v="11"/>
    <x v="3"/>
    <x v="30"/>
    <n v="1667925"/>
    <x v="1"/>
  </r>
  <r>
    <x v="11"/>
    <x v="4"/>
    <x v="30"/>
    <n v="1667925"/>
    <x v="1"/>
  </r>
  <r>
    <x v="11"/>
    <x v="5"/>
    <x v="30"/>
    <n v="1667925"/>
    <x v="1"/>
  </r>
  <r>
    <x v="11"/>
    <x v="6"/>
    <x v="30"/>
    <n v="1667925"/>
    <x v="1"/>
  </r>
  <r>
    <x v="11"/>
    <x v="7"/>
    <x v="30"/>
    <n v="1667925"/>
    <x v="1"/>
  </r>
  <r>
    <x v="11"/>
    <x v="8"/>
    <x v="30"/>
    <n v="1667925"/>
    <x v="1"/>
  </r>
  <r>
    <x v="11"/>
    <x v="9"/>
    <x v="30"/>
    <n v="1667925"/>
    <x v="1"/>
  </r>
  <r>
    <x v="11"/>
    <x v="10"/>
    <x v="30"/>
    <n v="1667925"/>
    <x v="1"/>
  </r>
  <r>
    <x v="11"/>
    <x v="11"/>
    <x v="30"/>
    <n v="1667925"/>
    <x v="1"/>
  </r>
  <r>
    <x v="11"/>
    <x v="12"/>
    <x v="30"/>
    <n v="1667925"/>
    <x v="1"/>
  </r>
  <r>
    <x v="11"/>
    <x v="13"/>
    <x v="30"/>
    <n v="1667925"/>
    <x v="1"/>
  </r>
  <r>
    <x v="11"/>
    <x v="14"/>
    <x v="30"/>
    <n v="1667925"/>
    <x v="1"/>
  </r>
  <r>
    <x v="11"/>
    <x v="15"/>
    <x v="30"/>
    <n v="1667925"/>
    <x v="1"/>
  </r>
  <r>
    <x v="11"/>
    <x v="0"/>
    <x v="15"/>
    <n v="3886265.25"/>
    <x v="1"/>
  </r>
  <r>
    <x v="11"/>
    <x v="1"/>
    <x v="15"/>
    <n v="3886265.25"/>
    <x v="1"/>
  </r>
  <r>
    <x v="11"/>
    <x v="2"/>
    <x v="15"/>
    <n v="3886265.25"/>
    <x v="1"/>
  </r>
  <r>
    <x v="11"/>
    <x v="3"/>
    <x v="15"/>
    <n v="3886265.25"/>
    <x v="1"/>
  </r>
  <r>
    <x v="11"/>
    <x v="4"/>
    <x v="15"/>
    <n v="3886265.25"/>
    <x v="1"/>
  </r>
  <r>
    <x v="11"/>
    <x v="5"/>
    <x v="15"/>
    <n v="3886265.25"/>
    <x v="1"/>
  </r>
  <r>
    <x v="11"/>
    <x v="6"/>
    <x v="15"/>
    <n v="3886265.25"/>
    <x v="1"/>
  </r>
  <r>
    <x v="11"/>
    <x v="7"/>
    <x v="15"/>
    <n v="3886265.25"/>
    <x v="1"/>
  </r>
  <r>
    <x v="11"/>
    <x v="8"/>
    <x v="15"/>
    <n v="3886265.25"/>
    <x v="1"/>
  </r>
  <r>
    <x v="11"/>
    <x v="9"/>
    <x v="15"/>
    <n v="3886265.25"/>
    <x v="1"/>
  </r>
  <r>
    <x v="11"/>
    <x v="10"/>
    <x v="15"/>
    <n v="3886265.25"/>
    <x v="1"/>
  </r>
  <r>
    <x v="11"/>
    <x v="11"/>
    <x v="15"/>
    <n v="3886265.25"/>
    <x v="1"/>
  </r>
  <r>
    <x v="11"/>
    <x v="12"/>
    <x v="15"/>
    <n v="3886265.25"/>
    <x v="1"/>
  </r>
  <r>
    <x v="11"/>
    <x v="13"/>
    <x v="15"/>
    <n v="3886265.25"/>
    <x v="1"/>
  </r>
  <r>
    <x v="11"/>
    <x v="14"/>
    <x v="15"/>
    <n v="3886265.25"/>
    <x v="1"/>
  </r>
  <r>
    <x v="11"/>
    <x v="15"/>
    <x v="15"/>
    <n v="3886265.25"/>
    <x v="1"/>
  </r>
  <r>
    <x v="11"/>
    <x v="16"/>
    <x v="15"/>
    <n v="3886265.25"/>
    <x v="1"/>
  </r>
  <r>
    <x v="11"/>
    <x v="17"/>
    <x v="15"/>
    <n v="3886265.25"/>
    <x v="1"/>
  </r>
  <r>
    <x v="11"/>
    <x v="0"/>
    <x v="31"/>
    <n v="6004530"/>
    <x v="1"/>
  </r>
  <r>
    <x v="11"/>
    <x v="1"/>
    <x v="31"/>
    <n v="6004530"/>
    <x v="1"/>
  </r>
  <r>
    <x v="11"/>
    <x v="2"/>
    <x v="31"/>
    <n v="6004530"/>
    <x v="1"/>
  </r>
  <r>
    <x v="11"/>
    <x v="3"/>
    <x v="31"/>
    <n v="6004530"/>
    <x v="1"/>
  </r>
  <r>
    <x v="11"/>
    <x v="4"/>
    <x v="31"/>
    <n v="6004530"/>
    <x v="1"/>
  </r>
  <r>
    <x v="11"/>
    <x v="5"/>
    <x v="31"/>
    <n v="6004530"/>
    <x v="1"/>
  </r>
  <r>
    <x v="11"/>
    <x v="6"/>
    <x v="31"/>
    <n v="6004530"/>
    <x v="1"/>
  </r>
  <r>
    <x v="11"/>
    <x v="7"/>
    <x v="31"/>
    <n v="6004530"/>
    <x v="1"/>
  </r>
  <r>
    <x v="11"/>
    <x v="8"/>
    <x v="31"/>
    <n v="6004530"/>
    <x v="1"/>
  </r>
  <r>
    <x v="11"/>
    <x v="9"/>
    <x v="31"/>
    <n v="6004530"/>
    <x v="1"/>
  </r>
  <r>
    <x v="11"/>
    <x v="10"/>
    <x v="31"/>
    <n v="6004530"/>
    <x v="1"/>
  </r>
  <r>
    <x v="11"/>
    <x v="11"/>
    <x v="31"/>
    <n v="6004530"/>
    <x v="1"/>
  </r>
  <r>
    <x v="11"/>
    <x v="12"/>
    <x v="31"/>
    <n v="6004530"/>
    <x v="1"/>
  </r>
  <r>
    <x v="11"/>
    <x v="13"/>
    <x v="31"/>
    <n v="6004530"/>
    <x v="1"/>
  </r>
  <r>
    <x v="11"/>
    <x v="14"/>
    <x v="31"/>
    <n v="6004530"/>
    <x v="1"/>
  </r>
  <r>
    <x v="12"/>
    <x v="0"/>
    <x v="32"/>
    <n v="1289925"/>
    <x v="1"/>
  </r>
  <r>
    <x v="12"/>
    <x v="1"/>
    <x v="32"/>
    <n v="1289925"/>
    <x v="1"/>
  </r>
  <r>
    <x v="12"/>
    <x v="2"/>
    <x v="32"/>
    <n v="1289925"/>
    <x v="1"/>
  </r>
  <r>
    <x v="12"/>
    <x v="0"/>
    <x v="33"/>
    <n v="1129511.25"/>
    <x v="1"/>
  </r>
  <r>
    <x v="12"/>
    <x v="1"/>
    <x v="33"/>
    <n v="1129511.25"/>
    <x v="1"/>
  </r>
  <r>
    <x v="12"/>
    <x v="2"/>
    <x v="33"/>
    <n v="1129511.25"/>
    <x v="1"/>
  </r>
  <r>
    <x v="12"/>
    <x v="0"/>
    <x v="34"/>
    <n v="7607250"/>
    <x v="1"/>
  </r>
  <r>
    <x v="12"/>
    <x v="1"/>
    <x v="34"/>
    <n v="7607250"/>
    <x v="1"/>
  </r>
  <r>
    <x v="12"/>
    <x v="2"/>
    <x v="34"/>
    <n v="7607250"/>
    <x v="1"/>
  </r>
  <r>
    <x v="13"/>
    <x v="0"/>
    <x v="35"/>
    <n v="3780000"/>
    <x v="1"/>
  </r>
  <r>
    <x v="13"/>
    <x v="1"/>
    <x v="35"/>
    <n v="3780000"/>
    <x v="1"/>
  </r>
  <r>
    <x v="13"/>
    <x v="2"/>
    <x v="35"/>
    <n v="3780000"/>
    <x v="1"/>
  </r>
  <r>
    <x v="13"/>
    <x v="0"/>
    <x v="36"/>
    <n v="5868450"/>
    <x v="1"/>
  </r>
  <r>
    <x v="13"/>
    <x v="1"/>
    <x v="36"/>
    <n v="5868450"/>
    <x v="1"/>
  </r>
  <r>
    <x v="13"/>
    <x v="2"/>
    <x v="36"/>
    <n v="5868450"/>
    <x v="1"/>
  </r>
  <r>
    <x v="13"/>
    <x v="2"/>
    <x v="37"/>
    <n v="1535625"/>
    <x v="1"/>
  </r>
  <r>
    <x v="13"/>
    <x v="0"/>
    <x v="33"/>
    <n v="19561500"/>
    <x v="1"/>
  </r>
  <r>
    <x v="13"/>
    <x v="1"/>
    <x v="33"/>
    <n v="19561500"/>
    <x v="1"/>
  </r>
  <r>
    <x v="13"/>
    <x v="0"/>
    <x v="38"/>
    <n v="2835913.5"/>
    <x v="1"/>
  </r>
  <r>
    <x v="13"/>
    <x v="1"/>
    <x v="38"/>
    <n v="2835913.5"/>
    <x v="1"/>
  </r>
  <r>
    <x v="13"/>
    <x v="0"/>
    <x v="39"/>
    <n v="5868450"/>
    <x v="1"/>
  </r>
  <r>
    <x v="13"/>
    <x v="1"/>
    <x v="39"/>
    <n v="5868450"/>
    <x v="1"/>
  </r>
  <r>
    <x v="13"/>
    <x v="2"/>
    <x v="39"/>
    <n v="5868450"/>
    <x v="1"/>
  </r>
  <r>
    <x v="13"/>
    <x v="0"/>
    <x v="40"/>
    <n v="2531377.8000000003"/>
    <x v="1"/>
  </r>
  <r>
    <x v="13"/>
    <x v="1"/>
    <x v="40"/>
    <n v="2531377.8000000003"/>
    <x v="1"/>
  </r>
  <r>
    <x v="13"/>
    <x v="2"/>
    <x v="40"/>
    <n v="2531377.8000000003"/>
    <x v="1"/>
  </r>
  <r>
    <x v="13"/>
    <x v="0"/>
    <x v="41"/>
    <n v="3780000"/>
    <x v="1"/>
  </r>
  <r>
    <x v="13"/>
    <x v="1"/>
    <x v="41"/>
    <n v="3780000"/>
    <x v="1"/>
  </r>
  <r>
    <x v="13"/>
    <x v="2"/>
    <x v="41"/>
    <n v="3780000"/>
    <x v="1"/>
  </r>
  <r>
    <x v="13"/>
    <x v="0"/>
    <x v="42"/>
    <n v="2173500"/>
    <x v="1"/>
  </r>
  <r>
    <x v="13"/>
    <x v="1"/>
    <x v="42"/>
    <n v="2173500"/>
    <x v="1"/>
  </r>
  <r>
    <x v="13"/>
    <x v="2"/>
    <x v="42"/>
    <n v="2173500"/>
    <x v="1"/>
  </r>
  <r>
    <x v="13"/>
    <x v="0"/>
    <x v="43"/>
    <n v="5460525"/>
    <x v="1"/>
  </r>
  <r>
    <x v="13"/>
    <x v="1"/>
    <x v="43"/>
    <n v="5460525"/>
    <x v="1"/>
  </r>
  <r>
    <x v="13"/>
    <x v="2"/>
    <x v="43"/>
    <n v="5460525"/>
    <x v="1"/>
  </r>
  <r>
    <x v="13"/>
    <x v="0"/>
    <x v="44"/>
    <n v="3213000"/>
    <x v="1"/>
  </r>
  <r>
    <x v="13"/>
    <x v="1"/>
    <x v="44"/>
    <n v="3213000"/>
    <x v="1"/>
  </r>
  <r>
    <x v="13"/>
    <x v="2"/>
    <x v="44"/>
    <n v="3213000"/>
    <x v="1"/>
  </r>
  <r>
    <x v="13"/>
    <x v="0"/>
    <x v="45"/>
    <n v="2173500"/>
    <x v="1"/>
  </r>
  <r>
    <x v="13"/>
    <x v="1"/>
    <x v="45"/>
    <n v="2173500"/>
    <x v="1"/>
  </r>
  <r>
    <x v="13"/>
    <x v="2"/>
    <x v="45"/>
    <n v="2173500"/>
    <x v="1"/>
  </r>
  <r>
    <x v="13"/>
    <x v="0"/>
    <x v="46"/>
    <n v="3780000"/>
    <x v="1"/>
  </r>
  <r>
    <x v="13"/>
    <x v="1"/>
    <x v="46"/>
    <n v="3780000"/>
    <x v="1"/>
  </r>
  <r>
    <x v="13"/>
    <x v="2"/>
    <x v="46"/>
    <n v="3780000"/>
    <x v="1"/>
  </r>
  <r>
    <x v="13"/>
    <x v="0"/>
    <x v="47"/>
    <n v="1890000"/>
    <x v="1"/>
  </r>
  <r>
    <x v="13"/>
    <x v="1"/>
    <x v="47"/>
    <n v="1890000"/>
    <x v="1"/>
  </r>
  <r>
    <x v="13"/>
    <x v="2"/>
    <x v="47"/>
    <n v="1890000"/>
    <x v="1"/>
  </r>
  <r>
    <x v="13"/>
    <x v="0"/>
    <x v="48"/>
    <n v="1265688.9000000001"/>
    <x v="1"/>
  </r>
  <r>
    <x v="13"/>
    <x v="1"/>
    <x v="48"/>
    <n v="1265688.9000000001"/>
    <x v="1"/>
  </r>
  <r>
    <x v="13"/>
    <x v="2"/>
    <x v="48"/>
    <n v="1265688.9000000001"/>
    <x v="1"/>
  </r>
  <r>
    <x v="13"/>
    <x v="0"/>
    <x v="49"/>
    <n v="5827500"/>
    <x v="1"/>
  </r>
  <r>
    <x v="13"/>
    <x v="1"/>
    <x v="49"/>
    <n v="5827500"/>
    <x v="1"/>
  </r>
  <r>
    <x v="13"/>
    <x v="2"/>
    <x v="49"/>
    <n v="5827500"/>
    <x v="1"/>
  </r>
  <r>
    <x v="13"/>
    <x v="0"/>
    <x v="50"/>
    <n v="5118750"/>
    <x v="1"/>
  </r>
  <r>
    <x v="13"/>
    <x v="1"/>
    <x v="50"/>
    <n v="5118750"/>
    <x v="1"/>
  </r>
  <r>
    <x v="13"/>
    <x v="0"/>
    <x v="51"/>
    <n v="7245000"/>
    <x v="1"/>
  </r>
  <r>
    <x v="13"/>
    <x v="1"/>
    <x v="51"/>
    <n v="7245000"/>
    <x v="1"/>
  </r>
  <r>
    <x v="13"/>
    <x v="0"/>
    <x v="52"/>
    <n v="5118750"/>
    <x v="1"/>
  </r>
  <r>
    <x v="13"/>
    <x v="1"/>
    <x v="52"/>
    <n v="5118750"/>
    <x v="1"/>
  </r>
  <r>
    <x v="14"/>
    <x v="0"/>
    <x v="1"/>
    <n v="9910003.9500000011"/>
    <x v="1"/>
  </r>
  <r>
    <x v="14"/>
    <x v="1"/>
    <x v="1"/>
    <n v="9910003.9500000011"/>
    <x v="1"/>
  </r>
  <r>
    <x v="14"/>
    <x v="2"/>
    <x v="1"/>
    <n v="9910003.9500000011"/>
    <x v="1"/>
  </r>
  <r>
    <x v="14"/>
    <x v="3"/>
    <x v="1"/>
    <n v="9910003.9500000011"/>
    <x v="1"/>
  </r>
  <r>
    <x v="14"/>
    <x v="4"/>
    <x v="1"/>
    <n v="9910003.9500000011"/>
    <x v="1"/>
  </r>
  <r>
    <x v="14"/>
    <x v="5"/>
    <x v="1"/>
    <n v="9910003.9500000011"/>
    <x v="1"/>
  </r>
  <r>
    <x v="14"/>
    <x v="6"/>
    <x v="1"/>
    <n v="9910003.9500000011"/>
    <x v="1"/>
  </r>
  <r>
    <x v="14"/>
    <x v="7"/>
    <x v="1"/>
    <n v="9910003.9500000011"/>
    <x v="1"/>
  </r>
  <r>
    <x v="14"/>
    <x v="8"/>
    <x v="1"/>
    <n v="9910003.9500000011"/>
    <x v="1"/>
  </r>
  <r>
    <x v="14"/>
    <x v="9"/>
    <x v="1"/>
    <n v="9910003.9500000011"/>
    <x v="1"/>
  </r>
  <r>
    <x v="14"/>
    <x v="10"/>
    <x v="1"/>
    <n v="9910003.9500000011"/>
    <x v="1"/>
  </r>
  <r>
    <x v="14"/>
    <x v="11"/>
    <x v="1"/>
    <n v="9910003.9500000011"/>
    <x v="1"/>
  </r>
  <r>
    <x v="14"/>
    <x v="12"/>
    <x v="1"/>
    <n v="9910003.9500000011"/>
    <x v="1"/>
  </r>
  <r>
    <x v="14"/>
    <x v="13"/>
    <x v="1"/>
    <n v="9910003.9500000011"/>
    <x v="1"/>
  </r>
  <r>
    <x v="14"/>
    <x v="14"/>
    <x v="1"/>
    <n v="9910003.9500000011"/>
    <x v="1"/>
  </r>
  <r>
    <x v="14"/>
    <x v="15"/>
    <x v="1"/>
    <n v="9910003.9500000011"/>
    <x v="1"/>
  </r>
  <r>
    <x v="14"/>
    <x v="16"/>
    <x v="1"/>
    <n v="9910003.9500000011"/>
    <x v="1"/>
  </r>
  <r>
    <x v="14"/>
    <x v="17"/>
    <x v="1"/>
    <n v="9910003.9500000011"/>
    <x v="1"/>
  </r>
  <r>
    <x v="14"/>
    <x v="18"/>
    <x v="1"/>
    <n v="9910003.9500000011"/>
    <x v="1"/>
  </r>
  <r>
    <x v="14"/>
    <x v="19"/>
    <x v="1"/>
    <n v="9910003.9500000011"/>
    <x v="1"/>
  </r>
  <r>
    <x v="14"/>
    <x v="20"/>
    <x v="1"/>
    <n v="9910003.9500000011"/>
    <x v="1"/>
  </r>
  <r>
    <x v="14"/>
    <x v="21"/>
    <x v="1"/>
    <n v="9910003.9500000011"/>
    <x v="1"/>
  </r>
  <r>
    <x v="14"/>
    <x v="22"/>
    <x v="1"/>
    <n v="9910003.9500000011"/>
    <x v="1"/>
  </r>
  <r>
    <x v="14"/>
    <x v="23"/>
    <x v="1"/>
    <n v="9910003.9500000011"/>
    <x v="1"/>
  </r>
  <r>
    <x v="14"/>
    <x v="24"/>
    <x v="1"/>
    <n v="9910003.9500000011"/>
    <x v="1"/>
  </r>
  <r>
    <x v="14"/>
    <x v="25"/>
    <x v="1"/>
    <n v="9910003.9500000011"/>
    <x v="1"/>
  </r>
  <r>
    <x v="14"/>
    <x v="0"/>
    <x v="53"/>
    <n v="5019615.5309999995"/>
    <x v="1"/>
  </r>
  <r>
    <x v="14"/>
    <x v="1"/>
    <x v="53"/>
    <n v="5019615.5309999995"/>
    <x v="1"/>
  </r>
  <r>
    <x v="14"/>
    <x v="2"/>
    <x v="53"/>
    <n v="5019615.5309999995"/>
    <x v="1"/>
  </r>
  <r>
    <x v="14"/>
    <x v="3"/>
    <x v="53"/>
    <n v="5019615.5309999995"/>
    <x v="1"/>
  </r>
  <r>
    <x v="14"/>
    <x v="4"/>
    <x v="53"/>
    <n v="5019615.5309999995"/>
    <x v="1"/>
  </r>
  <r>
    <x v="14"/>
    <x v="5"/>
    <x v="53"/>
    <n v="5019615.5309999995"/>
    <x v="1"/>
  </r>
  <r>
    <x v="14"/>
    <x v="6"/>
    <x v="53"/>
    <n v="5019615.5309999995"/>
    <x v="1"/>
  </r>
  <r>
    <x v="14"/>
    <x v="7"/>
    <x v="53"/>
    <n v="5019615.5309999995"/>
    <x v="1"/>
  </r>
  <r>
    <x v="14"/>
    <x v="8"/>
    <x v="53"/>
    <n v="5019615.5309999995"/>
    <x v="1"/>
  </r>
  <r>
    <x v="14"/>
    <x v="9"/>
    <x v="53"/>
    <n v="5019615.5309999995"/>
    <x v="1"/>
  </r>
  <r>
    <x v="14"/>
    <x v="10"/>
    <x v="53"/>
    <n v="5019615.5309999995"/>
    <x v="1"/>
  </r>
  <r>
    <x v="14"/>
    <x v="11"/>
    <x v="53"/>
    <n v="5019615.5309999995"/>
    <x v="1"/>
  </r>
  <r>
    <x v="14"/>
    <x v="12"/>
    <x v="53"/>
    <n v="5019615.5309999995"/>
    <x v="1"/>
  </r>
  <r>
    <x v="14"/>
    <x v="13"/>
    <x v="53"/>
    <n v="5019615.5309999995"/>
    <x v="1"/>
  </r>
  <r>
    <x v="14"/>
    <x v="14"/>
    <x v="53"/>
    <n v="5019615.5309999995"/>
    <x v="1"/>
  </r>
  <r>
    <x v="14"/>
    <x v="15"/>
    <x v="53"/>
    <n v="5019615.5309999995"/>
    <x v="1"/>
  </r>
  <r>
    <x v="14"/>
    <x v="16"/>
    <x v="53"/>
    <n v="5019615.5309999995"/>
    <x v="1"/>
  </r>
  <r>
    <x v="14"/>
    <x v="17"/>
    <x v="53"/>
    <n v="5019615.5309999995"/>
    <x v="1"/>
  </r>
  <r>
    <x v="14"/>
    <x v="18"/>
    <x v="53"/>
    <n v="5019615.5309999995"/>
    <x v="1"/>
  </r>
  <r>
    <x v="14"/>
    <x v="19"/>
    <x v="53"/>
    <n v="5019615.5309999995"/>
    <x v="1"/>
  </r>
  <r>
    <x v="14"/>
    <x v="20"/>
    <x v="53"/>
    <n v="5019615.5309999995"/>
    <x v="1"/>
  </r>
  <r>
    <x v="14"/>
    <x v="21"/>
    <x v="53"/>
    <n v="5019615.5309999995"/>
    <x v="1"/>
  </r>
  <r>
    <x v="14"/>
    <x v="22"/>
    <x v="53"/>
    <n v="5019615.5309999995"/>
    <x v="1"/>
  </r>
  <r>
    <x v="14"/>
    <x v="23"/>
    <x v="53"/>
    <n v="5019615.5309999995"/>
    <x v="1"/>
  </r>
  <r>
    <x v="14"/>
    <x v="24"/>
    <x v="53"/>
    <n v="5019615.5309999995"/>
    <x v="1"/>
  </r>
  <r>
    <x v="14"/>
    <x v="0"/>
    <x v="21"/>
    <n v="4260730.9499999993"/>
    <x v="1"/>
  </r>
  <r>
    <x v="14"/>
    <x v="1"/>
    <x v="21"/>
    <n v="4260730.9499999993"/>
    <x v="1"/>
  </r>
  <r>
    <x v="14"/>
    <x v="2"/>
    <x v="21"/>
    <n v="4260730.9499999993"/>
    <x v="1"/>
  </r>
  <r>
    <x v="14"/>
    <x v="3"/>
    <x v="21"/>
    <n v="4260730.9499999993"/>
    <x v="1"/>
  </r>
  <r>
    <x v="14"/>
    <x v="4"/>
    <x v="21"/>
    <n v="4260730.9499999993"/>
    <x v="1"/>
  </r>
  <r>
    <x v="14"/>
    <x v="5"/>
    <x v="21"/>
    <n v="4260730.9499999993"/>
    <x v="1"/>
  </r>
  <r>
    <x v="14"/>
    <x v="6"/>
    <x v="21"/>
    <n v="4260730.9499999993"/>
    <x v="1"/>
  </r>
  <r>
    <x v="14"/>
    <x v="7"/>
    <x v="21"/>
    <n v="4260730.9499999993"/>
    <x v="1"/>
  </r>
  <r>
    <x v="14"/>
    <x v="0"/>
    <x v="54"/>
    <n v="3984270.0974999997"/>
    <x v="1"/>
  </r>
  <r>
    <x v="14"/>
    <x v="0"/>
    <x v="15"/>
    <n v="4205787.0750000002"/>
    <x v="1"/>
  </r>
  <r>
    <x v="14"/>
    <x v="1"/>
    <x v="15"/>
    <n v="4205787.0750000002"/>
    <x v="1"/>
  </r>
  <r>
    <x v="14"/>
    <x v="2"/>
    <x v="15"/>
    <n v="4205787.0750000002"/>
    <x v="1"/>
  </r>
  <r>
    <x v="14"/>
    <x v="3"/>
    <x v="15"/>
    <n v="4205787.0750000002"/>
    <x v="1"/>
  </r>
  <r>
    <x v="14"/>
    <x v="4"/>
    <x v="15"/>
    <n v="4205787.0750000002"/>
    <x v="1"/>
  </r>
  <r>
    <x v="14"/>
    <x v="5"/>
    <x v="15"/>
    <n v="4205787.0750000002"/>
    <x v="1"/>
  </r>
  <r>
    <x v="14"/>
    <x v="6"/>
    <x v="15"/>
    <n v="4205787.0750000002"/>
    <x v="1"/>
  </r>
  <r>
    <x v="14"/>
    <x v="7"/>
    <x v="15"/>
    <n v="4205787.0750000002"/>
    <x v="1"/>
  </r>
  <r>
    <x v="14"/>
    <x v="8"/>
    <x v="15"/>
    <n v="4205787.0750000002"/>
    <x v="1"/>
  </r>
  <r>
    <x v="14"/>
    <x v="9"/>
    <x v="15"/>
    <n v="4205787.0750000002"/>
    <x v="1"/>
  </r>
  <r>
    <x v="14"/>
    <x v="10"/>
    <x v="15"/>
    <n v="4205787.0750000002"/>
    <x v="1"/>
  </r>
  <r>
    <x v="14"/>
    <x v="11"/>
    <x v="15"/>
    <n v="4205787.0750000002"/>
    <x v="1"/>
  </r>
  <r>
    <x v="14"/>
    <x v="12"/>
    <x v="15"/>
    <n v="4205787.0750000002"/>
    <x v="1"/>
  </r>
  <r>
    <x v="14"/>
    <x v="13"/>
    <x v="15"/>
    <n v="4205787.0750000002"/>
    <x v="1"/>
  </r>
  <r>
    <x v="14"/>
    <x v="14"/>
    <x v="15"/>
    <n v="4205787.0750000002"/>
    <x v="1"/>
  </r>
  <r>
    <x v="14"/>
    <x v="15"/>
    <x v="15"/>
    <n v="4205787.0750000002"/>
    <x v="1"/>
  </r>
  <r>
    <x v="14"/>
    <x v="16"/>
    <x v="15"/>
    <n v="4205787.0750000002"/>
    <x v="1"/>
  </r>
  <r>
    <x v="14"/>
    <x v="17"/>
    <x v="15"/>
    <n v="4205787.0750000002"/>
    <x v="1"/>
  </r>
  <r>
    <x v="14"/>
    <x v="18"/>
    <x v="15"/>
    <n v="4205787.0750000002"/>
    <x v="1"/>
  </r>
  <r>
    <x v="14"/>
    <x v="19"/>
    <x v="15"/>
    <n v="4205787.0750000002"/>
    <x v="1"/>
  </r>
  <r>
    <x v="14"/>
    <x v="20"/>
    <x v="15"/>
    <n v="4205787.0750000002"/>
    <x v="1"/>
  </r>
  <r>
    <x v="14"/>
    <x v="21"/>
    <x v="15"/>
    <n v="4205787.0750000002"/>
    <x v="1"/>
  </r>
  <r>
    <x v="14"/>
    <x v="22"/>
    <x v="15"/>
    <n v="4205787.0750000002"/>
    <x v="1"/>
  </r>
  <r>
    <x v="14"/>
    <x v="23"/>
    <x v="15"/>
    <n v="4205787.0750000002"/>
    <x v="1"/>
  </r>
  <r>
    <x v="14"/>
    <x v="24"/>
    <x v="15"/>
    <n v="4205787.0750000002"/>
    <x v="1"/>
  </r>
  <r>
    <x v="14"/>
    <x v="3"/>
    <x v="13"/>
    <n v="6444668.4750000006"/>
    <x v="1"/>
  </r>
  <r>
    <x v="14"/>
    <x v="4"/>
    <x v="13"/>
    <n v="6444668.4750000006"/>
    <x v="1"/>
  </r>
  <r>
    <x v="14"/>
    <x v="5"/>
    <x v="13"/>
    <n v="6444668.4750000006"/>
    <x v="1"/>
  </r>
  <r>
    <x v="14"/>
    <x v="6"/>
    <x v="13"/>
    <n v="6444668.4750000006"/>
    <x v="1"/>
  </r>
  <r>
    <x v="14"/>
    <x v="7"/>
    <x v="13"/>
    <n v="6444668.4750000006"/>
    <x v="1"/>
  </r>
  <r>
    <x v="14"/>
    <x v="8"/>
    <x v="13"/>
    <n v="6444668.4750000006"/>
    <x v="1"/>
  </r>
  <r>
    <x v="14"/>
    <x v="9"/>
    <x v="13"/>
    <n v="6444668.4750000006"/>
    <x v="1"/>
  </r>
  <r>
    <x v="14"/>
    <x v="10"/>
    <x v="13"/>
    <n v="6444668.4750000006"/>
    <x v="1"/>
  </r>
  <r>
    <x v="14"/>
    <x v="11"/>
    <x v="13"/>
    <n v="6444668.4750000006"/>
    <x v="1"/>
  </r>
  <r>
    <x v="14"/>
    <x v="12"/>
    <x v="13"/>
    <n v="6444668.4750000006"/>
    <x v="1"/>
  </r>
  <r>
    <x v="14"/>
    <x v="13"/>
    <x v="13"/>
    <n v="6444668.4750000006"/>
    <x v="1"/>
  </r>
  <r>
    <x v="14"/>
    <x v="14"/>
    <x v="13"/>
    <n v="6444668.4750000006"/>
    <x v="1"/>
  </r>
  <r>
    <x v="14"/>
    <x v="15"/>
    <x v="13"/>
    <n v="6444668.4750000006"/>
    <x v="1"/>
  </r>
  <r>
    <x v="14"/>
    <x v="16"/>
    <x v="13"/>
    <n v="6444668.4750000006"/>
    <x v="1"/>
  </r>
  <r>
    <x v="14"/>
    <x v="17"/>
    <x v="13"/>
    <n v="6444668.4750000006"/>
    <x v="1"/>
  </r>
  <r>
    <x v="14"/>
    <x v="18"/>
    <x v="13"/>
    <n v="6444668.4750000006"/>
    <x v="1"/>
  </r>
  <r>
    <x v="14"/>
    <x v="19"/>
    <x v="13"/>
    <n v="6444668.4750000006"/>
    <x v="1"/>
  </r>
  <r>
    <x v="14"/>
    <x v="20"/>
    <x v="13"/>
    <n v="6444668.4750000006"/>
    <x v="1"/>
  </r>
  <r>
    <x v="14"/>
    <x v="21"/>
    <x v="13"/>
    <n v="6444668.4750000006"/>
    <x v="1"/>
  </r>
  <r>
    <x v="14"/>
    <x v="22"/>
    <x v="13"/>
    <n v="6444668.4750000006"/>
    <x v="1"/>
  </r>
  <r>
    <x v="14"/>
    <x v="23"/>
    <x v="13"/>
    <n v="6444668.4750000006"/>
    <x v="1"/>
  </r>
  <r>
    <x v="14"/>
    <x v="24"/>
    <x v="13"/>
    <n v="6444668.4750000006"/>
    <x v="1"/>
  </r>
  <r>
    <x v="15"/>
    <x v="0"/>
    <x v="0"/>
    <n v="1905120.0000000002"/>
    <x v="1"/>
  </r>
  <r>
    <x v="15"/>
    <x v="1"/>
    <x v="0"/>
    <n v="1905120.0000000002"/>
    <x v="1"/>
  </r>
  <r>
    <x v="15"/>
    <x v="2"/>
    <x v="0"/>
    <n v="1905120.0000000002"/>
    <x v="1"/>
  </r>
  <r>
    <x v="15"/>
    <x v="3"/>
    <x v="0"/>
    <n v="1905120.0000000002"/>
    <x v="1"/>
  </r>
  <r>
    <x v="15"/>
    <x v="4"/>
    <x v="0"/>
    <n v="1905120.0000000002"/>
    <x v="1"/>
  </r>
  <r>
    <x v="15"/>
    <x v="5"/>
    <x v="0"/>
    <n v="1905120.0000000002"/>
    <x v="1"/>
  </r>
  <r>
    <x v="15"/>
    <x v="6"/>
    <x v="0"/>
    <n v="1905120.0000000002"/>
    <x v="1"/>
  </r>
  <r>
    <x v="15"/>
    <x v="7"/>
    <x v="0"/>
    <n v="1905120.0000000002"/>
    <x v="1"/>
  </r>
  <r>
    <x v="15"/>
    <x v="8"/>
    <x v="0"/>
    <n v="1905120.0000000002"/>
    <x v="1"/>
  </r>
  <r>
    <x v="15"/>
    <x v="9"/>
    <x v="0"/>
    <n v="1905120.0000000002"/>
    <x v="1"/>
  </r>
  <r>
    <x v="15"/>
    <x v="10"/>
    <x v="0"/>
    <n v="1905120.0000000002"/>
    <x v="1"/>
  </r>
  <r>
    <x v="15"/>
    <x v="11"/>
    <x v="0"/>
    <n v="1905120.0000000002"/>
    <x v="1"/>
  </r>
  <r>
    <x v="15"/>
    <x v="12"/>
    <x v="0"/>
    <n v="1905120.0000000002"/>
    <x v="1"/>
  </r>
  <r>
    <x v="15"/>
    <x v="13"/>
    <x v="0"/>
    <n v="1905120.0000000002"/>
    <x v="1"/>
  </r>
  <r>
    <x v="15"/>
    <x v="14"/>
    <x v="0"/>
    <n v="1905120.0000000002"/>
    <x v="1"/>
  </r>
  <r>
    <x v="15"/>
    <x v="15"/>
    <x v="0"/>
    <n v="1905120.0000000002"/>
    <x v="1"/>
  </r>
  <r>
    <x v="15"/>
    <x v="16"/>
    <x v="0"/>
    <n v="1905120.0000000002"/>
    <x v="1"/>
  </r>
  <r>
    <x v="15"/>
    <x v="17"/>
    <x v="0"/>
    <n v="1905120.0000000002"/>
    <x v="1"/>
  </r>
  <r>
    <x v="15"/>
    <x v="18"/>
    <x v="0"/>
    <n v="1905120.0000000002"/>
    <x v="1"/>
  </r>
  <r>
    <x v="15"/>
    <x v="19"/>
    <x v="0"/>
    <n v="1905120.0000000002"/>
    <x v="1"/>
  </r>
  <r>
    <x v="15"/>
    <x v="20"/>
    <x v="0"/>
    <n v="1905120.0000000002"/>
    <x v="1"/>
  </r>
  <r>
    <x v="15"/>
    <x v="21"/>
    <x v="0"/>
    <n v="1905120.0000000002"/>
    <x v="1"/>
  </r>
  <r>
    <x v="15"/>
    <x v="22"/>
    <x v="0"/>
    <n v="1905120.0000000002"/>
    <x v="1"/>
  </r>
  <r>
    <x v="15"/>
    <x v="23"/>
    <x v="0"/>
    <n v="1905120.0000000002"/>
    <x v="1"/>
  </r>
  <r>
    <x v="15"/>
    <x v="24"/>
    <x v="0"/>
    <n v="1905120.0000000002"/>
    <x v="1"/>
  </r>
  <r>
    <x v="15"/>
    <x v="25"/>
    <x v="0"/>
    <n v="1905120.0000000002"/>
    <x v="1"/>
  </r>
  <r>
    <x v="15"/>
    <x v="26"/>
    <x v="0"/>
    <n v="1905120.0000000002"/>
    <x v="1"/>
  </r>
  <r>
    <x v="15"/>
    <x v="27"/>
    <x v="0"/>
    <n v="1905120.0000000002"/>
    <x v="1"/>
  </r>
  <r>
    <x v="15"/>
    <x v="19"/>
    <x v="21"/>
    <n v="3923324.9999999995"/>
    <x v="1"/>
  </r>
  <r>
    <x v="15"/>
    <x v="20"/>
    <x v="21"/>
    <n v="3923324.9999999995"/>
    <x v="1"/>
  </r>
  <r>
    <x v="15"/>
    <x v="21"/>
    <x v="21"/>
    <n v="3923324.9999999995"/>
    <x v="1"/>
  </r>
  <r>
    <x v="15"/>
    <x v="22"/>
    <x v="21"/>
    <n v="3923324.9999999995"/>
    <x v="1"/>
  </r>
  <r>
    <x v="15"/>
    <x v="23"/>
    <x v="21"/>
    <n v="3923324.9999999995"/>
    <x v="1"/>
  </r>
  <r>
    <x v="15"/>
    <x v="24"/>
    <x v="21"/>
    <n v="3923324.9999999995"/>
    <x v="1"/>
  </r>
  <r>
    <x v="15"/>
    <x v="25"/>
    <x v="21"/>
    <n v="3923324.9999999995"/>
    <x v="1"/>
  </r>
  <r>
    <x v="15"/>
    <x v="26"/>
    <x v="21"/>
    <n v="3923324.9999999995"/>
    <x v="1"/>
  </r>
  <r>
    <x v="15"/>
    <x v="27"/>
    <x v="21"/>
    <n v="3923324.9999999995"/>
    <x v="1"/>
  </r>
  <r>
    <x v="15"/>
    <x v="28"/>
    <x v="21"/>
    <n v="3923324.9999999995"/>
    <x v="1"/>
  </r>
  <r>
    <x v="15"/>
    <x v="29"/>
    <x v="21"/>
    <n v="3923324.9999999995"/>
    <x v="1"/>
  </r>
  <r>
    <x v="15"/>
    <x v="30"/>
    <x v="21"/>
    <n v="3923324.9999999995"/>
    <x v="1"/>
  </r>
  <r>
    <x v="15"/>
    <x v="0"/>
    <x v="53"/>
    <n v="4758075"/>
    <x v="1"/>
  </r>
  <r>
    <x v="15"/>
    <x v="1"/>
    <x v="53"/>
    <n v="4758075"/>
    <x v="1"/>
  </r>
  <r>
    <x v="15"/>
    <x v="2"/>
    <x v="53"/>
    <n v="4758075"/>
    <x v="1"/>
  </r>
  <r>
    <x v="15"/>
    <x v="3"/>
    <x v="53"/>
    <n v="4758075"/>
    <x v="1"/>
  </r>
  <r>
    <x v="15"/>
    <x v="4"/>
    <x v="53"/>
    <n v="4758075"/>
    <x v="1"/>
  </r>
  <r>
    <x v="15"/>
    <x v="5"/>
    <x v="53"/>
    <n v="4758075"/>
    <x v="1"/>
  </r>
  <r>
    <x v="15"/>
    <x v="6"/>
    <x v="53"/>
    <n v="4758075"/>
    <x v="1"/>
  </r>
  <r>
    <x v="15"/>
    <x v="7"/>
    <x v="53"/>
    <n v="4758075"/>
    <x v="1"/>
  </r>
  <r>
    <x v="15"/>
    <x v="8"/>
    <x v="53"/>
    <n v="4758075"/>
    <x v="1"/>
  </r>
  <r>
    <x v="15"/>
    <x v="9"/>
    <x v="53"/>
    <n v="4758075"/>
    <x v="1"/>
  </r>
  <r>
    <x v="15"/>
    <x v="10"/>
    <x v="53"/>
    <n v="4758075"/>
    <x v="1"/>
  </r>
  <r>
    <x v="15"/>
    <x v="11"/>
    <x v="53"/>
    <n v="4758075"/>
    <x v="1"/>
  </r>
  <r>
    <x v="15"/>
    <x v="12"/>
    <x v="53"/>
    <n v="4758075"/>
    <x v="1"/>
  </r>
  <r>
    <x v="15"/>
    <x v="13"/>
    <x v="53"/>
    <n v="4758075"/>
    <x v="1"/>
  </r>
  <r>
    <x v="15"/>
    <x v="14"/>
    <x v="53"/>
    <n v="4758075"/>
    <x v="1"/>
  </r>
  <r>
    <x v="15"/>
    <x v="15"/>
    <x v="53"/>
    <n v="4758075"/>
    <x v="1"/>
  </r>
  <r>
    <x v="15"/>
    <x v="16"/>
    <x v="53"/>
    <n v="4758075"/>
    <x v="1"/>
  </r>
  <r>
    <x v="15"/>
    <x v="17"/>
    <x v="53"/>
    <n v="4758075"/>
    <x v="1"/>
  </r>
  <r>
    <x v="15"/>
    <x v="18"/>
    <x v="53"/>
    <n v="4758075"/>
    <x v="1"/>
  </r>
  <r>
    <x v="15"/>
    <x v="19"/>
    <x v="53"/>
    <n v="4758075"/>
    <x v="1"/>
  </r>
  <r>
    <x v="15"/>
    <x v="20"/>
    <x v="53"/>
    <n v="4758075"/>
    <x v="1"/>
  </r>
  <r>
    <x v="15"/>
    <x v="21"/>
    <x v="53"/>
    <n v="4758075"/>
    <x v="1"/>
  </r>
  <r>
    <x v="15"/>
    <x v="22"/>
    <x v="53"/>
    <n v="4758075"/>
    <x v="1"/>
  </r>
  <r>
    <x v="15"/>
    <x v="23"/>
    <x v="53"/>
    <n v="4758075"/>
    <x v="1"/>
  </r>
  <r>
    <x v="15"/>
    <x v="24"/>
    <x v="53"/>
    <n v="4758075"/>
    <x v="1"/>
  </r>
  <r>
    <x v="15"/>
    <x v="25"/>
    <x v="53"/>
    <n v="4758075"/>
    <x v="1"/>
  </r>
  <r>
    <x v="15"/>
    <x v="26"/>
    <x v="53"/>
    <n v="4758075"/>
    <x v="1"/>
  </r>
  <r>
    <x v="15"/>
    <x v="0"/>
    <x v="13"/>
    <n v="5985000"/>
    <x v="1"/>
  </r>
  <r>
    <x v="15"/>
    <x v="1"/>
    <x v="13"/>
    <n v="5985000"/>
    <x v="1"/>
  </r>
  <r>
    <x v="15"/>
    <x v="2"/>
    <x v="13"/>
    <n v="5985000"/>
    <x v="1"/>
  </r>
  <r>
    <x v="15"/>
    <x v="3"/>
    <x v="13"/>
    <n v="5985000"/>
    <x v="1"/>
  </r>
  <r>
    <x v="15"/>
    <x v="4"/>
    <x v="13"/>
    <n v="5985000"/>
    <x v="1"/>
  </r>
  <r>
    <x v="15"/>
    <x v="5"/>
    <x v="13"/>
    <n v="5985000"/>
    <x v="1"/>
  </r>
  <r>
    <x v="15"/>
    <x v="6"/>
    <x v="13"/>
    <n v="5985000"/>
    <x v="1"/>
  </r>
  <r>
    <x v="15"/>
    <x v="7"/>
    <x v="13"/>
    <n v="5985000"/>
    <x v="1"/>
  </r>
  <r>
    <x v="15"/>
    <x v="8"/>
    <x v="13"/>
    <n v="5985000"/>
    <x v="1"/>
  </r>
  <r>
    <x v="15"/>
    <x v="9"/>
    <x v="13"/>
    <n v="5985000"/>
    <x v="1"/>
  </r>
  <r>
    <x v="15"/>
    <x v="10"/>
    <x v="13"/>
    <n v="5985000"/>
    <x v="1"/>
  </r>
  <r>
    <x v="15"/>
    <x v="11"/>
    <x v="13"/>
    <n v="5985000"/>
    <x v="1"/>
  </r>
  <r>
    <x v="15"/>
    <x v="12"/>
    <x v="13"/>
    <n v="5985000"/>
    <x v="1"/>
  </r>
  <r>
    <x v="15"/>
    <x v="13"/>
    <x v="13"/>
    <n v="5985000"/>
    <x v="1"/>
  </r>
  <r>
    <x v="15"/>
    <x v="14"/>
    <x v="13"/>
    <n v="5985000"/>
    <x v="1"/>
  </r>
  <r>
    <x v="15"/>
    <x v="15"/>
    <x v="13"/>
    <n v="5985000"/>
    <x v="1"/>
  </r>
  <r>
    <x v="15"/>
    <x v="16"/>
    <x v="13"/>
    <n v="5985000"/>
    <x v="1"/>
  </r>
  <r>
    <x v="15"/>
    <x v="17"/>
    <x v="13"/>
    <n v="5985000"/>
    <x v="1"/>
  </r>
  <r>
    <x v="15"/>
    <x v="18"/>
    <x v="13"/>
    <n v="5985000"/>
    <x v="1"/>
  </r>
  <r>
    <x v="15"/>
    <x v="19"/>
    <x v="13"/>
    <n v="5985000"/>
    <x v="1"/>
  </r>
  <r>
    <x v="15"/>
    <x v="20"/>
    <x v="13"/>
    <n v="5985000"/>
    <x v="1"/>
  </r>
  <r>
    <x v="15"/>
    <x v="21"/>
    <x v="13"/>
    <n v="5985000"/>
    <x v="1"/>
  </r>
  <r>
    <x v="15"/>
    <x v="22"/>
    <x v="13"/>
    <n v="5985000"/>
    <x v="1"/>
  </r>
  <r>
    <x v="15"/>
    <x v="23"/>
    <x v="13"/>
    <n v="5985000"/>
    <x v="1"/>
  </r>
  <r>
    <x v="15"/>
    <x v="24"/>
    <x v="13"/>
    <n v="5985000"/>
    <x v="1"/>
  </r>
  <r>
    <x v="15"/>
    <x v="25"/>
    <x v="13"/>
    <n v="5985000"/>
    <x v="1"/>
  </r>
  <r>
    <x v="15"/>
    <x v="26"/>
    <x v="13"/>
    <n v="5985000"/>
    <x v="1"/>
  </r>
  <r>
    <x v="15"/>
    <x v="27"/>
    <x v="13"/>
    <n v="5985000"/>
    <x v="1"/>
  </r>
  <r>
    <x v="16"/>
    <x v="0"/>
    <x v="55"/>
    <n v="5768028"/>
    <x v="1"/>
  </r>
  <r>
    <x v="16"/>
    <x v="1"/>
    <x v="55"/>
    <n v="5768028"/>
    <x v="1"/>
  </r>
  <r>
    <x v="16"/>
    <x v="2"/>
    <x v="55"/>
    <n v="5768028"/>
    <x v="1"/>
  </r>
  <r>
    <x v="16"/>
    <x v="3"/>
    <x v="55"/>
    <n v="5768028"/>
    <x v="1"/>
  </r>
  <r>
    <x v="16"/>
    <x v="4"/>
    <x v="55"/>
    <n v="5768028"/>
    <x v="1"/>
  </r>
  <r>
    <x v="16"/>
    <x v="5"/>
    <x v="55"/>
    <n v="5768028"/>
    <x v="1"/>
  </r>
  <r>
    <x v="16"/>
    <x v="6"/>
    <x v="55"/>
    <n v="5768028"/>
    <x v="1"/>
  </r>
  <r>
    <x v="16"/>
    <x v="7"/>
    <x v="55"/>
    <n v="5768028"/>
    <x v="1"/>
  </r>
  <r>
    <x v="16"/>
    <x v="8"/>
    <x v="55"/>
    <n v="5768028"/>
    <x v="1"/>
  </r>
  <r>
    <x v="16"/>
    <x v="9"/>
    <x v="55"/>
    <n v="5768028"/>
    <x v="1"/>
  </r>
  <r>
    <x v="16"/>
    <x v="10"/>
    <x v="55"/>
    <n v="5768028"/>
    <x v="1"/>
  </r>
  <r>
    <x v="16"/>
    <x v="11"/>
    <x v="55"/>
    <n v="5768028"/>
    <x v="1"/>
  </r>
  <r>
    <x v="16"/>
    <x v="12"/>
    <x v="55"/>
    <n v="5768028"/>
    <x v="1"/>
  </r>
  <r>
    <x v="16"/>
    <x v="13"/>
    <x v="55"/>
    <n v="5768028"/>
    <x v="1"/>
  </r>
  <r>
    <x v="16"/>
    <x v="14"/>
    <x v="55"/>
    <n v="5768028"/>
    <x v="1"/>
  </r>
  <r>
    <x v="16"/>
    <x v="15"/>
    <x v="55"/>
    <n v="5768028"/>
    <x v="1"/>
  </r>
  <r>
    <x v="16"/>
    <x v="16"/>
    <x v="55"/>
    <n v="5768028"/>
    <x v="1"/>
  </r>
  <r>
    <x v="16"/>
    <x v="17"/>
    <x v="55"/>
    <n v="5768028"/>
    <x v="1"/>
  </r>
  <r>
    <x v="16"/>
    <x v="18"/>
    <x v="55"/>
    <n v="5768028"/>
    <x v="1"/>
  </r>
  <r>
    <x v="16"/>
    <x v="19"/>
    <x v="55"/>
    <n v="5768028"/>
    <x v="1"/>
  </r>
  <r>
    <x v="16"/>
    <x v="20"/>
    <x v="55"/>
    <n v="5768028"/>
    <x v="1"/>
  </r>
  <r>
    <x v="16"/>
    <x v="21"/>
    <x v="55"/>
    <n v="5768028"/>
    <x v="1"/>
  </r>
  <r>
    <x v="16"/>
    <x v="22"/>
    <x v="55"/>
    <n v="5768028"/>
    <x v="1"/>
  </r>
  <r>
    <x v="16"/>
    <x v="0"/>
    <x v="55"/>
    <n v="5853202.4250000007"/>
    <x v="1"/>
  </r>
  <r>
    <x v="16"/>
    <x v="1"/>
    <x v="55"/>
    <n v="5853202.4250000007"/>
    <x v="1"/>
  </r>
  <r>
    <x v="16"/>
    <x v="2"/>
    <x v="55"/>
    <n v="5853202.4250000007"/>
    <x v="1"/>
  </r>
  <r>
    <x v="16"/>
    <x v="3"/>
    <x v="55"/>
    <n v="5853202.4250000007"/>
    <x v="1"/>
  </r>
  <r>
    <x v="16"/>
    <x v="4"/>
    <x v="55"/>
    <n v="5853202.4250000007"/>
    <x v="1"/>
  </r>
  <r>
    <x v="16"/>
    <x v="5"/>
    <x v="55"/>
    <n v="5853202.4250000007"/>
    <x v="1"/>
  </r>
  <r>
    <x v="16"/>
    <x v="6"/>
    <x v="55"/>
    <n v="5853202.4250000007"/>
    <x v="1"/>
  </r>
  <r>
    <x v="16"/>
    <x v="7"/>
    <x v="55"/>
    <n v="5853202.4250000007"/>
    <x v="1"/>
  </r>
  <r>
    <x v="16"/>
    <x v="8"/>
    <x v="55"/>
    <n v="5853202.4250000007"/>
    <x v="1"/>
  </r>
  <r>
    <x v="16"/>
    <x v="9"/>
    <x v="55"/>
    <n v="5853202.4250000007"/>
    <x v="1"/>
  </r>
  <r>
    <x v="16"/>
    <x v="10"/>
    <x v="55"/>
    <n v="5853202.4250000007"/>
    <x v="1"/>
  </r>
  <r>
    <x v="16"/>
    <x v="11"/>
    <x v="55"/>
    <n v="5853202.4250000007"/>
    <x v="1"/>
  </r>
  <r>
    <x v="16"/>
    <x v="12"/>
    <x v="55"/>
    <n v="5853202.4250000007"/>
    <x v="1"/>
  </r>
  <r>
    <x v="16"/>
    <x v="13"/>
    <x v="55"/>
    <n v="5853202.4250000007"/>
    <x v="1"/>
  </r>
  <r>
    <x v="16"/>
    <x v="14"/>
    <x v="55"/>
    <n v="5853202.4250000007"/>
    <x v="1"/>
  </r>
  <r>
    <x v="16"/>
    <x v="15"/>
    <x v="55"/>
    <n v="5853202.4250000007"/>
    <x v="1"/>
  </r>
  <r>
    <x v="16"/>
    <x v="16"/>
    <x v="55"/>
    <n v="5853202.4250000007"/>
    <x v="1"/>
  </r>
  <r>
    <x v="16"/>
    <x v="0"/>
    <x v="1"/>
    <n v="11280052.350000001"/>
    <x v="1"/>
  </r>
  <r>
    <x v="16"/>
    <x v="1"/>
    <x v="1"/>
    <n v="11280052.350000001"/>
    <x v="1"/>
  </r>
  <r>
    <x v="16"/>
    <x v="2"/>
    <x v="1"/>
    <n v="11280052.350000001"/>
    <x v="1"/>
  </r>
  <r>
    <x v="16"/>
    <x v="3"/>
    <x v="1"/>
    <n v="11280052.350000001"/>
    <x v="1"/>
  </r>
  <r>
    <x v="16"/>
    <x v="4"/>
    <x v="1"/>
    <n v="11280052.350000001"/>
    <x v="1"/>
  </r>
  <r>
    <x v="16"/>
    <x v="5"/>
    <x v="1"/>
    <n v="11280052.350000001"/>
    <x v="1"/>
  </r>
  <r>
    <x v="16"/>
    <x v="6"/>
    <x v="1"/>
    <n v="11280052.350000001"/>
    <x v="1"/>
  </r>
  <r>
    <x v="16"/>
    <x v="7"/>
    <x v="1"/>
    <n v="11280052.350000001"/>
    <x v="1"/>
  </r>
  <r>
    <x v="16"/>
    <x v="8"/>
    <x v="1"/>
    <n v="11280052.350000001"/>
    <x v="1"/>
  </r>
  <r>
    <x v="16"/>
    <x v="9"/>
    <x v="1"/>
    <n v="11280052.350000001"/>
    <x v="1"/>
  </r>
  <r>
    <x v="16"/>
    <x v="10"/>
    <x v="1"/>
    <n v="11280052.350000001"/>
    <x v="1"/>
  </r>
  <r>
    <x v="16"/>
    <x v="11"/>
    <x v="1"/>
    <n v="11280052.350000001"/>
    <x v="1"/>
  </r>
  <r>
    <x v="16"/>
    <x v="12"/>
    <x v="1"/>
    <n v="11280052.350000001"/>
    <x v="1"/>
  </r>
  <r>
    <x v="16"/>
    <x v="13"/>
    <x v="1"/>
    <n v="11280052.350000001"/>
    <x v="1"/>
  </r>
  <r>
    <x v="16"/>
    <x v="14"/>
    <x v="1"/>
    <n v="11280052.350000001"/>
    <x v="1"/>
  </r>
  <r>
    <x v="16"/>
    <x v="15"/>
    <x v="1"/>
    <n v="11280052.350000001"/>
    <x v="1"/>
  </r>
  <r>
    <x v="16"/>
    <x v="16"/>
    <x v="1"/>
    <n v="11280052.350000001"/>
    <x v="1"/>
  </r>
  <r>
    <x v="16"/>
    <x v="17"/>
    <x v="1"/>
    <n v="11280052.350000001"/>
    <x v="1"/>
  </r>
  <r>
    <x v="16"/>
    <x v="18"/>
    <x v="1"/>
    <n v="11280052.350000001"/>
    <x v="1"/>
  </r>
  <r>
    <x v="16"/>
    <x v="19"/>
    <x v="1"/>
    <n v="11280052.350000001"/>
    <x v="1"/>
  </r>
  <r>
    <x v="16"/>
    <x v="20"/>
    <x v="1"/>
    <n v="11280052.350000001"/>
    <x v="1"/>
  </r>
  <r>
    <x v="16"/>
    <x v="0"/>
    <x v="56"/>
    <n v="4765579.4024999999"/>
    <x v="1"/>
  </r>
  <r>
    <x v="16"/>
    <x v="1"/>
    <x v="56"/>
    <n v="4765579.4024999999"/>
    <x v="1"/>
  </r>
  <r>
    <x v="16"/>
    <x v="2"/>
    <x v="56"/>
    <n v="4765579.4024999999"/>
    <x v="1"/>
  </r>
  <r>
    <x v="16"/>
    <x v="3"/>
    <x v="56"/>
    <n v="4765579.4024999999"/>
    <x v="1"/>
  </r>
  <r>
    <x v="16"/>
    <x v="4"/>
    <x v="56"/>
    <n v="4765579.4024999999"/>
    <x v="1"/>
  </r>
  <r>
    <x v="16"/>
    <x v="5"/>
    <x v="56"/>
    <n v="4765579.4024999999"/>
    <x v="1"/>
  </r>
  <r>
    <x v="16"/>
    <x v="6"/>
    <x v="56"/>
    <n v="4765579.4024999999"/>
    <x v="1"/>
  </r>
  <r>
    <x v="16"/>
    <x v="7"/>
    <x v="56"/>
    <n v="4765579.4024999999"/>
    <x v="1"/>
  </r>
  <r>
    <x v="16"/>
    <x v="8"/>
    <x v="56"/>
    <n v="4765579.4024999999"/>
    <x v="1"/>
  </r>
  <r>
    <x v="16"/>
    <x v="9"/>
    <x v="56"/>
    <n v="4765579.4024999999"/>
    <x v="1"/>
  </r>
  <r>
    <x v="16"/>
    <x v="10"/>
    <x v="56"/>
    <n v="4765579.4024999999"/>
    <x v="1"/>
  </r>
  <r>
    <x v="16"/>
    <x v="11"/>
    <x v="56"/>
    <n v="4765579.4024999999"/>
    <x v="1"/>
  </r>
  <r>
    <x v="16"/>
    <x v="12"/>
    <x v="56"/>
    <n v="4765579.4024999999"/>
    <x v="1"/>
  </r>
  <r>
    <x v="16"/>
    <x v="13"/>
    <x v="56"/>
    <n v="4765579.4024999999"/>
    <x v="1"/>
  </r>
  <r>
    <x v="16"/>
    <x v="14"/>
    <x v="56"/>
    <n v="4765579.4024999999"/>
    <x v="1"/>
  </r>
  <r>
    <x v="16"/>
    <x v="15"/>
    <x v="56"/>
    <n v="4765579.4024999999"/>
    <x v="1"/>
  </r>
  <r>
    <x v="16"/>
    <x v="16"/>
    <x v="56"/>
    <n v="4765579.4024999999"/>
    <x v="1"/>
  </r>
  <r>
    <x v="16"/>
    <x v="17"/>
    <x v="56"/>
    <n v="4765579.4024999999"/>
    <x v="1"/>
  </r>
  <r>
    <x v="16"/>
    <x v="18"/>
    <x v="56"/>
    <n v="4765579.4024999999"/>
    <x v="1"/>
  </r>
  <r>
    <x v="16"/>
    <x v="19"/>
    <x v="56"/>
    <n v="4765579.4024999999"/>
    <x v="1"/>
  </r>
  <r>
    <x v="16"/>
    <x v="20"/>
    <x v="56"/>
    <n v="4765579.4024999999"/>
    <x v="1"/>
  </r>
  <r>
    <x v="16"/>
    <x v="21"/>
    <x v="56"/>
    <n v="4765579.4024999999"/>
    <x v="1"/>
  </r>
  <r>
    <x v="16"/>
    <x v="22"/>
    <x v="56"/>
    <n v="4765579.4024999999"/>
    <x v="1"/>
  </r>
  <r>
    <x v="16"/>
    <x v="0"/>
    <x v="56"/>
    <n v="6204394.5704999994"/>
    <x v="1"/>
  </r>
  <r>
    <x v="16"/>
    <x v="1"/>
    <x v="56"/>
    <n v="6204394.5704999994"/>
    <x v="1"/>
  </r>
  <r>
    <x v="16"/>
    <x v="2"/>
    <x v="56"/>
    <n v="6204394.5704999994"/>
    <x v="1"/>
  </r>
  <r>
    <x v="16"/>
    <x v="3"/>
    <x v="56"/>
    <n v="6204394.5704999994"/>
    <x v="1"/>
  </r>
  <r>
    <x v="16"/>
    <x v="4"/>
    <x v="56"/>
    <n v="6204394.5704999994"/>
    <x v="1"/>
  </r>
  <r>
    <x v="16"/>
    <x v="5"/>
    <x v="56"/>
    <n v="6204394.5704999994"/>
    <x v="1"/>
  </r>
  <r>
    <x v="16"/>
    <x v="6"/>
    <x v="56"/>
    <n v="6204394.5704999994"/>
    <x v="1"/>
  </r>
  <r>
    <x v="16"/>
    <x v="7"/>
    <x v="56"/>
    <n v="6204394.5704999994"/>
    <x v="1"/>
  </r>
  <r>
    <x v="16"/>
    <x v="8"/>
    <x v="56"/>
    <n v="6204394.5704999994"/>
    <x v="1"/>
  </r>
  <r>
    <x v="16"/>
    <x v="9"/>
    <x v="56"/>
    <n v="6204394.5704999994"/>
    <x v="1"/>
  </r>
  <r>
    <x v="16"/>
    <x v="10"/>
    <x v="56"/>
    <n v="6204394.5704999994"/>
    <x v="1"/>
  </r>
  <r>
    <x v="16"/>
    <x v="11"/>
    <x v="56"/>
    <n v="6204394.5704999994"/>
    <x v="1"/>
  </r>
  <r>
    <x v="16"/>
    <x v="12"/>
    <x v="56"/>
    <n v="6204394.5704999994"/>
    <x v="1"/>
  </r>
  <r>
    <x v="16"/>
    <x v="13"/>
    <x v="56"/>
    <n v="6204394.5704999994"/>
    <x v="1"/>
  </r>
  <r>
    <x v="16"/>
    <x v="14"/>
    <x v="56"/>
    <n v="6204394.5704999994"/>
    <x v="1"/>
  </r>
  <r>
    <x v="16"/>
    <x v="15"/>
    <x v="56"/>
    <n v="6204394.5704999994"/>
    <x v="1"/>
  </r>
  <r>
    <x v="16"/>
    <x v="16"/>
    <x v="56"/>
    <n v="6204394.5704999994"/>
    <x v="1"/>
  </r>
  <r>
    <x v="16"/>
    <x v="0"/>
    <x v="57"/>
    <n v="4314814.4024999999"/>
    <x v="1"/>
  </r>
  <r>
    <x v="16"/>
    <x v="1"/>
    <x v="57"/>
    <n v="4314814.4024999999"/>
    <x v="1"/>
  </r>
  <r>
    <x v="16"/>
    <x v="2"/>
    <x v="57"/>
    <n v="4314814.4024999999"/>
    <x v="1"/>
  </r>
  <r>
    <x v="16"/>
    <x v="3"/>
    <x v="57"/>
    <n v="4314814.4024999999"/>
    <x v="1"/>
  </r>
  <r>
    <x v="16"/>
    <x v="4"/>
    <x v="57"/>
    <n v="4314814.4024999999"/>
    <x v="1"/>
  </r>
  <r>
    <x v="16"/>
    <x v="5"/>
    <x v="57"/>
    <n v="4314814.4024999999"/>
    <x v="1"/>
  </r>
  <r>
    <x v="16"/>
    <x v="6"/>
    <x v="57"/>
    <n v="4314814.4024999999"/>
    <x v="1"/>
  </r>
  <r>
    <x v="16"/>
    <x v="7"/>
    <x v="57"/>
    <n v="4314814.4024999999"/>
    <x v="1"/>
  </r>
  <r>
    <x v="16"/>
    <x v="8"/>
    <x v="57"/>
    <n v="4314814.4024999999"/>
    <x v="1"/>
  </r>
  <r>
    <x v="16"/>
    <x v="9"/>
    <x v="57"/>
    <n v="4314814.4024999999"/>
    <x v="1"/>
  </r>
  <r>
    <x v="16"/>
    <x v="10"/>
    <x v="57"/>
    <n v="4314814.4024999999"/>
    <x v="1"/>
  </r>
  <r>
    <x v="16"/>
    <x v="11"/>
    <x v="57"/>
    <n v="4314814.4024999999"/>
    <x v="1"/>
  </r>
  <r>
    <x v="16"/>
    <x v="12"/>
    <x v="57"/>
    <n v="4314814.4024999999"/>
    <x v="1"/>
  </r>
  <r>
    <x v="16"/>
    <x v="13"/>
    <x v="57"/>
    <n v="4314814.4024999999"/>
    <x v="1"/>
  </r>
  <r>
    <x v="16"/>
    <x v="14"/>
    <x v="57"/>
    <n v="4314814.4024999999"/>
    <x v="1"/>
  </r>
  <r>
    <x v="16"/>
    <x v="15"/>
    <x v="57"/>
    <n v="4314814.4024999999"/>
    <x v="1"/>
  </r>
  <r>
    <x v="16"/>
    <x v="16"/>
    <x v="57"/>
    <n v="4314814.4024999999"/>
    <x v="1"/>
  </r>
  <r>
    <x v="16"/>
    <x v="17"/>
    <x v="57"/>
    <n v="4314814.4024999999"/>
    <x v="1"/>
  </r>
  <r>
    <x v="16"/>
    <x v="18"/>
    <x v="57"/>
    <n v="4314814.4024999999"/>
    <x v="1"/>
  </r>
  <r>
    <x v="16"/>
    <x v="19"/>
    <x v="57"/>
    <n v="4314814.4024999999"/>
    <x v="1"/>
  </r>
  <r>
    <x v="16"/>
    <x v="20"/>
    <x v="57"/>
    <n v="4314814.4024999999"/>
    <x v="1"/>
  </r>
  <r>
    <x v="16"/>
    <x v="21"/>
    <x v="57"/>
    <n v="4314814.4024999999"/>
    <x v="1"/>
  </r>
  <r>
    <x v="16"/>
    <x v="22"/>
    <x v="57"/>
    <n v="4314814.4024999999"/>
    <x v="1"/>
  </r>
  <r>
    <x v="16"/>
    <x v="0"/>
    <x v="57"/>
    <n v="4363154.7749999994"/>
    <x v="1"/>
  </r>
  <r>
    <x v="16"/>
    <x v="1"/>
    <x v="57"/>
    <n v="4363154.7749999994"/>
    <x v="1"/>
  </r>
  <r>
    <x v="16"/>
    <x v="2"/>
    <x v="57"/>
    <n v="4363154.7749999994"/>
    <x v="1"/>
  </r>
  <r>
    <x v="16"/>
    <x v="3"/>
    <x v="57"/>
    <n v="4363154.7749999994"/>
    <x v="1"/>
  </r>
  <r>
    <x v="16"/>
    <x v="4"/>
    <x v="57"/>
    <n v="4363154.7749999994"/>
    <x v="1"/>
  </r>
  <r>
    <x v="16"/>
    <x v="5"/>
    <x v="57"/>
    <n v="4363154.7749999994"/>
    <x v="1"/>
  </r>
  <r>
    <x v="16"/>
    <x v="6"/>
    <x v="57"/>
    <n v="4363154.7749999994"/>
    <x v="1"/>
  </r>
  <r>
    <x v="16"/>
    <x v="7"/>
    <x v="57"/>
    <n v="4363154.7749999994"/>
    <x v="1"/>
  </r>
  <r>
    <x v="16"/>
    <x v="8"/>
    <x v="57"/>
    <n v="4363154.7749999994"/>
    <x v="1"/>
  </r>
  <r>
    <x v="16"/>
    <x v="9"/>
    <x v="57"/>
    <n v="4363154.7749999994"/>
    <x v="1"/>
  </r>
  <r>
    <x v="16"/>
    <x v="10"/>
    <x v="57"/>
    <n v="4363154.7749999994"/>
    <x v="1"/>
  </r>
  <r>
    <x v="16"/>
    <x v="11"/>
    <x v="57"/>
    <n v="4363154.7749999994"/>
    <x v="1"/>
  </r>
  <r>
    <x v="16"/>
    <x v="0"/>
    <x v="58"/>
    <n v="5731070.625"/>
    <x v="1"/>
  </r>
  <r>
    <x v="16"/>
    <x v="1"/>
    <x v="58"/>
    <n v="5731070.625"/>
    <x v="1"/>
  </r>
  <r>
    <x v="16"/>
    <x v="2"/>
    <x v="58"/>
    <n v="5731070.625"/>
    <x v="1"/>
  </r>
  <r>
    <x v="16"/>
    <x v="3"/>
    <x v="58"/>
    <n v="5731070.625"/>
    <x v="1"/>
  </r>
  <r>
    <x v="16"/>
    <x v="4"/>
    <x v="58"/>
    <n v="5731070.625"/>
    <x v="1"/>
  </r>
  <r>
    <x v="16"/>
    <x v="5"/>
    <x v="58"/>
    <n v="5731070.625"/>
    <x v="1"/>
  </r>
  <r>
    <x v="16"/>
    <x v="6"/>
    <x v="58"/>
    <n v="5731070.625"/>
    <x v="1"/>
  </r>
  <r>
    <x v="16"/>
    <x v="7"/>
    <x v="58"/>
    <n v="5731070.625"/>
    <x v="1"/>
  </r>
  <r>
    <x v="16"/>
    <x v="8"/>
    <x v="58"/>
    <n v="5731070.625"/>
    <x v="1"/>
  </r>
  <r>
    <x v="16"/>
    <x v="9"/>
    <x v="58"/>
    <n v="5731070.625"/>
    <x v="1"/>
  </r>
  <r>
    <x v="16"/>
    <x v="10"/>
    <x v="58"/>
    <n v="5731070.625"/>
    <x v="1"/>
  </r>
  <r>
    <x v="16"/>
    <x v="11"/>
    <x v="58"/>
    <n v="5731070.625"/>
    <x v="1"/>
  </r>
  <r>
    <x v="16"/>
    <x v="12"/>
    <x v="58"/>
    <n v="5731070.625"/>
    <x v="1"/>
  </r>
  <r>
    <x v="16"/>
    <x v="13"/>
    <x v="58"/>
    <n v="5731070.625"/>
    <x v="1"/>
  </r>
  <r>
    <x v="16"/>
    <x v="14"/>
    <x v="58"/>
    <n v="5731070.625"/>
    <x v="1"/>
  </r>
  <r>
    <x v="16"/>
    <x v="15"/>
    <x v="58"/>
    <n v="5731070.625"/>
    <x v="1"/>
  </r>
  <r>
    <x v="16"/>
    <x v="16"/>
    <x v="58"/>
    <n v="5731070.625"/>
    <x v="1"/>
  </r>
  <r>
    <x v="16"/>
    <x v="17"/>
    <x v="58"/>
    <n v="5731070.625"/>
    <x v="1"/>
  </r>
  <r>
    <x v="16"/>
    <x v="18"/>
    <x v="58"/>
    <n v="5731070.625"/>
    <x v="1"/>
  </r>
  <r>
    <x v="16"/>
    <x v="0"/>
    <x v="59"/>
    <n v="5735067.9750000006"/>
    <x v="1"/>
  </r>
  <r>
    <x v="16"/>
    <x v="1"/>
    <x v="59"/>
    <n v="5735067.9750000006"/>
    <x v="1"/>
  </r>
  <r>
    <x v="16"/>
    <x v="2"/>
    <x v="59"/>
    <n v="5735067.9750000006"/>
    <x v="1"/>
  </r>
  <r>
    <x v="16"/>
    <x v="3"/>
    <x v="59"/>
    <n v="5735067.9750000006"/>
    <x v="1"/>
  </r>
  <r>
    <x v="16"/>
    <x v="4"/>
    <x v="59"/>
    <n v="5735067.9750000006"/>
    <x v="1"/>
  </r>
  <r>
    <x v="16"/>
    <x v="5"/>
    <x v="59"/>
    <n v="5735067.9750000006"/>
    <x v="1"/>
  </r>
  <r>
    <x v="16"/>
    <x v="6"/>
    <x v="59"/>
    <n v="5735067.9750000006"/>
    <x v="1"/>
  </r>
  <r>
    <x v="16"/>
    <x v="7"/>
    <x v="59"/>
    <n v="5735067.9750000006"/>
    <x v="1"/>
  </r>
  <r>
    <x v="16"/>
    <x v="8"/>
    <x v="59"/>
    <n v="5735067.9750000006"/>
    <x v="1"/>
  </r>
  <r>
    <x v="16"/>
    <x v="9"/>
    <x v="59"/>
    <n v="5735067.9750000006"/>
    <x v="1"/>
  </r>
  <r>
    <x v="16"/>
    <x v="10"/>
    <x v="59"/>
    <n v="5735067.9750000006"/>
    <x v="1"/>
  </r>
  <r>
    <x v="16"/>
    <x v="11"/>
    <x v="59"/>
    <n v="5735067.9750000006"/>
    <x v="1"/>
  </r>
  <r>
    <x v="16"/>
    <x v="12"/>
    <x v="59"/>
    <n v="5735067.9750000006"/>
    <x v="1"/>
  </r>
  <r>
    <x v="16"/>
    <x v="13"/>
    <x v="59"/>
    <n v="5735067.9750000006"/>
    <x v="1"/>
  </r>
  <r>
    <x v="16"/>
    <x v="14"/>
    <x v="59"/>
    <n v="5735067.9750000006"/>
    <x v="1"/>
  </r>
  <r>
    <x v="16"/>
    <x v="15"/>
    <x v="59"/>
    <n v="5735067.9750000006"/>
    <x v="1"/>
  </r>
  <r>
    <x v="16"/>
    <x v="16"/>
    <x v="59"/>
    <n v="5735067.9750000006"/>
    <x v="1"/>
  </r>
  <r>
    <x v="16"/>
    <x v="17"/>
    <x v="59"/>
    <n v="5735067.9750000006"/>
    <x v="1"/>
  </r>
  <r>
    <x v="16"/>
    <x v="18"/>
    <x v="59"/>
    <n v="5735067.9750000006"/>
    <x v="1"/>
  </r>
  <r>
    <x v="16"/>
    <x v="19"/>
    <x v="59"/>
    <n v="5735067.9750000006"/>
    <x v="1"/>
  </r>
  <r>
    <x v="16"/>
    <x v="20"/>
    <x v="59"/>
    <n v="5735067.9750000006"/>
    <x v="1"/>
  </r>
  <r>
    <x v="16"/>
    <x v="21"/>
    <x v="59"/>
    <n v="5735067.9750000006"/>
    <x v="1"/>
  </r>
  <r>
    <x v="16"/>
    <x v="22"/>
    <x v="59"/>
    <n v="5735067.9750000006"/>
    <x v="1"/>
  </r>
  <r>
    <x v="16"/>
    <x v="0"/>
    <x v="15"/>
    <n v="5532675.75"/>
    <x v="1"/>
  </r>
  <r>
    <x v="16"/>
    <x v="1"/>
    <x v="15"/>
    <n v="5532675.75"/>
    <x v="1"/>
  </r>
  <r>
    <x v="16"/>
    <x v="2"/>
    <x v="15"/>
    <n v="5532675.75"/>
    <x v="1"/>
  </r>
  <r>
    <x v="16"/>
    <x v="3"/>
    <x v="15"/>
    <n v="5532675.75"/>
    <x v="1"/>
  </r>
  <r>
    <x v="16"/>
    <x v="4"/>
    <x v="15"/>
    <n v="5532675.75"/>
    <x v="1"/>
  </r>
  <r>
    <x v="16"/>
    <x v="5"/>
    <x v="15"/>
    <n v="5532675.75"/>
    <x v="1"/>
  </r>
  <r>
    <x v="16"/>
    <x v="6"/>
    <x v="15"/>
    <n v="5532675.75"/>
    <x v="1"/>
  </r>
  <r>
    <x v="16"/>
    <x v="7"/>
    <x v="15"/>
    <n v="5532675.75"/>
    <x v="1"/>
  </r>
  <r>
    <x v="16"/>
    <x v="8"/>
    <x v="15"/>
    <n v="5532675.75"/>
    <x v="1"/>
  </r>
  <r>
    <x v="16"/>
    <x v="9"/>
    <x v="15"/>
    <n v="5532675.75"/>
    <x v="1"/>
  </r>
  <r>
    <x v="16"/>
    <x v="10"/>
    <x v="15"/>
    <n v="5532675.75"/>
    <x v="1"/>
  </r>
  <r>
    <x v="16"/>
    <x v="11"/>
    <x v="15"/>
    <n v="5532675.75"/>
    <x v="1"/>
  </r>
  <r>
    <x v="16"/>
    <x v="12"/>
    <x v="15"/>
    <n v="5532675.75"/>
    <x v="1"/>
  </r>
  <r>
    <x v="16"/>
    <x v="13"/>
    <x v="15"/>
    <n v="5532675.75"/>
    <x v="1"/>
  </r>
  <r>
    <x v="16"/>
    <x v="14"/>
    <x v="15"/>
    <n v="5532675.75"/>
    <x v="1"/>
  </r>
  <r>
    <x v="16"/>
    <x v="15"/>
    <x v="15"/>
    <n v="5532675.75"/>
    <x v="1"/>
  </r>
  <r>
    <x v="16"/>
    <x v="16"/>
    <x v="15"/>
    <n v="5532675.75"/>
    <x v="1"/>
  </r>
  <r>
    <x v="16"/>
    <x v="17"/>
    <x v="15"/>
    <n v="5532675.75"/>
    <x v="1"/>
  </r>
  <r>
    <x v="16"/>
    <x v="18"/>
    <x v="15"/>
    <n v="5532675.75"/>
    <x v="1"/>
  </r>
  <r>
    <x v="16"/>
    <x v="19"/>
    <x v="15"/>
    <n v="5532675.75"/>
    <x v="1"/>
  </r>
  <r>
    <x v="16"/>
    <x v="20"/>
    <x v="15"/>
    <n v="5532675.75"/>
    <x v="1"/>
  </r>
  <r>
    <x v="16"/>
    <x v="21"/>
    <x v="15"/>
    <n v="5532675.75"/>
    <x v="1"/>
  </r>
  <r>
    <x v="16"/>
    <x v="22"/>
    <x v="15"/>
    <n v="5532675.75"/>
    <x v="1"/>
  </r>
  <r>
    <x v="16"/>
    <x v="23"/>
    <x v="15"/>
    <n v="5532675.75"/>
    <x v="1"/>
  </r>
  <r>
    <x v="16"/>
    <x v="0"/>
    <x v="60"/>
    <n v="6478130.9250000007"/>
    <x v="1"/>
  </r>
  <r>
    <x v="16"/>
    <x v="1"/>
    <x v="60"/>
    <n v="6478130.9250000007"/>
    <x v="1"/>
  </r>
  <r>
    <x v="16"/>
    <x v="2"/>
    <x v="60"/>
    <n v="6478130.9250000007"/>
    <x v="1"/>
  </r>
  <r>
    <x v="16"/>
    <x v="3"/>
    <x v="60"/>
    <n v="6478130.9250000007"/>
    <x v="1"/>
  </r>
  <r>
    <x v="16"/>
    <x v="4"/>
    <x v="60"/>
    <n v="6478130.9250000007"/>
    <x v="1"/>
  </r>
  <r>
    <x v="16"/>
    <x v="5"/>
    <x v="60"/>
    <n v="6478130.9250000007"/>
    <x v="1"/>
  </r>
  <r>
    <x v="16"/>
    <x v="6"/>
    <x v="60"/>
    <n v="6478130.9250000007"/>
    <x v="1"/>
  </r>
  <r>
    <x v="16"/>
    <x v="7"/>
    <x v="60"/>
    <n v="6478130.9250000007"/>
    <x v="1"/>
  </r>
  <r>
    <x v="16"/>
    <x v="8"/>
    <x v="60"/>
    <n v="6478130.9250000007"/>
    <x v="1"/>
  </r>
  <r>
    <x v="16"/>
    <x v="9"/>
    <x v="60"/>
    <n v="6478130.9250000007"/>
    <x v="1"/>
  </r>
  <r>
    <x v="16"/>
    <x v="10"/>
    <x v="60"/>
    <n v="6478130.9250000007"/>
    <x v="1"/>
  </r>
  <r>
    <x v="16"/>
    <x v="11"/>
    <x v="60"/>
    <n v="6478130.9250000007"/>
    <x v="1"/>
  </r>
  <r>
    <x v="16"/>
    <x v="12"/>
    <x v="60"/>
    <n v="6478130.9250000007"/>
    <x v="1"/>
  </r>
  <r>
    <x v="16"/>
    <x v="13"/>
    <x v="60"/>
    <n v="6478130.9250000007"/>
    <x v="1"/>
  </r>
  <r>
    <x v="16"/>
    <x v="14"/>
    <x v="60"/>
    <n v="6478130.9250000007"/>
    <x v="1"/>
  </r>
  <r>
    <x v="16"/>
    <x v="15"/>
    <x v="60"/>
    <n v="6478130.9250000007"/>
    <x v="1"/>
  </r>
  <r>
    <x v="16"/>
    <x v="16"/>
    <x v="60"/>
    <n v="6478130.9250000007"/>
    <x v="1"/>
  </r>
  <r>
    <x v="16"/>
    <x v="17"/>
    <x v="60"/>
    <n v="6478130.9250000007"/>
    <x v="1"/>
  </r>
  <r>
    <x v="16"/>
    <x v="18"/>
    <x v="60"/>
    <n v="6478130.9250000007"/>
    <x v="1"/>
  </r>
  <r>
    <x v="16"/>
    <x v="19"/>
    <x v="60"/>
    <n v="6478130.9250000007"/>
    <x v="1"/>
  </r>
  <r>
    <x v="16"/>
    <x v="20"/>
    <x v="60"/>
    <n v="6478130.9250000007"/>
    <x v="1"/>
  </r>
  <r>
    <x v="16"/>
    <x v="21"/>
    <x v="60"/>
    <n v="6478130.9250000007"/>
    <x v="1"/>
  </r>
  <r>
    <x v="16"/>
    <x v="22"/>
    <x v="60"/>
    <n v="6478130.9250000007"/>
    <x v="1"/>
  </r>
  <r>
    <x v="16"/>
    <x v="0"/>
    <x v="60"/>
    <n v="6478130.9250000007"/>
    <x v="1"/>
  </r>
  <r>
    <x v="16"/>
    <x v="1"/>
    <x v="60"/>
    <n v="6478130.9250000007"/>
    <x v="1"/>
  </r>
  <r>
    <x v="16"/>
    <x v="2"/>
    <x v="60"/>
    <n v="6478130.9250000007"/>
    <x v="1"/>
  </r>
  <r>
    <x v="16"/>
    <x v="3"/>
    <x v="60"/>
    <n v="6478130.9250000007"/>
    <x v="1"/>
  </r>
  <r>
    <x v="16"/>
    <x v="4"/>
    <x v="60"/>
    <n v="6478130.9250000007"/>
    <x v="1"/>
  </r>
  <r>
    <x v="16"/>
    <x v="5"/>
    <x v="60"/>
    <n v="6478130.9250000007"/>
    <x v="1"/>
  </r>
  <r>
    <x v="16"/>
    <x v="6"/>
    <x v="60"/>
    <n v="6478130.9250000007"/>
    <x v="1"/>
  </r>
  <r>
    <x v="16"/>
    <x v="7"/>
    <x v="60"/>
    <n v="6478130.9250000007"/>
    <x v="1"/>
  </r>
  <r>
    <x v="16"/>
    <x v="8"/>
    <x v="60"/>
    <n v="6478130.9250000007"/>
    <x v="1"/>
  </r>
  <r>
    <x v="16"/>
    <x v="9"/>
    <x v="60"/>
    <n v="6478130.9250000007"/>
    <x v="1"/>
  </r>
  <r>
    <x v="16"/>
    <x v="10"/>
    <x v="60"/>
    <n v="6478130.9250000007"/>
    <x v="1"/>
  </r>
  <r>
    <x v="16"/>
    <x v="11"/>
    <x v="60"/>
    <n v="6478130.9250000007"/>
    <x v="1"/>
  </r>
  <r>
    <x v="16"/>
    <x v="12"/>
    <x v="60"/>
    <n v="6478130.9250000007"/>
    <x v="1"/>
  </r>
  <r>
    <x v="16"/>
    <x v="13"/>
    <x v="60"/>
    <n v="6478130.9250000007"/>
    <x v="1"/>
  </r>
  <r>
    <x v="16"/>
    <x v="14"/>
    <x v="60"/>
    <n v="6478130.9250000007"/>
    <x v="1"/>
  </r>
  <r>
    <x v="16"/>
    <x v="15"/>
    <x v="60"/>
    <n v="6478130.9250000007"/>
    <x v="1"/>
  </r>
  <r>
    <x v="16"/>
    <x v="16"/>
    <x v="60"/>
    <n v="6478130.9250000007"/>
    <x v="1"/>
  </r>
  <r>
    <x v="16"/>
    <x v="17"/>
    <x v="60"/>
    <n v="6478130.9250000007"/>
    <x v="1"/>
  </r>
  <r>
    <x v="16"/>
    <x v="18"/>
    <x v="60"/>
    <n v="6478130.9250000007"/>
    <x v="1"/>
  </r>
  <r>
    <x v="16"/>
    <x v="19"/>
    <x v="60"/>
    <n v="6478130.9250000007"/>
    <x v="1"/>
  </r>
  <r>
    <x v="16"/>
    <x v="20"/>
    <x v="60"/>
    <n v="6478130.9250000007"/>
    <x v="1"/>
  </r>
  <r>
    <x v="16"/>
    <x v="21"/>
    <x v="60"/>
    <n v="6478130.9250000007"/>
    <x v="1"/>
  </r>
  <r>
    <x v="16"/>
    <x v="22"/>
    <x v="60"/>
    <n v="6478130.9250000007"/>
    <x v="1"/>
  </r>
  <r>
    <x v="17"/>
    <x v="0"/>
    <x v="0"/>
    <n v="2806650"/>
    <x v="1"/>
  </r>
  <r>
    <x v="17"/>
    <x v="1"/>
    <x v="0"/>
    <n v="2806650"/>
    <x v="1"/>
  </r>
  <r>
    <x v="17"/>
    <x v="2"/>
    <x v="0"/>
    <n v="2806650"/>
    <x v="1"/>
  </r>
  <r>
    <x v="17"/>
    <x v="3"/>
    <x v="0"/>
    <n v="2806650"/>
    <x v="1"/>
  </r>
  <r>
    <x v="17"/>
    <x v="4"/>
    <x v="0"/>
    <n v="2806650"/>
    <x v="1"/>
  </r>
  <r>
    <x v="17"/>
    <x v="5"/>
    <x v="0"/>
    <n v="2806650"/>
    <x v="1"/>
  </r>
  <r>
    <x v="17"/>
    <x v="6"/>
    <x v="0"/>
    <n v="2806650"/>
    <x v="1"/>
  </r>
  <r>
    <x v="17"/>
    <x v="7"/>
    <x v="0"/>
    <n v="2806650"/>
    <x v="1"/>
  </r>
  <r>
    <x v="17"/>
    <x v="8"/>
    <x v="0"/>
    <n v="2806650"/>
    <x v="1"/>
  </r>
  <r>
    <x v="17"/>
    <x v="9"/>
    <x v="0"/>
    <n v="2806650"/>
    <x v="1"/>
  </r>
  <r>
    <x v="17"/>
    <x v="10"/>
    <x v="0"/>
    <n v="2806650"/>
    <x v="1"/>
  </r>
  <r>
    <x v="17"/>
    <x v="0"/>
    <x v="13"/>
    <n v="5355000"/>
    <x v="1"/>
  </r>
  <r>
    <x v="17"/>
    <x v="1"/>
    <x v="13"/>
    <n v="5355000"/>
    <x v="1"/>
  </r>
  <r>
    <x v="17"/>
    <x v="2"/>
    <x v="13"/>
    <n v="5355000"/>
    <x v="1"/>
  </r>
  <r>
    <x v="17"/>
    <x v="3"/>
    <x v="13"/>
    <n v="5355000"/>
    <x v="1"/>
  </r>
  <r>
    <x v="17"/>
    <x v="4"/>
    <x v="13"/>
    <n v="5355000"/>
    <x v="1"/>
  </r>
  <r>
    <x v="17"/>
    <x v="5"/>
    <x v="13"/>
    <n v="5355000"/>
    <x v="1"/>
  </r>
  <r>
    <x v="17"/>
    <x v="6"/>
    <x v="13"/>
    <n v="5355000"/>
    <x v="1"/>
  </r>
  <r>
    <x v="17"/>
    <x v="7"/>
    <x v="13"/>
    <n v="5355000"/>
    <x v="1"/>
  </r>
  <r>
    <x v="17"/>
    <x v="8"/>
    <x v="13"/>
    <n v="5355000"/>
    <x v="1"/>
  </r>
  <r>
    <x v="17"/>
    <x v="9"/>
    <x v="13"/>
    <n v="5355000"/>
    <x v="1"/>
  </r>
  <r>
    <x v="17"/>
    <x v="10"/>
    <x v="13"/>
    <n v="5355000"/>
    <x v="1"/>
  </r>
  <r>
    <x v="17"/>
    <x v="0"/>
    <x v="14"/>
    <n v="4123664.9999999995"/>
    <x v="1"/>
  </r>
  <r>
    <x v="17"/>
    <x v="1"/>
    <x v="14"/>
    <n v="4123664.9999999995"/>
    <x v="1"/>
  </r>
  <r>
    <x v="17"/>
    <x v="2"/>
    <x v="14"/>
    <n v="4123664.9999999995"/>
    <x v="1"/>
  </r>
  <r>
    <x v="17"/>
    <x v="3"/>
    <x v="14"/>
    <n v="4123664.9999999995"/>
    <x v="1"/>
  </r>
  <r>
    <x v="17"/>
    <x v="4"/>
    <x v="14"/>
    <n v="4123664.9999999995"/>
    <x v="1"/>
  </r>
  <r>
    <x v="17"/>
    <x v="5"/>
    <x v="14"/>
    <n v="4123664.9999999995"/>
    <x v="1"/>
  </r>
  <r>
    <x v="17"/>
    <x v="6"/>
    <x v="14"/>
    <n v="4123664.9999999995"/>
    <x v="1"/>
  </r>
  <r>
    <x v="17"/>
    <x v="7"/>
    <x v="14"/>
    <n v="4123664.9999999995"/>
    <x v="1"/>
  </r>
  <r>
    <x v="17"/>
    <x v="0"/>
    <x v="61"/>
    <n v="4123666.6694999998"/>
    <x v="1"/>
  </r>
  <r>
    <x v="17"/>
    <x v="1"/>
    <x v="61"/>
    <n v="4123666.6694999998"/>
    <x v="1"/>
  </r>
  <r>
    <x v="18"/>
    <x v="0"/>
    <x v="62"/>
    <n v="10415999.475"/>
    <x v="1"/>
  </r>
  <r>
    <x v="18"/>
    <x v="1"/>
    <x v="62"/>
    <n v="10415999.475"/>
    <x v="1"/>
  </r>
  <r>
    <x v="18"/>
    <x v="2"/>
    <x v="62"/>
    <n v="10415999.475"/>
    <x v="1"/>
  </r>
  <r>
    <x v="18"/>
    <x v="3"/>
    <x v="62"/>
    <n v="10415999.475"/>
    <x v="1"/>
  </r>
  <r>
    <x v="18"/>
    <x v="4"/>
    <x v="62"/>
    <n v="10415999.475"/>
    <x v="1"/>
  </r>
  <r>
    <x v="18"/>
    <x v="5"/>
    <x v="62"/>
    <n v="10415999.475"/>
    <x v="1"/>
  </r>
  <r>
    <x v="18"/>
    <x v="6"/>
    <x v="62"/>
    <n v="10415999.475"/>
    <x v="1"/>
  </r>
  <r>
    <x v="18"/>
    <x v="7"/>
    <x v="62"/>
    <n v="10415999.475"/>
    <x v="1"/>
  </r>
  <r>
    <x v="18"/>
    <x v="8"/>
    <x v="62"/>
    <n v="10415999.475"/>
    <x v="1"/>
  </r>
  <r>
    <x v="18"/>
    <x v="9"/>
    <x v="62"/>
    <n v="10415999.475"/>
    <x v="1"/>
  </r>
  <r>
    <x v="18"/>
    <x v="0"/>
    <x v="63"/>
    <n v="7207200"/>
    <x v="1"/>
  </r>
  <r>
    <x v="18"/>
    <x v="1"/>
    <x v="63"/>
    <n v="7207200"/>
    <x v="1"/>
  </r>
  <r>
    <x v="18"/>
    <x v="2"/>
    <x v="63"/>
    <n v="7207200"/>
    <x v="1"/>
  </r>
  <r>
    <x v="18"/>
    <x v="3"/>
    <x v="63"/>
    <n v="7207200"/>
    <x v="1"/>
  </r>
  <r>
    <x v="18"/>
    <x v="4"/>
    <x v="63"/>
    <n v="7207200"/>
    <x v="1"/>
  </r>
  <r>
    <x v="18"/>
    <x v="5"/>
    <x v="63"/>
    <n v="7207200"/>
    <x v="1"/>
  </r>
  <r>
    <x v="18"/>
    <x v="6"/>
    <x v="63"/>
    <n v="7207200"/>
    <x v="1"/>
  </r>
  <r>
    <x v="18"/>
    <x v="7"/>
    <x v="63"/>
    <n v="7207200"/>
    <x v="1"/>
  </r>
  <r>
    <x v="18"/>
    <x v="0"/>
    <x v="64"/>
    <n v="4866750"/>
    <x v="1"/>
  </r>
  <r>
    <x v="18"/>
    <x v="1"/>
    <x v="64"/>
    <n v="4866750"/>
    <x v="1"/>
  </r>
  <r>
    <x v="18"/>
    <x v="2"/>
    <x v="64"/>
    <n v="4866750"/>
    <x v="1"/>
  </r>
  <r>
    <x v="18"/>
    <x v="3"/>
    <x v="64"/>
    <n v="4866750"/>
    <x v="1"/>
  </r>
  <r>
    <x v="18"/>
    <x v="4"/>
    <x v="64"/>
    <n v="4866750"/>
    <x v="1"/>
  </r>
  <r>
    <x v="18"/>
    <x v="5"/>
    <x v="64"/>
    <n v="4866750"/>
    <x v="1"/>
  </r>
  <r>
    <x v="18"/>
    <x v="6"/>
    <x v="64"/>
    <n v="4866750"/>
    <x v="1"/>
  </r>
  <r>
    <x v="18"/>
    <x v="7"/>
    <x v="64"/>
    <n v="4866750"/>
    <x v="1"/>
  </r>
  <r>
    <x v="18"/>
    <x v="0"/>
    <x v="65"/>
    <n v="3916091.0564999999"/>
    <x v="1"/>
  </r>
  <r>
    <x v="18"/>
    <x v="1"/>
    <x v="65"/>
    <n v="3916091.0564999999"/>
    <x v="1"/>
  </r>
  <r>
    <x v="18"/>
    <x v="2"/>
    <x v="65"/>
    <n v="3916091.0564999999"/>
    <x v="1"/>
  </r>
  <r>
    <x v="18"/>
    <x v="3"/>
    <x v="65"/>
    <n v="3916091.0564999999"/>
    <x v="1"/>
  </r>
  <r>
    <x v="18"/>
    <x v="4"/>
    <x v="65"/>
    <n v="3916091.0564999999"/>
    <x v="1"/>
  </r>
  <r>
    <x v="18"/>
    <x v="5"/>
    <x v="65"/>
    <n v="3916091.0564999999"/>
    <x v="1"/>
  </r>
  <r>
    <x v="18"/>
    <x v="6"/>
    <x v="65"/>
    <n v="3916091.0564999999"/>
    <x v="1"/>
  </r>
  <r>
    <x v="18"/>
    <x v="7"/>
    <x v="65"/>
    <n v="3916091.0564999999"/>
    <x v="1"/>
  </r>
  <r>
    <x v="18"/>
    <x v="8"/>
    <x v="65"/>
    <n v="3916091.0564999999"/>
    <x v="1"/>
  </r>
  <r>
    <x v="18"/>
    <x v="9"/>
    <x v="65"/>
    <n v="3916091.0564999999"/>
    <x v="1"/>
  </r>
  <r>
    <x v="16"/>
    <x v="0"/>
    <x v="0"/>
    <n v="6263286.4602000006"/>
    <x v="1"/>
  </r>
  <r>
    <x v="16"/>
    <x v="1"/>
    <x v="0"/>
    <n v="6263286.4602000006"/>
    <x v="1"/>
  </r>
  <r>
    <x v="16"/>
    <x v="2"/>
    <x v="0"/>
    <n v="6263286.4602000006"/>
    <x v="1"/>
  </r>
  <r>
    <x v="16"/>
    <x v="3"/>
    <x v="0"/>
    <n v="6263286.4602000006"/>
    <x v="1"/>
  </r>
  <r>
    <x v="16"/>
    <x v="4"/>
    <x v="0"/>
    <n v="6263286.4602000006"/>
    <x v="1"/>
  </r>
  <r>
    <x v="16"/>
    <x v="5"/>
    <x v="0"/>
    <n v="6263286.4602000006"/>
    <x v="1"/>
  </r>
  <r>
    <x v="16"/>
    <x v="6"/>
    <x v="0"/>
    <n v="6263286.4602000006"/>
    <x v="1"/>
  </r>
  <r>
    <x v="16"/>
    <x v="7"/>
    <x v="0"/>
    <n v="6263286.4602000006"/>
    <x v="1"/>
  </r>
  <r>
    <x v="16"/>
    <x v="8"/>
    <x v="0"/>
    <n v="6263286.4602000006"/>
    <x v="1"/>
  </r>
  <r>
    <x v="16"/>
    <x v="9"/>
    <x v="0"/>
    <n v="6263286.4602000006"/>
    <x v="1"/>
  </r>
  <r>
    <x v="16"/>
    <x v="10"/>
    <x v="0"/>
    <n v="6263286.4602000006"/>
    <x v="1"/>
  </r>
  <r>
    <x v="16"/>
    <x v="11"/>
    <x v="0"/>
    <n v="6263286.4602000006"/>
    <x v="1"/>
  </r>
  <r>
    <x v="16"/>
    <x v="12"/>
    <x v="0"/>
    <n v="6263286.4602000006"/>
    <x v="1"/>
  </r>
  <r>
    <x v="16"/>
    <x v="13"/>
    <x v="0"/>
    <n v="6263286.4602000006"/>
    <x v="1"/>
  </r>
  <r>
    <x v="16"/>
    <x v="14"/>
    <x v="0"/>
    <n v="6263286.4602000006"/>
    <x v="1"/>
  </r>
  <r>
    <x v="16"/>
    <x v="15"/>
    <x v="0"/>
    <n v="6263286.4602000006"/>
    <x v="1"/>
  </r>
  <r>
    <x v="16"/>
    <x v="16"/>
    <x v="0"/>
    <n v="6263286.4602000006"/>
    <x v="1"/>
  </r>
  <r>
    <x v="16"/>
    <x v="17"/>
    <x v="0"/>
    <n v="6263286.4602000006"/>
    <x v="1"/>
  </r>
  <r>
    <x v="16"/>
    <x v="18"/>
    <x v="0"/>
    <n v="6263286.4602000006"/>
    <x v="1"/>
  </r>
  <r>
    <x v="16"/>
    <x v="19"/>
    <x v="0"/>
    <n v="6263286.4602000006"/>
    <x v="1"/>
  </r>
  <r>
    <x v="16"/>
    <x v="0"/>
    <x v="66"/>
    <n v="4120018.875"/>
    <x v="1"/>
  </r>
  <r>
    <x v="16"/>
    <x v="1"/>
    <x v="66"/>
    <n v="4120018.875"/>
    <x v="1"/>
  </r>
  <r>
    <x v="16"/>
    <x v="2"/>
    <x v="66"/>
    <n v="4120018.875"/>
    <x v="1"/>
  </r>
  <r>
    <x v="16"/>
    <x v="3"/>
    <x v="66"/>
    <n v="4120018.875"/>
    <x v="1"/>
  </r>
  <r>
    <x v="16"/>
    <x v="4"/>
    <x v="66"/>
    <n v="4120018.875"/>
    <x v="1"/>
  </r>
  <r>
    <x v="16"/>
    <x v="5"/>
    <x v="66"/>
    <n v="4120018.875"/>
    <x v="1"/>
  </r>
  <r>
    <x v="16"/>
    <x v="6"/>
    <x v="66"/>
    <n v="4120018.875"/>
    <x v="1"/>
  </r>
  <r>
    <x v="16"/>
    <x v="7"/>
    <x v="66"/>
    <n v="4120018.875"/>
    <x v="1"/>
  </r>
  <r>
    <x v="16"/>
    <x v="8"/>
    <x v="66"/>
    <n v="4120018.875"/>
    <x v="1"/>
  </r>
  <r>
    <x v="16"/>
    <x v="9"/>
    <x v="66"/>
    <n v="4120018.875"/>
    <x v="1"/>
  </r>
  <r>
    <x v="16"/>
    <x v="10"/>
    <x v="66"/>
    <n v="4120018.875"/>
    <x v="1"/>
  </r>
  <r>
    <x v="16"/>
    <x v="11"/>
    <x v="66"/>
    <n v="4120018.875"/>
    <x v="1"/>
  </r>
  <r>
    <x v="16"/>
    <x v="12"/>
    <x v="66"/>
    <n v="4120018.875"/>
    <x v="1"/>
  </r>
  <r>
    <x v="16"/>
    <x v="13"/>
    <x v="66"/>
    <n v="4120018.875"/>
    <x v="1"/>
  </r>
  <r>
    <x v="16"/>
    <x v="14"/>
    <x v="66"/>
    <n v="4120018.875"/>
    <x v="1"/>
  </r>
  <r>
    <x v="16"/>
    <x v="15"/>
    <x v="66"/>
    <n v="4120018.875"/>
    <x v="1"/>
  </r>
  <r>
    <x v="16"/>
    <x v="16"/>
    <x v="66"/>
    <n v="4120018.875"/>
    <x v="1"/>
  </r>
  <r>
    <x v="16"/>
    <x v="17"/>
    <x v="66"/>
    <n v="4120018.875"/>
    <x v="1"/>
  </r>
  <r>
    <x v="16"/>
    <x v="18"/>
    <x v="66"/>
    <n v="4120018.875"/>
    <x v="1"/>
  </r>
  <r>
    <x v="16"/>
    <x v="19"/>
    <x v="66"/>
    <n v="4120018.875"/>
    <x v="1"/>
  </r>
  <r>
    <x v="16"/>
    <x v="20"/>
    <x v="66"/>
    <n v="4120018.875"/>
    <x v="1"/>
  </r>
  <r>
    <x v="16"/>
    <x v="21"/>
    <x v="66"/>
    <n v="4120018.875"/>
    <x v="1"/>
  </r>
  <r>
    <x v="16"/>
    <x v="22"/>
    <x v="66"/>
    <n v="4120018.875"/>
    <x v="1"/>
  </r>
  <r>
    <x v="19"/>
    <x v="0"/>
    <x v="34"/>
    <n v="6549894.2250000006"/>
    <x v="1"/>
  </r>
  <r>
    <x v="19"/>
    <x v="1"/>
    <x v="34"/>
    <n v="6549894.2250000006"/>
    <x v="1"/>
  </r>
  <r>
    <x v="19"/>
    <x v="2"/>
    <x v="34"/>
    <n v="6549894.2250000006"/>
    <x v="1"/>
  </r>
  <r>
    <x v="19"/>
    <x v="3"/>
    <x v="34"/>
    <n v="6549894.2250000006"/>
    <x v="1"/>
  </r>
  <r>
    <x v="19"/>
    <x v="4"/>
    <x v="34"/>
    <n v="6549894.2250000006"/>
    <x v="1"/>
  </r>
  <r>
    <x v="19"/>
    <x v="5"/>
    <x v="34"/>
    <n v="6549894.2250000006"/>
    <x v="1"/>
  </r>
  <r>
    <x v="19"/>
    <x v="6"/>
    <x v="34"/>
    <n v="6549894.2250000006"/>
    <x v="1"/>
  </r>
  <r>
    <x v="19"/>
    <x v="7"/>
    <x v="34"/>
    <n v="6549894.2250000006"/>
    <x v="1"/>
  </r>
  <r>
    <x v="19"/>
    <x v="8"/>
    <x v="34"/>
    <n v="6549894.2250000006"/>
    <x v="1"/>
  </r>
  <r>
    <x v="19"/>
    <x v="9"/>
    <x v="34"/>
    <n v="6549894.2250000006"/>
    <x v="1"/>
  </r>
  <r>
    <x v="19"/>
    <x v="10"/>
    <x v="34"/>
    <n v="6549894.2250000006"/>
    <x v="1"/>
  </r>
  <r>
    <x v="19"/>
    <x v="11"/>
    <x v="34"/>
    <n v="6549894.2250000006"/>
    <x v="1"/>
  </r>
  <r>
    <x v="19"/>
    <x v="12"/>
    <x v="34"/>
    <n v="6549894.2250000006"/>
    <x v="1"/>
  </r>
  <r>
    <x v="19"/>
    <x v="13"/>
    <x v="34"/>
    <n v="6549894.2250000006"/>
    <x v="1"/>
  </r>
  <r>
    <x v="19"/>
    <x v="14"/>
    <x v="34"/>
    <n v="6549894.2250000006"/>
    <x v="1"/>
  </r>
  <r>
    <x v="19"/>
    <x v="15"/>
    <x v="34"/>
    <n v="6549894.2250000006"/>
    <x v="1"/>
  </r>
  <r>
    <x v="19"/>
    <x v="16"/>
    <x v="34"/>
    <n v="6549894.2250000006"/>
    <x v="1"/>
  </r>
  <r>
    <x v="19"/>
    <x v="17"/>
    <x v="34"/>
    <n v="6549894.2250000006"/>
    <x v="1"/>
  </r>
  <r>
    <x v="19"/>
    <x v="18"/>
    <x v="34"/>
    <n v="6549894.2250000006"/>
    <x v="1"/>
  </r>
  <r>
    <x v="19"/>
    <x v="0"/>
    <x v="67"/>
    <n v="3981406.9049999998"/>
    <x v="1"/>
  </r>
  <r>
    <x v="19"/>
    <x v="1"/>
    <x v="67"/>
    <n v="3981406.9049999998"/>
    <x v="1"/>
  </r>
  <r>
    <x v="19"/>
    <x v="2"/>
    <x v="67"/>
    <n v="3981406.9049999998"/>
    <x v="1"/>
  </r>
  <r>
    <x v="19"/>
    <x v="3"/>
    <x v="67"/>
    <n v="3981406.9049999998"/>
    <x v="1"/>
  </r>
  <r>
    <x v="19"/>
    <x v="4"/>
    <x v="67"/>
    <n v="3981406.9049999998"/>
    <x v="1"/>
  </r>
  <r>
    <x v="19"/>
    <x v="5"/>
    <x v="67"/>
    <n v="3981406.9049999998"/>
    <x v="1"/>
  </r>
  <r>
    <x v="19"/>
    <x v="6"/>
    <x v="67"/>
    <n v="3981406.9049999998"/>
    <x v="1"/>
  </r>
  <r>
    <x v="19"/>
    <x v="7"/>
    <x v="67"/>
    <n v="3981406.9049999998"/>
    <x v="1"/>
  </r>
  <r>
    <x v="19"/>
    <x v="8"/>
    <x v="67"/>
    <n v="3981406.9049999998"/>
    <x v="1"/>
  </r>
  <r>
    <x v="19"/>
    <x v="9"/>
    <x v="67"/>
    <n v="3981406.9049999998"/>
    <x v="1"/>
  </r>
  <r>
    <x v="19"/>
    <x v="10"/>
    <x v="67"/>
    <n v="3981406.9049999998"/>
    <x v="1"/>
  </r>
  <r>
    <x v="19"/>
    <x v="11"/>
    <x v="67"/>
    <n v="3981406.9049999998"/>
    <x v="1"/>
  </r>
  <r>
    <x v="19"/>
    <x v="12"/>
    <x v="67"/>
    <n v="3981406.9049999998"/>
    <x v="1"/>
  </r>
  <r>
    <x v="19"/>
    <x v="13"/>
    <x v="67"/>
    <n v="3981406.9049999998"/>
    <x v="1"/>
  </r>
  <r>
    <x v="19"/>
    <x v="14"/>
    <x v="67"/>
    <n v="3981406.9049999998"/>
    <x v="1"/>
  </r>
  <r>
    <x v="19"/>
    <x v="15"/>
    <x v="67"/>
    <n v="3981406.9049999998"/>
    <x v="1"/>
  </r>
  <r>
    <x v="19"/>
    <x v="16"/>
    <x v="67"/>
    <n v="3981406.9049999998"/>
    <x v="1"/>
  </r>
  <r>
    <x v="19"/>
    <x v="17"/>
    <x v="67"/>
    <n v="3981406.9049999998"/>
    <x v="1"/>
  </r>
  <r>
    <x v="19"/>
    <x v="18"/>
    <x v="67"/>
    <n v="3981406.9049999998"/>
    <x v="1"/>
  </r>
  <r>
    <x v="20"/>
    <x v="0"/>
    <x v="0"/>
    <n v="2823017.4132300001"/>
    <x v="1"/>
  </r>
  <r>
    <x v="20"/>
    <x v="1"/>
    <x v="0"/>
    <n v="2823017.4132300001"/>
    <x v="1"/>
  </r>
  <r>
    <x v="20"/>
    <x v="2"/>
    <x v="0"/>
    <n v="2823017.4132300001"/>
    <x v="1"/>
  </r>
  <r>
    <x v="20"/>
    <x v="3"/>
    <x v="0"/>
    <n v="2823017.4132300001"/>
    <x v="1"/>
  </r>
  <r>
    <x v="20"/>
    <x v="0"/>
    <x v="13"/>
    <n v="6088446"/>
    <x v="1"/>
  </r>
  <r>
    <x v="20"/>
    <x v="1"/>
    <x v="13"/>
    <n v="6088446"/>
    <x v="1"/>
  </r>
  <r>
    <x v="20"/>
    <x v="2"/>
    <x v="13"/>
    <n v="6088446"/>
    <x v="1"/>
  </r>
  <r>
    <x v="20"/>
    <x v="3"/>
    <x v="13"/>
    <n v="6088446"/>
    <x v="1"/>
  </r>
  <r>
    <x v="20"/>
    <x v="4"/>
    <x v="13"/>
    <n v="6088446"/>
    <x v="1"/>
  </r>
  <r>
    <x v="20"/>
    <x v="5"/>
    <x v="13"/>
    <n v="6088446"/>
    <x v="1"/>
  </r>
  <r>
    <x v="20"/>
    <x v="0"/>
    <x v="30"/>
    <n v="3965084.6316681607"/>
    <x v="1"/>
  </r>
  <r>
    <x v="20"/>
    <x v="1"/>
    <x v="30"/>
    <n v="3965084.6316681607"/>
    <x v="1"/>
  </r>
  <r>
    <x v="20"/>
    <x v="2"/>
    <x v="30"/>
    <n v="3965084.6316681607"/>
    <x v="1"/>
  </r>
  <r>
    <x v="20"/>
    <x v="3"/>
    <x v="30"/>
    <n v="3965084.6316681607"/>
    <x v="1"/>
  </r>
  <r>
    <x v="20"/>
    <x v="4"/>
    <x v="30"/>
    <n v="3965084.6316681607"/>
    <x v="1"/>
  </r>
  <r>
    <x v="20"/>
    <x v="0"/>
    <x v="20"/>
    <n v="3198581.6105249994"/>
    <x v="1"/>
  </r>
  <r>
    <x v="20"/>
    <x v="1"/>
    <x v="20"/>
    <n v="3198581.6105249994"/>
    <x v="1"/>
  </r>
  <r>
    <x v="20"/>
    <x v="2"/>
    <x v="20"/>
    <n v="3198581.6105249994"/>
    <x v="1"/>
  </r>
  <r>
    <x v="20"/>
    <x v="3"/>
    <x v="20"/>
    <n v="3198581.6105249994"/>
    <x v="1"/>
  </r>
  <r>
    <x v="20"/>
    <x v="0"/>
    <x v="20"/>
    <n v="3427052.1011999999"/>
    <x v="1"/>
  </r>
  <r>
    <x v="20"/>
    <x v="1"/>
    <x v="20"/>
    <n v="3427052.1011999999"/>
    <x v="1"/>
  </r>
  <r>
    <x v="21"/>
    <x v="0"/>
    <x v="1"/>
    <n v="11163096"/>
    <x v="1"/>
  </r>
  <r>
    <x v="21"/>
    <x v="1"/>
    <x v="1"/>
    <n v="11163096"/>
    <x v="1"/>
  </r>
  <r>
    <x v="21"/>
    <x v="2"/>
    <x v="1"/>
    <n v="11163096"/>
    <x v="1"/>
  </r>
  <r>
    <x v="21"/>
    <x v="3"/>
    <x v="1"/>
    <n v="11163096"/>
    <x v="1"/>
  </r>
  <r>
    <x v="21"/>
    <x v="4"/>
    <x v="1"/>
    <n v="11163096"/>
    <x v="1"/>
  </r>
  <r>
    <x v="21"/>
    <x v="5"/>
    <x v="1"/>
    <n v="11163096"/>
    <x v="1"/>
  </r>
  <r>
    <x v="21"/>
    <x v="6"/>
    <x v="1"/>
    <n v="11163096"/>
    <x v="1"/>
  </r>
  <r>
    <x v="21"/>
    <x v="7"/>
    <x v="1"/>
    <n v="11163096"/>
    <x v="1"/>
  </r>
  <r>
    <x v="21"/>
    <x v="8"/>
    <x v="1"/>
    <n v="11163096"/>
    <x v="1"/>
  </r>
  <r>
    <x v="21"/>
    <x v="9"/>
    <x v="1"/>
    <n v="11163096"/>
    <x v="1"/>
  </r>
  <r>
    <x v="21"/>
    <x v="10"/>
    <x v="1"/>
    <n v="11163096"/>
    <x v="1"/>
  </r>
  <r>
    <x v="21"/>
    <x v="11"/>
    <x v="1"/>
    <n v="11163096"/>
    <x v="1"/>
  </r>
  <r>
    <x v="21"/>
    <x v="12"/>
    <x v="1"/>
    <n v="11163096"/>
    <x v="1"/>
  </r>
  <r>
    <x v="21"/>
    <x v="13"/>
    <x v="1"/>
    <n v="11163096"/>
    <x v="1"/>
  </r>
  <r>
    <x v="21"/>
    <x v="14"/>
    <x v="1"/>
    <n v="11163096"/>
    <x v="1"/>
  </r>
  <r>
    <x v="21"/>
    <x v="0"/>
    <x v="68"/>
    <n v="6909525"/>
    <x v="1"/>
  </r>
  <r>
    <x v="21"/>
    <x v="1"/>
    <x v="68"/>
    <n v="6909525"/>
    <x v="1"/>
  </r>
  <r>
    <x v="21"/>
    <x v="2"/>
    <x v="68"/>
    <n v="6909525"/>
    <x v="1"/>
  </r>
  <r>
    <x v="21"/>
    <x v="3"/>
    <x v="68"/>
    <n v="6909525"/>
    <x v="1"/>
  </r>
  <r>
    <x v="21"/>
    <x v="4"/>
    <x v="68"/>
    <n v="6909525"/>
    <x v="1"/>
  </r>
  <r>
    <x v="21"/>
    <x v="5"/>
    <x v="68"/>
    <n v="6909525"/>
    <x v="1"/>
  </r>
  <r>
    <x v="21"/>
    <x v="6"/>
    <x v="68"/>
    <n v="6909525"/>
    <x v="1"/>
  </r>
  <r>
    <x v="21"/>
    <x v="7"/>
    <x v="68"/>
    <n v="6909525"/>
    <x v="1"/>
  </r>
  <r>
    <x v="21"/>
    <x v="8"/>
    <x v="68"/>
    <n v="6909525"/>
    <x v="1"/>
  </r>
  <r>
    <x v="21"/>
    <x v="9"/>
    <x v="68"/>
    <n v="6909525"/>
    <x v="1"/>
  </r>
  <r>
    <x v="21"/>
    <x v="10"/>
    <x v="68"/>
    <n v="6909525"/>
    <x v="1"/>
  </r>
  <r>
    <x v="21"/>
    <x v="11"/>
    <x v="68"/>
    <n v="6909525"/>
    <x v="1"/>
  </r>
  <r>
    <x v="21"/>
    <x v="0"/>
    <x v="69"/>
    <n v="6909525"/>
    <x v="1"/>
  </r>
  <r>
    <x v="21"/>
    <x v="1"/>
    <x v="69"/>
    <n v="6909525"/>
    <x v="1"/>
  </r>
  <r>
    <x v="21"/>
    <x v="2"/>
    <x v="69"/>
    <n v="6909525"/>
    <x v="1"/>
  </r>
  <r>
    <x v="21"/>
    <x v="3"/>
    <x v="69"/>
    <n v="6909525"/>
    <x v="1"/>
  </r>
  <r>
    <x v="21"/>
    <x v="4"/>
    <x v="69"/>
    <n v="6909525"/>
    <x v="1"/>
  </r>
  <r>
    <x v="21"/>
    <x v="5"/>
    <x v="69"/>
    <n v="6909525"/>
    <x v="1"/>
  </r>
  <r>
    <x v="21"/>
    <x v="6"/>
    <x v="69"/>
    <n v="6909525"/>
    <x v="1"/>
  </r>
  <r>
    <x v="21"/>
    <x v="7"/>
    <x v="69"/>
    <n v="6909525"/>
    <x v="1"/>
  </r>
  <r>
    <x v="21"/>
    <x v="8"/>
    <x v="69"/>
    <n v="6909525"/>
    <x v="1"/>
  </r>
  <r>
    <x v="21"/>
    <x v="9"/>
    <x v="69"/>
    <n v="6909525"/>
    <x v="1"/>
  </r>
  <r>
    <x v="21"/>
    <x v="0"/>
    <x v="15"/>
    <n v="5049009"/>
    <x v="1"/>
  </r>
  <r>
    <x v="21"/>
    <x v="1"/>
    <x v="15"/>
    <n v="5049009"/>
    <x v="1"/>
  </r>
  <r>
    <x v="21"/>
    <x v="2"/>
    <x v="15"/>
    <n v="5049009"/>
    <x v="1"/>
  </r>
  <r>
    <x v="21"/>
    <x v="3"/>
    <x v="15"/>
    <n v="5049009"/>
    <x v="1"/>
  </r>
  <r>
    <x v="21"/>
    <x v="4"/>
    <x v="15"/>
    <n v="5049009"/>
    <x v="1"/>
  </r>
  <r>
    <x v="21"/>
    <x v="5"/>
    <x v="15"/>
    <n v="5049009"/>
    <x v="1"/>
  </r>
  <r>
    <x v="21"/>
    <x v="6"/>
    <x v="15"/>
    <n v="5049009"/>
    <x v="1"/>
  </r>
  <r>
    <x v="21"/>
    <x v="7"/>
    <x v="15"/>
    <n v="5049009"/>
    <x v="1"/>
  </r>
  <r>
    <x v="21"/>
    <x v="8"/>
    <x v="15"/>
    <n v="5049009"/>
    <x v="1"/>
  </r>
  <r>
    <x v="21"/>
    <x v="9"/>
    <x v="15"/>
    <n v="5049009"/>
    <x v="1"/>
  </r>
  <r>
    <x v="21"/>
    <x v="10"/>
    <x v="15"/>
    <n v="5049009"/>
    <x v="1"/>
  </r>
  <r>
    <x v="21"/>
    <x v="11"/>
    <x v="15"/>
    <n v="5049009"/>
    <x v="1"/>
  </r>
  <r>
    <x v="21"/>
    <x v="12"/>
    <x v="15"/>
    <n v="5049009"/>
    <x v="1"/>
  </r>
  <r>
    <x v="21"/>
    <x v="13"/>
    <x v="15"/>
    <n v="5049009"/>
    <x v="1"/>
  </r>
  <r>
    <x v="21"/>
    <x v="14"/>
    <x v="15"/>
    <n v="5049009"/>
    <x v="1"/>
  </r>
  <r>
    <x v="21"/>
    <x v="0"/>
    <x v="70"/>
    <n v="4550175"/>
    <x v="1"/>
  </r>
  <r>
    <x v="21"/>
    <x v="1"/>
    <x v="70"/>
    <n v="4550175"/>
    <x v="1"/>
  </r>
  <r>
    <x v="21"/>
    <x v="2"/>
    <x v="70"/>
    <n v="4550175"/>
    <x v="1"/>
  </r>
  <r>
    <x v="21"/>
    <x v="3"/>
    <x v="70"/>
    <n v="4550175"/>
    <x v="1"/>
  </r>
  <r>
    <x v="21"/>
    <x v="4"/>
    <x v="70"/>
    <n v="4550175"/>
    <x v="1"/>
  </r>
  <r>
    <x v="21"/>
    <x v="5"/>
    <x v="70"/>
    <n v="4550175"/>
    <x v="1"/>
  </r>
  <r>
    <x v="21"/>
    <x v="6"/>
    <x v="70"/>
    <n v="4550175"/>
    <x v="1"/>
  </r>
  <r>
    <x v="21"/>
    <x v="7"/>
    <x v="70"/>
    <n v="4550175"/>
    <x v="1"/>
  </r>
  <r>
    <x v="21"/>
    <x v="8"/>
    <x v="70"/>
    <n v="4550175"/>
    <x v="1"/>
  </r>
  <r>
    <x v="21"/>
    <x v="9"/>
    <x v="70"/>
    <n v="4550175"/>
    <x v="1"/>
  </r>
  <r>
    <x v="21"/>
    <x v="10"/>
    <x v="70"/>
    <n v="4550175"/>
    <x v="1"/>
  </r>
  <r>
    <x v="21"/>
    <x v="11"/>
    <x v="70"/>
    <n v="4550175"/>
    <x v="1"/>
  </r>
  <r>
    <x v="21"/>
    <x v="12"/>
    <x v="70"/>
    <n v="4550175"/>
    <x v="1"/>
  </r>
  <r>
    <x v="21"/>
    <x v="13"/>
    <x v="70"/>
    <n v="4550175"/>
    <x v="1"/>
  </r>
  <r>
    <x v="21"/>
    <x v="14"/>
    <x v="70"/>
    <n v="4550175"/>
    <x v="1"/>
  </r>
  <r>
    <x v="21"/>
    <x v="0"/>
    <x v="71"/>
    <n v="9327858.75"/>
    <x v="1"/>
  </r>
  <r>
    <x v="21"/>
    <x v="1"/>
    <x v="71"/>
    <n v="9327858.75"/>
    <x v="1"/>
  </r>
  <r>
    <x v="21"/>
    <x v="2"/>
    <x v="71"/>
    <n v="9327858.75"/>
    <x v="1"/>
  </r>
  <r>
    <x v="21"/>
    <x v="3"/>
    <x v="71"/>
    <n v="9327858.75"/>
    <x v="1"/>
  </r>
  <r>
    <x v="21"/>
    <x v="4"/>
    <x v="71"/>
    <n v="9327858.75"/>
    <x v="1"/>
  </r>
  <r>
    <x v="21"/>
    <x v="5"/>
    <x v="71"/>
    <n v="9327858.75"/>
    <x v="1"/>
  </r>
  <r>
    <x v="21"/>
    <x v="6"/>
    <x v="71"/>
    <n v="9327858.75"/>
    <x v="1"/>
  </r>
  <r>
    <x v="21"/>
    <x v="7"/>
    <x v="71"/>
    <n v="9327858.75"/>
    <x v="1"/>
  </r>
  <r>
    <x v="21"/>
    <x v="0"/>
    <x v="72"/>
    <n v="9327858.75"/>
    <x v="1"/>
  </r>
  <r>
    <x v="21"/>
    <x v="1"/>
    <x v="72"/>
    <n v="9327858.75"/>
    <x v="1"/>
  </r>
  <r>
    <x v="21"/>
    <x v="0"/>
    <x v="73"/>
    <n v="4899387.3232500004"/>
    <x v="1"/>
  </r>
  <r>
    <x v="21"/>
    <x v="1"/>
    <x v="73"/>
    <n v="4899387.3232500004"/>
    <x v="1"/>
  </r>
  <r>
    <x v="21"/>
    <x v="2"/>
    <x v="73"/>
    <n v="4899387.3232500004"/>
    <x v="1"/>
  </r>
  <r>
    <x v="21"/>
    <x v="3"/>
    <x v="73"/>
    <n v="4899387.3232500004"/>
    <x v="1"/>
  </r>
  <r>
    <x v="21"/>
    <x v="4"/>
    <x v="73"/>
    <n v="4899387.3232500004"/>
    <x v="1"/>
  </r>
  <r>
    <x v="21"/>
    <x v="5"/>
    <x v="73"/>
    <n v="4899387.3232500004"/>
    <x v="1"/>
  </r>
  <r>
    <x v="21"/>
    <x v="6"/>
    <x v="73"/>
    <n v="4899387.3232500004"/>
    <x v="1"/>
  </r>
  <r>
    <x v="21"/>
    <x v="7"/>
    <x v="73"/>
    <n v="4899387.3232500004"/>
    <x v="1"/>
  </r>
  <r>
    <x v="21"/>
    <x v="8"/>
    <x v="73"/>
    <n v="4899387.3232500004"/>
    <x v="1"/>
  </r>
  <r>
    <x v="21"/>
    <x v="9"/>
    <x v="73"/>
    <n v="4899387.3232500004"/>
    <x v="1"/>
  </r>
  <r>
    <x v="21"/>
    <x v="10"/>
    <x v="73"/>
    <n v="4899387.3232500004"/>
    <x v="1"/>
  </r>
  <r>
    <x v="21"/>
    <x v="11"/>
    <x v="73"/>
    <n v="4899387.3232500004"/>
    <x v="1"/>
  </r>
  <r>
    <x v="21"/>
    <x v="0"/>
    <x v="74"/>
    <n v="4899387.3232500004"/>
    <x v="1"/>
  </r>
  <r>
    <x v="21"/>
    <x v="1"/>
    <x v="74"/>
    <n v="4899387.3232500004"/>
    <x v="1"/>
  </r>
  <r>
    <x v="21"/>
    <x v="2"/>
    <x v="74"/>
    <n v="4899387.3232500004"/>
    <x v="1"/>
  </r>
  <r>
    <x v="21"/>
    <x v="3"/>
    <x v="74"/>
    <n v="4899387.3232500004"/>
    <x v="1"/>
  </r>
  <r>
    <x v="21"/>
    <x v="4"/>
    <x v="74"/>
    <n v="4899387.3232500004"/>
    <x v="1"/>
  </r>
  <r>
    <x v="21"/>
    <x v="5"/>
    <x v="74"/>
    <n v="4899387.3232500004"/>
    <x v="1"/>
  </r>
  <r>
    <x v="21"/>
    <x v="6"/>
    <x v="74"/>
    <n v="4899387.3232500004"/>
    <x v="1"/>
  </r>
  <r>
    <x v="21"/>
    <x v="0"/>
    <x v="67"/>
    <n v="3629175.7949999999"/>
    <x v="1"/>
  </r>
  <r>
    <x v="21"/>
    <x v="1"/>
    <x v="67"/>
    <n v="3629175.7949999999"/>
    <x v="1"/>
  </r>
  <r>
    <x v="21"/>
    <x v="2"/>
    <x v="67"/>
    <n v="3629175.7949999999"/>
    <x v="1"/>
  </r>
  <r>
    <x v="21"/>
    <x v="3"/>
    <x v="67"/>
    <n v="3629175.7949999999"/>
    <x v="1"/>
  </r>
  <r>
    <x v="21"/>
    <x v="4"/>
    <x v="67"/>
    <n v="3629175.7949999999"/>
    <x v="1"/>
  </r>
  <r>
    <x v="21"/>
    <x v="5"/>
    <x v="67"/>
    <n v="3629175.7949999999"/>
    <x v="1"/>
  </r>
  <r>
    <x v="21"/>
    <x v="6"/>
    <x v="67"/>
    <n v="3629175.7949999999"/>
    <x v="1"/>
  </r>
  <r>
    <x v="21"/>
    <x v="7"/>
    <x v="67"/>
    <n v="3629175.7949999999"/>
    <x v="1"/>
  </r>
  <r>
    <x v="21"/>
    <x v="0"/>
    <x v="75"/>
    <n v="3690632.1209625001"/>
    <x v="1"/>
  </r>
  <r>
    <x v="21"/>
    <x v="1"/>
    <x v="75"/>
    <n v="3690632.1209625001"/>
    <x v="1"/>
  </r>
  <r>
    <x v="21"/>
    <x v="2"/>
    <x v="75"/>
    <n v="3690632.1209625001"/>
    <x v="1"/>
  </r>
  <r>
    <x v="21"/>
    <x v="3"/>
    <x v="75"/>
    <n v="3690632.1209625001"/>
    <x v="1"/>
  </r>
  <r>
    <x v="21"/>
    <x v="4"/>
    <x v="75"/>
    <n v="3690632.1209625001"/>
    <x v="1"/>
  </r>
  <r>
    <x v="21"/>
    <x v="5"/>
    <x v="75"/>
    <n v="3690632.1209625001"/>
    <x v="1"/>
  </r>
  <r>
    <x v="21"/>
    <x v="6"/>
    <x v="75"/>
    <n v="3690632.1209625001"/>
    <x v="1"/>
  </r>
  <r>
    <x v="21"/>
    <x v="7"/>
    <x v="75"/>
    <n v="3690632.1209625001"/>
    <x v="1"/>
  </r>
  <r>
    <x v="21"/>
    <x v="8"/>
    <x v="75"/>
    <n v="3690632.1209625001"/>
    <x v="1"/>
  </r>
  <r>
    <x v="21"/>
    <x v="9"/>
    <x v="75"/>
    <n v="3690632.1209625001"/>
    <x v="1"/>
  </r>
  <r>
    <x v="21"/>
    <x v="0"/>
    <x v="11"/>
    <n v="4935876.75"/>
    <x v="1"/>
  </r>
  <r>
    <x v="21"/>
    <x v="1"/>
    <x v="11"/>
    <n v="4935876.75"/>
    <x v="1"/>
  </r>
  <r>
    <x v="21"/>
    <x v="2"/>
    <x v="11"/>
    <n v="4935876.75"/>
    <x v="1"/>
  </r>
  <r>
    <x v="21"/>
    <x v="3"/>
    <x v="11"/>
    <n v="4935876.75"/>
    <x v="1"/>
  </r>
  <r>
    <x v="21"/>
    <x v="4"/>
    <x v="11"/>
    <n v="4935876.75"/>
    <x v="1"/>
  </r>
  <r>
    <x v="21"/>
    <x v="5"/>
    <x v="11"/>
    <n v="4935876.75"/>
    <x v="1"/>
  </r>
  <r>
    <x v="21"/>
    <x v="6"/>
    <x v="11"/>
    <n v="4935876.75"/>
    <x v="1"/>
  </r>
  <r>
    <x v="21"/>
    <x v="7"/>
    <x v="11"/>
    <n v="4935876.75"/>
    <x v="1"/>
  </r>
  <r>
    <x v="14"/>
    <x v="0"/>
    <x v="11"/>
    <n v="3771772.7985"/>
    <x v="1"/>
  </r>
  <r>
    <x v="14"/>
    <x v="1"/>
    <x v="11"/>
    <n v="3771772.7985"/>
    <x v="1"/>
  </r>
  <r>
    <x v="14"/>
    <x v="2"/>
    <x v="11"/>
    <n v="3771772.7985"/>
    <x v="1"/>
  </r>
  <r>
    <x v="14"/>
    <x v="3"/>
    <x v="11"/>
    <n v="3771772.7985"/>
    <x v="1"/>
  </r>
  <r>
    <x v="14"/>
    <x v="4"/>
    <x v="11"/>
    <n v="3771772.7985"/>
    <x v="1"/>
  </r>
  <r>
    <x v="14"/>
    <x v="5"/>
    <x v="11"/>
    <n v="3771772.7985"/>
    <x v="1"/>
  </r>
  <r>
    <x v="14"/>
    <x v="6"/>
    <x v="11"/>
    <n v="3771772.7985"/>
    <x v="1"/>
  </r>
  <r>
    <x v="14"/>
    <x v="7"/>
    <x v="11"/>
    <n v="3771772.7985"/>
    <x v="1"/>
  </r>
  <r>
    <x v="14"/>
    <x v="8"/>
    <x v="11"/>
    <n v="3771772.7985"/>
    <x v="1"/>
  </r>
  <r>
    <x v="14"/>
    <x v="9"/>
    <x v="11"/>
    <n v="3771772.7985"/>
    <x v="1"/>
  </r>
  <r>
    <x v="14"/>
    <x v="10"/>
    <x v="11"/>
    <n v="3771772.7985"/>
    <x v="1"/>
  </r>
  <r>
    <x v="14"/>
    <x v="11"/>
    <x v="11"/>
    <n v="3771772.7985"/>
    <x v="1"/>
  </r>
  <r>
    <x v="14"/>
    <x v="12"/>
    <x v="11"/>
    <n v="3771772.7985"/>
    <x v="1"/>
  </r>
  <r>
    <x v="14"/>
    <x v="13"/>
    <x v="11"/>
    <n v="3771772.7985"/>
    <x v="1"/>
  </r>
  <r>
    <x v="14"/>
    <x v="14"/>
    <x v="11"/>
    <n v="3771772.7985"/>
    <x v="1"/>
  </r>
  <r>
    <x v="14"/>
    <x v="15"/>
    <x v="11"/>
    <n v="3771772.7985"/>
    <x v="1"/>
  </r>
  <r>
    <x v="14"/>
    <x v="16"/>
    <x v="11"/>
    <n v="3771772.7985"/>
    <x v="1"/>
  </r>
  <r>
    <x v="14"/>
    <x v="17"/>
    <x v="11"/>
    <n v="3771772.7985"/>
    <x v="1"/>
  </r>
  <r>
    <x v="14"/>
    <x v="18"/>
    <x v="11"/>
    <n v="3771772.7985"/>
    <x v="1"/>
  </r>
  <r>
    <x v="14"/>
    <x v="19"/>
    <x v="11"/>
    <n v="3771772.7985"/>
    <x v="1"/>
  </r>
  <r>
    <x v="14"/>
    <x v="20"/>
    <x v="11"/>
    <n v="3771772.7985"/>
    <x v="1"/>
  </r>
  <r>
    <x v="14"/>
    <x v="21"/>
    <x v="11"/>
    <n v="3771772.7985"/>
    <x v="1"/>
  </r>
  <r>
    <x v="14"/>
    <x v="22"/>
    <x v="11"/>
    <n v="3771772.7985"/>
    <x v="1"/>
  </r>
  <r>
    <x v="14"/>
    <x v="23"/>
    <x v="11"/>
    <n v="3771772.7985"/>
    <x v="1"/>
  </r>
  <r>
    <x v="14"/>
    <x v="24"/>
    <x v="11"/>
    <n v="3771772.7985"/>
    <x v="1"/>
  </r>
  <r>
    <x v="11"/>
    <x v="0"/>
    <x v="76"/>
    <n v="6004530"/>
    <x v="1"/>
  </r>
  <r>
    <x v="11"/>
    <x v="1"/>
    <x v="76"/>
    <n v="6004530"/>
    <x v="1"/>
  </r>
  <r>
    <x v="11"/>
    <x v="2"/>
    <x v="76"/>
    <n v="6004530"/>
    <x v="1"/>
  </r>
  <r>
    <x v="11"/>
    <x v="3"/>
    <x v="76"/>
    <n v="6004530"/>
    <x v="1"/>
  </r>
  <r>
    <x v="11"/>
    <x v="4"/>
    <x v="76"/>
    <n v="6004530"/>
    <x v="1"/>
  </r>
  <r>
    <x v="11"/>
    <x v="5"/>
    <x v="76"/>
    <n v="6004530"/>
    <x v="1"/>
  </r>
  <r>
    <x v="11"/>
    <x v="6"/>
    <x v="76"/>
    <n v="6004530"/>
    <x v="1"/>
  </r>
  <r>
    <x v="11"/>
    <x v="7"/>
    <x v="76"/>
    <n v="6004530"/>
    <x v="1"/>
  </r>
  <r>
    <x v="11"/>
    <x v="8"/>
    <x v="76"/>
    <n v="6004530"/>
    <x v="1"/>
  </r>
  <r>
    <x v="11"/>
    <x v="9"/>
    <x v="76"/>
    <n v="6004530"/>
    <x v="1"/>
  </r>
  <r>
    <x v="11"/>
    <x v="10"/>
    <x v="76"/>
    <n v="6004530"/>
    <x v="1"/>
  </r>
  <r>
    <x v="11"/>
    <x v="11"/>
    <x v="76"/>
    <n v="6004530"/>
    <x v="1"/>
  </r>
  <r>
    <x v="11"/>
    <x v="12"/>
    <x v="76"/>
    <n v="6004530"/>
    <x v="1"/>
  </r>
  <r>
    <x v="11"/>
    <x v="13"/>
    <x v="76"/>
    <n v="6004530"/>
    <x v="1"/>
  </r>
  <r>
    <x v="11"/>
    <x v="14"/>
    <x v="76"/>
    <n v="6004530"/>
    <x v="1"/>
  </r>
  <r>
    <x v="10"/>
    <x v="0"/>
    <x v="5"/>
    <n v="380362.5"/>
    <x v="1"/>
  </r>
  <r>
    <x v="10"/>
    <x v="1"/>
    <x v="5"/>
    <n v="380362.5"/>
    <x v="1"/>
  </r>
  <r>
    <x v="10"/>
    <x v="2"/>
    <x v="5"/>
    <n v="380362.5"/>
    <x v="1"/>
  </r>
  <r>
    <x v="10"/>
    <x v="3"/>
    <x v="5"/>
    <n v="380362.5"/>
    <x v="1"/>
  </r>
  <r>
    <x v="10"/>
    <x v="4"/>
    <x v="5"/>
    <n v="380362.5"/>
    <x v="1"/>
  </r>
  <r>
    <x v="10"/>
    <x v="5"/>
    <x v="5"/>
    <n v="380362.5"/>
    <x v="1"/>
  </r>
  <r>
    <x v="10"/>
    <x v="6"/>
    <x v="5"/>
    <n v="380362.5"/>
    <x v="1"/>
  </r>
  <r>
    <x v="10"/>
    <x v="7"/>
    <x v="5"/>
    <n v="380362.5"/>
    <x v="1"/>
  </r>
  <r>
    <x v="22"/>
    <x v="0"/>
    <x v="77"/>
    <n v="7324096.5"/>
    <x v="1"/>
  </r>
  <r>
    <x v="22"/>
    <x v="0"/>
    <x v="30"/>
    <n v="2504250"/>
    <x v="1"/>
  </r>
  <r>
    <x v="22"/>
    <x v="0"/>
    <x v="11"/>
    <n v="4165803.1799999997"/>
    <x v="1"/>
  </r>
  <r>
    <x v="22"/>
    <x v="0"/>
    <x v="14"/>
    <n v="4165803.1799999997"/>
    <x v="1"/>
  </r>
  <r>
    <x v="23"/>
    <x v="0"/>
    <x v="0"/>
    <n v="6085367.1464827517"/>
    <x v="1"/>
  </r>
  <r>
    <x v="23"/>
    <x v="1"/>
    <x v="0"/>
    <n v="6085367.1464827517"/>
    <x v="1"/>
  </r>
  <r>
    <x v="23"/>
    <x v="2"/>
    <x v="0"/>
    <n v="6085367.1464827517"/>
    <x v="1"/>
  </r>
  <r>
    <x v="23"/>
    <x v="3"/>
    <x v="0"/>
    <n v="6085367.1464827517"/>
    <x v="1"/>
  </r>
  <r>
    <x v="23"/>
    <x v="4"/>
    <x v="0"/>
    <n v="6085367.1464827517"/>
    <x v="1"/>
  </r>
  <r>
    <x v="23"/>
    <x v="5"/>
    <x v="0"/>
    <n v="6085367.1464827517"/>
    <x v="1"/>
  </r>
  <r>
    <x v="23"/>
    <x v="0"/>
    <x v="1"/>
    <n v="11269198.072125001"/>
    <x v="1"/>
  </r>
  <r>
    <x v="23"/>
    <x v="1"/>
    <x v="1"/>
    <n v="11269198.072125001"/>
    <x v="1"/>
  </r>
  <r>
    <x v="23"/>
    <x v="2"/>
    <x v="1"/>
    <n v="11269198.072125001"/>
    <x v="1"/>
  </r>
  <r>
    <x v="23"/>
    <x v="3"/>
    <x v="1"/>
    <n v="11269198.072125001"/>
    <x v="1"/>
  </r>
  <r>
    <x v="23"/>
    <x v="4"/>
    <x v="1"/>
    <n v="11269198.072125001"/>
    <x v="1"/>
  </r>
  <r>
    <x v="23"/>
    <x v="5"/>
    <x v="1"/>
    <n v="11269198.072125001"/>
    <x v="1"/>
  </r>
  <r>
    <x v="23"/>
    <x v="0"/>
    <x v="78"/>
    <n v="960135.74937000009"/>
    <x v="1"/>
  </r>
  <r>
    <x v="23"/>
    <x v="1"/>
    <x v="78"/>
    <n v="960135.74937000009"/>
    <x v="1"/>
  </r>
  <r>
    <x v="23"/>
    <x v="2"/>
    <x v="78"/>
    <n v="960135.74937000009"/>
    <x v="1"/>
  </r>
  <r>
    <x v="23"/>
    <x v="3"/>
    <x v="78"/>
    <n v="960135.74937000009"/>
    <x v="1"/>
  </r>
  <r>
    <x v="23"/>
    <x v="4"/>
    <x v="78"/>
    <n v="960135.74937000009"/>
    <x v="1"/>
  </r>
  <r>
    <x v="23"/>
    <x v="5"/>
    <x v="78"/>
    <n v="960135.74937000009"/>
    <x v="1"/>
  </r>
  <r>
    <x v="24"/>
    <x v="0"/>
    <x v="0"/>
    <n v="3685661.2115662512"/>
    <x v="1"/>
  </r>
  <r>
    <x v="24"/>
    <x v="1"/>
    <x v="0"/>
    <n v="3685661.2115662512"/>
    <x v="1"/>
  </r>
  <r>
    <x v="24"/>
    <x v="2"/>
    <x v="0"/>
    <n v="3685661.2115662512"/>
    <x v="1"/>
  </r>
  <r>
    <x v="24"/>
    <x v="3"/>
    <x v="0"/>
    <n v="3685661.2115662512"/>
    <x v="1"/>
  </r>
  <r>
    <x v="24"/>
    <x v="4"/>
    <x v="0"/>
    <n v="3685661.2115662512"/>
    <x v="1"/>
  </r>
  <r>
    <x v="24"/>
    <x v="5"/>
    <x v="0"/>
    <n v="3685661.2115662512"/>
    <x v="1"/>
  </r>
  <r>
    <x v="24"/>
    <x v="6"/>
    <x v="0"/>
    <n v="3685661.2115662512"/>
    <x v="1"/>
  </r>
  <r>
    <x v="24"/>
    <x v="0"/>
    <x v="1"/>
    <n v="11787098.370468752"/>
    <x v="1"/>
  </r>
  <r>
    <x v="24"/>
    <x v="1"/>
    <x v="1"/>
    <n v="11787098.370468752"/>
    <x v="1"/>
  </r>
  <r>
    <x v="24"/>
    <x v="2"/>
    <x v="1"/>
    <n v="11787098.370468752"/>
    <x v="1"/>
  </r>
  <r>
    <x v="24"/>
    <x v="3"/>
    <x v="1"/>
    <n v="11787098.370468752"/>
    <x v="1"/>
  </r>
  <r>
    <x v="24"/>
    <x v="4"/>
    <x v="1"/>
    <n v="11787098.370468752"/>
    <x v="1"/>
  </r>
  <r>
    <x v="24"/>
    <x v="5"/>
    <x v="1"/>
    <n v="11787098.370468752"/>
    <x v="1"/>
  </r>
  <r>
    <x v="24"/>
    <x v="6"/>
    <x v="1"/>
    <n v="11787098.370468752"/>
    <x v="1"/>
  </r>
  <r>
    <x v="24"/>
    <x v="0"/>
    <x v="3"/>
    <n v="9796099.1329687536"/>
    <x v="1"/>
  </r>
  <r>
    <x v="24"/>
    <x v="1"/>
    <x v="3"/>
    <n v="9796099.1329687536"/>
    <x v="1"/>
  </r>
  <r>
    <x v="24"/>
    <x v="2"/>
    <x v="3"/>
    <n v="9796099.1329687536"/>
    <x v="1"/>
  </r>
  <r>
    <x v="24"/>
    <x v="3"/>
    <x v="3"/>
    <n v="9796099.1329687536"/>
    <x v="1"/>
  </r>
  <r>
    <x v="24"/>
    <x v="4"/>
    <x v="3"/>
    <n v="9796099.1329687536"/>
    <x v="1"/>
  </r>
  <r>
    <x v="24"/>
    <x v="0"/>
    <x v="79"/>
    <n v="8143952.6503125019"/>
    <x v="1"/>
  </r>
  <r>
    <x v="24"/>
    <x v="0"/>
    <x v="80"/>
    <n v="8143952.6503125019"/>
    <x v="1"/>
  </r>
  <r>
    <x v="24"/>
    <x v="1"/>
    <x v="80"/>
    <n v="8143952.6503125019"/>
    <x v="1"/>
  </r>
  <r>
    <x v="24"/>
    <x v="2"/>
    <x v="80"/>
    <n v="8143952.6503125019"/>
    <x v="1"/>
  </r>
  <r>
    <x v="24"/>
    <x v="3"/>
    <x v="80"/>
    <n v="8143952.6503125019"/>
    <x v="1"/>
  </r>
  <r>
    <x v="24"/>
    <x v="4"/>
    <x v="80"/>
    <n v="8143952.6503125019"/>
    <x v="1"/>
  </r>
  <r>
    <x v="24"/>
    <x v="0"/>
    <x v="81"/>
    <n v="6891920.4375000019"/>
    <x v="1"/>
  </r>
  <r>
    <x v="24"/>
    <x v="1"/>
    <x v="81"/>
    <n v="6891920.4375000019"/>
    <x v="1"/>
  </r>
  <r>
    <x v="24"/>
    <x v="2"/>
    <x v="81"/>
    <n v="6891920.4375000019"/>
    <x v="1"/>
  </r>
  <r>
    <x v="24"/>
    <x v="3"/>
    <x v="81"/>
    <n v="6891920.4375000019"/>
    <x v="1"/>
  </r>
  <r>
    <x v="24"/>
    <x v="4"/>
    <x v="81"/>
    <n v="6891920.4375000019"/>
    <x v="1"/>
  </r>
  <r>
    <x v="24"/>
    <x v="0"/>
    <x v="30"/>
    <n v="3882448.513125001"/>
    <x v="1"/>
  </r>
  <r>
    <x v="24"/>
    <x v="1"/>
    <x v="30"/>
    <n v="3882448.513125001"/>
    <x v="1"/>
  </r>
  <r>
    <x v="24"/>
    <x v="2"/>
    <x v="30"/>
    <n v="3882448.513125001"/>
    <x v="1"/>
  </r>
  <r>
    <x v="24"/>
    <x v="3"/>
    <x v="30"/>
    <n v="3882448.513125001"/>
    <x v="1"/>
  </r>
  <r>
    <x v="24"/>
    <x v="4"/>
    <x v="30"/>
    <n v="3882448.513125001"/>
    <x v="1"/>
  </r>
  <r>
    <x v="24"/>
    <x v="5"/>
    <x v="30"/>
    <n v="3882448.513125001"/>
    <x v="1"/>
  </r>
  <r>
    <x v="24"/>
    <x v="6"/>
    <x v="30"/>
    <n v="3882448.513125001"/>
    <x v="1"/>
  </r>
  <r>
    <x v="24"/>
    <x v="0"/>
    <x v="30"/>
    <n v="3882448.513125001"/>
    <x v="1"/>
  </r>
  <r>
    <x v="24"/>
    <x v="1"/>
    <x v="30"/>
    <n v="3882448.513125001"/>
    <x v="1"/>
  </r>
  <r>
    <x v="24"/>
    <x v="2"/>
    <x v="30"/>
    <n v="3882448.513125001"/>
    <x v="1"/>
  </r>
  <r>
    <x v="24"/>
    <x v="3"/>
    <x v="30"/>
    <n v="3882448.513125001"/>
    <x v="1"/>
  </r>
  <r>
    <x v="24"/>
    <x v="4"/>
    <x v="30"/>
    <n v="3882448.513125001"/>
    <x v="1"/>
  </r>
  <r>
    <x v="24"/>
    <x v="5"/>
    <x v="30"/>
    <n v="3882448.513125001"/>
    <x v="1"/>
  </r>
  <r>
    <x v="24"/>
    <x v="6"/>
    <x v="30"/>
    <n v="3882448.513125001"/>
    <x v="1"/>
  </r>
  <r>
    <x v="24"/>
    <x v="0"/>
    <x v="82"/>
    <n v="3802042.7746875011"/>
    <x v="1"/>
  </r>
  <r>
    <x v="24"/>
    <x v="0"/>
    <x v="83"/>
    <n v="3802042.7746875011"/>
    <x v="1"/>
  </r>
  <r>
    <x v="24"/>
    <x v="0"/>
    <x v="84"/>
    <n v="6769397.4075000016"/>
    <x v="1"/>
  </r>
  <r>
    <x v="24"/>
    <x v="1"/>
    <x v="84"/>
    <n v="6769397.4075000016"/>
    <x v="1"/>
  </r>
  <r>
    <x v="24"/>
    <x v="2"/>
    <x v="84"/>
    <n v="6769397.4075000016"/>
    <x v="1"/>
  </r>
  <r>
    <x v="24"/>
    <x v="0"/>
    <x v="85"/>
    <n v="3802042.7746875011"/>
    <x v="1"/>
  </r>
  <r>
    <x v="24"/>
    <x v="1"/>
    <x v="85"/>
    <n v="3802042.7746875011"/>
    <x v="1"/>
  </r>
  <r>
    <x v="24"/>
    <x v="2"/>
    <x v="85"/>
    <n v="3802042.7746875011"/>
    <x v="1"/>
  </r>
  <r>
    <x v="24"/>
    <x v="3"/>
    <x v="85"/>
    <n v="3802042.7746875011"/>
    <x v="1"/>
  </r>
  <r>
    <x v="24"/>
    <x v="4"/>
    <x v="85"/>
    <n v="3802042.7746875011"/>
    <x v="1"/>
  </r>
  <r>
    <x v="24"/>
    <x v="0"/>
    <x v="86"/>
    <n v="3802042.7746875011"/>
    <x v="1"/>
  </r>
  <r>
    <x v="24"/>
    <x v="1"/>
    <x v="86"/>
    <n v="3802042.7746875011"/>
    <x v="1"/>
  </r>
  <r>
    <x v="24"/>
    <x v="2"/>
    <x v="86"/>
    <n v="3802042.7746875011"/>
    <x v="1"/>
  </r>
  <r>
    <x v="24"/>
    <x v="3"/>
    <x v="86"/>
    <n v="3802042.7746875011"/>
    <x v="1"/>
  </r>
  <r>
    <x v="24"/>
    <x v="4"/>
    <x v="86"/>
    <n v="3802042.7746875011"/>
    <x v="1"/>
  </r>
  <r>
    <x v="24"/>
    <x v="0"/>
    <x v="87"/>
    <n v="6891920.4375000019"/>
    <x v="1"/>
  </r>
  <r>
    <x v="24"/>
    <x v="1"/>
    <x v="87"/>
    <n v="6891920.4375000019"/>
    <x v="1"/>
  </r>
  <r>
    <x v="24"/>
    <x v="2"/>
    <x v="87"/>
    <n v="6891920.4375000019"/>
    <x v="1"/>
  </r>
  <r>
    <x v="24"/>
    <x v="3"/>
    <x v="87"/>
    <n v="6891920.4375000019"/>
    <x v="1"/>
  </r>
  <r>
    <x v="24"/>
    <x v="4"/>
    <x v="87"/>
    <n v="6891920.4375000019"/>
    <x v="1"/>
  </r>
  <r>
    <x v="24"/>
    <x v="0"/>
    <x v="88"/>
    <n v="3802042.7746875011"/>
    <x v="1"/>
  </r>
  <r>
    <x v="24"/>
    <x v="1"/>
    <x v="88"/>
    <n v="3802042.7746875011"/>
    <x v="1"/>
  </r>
  <r>
    <x v="24"/>
    <x v="2"/>
    <x v="88"/>
    <n v="3802042.7746875011"/>
    <x v="1"/>
  </r>
  <r>
    <x v="24"/>
    <x v="3"/>
    <x v="88"/>
    <n v="3802042.7746875011"/>
    <x v="1"/>
  </r>
  <r>
    <x v="24"/>
    <x v="4"/>
    <x v="88"/>
    <n v="3802042.7746875011"/>
    <x v="1"/>
  </r>
  <r>
    <x v="25"/>
    <x v="0"/>
    <x v="89"/>
    <n v="26786251"/>
    <x v="1"/>
  </r>
  <r>
    <x v="25"/>
    <x v="1"/>
    <x v="89"/>
    <n v="26786251"/>
    <x v="1"/>
  </r>
  <r>
    <x v="25"/>
    <x v="2"/>
    <x v="89"/>
    <n v="26786251"/>
    <x v="1"/>
  </r>
  <r>
    <x v="25"/>
    <x v="0"/>
    <x v="90"/>
    <n v="15218233.5"/>
    <x v="1"/>
  </r>
  <r>
    <x v="25"/>
    <x v="0"/>
    <x v="91"/>
    <n v="6015462"/>
    <x v="1"/>
  </r>
  <r>
    <x v="25"/>
    <x v="0"/>
    <x v="92"/>
    <n v="4757001"/>
    <x v="1"/>
  </r>
  <r>
    <x v="25"/>
    <x v="1"/>
    <x v="92"/>
    <n v="4757001"/>
    <x v="1"/>
  </r>
  <r>
    <x v="25"/>
    <x v="2"/>
    <x v="92"/>
    <n v="4757001"/>
    <x v="1"/>
  </r>
  <r>
    <x v="25"/>
    <x v="3"/>
    <x v="92"/>
    <n v="4757001"/>
    <x v="1"/>
  </r>
  <r>
    <x v="25"/>
    <x v="4"/>
    <x v="92"/>
    <n v="4757001"/>
    <x v="1"/>
  </r>
  <r>
    <x v="25"/>
    <x v="5"/>
    <x v="92"/>
    <n v="4757001"/>
    <x v="1"/>
  </r>
  <r>
    <x v="25"/>
    <x v="6"/>
    <x v="92"/>
    <n v="4757001"/>
    <x v="1"/>
  </r>
  <r>
    <x v="25"/>
    <x v="7"/>
    <x v="92"/>
    <n v="4757001"/>
    <x v="1"/>
  </r>
  <r>
    <x v="25"/>
    <x v="8"/>
    <x v="92"/>
    <n v="4757001"/>
    <x v="1"/>
  </r>
  <r>
    <x v="25"/>
    <x v="9"/>
    <x v="92"/>
    <n v="4757001"/>
    <x v="1"/>
  </r>
  <r>
    <x v="25"/>
    <x v="10"/>
    <x v="92"/>
    <n v="4757001"/>
    <x v="1"/>
  </r>
  <r>
    <x v="25"/>
    <x v="11"/>
    <x v="92"/>
    <n v="4757001"/>
    <x v="1"/>
  </r>
  <r>
    <x v="25"/>
    <x v="12"/>
    <x v="92"/>
    <n v="4757001"/>
    <x v="1"/>
  </r>
  <r>
    <x v="25"/>
    <x v="13"/>
    <x v="92"/>
    <n v="4757001"/>
    <x v="1"/>
  </r>
  <r>
    <x v="25"/>
    <x v="14"/>
    <x v="92"/>
    <n v="4757001"/>
    <x v="1"/>
  </r>
  <r>
    <x v="25"/>
    <x v="15"/>
    <x v="92"/>
    <n v="4757001"/>
    <x v="1"/>
  </r>
  <r>
    <x v="25"/>
    <x v="16"/>
    <x v="92"/>
    <n v="4757001"/>
    <x v="1"/>
  </r>
  <r>
    <x v="25"/>
    <x v="17"/>
    <x v="92"/>
    <n v="4757001"/>
    <x v="1"/>
  </r>
  <r>
    <x v="25"/>
    <x v="18"/>
    <x v="92"/>
    <n v="4757001"/>
    <x v="1"/>
  </r>
  <r>
    <x v="25"/>
    <x v="19"/>
    <x v="92"/>
    <n v="4757001"/>
    <x v="1"/>
  </r>
  <r>
    <x v="25"/>
    <x v="20"/>
    <x v="92"/>
    <n v="4757001"/>
    <x v="1"/>
  </r>
  <r>
    <x v="25"/>
    <x v="21"/>
    <x v="92"/>
    <n v="4757001"/>
    <x v="1"/>
  </r>
  <r>
    <x v="25"/>
    <x v="22"/>
    <x v="92"/>
    <n v="4757001"/>
    <x v="1"/>
  </r>
  <r>
    <x v="25"/>
    <x v="23"/>
    <x v="92"/>
    <n v="4757001"/>
    <x v="1"/>
  </r>
  <r>
    <x v="25"/>
    <x v="24"/>
    <x v="92"/>
    <n v="4757001"/>
    <x v="1"/>
  </r>
  <r>
    <x v="25"/>
    <x v="25"/>
    <x v="92"/>
    <n v="4757001"/>
    <x v="1"/>
  </r>
  <r>
    <x v="25"/>
    <x v="26"/>
    <x v="92"/>
    <n v="4757001"/>
    <x v="1"/>
  </r>
  <r>
    <x v="25"/>
    <x v="27"/>
    <x v="92"/>
    <n v="4757001"/>
    <x v="1"/>
  </r>
  <r>
    <x v="25"/>
    <x v="28"/>
    <x v="92"/>
    <n v="4757001"/>
    <x v="1"/>
  </r>
  <r>
    <x v="25"/>
    <x v="29"/>
    <x v="92"/>
    <n v="4757001"/>
    <x v="1"/>
  </r>
  <r>
    <x v="25"/>
    <x v="30"/>
    <x v="92"/>
    <n v="4757001"/>
    <x v="1"/>
  </r>
  <r>
    <x v="25"/>
    <x v="31"/>
    <x v="92"/>
    <n v="4757001"/>
    <x v="1"/>
  </r>
  <r>
    <x v="25"/>
    <x v="32"/>
    <x v="92"/>
    <n v="4757001"/>
    <x v="1"/>
  </r>
  <r>
    <x v="25"/>
    <x v="33"/>
    <x v="92"/>
    <n v="4757001"/>
    <x v="1"/>
  </r>
  <r>
    <x v="25"/>
    <x v="0"/>
    <x v="93"/>
    <n v="6199545"/>
    <x v="1"/>
  </r>
  <r>
    <x v="25"/>
    <x v="1"/>
    <x v="93"/>
    <n v="6199545"/>
    <x v="1"/>
  </r>
  <r>
    <x v="25"/>
    <x v="2"/>
    <x v="93"/>
    <n v="6199545"/>
    <x v="1"/>
  </r>
  <r>
    <x v="25"/>
    <x v="3"/>
    <x v="93"/>
    <n v="6199545"/>
    <x v="1"/>
  </r>
  <r>
    <x v="25"/>
    <x v="4"/>
    <x v="93"/>
    <n v="6199545"/>
    <x v="1"/>
  </r>
  <r>
    <x v="25"/>
    <x v="5"/>
    <x v="93"/>
    <n v="6199545"/>
    <x v="1"/>
  </r>
  <r>
    <x v="25"/>
    <x v="6"/>
    <x v="93"/>
    <n v="6199545"/>
    <x v="1"/>
  </r>
  <r>
    <x v="25"/>
    <x v="7"/>
    <x v="93"/>
    <n v="6199545"/>
    <x v="1"/>
  </r>
  <r>
    <x v="25"/>
    <x v="8"/>
    <x v="93"/>
    <n v="6199545"/>
    <x v="1"/>
  </r>
  <r>
    <x v="25"/>
    <x v="9"/>
    <x v="93"/>
    <n v="6199545"/>
    <x v="1"/>
  </r>
  <r>
    <x v="25"/>
    <x v="10"/>
    <x v="93"/>
    <n v="6199545"/>
    <x v="1"/>
  </r>
  <r>
    <x v="25"/>
    <x v="11"/>
    <x v="93"/>
    <n v="6199545"/>
    <x v="1"/>
  </r>
  <r>
    <x v="25"/>
    <x v="12"/>
    <x v="93"/>
    <n v="6199545"/>
    <x v="1"/>
  </r>
  <r>
    <x v="25"/>
    <x v="13"/>
    <x v="93"/>
    <n v="6199545"/>
    <x v="1"/>
  </r>
  <r>
    <x v="25"/>
    <x v="14"/>
    <x v="93"/>
    <n v="6199545"/>
    <x v="1"/>
  </r>
  <r>
    <x v="25"/>
    <x v="15"/>
    <x v="93"/>
    <n v="6199545"/>
    <x v="1"/>
  </r>
  <r>
    <x v="25"/>
    <x v="16"/>
    <x v="93"/>
    <n v="6199545"/>
    <x v="1"/>
  </r>
  <r>
    <x v="25"/>
    <x v="17"/>
    <x v="93"/>
    <n v="6199545"/>
    <x v="1"/>
  </r>
  <r>
    <x v="25"/>
    <x v="18"/>
    <x v="93"/>
    <n v="6199545"/>
    <x v="1"/>
  </r>
  <r>
    <x v="25"/>
    <x v="19"/>
    <x v="93"/>
    <n v="6199545"/>
    <x v="1"/>
  </r>
  <r>
    <x v="25"/>
    <x v="20"/>
    <x v="93"/>
    <n v="6199545"/>
    <x v="1"/>
  </r>
  <r>
    <x v="25"/>
    <x v="21"/>
    <x v="93"/>
    <n v="6199545"/>
    <x v="1"/>
  </r>
  <r>
    <x v="25"/>
    <x v="22"/>
    <x v="93"/>
    <n v="6199545"/>
    <x v="1"/>
  </r>
  <r>
    <x v="25"/>
    <x v="23"/>
    <x v="93"/>
    <n v="6199545"/>
    <x v="1"/>
  </r>
  <r>
    <x v="25"/>
    <x v="24"/>
    <x v="93"/>
    <n v="6199545"/>
    <x v="1"/>
  </r>
  <r>
    <x v="25"/>
    <x v="25"/>
    <x v="93"/>
    <n v="6199545"/>
    <x v="1"/>
  </r>
  <r>
    <x v="25"/>
    <x v="26"/>
    <x v="93"/>
    <n v="6199545"/>
    <x v="1"/>
  </r>
  <r>
    <x v="25"/>
    <x v="27"/>
    <x v="93"/>
    <n v="6199545"/>
    <x v="1"/>
  </r>
  <r>
    <x v="25"/>
    <x v="28"/>
    <x v="93"/>
    <n v="6199545"/>
    <x v="1"/>
  </r>
  <r>
    <x v="25"/>
    <x v="29"/>
    <x v="93"/>
    <n v="6199545"/>
    <x v="1"/>
  </r>
  <r>
    <x v="25"/>
    <x v="30"/>
    <x v="93"/>
    <n v="6199545"/>
    <x v="1"/>
  </r>
  <r>
    <x v="25"/>
    <x v="31"/>
    <x v="93"/>
    <n v="6199545"/>
    <x v="1"/>
  </r>
  <r>
    <x v="25"/>
    <x v="32"/>
    <x v="93"/>
    <n v="6199545"/>
    <x v="1"/>
  </r>
  <r>
    <x v="25"/>
    <x v="33"/>
    <x v="93"/>
    <n v="6199545"/>
    <x v="1"/>
  </r>
  <r>
    <x v="25"/>
    <x v="0"/>
    <x v="94"/>
    <n v="6239898"/>
    <x v="1"/>
  </r>
  <r>
    <x v="25"/>
    <x v="1"/>
    <x v="94"/>
    <n v="6239898"/>
    <x v="1"/>
  </r>
  <r>
    <x v="25"/>
    <x v="2"/>
    <x v="94"/>
    <n v="6239898"/>
    <x v="1"/>
  </r>
  <r>
    <x v="25"/>
    <x v="3"/>
    <x v="94"/>
    <n v="6239898"/>
    <x v="1"/>
  </r>
  <r>
    <x v="25"/>
    <x v="4"/>
    <x v="94"/>
    <n v="6239898"/>
    <x v="1"/>
  </r>
  <r>
    <x v="25"/>
    <x v="5"/>
    <x v="94"/>
    <n v="6239898"/>
    <x v="1"/>
  </r>
  <r>
    <x v="25"/>
    <x v="6"/>
    <x v="94"/>
    <n v="6239898"/>
    <x v="1"/>
  </r>
  <r>
    <x v="25"/>
    <x v="7"/>
    <x v="94"/>
    <n v="6239898"/>
    <x v="1"/>
  </r>
  <r>
    <x v="25"/>
    <x v="0"/>
    <x v="95"/>
    <n v="7453077"/>
    <x v="1"/>
  </r>
  <r>
    <x v="25"/>
    <x v="1"/>
    <x v="95"/>
    <n v="7453077"/>
    <x v="1"/>
  </r>
  <r>
    <x v="25"/>
    <x v="2"/>
    <x v="95"/>
    <n v="7453077"/>
    <x v="1"/>
  </r>
  <r>
    <x v="25"/>
    <x v="3"/>
    <x v="95"/>
    <n v="7453077"/>
    <x v="1"/>
  </r>
  <r>
    <x v="25"/>
    <x v="4"/>
    <x v="95"/>
    <n v="7453077"/>
    <x v="1"/>
  </r>
  <r>
    <x v="25"/>
    <x v="5"/>
    <x v="95"/>
    <n v="7453077"/>
    <x v="1"/>
  </r>
  <r>
    <x v="25"/>
    <x v="6"/>
    <x v="95"/>
    <n v="7453077"/>
    <x v="1"/>
  </r>
  <r>
    <x v="25"/>
    <x v="7"/>
    <x v="95"/>
    <n v="7453077"/>
    <x v="1"/>
  </r>
  <r>
    <x v="25"/>
    <x v="8"/>
    <x v="95"/>
    <n v="7453077"/>
    <x v="1"/>
  </r>
  <r>
    <x v="25"/>
    <x v="9"/>
    <x v="95"/>
    <n v="7453077"/>
    <x v="1"/>
  </r>
  <r>
    <x v="25"/>
    <x v="10"/>
    <x v="95"/>
    <n v="7453077"/>
    <x v="1"/>
  </r>
  <r>
    <x v="25"/>
    <x v="11"/>
    <x v="95"/>
    <n v="7453077"/>
    <x v="1"/>
  </r>
  <r>
    <x v="25"/>
    <x v="12"/>
    <x v="95"/>
    <n v="7453077"/>
    <x v="1"/>
  </r>
  <r>
    <x v="25"/>
    <x v="0"/>
    <x v="20"/>
    <n v="3580481.2499999995"/>
    <x v="1"/>
  </r>
  <r>
    <x v="25"/>
    <x v="1"/>
    <x v="20"/>
    <n v="3580481.2499999995"/>
    <x v="1"/>
  </r>
  <r>
    <x v="25"/>
    <x v="0"/>
    <x v="96"/>
    <n v="3687130.4999999995"/>
    <x v="1"/>
  </r>
  <r>
    <x v="25"/>
    <x v="1"/>
    <x v="96"/>
    <n v="3687130.4999999995"/>
    <x v="1"/>
  </r>
  <r>
    <x v="25"/>
    <x v="2"/>
    <x v="96"/>
    <n v="3687130.4999999995"/>
    <x v="1"/>
  </r>
  <r>
    <x v="25"/>
    <x v="3"/>
    <x v="96"/>
    <n v="3687130.4999999995"/>
    <x v="1"/>
  </r>
  <r>
    <x v="25"/>
    <x v="0"/>
    <x v="97"/>
    <n v="4479713.6999999993"/>
    <x v="1"/>
  </r>
  <r>
    <x v="25"/>
    <x v="1"/>
    <x v="97"/>
    <n v="4479713.6999999993"/>
    <x v="1"/>
  </r>
  <r>
    <x v="25"/>
    <x v="2"/>
    <x v="97"/>
    <n v="4479713.6999999993"/>
    <x v="1"/>
  </r>
  <r>
    <x v="25"/>
    <x v="3"/>
    <x v="97"/>
    <n v="4479713.6999999993"/>
    <x v="1"/>
  </r>
  <r>
    <x v="25"/>
    <x v="4"/>
    <x v="97"/>
    <n v="4479713.6999999993"/>
    <x v="1"/>
  </r>
  <r>
    <x v="25"/>
    <x v="5"/>
    <x v="97"/>
    <n v="4479713.6999999993"/>
    <x v="1"/>
  </r>
  <r>
    <x v="25"/>
    <x v="6"/>
    <x v="97"/>
    <n v="4479713.6999999993"/>
    <x v="1"/>
  </r>
  <r>
    <x v="25"/>
    <x v="7"/>
    <x v="97"/>
    <n v="4479713.6999999993"/>
    <x v="1"/>
  </r>
  <r>
    <x v="25"/>
    <x v="8"/>
    <x v="97"/>
    <n v="4479713.6999999993"/>
    <x v="1"/>
  </r>
  <r>
    <x v="25"/>
    <x v="9"/>
    <x v="97"/>
    <n v="4479713.6999999993"/>
    <x v="1"/>
  </r>
  <r>
    <x v="25"/>
    <x v="0"/>
    <x v="98"/>
    <n v="4487334.5699999994"/>
    <x v="1"/>
  </r>
  <r>
    <x v="25"/>
    <x v="1"/>
    <x v="98"/>
    <n v="4487334.5699999994"/>
    <x v="1"/>
  </r>
  <r>
    <x v="25"/>
    <x v="0"/>
    <x v="8"/>
    <n v="3611462.4"/>
    <x v="1"/>
  </r>
  <r>
    <x v="25"/>
    <x v="1"/>
    <x v="8"/>
    <n v="3611462.4"/>
    <x v="1"/>
  </r>
  <r>
    <x v="25"/>
    <x v="2"/>
    <x v="8"/>
    <n v="3611462.4"/>
    <x v="1"/>
  </r>
  <r>
    <x v="25"/>
    <x v="3"/>
    <x v="8"/>
    <n v="3611462.4"/>
    <x v="1"/>
  </r>
  <r>
    <x v="25"/>
    <x v="0"/>
    <x v="99"/>
    <n v="3767611.53"/>
    <x v="1"/>
  </r>
  <r>
    <x v="25"/>
    <x v="1"/>
    <x v="99"/>
    <n v="3767611.53"/>
    <x v="1"/>
  </r>
  <r>
    <x v="25"/>
    <x v="0"/>
    <x v="9"/>
    <n v="3767611.53"/>
    <x v="1"/>
  </r>
  <r>
    <x v="25"/>
    <x v="1"/>
    <x v="9"/>
    <n v="3767611.53"/>
    <x v="1"/>
  </r>
  <r>
    <x v="25"/>
    <x v="2"/>
    <x v="9"/>
    <n v="3767611.53"/>
    <x v="1"/>
  </r>
  <r>
    <x v="25"/>
    <x v="3"/>
    <x v="9"/>
    <n v="3767611.53"/>
    <x v="1"/>
  </r>
  <r>
    <x v="25"/>
    <x v="3"/>
    <x v="100"/>
    <n v="4477341.0150000006"/>
    <x v="1"/>
  </r>
  <r>
    <x v="25"/>
    <x v="4"/>
    <x v="100"/>
    <n v="4477341.0150000006"/>
    <x v="1"/>
  </r>
  <r>
    <x v="25"/>
    <x v="5"/>
    <x v="100"/>
    <n v="4477341.0150000006"/>
    <x v="1"/>
  </r>
  <r>
    <x v="25"/>
    <x v="6"/>
    <x v="100"/>
    <n v="4477341.0150000006"/>
    <x v="1"/>
  </r>
  <r>
    <x v="25"/>
    <x v="7"/>
    <x v="100"/>
    <n v="4477341.0150000006"/>
    <x v="1"/>
  </r>
  <r>
    <x v="25"/>
    <x v="8"/>
    <x v="100"/>
    <n v="4477341.0150000006"/>
    <x v="1"/>
  </r>
  <r>
    <x v="25"/>
    <x v="9"/>
    <x v="100"/>
    <n v="4477341.0150000006"/>
    <x v="1"/>
  </r>
  <r>
    <x v="25"/>
    <x v="3"/>
    <x v="101"/>
    <n v="3062689.7"/>
    <x v="1"/>
  </r>
  <r>
    <x v="25"/>
    <x v="4"/>
    <x v="101"/>
    <n v="3062689.7"/>
    <x v="1"/>
  </r>
  <r>
    <x v="25"/>
    <x v="5"/>
    <x v="101"/>
    <n v="3062689.7"/>
    <x v="1"/>
  </r>
  <r>
    <x v="25"/>
    <x v="6"/>
    <x v="101"/>
    <n v="3062689.7"/>
    <x v="1"/>
  </r>
  <r>
    <x v="25"/>
    <x v="7"/>
    <x v="101"/>
    <n v="3062689.7"/>
    <x v="1"/>
  </r>
  <r>
    <x v="25"/>
    <x v="8"/>
    <x v="101"/>
    <n v="3062689.7"/>
    <x v="1"/>
  </r>
  <r>
    <x v="25"/>
    <x v="9"/>
    <x v="101"/>
    <n v="3062689.7"/>
    <x v="1"/>
  </r>
  <r>
    <x v="25"/>
    <x v="3"/>
    <x v="102"/>
    <n v="4854913"/>
    <x v="1"/>
  </r>
  <r>
    <x v="25"/>
    <x v="4"/>
    <x v="102"/>
    <n v="4854913"/>
    <x v="1"/>
  </r>
  <r>
    <x v="25"/>
    <x v="5"/>
    <x v="102"/>
    <n v="4854913"/>
    <x v="1"/>
  </r>
  <r>
    <x v="25"/>
    <x v="6"/>
    <x v="102"/>
    <n v="4854913"/>
    <x v="1"/>
  </r>
  <r>
    <x v="25"/>
    <x v="7"/>
    <x v="102"/>
    <n v="4854913"/>
    <x v="1"/>
  </r>
  <r>
    <x v="25"/>
    <x v="8"/>
    <x v="102"/>
    <n v="4854913"/>
    <x v="1"/>
  </r>
  <r>
    <x v="25"/>
    <x v="9"/>
    <x v="102"/>
    <n v="4854913"/>
    <x v="1"/>
  </r>
  <r>
    <x v="25"/>
    <x v="3"/>
    <x v="89"/>
    <n v="29161467"/>
    <x v="1"/>
  </r>
  <r>
    <x v="25"/>
    <x v="4"/>
    <x v="89"/>
    <n v="29161467"/>
    <x v="1"/>
  </r>
  <r>
    <x v="25"/>
    <x v="5"/>
    <x v="89"/>
    <n v="29161467"/>
    <x v="1"/>
  </r>
  <r>
    <x v="25"/>
    <x v="6"/>
    <x v="89"/>
    <n v="29161467"/>
    <x v="1"/>
  </r>
  <r>
    <x v="25"/>
    <x v="7"/>
    <x v="89"/>
    <n v="29161467"/>
    <x v="1"/>
  </r>
  <r>
    <x v="25"/>
    <x v="8"/>
    <x v="89"/>
    <n v="29161467"/>
    <x v="1"/>
  </r>
  <r>
    <x v="25"/>
    <x v="9"/>
    <x v="89"/>
    <n v="29161467"/>
    <x v="1"/>
  </r>
  <r>
    <x v="25"/>
    <x v="3"/>
    <x v="90"/>
    <n v="16582744.5"/>
    <x v="1"/>
  </r>
  <r>
    <x v="25"/>
    <x v="4"/>
    <x v="90"/>
    <n v="16582744.5"/>
    <x v="1"/>
  </r>
  <r>
    <x v="25"/>
    <x v="5"/>
    <x v="90"/>
    <n v="16582744.5"/>
    <x v="1"/>
  </r>
  <r>
    <x v="25"/>
    <x v="6"/>
    <x v="90"/>
    <n v="16582744.5"/>
    <x v="1"/>
  </r>
  <r>
    <x v="25"/>
    <x v="7"/>
    <x v="90"/>
    <n v="16582744.5"/>
    <x v="1"/>
  </r>
  <r>
    <x v="25"/>
    <x v="8"/>
    <x v="90"/>
    <n v="16582744.5"/>
    <x v="1"/>
  </r>
  <r>
    <x v="25"/>
    <x v="9"/>
    <x v="90"/>
    <n v="16582744.5"/>
    <x v="1"/>
  </r>
  <r>
    <x v="25"/>
    <x v="3"/>
    <x v="103"/>
    <n v="6633097.5"/>
    <x v="1"/>
  </r>
  <r>
    <x v="25"/>
    <x v="4"/>
    <x v="103"/>
    <n v="6633097.5"/>
    <x v="1"/>
  </r>
  <r>
    <x v="25"/>
    <x v="5"/>
    <x v="103"/>
    <n v="6633097.5"/>
    <x v="1"/>
  </r>
  <r>
    <x v="25"/>
    <x v="6"/>
    <x v="103"/>
    <n v="6633097.5"/>
    <x v="1"/>
  </r>
  <r>
    <x v="25"/>
    <x v="7"/>
    <x v="103"/>
    <n v="6633097.5"/>
    <x v="1"/>
  </r>
  <r>
    <x v="25"/>
    <x v="3"/>
    <x v="92"/>
    <n v="5088885"/>
    <x v="1"/>
  </r>
  <r>
    <x v="25"/>
    <x v="4"/>
    <x v="92"/>
    <n v="5088885"/>
    <x v="1"/>
  </r>
  <r>
    <x v="25"/>
    <x v="5"/>
    <x v="92"/>
    <n v="5088885"/>
    <x v="1"/>
  </r>
  <r>
    <x v="25"/>
    <x v="6"/>
    <x v="92"/>
    <n v="5088885"/>
    <x v="1"/>
  </r>
  <r>
    <x v="25"/>
    <x v="7"/>
    <x v="92"/>
    <n v="5088885"/>
    <x v="1"/>
  </r>
  <r>
    <x v="25"/>
    <x v="8"/>
    <x v="92"/>
    <n v="5088885"/>
    <x v="1"/>
  </r>
  <r>
    <x v="25"/>
    <x v="9"/>
    <x v="92"/>
    <n v="5088885"/>
    <x v="1"/>
  </r>
  <r>
    <x v="25"/>
    <x v="3"/>
    <x v="93"/>
    <n v="6663097.5"/>
    <x v="1"/>
  </r>
  <r>
    <x v="25"/>
    <x v="4"/>
    <x v="93"/>
    <n v="6663097.5"/>
    <x v="1"/>
  </r>
  <r>
    <x v="25"/>
    <x v="5"/>
    <x v="93"/>
    <n v="6663097.5"/>
    <x v="1"/>
  </r>
  <r>
    <x v="25"/>
    <x v="6"/>
    <x v="93"/>
    <n v="6663097.5"/>
    <x v="1"/>
  </r>
  <r>
    <x v="25"/>
    <x v="7"/>
    <x v="93"/>
    <n v="6663097.5"/>
    <x v="1"/>
  </r>
  <r>
    <x v="25"/>
    <x v="8"/>
    <x v="93"/>
    <n v="6663097.5"/>
    <x v="1"/>
  </r>
  <r>
    <x v="25"/>
    <x v="9"/>
    <x v="93"/>
    <n v="6663097.5"/>
    <x v="1"/>
  </r>
  <r>
    <x v="25"/>
    <x v="3"/>
    <x v="94"/>
    <n v="6663097.5"/>
    <x v="1"/>
  </r>
  <r>
    <x v="25"/>
    <x v="4"/>
    <x v="94"/>
    <n v="6663097.5"/>
    <x v="1"/>
  </r>
  <r>
    <x v="25"/>
    <x v="5"/>
    <x v="94"/>
    <n v="6663097.5"/>
    <x v="1"/>
  </r>
  <r>
    <x v="25"/>
    <x v="6"/>
    <x v="94"/>
    <n v="6663097.5"/>
    <x v="1"/>
  </r>
  <r>
    <x v="25"/>
    <x v="7"/>
    <x v="94"/>
    <n v="6663097.5"/>
    <x v="1"/>
  </r>
  <r>
    <x v="25"/>
    <x v="8"/>
    <x v="94"/>
    <n v="6663097.5"/>
    <x v="1"/>
  </r>
  <r>
    <x v="25"/>
    <x v="9"/>
    <x v="94"/>
    <n v="6663097.5"/>
    <x v="1"/>
  </r>
  <r>
    <x v="25"/>
    <x v="3"/>
    <x v="95"/>
    <n v="7922866.5"/>
    <x v="1"/>
  </r>
  <r>
    <x v="25"/>
    <x v="4"/>
    <x v="95"/>
    <n v="7922866.5"/>
    <x v="1"/>
  </r>
  <r>
    <x v="25"/>
    <x v="5"/>
    <x v="95"/>
    <n v="7922866.5"/>
    <x v="1"/>
  </r>
  <r>
    <x v="25"/>
    <x v="6"/>
    <x v="95"/>
    <n v="7922866.5"/>
    <x v="1"/>
  </r>
  <r>
    <x v="25"/>
    <x v="7"/>
    <x v="95"/>
    <n v="7922866.5"/>
    <x v="1"/>
  </r>
  <r>
    <x v="25"/>
    <x v="8"/>
    <x v="95"/>
    <n v="7922866.5"/>
    <x v="1"/>
  </r>
  <r>
    <x v="25"/>
    <x v="9"/>
    <x v="95"/>
    <n v="7922866.5"/>
    <x v="1"/>
  </r>
  <r>
    <x v="25"/>
    <x v="3"/>
    <x v="104"/>
    <n v="7896546"/>
    <x v="1"/>
  </r>
  <r>
    <x v="25"/>
    <x v="4"/>
    <x v="104"/>
    <n v="7896546"/>
    <x v="1"/>
  </r>
  <r>
    <x v="25"/>
    <x v="5"/>
    <x v="104"/>
    <n v="7896546"/>
    <x v="1"/>
  </r>
  <r>
    <x v="25"/>
    <x v="6"/>
    <x v="104"/>
    <n v="7896546"/>
    <x v="1"/>
  </r>
  <r>
    <x v="25"/>
    <x v="7"/>
    <x v="104"/>
    <n v="7896546"/>
    <x v="1"/>
  </r>
  <r>
    <x v="25"/>
    <x v="8"/>
    <x v="104"/>
    <n v="7896546"/>
    <x v="1"/>
  </r>
  <r>
    <x v="25"/>
    <x v="9"/>
    <x v="104"/>
    <n v="7896546"/>
    <x v="1"/>
  </r>
  <r>
    <x v="25"/>
    <x v="3"/>
    <x v="105"/>
    <n v="5159076"/>
    <x v="1"/>
  </r>
  <r>
    <x v="25"/>
    <x v="4"/>
    <x v="105"/>
    <n v="5159076"/>
    <x v="1"/>
  </r>
  <r>
    <x v="25"/>
    <x v="5"/>
    <x v="105"/>
    <n v="5159076"/>
    <x v="1"/>
  </r>
  <r>
    <x v="25"/>
    <x v="6"/>
    <x v="105"/>
    <n v="5159076"/>
    <x v="1"/>
  </r>
  <r>
    <x v="25"/>
    <x v="7"/>
    <x v="105"/>
    <n v="5159076"/>
    <x v="1"/>
  </r>
  <r>
    <x v="25"/>
    <x v="8"/>
    <x v="105"/>
    <n v="5159076"/>
    <x v="1"/>
  </r>
  <r>
    <x v="25"/>
    <x v="9"/>
    <x v="105"/>
    <n v="5159076"/>
    <x v="1"/>
  </r>
  <r>
    <x v="25"/>
    <x v="3"/>
    <x v="30"/>
    <n v="1658274"/>
    <x v="1"/>
  </r>
  <r>
    <x v="25"/>
    <x v="4"/>
    <x v="30"/>
    <n v="1658274"/>
    <x v="1"/>
  </r>
  <r>
    <x v="25"/>
    <x v="5"/>
    <x v="30"/>
    <n v="1658274"/>
    <x v="1"/>
  </r>
  <r>
    <x v="25"/>
    <x v="6"/>
    <x v="30"/>
    <n v="1658274"/>
    <x v="1"/>
  </r>
  <r>
    <x v="25"/>
    <x v="7"/>
    <x v="30"/>
    <n v="1658274"/>
    <x v="1"/>
  </r>
  <r>
    <x v="25"/>
    <x v="8"/>
    <x v="30"/>
    <n v="1658274"/>
    <x v="1"/>
  </r>
  <r>
    <x v="25"/>
    <x v="9"/>
    <x v="30"/>
    <n v="1658274"/>
    <x v="1"/>
  </r>
  <r>
    <x v="25"/>
    <x v="3"/>
    <x v="20"/>
    <n v="3906157.7699999996"/>
    <x v="1"/>
  </r>
  <r>
    <x v="25"/>
    <x v="4"/>
    <x v="20"/>
    <n v="3906157.7699999996"/>
    <x v="1"/>
  </r>
  <r>
    <x v="25"/>
    <x v="5"/>
    <x v="20"/>
    <n v="3906157.7699999996"/>
    <x v="1"/>
  </r>
  <r>
    <x v="25"/>
    <x v="3"/>
    <x v="97"/>
    <n v="4687389.96"/>
    <x v="1"/>
  </r>
  <r>
    <x v="25"/>
    <x v="3"/>
    <x v="99"/>
    <n v="3906157.7699999996"/>
    <x v="1"/>
  </r>
  <r>
    <x v="25"/>
    <x v="3"/>
    <x v="9"/>
    <n v="3906157.7699999996"/>
    <x v="1"/>
  </r>
  <r>
    <x v="25"/>
    <x v="4"/>
    <x v="9"/>
    <n v="3906157.7699999996"/>
    <x v="1"/>
  </r>
  <r>
    <x v="25"/>
    <x v="5"/>
    <x v="9"/>
    <n v="3906157.7699999996"/>
    <x v="1"/>
  </r>
  <r>
    <x v="25"/>
    <x v="6"/>
    <x v="9"/>
    <n v="3906157.7699999996"/>
    <x v="1"/>
  </r>
  <r>
    <x v="25"/>
    <x v="7"/>
    <x v="9"/>
    <n v="3906157.7699999996"/>
    <x v="1"/>
  </r>
  <r>
    <x v="25"/>
    <x v="8"/>
    <x v="9"/>
    <n v="3906157.7699999996"/>
    <x v="1"/>
  </r>
  <r>
    <x v="25"/>
    <x v="9"/>
    <x v="9"/>
    <n v="3906157.7699999996"/>
    <x v="1"/>
  </r>
  <r>
    <x v="1"/>
    <x v="0"/>
    <x v="0"/>
    <n v="3071827.3950000005"/>
    <x v="1"/>
  </r>
  <r>
    <x v="1"/>
    <x v="1"/>
    <x v="0"/>
    <n v="3071827.3950000005"/>
    <x v="1"/>
  </r>
  <r>
    <x v="1"/>
    <x v="2"/>
    <x v="0"/>
    <n v="3071827.3950000005"/>
    <x v="1"/>
  </r>
  <r>
    <x v="23"/>
    <x v="0"/>
    <x v="0"/>
    <n v="5626057.5000000009"/>
    <x v="1"/>
  </r>
  <r>
    <x v="23"/>
    <x v="1"/>
    <x v="0"/>
    <n v="5626057.5000000009"/>
    <x v="1"/>
  </r>
  <r>
    <x v="23"/>
    <x v="2"/>
    <x v="0"/>
    <n v="5626057.5000000009"/>
    <x v="1"/>
  </r>
  <r>
    <x v="23"/>
    <x v="3"/>
    <x v="0"/>
    <n v="5626057.5000000009"/>
    <x v="1"/>
  </r>
  <r>
    <x v="23"/>
    <x v="4"/>
    <x v="0"/>
    <n v="5626057.5000000009"/>
    <x v="1"/>
  </r>
  <r>
    <x v="23"/>
    <x v="5"/>
    <x v="0"/>
    <n v="5626057.5000000009"/>
    <x v="1"/>
  </r>
  <r>
    <x v="23"/>
    <x v="0"/>
    <x v="106"/>
    <n v="10418625.000000002"/>
    <x v="1"/>
  </r>
  <r>
    <x v="23"/>
    <x v="1"/>
    <x v="106"/>
    <n v="10418625.000000002"/>
    <x v="1"/>
  </r>
  <r>
    <x v="23"/>
    <x v="2"/>
    <x v="106"/>
    <n v="10418625.000000002"/>
    <x v="1"/>
  </r>
  <r>
    <x v="23"/>
    <x v="3"/>
    <x v="106"/>
    <n v="10418625.000000002"/>
    <x v="1"/>
  </r>
  <r>
    <x v="23"/>
    <x v="4"/>
    <x v="106"/>
    <n v="10418625.000000002"/>
    <x v="1"/>
  </r>
  <r>
    <x v="23"/>
    <x v="5"/>
    <x v="106"/>
    <n v="10418625.000000002"/>
    <x v="1"/>
  </r>
  <r>
    <x v="23"/>
    <x v="0"/>
    <x v="107"/>
    <n v="887666.85000000009"/>
    <x v="1"/>
  </r>
  <r>
    <x v="23"/>
    <x v="1"/>
    <x v="107"/>
    <n v="887666.85000000009"/>
    <x v="1"/>
  </r>
  <r>
    <x v="23"/>
    <x v="2"/>
    <x v="107"/>
    <n v="887666.85000000009"/>
    <x v="1"/>
  </r>
  <r>
    <x v="23"/>
    <x v="3"/>
    <x v="107"/>
    <n v="887666.85000000009"/>
    <x v="1"/>
  </r>
  <r>
    <x v="23"/>
    <x v="4"/>
    <x v="107"/>
    <n v="887666.85000000009"/>
    <x v="1"/>
  </r>
  <r>
    <x v="23"/>
    <x v="5"/>
    <x v="107"/>
    <n v="887666.85000000009"/>
    <x v="1"/>
  </r>
  <r>
    <x v="23"/>
    <x v="0"/>
    <x v="58"/>
    <n v="4514737.5000000009"/>
    <x v="1"/>
  </r>
  <r>
    <x v="23"/>
    <x v="1"/>
    <x v="58"/>
    <n v="4514737.5000000009"/>
    <x v="1"/>
  </r>
  <r>
    <x v="23"/>
    <x v="2"/>
    <x v="58"/>
    <n v="4514737.5000000009"/>
    <x v="1"/>
  </r>
  <r>
    <x v="23"/>
    <x v="3"/>
    <x v="58"/>
    <n v="4514737.5000000009"/>
    <x v="1"/>
  </r>
  <r>
    <x v="23"/>
    <x v="4"/>
    <x v="58"/>
    <n v="4514737.5000000009"/>
    <x v="1"/>
  </r>
  <r>
    <x v="23"/>
    <x v="5"/>
    <x v="58"/>
    <n v="4514737.5000000009"/>
    <x v="1"/>
  </r>
  <r>
    <x v="23"/>
    <x v="0"/>
    <x v="3"/>
    <n v="2448376.8750000005"/>
    <x v="1"/>
  </r>
  <r>
    <x v="23"/>
    <x v="1"/>
    <x v="3"/>
    <n v="2448376.8750000005"/>
    <x v="1"/>
  </r>
  <r>
    <x v="23"/>
    <x v="2"/>
    <x v="3"/>
    <n v="2448376.8750000005"/>
    <x v="1"/>
  </r>
  <r>
    <x v="23"/>
    <x v="3"/>
    <x v="3"/>
    <n v="2448376.8750000005"/>
    <x v="1"/>
  </r>
  <r>
    <x v="23"/>
    <x v="4"/>
    <x v="3"/>
    <n v="2448376.8750000005"/>
    <x v="1"/>
  </r>
  <r>
    <x v="23"/>
    <x v="5"/>
    <x v="3"/>
    <n v="2448376.8750000005"/>
    <x v="1"/>
  </r>
  <r>
    <x v="23"/>
    <x v="0"/>
    <x v="15"/>
    <n v="5903887.5000000009"/>
    <x v="1"/>
  </r>
  <r>
    <x v="23"/>
    <x v="1"/>
    <x v="15"/>
    <n v="5903887.5000000009"/>
    <x v="1"/>
  </r>
  <r>
    <x v="23"/>
    <x v="2"/>
    <x v="15"/>
    <n v="5903887.5000000009"/>
    <x v="1"/>
  </r>
  <r>
    <x v="23"/>
    <x v="3"/>
    <x v="15"/>
    <n v="5903887.5000000009"/>
    <x v="1"/>
  </r>
  <r>
    <x v="23"/>
    <x v="4"/>
    <x v="15"/>
    <n v="5903887.5000000009"/>
    <x v="1"/>
  </r>
  <r>
    <x v="23"/>
    <x v="5"/>
    <x v="15"/>
    <n v="5903887.5000000009"/>
    <x v="1"/>
  </r>
  <r>
    <x v="23"/>
    <x v="0"/>
    <x v="108"/>
    <n v="2604656.2500000005"/>
    <x v="1"/>
  </r>
  <r>
    <x v="23"/>
    <x v="1"/>
    <x v="108"/>
    <n v="2604656.2500000005"/>
    <x v="1"/>
  </r>
  <r>
    <x v="23"/>
    <x v="2"/>
    <x v="108"/>
    <n v="2604656.2500000005"/>
    <x v="1"/>
  </r>
  <r>
    <x v="23"/>
    <x v="3"/>
    <x v="108"/>
    <n v="2604656.2500000005"/>
    <x v="1"/>
  </r>
  <r>
    <x v="23"/>
    <x v="4"/>
    <x v="108"/>
    <n v="2604656.2500000005"/>
    <x v="1"/>
  </r>
  <r>
    <x v="23"/>
    <x v="5"/>
    <x v="108"/>
    <n v="2604656.2500000005"/>
    <x v="1"/>
  </r>
  <r>
    <x v="23"/>
    <x v="0"/>
    <x v="20"/>
    <n v="4049372.25"/>
    <x v="1"/>
  </r>
  <r>
    <x v="23"/>
    <x v="1"/>
    <x v="20"/>
    <n v="4049372.25"/>
    <x v="1"/>
  </r>
  <r>
    <x v="23"/>
    <x v="2"/>
    <x v="20"/>
    <n v="4049372.25"/>
    <x v="1"/>
  </r>
  <r>
    <x v="23"/>
    <x v="3"/>
    <x v="20"/>
    <n v="4049372.25"/>
    <x v="1"/>
  </r>
  <r>
    <x v="23"/>
    <x v="4"/>
    <x v="20"/>
    <n v="4049372.25"/>
    <x v="1"/>
  </r>
  <r>
    <x v="23"/>
    <x v="5"/>
    <x v="20"/>
    <n v="4049372.25"/>
    <x v="1"/>
  </r>
  <r>
    <x v="23"/>
    <x v="0"/>
    <x v="109"/>
    <n v="3718059.9750000001"/>
    <x v="1"/>
  </r>
  <r>
    <x v="23"/>
    <x v="1"/>
    <x v="109"/>
    <n v="3718059.9750000001"/>
    <x v="1"/>
  </r>
  <r>
    <x v="23"/>
    <x v="2"/>
    <x v="109"/>
    <n v="3718059.9750000001"/>
    <x v="1"/>
  </r>
  <r>
    <x v="23"/>
    <x v="3"/>
    <x v="109"/>
    <n v="3718059.9750000001"/>
    <x v="1"/>
  </r>
  <r>
    <x v="23"/>
    <x v="4"/>
    <x v="109"/>
    <n v="3718059.9750000001"/>
    <x v="1"/>
  </r>
  <r>
    <x v="23"/>
    <x v="5"/>
    <x v="109"/>
    <n v="3718059.9750000001"/>
    <x v="1"/>
  </r>
  <r>
    <x v="23"/>
    <x v="0"/>
    <x v="110"/>
    <n v="3718059.9750000001"/>
    <x v="1"/>
  </r>
  <r>
    <x v="23"/>
    <x v="1"/>
    <x v="110"/>
    <n v="3718059.9750000001"/>
    <x v="1"/>
  </r>
  <r>
    <x v="23"/>
    <x v="2"/>
    <x v="110"/>
    <n v="3718059.9750000001"/>
    <x v="1"/>
  </r>
  <r>
    <x v="23"/>
    <x v="3"/>
    <x v="110"/>
    <n v="3718059.9750000001"/>
    <x v="1"/>
  </r>
  <r>
    <x v="23"/>
    <x v="4"/>
    <x v="110"/>
    <n v="3718059.9750000001"/>
    <x v="1"/>
  </r>
  <r>
    <x v="23"/>
    <x v="5"/>
    <x v="110"/>
    <n v="3718059.9750000001"/>
    <x v="1"/>
  </r>
  <r>
    <x v="23"/>
    <x v="0"/>
    <x v="10"/>
    <n v="4049372.25"/>
    <x v="1"/>
  </r>
  <r>
    <x v="23"/>
    <x v="1"/>
    <x v="10"/>
    <n v="4049372.25"/>
    <x v="1"/>
  </r>
  <r>
    <x v="23"/>
    <x v="2"/>
    <x v="10"/>
    <n v="4049372.25"/>
    <x v="1"/>
  </r>
  <r>
    <x v="23"/>
    <x v="3"/>
    <x v="10"/>
    <n v="4049372.25"/>
    <x v="1"/>
  </r>
  <r>
    <x v="23"/>
    <x v="4"/>
    <x v="10"/>
    <n v="4049372.25"/>
    <x v="1"/>
  </r>
  <r>
    <x v="23"/>
    <x v="5"/>
    <x v="10"/>
    <n v="4049372.25"/>
    <x v="1"/>
  </r>
  <r>
    <x v="23"/>
    <x v="0"/>
    <x v="111"/>
    <n v="6221250"/>
    <x v="1"/>
  </r>
  <r>
    <x v="23"/>
    <x v="1"/>
    <x v="111"/>
    <n v="6221250"/>
    <x v="1"/>
  </r>
  <r>
    <x v="23"/>
    <x v="0"/>
    <x v="112"/>
    <n v="6221250"/>
    <x v="1"/>
  </r>
  <r>
    <x v="23"/>
    <x v="1"/>
    <x v="112"/>
    <n v="6221250"/>
    <x v="1"/>
  </r>
  <r>
    <x v="23"/>
    <x v="2"/>
    <x v="112"/>
    <n v="6221250"/>
    <x v="1"/>
  </r>
  <r>
    <x v="23"/>
    <x v="3"/>
    <x v="112"/>
    <n v="6221250"/>
    <x v="1"/>
  </r>
  <r>
    <x v="23"/>
    <x v="0"/>
    <x v="113"/>
    <n v="6221250"/>
    <x v="1"/>
  </r>
  <r>
    <x v="23"/>
    <x v="0"/>
    <x v="114"/>
    <n v="4123664.9999999995"/>
    <x v="1"/>
  </r>
  <r>
    <x v="23"/>
    <x v="1"/>
    <x v="114"/>
    <n v="4123664.9999999995"/>
    <x v="1"/>
  </r>
  <r>
    <x v="23"/>
    <x v="2"/>
    <x v="114"/>
    <n v="4123664.9999999995"/>
    <x v="1"/>
  </r>
  <r>
    <x v="23"/>
    <x v="0"/>
    <x v="10"/>
    <n v="4123664.9999999995"/>
    <x v="1"/>
  </r>
  <r>
    <x v="23"/>
    <x v="1"/>
    <x v="10"/>
    <n v="4123664.9999999995"/>
    <x v="1"/>
  </r>
  <r>
    <x v="23"/>
    <x v="2"/>
    <x v="10"/>
    <n v="4123664.9999999995"/>
    <x v="1"/>
  </r>
  <r>
    <x v="23"/>
    <x v="3"/>
    <x v="10"/>
    <n v="4123664.9999999995"/>
    <x v="1"/>
  </r>
  <r>
    <x v="26"/>
    <x v="0"/>
    <x v="0"/>
    <n v="3572100"/>
    <x v="1"/>
  </r>
  <r>
    <x v="26"/>
    <x v="1"/>
    <x v="0"/>
    <n v="3572100"/>
    <x v="1"/>
  </r>
  <r>
    <x v="26"/>
    <x v="2"/>
    <x v="0"/>
    <n v="3572100"/>
    <x v="1"/>
  </r>
  <r>
    <x v="26"/>
    <x v="3"/>
    <x v="0"/>
    <n v="3572100"/>
    <x v="1"/>
  </r>
  <r>
    <x v="26"/>
    <x v="4"/>
    <x v="0"/>
    <n v="3572100"/>
    <x v="1"/>
  </r>
  <r>
    <x v="26"/>
    <x v="5"/>
    <x v="0"/>
    <n v="3572100"/>
    <x v="1"/>
  </r>
  <r>
    <x v="26"/>
    <x v="6"/>
    <x v="0"/>
    <n v="3572100"/>
    <x v="1"/>
  </r>
  <r>
    <x v="26"/>
    <x v="7"/>
    <x v="0"/>
    <n v="3572100"/>
    <x v="1"/>
  </r>
  <r>
    <x v="26"/>
    <x v="8"/>
    <x v="0"/>
    <n v="3572100"/>
    <x v="1"/>
  </r>
  <r>
    <x v="26"/>
    <x v="9"/>
    <x v="0"/>
    <n v="3572100"/>
    <x v="1"/>
  </r>
  <r>
    <x v="26"/>
    <x v="10"/>
    <x v="0"/>
    <n v="3572100"/>
    <x v="1"/>
  </r>
  <r>
    <x v="26"/>
    <x v="11"/>
    <x v="0"/>
    <n v="3572100"/>
    <x v="1"/>
  </r>
  <r>
    <x v="26"/>
    <x v="12"/>
    <x v="0"/>
    <n v="3572100"/>
    <x v="1"/>
  </r>
  <r>
    <x v="26"/>
    <x v="13"/>
    <x v="0"/>
    <n v="3572100"/>
    <x v="1"/>
  </r>
  <r>
    <x v="26"/>
    <x v="14"/>
    <x v="0"/>
    <n v="3572100"/>
    <x v="1"/>
  </r>
  <r>
    <x v="26"/>
    <x v="15"/>
    <x v="0"/>
    <n v="3572100"/>
    <x v="1"/>
  </r>
  <r>
    <x v="26"/>
    <x v="16"/>
    <x v="0"/>
    <n v="3572100"/>
    <x v="1"/>
  </r>
  <r>
    <x v="26"/>
    <x v="17"/>
    <x v="0"/>
    <n v="3572100"/>
    <x v="1"/>
  </r>
  <r>
    <x v="26"/>
    <x v="18"/>
    <x v="0"/>
    <n v="3572100"/>
    <x v="1"/>
  </r>
  <r>
    <x v="26"/>
    <x v="19"/>
    <x v="0"/>
    <n v="3572100"/>
    <x v="1"/>
  </r>
  <r>
    <x v="26"/>
    <x v="20"/>
    <x v="0"/>
    <n v="3572100"/>
    <x v="1"/>
  </r>
  <r>
    <x v="26"/>
    <x v="0"/>
    <x v="1"/>
    <n v="10087875"/>
    <x v="1"/>
  </r>
  <r>
    <x v="26"/>
    <x v="1"/>
    <x v="1"/>
    <n v="10087875"/>
    <x v="1"/>
  </r>
  <r>
    <x v="26"/>
    <x v="2"/>
    <x v="1"/>
    <n v="10087875"/>
    <x v="1"/>
  </r>
  <r>
    <x v="26"/>
    <x v="3"/>
    <x v="1"/>
    <n v="10087875"/>
    <x v="1"/>
  </r>
  <r>
    <x v="26"/>
    <x v="4"/>
    <x v="1"/>
    <n v="10087875"/>
    <x v="1"/>
  </r>
  <r>
    <x v="26"/>
    <x v="5"/>
    <x v="1"/>
    <n v="10087875"/>
    <x v="1"/>
  </r>
  <r>
    <x v="26"/>
    <x v="6"/>
    <x v="1"/>
    <n v="10087875"/>
    <x v="1"/>
  </r>
  <r>
    <x v="26"/>
    <x v="7"/>
    <x v="1"/>
    <n v="10087875"/>
    <x v="1"/>
  </r>
  <r>
    <x v="26"/>
    <x v="8"/>
    <x v="1"/>
    <n v="10087875"/>
    <x v="1"/>
  </r>
  <r>
    <x v="26"/>
    <x v="9"/>
    <x v="1"/>
    <n v="10087875"/>
    <x v="1"/>
  </r>
  <r>
    <x v="26"/>
    <x v="10"/>
    <x v="1"/>
    <n v="10087875"/>
    <x v="1"/>
  </r>
  <r>
    <x v="26"/>
    <x v="11"/>
    <x v="1"/>
    <n v="10087875"/>
    <x v="1"/>
  </r>
  <r>
    <x v="26"/>
    <x v="12"/>
    <x v="1"/>
    <n v="10087875"/>
    <x v="1"/>
  </r>
  <r>
    <x v="26"/>
    <x v="13"/>
    <x v="1"/>
    <n v="10087875"/>
    <x v="1"/>
  </r>
  <r>
    <x v="26"/>
    <x v="14"/>
    <x v="1"/>
    <n v="10087875"/>
    <x v="1"/>
  </r>
  <r>
    <x v="26"/>
    <x v="15"/>
    <x v="1"/>
    <n v="10087875"/>
    <x v="1"/>
  </r>
  <r>
    <x v="26"/>
    <x v="16"/>
    <x v="1"/>
    <n v="10087875"/>
    <x v="1"/>
  </r>
  <r>
    <x v="26"/>
    <x v="17"/>
    <x v="1"/>
    <n v="10087875"/>
    <x v="1"/>
  </r>
  <r>
    <x v="26"/>
    <x v="18"/>
    <x v="1"/>
    <n v="10087875"/>
    <x v="1"/>
  </r>
  <r>
    <x v="26"/>
    <x v="19"/>
    <x v="1"/>
    <n v="10087875"/>
    <x v="1"/>
  </r>
  <r>
    <x v="26"/>
    <x v="20"/>
    <x v="1"/>
    <n v="10087875"/>
    <x v="1"/>
  </r>
  <r>
    <x v="26"/>
    <x v="0"/>
    <x v="115"/>
    <n v="7594316.1000000006"/>
    <x v="1"/>
  </r>
  <r>
    <x v="26"/>
    <x v="1"/>
    <x v="115"/>
    <n v="7594316.1000000006"/>
    <x v="1"/>
  </r>
  <r>
    <x v="26"/>
    <x v="2"/>
    <x v="115"/>
    <n v="7594316.1000000006"/>
    <x v="1"/>
  </r>
  <r>
    <x v="26"/>
    <x v="3"/>
    <x v="115"/>
    <n v="7594316.1000000006"/>
    <x v="1"/>
  </r>
  <r>
    <x v="26"/>
    <x v="4"/>
    <x v="115"/>
    <n v="7594316.1000000006"/>
    <x v="1"/>
  </r>
  <r>
    <x v="26"/>
    <x v="5"/>
    <x v="115"/>
    <n v="7594316.1000000006"/>
    <x v="1"/>
  </r>
  <r>
    <x v="26"/>
    <x v="6"/>
    <x v="115"/>
    <n v="7594316.1000000006"/>
    <x v="1"/>
  </r>
  <r>
    <x v="26"/>
    <x v="7"/>
    <x v="115"/>
    <n v="7594316.1000000006"/>
    <x v="1"/>
  </r>
  <r>
    <x v="26"/>
    <x v="8"/>
    <x v="115"/>
    <n v="7594316.1000000006"/>
    <x v="1"/>
  </r>
  <r>
    <x v="26"/>
    <x v="9"/>
    <x v="115"/>
    <n v="7594316.1000000006"/>
    <x v="1"/>
  </r>
  <r>
    <x v="26"/>
    <x v="10"/>
    <x v="115"/>
    <n v="7594316.1000000006"/>
    <x v="1"/>
  </r>
  <r>
    <x v="26"/>
    <x v="11"/>
    <x v="115"/>
    <n v="7594316.1000000006"/>
    <x v="1"/>
  </r>
  <r>
    <x v="26"/>
    <x v="12"/>
    <x v="115"/>
    <n v="7594316.1000000006"/>
    <x v="1"/>
  </r>
  <r>
    <x v="26"/>
    <x v="13"/>
    <x v="115"/>
    <n v="7594316.1000000006"/>
    <x v="1"/>
  </r>
  <r>
    <x v="26"/>
    <x v="14"/>
    <x v="115"/>
    <n v="7594316.1000000006"/>
    <x v="1"/>
  </r>
  <r>
    <x v="26"/>
    <x v="15"/>
    <x v="115"/>
    <n v="7594316.1000000006"/>
    <x v="1"/>
  </r>
  <r>
    <x v="26"/>
    <x v="16"/>
    <x v="115"/>
    <n v="7594316.1000000006"/>
    <x v="1"/>
  </r>
  <r>
    <x v="26"/>
    <x v="17"/>
    <x v="115"/>
    <n v="7594316.1000000006"/>
    <x v="1"/>
  </r>
  <r>
    <x v="26"/>
    <x v="18"/>
    <x v="115"/>
    <n v="7594316.1000000006"/>
    <x v="1"/>
  </r>
  <r>
    <x v="26"/>
    <x v="19"/>
    <x v="115"/>
    <n v="7594316.1000000006"/>
    <x v="1"/>
  </r>
  <r>
    <x v="26"/>
    <x v="20"/>
    <x v="115"/>
    <n v="7594316.1000000006"/>
    <x v="1"/>
  </r>
  <r>
    <x v="26"/>
    <x v="0"/>
    <x v="15"/>
    <n v="7594316.1000000006"/>
    <x v="1"/>
  </r>
  <r>
    <x v="26"/>
    <x v="1"/>
    <x v="15"/>
    <n v="7594316.1000000006"/>
    <x v="1"/>
  </r>
  <r>
    <x v="26"/>
    <x v="2"/>
    <x v="15"/>
    <n v="7594316.1000000006"/>
    <x v="1"/>
  </r>
  <r>
    <x v="26"/>
    <x v="3"/>
    <x v="15"/>
    <n v="7594316.1000000006"/>
    <x v="1"/>
  </r>
  <r>
    <x v="26"/>
    <x v="4"/>
    <x v="15"/>
    <n v="7594316.1000000006"/>
    <x v="1"/>
  </r>
  <r>
    <x v="26"/>
    <x v="5"/>
    <x v="15"/>
    <n v="7594316.1000000006"/>
    <x v="1"/>
  </r>
  <r>
    <x v="26"/>
    <x v="6"/>
    <x v="15"/>
    <n v="7594316.1000000006"/>
    <x v="1"/>
  </r>
  <r>
    <x v="26"/>
    <x v="7"/>
    <x v="15"/>
    <n v="7594316.1000000006"/>
    <x v="1"/>
  </r>
  <r>
    <x v="26"/>
    <x v="8"/>
    <x v="15"/>
    <n v="7594316.1000000006"/>
    <x v="1"/>
  </r>
  <r>
    <x v="26"/>
    <x v="9"/>
    <x v="15"/>
    <n v="7594316.1000000006"/>
    <x v="1"/>
  </r>
  <r>
    <x v="26"/>
    <x v="10"/>
    <x v="15"/>
    <n v="7594316.1000000006"/>
    <x v="1"/>
  </r>
  <r>
    <x v="26"/>
    <x v="11"/>
    <x v="15"/>
    <n v="7594316.1000000006"/>
    <x v="1"/>
  </r>
  <r>
    <x v="26"/>
    <x v="12"/>
    <x v="15"/>
    <n v="7594316.1000000006"/>
    <x v="1"/>
  </r>
  <r>
    <x v="26"/>
    <x v="13"/>
    <x v="15"/>
    <n v="7594316.1000000006"/>
    <x v="1"/>
  </r>
  <r>
    <x v="26"/>
    <x v="14"/>
    <x v="15"/>
    <n v="7594316.1000000006"/>
    <x v="1"/>
  </r>
  <r>
    <x v="26"/>
    <x v="15"/>
    <x v="15"/>
    <n v="7594316.1000000006"/>
    <x v="1"/>
  </r>
  <r>
    <x v="26"/>
    <x v="16"/>
    <x v="15"/>
    <n v="7594316.1000000006"/>
    <x v="1"/>
  </r>
  <r>
    <x v="26"/>
    <x v="17"/>
    <x v="15"/>
    <n v="7594316.1000000006"/>
    <x v="1"/>
  </r>
  <r>
    <x v="26"/>
    <x v="18"/>
    <x v="15"/>
    <n v="7594316.1000000006"/>
    <x v="1"/>
  </r>
  <r>
    <x v="26"/>
    <x v="19"/>
    <x v="15"/>
    <n v="7594316.1000000006"/>
    <x v="1"/>
  </r>
  <r>
    <x v="26"/>
    <x v="20"/>
    <x v="15"/>
    <n v="7594316.1000000006"/>
    <x v="1"/>
  </r>
  <r>
    <x v="26"/>
    <x v="6"/>
    <x v="116"/>
    <n v="7594316.1000000006"/>
    <x v="1"/>
  </r>
  <r>
    <x v="26"/>
    <x v="7"/>
    <x v="116"/>
    <n v="7594316.1000000006"/>
    <x v="1"/>
  </r>
  <r>
    <x v="26"/>
    <x v="8"/>
    <x v="116"/>
    <n v="7594316.1000000006"/>
    <x v="1"/>
  </r>
  <r>
    <x v="26"/>
    <x v="9"/>
    <x v="116"/>
    <n v="7594316.1000000006"/>
    <x v="1"/>
  </r>
  <r>
    <x v="26"/>
    <x v="10"/>
    <x v="116"/>
    <n v="7594316.1000000006"/>
    <x v="1"/>
  </r>
  <r>
    <x v="26"/>
    <x v="11"/>
    <x v="116"/>
    <n v="7594316.1000000006"/>
    <x v="1"/>
  </r>
  <r>
    <x v="26"/>
    <x v="12"/>
    <x v="116"/>
    <n v="7594316.1000000006"/>
    <x v="1"/>
  </r>
  <r>
    <x v="26"/>
    <x v="13"/>
    <x v="116"/>
    <n v="7594316.1000000006"/>
    <x v="1"/>
  </r>
  <r>
    <x v="26"/>
    <x v="14"/>
    <x v="116"/>
    <n v="7594316.1000000006"/>
    <x v="1"/>
  </r>
  <r>
    <x v="26"/>
    <x v="15"/>
    <x v="116"/>
    <n v="7594316.1000000006"/>
    <x v="1"/>
  </r>
  <r>
    <x v="26"/>
    <x v="16"/>
    <x v="116"/>
    <n v="7594316.1000000006"/>
    <x v="1"/>
  </r>
  <r>
    <x v="26"/>
    <x v="17"/>
    <x v="116"/>
    <n v="7594316.1000000006"/>
    <x v="1"/>
  </r>
  <r>
    <x v="26"/>
    <x v="18"/>
    <x v="116"/>
    <n v="7594316.1000000006"/>
    <x v="1"/>
  </r>
  <r>
    <x v="26"/>
    <x v="19"/>
    <x v="116"/>
    <n v="7594316.1000000006"/>
    <x v="1"/>
  </r>
  <r>
    <x v="26"/>
    <x v="20"/>
    <x v="116"/>
    <n v="7594316.1000000006"/>
    <x v="1"/>
  </r>
  <r>
    <x v="26"/>
    <x v="6"/>
    <x v="3"/>
    <n v="7008008.1750000007"/>
    <x v="1"/>
  </r>
  <r>
    <x v="26"/>
    <x v="7"/>
    <x v="3"/>
    <n v="7008008.1750000007"/>
    <x v="1"/>
  </r>
  <r>
    <x v="26"/>
    <x v="8"/>
    <x v="3"/>
    <n v="7008008.1750000007"/>
    <x v="1"/>
  </r>
  <r>
    <x v="26"/>
    <x v="9"/>
    <x v="3"/>
    <n v="7008008.1750000007"/>
    <x v="1"/>
  </r>
  <r>
    <x v="26"/>
    <x v="10"/>
    <x v="3"/>
    <n v="7008008.1750000007"/>
    <x v="1"/>
  </r>
  <r>
    <x v="26"/>
    <x v="11"/>
    <x v="3"/>
    <n v="7008008.1750000007"/>
    <x v="1"/>
  </r>
  <r>
    <x v="26"/>
    <x v="12"/>
    <x v="3"/>
    <n v="7008008.1750000007"/>
    <x v="1"/>
  </r>
  <r>
    <x v="26"/>
    <x v="13"/>
    <x v="3"/>
    <n v="7008008.1750000007"/>
    <x v="1"/>
  </r>
  <r>
    <x v="26"/>
    <x v="14"/>
    <x v="3"/>
    <n v="7008008.1750000007"/>
    <x v="1"/>
  </r>
  <r>
    <x v="26"/>
    <x v="15"/>
    <x v="3"/>
    <n v="7008008.1750000007"/>
    <x v="1"/>
  </r>
  <r>
    <x v="26"/>
    <x v="16"/>
    <x v="3"/>
    <n v="7008008.1750000007"/>
    <x v="1"/>
  </r>
  <r>
    <x v="26"/>
    <x v="17"/>
    <x v="3"/>
    <n v="7008008.1750000007"/>
    <x v="1"/>
  </r>
  <r>
    <x v="26"/>
    <x v="18"/>
    <x v="3"/>
    <n v="7008008.1750000007"/>
    <x v="1"/>
  </r>
  <r>
    <x v="26"/>
    <x v="19"/>
    <x v="3"/>
    <n v="7008008.1750000007"/>
    <x v="1"/>
  </r>
  <r>
    <x v="26"/>
    <x v="20"/>
    <x v="3"/>
    <n v="7008008.1750000007"/>
    <x v="1"/>
  </r>
  <r>
    <x v="26"/>
    <x v="0"/>
    <x v="117"/>
    <n v="3731425.4250000003"/>
    <x v="1"/>
  </r>
  <r>
    <x v="26"/>
    <x v="1"/>
    <x v="117"/>
    <n v="3731425.4250000003"/>
    <x v="1"/>
  </r>
  <r>
    <x v="26"/>
    <x v="2"/>
    <x v="117"/>
    <n v="3731425.4250000003"/>
    <x v="1"/>
  </r>
  <r>
    <x v="26"/>
    <x v="3"/>
    <x v="117"/>
    <n v="3731425.4250000003"/>
    <x v="1"/>
  </r>
  <r>
    <x v="26"/>
    <x v="4"/>
    <x v="117"/>
    <n v="3731425.4250000003"/>
    <x v="1"/>
  </r>
  <r>
    <x v="26"/>
    <x v="5"/>
    <x v="117"/>
    <n v="3731425.4250000003"/>
    <x v="1"/>
  </r>
  <r>
    <x v="26"/>
    <x v="6"/>
    <x v="117"/>
    <n v="3731425.4250000003"/>
    <x v="1"/>
  </r>
  <r>
    <x v="26"/>
    <x v="7"/>
    <x v="117"/>
    <n v="3731425.4250000003"/>
    <x v="1"/>
  </r>
  <r>
    <x v="26"/>
    <x v="8"/>
    <x v="117"/>
    <n v="3731425.4250000003"/>
    <x v="1"/>
  </r>
  <r>
    <x v="26"/>
    <x v="9"/>
    <x v="117"/>
    <n v="3731425.4250000003"/>
    <x v="1"/>
  </r>
  <r>
    <x v="26"/>
    <x v="10"/>
    <x v="117"/>
    <n v="3731425.4250000003"/>
    <x v="1"/>
  </r>
  <r>
    <x v="26"/>
    <x v="11"/>
    <x v="117"/>
    <n v="3731425.4250000003"/>
    <x v="1"/>
  </r>
  <r>
    <x v="26"/>
    <x v="12"/>
    <x v="117"/>
    <n v="3731425.4250000003"/>
    <x v="1"/>
  </r>
  <r>
    <x v="26"/>
    <x v="13"/>
    <x v="117"/>
    <n v="3731425.4250000003"/>
    <x v="1"/>
  </r>
  <r>
    <x v="26"/>
    <x v="14"/>
    <x v="117"/>
    <n v="3731425.4250000003"/>
    <x v="1"/>
  </r>
  <r>
    <x v="26"/>
    <x v="15"/>
    <x v="117"/>
    <n v="3731425.4250000003"/>
    <x v="1"/>
  </r>
  <r>
    <x v="26"/>
    <x v="16"/>
    <x v="117"/>
    <n v="3731425.4250000003"/>
    <x v="1"/>
  </r>
  <r>
    <x v="26"/>
    <x v="17"/>
    <x v="117"/>
    <n v="3731425.4250000003"/>
    <x v="1"/>
  </r>
  <r>
    <x v="26"/>
    <x v="18"/>
    <x v="117"/>
    <n v="3731425.4250000003"/>
    <x v="1"/>
  </r>
  <r>
    <x v="26"/>
    <x v="19"/>
    <x v="117"/>
    <n v="3731425.4250000003"/>
    <x v="1"/>
  </r>
  <r>
    <x v="26"/>
    <x v="20"/>
    <x v="117"/>
    <n v="3731425.4250000003"/>
    <x v="1"/>
  </r>
  <r>
    <x v="26"/>
    <x v="0"/>
    <x v="118"/>
    <n v="3544014.6"/>
    <x v="1"/>
  </r>
  <r>
    <x v="26"/>
    <x v="1"/>
    <x v="118"/>
    <n v="3544014.6"/>
    <x v="1"/>
  </r>
  <r>
    <x v="26"/>
    <x v="2"/>
    <x v="118"/>
    <n v="3544014.6"/>
    <x v="1"/>
  </r>
  <r>
    <x v="26"/>
    <x v="3"/>
    <x v="118"/>
    <n v="3544014.6"/>
    <x v="1"/>
  </r>
  <r>
    <x v="26"/>
    <x v="4"/>
    <x v="118"/>
    <n v="3544014.6"/>
    <x v="1"/>
  </r>
  <r>
    <x v="26"/>
    <x v="5"/>
    <x v="118"/>
    <n v="3544014.6"/>
    <x v="1"/>
  </r>
  <r>
    <x v="26"/>
    <x v="6"/>
    <x v="118"/>
    <n v="3544014.6"/>
    <x v="1"/>
  </r>
  <r>
    <x v="26"/>
    <x v="7"/>
    <x v="118"/>
    <n v="3544014.6"/>
    <x v="1"/>
  </r>
  <r>
    <x v="26"/>
    <x v="8"/>
    <x v="118"/>
    <n v="3544014.6"/>
    <x v="1"/>
  </r>
  <r>
    <x v="26"/>
    <x v="9"/>
    <x v="118"/>
    <n v="3544014.6"/>
    <x v="1"/>
  </r>
  <r>
    <x v="26"/>
    <x v="10"/>
    <x v="118"/>
    <n v="3544014.6"/>
    <x v="1"/>
  </r>
  <r>
    <x v="26"/>
    <x v="11"/>
    <x v="118"/>
    <n v="3544014.6"/>
    <x v="1"/>
  </r>
  <r>
    <x v="26"/>
    <x v="12"/>
    <x v="118"/>
    <n v="3544014.6"/>
    <x v="1"/>
  </r>
  <r>
    <x v="26"/>
    <x v="13"/>
    <x v="118"/>
    <n v="3544014.6"/>
    <x v="1"/>
  </r>
  <r>
    <x v="26"/>
    <x v="14"/>
    <x v="118"/>
    <n v="3544014.6"/>
    <x v="1"/>
  </r>
  <r>
    <x v="26"/>
    <x v="15"/>
    <x v="118"/>
    <n v="3544014.6"/>
    <x v="1"/>
  </r>
  <r>
    <x v="26"/>
    <x v="16"/>
    <x v="118"/>
    <n v="3544014.6"/>
    <x v="1"/>
  </r>
  <r>
    <x v="26"/>
    <x v="17"/>
    <x v="118"/>
    <n v="3544014.6"/>
    <x v="1"/>
  </r>
  <r>
    <x v="26"/>
    <x v="18"/>
    <x v="118"/>
    <n v="3544014.6"/>
    <x v="1"/>
  </r>
  <r>
    <x v="26"/>
    <x v="19"/>
    <x v="118"/>
    <n v="3544014.6"/>
    <x v="1"/>
  </r>
  <r>
    <x v="26"/>
    <x v="20"/>
    <x v="118"/>
    <n v="3544014.6"/>
    <x v="1"/>
  </r>
  <r>
    <x v="26"/>
    <x v="0"/>
    <x v="14"/>
    <n v="4829985.3734999998"/>
    <x v="1"/>
  </r>
  <r>
    <x v="26"/>
    <x v="1"/>
    <x v="14"/>
    <n v="4829985.3734999998"/>
    <x v="1"/>
  </r>
  <r>
    <x v="26"/>
    <x v="2"/>
    <x v="14"/>
    <n v="4829985.3734999998"/>
    <x v="1"/>
  </r>
  <r>
    <x v="26"/>
    <x v="3"/>
    <x v="14"/>
    <n v="4829985.3734999998"/>
    <x v="1"/>
  </r>
  <r>
    <x v="26"/>
    <x v="4"/>
    <x v="14"/>
    <n v="4829985.3734999998"/>
    <x v="1"/>
  </r>
  <r>
    <x v="26"/>
    <x v="5"/>
    <x v="14"/>
    <n v="4829985.3734999998"/>
    <x v="1"/>
  </r>
  <r>
    <x v="26"/>
    <x v="6"/>
    <x v="14"/>
    <n v="4829985.3734999998"/>
    <x v="1"/>
  </r>
  <r>
    <x v="26"/>
    <x v="7"/>
    <x v="14"/>
    <n v="4829985.3734999998"/>
    <x v="1"/>
  </r>
  <r>
    <x v="26"/>
    <x v="8"/>
    <x v="14"/>
    <n v="4829985.3734999998"/>
    <x v="1"/>
  </r>
  <r>
    <x v="26"/>
    <x v="9"/>
    <x v="14"/>
    <n v="4829985.3734999998"/>
    <x v="1"/>
  </r>
  <r>
    <x v="26"/>
    <x v="10"/>
    <x v="14"/>
    <n v="4829985.3734999998"/>
    <x v="1"/>
  </r>
  <r>
    <x v="26"/>
    <x v="11"/>
    <x v="14"/>
    <n v="4829985.3734999998"/>
    <x v="1"/>
  </r>
  <r>
    <x v="26"/>
    <x v="12"/>
    <x v="14"/>
    <n v="4829985.3734999998"/>
    <x v="1"/>
  </r>
  <r>
    <x v="26"/>
    <x v="13"/>
    <x v="14"/>
    <n v="4829985.3734999998"/>
    <x v="1"/>
  </r>
  <r>
    <x v="26"/>
    <x v="14"/>
    <x v="14"/>
    <n v="4829985.3734999998"/>
    <x v="1"/>
  </r>
  <r>
    <x v="26"/>
    <x v="15"/>
    <x v="14"/>
    <n v="4829985.3734999998"/>
    <x v="1"/>
  </r>
  <r>
    <x v="26"/>
    <x v="16"/>
    <x v="14"/>
    <n v="4829985.3734999998"/>
    <x v="1"/>
  </r>
  <r>
    <x v="26"/>
    <x v="17"/>
    <x v="14"/>
    <n v="4829985.3734999998"/>
    <x v="1"/>
  </r>
  <r>
    <x v="26"/>
    <x v="18"/>
    <x v="14"/>
    <n v="4829985.3734999998"/>
    <x v="1"/>
  </r>
  <r>
    <x v="26"/>
    <x v="19"/>
    <x v="14"/>
    <n v="4829985.3734999998"/>
    <x v="1"/>
  </r>
  <r>
    <x v="26"/>
    <x v="20"/>
    <x v="14"/>
    <n v="4829985.3734999998"/>
    <x v="1"/>
  </r>
  <r>
    <x v="26"/>
    <x v="1"/>
    <x v="110"/>
    <n v="4829985.3734999998"/>
    <x v="1"/>
  </r>
  <r>
    <x v="26"/>
    <x v="2"/>
    <x v="110"/>
    <n v="4829985.3734999998"/>
    <x v="1"/>
  </r>
  <r>
    <x v="26"/>
    <x v="3"/>
    <x v="110"/>
    <n v="4829985.3734999998"/>
    <x v="1"/>
  </r>
  <r>
    <x v="26"/>
    <x v="4"/>
    <x v="110"/>
    <n v="4829985.3734999998"/>
    <x v="1"/>
  </r>
  <r>
    <x v="26"/>
    <x v="5"/>
    <x v="110"/>
    <n v="4829985.3734999998"/>
    <x v="1"/>
  </r>
  <r>
    <x v="26"/>
    <x v="6"/>
    <x v="110"/>
    <n v="4829985.3734999998"/>
    <x v="1"/>
  </r>
  <r>
    <x v="26"/>
    <x v="7"/>
    <x v="110"/>
    <n v="4829985.3734999998"/>
    <x v="1"/>
  </r>
  <r>
    <x v="26"/>
    <x v="8"/>
    <x v="110"/>
    <n v="4829985.3734999998"/>
    <x v="1"/>
  </r>
  <r>
    <x v="26"/>
    <x v="9"/>
    <x v="110"/>
    <n v="4829985.3734999998"/>
    <x v="1"/>
  </r>
  <r>
    <x v="26"/>
    <x v="10"/>
    <x v="110"/>
    <n v="4829985.3734999998"/>
    <x v="1"/>
  </r>
  <r>
    <x v="26"/>
    <x v="11"/>
    <x v="110"/>
    <n v="4829985.3734999998"/>
    <x v="1"/>
  </r>
  <r>
    <x v="26"/>
    <x v="12"/>
    <x v="110"/>
    <n v="4829985.3734999998"/>
    <x v="1"/>
  </r>
  <r>
    <x v="26"/>
    <x v="13"/>
    <x v="110"/>
    <n v="4829985.3734999998"/>
    <x v="1"/>
  </r>
  <r>
    <x v="26"/>
    <x v="14"/>
    <x v="110"/>
    <n v="4829985.3734999998"/>
    <x v="1"/>
  </r>
  <r>
    <x v="26"/>
    <x v="15"/>
    <x v="110"/>
    <n v="4829985.3734999998"/>
    <x v="1"/>
  </r>
  <r>
    <x v="26"/>
    <x v="16"/>
    <x v="110"/>
    <n v="4829985.3734999998"/>
    <x v="1"/>
  </r>
  <r>
    <x v="26"/>
    <x v="17"/>
    <x v="110"/>
    <n v="4829985.3734999998"/>
    <x v="1"/>
  </r>
  <r>
    <x v="26"/>
    <x v="18"/>
    <x v="110"/>
    <n v="4829985.3734999998"/>
    <x v="1"/>
  </r>
  <r>
    <x v="26"/>
    <x v="19"/>
    <x v="110"/>
    <n v="4829985.3734999998"/>
    <x v="1"/>
  </r>
  <r>
    <x v="26"/>
    <x v="20"/>
    <x v="110"/>
    <n v="4829985.3734999998"/>
    <x v="1"/>
  </r>
  <r>
    <x v="26"/>
    <x v="6"/>
    <x v="10"/>
    <n v="3613544.2664999994"/>
    <x v="1"/>
  </r>
  <r>
    <x v="26"/>
    <x v="7"/>
    <x v="10"/>
    <n v="3613544.2664999994"/>
    <x v="1"/>
  </r>
  <r>
    <x v="26"/>
    <x v="8"/>
    <x v="10"/>
    <n v="3613544.2664999994"/>
    <x v="1"/>
  </r>
  <r>
    <x v="26"/>
    <x v="9"/>
    <x v="10"/>
    <n v="3613544.2664999994"/>
    <x v="1"/>
  </r>
  <r>
    <x v="26"/>
    <x v="10"/>
    <x v="10"/>
    <n v="3613544.2664999994"/>
    <x v="1"/>
  </r>
  <r>
    <x v="26"/>
    <x v="11"/>
    <x v="10"/>
    <n v="3613544.2664999994"/>
    <x v="1"/>
  </r>
  <r>
    <x v="26"/>
    <x v="12"/>
    <x v="10"/>
    <n v="3613544.2664999994"/>
    <x v="1"/>
  </r>
  <r>
    <x v="26"/>
    <x v="13"/>
    <x v="10"/>
    <n v="3613544.2664999994"/>
    <x v="1"/>
  </r>
  <r>
    <x v="26"/>
    <x v="14"/>
    <x v="10"/>
    <n v="3613544.2664999994"/>
    <x v="1"/>
  </r>
  <r>
    <x v="26"/>
    <x v="15"/>
    <x v="10"/>
    <n v="3613544.2664999994"/>
    <x v="1"/>
  </r>
  <r>
    <x v="26"/>
    <x v="16"/>
    <x v="10"/>
    <n v="3613544.2664999994"/>
    <x v="1"/>
  </r>
  <r>
    <x v="26"/>
    <x v="17"/>
    <x v="10"/>
    <n v="3613544.2664999994"/>
    <x v="1"/>
  </r>
  <r>
    <x v="26"/>
    <x v="18"/>
    <x v="10"/>
    <n v="3613544.2664999994"/>
    <x v="1"/>
  </r>
  <r>
    <x v="26"/>
    <x v="19"/>
    <x v="10"/>
    <n v="3613544.2664999994"/>
    <x v="1"/>
  </r>
  <r>
    <x v="26"/>
    <x v="20"/>
    <x v="10"/>
    <n v="3613544.2664999994"/>
    <x v="1"/>
  </r>
  <r>
    <x v="27"/>
    <x v="2"/>
    <x v="0"/>
    <n v="3170664"/>
    <x v="1"/>
  </r>
  <r>
    <x v="27"/>
    <x v="3"/>
    <x v="0"/>
    <n v="3170664"/>
    <x v="1"/>
  </r>
  <r>
    <x v="27"/>
    <x v="4"/>
    <x v="0"/>
    <n v="3170664"/>
    <x v="1"/>
  </r>
  <r>
    <x v="27"/>
    <x v="5"/>
    <x v="0"/>
    <n v="3170664"/>
    <x v="1"/>
  </r>
  <r>
    <x v="27"/>
    <x v="6"/>
    <x v="0"/>
    <n v="3170664"/>
    <x v="1"/>
  </r>
  <r>
    <x v="27"/>
    <x v="7"/>
    <x v="0"/>
    <n v="3170664"/>
    <x v="1"/>
  </r>
  <r>
    <x v="27"/>
    <x v="8"/>
    <x v="0"/>
    <n v="3170664"/>
    <x v="1"/>
  </r>
  <r>
    <x v="27"/>
    <x v="9"/>
    <x v="0"/>
    <n v="3170664"/>
    <x v="1"/>
  </r>
  <r>
    <x v="27"/>
    <x v="10"/>
    <x v="0"/>
    <n v="3170664"/>
    <x v="1"/>
  </r>
  <r>
    <x v="27"/>
    <x v="11"/>
    <x v="0"/>
    <n v="3170664"/>
    <x v="1"/>
  </r>
  <r>
    <x v="27"/>
    <x v="12"/>
    <x v="0"/>
    <n v="3170664"/>
    <x v="1"/>
  </r>
  <r>
    <x v="27"/>
    <x v="13"/>
    <x v="0"/>
    <n v="3170664"/>
    <x v="1"/>
  </r>
  <r>
    <x v="27"/>
    <x v="14"/>
    <x v="0"/>
    <n v="3170664"/>
    <x v="1"/>
  </r>
  <r>
    <x v="27"/>
    <x v="15"/>
    <x v="0"/>
    <n v="3170664"/>
    <x v="1"/>
  </r>
  <r>
    <x v="27"/>
    <x v="16"/>
    <x v="0"/>
    <n v="3170664"/>
    <x v="1"/>
  </r>
  <r>
    <x v="27"/>
    <x v="2"/>
    <x v="1"/>
    <n v="8741250"/>
    <x v="1"/>
  </r>
  <r>
    <x v="27"/>
    <x v="3"/>
    <x v="1"/>
    <n v="8741250"/>
    <x v="1"/>
  </r>
  <r>
    <x v="27"/>
    <x v="4"/>
    <x v="1"/>
    <n v="8741250"/>
    <x v="1"/>
  </r>
  <r>
    <x v="27"/>
    <x v="5"/>
    <x v="1"/>
    <n v="8741250"/>
    <x v="1"/>
  </r>
  <r>
    <x v="27"/>
    <x v="6"/>
    <x v="1"/>
    <n v="8741250"/>
    <x v="1"/>
  </r>
  <r>
    <x v="27"/>
    <x v="7"/>
    <x v="1"/>
    <n v="8741250"/>
    <x v="1"/>
  </r>
  <r>
    <x v="27"/>
    <x v="8"/>
    <x v="1"/>
    <n v="8741250"/>
    <x v="1"/>
  </r>
  <r>
    <x v="27"/>
    <x v="9"/>
    <x v="1"/>
    <n v="8741250"/>
    <x v="1"/>
  </r>
  <r>
    <x v="27"/>
    <x v="10"/>
    <x v="1"/>
    <n v="8741250"/>
    <x v="1"/>
  </r>
  <r>
    <x v="27"/>
    <x v="11"/>
    <x v="1"/>
    <n v="8741250"/>
    <x v="1"/>
  </r>
  <r>
    <x v="27"/>
    <x v="12"/>
    <x v="1"/>
    <n v="8741250"/>
    <x v="1"/>
  </r>
  <r>
    <x v="27"/>
    <x v="13"/>
    <x v="1"/>
    <n v="8741250"/>
    <x v="1"/>
  </r>
  <r>
    <x v="27"/>
    <x v="2"/>
    <x v="15"/>
    <n v="4725000"/>
    <x v="1"/>
  </r>
  <r>
    <x v="27"/>
    <x v="3"/>
    <x v="15"/>
    <n v="4725000"/>
    <x v="1"/>
  </r>
  <r>
    <x v="27"/>
    <x v="4"/>
    <x v="15"/>
    <n v="4725000"/>
    <x v="1"/>
  </r>
  <r>
    <x v="27"/>
    <x v="5"/>
    <x v="15"/>
    <n v="4725000"/>
    <x v="1"/>
  </r>
  <r>
    <x v="27"/>
    <x v="6"/>
    <x v="15"/>
    <n v="4725000"/>
    <x v="1"/>
  </r>
  <r>
    <x v="27"/>
    <x v="7"/>
    <x v="15"/>
    <n v="4725000"/>
    <x v="1"/>
  </r>
  <r>
    <x v="27"/>
    <x v="8"/>
    <x v="15"/>
    <n v="4725000"/>
    <x v="1"/>
  </r>
  <r>
    <x v="27"/>
    <x v="9"/>
    <x v="15"/>
    <n v="4725000"/>
    <x v="1"/>
  </r>
  <r>
    <x v="27"/>
    <x v="10"/>
    <x v="15"/>
    <n v="4725000"/>
    <x v="1"/>
  </r>
  <r>
    <x v="27"/>
    <x v="11"/>
    <x v="15"/>
    <n v="4725000"/>
    <x v="1"/>
  </r>
  <r>
    <x v="27"/>
    <x v="12"/>
    <x v="15"/>
    <n v="4725000"/>
    <x v="1"/>
  </r>
  <r>
    <x v="27"/>
    <x v="13"/>
    <x v="15"/>
    <n v="4725000"/>
    <x v="1"/>
  </r>
  <r>
    <x v="27"/>
    <x v="2"/>
    <x v="14"/>
    <n v="4006799.9999999995"/>
    <x v="1"/>
  </r>
  <r>
    <x v="27"/>
    <x v="3"/>
    <x v="14"/>
    <n v="4006799.9999999995"/>
    <x v="1"/>
  </r>
  <r>
    <x v="27"/>
    <x v="4"/>
    <x v="14"/>
    <n v="4006799.9999999995"/>
    <x v="1"/>
  </r>
  <r>
    <x v="27"/>
    <x v="5"/>
    <x v="14"/>
    <n v="4006799.9999999995"/>
    <x v="1"/>
  </r>
  <r>
    <x v="27"/>
    <x v="6"/>
    <x v="14"/>
    <n v="4006799.9999999995"/>
    <x v="1"/>
  </r>
  <r>
    <x v="27"/>
    <x v="7"/>
    <x v="14"/>
    <n v="4006799.9999999995"/>
    <x v="1"/>
  </r>
  <r>
    <x v="27"/>
    <x v="8"/>
    <x v="14"/>
    <n v="4006799.9999999995"/>
    <x v="1"/>
  </r>
  <r>
    <x v="27"/>
    <x v="9"/>
    <x v="14"/>
    <n v="4006799.9999999995"/>
    <x v="1"/>
  </r>
  <r>
    <x v="27"/>
    <x v="10"/>
    <x v="14"/>
    <n v="4006799.9999999995"/>
    <x v="1"/>
  </r>
  <r>
    <x v="27"/>
    <x v="11"/>
    <x v="14"/>
    <n v="4006799.9999999995"/>
    <x v="1"/>
  </r>
  <r>
    <x v="27"/>
    <x v="12"/>
    <x v="14"/>
    <n v="4006799.9999999995"/>
    <x v="1"/>
  </r>
  <r>
    <x v="27"/>
    <x v="2"/>
    <x v="58"/>
    <n v="1850625"/>
    <x v="1"/>
  </r>
  <r>
    <x v="27"/>
    <x v="3"/>
    <x v="58"/>
    <n v="1850625"/>
    <x v="1"/>
  </r>
  <r>
    <x v="27"/>
    <x v="4"/>
    <x v="58"/>
    <n v="1850625"/>
    <x v="1"/>
  </r>
  <r>
    <x v="27"/>
    <x v="5"/>
    <x v="58"/>
    <n v="1850625"/>
    <x v="1"/>
  </r>
  <r>
    <x v="27"/>
    <x v="2"/>
    <x v="119"/>
    <n v="2583000"/>
    <x v="1"/>
  </r>
  <r>
    <x v="27"/>
    <x v="3"/>
    <x v="119"/>
    <n v="2583000"/>
    <x v="1"/>
  </r>
  <r>
    <x v="27"/>
    <x v="4"/>
    <x v="119"/>
    <n v="2583000"/>
    <x v="1"/>
  </r>
  <r>
    <x v="27"/>
    <x v="5"/>
    <x v="119"/>
    <n v="2583000"/>
    <x v="1"/>
  </r>
  <r>
    <x v="28"/>
    <x v="1"/>
    <x v="1"/>
    <n v="12134941.875"/>
    <x v="1"/>
  </r>
  <r>
    <x v="28"/>
    <x v="2"/>
    <x v="1"/>
    <n v="12134941.875"/>
    <x v="1"/>
  </r>
  <r>
    <x v="28"/>
    <x v="3"/>
    <x v="1"/>
    <n v="12134941.875"/>
    <x v="1"/>
  </r>
  <r>
    <x v="28"/>
    <x v="4"/>
    <x v="1"/>
    <n v="12134941.875"/>
    <x v="1"/>
  </r>
  <r>
    <x v="28"/>
    <x v="5"/>
    <x v="1"/>
    <n v="12134941.875"/>
    <x v="1"/>
  </r>
  <r>
    <x v="28"/>
    <x v="6"/>
    <x v="1"/>
    <n v="12134941.875"/>
    <x v="1"/>
  </r>
  <r>
    <x v="28"/>
    <x v="7"/>
    <x v="1"/>
    <n v="12134941.875"/>
    <x v="1"/>
  </r>
  <r>
    <x v="28"/>
    <x v="8"/>
    <x v="1"/>
    <n v="12134941.875"/>
    <x v="1"/>
  </r>
  <r>
    <x v="28"/>
    <x v="9"/>
    <x v="1"/>
    <n v="12134941.875"/>
    <x v="1"/>
  </r>
  <r>
    <x v="28"/>
    <x v="10"/>
    <x v="1"/>
    <n v="12134941.875"/>
    <x v="1"/>
  </r>
  <r>
    <x v="28"/>
    <x v="11"/>
    <x v="1"/>
    <n v="12134941.875"/>
    <x v="1"/>
  </r>
  <r>
    <x v="28"/>
    <x v="12"/>
    <x v="1"/>
    <n v="12134941.875"/>
    <x v="1"/>
  </r>
  <r>
    <x v="28"/>
    <x v="13"/>
    <x v="1"/>
    <n v="12134941.875"/>
    <x v="1"/>
  </r>
  <r>
    <x v="28"/>
    <x v="14"/>
    <x v="1"/>
    <n v="12134941.875"/>
    <x v="1"/>
  </r>
  <r>
    <x v="28"/>
    <x v="15"/>
    <x v="1"/>
    <n v="12134941.875"/>
    <x v="1"/>
  </r>
  <r>
    <x v="28"/>
    <x v="16"/>
    <x v="1"/>
    <n v="12134941.875"/>
    <x v="1"/>
  </r>
  <r>
    <x v="28"/>
    <x v="17"/>
    <x v="1"/>
    <n v="12134941.875"/>
    <x v="1"/>
  </r>
  <r>
    <x v="28"/>
    <x v="1"/>
    <x v="13"/>
    <n v="7406867.4750000006"/>
    <x v="1"/>
  </r>
  <r>
    <x v="28"/>
    <x v="2"/>
    <x v="13"/>
    <n v="7406867.4750000006"/>
    <x v="1"/>
  </r>
  <r>
    <x v="28"/>
    <x v="3"/>
    <x v="13"/>
    <n v="7406867.4750000006"/>
    <x v="1"/>
  </r>
  <r>
    <x v="28"/>
    <x v="4"/>
    <x v="13"/>
    <n v="7406867.4750000006"/>
    <x v="1"/>
  </r>
  <r>
    <x v="28"/>
    <x v="5"/>
    <x v="13"/>
    <n v="7406867.4750000006"/>
    <x v="1"/>
  </r>
  <r>
    <x v="28"/>
    <x v="6"/>
    <x v="13"/>
    <n v="7406867.4750000006"/>
    <x v="1"/>
  </r>
  <r>
    <x v="28"/>
    <x v="7"/>
    <x v="13"/>
    <n v="7406867.4750000006"/>
    <x v="1"/>
  </r>
  <r>
    <x v="28"/>
    <x v="8"/>
    <x v="13"/>
    <n v="7406867.4750000006"/>
    <x v="1"/>
  </r>
  <r>
    <x v="28"/>
    <x v="9"/>
    <x v="13"/>
    <n v="7406867.4750000006"/>
    <x v="1"/>
  </r>
  <r>
    <x v="28"/>
    <x v="10"/>
    <x v="13"/>
    <n v="7406867.4750000006"/>
    <x v="1"/>
  </r>
  <r>
    <x v="28"/>
    <x v="11"/>
    <x v="13"/>
    <n v="7406867.4750000006"/>
    <x v="1"/>
  </r>
  <r>
    <x v="28"/>
    <x v="12"/>
    <x v="13"/>
    <n v="7406867.4750000006"/>
    <x v="1"/>
  </r>
  <r>
    <x v="28"/>
    <x v="13"/>
    <x v="13"/>
    <n v="7406867.4750000006"/>
    <x v="1"/>
  </r>
  <r>
    <x v="28"/>
    <x v="14"/>
    <x v="13"/>
    <n v="7406867.4750000006"/>
    <x v="1"/>
  </r>
  <r>
    <x v="28"/>
    <x v="15"/>
    <x v="13"/>
    <n v="7406867.4750000006"/>
    <x v="1"/>
  </r>
  <r>
    <x v="28"/>
    <x v="16"/>
    <x v="13"/>
    <n v="7406867.4750000006"/>
    <x v="1"/>
  </r>
  <r>
    <x v="28"/>
    <x v="17"/>
    <x v="13"/>
    <n v="7406867.4750000006"/>
    <x v="1"/>
  </r>
  <r>
    <x v="28"/>
    <x v="18"/>
    <x v="13"/>
    <n v="7406867.4750000006"/>
    <x v="1"/>
  </r>
  <r>
    <x v="28"/>
    <x v="19"/>
    <x v="13"/>
    <n v="7406867.4750000006"/>
    <x v="1"/>
  </r>
  <r>
    <x v="28"/>
    <x v="20"/>
    <x v="13"/>
    <n v="7406867.4750000006"/>
    <x v="1"/>
  </r>
  <r>
    <x v="28"/>
    <x v="21"/>
    <x v="13"/>
    <n v="7406867.4750000006"/>
    <x v="1"/>
  </r>
  <r>
    <x v="28"/>
    <x v="22"/>
    <x v="13"/>
    <n v="7406867.4750000006"/>
    <x v="1"/>
  </r>
  <r>
    <x v="28"/>
    <x v="23"/>
    <x v="13"/>
    <n v="7406867.4750000006"/>
    <x v="1"/>
  </r>
  <r>
    <x v="28"/>
    <x v="1"/>
    <x v="63"/>
    <n v="7540019.5500000007"/>
    <x v="1"/>
  </r>
  <r>
    <x v="28"/>
    <x v="2"/>
    <x v="63"/>
    <n v="7540019.5500000007"/>
    <x v="1"/>
  </r>
  <r>
    <x v="28"/>
    <x v="3"/>
    <x v="63"/>
    <n v="7540019.5500000007"/>
    <x v="1"/>
  </r>
  <r>
    <x v="28"/>
    <x v="4"/>
    <x v="63"/>
    <n v="7540019.5500000007"/>
    <x v="1"/>
  </r>
  <r>
    <x v="28"/>
    <x v="5"/>
    <x v="63"/>
    <n v="7540019.5500000007"/>
    <x v="1"/>
  </r>
  <r>
    <x v="28"/>
    <x v="6"/>
    <x v="63"/>
    <n v="7540019.5500000007"/>
    <x v="1"/>
  </r>
  <r>
    <x v="28"/>
    <x v="7"/>
    <x v="63"/>
    <n v="7540019.5500000007"/>
    <x v="1"/>
  </r>
  <r>
    <x v="28"/>
    <x v="8"/>
    <x v="63"/>
    <n v="7540019.5500000007"/>
    <x v="1"/>
  </r>
  <r>
    <x v="28"/>
    <x v="9"/>
    <x v="63"/>
    <n v="7540019.5500000007"/>
    <x v="1"/>
  </r>
  <r>
    <x v="28"/>
    <x v="10"/>
    <x v="63"/>
    <n v="7540019.5500000007"/>
    <x v="1"/>
  </r>
  <r>
    <x v="28"/>
    <x v="11"/>
    <x v="63"/>
    <n v="7540019.5500000007"/>
    <x v="1"/>
  </r>
  <r>
    <x v="28"/>
    <x v="12"/>
    <x v="63"/>
    <n v="7540019.5500000007"/>
    <x v="1"/>
  </r>
  <r>
    <x v="28"/>
    <x v="13"/>
    <x v="63"/>
    <n v="7540019.5500000007"/>
    <x v="1"/>
  </r>
  <r>
    <x v="28"/>
    <x v="14"/>
    <x v="63"/>
    <n v="7540019.5500000007"/>
    <x v="1"/>
  </r>
  <r>
    <x v="28"/>
    <x v="1"/>
    <x v="15"/>
    <n v="5488569.4500000002"/>
    <x v="1"/>
  </r>
  <r>
    <x v="28"/>
    <x v="2"/>
    <x v="15"/>
    <n v="5488569.4500000002"/>
    <x v="1"/>
  </r>
  <r>
    <x v="28"/>
    <x v="3"/>
    <x v="15"/>
    <n v="5488569.4500000002"/>
    <x v="1"/>
  </r>
  <r>
    <x v="28"/>
    <x v="4"/>
    <x v="15"/>
    <n v="5488569.4500000002"/>
    <x v="1"/>
  </r>
  <r>
    <x v="28"/>
    <x v="5"/>
    <x v="15"/>
    <n v="5488569.4500000002"/>
    <x v="1"/>
  </r>
  <r>
    <x v="28"/>
    <x v="6"/>
    <x v="15"/>
    <n v="5488569.4500000002"/>
    <x v="1"/>
  </r>
  <r>
    <x v="28"/>
    <x v="7"/>
    <x v="15"/>
    <n v="5488569.4500000002"/>
    <x v="1"/>
  </r>
  <r>
    <x v="28"/>
    <x v="8"/>
    <x v="15"/>
    <n v="5488569.4500000002"/>
    <x v="1"/>
  </r>
  <r>
    <x v="28"/>
    <x v="9"/>
    <x v="15"/>
    <n v="5488569.4500000002"/>
    <x v="1"/>
  </r>
  <r>
    <x v="28"/>
    <x v="10"/>
    <x v="15"/>
    <n v="5488569.4500000002"/>
    <x v="1"/>
  </r>
  <r>
    <x v="28"/>
    <x v="11"/>
    <x v="15"/>
    <n v="5488569.4500000002"/>
    <x v="1"/>
  </r>
  <r>
    <x v="28"/>
    <x v="12"/>
    <x v="15"/>
    <n v="5488569.4500000002"/>
    <x v="1"/>
  </r>
  <r>
    <x v="28"/>
    <x v="13"/>
    <x v="15"/>
    <n v="5488569.4500000002"/>
    <x v="1"/>
  </r>
  <r>
    <x v="28"/>
    <x v="14"/>
    <x v="15"/>
    <n v="5488569.4500000002"/>
    <x v="1"/>
  </r>
  <r>
    <x v="28"/>
    <x v="15"/>
    <x v="15"/>
    <n v="5488569.4500000002"/>
    <x v="1"/>
  </r>
  <r>
    <x v="28"/>
    <x v="16"/>
    <x v="15"/>
    <n v="5488569.4500000002"/>
    <x v="1"/>
  </r>
  <r>
    <x v="28"/>
    <x v="17"/>
    <x v="15"/>
    <n v="5488569.4500000002"/>
    <x v="1"/>
  </r>
  <r>
    <x v="28"/>
    <x v="1"/>
    <x v="70"/>
    <n v="4923668.9249999998"/>
    <x v="1"/>
  </r>
  <r>
    <x v="28"/>
    <x v="2"/>
    <x v="70"/>
    <n v="4923668.9249999998"/>
    <x v="1"/>
  </r>
  <r>
    <x v="28"/>
    <x v="3"/>
    <x v="70"/>
    <n v="4923668.9249999998"/>
    <x v="1"/>
  </r>
  <r>
    <x v="28"/>
    <x v="4"/>
    <x v="70"/>
    <n v="4923668.9249999998"/>
    <x v="1"/>
  </r>
  <r>
    <x v="28"/>
    <x v="5"/>
    <x v="70"/>
    <n v="4923668.9249999998"/>
    <x v="1"/>
  </r>
  <r>
    <x v="28"/>
    <x v="6"/>
    <x v="70"/>
    <n v="4923668.9249999998"/>
    <x v="1"/>
  </r>
  <r>
    <x v="28"/>
    <x v="7"/>
    <x v="70"/>
    <n v="4923668.9249999998"/>
    <x v="1"/>
  </r>
  <r>
    <x v="28"/>
    <x v="8"/>
    <x v="70"/>
    <n v="4923668.9249999998"/>
    <x v="1"/>
  </r>
  <r>
    <x v="28"/>
    <x v="9"/>
    <x v="70"/>
    <n v="4923668.9249999998"/>
    <x v="1"/>
  </r>
  <r>
    <x v="28"/>
    <x v="10"/>
    <x v="70"/>
    <n v="4923668.9249999998"/>
    <x v="1"/>
  </r>
  <r>
    <x v="28"/>
    <x v="11"/>
    <x v="70"/>
    <n v="4923668.9249999998"/>
    <x v="1"/>
  </r>
  <r>
    <x v="28"/>
    <x v="12"/>
    <x v="70"/>
    <n v="4923668.9249999998"/>
    <x v="1"/>
  </r>
  <r>
    <x v="28"/>
    <x v="13"/>
    <x v="70"/>
    <n v="4923668.9249999998"/>
    <x v="1"/>
  </r>
  <r>
    <x v="28"/>
    <x v="14"/>
    <x v="70"/>
    <n v="4923668.9249999998"/>
    <x v="1"/>
  </r>
  <r>
    <x v="28"/>
    <x v="15"/>
    <x v="70"/>
    <n v="4923668.9249999998"/>
    <x v="1"/>
  </r>
  <r>
    <x v="28"/>
    <x v="16"/>
    <x v="70"/>
    <n v="4923668.9249999998"/>
    <x v="1"/>
  </r>
  <r>
    <x v="28"/>
    <x v="17"/>
    <x v="70"/>
    <n v="4923668.9249999998"/>
    <x v="1"/>
  </r>
  <r>
    <x v="28"/>
    <x v="18"/>
    <x v="70"/>
    <n v="4923668.9249999998"/>
    <x v="1"/>
  </r>
  <r>
    <x v="28"/>
    <x v="1"/>
    <x v="30"/>
    <n v="3222031.0500000003"/>
    <x v="1"/>
  </r>
  <r>
    <x v="28"/>
    <x v="2"/>
    <x v="30"/>
    <n v="3222031.0500000003"/>
    <x v="1"/>
  </r>
  <r>
    <x v="28"/>
    <x v="3"/>
    <x v="30"/>
    <n v="3222031.0500000003"/>
    <x v="1"/>
  </r>
  <r>
    <x v="28"/>
    <x v="4"/>
    <x v="30"/>
    <n v="3222031.0500000003"/>
    <x v="1"/>
  </r>
  <r>
    <x v="28"/>
    <x v="5"/>
    <x v="30"/>
    <n v="3222031.0500000003"/>
    <x v="1"/>
  </r>
  <r>
    <x v="28"/>
    <x v="6"/>
    <x v="30"/>
    <n v="3222031.0500000003"/>
    <x v="1"/>
  </r>
  <r>
    <x v="28"/>
    <x v="7"/>
    <x v="30"/>
    <n v="3222031.0500000003"/>
    <x v="1"/>
  </r>
  <r>
    <x v="28"/>
    <x v="8"/>
    <x v="30"/>
    <n v="3222031.0500000003"/>
    <x v="1"/>
  </r>
  <r>
    <x v="28"/>
    <x v="9"/>
    <x v="30"/>
    <n v="3222031.0500000003"/>
    <x v="1"/>
  </r>
  <r>
    <x v="28"/>
    <x v="10"/>
    <x v="30"/>
    <n v="3222031.0500000003"/>
    <x v="1"/>
  </r>
  <r>
    <x v="28"/>
    <x v="11"/>
    <x v="30"/>
    <n v="3222031.0500000003"/>
    <x v="1"/>
  </r>
  <r>
    <x v="28"/>
    <x v="12"/>
    <x v="30"/>
    <n v="3222031.0500000003"/>
    <x v="1"/>
  </r>
  <r>
    <x v="28"/>
    <x v="13"/>
    <x v="30"/>
    <n v="3222031.0500000003"/>
    <x v="1"/>
  </r>
  <r>
    <x v="28"/>
    <x v="14"/>
    <x v="30"/>
    <n v="3222031.0500000003"/>
    <x v="1"/>
  </r>
  <r>
    <x v="28"/>
    <x v="15"/>
    <x v="30"/>
    <n v="3222031.0500000003"/>
    <x v="1"/>
  </r>
  <r>
    <x v="28"/>
    <x v="16"/>
    <x v="30"/>
    <n v="3222031.0500000003"/>
    <x v="1"/>
  </r>
  <r>
    <x v="28"/>
    <x v="17"/>
    <x v="30"/>
    <n v="3222031.0500000003"/>
    <x v="1"/>
  </r>
  <r>
    <x v="28"/>
    <x v="18"/>
    <x v="30"/>
    <n v="3222031.0500000003"/>
    <x v="1"/>
  </r>
  <r>
    <x v="28"/>
    <x v="19"/>
    <x v="30"/>
    <n v="3222031.0500000003"/>
    <x v="1"/>
  </r>
  <r>
    <x v="28"/>
    <x v="20"/>
    <x v="30"/>
    <n v="3222031.0500000003"/>
    <x v="1"/>
  </r>
  <r>
    <x v="28"/>
    <x v="21"/>
    <x v="30"/>
    <n v="3222031.0500000003"/>
    <x v="1"/>
  </r>
  <r>
    <x v="28"/>
    <x v="22"/>
    <x v="30"/>
    <n v="3222031.0500000003"/>
    <x v="1"/>
  </r>
  <r>
    <x v="28"/>
    <x v="23"/>
    <x v="30"/>
    <n v="3222031.0500000003"/>
    <x v="1"/>
  </r>
  <r>
    <x v="28"/>
    <x v="1"/>
    <x v="67"/>
    <n v="3868248.1949999994"/>
    <x v="1"/>
  </r>
  <r>
    <x v="28"/>
    <x v="2"/>
    <x v="67"/>
    <n v="3868248.1949999994"/>
    <x v="1"/>
  </r>
  <r>
    <x v="28"/>
    <x v="3"/>
    <x v="67"/>
    <n v="3868248.1949999994"/>
    <x v="1"/>
  </r>
  <r>
    <x v="28"/>
    <x v="4"/>
    <x v="67"/>
    <n v="3868248.1949999994"/>
    <x v="1"/>
  </r>
  <r>
    <x v="28"/>
    <x v="5"/>
    <x v="67"/>
    <n v="3868248.1949999994"/>
    <x v="1"/>
  </r>
  <r>
    <x v="28"/>
    <x v="6"/>
    <x v="67"/>
    <n v="3868248.1949999994"/>
    <x v="1"/>
  </r>
  <r>
    <x v="28"/>
    <x v="7"/>
    <x v="67"/>
    <n v="3868248.1949999994"/>
    <x v="1"/>
  </r>
  <r>
    <x v="28"/>
    <x v="8"/>
    <x v="67"/>
    <n v="3868248.1949999994"/>
    <x v="1"/>
  </r>
  <r>
    <x v="28"/>
    <x v="9"/>
    <x v="67"/>
    <n v="3868248.1949999994"/>
    <x v="1"/>
  </r>
  <r>
    <x v="28"/>
    <x v="10"/>
    <x v="67"/>
    <n v="3868248.1949999994"/>
    <x v="1"/>
  </r>
  <r>
    <x v="28"/>
    <x v="11"/>
    <x v="67"/>
    <n v="3868248.1949999994"/>
    <x v="1"/>
  </r>
  <r>
    <x v="28"/>
    <x v="12"/>
    <x v="67"/>
    <n v="3868248.1949999994"/>
    <x v="1"/>
  </r>
  <r>
    <x v="28"/>
    <x v="13"/>
    <x v="67"/>
    <n v="3868248.1949999994"/>
    <x v="1"/>
  </r>
  <r>
    <x v="28"/>
    <x v="14"/>
    <x v="67"/>
    <n v="3868248.1949999994"/>
    <x v="1"/>
  </r>
  <r>
    <x v="28"/>
    <x v="15"/>
    <x v="67"/>
    <n v="3868248.1949999994"/>
    <x v="1"/>
  </r>
  <r>
    <x v="28"/>
    <x v="16"/>
    <x v="67"/>
    <n v="3868248.1949999994"/>
    <x v="1"/>
  </r>
  <r>
    <x v="28"/>
    <x v="17"/>
    <x v="67"/>
    <n v="3868248.1949999994"/>
    <x v="1"/>
  </r>
  <r>
    <x v="28"/>
    <x v="18"/>
    <x v="67"/>
    <n v="3868248.1949999994"/>
    <x v="1"/>
  </r>
  <r>
    <x v="28"/>
    <x v="19"/>
    <x v="67"/>
    <n v="3868248.1949999994"/>
    <x v="1"/>
  </r>
  <r>
    <x v="28"/>
    <x v="20"/>
    <x v="67"/>
    <n v="3868248.1949999994"/>
    <x v="1"/>
  </r>
  <r>
    <x v="28"/>
    <x v="1"/>
    <x v="21"/>
    <n v="4001167.1069999998"/>
    <x v="1"/>
  </r>
  <r>
    <x v="28"/>
    <x v="2"/>
    <x v="21"/>
    <n v="4001167.1069999998"/>
    <x v="1"/>
  </r>
  <r>
    <x v="28"/>
    <x v="3"/>
    <x v="21"/>
    <n v="4001167.1069999998"/>
    <x v="1"/>
  </r>
  <r>
    <x v="28"/>
    <x v="4"/>
    <x v="21"/>
    <n v="4001167.1069999998"/>
    <x v="1"/>
  </r>
  <r>
    <x v="28"/>
    <x v="5"/>
    <x v="21"/>
    <n v="4001167.1069999998"/>
    <x v="1"/>
  </r>
  <r>
    <x v="28"/>
    <x v="6"/>
    <x v="21"/>
    <n v="4001167.1069999998"/>
    <x v="1"/>
  </r>
  <r>
    <x v="28"/>
    <x v="7"/>
    <x v="21"/>
    <n v="4001167.1069999998"/>
    <x v="1"/>
  </r>
  <r>
    <x v="28"/>
    <x v="8"/>
    <x v="21"/>
    <n v="4001167.1069999998"/>
    <x v="1"/>
  </r>
  <r>
    <x v="28"/>
    <x v="9"/>
    <x v="21"/>
    <n v="4001167.1069999998"/>
    <x v="1"/>
  </r>
  <r>
    <x v="28"/>
    <x v="10"/>
    <x v="21"/>
    <n v="4001167.1069999998"/>
    <x v="1"/>
  </r>
  <r>
    <x v="29"/>
    <x v="0"/>
    <x v="0"/>
    <n v="3230392.9140000003"/>
    <x v="1"/>
  </r>
  <r>
    <x v="29"/>
    <x v="0"/>
    <x v="13"/>
    <n v="6132105"/>
    <x v="1"/>
  </r>
  <r>
    <x v="29"/>
    <x v="0"/>
    <x v="30"/>
    <n v="2367673.875"/>
    <x v="1"/>
  </r>
  <r>
    <x v="13"/>
    <x v="0"/>
    <x v="1"/>
    <n v="19561500"/>
    <x v="1"/>
  </r>
  <r>
    <x v="13"/>
    <x v="1"/>
    <x v="1"/>
    <n v="19561500"/>
    <x v="1"/>
  </r>
  <r>
    <x v="13"/>
    <x v="2"/>
    <x v="1"/>
    <n v="19561500"/>
    <x v="1"/>
  </r>
  <r>
    <x v="13"/>
    <x v="3"/>
    <x v="1"/>
    <n v="19561500"/>
    <x v="1"/>
  </r>
  <r>
    <x v="13"/>
    <x v="0"/>
    <x v="120"/>
    <n v="1449000"/>
    <x v="1"/>
  </r>
  <r>
    <x v="13"/>
    <x v="0"/>
    <x v="121"/>
    <n v="8437922.3250000011"/>
    <x v="1"/>
  </r>
  <r>
    <x v="13"/>
    <x v="1"/>
    <x v="121"/>
    <n v="8437922.3250000011"/>
    <x v="1"/>
  </r>
  <r>
    <x v="13"/>
    <x v="0"/>
    <x v="28"/>
    <n v="6177149.9999999991"/>
    <x v="1"/>
  </r>
  <r>
    <x v="13"/>
    <x v="1"/>
    <x v="28"/>
    <n v="6177149.9999999991"/>
    <x v="1"/>
  </r>
  <r>
    <x v="30"/>
    <x v="0"/>
    <x v="0"/>
    <n v="1956490.2000000004"/>
    <x v="1"/>
  </r>
  <r>
    <x v="30"/>
    <x v="1"/>
    <x v="0"/>
    <n v="1956490.2000000004"/>
    <x v="1"/>
  </r>
  <r>
    <x v="30"/>
    <x v="2"/>
    <x v="0"/>
    <n v="1956490.2000000004"/>
    <x v="1"/>
  </r>
  <r>
    <x v="30"/>
    <x v="3"/>
    <x v="0"/>
    <n v="1956490.2000000004"/>
    <x v="1"/>
  </r>
  <r>
    <x v="30"/>
    <x v="4"/>
    <x v="0"/>
    <n v="1956490.2000000004"/>
    <x v="1"/>
  </r>
  <r>
    <x v="30"/>
    <x v="5"/>
    <x v="0"/>
    <n v="1956490.2000000004"/>
    <x v="1"/>
  </r>
  <r>
    <x v="30"/>
    <x v="6"/>
    <x v="0"/>
    <n v="1956490.2000000004"/>
    <x v="1"/>
  </r>
  <r>
    <x v="30"/>
    <x v="7"/>
    <x v="0"/>
    <n v="1956490.2000000004"/>
    <x v="1"/>
  </r>
  <r>
    <x v="30"/>
    <x v="8"/>
    <x v="0"/>
    <n v="1956490.2000000004"/>
    <x v="1"/>
  </r>
  <r>
    <x v="30"/>
    <x v="9"/>
    <x v="0"/>
    <n v="1956490.2000000004"/>
    <x v="1"/>
  </r>
  <r>
    <x v="30"/>
    <x v="10"/>
    <x v="0"/>
    <n v="1956490.2000000004"/>
    <x v="1"/>
  </r>
  <r>
    <x v="30"/>
    <x v="11"/>
    <x v="0"/>
    <n v="1956490.2000000004"/>
    <x v="1"/>
  </r>
  <r>
    <x v="30"/>
    <x v="12"/>
    <x v="0"/>
    <n v="1956490.2000000004"/>
    <x v="1"/>
  </r>
  <r>
    <x v="30"/>
    <x v="13"/>
    <x v="0"/>
    <n v="1956490.2000000004"/>
    <x v="1"/>
  </r>
  <r>
    <x v="30"/>
    <x v="14"/>
    <x v="0"/>
    <n v="1956490.2000000004"/>
    <x v="1"/>
  </r>
  <r>
    <x v="30"/>
    <x v="0"/>
    <x v="1"/>
    <n v="8716050"/>
    <x v="1"/>
  </r>
  <r>
    <x v="30"/>
    <x v="1"/>
    <x v="1"/>
    <n v="8716050"/>
    <x v="1"/>
  </r>
  <r>
    <x v="30"/>
    <x v="2"/>
    <x v="1"/>
    <n v="8716050"/>
    <x v="1"/>
  </r>
  <r>
    <x v="30"/>
    <x v="3"/>
    <x v="1"/>
    <n v="8716050"/>
    <x v="1"/>
  </r>
  <r>
    <x v="30"/>
    <x v="4"/>
    <x v="1"/>
    <n v="8716050"/>
    <x v="1"/>
  </r>
  <r>
    <x v="30"/>
    <x v="5"/>
    <x v="1"/>
    <n v="8716050"/>
    <x v="1"/>
  </r>
  <r>
    <x v="30"/>
    <x v="6"/>
    <x v="1"/>
    <n v="8716050"/>
    <x v="1"/>
  </r>
  <r>
    <x v="30"/>
    <x v="7"/>
    <x v="1"/>
    <n v="8716050"/>
    <x v="1"/>
  </r>
  <r>
    <x v="30"/>
    <x v="8"/>
    <x v="1"/>
    <n v="8716050"/>
    <x v="1"/>
  </r>
  <r>
    <x v="30"/>
    <x v="9"/>
    <x v="1"/>
    <n v="8716050"/>
    <x v="1"/>
  </r>
  <r>
    <x v="30"/>
    <x v="10"/>
    <x v="1"/>
    <n v="8716050"/>
    <x v="1"/>
  </r>
  <r>
    <x v="30"/>
    <x v="11"/>
    <x v="1"/>
    <n v="8716050"/>
    <x v="1"/>
  </r>
  <r>
    <x v="30"/>
    <x v="12"/>
    <x v="1"/>
    <n v="8716050"/>
    <x v="1"/>
  </r>
  <r>
    <x v="30"/>
    <x v="13"/>
    <x v="1"/>
    <n v="8716050"/>
    <x v="1"/>
  </r>
  <r>
    <x v="30"/>
    <x v="14"/>
    <x v="1"/>
    <n v="8716050"/>
    <x v="1"/>
  </r>
  <r>
    <x v="30"/>
    <x v="0"/>
    <x v="122"/>
    <n v="6150375"/>
    <x v="1"/>
  </r>
  <r>
    <x v="30"/>
    <x v="1"/>
    <x v="122"/>
    <n v="6150375"/>
    <x v="1"/>
  </r>
  <r>
    <x v="30"/>
    <x v="2"/>
    <x v="122"/>
    <n v="6150375"/>
    <x v="1"/>
  </r>
  <r>
    <x v="30"/>
    <x v="3"/>
    <x v="122"/>
    <n v="6150375"/>
    <x v="1"/>
  </r>
  <r>
    <x v="30"/>
    <x v="4"/>
    <x v="122"/>
    <n v="6150375"/>
    <x v="1"/>
  </r>
  <r>
    <x v="30"/>
    <x v="5"/>
    <x v="122"/>
    <n v="6150375"/>
    <x v="1"/>
  </r>
  <r>
    <x v="30"/>
    <x v="6"/>
    <x v="122"/>
    <n v="6150375"/>
    <x v="1"/>
  </r>
  <r>
    <x v="30"/>
    <x v="7"/>
    <x v="122"/>
    <n v="6150375"/>
    <x v="1"/>
  </r>
  <r>
    <x v="30"/>
    <x v="8"/>
    <x v="122"/>
    <n v="6150375"/>
    <x v="1"/>
  </r>
  <r>
    <x v="30"/>
    <x v="9"/>
    <x v="122"/>
    <n v="6150375"/>
    <x v="1"/>
  </r>
  <r>
    <x v="30"/>
    <x v="10"/>
    <x v="122"/>
    <n v="6150375"/>
    <x v="1"/>
  </r>
  <r>
    <x v="30"/>
    <x v="11"/>
    <x v="122"/>
    <n v="6150375"/>
    <x v="1"/>
  </r>
  <r>
    <x v="30"/>
    <x v="12"/>
    <x v="122"/>
    <n v="6150375"/>
    <x v="1"/>
  </r>
  <r>
    <x v="30"/>
    <x v="13"/>
    <x v="122"/>
    <n v="6150375"/>
    <x v="1"/>
  </r>
  <r>
    <x v="30"/>
    <x v="14"/>
    <x v="122"/>
    <n v="6150375"/>
    <x v="1"/>
  </r>
  <r>
    <x v="30"/>
    <x v="0"/>
    <x v="123"/>
    <n v="3369208.5"/>
    <x v="1"/>
  </r>
  <r>
    <x v="30"/>
    <x v="1"/>
    <x v="123"/>
    <n v="3369208.5"/>
    <x v="1"/>
  </r>
  <r>
    <x v="30"/>
    <x v="2"/>
    <x v="123"/>
    <n v="3369208.5"/>
    <x v="1"/>
  </r>
  <r>
    <x v="30"/>
    <x v="3"/>
    <x v="123"/>
    <n v="3369208.5"/>
    <x v="1"/>
  </r>
  <r>
    <x v="30"/>
    <x v="4"/>
    <x v="123"/>
    <n v="3369208.5"/>
    <x v="1"/>
  </r>
  <r>
    <x v="30"/>
    <x v="5"/>
    <x v="123"/>
    <n v="3369208.5"/>
    <x v="1"/>
  </r>
  <r>
    <x v="30"/>
    <x v="6"/>
    <x v="123"/>
    <n v="3369208.5"/>
    <x v="1"/>
  </r>
  <r>
    <x v="30"/>
    <x v="7"/>
    <x v="123"/>
    <n v="3369208.5"/>
    <x v="1"/>
  </r>
  <r>
    <x v="30"/>
    <x v="8"/>
    <x v="123"/>
    <n v="3369208.5"/>
    <x v="1"/>
  </r>
  <r>
    <x v="30"/>
    <x v="9"/>
    <x v="123"/>
    <n v="3369208.5"/>
    <x v="1"/>
  </r>
  <r>
    <x v="30"/>
    <x v="10"/>
    <x v="123"/>
    <n v="3369208.5"/>
    <x v="1"/>
  </r>
  <r>
    <x v="30"/>
    <x v="11"/>
    <x v="123"/>
    <n v="3369208.5"/>
    <x v="1"/>
  </r>
  <r>
    <x v="30"/>
    <x v="12"/>
    <x v="123"/>
    <n v="3369208.5"/>
    <x v="1"/>
  </r>
  <r>
    <x v="30"/>
    <x v="13"/>
    <x v="123"/>
    <n v="3369208.5"/>
    <x v="1"/>
  </r>
  <r>
    <x v="30"/>
    <x v="14"/>
    <x v="123"/>
    <n v="3369208.5"/>
    <x v="1"/>
  </r>
  <r>
    <x v="30"/>
    <x v="0"/>
    <x v="14"/>
    <n v="3571361.01"/>
    <x v="1"/>
  </r>
  <r>
    <x v="30"/>
    <x v="1"/>
    <x v="14"/>
    <n v="3571361.01"/>
    <x v="1"/>
  </r>
  <r>
    <x v="30"/>
    <x v="2"/>
    <x v="14"/>
    <n v="3571361.01"/>
    <x v="1"/>
  </r>
  <r>
    <x v="30"/>
    <x v="3"/>
    <x v="14"/>
    <n v="3571361.01"/>
    <x v="1"/>
  </r>
  <r>
    <x v="30"/>
    <x v="4"/>
    <x v="14"/>
    <n v="3571361.01"/>
    <x v="1"/>
  </r>
  <r>
    <x v="30"/>
    <x v="5"/>
    <x v="14"/>
    <n v="3571361.01"/>
    <x v="1"/>
  </r>
  <r>
    <x v="30"/>
    <x v="6"/>
    <x v="14"/>
    <n v="3571361.01"/>
    <x v="1"/>
  </r>
  <r>
    <x v="30"/>
    <x v="7"/>
    <x v="14"/>
    <n v="3571361.01"/>
    <x v="1"/>
  </r>
  <r>
    <x v="30"/>
    <x v="8"/>
    <x v="14"/>
    <n v="3571361.01"/>
    <x v="1"/>
  </r>
  <r>
    <x v="30"/>
    <x v="9"/>
    <x v="14"/>
    <n v="3571361.01"/>
    <x v="1"/>
  </r>
  <r>
    <x v="30"/>
    <x v="10"/>
    <x v="14"/>
    <n v="3571361.01"/>
    <x v="1"/>
  </r>
  <r>
    <x v="30"/>
    <x v="11"/>
    <x v="14"/>
    <n v="3571361.01"/>
    <x v="1"/>
  </r>
  <r>
    <x v="30"/>
    <x v="12"/>
    <x v="14"/>
    <n v="3571361.01"/>
    <x v="1"/>
  </r>
  <r>
    <x v="30"/>
    <x v="13"/>
    <x v="14"/>
    <n v="3571361.01"/>
    <x v="1"/>
  </r>
  <r>
    <x v="30"/>
    <x v="14"/>
    <x v="14"/>
    <n v="3571361.01"/>
    <x v="1"/>
  </r>
  <r>
    <x v="31"/>
    <x v="0"/>
    <x v="0"/>
    <n v="3868074.0000000005"/>
    <x v="1"/>
  </r>
  <r>
    <x v="31"/>
    <x v="1"/>
    <x v="0"/>
    <n v="3868074.0000000005"/>
    <x v="1"/>
  </r>
  <r>
    <x v="31"/>
    <x v="2"/>
    <x v="0"/>
    <n v="3868074.0000000005"/>
    <x v="1"/>
  </r>
  <r>
    <x v="31"/>
    <x v="3"/>
    <x v="0"/>
    <n v="3868074.0000000005"/>
    <x v="1"/>
  </r>
  <r>
    <x v="31"/>
    <x v="4"/>
    <x v="0"/>
    <n v="3868074.0000000005"/>
    <x v="1"/>
  </r>
  <r>
    <x v="31"/>
    <x v="5"/>
    <x v="0"/>
    <n v="3868074.0000000005"/>
    <x v="1"/>
  </r>
  <r>
    <x v="31"/>
    <x v="6"/>
    <x v="0"/>
    <n v="3868074.0000000005"/>
    <x v="1"/>
  </r>
  <r>
    <x v="31"/>
    <x v="7"/>
    <x v="0"/>
    <n v="3868074.0000000005"/>
    <x v="1"/>
  </r>
  <r>
    <x v="31"/>
    <x v="8"/>
    <x v="0"/>
    <n v="3868074.0000000005"/>
    <x v="1"/>
  </r>
  <r>
    <x v="31"/>
    <x v="9"/>
    <x v="0"/>
    <n v="3868074.0000000005"/>
    <x v="1"/>
  </r>
  <r>
    <x v="31"/>
    <x v="10"/>
    <x v="0"/>
    <n v="3868074.0000000005"/>
    <x v="1"/>
  </r>
  <r>
    <x v="31"/>
    <x v="11"/>
    <x v="0"/>
    <n v="3868074.0000000005"/>
    <x v="1"/>
  </r>
  <r>
    <x v="31"/>
    <x v="12"/>
    <x v="0"/>
    <n v="3868074.0000000005"/>
    <x v="1"/>
  </r>
  <r>
    <x v="31"/>
    <x v="13"/>
    <x v="0"/>
    <n v="3868074.0000000005"/>
    <x v="1"/>
  </r>
  <r>
    <x v="31"/>
    <x v="14"/>
    <x v="0"/>
    <n v="3868074.0000000005"/>
    <x v="1"/>
  </r>
  <r>
    <x v="31"/>
    <x v="15"/>
    <x v="0"/>
    <n v="3868074.0000000005"/>
    <x v="1"/>
  </r>
  <r>
    <x v="31"/>
    <x v="16"/>
    <x v="0"/>
    <n v="3868074.0000000005"/>
    <x v="1"/>
  </r>
  <r>
    <x v="31"/>
    <x v="17"/>
    <x v="0"/>
    <n v="3868074.0000000005"/>
    <x v="1"/>
  </r>
  <r>
    <x v="31"/>
    <x v="18"/>
    <x v="0"/>
    <n v="3868074.0000000005"/>
    <x v="1"/>
  </r>
  <r>
    <x v="31"/>
    <x v="19"/>
    <x v="0"/>
    <n v="3868074.0000000005"/>
    <x v="1"/>
  </r>
  <r>
    <x v="31"/>
    <x v="20"/>
    <x v="0"/>
    <n v="3868074.0000000005"/>
    <x v="1"/>
  </r>
  <r>
    <x v="31"/>
    <x v="21"/>
    <x v="0"/>
    <n v="3868074.0000000005"/>
    <x v="1"/>
  </r>
  <r>
    <x v="31"/>
    <x v="22"/>
    <x v="0"/>
    <n v="3868074.0000000005"/>
    <x v="1"/>
  </r>
  <r>
    <x v="31"/>
    <x v="23"/>
    <x v="0"/>
    <n v="3868074.0000000005"/>
    <x v="1"/>
  </r>
  <r>
    <x v="31"/>
    <x v="0"/>
    <x v="1"/>
    <n v="9450000"/>
    <x v="1"/>
  </r>
  <r>
    <x v="31"/>
    <x v="1"/>
    <x v="1"/>
    <n v="9450000"/>
    <x v="1"/>
  </r>
  <r>
    <x v="31"/>
    <x v="2"/>
    <x v="1"/>
    <n v="9450000"/>
    <x v="1"/>
  </r>
  <r>
    <x v="31"/>
    <x v="3"/>
    <x v="1"/>
    <n v="9450000"/>
    <x v="1"/>
  </r>
  <r>
    <x v="31"/>
    <x v="4"/>
    <x v="1"/>
    <n v="9450000"/>
    <x v="1"/>
  </r>
  <r>
    <x v="31"/>
    <x v="5"/>
    <x v="1"/>
    <n v="9450000"/>
    <x v="1"/>
  </r>
  <r>
    <x v="31"/>
    <x v="6"/>
    <x v="1"/>
    <n v="9450000"/>
    <x v="1"/>
  </r>
  <r>
    <x v="31"/>
    <x v="7"/>
    <x v="1"/>
    <n v="9450000"/>
    <x v="1"/>
  </r>
  <r>
    <x v="31"/>
    <x v="8"/>
    <x v="1"/>
    <n v="9450000"/>
    <x v="1"/>
  </r>
  <r>
    <x v="31"/>
    <x v="9"/>
    <x v="1"/>
    <n v="9450000"/>
    <x v="1"/>
  </r>
  <r>
    <x v="31"/>
    <x v="10"/>
    <x v="1"/>
    <n v="9450000"/>
    <x v="1"/>
  </r>
  <r>
    <x v="31"/>
    <x v="11"/>
    <x v="1"/>
    <n v="9450000"/>
    <x v="1"/>
  </r>
  <r>
    <x v="31"/>
    <x v="12"/>
    <x v="1"/>
    <n v="9450000"/>
    <x v="1"/>
  </r>
  <r>
    <x v="31"/>
    <x v="13"/>
    <x v="1"/>
    <n v="9450000"/>
    <x v="1"/>
  </r>
  <r>
    <x v="31"/>
    <x v="14"/>
    <x v="1"/>
    <n v="9450000"/>
    <x v="1"/>
  </r>
  <r>
    <x v="31"/>
    <x v="15"/>
    <x v="1"/>
    <n v="9450000"/>
    <x v="1"/>
  </r>
  <r>
    <x v="31"/>
    <x v="16"/>
    <x v="1"/>
    <n v="9450000"/>
    <x v="1"/>
  </r>
  <r>
    <x v="31"/>
    <x v="17"/>
    <x v="1"/>
    <n v="9450000"/>
    <x v="1"/>
  </r>
  <r>
    <x v="31"/>
    <x v="18"/>
    <x v="1"/>
    <n v="9450000"/>
    <x v="1"/>
  </r>
  <r>
    <x v="31"/>
    <x v="19"/>
    <x v="1"/>
    <n v="9450000"/>
    <x v="1"/>
  </r>
  <r>
    <x v="31"/>
    <x v="20"/>
    <x v="1"/>
    <n v="9450000"/>
    <x v="1"/>
  </r>
  <r>
    <x v="31"/>
    <x v="21"/>
    <x v="1"/>
    <n v="9450000"/>
    <x v="1"/>
  </r>
  <r>
    <x v="31"/>
    <x v="22"/>
    <x v="1"/>
    <n v="9450000"/>
    <x v="1"/>
  </r>
  <r>
    <x v="31"/>
    <x v="23"/>
    <x v="1"/>
    <n v="9450000"/>
    <x v="1"/>
  </r>
  <r>
    <x v="31"/>
    <x v="12"/>
    <x v="13"/>
    <n v="6221250"/>
    <x v="1"/>
  </r>
  <r>
    <x v="31"/>
    <x v="13"/>
    <x v="13"/>
    <n v="6221250"/>
    <x v="1"/>
  </r>
  <r>
    <x v="31"/>
    <x v="14"/>
    <x v="13"/>
    <n v="6221250"/>
    <x v="1"/>
  </r>
  <r>
    <x v="31"/>
    <x v="15"/>
    <x v="13"/>
    <n v="6221250"/>
    <x v="1"/>
  </r>
  <r>
    <x v="31"/>
    <x v="16"/>
    <x v="13"/>
    <n v="6221250"/>
    <x v="1"/>
  </r>
  <r>
    <x v="31"/>
    <x v="17"/>
    <x v="13"/>
    <n v="6221250"/>
    <x v="1"/>
  </r>
  <r>
    <x v="31"/>
    <x v="18"/>
    <x v="13"/>
    <n v="6221250"/>
    <x v="1"/>
  </r>
  <r>
    <x v="31"/>
    <x v="19"/>
    <x v="13"/>
    <n v="6221250"/>
    <x v="1"/>
  </r>
  <r>
    <x v="31"/>
    <x v="20"/>
    <x v="13"/>
    <n v="6221250"/>
    <x v="1"/>
  </r>
  <r>
    <x v="31"/>
    <x v="21"/>
    <x v="13"/>
    <n v="6221250"/>
    <x v="1"/>
  </r>
  <r>
    <x v="31"/>
    <x v="12"/>
    <x v="15"/>
    <n v="4095000"/>
    <x v="1"/>
  </r>
  <r>
    <x v="31"/>
    <x v="13"/>
    <x v="15"/>
    <n v="4095000"/>
    <x v="1"/>
  </r>
  <r>
    <x v="31"/>
    <x v="14"/>
    <x v="15"/>
    <n v="4095000"/>
    <x v="1"/>
  </r>
  <r>
    <x v="31"/>
    <x v="15"/>
    <x v="15"/>
    <n v="4095000"/>
    <x v="1"/>
  </r>
  <r>
    <x v="31"/>
    <x v="16"/>
    <x v="15"/>
    <n v="4095000"/>
    <x v="1"/>
  </r>
  <r>
    <x v="31"/>
    <x v="17"/>
    <x v="15"/>
    <n v="4095000"/>
    <x v="1"/>
  </r>
  <r>
    <x v="31"/>
    <x v="18"/>
    <x v="15"/>
    <n v="4095000"/>
    <x v="1"/>
  </r>
  <r>
    <x v="31"/>
    <x v="19"/>
    <x v="15"/>
    <n v="4095000"/>
    <x v="1"/>
  </r>
  <r>
    <x v="31"/>
    <x v="20"/>
    <x v="15"/>
    <n v="4095000"/>
    <x v="1"/>
  </r>
  <r>
    <x v="31"/>
    <x v="21"/>
    <x v="15"/>
    <n v="4095000"/>
    <x v="1"/>
  </r>
  <r>
    <x v="31"/>
    <x v="22"/>
    <x v="15"/>
    <n v="4095000"/>
    <x v="1"/>
  </r>
  <r>
    <x v="31"/>
    <x v="23"/>
    <x v="15"/>
    <n v="4095000"/>
    <x v="1"/>
  </r>
  <r>
    <x v="31"/>
    <x v="1"/>
    <x v="109"/>
    <n v="4006799.9999999995"/>
    <x v="1"/>
  </r>
  <r>
    <x v="31"/>
    <x v="2"/>
    <x v="109"/>
    <n v="4006799.9999999995"/>
    <x v="1"/>
  </r>
  <r>
    <x v="31"/>
    <x v="3"/>
    <x v="109"/>
    <n v="4006799.9999999995"/>
    <x v="1"/>
  </r>
  <r>
    <x v="31"/>
    <x v="4"/>
    <x v="109"/>
    <n v="4006799.9999999995"/>
    <x v="1"/>
  </r>
  <r>
    <x v="31"/>
    <x v="5"/>
    <x v="109"/>
    <n v="4006799.9999999995"/>
    <x v="1"/>
  </r>
  <r>
    <x v="31"/>
    <x v="6"/>
    <x v="109"/>
    <n v="4006799.9999999995"/>
    <x v="1"/>
  </r>
  <r>
    <x v="31"/>
    <x v="7"/>
    <x v="109"/>
    <n v="4006799.9999999995"/>
    <x v="1"/>
  </r>
  <r>
    <x v="31"/>
    <x v="8"/>
    <x v="109"/>
    <n v="4006799.9999999995"/>
    <x v="1"/>
  </r>
  <r>
    <x v="31"/>
    <x v="9"/>
    <x v="109"/>
    <n v="4006799.9999999995"/>
    <x v="1"/>
  </r>
  <r>
    <x v="31"/>
    <x v="10"/>
    <x v="109"/>
    <n v="4006799.9999999995"/>
    <x v="1"/>
  </r>
  <r>
    <x v="31"/>
    <x v="11"/>
    <x v="109"/>
    <n v="4006799.9999999995"/>
    <x v="1"/>
  </r>
  <r>
    <x v="31"/>
    <x v="12"/>
    <x v="109"/>
    <n v="4006799.9999999995"/>
    <x v="1"/>
  </r>
  <r>
    <x v="31"/>
    <x v="13"/>
    <x v="109"/>
    <n v="4006799.9999999995"/>
    <x v="1"/>
  </r>
  <r>
    <x v="31"/>
    <x v="14"/>
    <x v="109"/>
    <n v="4006799.9999999995"/>
    <x v="1"/>
  </r>
  <r>
    <x v="31"/>
    <x v="15"/>
    <x v="109"/>
    <n v="4006799.9999999995"/>
    <x v="1"/>
  </r>
  <r>
    <x v="31"/>
    <x v="16"/>
    <x v="109"/>
    <n v="4006799.9999999995"/>
    <x v="1"/>
  </r>
  <r>
    <x v="31"/>
    <x v="17"/>
    <x v="109"/>
    <n v="4006799.9999999995"/>
    <x v="1"/>
  </r>
  <r>
    <x v="31"/>
    <x v="18"/>
    <x v="109"/>
    <n v="4006799.9999999995"/>
    <x v="1"/>
  </r>
  <r>
    <x v="31"/>
    <x v="19"/>
    <x v="109"/>
    <n v="4006799.9999999995"/>
    <x v="1"/>
  </r>
  <r>
    <x v="31"/>
    <x v="20"/>
    <x v="109"/>
    <n v="4006799.9999999995"/>
    <x v="1"/>
  </r>
  <r>
    <x v="31"/>
    <x v="21"/>
    <x v="109"/>
    <n v="4006799.9999999995"/>
    <x v="1"/>
  </r>
  <r>
    <x v="31"/>
    <x v="12"/>
    <x v="10"/>
    <n v="4006799.9999999995"/>
    <x v="1"/>
  </r>
  <r>
    <x v="31"/>
    <x v="13"/>
    <x v="10"/>
    <n v="4006799.9999999995"/>
    <x v="1"/>
  </r>
  <r>
    <x v="31"/>
    <x v="14"/>
    <x v="10"/>
    <n v="4006799.9999999995"/>
    <x v="1"/>
  </r>
  <r>
    <x v="31"/>
    <x v="15"/>
    <x v="10"/>
    <n v="4006799.9999999995"/>
    <x v="1"/>
  </r>
  <r>
    <x v="31"/>
    <x v="16"/>
    <x v="10"/>
    <n v="4006799.9999999995"/>
    <x v="1"/>
  </r>
  <r>
    <x v="31"/>
    <x v="17"/>
    <x v="10"/>
    <n v="4006799.9999999995"/>
    <x v="1"/>
  </r>
  <r>
    <x v="31"/>
    <x v="18"/>
    <x v="10"/>
    <n v="4006799.9999999995"/>
    <x v="1"/>
  </r>
  <r>
    <x v="31"/>
    <x v="19"/>
    <x v="10"/>
    <n v="4006799.9999999995"/>
    <x v="1"/>
  </r>
  <r>
    <x v="31"/>
    <x v="20"/>
    <x v="10"/>
    <n v="4006799.9999999995"/>
    <x v="1"/>
  </r>
  <r>
    <x v="31"/>
    <x v="21"/>
    <x v="10"/>
    <n v="4006799.9999999995"/>
    <x v="1"/>
  </r>
  <r>
    <x v="32"/>
    <x v="0"/>
    <x v="0"/>
    <n v="5898109.7507954882"/>
    <x v="1"/>
  </r>
  <r>
    <x v="32"/>
    <x v="0"/>
    <x v="1"/>
    <n v="10573456.644736286"/>
    <x v="1"/>
  </r>
  <r>
    <x v="32"/>
    <x v="1"/>
    <x v="1"/>
    <n v="10573456.644736286"/>
    <x v="1"/>
  </r>
  <r>
    <x v="32"/>
    <x v="2"/>
    <x v="1"/>
    <n v="10573456.644736286"/>
    <x v="1"/>
  </r>
  <r>
    <x v="32"/>
    <x v="3"/>
    <x v="1"/>
    <n v="10573456.644736286"/>
    <x v="1"/>
  </r>
  <r>
    <x v="32"/>
    <x v="0"/>
    <x v="71"/>
    <n v="8420426.5965553131"/>
    <x v="1"/>
  </r>
  <r>
    <x v="32"/>
    <x v="0"/>
    <x v="13"/>
    <n v="5968758.5524032004"/>
    <x v="1"/>
  </r>
  <r>
    <x v="32"/>
    <x v="0"/>
    <x v="58"/>
    <n v="2694198.4714365834"/>
    <x v="1"/>
  </r>
  <r>
    <x v="32"/>
    <x v="1"/>
    <x v="58"/>
    <n v="2694198.4714365834"/>
    <x v="1"/>
  </r>
  <r>
    <x v="32"/>
    <x v="2"/>
    <x v="58"/>
    <n v="2694198.4714365834"/>
    <x v="1"/>
  </r>
  <r>
    <x v="32"/>
    <x v="3"/>
    <x v="58"/>
    <n v="2694198.4714365834"/>
    <x v="1"/>
  </r>
  <r>
    <x v="33"/>
    <x v="0"/>
    <x v="0"/>
    <n v="2992909.5"/>
    <x v="1"/>
  </r>
  <r>
    <x v="33"/>
    <x v="1"/>
    <x v="0"/>
    <n v="2992909.5"/>
    <x v="1"/>
  </r>
  <r>
    <x v="33"/>
    <x v="2"/>
    <x v="0"/>
    <n v="2992909.5"/>
    <x v="1"/>
  </r>
  <r>
    <x v="33"/>
    <x v="3"/>
    <x v="0"/>
    <n v="2992909.5"/>
    <x v="1"/>
  </r>
  <r>
    <x v="33"/>
    <x v="0"/>
    <x v="1"/>
    <n v="2835000"/>
    <x v="1"/>
  </r>
  <r>
    <x v="33"/>
    <x v="1"/>
    <x v="1"/>
    <n v="2835000"/>
    <x v="1"/>
  </r>
  <r>
    <x v="33"/>
    <x v="2"/>
    <x v="1"/>
    <n v="2835000"/>
    <x v="1"/>
  </r>
  <r>
    <x v="33"/>
    <x v="3"/>
    <x v="1"/>
    <n v="2835000"/>
    <x v="1"/>
  </r>
  <r>
    <x v="33"/>
    <x v="0"/>
    <x v="15"/>
    <n v="1228500"/>
    <x v="1"/>
  </r>
  <r>
    <x v="33"/>
    <x v="1"/>
    <x v="15"/>
    <n v="1228500"/>
    <x v="1"/>
  </r>
  <r>
    <x v="33"/>
    <x v="2"/>
    <x v="15"/>
    <n v="1228500"/>
    <x v="1"/>
  </r>
  <r>
    <x v="33"/>
    <x v="3"/>
    <x v="15"/>
    <n v="1228500"/>
    <x v="1"/>
  </r>
  <r>
    <x v="33"/>
    <x v="0"/>
    <x v="5"/>
    <n v="1181250"/>
    <x v="1"/>
  </r>
  <r>
    <x v="33"/>
    <x v="1"/>
    <x v="5"/>
    <n v="1181250"/>
    <x v="1"/>
  </r>
  <r>
    <x v="33"/>
    <x v="2"/>
    <x v="5"/>
    <n v="1181250"/>
    <x v="1"/>
  </r>
  <r>
    <x v="33"/>
    <x v="3"/>
    <x v="5"/>
    <n v="1181250"/>
    <x v="1"/>
  </r>
  <r>
    <x v="33"/>
    <x v="0"/>
    <x v="0"/>
    <n v="2494091.25"/>
    <x v="1"/>
  </r>
  <r>
    <x v="33"/>
    <x v="1"/>
    <x v="0"/>
    <n v="2494091.25"/>
    <x v="1"/>
  </r>
  <r>
    <x v="33"/>
    <x v="2"/>
    <x v="0"/>
    <n v="2494091.25"/>
    <x v="1"/>
  </r>
  <r>
    <x v="33"/>
    <x v="3"/>
    <x v="0"/>
    <n v="2494091.25"/>
    <x v="1"/>
  </r>
  <r>
    <x v="33"/>
    <x v="0"/>
    <x v="1"/>
    <n v="2362500"/>
    <x v="1"/>
  </r>
  <r>
    <x v="33"/>
    <x v="1"/>
    <x v="1"/>
    <n v="2362500"/>
    <x v="1"/>
  </r>
  <r>
    <x v="33"/>
    <x v="2"/>
    <x v="1"/>
    <n v="2362500"/>
    <x v="1"/>
  </r>
  <r>
    <x v="33"/>
    <x v="3"/>
    <x v="1"/>
    <n v="2362500"/>
    <x v="1"/>
  </r>
  <r>
    <x v="33"/>
    <x v="0"/>
    <x v="15"/>
    <n v="1023750"/>
    <x v="1"/>
  </r>
  <r>
    <x v="33"/>
    <x v="1"/>
    <x v="15"/>
    <n v="1023750"/>
    <x v="1"/>
  </r>
  <r>
    <x v="33"/>
    <x v="2"/>
    <x v="15"/>
    <n v="1023750"/>
    <x v="1"/>
  </r>
  <r>
    <x v="33"/>
    <x v="3"/>
    <x v="15"/>
    <n v="1023750"/>
    <x v="1"/>
  </r>
  <r>
    <x v="33"/>
    <x v="0"/>
    <x v="58"/>
    <n v="708750"/>
    <x v="1"/>
  </r>
  <r>
    <x v="33"/>
    <x v="1"/>
    <x v="58"/>
    <n v="708750"/>
    <x v="1"/>
  </r>
  <r>
    <x v="33"/>
    <x v="2"/>
    <x v="58"/>
    <n v="708750"/>
    <x v="1"/>
  </r>
  <r>
    <x v="33"/>
    <x v="3"/>
    <x v="58"/>
    <n v="708750"/>
    <x v="1"/>
  </r>
  <r>
    <x v="33"/>
    <x v="0"/>
    <x v="0"/>
    <n v="1496454.75"/>
    <x v="1"/>
  </r>
  <r>
    <x v="33"/>
    <x v="1"/>
    <x v="0"/>
    <n v="1496454.75"/>
    <x v="1"/>
  </r>
  <r>
    <x v="33"/>
    <x v="2"/>
    <x v="0"/>
    <n v="1496454.75"/>
    <x v="1"/>
  </r>
  <r>
    <x v="33"/>
    <x v="3"/>
    <x v="0"/>
    <n v="1496454.75"/>
    <x v="1"/>
  </r>
  <r>
    <x v="33"/>
    <x v="0"/>
    <x v="1"/>
    <n v="945000"/>
    <x v="1"/>
  </r>
  <r>
    <x v="33"/>
    <x v="1"/>
    <x v="1"/>
    <n v="945000"/>
    <x v="1"/>
  </r>
  <r>
    <x v="33"/>
    <x v="2"/>
    <x v="1"/>
    <n v="945000"/>
    <x v="1"/>
  </r>
  <r>
    <x v="33"/>
    <x v="3"/>
    <x v="1"/>
    <n v="945000"/>
    <x v="1"/>
  </r>
  <r>
    <x v="33"/>
    <x v="0"/>
    <x v="15"/>
    <n v="409500"/>
    <x v="1"/>
  </r>
  <r>
    <x v="33"/>
    <x v="1"/>
    <x v="15"/>
    <n v="409500"/>
    <x v="1"/>
  </r>
  <r>
    <x v="33"/>
    <x v="2"/>
    <x v="15"/>
    <n v="409500"/>
    <x v="1"/>
  </r>
  <r>
    <x v="33"/>
    <x v="3"/>
    <x v="15"/>
    <n v="409500"/>
    <x v="1"/>
  </r>
  <r>
    <x v="33"/>
    <x v="0"/>
    <x v="124"/>
    <n v="236250"/>
    <x v="1"/>
  </r>
  <r>
    <x v="33"/>
    <x v="1"/>
    <x v="124"/>
    <n v="236250"/>
    <x v="1"/>
  </r>
  <r>
    <x v="33"/>
    <x v="2"/>
    <x v="124"/>
    <n v="236250"/>
    <x v="1"/>
  </r>
  <r>
    <x v="33"/>
    <x v="3"/>
    <x v="124"/>
    <n v="236250"/>
    <x v="1"/>
  </r>
  <r>
    <x v="33"/>
    <x v="0"/>
    <x v="0"/>
    <n v="1496454.75"/>
    <x v="1"/>
  </r>
  <r>
    <x v="33"/>
    <x v="1"/>
    <x v="0"/>
    <n v="1496454.75"/>
    <x v="1"/>
  </r>
  <r>
    <x v="33"/>
    <x v="2"/>
    <x v="0"/>
    <n v="1496454.75"/>
    <x v="1"/>
  </r>
  <r>
    <x v="33"/>
    <x v="3"/>
    <x v="0"/>
    <n v="1496454.75"/>
    <x v="1"/>
  </r>
  <r>
    <x v="33"/>
    <x v="0"/>
    <x v="1"/>
    <n v="1890000"/>
    <x v="1"/>
  </r>
  <r>
    <x v="33"/>
    <x v="1"/>
    <x v="1"/>
    <n v="1890000"/>
    <x v="1"/>
  </r>
  <r>
    <x v="33"/>
    <x v="2"/>
    <x v="1"/>
    <n v="1890000"/>
    <x v="1"/>
  </r>
  <r>
    <x v="33"/>
    <x v="3"/>
    <x v="1"/>
    <n v="1890000"/>
    <x v="1"/>
  </r>
  <r>
    <x v="33"/>
    <x v="0"/>
    <x v="15"/>
    <n v="819000"/>
    <x v="1"/>
  </r>
  <r>
    <x v="33"/>
    <x v="1"/>
    <x v="15"/>
    <n v="819000"/>
    <x v="1"/>
  </r>
  <r>
    <x v="33"/>
    <x v="2"/>
    <x v="15"/>
    <n v="819000"/>
    <x v="1"/>
  </r>
  <r>
    <x v="33"/>
    <x v="3"/>
    <x v="15"/>
    <n v="819000"/>
    <x v="1"/>
  </r>
  <r>
    <x v="33"/>
    <x v="0"/>
    <x v="125"/>
    <n v="441000"/>
    <x v="1"/>
  </r>
  <r>
    <x v="33"/>
    <x v="1"/>
    <x v="125"/>
    <n v="441000"/>
    <x v="1"/>
  </r>
  <r>
    <x v="33"/>
    <x v="2"/>
    <x v="125"/>
    <n v="441000"/>
    <x v="1"/>
  </r>
  <r>
    <x v="33"/>
    <x v="3"/>
    <x v="125"/>
    <n v="441000"/>
    <x v="1"/>
  </r>
  <r>
    <x v="33"/>
    <x v="0"/>
    <x v="58"/>
    <n v="354375"/>
    <x v="1"/>
  </r>
  <r>
    <x v="33"/>
    <x v="1"/>
    <x v="58"/>
    <n v="354375"/>
    <x v="1"/>
  </r>
  <r>
    <x v="33"/>
    <x v="2"/>
    <x v="58"/>
    <n v="354375"/>
    <x v="1"/>
  </r>
  <r>
    <x v="33"/>
    <x v="3"/>
    <x v="58"/>
    <n v="354375"/>
    <x v="1"/>
  </r>
  <r>
    <x v="33"/>
    <x v="0"/>
    <x v="0"/>
    <n v="1496454.75"/>
    <x v="1"/>
  </r>
  <r>
    <x v="33"/>
    <x v="1"/>
    <x v="0"/>
    <n v="1496454.75"/>
    <x v="1"/>
  </r>
  <r>
    <x v="33"/>
    <x v="2"/>
    <x v="0"/>
    <n v="1496454.75"/>
    <x v="1"/>
  </r>
  <r>
    <x v="33"/>
    <x v="3"/>
    <x v="0"/>
    <n v="1496454.75"/>
    <x v="1"/>
  </r>
  <r>
    <x v="33"/>
    <x v="0"/>
    <x v="1"/>
    <n v="1417500"/>
    <x v="1"/>
  </r>
  <r>
    <x v="33"/>
    <x v="1"/>
    <x v="1"/>
    <n v="1417500"/>
    <x v="1"/>
  </r>
  <r>
    <x v="33"/>
    <x v="2"/>
    <x v="1"/>
    <n v="1417500"/>
    <x v="1"/>
  </r>
  <r>
    <x v="33"/>
    <x v="3"/>
    <x v="1"/>
    <n v="1417500"/>
    <x v="1"/>
  </r>
  <r>
    <x v="33"/>
    <x v="0"/>
    <x v="15"/>
    <n v="614250"/>
    <x v="1"/>
  </r>
  <r>
    <x v="33"/>
    <x v="1"/>
    <x v="15"/>
    <n v="614250"/>
    <x v="1"/>
  </r>
  <r>
    <x v="33"/>
    <x v="2"/>
    <x v="15"/>
    <n v="614250"/>
    <x v="1"/>
  </r>
  <r>
    <x v="33"/>
    <x v="3"/>
    <x v="15"/>
    <n v="614250"/>
    <x v="1"/>
  </r>
  <r>
    <x v="34"/>
    <x v="0"/>
    <x v="126"/>
    <n v="1778395.5"/>
    <x v="1"/>
  </r>
  <r>
    <x v="34"/>
    <x v="1"/>
    <x v="126"/>
    <n v="1778395.5"/>
    <x v="1"/>
  </r>
  <r>
    <x v="34"/>
    <x v="0"/>
    <x v="77"/>
    <n v="7426125"/>
    <x v="1"/>
  </r>
  <r>
    <x v="34"/>
    <x v="1"/>
    <x v="77"/>
    <n v="7426125"/>
    <x v="1"/>
  </r>
  <r>
    <x v="34"/>
    <x v="0"/>
    <x v="127"/>
    <n v="964096.875"/>
    <x v="1"/>
  </r>
  <r>
    <x v="34"/>
    <x v="1"/>
    <x v="127"/>
    <n v="964096.875"/>
    <x v="1"/>
  </r>
  <r>
    <x v="34"/>
    <x v="0"/>
    <x v="67"/>
    <n v="3764722.4999999995"/>
    <x v="1"/>
  </r>
  <r>
    <x v="34"/>
    <x v="1"/>
    <x v="67"/>
    <n v="3764722.4999999995"/>
    <x v="1"/>
  </r>
  <r>
    <x v="35"/>
    <x v="1"/>
    <x v="0"/>
    <n v="3818881.08"/>
    <x v="1"/>
  </r>
  <r>
    <x v="35"/>
    <x v="2"/>
    <x v="0"/>
    <n v="3818881.08"/>
    <x v="1"/>
  </r>
  <r>
    <x v="35"/>
    <x v="3"/>
    <x v="0"/>
    <n v="3818881.08"/>
    <x v="1"/>
  </r>
  <r>
    <x v="35"/>
    <x v="4"/>
    <x v="0"/>
    <n v="3818881.08"/>
    <x v="1"/>
  </r>
  <r>
    <x v="35"/>
    <x v="5"/>
    <x v="0"/>
    <n v="3818881.08"/>
    <x v="1"/>
  </r>
  <r>
    <x v="35"/>
    <x v="6"/>
    <x v="0"/>
    <n v="3818881.08"/>
    <x v="1"/>
  </r>
  <r>
    <x v="35"/>
    <x v="7"/>
    <x v="0"/>
    <n v="3818881.08"/>
    <x v="1"/>
  </r>
  <r>
    <x v="35"/>
    <x v="1"/>
    <x v="77"/>
    <n v="6750000"/>
    <x v="1"/>
  </r>
  <r>
    <x v="35"/>
    <x v="2"/>
    <x v="77"/>
    <n v="6750000"/>
    <x v="1"/>
  </r>
  <r>
    <x v="35"/>
    <x v="3"/>
    <x v="77"/>
    <n v="6750000"/>
    <x v="1"/>
  </r>
  <r>
    <x v="35"/>
    <x v="4"/>
    <x v="77"/>
    <n v="6750000"/>
    <x v="1"/>
  </r>
  <r>
    <x v="35"/>
    <x v="5"/>
    <x v="77"/>
    <n v="6750000"/>
    <x v="1"/>
  </r>
  <r>
    <x v="35"/>
    <x v="6"/>
    <x v="77"/>
    <n v="6750000"/>
    <x v="1"/>
  </r>
  <r>
    <x v="35"/>
    <x v="7"/>
    <x v="77"/>
    <n v="6750000"/>
    <x v="1"/>
  </r>
  <r>
    <x v="35"/>
    <x v="1"/>
    <x v="58"/>
    <n v="1961638.6500000001"/>
    <x v="1"/>
  </r>
  <r>
    <x v="35"/>
    <x v="2"/>
    <x v="58"/>
    <n v="1961638.6500000001"/>
    <x v="1"/>
  </r>
  <r>
    <x v="35"/>
    <x v="3"/>
    <x v="58"/>
    <n v="1961638.6500000001"/>
    <x v="1"/>
  </r>
  <r>
    <x v="35"/>
    <x v="4"/>
    <x v="58"/>
    <n v="1961638.6500000001"/>
    <x v="1"/>
  </r>
  <r>
    <x v="35"/>
    <x v="5"/>
    <x v="58"/>
    <n v="1961638.6500000001"/>
    <x v="1"/>
  </r>
  <r>
    <x v="35"/>
    <x v="6"/>
    <x v="58"/>
    <n v="1961638.6500000001"/>
    <x v="1"/>
  </r>
  <r>
    <x v="35"/>
    <x v="7"/>
    <x v="58"/>
    <n v="1961638.6500000001"/>
    <x v="1"/>
  </r>
  <r>
    <x v="35"/>
    <x v="1"/>
    <x v="15"/>
    <n v="5271741.5887850448"/>
    <x v="1"/>
  </r>
  <r>
    <x v="35"/>
    <x v="2"/>
    <x v="15"/>
    <n v="5271741.5887850448"/>
    <x v="1"/>
  </r>
  <r>
    <x v="35"/>
    <x v="3"/>
    <x v="15"/>
    <n v="5271741.5887850448"/>
    <x v="1"/>
  </r>
  <r>
    <x v="35"/>
    <x v="4"/>
    <x v="15"/>
    <n v="5271741.5887850448"/>
    <x v="1"/>
  </r>
  <r>
    <x v="35"/>
    <x v="5"/>
    <x v="15"/>
    <n v="5271741.5887850448"/>
    <x v="1"/>
  </r>
  <r>
    <x v="35"/>
    <x v="6"/>
    <x v="15"/>
    <n v="5271741.5887850448"/>
    <x v="1"/>
  </r>
  <r>
    <x v="35"/>
    <x v="7"/>
    <x v="15"/>
    <n v="5271741.5887850448"/>
    <x v="1"/>
  </r>
  <r>
    <x v="35"/>
    <x v="1"/>
    <x v="14"/>
    <n v="3855251.3759999997"/>
    <x v="1"/>
  </r>
  <r>
    <x v="35"/>
    <x v="2"/>
    <x v="14"/>
    <n v="3855251.3759999997"/>
    <x v="1"/>
  </r>
  <r>
    <x v="35"/>
    <x v="3"/>
    <x v="14"/>
    <n v="3855251.3759999997"/>
    <x v="1"/>
  </r>
  <r>
    <x v="35"/>
    <x v="4"/>
    <x v="14"/>
    <n v="3855251.3759999997"/>
    <x v="1"/>
  </r>
  <r>
    <x v="35"/>
    <x v="5"/>
    <x v="14"/>
    <n v="3855251.3759999997"/>
    <x v="1"/>
  </r>
  <r>
    <x v="35"/>
    <x v="6"/>
    <x v="14"/>
    <n v="3855251.3759999997"/>
    <x v="1"/>
  </r>
  <r>
    <x v="35"/>
    <x v="7"/>
    <x v="14"/>
    <n v="3855251.3759999997"/>
    <x v="1"/>
  </r>
  <r>
    <x v="36"/>
    <x v="0"/>
    <x v="128"/>
    <n v="12913846.050000001"/>
    <x v="1"/>
  </r>
  <r>
    <x v="36"/>
    <x v="1"/>
    <x v="128"/>
    <n v="12913846.050000001"/>
    <x v="1"/>
  </r>
  <r>
    <x v="36"/>
    <x v="2"/>
    <x v="128"/>
    <n v="12913846.050000001"/>
    <x v="1"/>
  </r>
  <r>
    <x v="36"/>
    <x v="3"/>
    <x v="128"/>
    <n v="12913846.050000001"/>
    <x v="1"/>
  </r>
  <r>
    <x v="36"/>
    <x v="4"/>
    <x v="128"/>
    <n v="12913846.050000001"/>
    <x v="1"/>
  </r>
  <r>
    <x v="36"/>
    <x v="0"/>
    <x v="13"/>
    <n v="7300574.4000000004"/>
    <x v="1"/>
  </r>
  <r>
    <x v="36"/>
    <x v="1"/>
    <x v="13"/>
    <n v="7300574.4000000004"/>
    <x v="1"/>
  </r>
  <r>
    <x v="36"/>
    <x v="2"/>
    <x v="13"/>
    <n v="7300574.4000000004"/>
    <x v="1"/>
  </r>
  <r>
    <x v="36"/>
    <x v="3"/>
    <x v="13"/>
    <n v="7300574.4000000004"/>
    <x v="1"/>
  </r>
  <r>
    <x v="36"/>
    <x v="4"/>
    <x v="13"/>
    <n v="7300574.4000000004"/>
    <x v="1"/>
  </r>
  <r>
    <x v="36"/>
    <x v="0"/>
    <x v="13"/>
    <n v="7300574.4000000004"/>
    <x v="1"/>
  </r>
  <r>
    <x v="36"/>
    <x v="1"/>
    <x v="13"/>
    <n v="7300574.4000000004"/>
    <x v="1"/>
  </r>
  <r>
    <x v="36"/>
    <x v="2"/>
    <x v="13"/>
    <n v="7300574.4000000004"/>
    <x v="1"/>
  </r>
  <r>
    <x v="36"/>
    <x v="3"/>
    <x v="13"/>
    <n v="7300574.4000000004"/>
    <x v="1"/>
  </r>
  <r>
    <x v="36"/>
    <x v="4"/>
    <x v="13"/>
    <n v="7300574.4000000004"/>
    <x v="1"/>
  </r>
  <r>
    <x v="36"/>
    <x v="0"/>
    <x v="13"/>
    <n v="7300574.4000000004"/>
    <x v="1"/>
  </r>
  <r>
    <x v="36"/>
    <x v="1"/>
    <x v="13"/>
    <n v="7300574.4000000004"/>
    <x v="1"/>
  </r>
  <r>
    <x v="36"/>
    <x v="2"/>
    <x v="13"/>
    <n v="7300574.4000000004"/>
    <x v="1"/>
  </r>
  <r>
    <x v="36"/>
    <x v="3"/>
    <x v="13"/>
    <n v="7300574.4000000004"/>
    <x v="1"/>
  </r>
  <r>
    <x v="36"/>
    <x v="4"/>
    <x v="13"/>
    <n v="7300574.4000000004"/>
    <x v="1"/>
  </r>
  <r>
    <x v="36"/>
    <x v="0"/>
    <x v="15"/>
    <n v="5214695.8500000006"/>
    <x v="1"/>
  </r>
  <r>
    <x v="36"/>
    <x v="1"/>
    <x v="15"/>
    <n v="5214695.8500000006"/>
    <x v="1"/>
  </r>
  <r>
    <x v="36"/>
    <x v="2"/>
    <x v="15"/>
    <n v="5214695.8500000006"/>
    <x v="1"/>
  </r>
  <r>
    <x v="36"/>
    <x v="3"/>
    <x v="15"/>
    <n v="5214695.8500000006"/>
    <x v="1"/>
  </r>
  <r>
    <x v="36"/>
    <x v="4"/>
    <x v="15"/>
    <n v="5214695.8500000006"/>
    <x v="1"/>
  </r>
  <r>
    <x v="36"/>
    <x v="0"/>
    <x v="104"/>
    <n v="5214695.8500000006"/>
    <x v="1"/>
  </r>
  <r>
    <x v="36"/>
    <x v="1"/>
    <x v="104"/>
    <n v="5214695.8500000006"/>
    <x v="1"/>
  </r>
  <r>
    <x v="36"/>
    <x v="2"/>
    <x v="104"/>
    <n v="5214695.8500000006"/>
    <x v="1"/>
  </r>
  <r>
    <x v="36"/>
    <x v="3"/>
    <x v="104"/>
    <n v="5214695.8500000006"/>
    <x v="1"/>
  </r>
  <r>
    <x v="36"/>
    <x v="4"/>
    <x v="104"/>
    <n v="5214695.8500000006"/>
    <x v="1"/>
  </r>
  <r>
    <x v="36"/>
    <x v="0"/>
    <x v="105"/>
    <n v="5142002.25"/>
    <x v="1"/>
  </r>
  <r>
    <x v="36"/>
    <x v="1"/>
    <x v="105"/>
    <n v="5142002.25"/>
    <x v="1"/>
  </r>
  <r>
    <x v="36"/>
    <x v="2"/>
    <x v="105"/>
    <n v="5142002.25"/>
    <x v="1"/>
  </r>
  <r>
    <x v="36"/>
    <x v="3"/>
    <x v="105"/>
    <n v="5142002.25"/>
    <x v="1"/>
  </r>
  <r>
    <x v="36"/>
    <x v="4"/>
    <x v="105"/>
    <n v="5142002.25"/>
    <x v="1"/>
  </r>
  <r>
    <x v="36"/>
    <x v="0"/>
    <x v="3"/>
    <n v="9867809.7000000011"/>
    <x v="1"/>
  </r>
  <r>
    <x v="36"/>
    <x v="1"/>
    <x v="3"/>
    <n v="9867809.7000000011"/>
    <x v="1"/>
  </r>
  <r>
    <x v="36"/>
    <x v="2"/>
    <x v="3"/>
    <n v="9867809.7000000011"/>
    <x v="1"/>
  </r>
  <r>
    <x v="36"/>
    <x v="3"/>
    <x v="3"/>
    <n v="9867809.7000000011"/>
    <x v="1"/>
  </r>
  <r>
    <x v="36"/>
    <x v="4"/>
    <x v="3"/>
    <n v="9867809.7000000011"/>
    <x v="1"/>
  </r>
  <r>
    <x v="36"/>
    <x v="0"/>
    <x v="117"/>
    <n v="3569121.1500000004"/>
    <x v="1"/>
  </r>
  <r>
    <x v="36"/>
    <x v="1"/>
    <x v="117"/>
    <n v="3569121.1500000004"/>
    <x v="1"/>
  </r>
  <r>
    <x v="36"/>
    <x v="2"/>
    <x v="117"/>
    <n v="3569121.1500000004"/>
    <x v="1"/>
  </r>
  <r>
    <x v="36"/>
    <x v="3"/>
    <x v="117"/>
    <n v="3569121.1500000004"/>
    <x v="1"/>
  </r>
  <r>
    <x v="36"/>
    <x v="4"/>
    <x v="117"/>
    <n v="3569121.1500000004"/>
    <x v="1"/>
  </r>
  <r>
    <x v="36"/>
    <x v="0"/>
    <x v="67"/>
    <n v="4240842.9000000004"/>
    <x v="1"/>
  </r>
  <r>
    <x v="36"/>
    <x v="1"/>
    <x v="67"/>
    <n v="4240842.9000000004"/>
    <x v="1"/>
  </r>
  <r>
    <x v="36"/>
    <x v="2"/>
    <x v="67"/>
    <n v="4240842.9000000004"/>
    <x v="1"/>
  </r>
  <r>
    <x v="36"/>
    <x v="3"/>
    <x v="67"/>
    <n v="4240842.9000000004"/>
    <x v="1"/>
  </r>
  <r>
    <x v="36"/>
    <x v="4"/>
    <x v="67"/>
    <n v="4240842.9000000004"/>
    <x v="1"/>
  </r>
  <r>
    <x v="36"/>
    <x v="0"/>
    <x v="109"/>
    <n v="3348034.2"/>
    <x v="1"/>
  </r>
  <r>
    <x v="36"/>
    <x v="1"/>
    <x v="109"/>
    <n v="3348034.2"/>
    <x v="1"/>
  </r>
  <r>
    <x v="36"/>
    <x v="2"/>
    <x v="109"/>
    <n v="3348034.2"/>
    <x v="1"/>
  </r>
  <r>
    <x v="36"/>
    <x v="3"/>
    <x v="109"/>
    <n v="3348034.2"/>
    <x v="1"/>
  </r>
  <r>
    <x v="36"/>
    <x v="4"/>
    <x v="109"/>
    <n v="3348034.2"/>
    <x v="1"/>
  </r>
  <r>
    <x v="36"/>
    <x v="0"/>
    <x v="129"/>
    <n v="3348034.2"/>
    <x v="1"/>
  </r>
  <r>
    <x v="36"/>
    <x v="1"/>
    <x v="129"/>
    <n v="3348034.2"/>
    <x v="1"/>
  </r>
  <r>
    <x v="36"/>
    <x v="2"/>
    <x v="129"/>
    <n v="3348034.2"/>
    <x v="1"/>
  </r>
  <r>
    <x v="36"/>
    <x v="3"/>
    <x v="129"/>
    <n v="3348034.2"/>
    <x v="1"/>
  </r>
  <r>
    <x v="36"/>
    <x v="4"/>
    <x v="129"/>
    <n v="3348034.2"/>
    <x v="1"/>
  </r>
  <r>
    <x v="36"/>
    <x v="0"/>
    <x v="130"/>
    <n v="3348034.2"/>
    <x v="1"/>
  </r>
  <r>
    <x v="36"/>
    <x v="1"/>
    <x v="130"/>
    <n v="3348034.2"/>
    <x v="1"/>
  </r>
  <r>
    <x v="36"/>
    <x v="2"/>
    <x v="130"/>
    <n v="3348034.2"/>
    <x v="1"/>
  </r>
  <r>
    <x v="36"/>
    <x v="3"/>
    <x v="130"/>
    <n v="3348034.2"/>
    <x v="1"/>
  </r>
  <r>
    <x v="36"/>
    <x v="4"/>
    <x v="130"/>
    <n v="3348034.2"/>
    <x v="1"/>
  </r>
  <r>
    <x v="36"/>
    <x v="0"/>
    <x v="19"/>
    <n v="3348034.2"/>
    <x v="1"/>
  </r>
  <r>
    <x v="36"/>
    <x v="1"/>
    <x v="19"/>
    <n v="3348034.2"/>
    <x v="1"/>
  </r>
  <r>
    <x v="36"/>
    <x v="2"/>
    <x v="19"/>
    <n v="3348034.2"/>
    <x v="1"/>
  </r>
  <r>
    <x v="36"/>
    <x v="3"/>
    <x v="19"/>
    <n v="3348034.2"/>
    <x v="1"/>
  </r>
  <r>
    <x v="36"/>
    <x v="4"/>
    <x v="19"/>
    <n v="3348034.2"/>
    <x v="1"/>
  </r>
  <r>
    <x v="36"/>
    <x v="0"/>
    <x v="131"/>
    <n v="3348034.2"/>
    <x v="1"/>
  </r>
  <r>
    <x v="36"/>
    <x v="1"/>
    <x v="131"/>
    <n v="3348034.2"/>
    <x v="1"/>
  </r>
  <r>
    <x v="36"/>
    <x v="2"/>
    <x v="131"/>
    <n v="3348034.2"/>
    <x v="1"/>
  </r>
  <r>
    <x v="36"/>
    <x v="3"/>
    <x v="131"/>
    <n v="3348034.2"/>
    <x v="1"/>
  </r>
  <r>
    <x v="36"/>
    <x v="4"/>
    <x v="131"/>
    <n v="3348034.2"/>
    <x v="1"/>
  </r>
  <r>
    <x v="36"/>
    <x v="0"/>
    <x v="132"/>
    <n v="3348034.2"/>
    <x v="1"/>
  </r>
  <r>
    <x v="36"/>
    <x v="1"/>
    <x v="132"/>
    <n v="3348034.2"/>
    <x v="1"/>
  </r>
  <r>
    <x v="36"/>
    <x v="2"/>
    <x v="132"/>
    <n v="3348034.2"/>
    <x v="1"/>
  </r>
  <r>
    <x v="36"/>
    <x v="3"/>
    <x v="132"/>
    <n v="3348034.2"/>
    <x v="1"/>
  </r>
  <r>
    <x v="36"/>
    <x v="4"/>
    <x v="132"/>
    <n v="3348034.2"/>
    <x v="1"/>
  </r>
  <r>
    <x v="36"/>
    <x v="0"/>
    <x v="33"/>
    <n v="1989931.6500000001"/>
    <x v="1"/>
  </r>
  <r>
    <x v="36"/>
    <x v="1"/>
    <x v="33"/>
    <n v="1989931.6500000001"/>
    <x v="1"/>
  </r>
  <r>
    <x v="36"/>
    <x v="2"/>
    <x v="33"/>
    <n v="1989931.6500000001"/>
    <x v="1"/>
  </r>
  <r>
    <x v="36"/>
    <x v="3"/>
    <x v="33"/>
    <n v="1989931.6500000001"/>
    <x v="1"/>
  </r>
  <r>
    <x v="36"/>
    <x v="4"/>
    <x v="33"/>
    <n v="1989931.6500000001"/>
    <x v="1"/>
  </r>
  <r>
    <x v="36"/>
    <x v="0"/>
    <x v="58"/>
    <n v="6819217.6500000004"/>
    <x v="1"/>
  </r>
  <r>
    <x v="36"/>
    <x v="1"/>
    <x v="58"/>
    <n v="6819217.6500000004"/>
    <x v="1"/>
  </r>
  <r>
    <x v="36"/>
    <x v="2"/>
    <x v="58"/>
    <n v="6819217.6500000004"/>
    <x v="1"/>
  </r>
  <r>
    <x v="36"/>
    <x v="3"/>
    <x v="58"/>
    <n v="6819217.6500000004"/>
    <x v="1"/>
  </r>
  <r>
    <x v="36"/>
    <x v="4"/>
    <x v="58"/>
    <n v="6819217.6500000004"/>
    <x v="1"/>
  </r>
  <r>
    <x v="36"/>
    <x v="0"/>
    <x v="13"/>
    <n v="9827696.5500000007"/>
    <x v="1"/>
  </r>
  <r>
    <x v="36"/>
    <x v="1"/>
    <x v="13"/>
    <n v="9827696.5500000007"/>
    <x v="1"/>
  </r>
  <r>
    <x v="36"/>
    <x v="2"/>
    <x v="13"/>
    <n v="9827696.5500000007"/>
    <x v="1"/>
  </r>
  <r>
    <x v="36"/>
    <x v="3"/>
    <x v="13"/>
    <n v="9827696.5500000007"/>
    <x v="1"/>
  </r>
  <r>
    <x v="36"/>
    <x v="4"/>
    <x v="13"/>
    <n v="9827696.5500000007"/>
    <x v="1"/>
  </r>
  <r>
    <x v="36"/>
    <x v="0"/>
    <x v="133"/>
    <n v="9827696.5500000007"/>
    <x v="1"/>
  </r>
  <r>
    <x v="36"/>
    <x v="1"/>
    <x v="133"/>
    <n v="9827696.5500000007"/>
    <x v="1"/>
  </r>
  <r>
    <x v="36"/>
    <x v="2"/>
    <x v="133"/>
    <n v="9827696.5500000007"/>
    <x v="1"/>
  </r>
  <r>
    <x v="36"/>
    <x v="3"/>
    <x v="133"/>
    <n v="9827696.5500000007"/>
    <x v="1"/>
  </r>
  <r>
    <x v="36"/>
    <x v="4"/>
    <x v="133"/>
    <n v="9827696.5500000007"/>
    <x v="1"/>
  </r>
  <r>
    <x v="36"/>
    <x v="0"/>
    <x v="133"/>
    <n v="9827696.5500000007"/>
    <x v="1"/>
  </r>
  <r>
    <x v="36"/>
    <x v="1"/>
    <x v="133"/>
    <n v="9827696.5500000007"/>
    <x v="1"/>
  </r>
  <r>
    <x v="36"/>
    <x v="2"/>
    <x v="133"/>
    <n v="9827696.5500000007"/>
    <x v="1"/>
  </r>
  <r>
    <x v="36"/>
    <x v="3"/>
    <x v="133"/>
    <n v="9827696.5500000007"/>
    <x v="1"/>
  </r>
  <r>
    <x v="36"/>
    <x v="4"/>
    <x v="133"/>
    <n v="9827696.5500000007"/>
    <x v="1"/>
  </r>
  <r>
    <x v="36"/>
    <x v="0"/>
    <x v="134"/>
    <n v="7822044.3000000007"/>
    <x v="1"/>
  </r>
  <r>
    <x v="36"/>
    <x v="1"/>
    <x v="134"/>
    <n v="7822044.3000000007"/>
    <x v="1"/>
  </r>
  <r>
    <x v="36"/>
    <x v="2"/>
    <x v="134"/>
    <n v="7822044.3000000007"/>
    <x v="1"/>
  </r>
  <r>
    <x v="36"/>
    <x v="3"/>
    <x v="134"/>
    <n v="7822044.3000000007"/>
    <x v="1"/>
  </r>
  <r>
    <x v="36"/>
    <x v="4"/>
    <x v="134"/>
    <n v="7822044.3000000007"/>
    <x v="1"/>
  </r>
  <r>
    <x v="37"/>
    <x v="2"/>
    <x v="0"/>
    <n v="3184375.68"/>
    <x v="1"/>
  </r>
  <r>
    <x v="37"/>
    <x v="3"/>
    <x v="0"/>
    <n v="3184375.68"/>
    <x v="1"/>
  </r>
  <r>
    <x v="37"/>
    <x v="4"/>
    <x v="0"/>
    <n v="3184375.68"/>
    <x v="1"/>
  </r>
  <r>
    <x v="37"/>
    <x v="5"/>
    <x v="0"/>
    <n v="3184375.68"/>
    <x v="1"/>
  </r>
  <r>
    <x v="37"/>
    <x v="6"/>
    <x v="0"/>
    <n v="3184375.68"/>
    <x v="1"/>
  </r>
  <r>
    <x v="37"/>
    <x v="7"/>
    <x v="0"/>
    <n v="4776563.5200000005"/>
    <x v="1"/>
  </r>
  <r>
    <x v="37"/>
    <x v="8"/>
    <x v="0"/>
    <n v="4776563.5200000005"/>
    <x v="1"/>
  </r>
  <r>
    <x v="37"/>
    <x v="9"/>
    <x v="0"/>
    <n v="4776563.5200000005"/>
    <x v="1"/>
  </r>
  <r>
    <x v="37"/>
    <x v="10"/>
    <x v="0"/>
    <n v="4776563.5200000005"/>
    <x v="1"/>
  </r>
  <r>
    <x v="37"/>
    <x v="11"/>
    <x v="0"/>
    <n v="4776563.5200000005"/>
    <x v="1"/>
  </r>
  <r>
    <x v="37"/>
    <x v="12"/>
    <x v="0"/>
    <n v="4776563.5200000005"/>
    <x v="1"/>
  </r>
  <r>
    <x v="37"/>
    <x v="13"/>
    <x v="0"/>
    <n v="4776563.5200000005"/>
    <x v="1"/>
  </r>
  <r>
    <x v="37"/>
    <x v="14"/>
    <x v="0"/>
    <n v="4776563.5200000005"/>
    <x v="1"/>
  </r>
  <r>
    <x v="37"/>
    <x v="15"/>
    <x v="0"/>
    <n v="4776563.5200000005"/>
    <x v="1"/>
  </r>
  <r>
    <x v="37"/>
    <x v="16"/>
    <x v="0"/>
    <n v="4776563.5200000005"/>
    <x v="1"/>
  </r>
  <r>
    <x v="37"/>
    <x v="17"/>
    <x v="0"/>
    <n v="4776563.5200000005"/>
    <x v="1"/>
  </r>
  <r>
    <x v="37"/>
    <x v="18"/>
    <x v="0"/>
    <n v="4776563.5200000005"/>
    <x v="1"/>
  </r>
  <r>
    <x v="37"/>
    <x v="19"/>
    <x v="0"/>
    <n v="4776563.5200000005"/>
    <x v="1"/>
  </r>
  <r>
    <x v="37"/>
    <x v="20"/>
    <x v="0"/>
    <n v="4776563.5200000005"/>
    <x v="1"/>
  </r>
  <r>
    <x v="37"/>
    <x v="21"/>
    <x v="0"/>
    <n v="4776563.5200000005"/>
    <x v="1"/>
  </r>
  <r>
    <x v="37"/>
    <x v="22"/>
    <x v="0"/>
    <n v="4776563.5200000005"/>
    <x v="1"/>
  </r>
  <r>
    <x v="37"/>
    <x v="23"/>
    <x v="0"/>
    <n v="4776563.5200000005"/>
    <x v="1"/>
  </r>
  <r>
    <x v="37"/>
    <x v="24"/>
    <x v="0"/>
    <n v="4776563.5200000005"/>
    <x v="1"/>
  </r>
  <r>
    <x v="37"/>
    <x v="25"/>
    <x v="0"/>
    <n v="4776563.5200000005"/>
    <x v="1"/>
  </r>
  <r>
    <x v="37"/>
    <x v="26"/>
    <x v="0"/>
    <n v="4776563.5200000005"/>
    <x v="1"/>
  </r>
  <r>
    <x v="37"/>
    <x v="2"/>
    <x v="1"/>
    <n v="6862500"/>
    <x v="1"/>
  </r>
  <r>
    <x v="37"/>
    <x v="3"/>
    <x v="1"/>
    <n v="6862500"/>
    <x v="1"/>
  </r>
  <r>
    <x v="37"/>
    <x v="4"/>
    <x v="1"/>
    <n v="6862500"/>
    <x v="1"/>
  </r>
  <r>
    <x v="37"/>
    <x v="5"/>
    <x v="1"/>
    <n v="6862500"/>
    <x v="1"/>
  </r>
  <r>
    <x v="37"/>
    <x v="6"/>
    <x v="1"/>
    <n v="6862500"/>
    <x v="1"/>
  </r>
  <r>
    <x v="37"/>
    <x v="7"/>
    <x v="1"/>
    <n v="9150000"/>
    <x v="1"/>
  </r>
  <r>
    <x v="37"/>
    <x v="8"/>
    <x v="1"/>
    <n v="9150000"/>
    <x v="1"/>
  </r>
  <r>
    <x v="37"/>
    <x v="9"/>
    <x v="1"/>
    <n v="9150000"/>
    <x v="1"/>
  </r>
  <r>
    <x v="37"/>
    <x v="10"/>
    <x v="1"/>
    <n v="9150000"/>
    <x v="1"/>
  </r>
  <r>
    <x v="37"/>
    <x v="11"/>
    <x v="1"/>
    <n v="9150000"/>
    <x v="1"/>
  </r>
  <r>
    <x v="37"/>
    <x v="12"/>
    <x v="1"/>
    <n v="9150000"/>
    <x v="1"/>
  </r>
  <r>
    <x v="37"/>
    <x v="13"/>
    <x v="1"/>
    <n v="9150000"/>
    <x v="1"/>
  </r>
  <r>
    <x v="37"/>
    <x v="14"/>
    <x v="1"/>
    <n v="9150000"/>
    <x v="1"/>
  </r>
  <r>
    <x v="37"/>
    <x v="15"/>
    <x v="1"/>
    <n v="9150000"/>
    <x v="1"/>
  </r>
  <r>
    <x v="37"/>
    <x v="16"/>
    <x v="1"/>
    <n v="9150000"/>
    <x v="1"/>
  </r>
  <r>
    <x v="37"/>
    <x v="17"/>
    <x v="1"/>
    <n v="9150000"/>
    <x v="1"/>
  </r>
  <r>
    <x v="37"/>
    <x v="18"/>
    <x v="1"/>
    <n v="9150000"/>
    <x v="1"/>
  </r>
  <r>
    <x v="37"/>
    <x v="19"/>
    <x v="1"/>
    <n v="9150000"/>
    <x v="1"/>
  </r>
  <r>
    <x v="37"/>
    <x v="20"/>
    <x v="1"/>
    <n v="9150000"/>
    <x v="1"/>
  </r>
  <r>
    <x v="37"/>
    <x v="21"/>
    <x v="1"/>
    <n v="9150000"/>
    <x v="1"/>
  </r>
  <r>
    <x v="37"/>
    <x v="22"/>
    <x v="1"/>
    <n v="9150000"/>
    <x v="1"/>
  </r>
  <r>
    <x v="37"/>
    <x v="23"/>
    <x v="1"/>
    <n v="9150000"/>
    <x v="1"/>
  </r>
  <r>
    <x v="37"/>
    <x v="24"/>
    <x v="1"/>
    <n v="9150000"/>
    <x v="1"/>
  </r>
  <r>
    <x v="37"/>
    <x v="25"/>
    <x v="1"/>
    <n v="9150000"/>
    <x v="1"/>
  </r>
  <r>
    <x v="37"/>
    <x v="26"/>
    <x v="1"/>
    <n v="9150000"/>
    <x v="1"/>
  </r>
  <r>
    <x v="37"/>
    <x v="2"/>
    <x v="119"/>
    <n v="6000000"/>
    <x v="1"/>
  </r>
  <r>
    <x v="37"/>
    <x v="3"/>
    <x v="119"/>
    <n v="6000000"/>
    <x v="1"/>
  </r>
  <r>
    <x v="37"/>
    <x v="4"/>
    <x v="119"/>
    <n v="6000000"/>
    <x v="1"/>
  </r>
  <r>
    <x v="37"/>
    <x v="5"/>
    <x v="119"/>
    <n v="6000000"/>
    <x v="1"/>
  </r>
  <r>
    <x v="37"/>
    <x v="6"/>
    <x v="119"/>
    <n v="6000000"/>
    <x v="1"/>
  </r>
  <r>
    <x v="37"/>
    <x v="7"/>
    <x v="119"/>
    <n v="6000000"/>
    <x v="1"/>
  </r>
  <r>
    <x v="37"/>
    <x v="8"/>
    <x v="119"/>
    <n v="6000000"/>
    <x v="1"/>
  </r>
  <r>
    <x v="37"/>
    <x v="9"/>
    <x v="119"/>
    <n v="6000000"/>
    <x v="1"/>
  </r>
  <r>
    <x v="37"/>
    <x v="10"/>
    <x v="119"/>
    <n v="6000000"/>
    <x v="1"/>
  </r>
  <r>
    <x v="37"/>
    <x v="11"/>
    <x v="119"/>
    <n v="6000000"/>
    <x v="1"/>
  </r>
  <r>
    <x v="37"/>
    <x v="12"/>
    <x v="119"/>
    <n v="6000000"/>
    <x v="1"/>
  </r>
  <r>
    <x v="37"/>
    <x v="13"/>
    <x v="119"/>
    <n v="6000000"/>
    <x v="1"/>
  </r>
  <r>
    <x v="37"/>
    <x v="14"/>
    <x v="119"/>
    <n v="6000000"/>
    <x v="1"/>
  </r>
  <r>
    <x v="37"/>
    <x v="15"/>
    <x v="119"/>
    <n v="6000000"/>
    <x v="1"/>
  </r>
  <r>
    <x v="37"/>
    <x v="2"/>
    <x v="3"/>
    <n v="6000000"/>
    <x v="1"/>
  </r>
  <r>
    <x v="37"/>
    <x v="3"/>
    <x v="3"/>
    <n v="6000000"/>
    <x v="1"/>
  </r>
  <r>
    <x v="37"/>
    <x v="4"/>
    <x v="3"/>
    <n v="6000000"/>
    <x v="1"/>
  </r>
  <r>
    <x v="37"/>
    <x v="5"/>
    <x v="3"/>
    <n v="6000000"/>
    <x v="1"/>
  </r>
  <r>
    <x v="37"/>
    <x v="6"/>
    <x v="3"/>
    <n v="6000000"/>
    <x v="1"/>
  </r>
  <r>
    <x v="37"/>
    <x v="7"/>
    <x v="3"/>
    <n v="6000000"/>
    <x v="1"/>
  </r>
  <r>
    <x v="37"/>
    <x v="8"/>
    <x v="3"/>
    <n v="6000000"/>
    <x v="1"/>
  </r>
  <r>
    <x v="37"/>
    <x v="9"/>
    <x v="3"/>
    <n v="6000000"/>
    <x v="1"/>
  </r>
  <r>
    <x v="37"/>
    <x v="10"/>
    <x v="3"/>
    <n v="6000000"/>
    <x v="1"/>
  </r>
  <r>
    <x v="37"/>
    <x v="11"/>
    <x v="3"/>
    <n v="6000000"/>
    <x v="1"/>
  </r>
  <r>
    <x v="37"/>
    <x v="12"/>
    <x v="3"/>
    <n v="6000000"/>
    <x v="1"/>
  </r>
  <r>
    <x v="37"/>
    <x v="13"/>
    <x v="3"/>
    <n v="6000000"/>
    <x v="1"/>
  </r>
  <r>
    <x v="37"/>
    <x v="2"/>
    <x v="15"/>
    <n v="3058762.5"/>
    <x v="1"/>
  </r>
  <r>
    <x v="37"/>
    <x v="3"/>
    <x v="15"/>
    <n v="3058762.5"/>
    <x v="1"/>
  </r>
  <r>
    <x v="37"/>
    <x v="4"/>
    <x v="15"/>
    <n v="3058762.5"/>
    <x v="1"/>
  </r>
  <r>
    <x v="37"/>
    <x v="2"/>
    <x v="15"/>
    <n v="4078350"/>
    <x v="1"/>
  </r>
  <r>
    <x v="37"/>
    <x v="3"/>
    <x v="15"/>
    <n v="4078350"/>
    <x v="1"/>
  </r>
  <r>
    <x v="37"/>
    <x v="4"/>
    <x v="15"/>
    <n v="4078350"/>
    <x v="1"/>
  </r>
  <r>
    <x v="37"/>
    <x v="5"/>
    <x v="15"/>
    <n v="4078350"/>
    <x v="1"/>
  </r>
  <r>
    <x v="37"/>
    <x v="6"/>
    <x v="15"/>
    <n v="4078350"/>
    <x v="1"/>
  </r>
  <r>
    <x v="37"/>
    <x v="7"/>
    <x v="15"/>
    <n v="4078350"/>
    <x v="1"/>
  </r>
  <r>
    <x v="37"/>
    <x v="8"/>
    <x v="15"/>
    <n v="4078350"/>
    <x v="1"/>
  </r>
  <r>
    <x v="37"/>
    <x v="9"/>
    <x v="15"/>
    <n v="4078350"/>
    <x v="1"/>
  </r>
  <r>
    <x v="37"/>
    <x v="10"/>
    <x v="15"/>
    <n v="4078350"/>
    <x v="1"/>
  </r>
  <r>
    <x v="37"/>
    <x v="11"/>
    <x v="15"/>
    <n v="4078350"/>
    <x v="1"/>
  </r>
  <r>
    <x v="37"/>
    <x v="12"/>
    <x v="15"/>
    <n v="4078350"/>
    <x v="1"/>
  </r>
  <r>
    <x v="37"/>
    <x v="13"/>
    <x v="15"/>
    <n v="4078350"/>
    <x v="1"/>
  </r>
  <r>
    <x v="37"/>
    <x v="14"/>
    <x v="15"/>
    <n v="4078350"/>
    <x v="1"/>
  </r>
  <r>
    <x v="37"/>
    <x v="15"/>
    <x v="15"/>
    <n v="4078350"/>
    <x v="1"/>
  </r>
  <r>
    <x v="37"/>
    <x v="16"/>
    <x v="15"/>
    <n v="4078350"/>
    <x v="1"/>
  </r>
  <r>
    <x v="37"/>
    <x v="17"/>
    <x v="15"/>
    <n v="4078350"/>
    <x v="1"/>
  </r>
  <r>
    <x v="37"/>
    <x v="18"/>
    <x v="15"/>
    <n v="4078350"/>
    <x v="1"/>
  </r>
  <r>
    <x v="37"/>
    <x v="19"/>
    <x v="15"/>
    <n v="4078350"/>
    <x v="1"/>
  </r>
  <r>
    <x v="37"/>
    <x v="20"/>
    <x v="15"/>
    <n v="4078350"/>
    <x v="1"/>
  </r>
  <r>
    <x v="37"/>
    <x v="21"/>
    <x v="15"/>
    <n v="4078350"/>
    <x v="1"/>
  </r>
  <r>
    <x v="37"/>
    <x v="2"/>
    <x v="58"/>
    <n v="3923277"/>
    <x v="1"/>
  </r>
  <r>
    <x v="37"/>
    <x v="3"/>
    <x v="58"/>
    <n v="3923277"/>
    <x v="1"/>
  </r>
  <r>
    <x v="37"/>
    <x v="4"/>
    <x v="58"/>
    <n v="3923277"/>
    <x v="1"/>
  </r>
  <r>
    <x v="37"/>
    <x v="5"/>
    <x v="58"/>
    <n v="3923277"/>
    <x v="1"/>
  </r>
  <r>
    <x v="37"/>
    <x v="6"/>
    <x v="58"/>
    <n v="3923277"/>
    <x v="1"/>
  </r>
  <r>
    <x v="37"/>
    <x v="7"/>
    <x v="58"/>
    <n v="3923277"/>
    <x v="1"/>
  </r>
  <r>
    <x v="37"/>
    <x v="8"/>
    <x v="58"/>
    <n v="3923277"/>
    <x v="1"/>
  </r>
  <r>
    <x v="37"/>
    <x v="2"/>
    <x v="20"/>
    <n v="3815999.9999999995"/>
    <x v="1"/>
  </r>
  <r>
    <x v="37"/>
    <x v="3"/>
    <x v="20"/>
    <n v="3815999.9999999995"/>
    <x v="1"/>
  </r>
  <r>
    <x v="37"/>
    <x v="4"/>
    <x v="20"/>
    <n v="3815999.9999999995"/>
    <x v="1"/>
  </r>
  <r>
    <x v="37"/>
    <x v="5"/>
    <x v="20"/>
    <n v="3815999.9999999995"/>
    <x v="1"/>
  </r>
  <r>
    <x v="37"/>
    <x v="6"/>
    <x v="20"/>
    <n v="3815999.9999999995"/>
    <x v="1"/>
  </r>
  <r>
    <x v="37"/>
    <x v="7"/>
    <x v="20"/>
    <n v="3815999.9999999995"/>
    <x v="1"/>
  </r>
  <r>
    <x v="37"/>
    <x v="8"/>
    <x v="20"/>
    <n v="3815999.9999999995"/>
    <x v="1"/>
  </r>
  <r>
    <x v="37"/>
    <x v="9"/>
    <x v="20"/>
    <n v="3815999.9999999995"/>
    <x v="1"/>
  </r>
  <r>
    <x v="37"/>
    <x v="10"/>
    <x v="20"/>
    <n v="3815999.9999999995"/>
    <x v="1"/>
  </r>
  <r>
    <x v="37"/>
    <x v="11"/>
    <x v="20"/>
    <n v="3815999.9999999995"/>
    <x v="1"/>
  </r>
  <r>
    <x v="37"/>
    <x v="12"/>
    <x v="20"/>
    <n v="3815999.9999999995"/>
    <x v="1"/>
  </r>
  <r>
    <x v="37"/>
    <x v="13"/>
    <x v="20"/>
    <n v="3815999.9999999995"/>
    <x v="1"/>
  </r>
  <r>
    <x v="37"/>
    <x v="14"/>
    <x v="20"/>
    <n v="3815999.9999999995"/>
    <x v="1"/>
  </r>
  <r>
    <x v="37"/>
    <x v="15"/>
    <x v="20"/>
    <n v="3815999.9999999995"/>
    <x v="1"/>
  </r>
  <r>
    <x v="37"/>
    <x v="16"/>
    <x v="20"/>
    <n v="3815999.9999999995"/>
    <x v="1"/>
  </r>
  <r>
    <x v="37"/>
    <x v="17"/>
    <x v="20"/>
    <n v="3815999.9999999995"/>
    <x v="1"/>
  </r>
  <r>
    <x v="37"/>
    <x v="18"/>
    <x v="20"/>
    <n v="3815999.9999999995"/>
    <x v="1"/>
  </r>
  <r>
    <x v="37"/>
    <x v="19"/>
    <x v="20"/>
    <n v="3815999.9999999995"/>
    <x v="1"/>
  </r>
  <r>
    <x v="37"/>
    <x v="20"/>
    <x v="20"/>
    <n v="3815999.9999999995"/>
    <x v="1"/>
  </r>
  <r>
    <x v="37"/>
    <x v="21"/>
    <x v="20"/>
    <n v="3815999.9999999995"/>
    <x v="1"/>
  </r>
  <r>
    <x v="37"/>
    <x v="22"/>
    <x v="20"/>
    <n v="3815999.9999999995"/>
    <x v="1"/>
  </r>
  <r>
    <x v="37"/>
    <x v="23"/>
    <x v="20"/>
    <n v="3815999.9999999995"/>
    <x v="1"/>
  </r>
  <r>
    <x v="37"/>
    <x v="24"/>
    <x v="20"/>
    <n v="3815999.9999999995"/>
    <x v="1"/>
  </r>
  <r>
    <x v="37"/>
    <x v="25"/>
    <x v="20"/>
    <n v="3815999.9999999995"/>
    <x v="1"/>
  </r>
  <r>
    <x v="38"/>
    <x v="3"/>
    <x v="13"/>
    <n v="5724000"/>
    <x v="1"/>
  </r>
  <r>
    <x v="38"/>
    <x v="3"/>
    <x v="15"/>
    <n v="5271741"/>
    <x v="1"/>
  </r>
  <r>
    <x v="38"/>
    <x v="3"/>
    <x v="5"/>
    <n v="1963650"/>
    <x v="1"/>
  </r>
  <r>
    <x v="38"/>
    <x v="3"/>
    <x v="0"/>
    <n v="3183727.68"/>
    <x v="1"/>
  </r>
  <r>
    <x v="38"/>
    <x v="4"/>
    <x v="0"/>
    <n v="3183727.68"/>
    <x v="1"/>
  </r>
  <r>
    <x v="38"/>
    <x v="5"/>
    <x v="0"/>
    <n v="3183727.68"/>
    <x v="1"/>
  </r>
  <r>
    <x v="38"/>
    <x v="6"/>
    <x v="0"/>
    <n v="3183727.68"/>
    <x v="1"/>
  </r>
  <r>
    <x v="38"/>
    <x v="7"/>
    <x v="0"/>
    <n v="3183727.68"/>
    <x v="1"/>
  </r>
  <r>
    <x v="38"/>
    <x v="8"/>
    <x v="0"/>
    <n v="3183727.68"/>
    <x v="1"/>
  </r>
  <r>
    <x v="38"/>
    <x v="9"/>
    <x v="0"/>
    <n v="3183727.68"/>
    <x v="1"/>
  </r>
  <r>
    <x v="38"/>
    <x v="10"/>
    <x v="0"/>
    <n v="3183727.68"/>
    <x v="1"/>
  </r>
  <r>
    <x v="38"/>
    <x v="11"/>
    <x v="0"/>
    <n v="3183727.68"/>
    <x v="1"/>
  </r>
  <r>
    <x v="38"/>
    <x v="12"/>
    <x v="0"/>
    <n v="3183727.68"/>
    <x v="1"/>
  </r>
  <r>
    <x v="38"/>
    <x v="3"/>
    <x v="77"/>
    <n v="6750000"/>
    <x v="1"/>
  </r>
  <r>
    <x v="38"/>
    <x v="4"/>
    <x v="77"/>
    <n v="6750000"/>
    <x v="1"/>
  </r>
  <r>
    <x v="38"/>
    <x v="5"/>
    <x v="77"/>
    <n v="6750000"/>
    <x v="1"/>
  </r>
  <r>
    <x v="38"/>
    <x v="6"/>
    <x v="77"/>
    <n v="6750000"/>
    <x v="1"/>
  </r>
  <r>
    <x v="38"/>
    <x v="7"/>
    <x v="77"/>
    <n v="6750000"/>
    <x v="1"/>
  </r>
  <r>
    <x v="38"/>
    <x v="8"/>
    <x v="77"/>
    <n v="6750000"/>
    <x v="1"/>
  </r>
  <r>
    <x v="38"/>
    <x v="9"/>
    <x v="77"/>
    <n v="6750000"/>
    <x v="1"/>
  </r>
  <r>
    <x v="38"/>
    <x v="10"/>
    <x v="77"/>
    <n v="6750000"/>
    <x v="1"/>
  </r>
  <r>
    <x v="38"/>
    <x v="11"/>
    <x v="77"/>
    <n v="6750000"/>
    <x v="1"/>
  </r>
  <r>
    <x v="38"/>
    <x v="12"/>
    <x v="77"/>
    <n v="6750000"/>
    <x v="1"/>
  </r>
  <r>
    <x v="38"/>
    <x v="3"/>
    <x v="58"/>
    <n v="1961638.5"/>
    <x v="1"/>
  </r>
  <r>
    <x v="38"/>
    <x v="4"/>
    <x v="58"/>
    <n v="1961638.5"/>
    <x v="1"/>
  </r>
  <r>
    <x v="38"/>
    <x v="5"/>
    <x v="58"/>
    <n v="1961638.5"/>
    <x v="1"/>
  </r>
  <r>
    <x v="38"/>
    <x v="6"/>
    <x v="58"/>
    <n v="1961638.5"/>
    <x v="1"/>
  </r>
  <r>
    <x v="38"/>
    <x v="7"/>
    <x v="58"/>
    <n v="1961638.5"/>
    <x v="1"/>
  </r>
  <r>
    <x v="38"/>
    <x v="8"/>
    <x v="58"/>
    <n v="1961638.5"/>
    <x v="1"/>
  </r>
  <r>
    <x v="38"/>
    <x v="9"/>
    <x v="58"/>
    <n v="1961638.5"/>
    <x v="1"/>
  </r>
  <r>
    <x v="38"/>
    <x v="3"/>
    <x v="15"/>
    <n v="4078350"/>
    <x v="1"/>
  </r>
  <r>
    <x v="38"/>
    <x v="4"/>
    <x v="15"/>
    <n v="4078350"/>
    <x v="1"/>
  </r>
  <r>
    <x v="38"/>
    <x v="5"/>
    <x v="15"/>
    <n v="4078350"/>
    <x v="1"/>
  </r>
  <r>
    <x v="38"/>
    <x v="6"/>
    <x v="15"/>
    <n v="4078350"/>
    <x v="1"/>
  </r>
  <r>
    <x v="38"/>
    <x v="7"/>
    <x v="15"/>
    <n v="4078350"/>
    <x v="1"/>
  </r>
  <r>
    <x v="38"/>
    <x v="8"/>
    <x v="15"/>
    <n v="4078350"/>
    <x v="1"/>
  </r>
  <r>
    <x v="38"/>
    <x v="9"/>
    <x v="15"/>
    <n v="4078350"/>
    <x v="1"/>
  </r>
  <r>
    <x v="38"/>
    <x v="10"/>
    <x v="15"/>
    <n v="4078350"/>
    <x v="1"/>
  </r>
  <r>
    <x v="38"/>
    <x v="11"/>
    <x v="15"/>
    <n v="4078350"/>
    <x v="1"/>
  </r>
  <r>
    <x v="38"/>
    <x v="12"/>
    <x v="15"/>
    <n v="4078350"/>
    <x v="1"/>
  </r>
  <r>
    <x v="38"/>
    <x v="3"/>
    <x v="14"/>
    <n v="4626300.8879999993"/>
    <x v="1"/>
  </r>
  <r>
    <x v="38"/>
    <x v="4"/>
    <x v="14"/>
    <n v="4626300.8879999993"/>
    <x v="1"/>
  </r>
  <r>
    <x v="38"/>
    <x v="5"/>
    <x v="14"/>
    <n v="4626300.8879999993"/>
    <x v="1"/>
  </r>
  <r>
    <x v="38"/>
    <x v="6"/>
    <x v="14"/>
    <n v="4626300.8879999993"/>
    <x v="1"/>
  </r>
  <r>
    <x v="38"/>
    <x v="7"/>
    <x v="14"/>
    <n v="4626300.8879999993"/>
    <x v="1"/>
  </r>
  <r>
    <x v="38"/>
    <x v="8"/>
    <x v="14"/>
    <n v="4626300.8879999993"/>
    <x v="1"/>
  </r>
  <r>
    <x v="38"/>
    <x v="9"/>
    <x v="14"/>
    <n v="4626300.8879999993"/>
    <x v="1"/>
  </r>
  <r>
    <x v="38"/>
    <x v="10"/>
    <x v="14"/>
    <n v="4626300.8879999993"/>
    <x v="1"/>
  </r>
  <r>
    <x v="38"/>
    <x v="11"/>
    <x v="14"/>
    <n v="4626300.8879999993"/>
    <x v="1"/>
  </r>
  <r>
    <x v="38"/>
    <x v="3"/>
    <x v="13"/>
    <n v="7512750"/>
    <x v="1"/>
  </r>
  <r>
    <x v="38"/>
    <x v="4"/>
    <x v="13"/>
    <n v="7512750"/>
    <x v="1"/>
  </r>
  <r>
    <x v="38"/>
    <x v="5"/>
    <x v="13"/>
    <n v="7512750"/>
    <x v="1"/>
  </r>
  <r>
    <x v="38"/>
    <x v="6"/>
    <x v="13"/>
    <n v="7512750"/>
    <x v="1"/>
  </r>
  <r>
    <x v="38"/>
    <x v="3"/>
    <x v="14"/>
    <n v="5204588.4989999998"/>
    <x v="1"/>
  </r>
  <r>
    <x v="38"/>
    <x v="4"/>
    <x v="14"/>
    <n v="5204588.4989999998"/>
    <x v="1"/>
  </r>
  <r>
    <x v="38"/>
    <x v="5"/>
    <x v="14"/>
    <n v="5204588.4989999998"/>
    <x v="1"/>
  </r>
  <r>
    <x v="39"/>
    <x v="3"/>
    <x v="0"/>
    <n v="2323944"/>
    <x v="1"/>
  </r>
  <r>
    <x v="39"/>
    <x v="4"/>
    <x v="0"/>
    <n v="2323944"/>
    <x v="1"/>
  </r>
  <r>
    <x v="39"/>
    <x v="5"/>
    <x v="0"/>
    <n v="2323944"/>
    <x v="1"/>
  </r>
  <r>
    <x v="39"/>
    <x v="6"/>
    <x v="0"/>
    <n v="2323944"/>
    <x v="1"/>
  </r>
  <r>
    <x v="39"/>
    <x v="7"/>
    <x v="0"/>
    <n v="2323944"/>
    <x v="1"/>
  </r>
  <r>
    <x v="39"/>
    <x v="8"/>
    <x v="0"/>
    <n v="2323944"/>
    <x v="1"/>
  </r>
  <r>
    <x v="39"/>
    <x v="9"/>
    <x v="0"/>
    <n v="2323944"/>
    <x v="1"/>
  </r>
  <r>
    <x v="39"/>
    <x v="10"/>
    <x v="0"/>
    <n v="2323944"/>
    <x v="1"/>
  </r>
  <r>
    <x v="39"/>
    <x v="11"/>
    <x v="0"/>
    <n v="2323944"/>
    <x v="1"/>
  </r>
  <r>
    <x v="39"/>
    <x v="12"/>
    <x v="0"/>
    <n v="2323944"/>
    <x v="1"/>
  </r>
  <r>
    <x v="39"/>
    <x v="13"/>
    <x v="0"/>
    <n v="2323944"/>
    <x v="1"/>
  </r>
  <r>
    <x v="39"/>
    <x v="14"/>
    <x v="0"/>
    <n v="2323944"/>
    <x v="1"/>
  </r>
  <r>
    <x v="39"/>
    <x v="15"/>
    <x v="0"/>
    <n v="2323944"/>
    <x v="1"/>
  </r>
  <r>
    <x v="39"/>
    <x v="3"/>
    <x v="0"/>
    <n v="726232.5"/>
    <x v="1"/>
  </r>
  <r>
    <x v="39"/>
    <x v="4"/>
    <x v="0"/>
    <n v="726232.5"/>
    <x v="1"/>
  </r>
  <r>
    <x v="39"/>
    <x v="5"/>
    <x v="0"/>
    <n v="726232.5"/>
    <x v="1"/>
  </r>
  <r>
    <x v="39"/>
    <x v="6"/>
    <x v="0"/>
    <n v="726232.5"/>
    <x v="1"/>
  </r>
  <r>
    <x v="39"/>
    <x v="3"/>
    <x v="62"/>
    <n v="9883440"/>
    <x v="1"/>
  </r>
  <r>
    <x v="39"/>
    <x v="4"/>
    <x v="62"/>
    <n v="9883440"/>
    <x v="1"/>
  </r>
  <r>
    <x v="39"/>
    <x v="5"/>
    <x v="62"/>
    <n v="9883440"/>
    <x v="1"/>
  </r>
  <r>
    <x v="39"/>
    <x v="6"/>
    <x v="62"/>
    <n v="9883440"/>
    <x v="1"/>
  </r>
  <r>
    <x v="39"/>
    <x v="7"/>
    <x v="62"/>
    <n v="9883440"/>
    <x v="1"/>
  </r>
  <r>
    <x v="39"/>
    <x v="8"/>
    <x v="62"/>
    <n v="9883440"/>
    <x v="1"/>
  </r>
  <r>
    <x v="39"/>
    <x v="9"/>
    <x v="62"/>
    <n v="9883440"/>
    <x v="1"/>
  </r>
  <r>
    <x v="39"/>
    <x v="10"/>
    <x v="62"/>
    <n v="9883440"/>
    <x v="1"/>
  </r>
  <r>
    <x v="39"/>
    <x v="11"/>
    <x v="62"/>
    <n v="9883440"/>
    <x v="1"/>
  </r>
  <r>
    <x v="39"/>
    <x v="12"/>
    <x v="62"/>
    <n v="9883440"/>
    <x v="1"/>
  </r>
  <r>
    <x v="39"/>
    <x v="13"/>
    <x v="62"/>
    <n v="9883440"/>
    <x v="1"/>
  </r>
  <r>
    <x v="39"/>
    <x v="14"/>
    <x v="62"/>
    <n v="9883440"/>
    <x v="1"/>
  </r>
  <r>
    <x v="39"/>
    <x v="15"/>
    <x v="62"/>
    <n v="9883440"/>
    <x v="1"/>
  </r>
  <r>
    <x v="39"/>
    <x v="3"/>
    <x v="135"/>
    <n v="5930064"/>
    <x v="1"/>
  </r>
  <r>
    <x v="39"/>
    <x v="4"/>
    <x v="135"/>
    <n v="5930064"/>
    <x v="1"/>
  </r>
  <r>
    <x v="39"/>
    <x v="5"/>
    <x v="135"/>
    <n v="5930064"/>
    <x v="1"/>
  </r>
  <r>
    <x v="39"/>
    <x v="6"/>
    <x v="135"/>
    <n v="5930064"/>
    <x v="1"/>
  </r>
  <r>
    <x v="39"/>
    <x v="7"/>
    <x v="135"/>
    <n v="5930064"/>
    <x v="1"/>
  </r>
  <r>
    <x v="39"/>
    <x v="8"/>
    <x v="135"/>
    <n v="5930064"/>
    <x v="1"/>
  </r>
  <r>
    <x v="39"/>
    <x v="9"/>
    <x v="135"/>
    <n v="5930064"/>
    <x v="1"/>
  </r>
  <r>
    <x v="39"/>
    <x v="10"/>
    <x v="135"/>
    <n v="5930064"/>
    <x v="1"/>
  </r>
  <r>
    <x v="39"/>
    <x v="11"/>
    <x v="135"/>
    <n v="5930064"/>
    <x v="1"/>
  </r>
  <r>
    <x v="39"/>
    <x v="12"/>
    <x v="135"/>
    <n v="5930064"/>
    <x v="1"/>
  </r>
  <r>
    <x v="39"/>
    <x v="13"/>
    <x v="135"/>
    <n v="5930064"/>
    <x v="1"/>
  </r>
  <r>
    <x v="39"/>
    <x v="14"/>
    <x v="135"/>
    <n v="5930064"/>
    <x v="1"/>
  </r>
  <r>
    <x v="39"/>
    <x v="15"/>
    <x v="135"/>
    <n v="5930064"/>
    <x v="1"/>
  </r>
  <r>
    <x v="39"/>
    <x v="3"/>
    <x v="136"/>
    <n v="3916647"/>
    <x v="1"/>
  </r>
  <r>
    <x v="39"/>
    <x v="4"/>
    <x v="136"/>
    <n v="3916647"/>
    <x v="1"/>
  </r>
  <r>
    <x v="39"/>
    <x v="5"/>
    <x v="136"/>
    <n v="3916647"/>
    <x v="1"/>
  </r>
  <r>
    <x v="39"/>
    <x v="6"/>
    <x v="136"/>
    <n v="3916647"/>
    <x v="1"/>
  </r>
  <r>
    <x v="39"/>
    <x v="7"/>
    <x v="136"/>
    <n v="3916647"/>
    <x v="1"/>
  </r>
  <r>
    <x v="39"/>
    <x v="8"/>
    <x v="136"/>
    <n v="3916647"/>
    <x v="1"/>
  </r>
  <r>
    <x v="39"/>
    <x v="9"/>
    <x v="136"/>
    <n v="3916647"/>
    <x v="1"/>
  </r>
  <r>
    <x v="39"/>
    <x v="10"/>
    <x v="136"/>
    <n v="3916647"/>
    <x v="1"/>
  </r>
  <r>
    <x v="39"/>
    <x v="11"/>
    <x v="136"/>
    <n v="3916647"/>
    <x v="1"/>
  </r>
  <r>
    <x v="39"/>
    <x v="12"/>
    <x v="136"/>
    <n v="3916647"/>
    <x v="1"/>
  </r>
  <r>
    <x v="39"/>
    <x v="13"/>
    <x v="136"/>
    <n v="3916647"/>
    <x v="1"/>
  </r>
  <r>
    <x v="39"/>
    <x v="14"/>
    <x v="136"/>
    <n v="3916647"/>
    <x v="1"/>
  </r>
  <r>
    <x v="39"/>
    <x v="15"/>
    <x v="136"/>
    <n v="3916647"/>
    <x v="1"/>
  </r>
  <r>
    <x v="39"/>
    <x v="3"/>
    <x v="137"/>
    <n v="7103634.4399999995"/>
    <x v="1"/>
  </r>
  <r>
    <x v="39"/>
    <x v="4"/>
    <x v="137"/>
    <n v="7103634.4399999995"/>
    <x v="1"/>
  </r>
  <r>
    <x v="39"/>
    <x v="5"/>
    <x v="137"/>
    <n v="7103634.4399999995"/>
    <x v="1"/>
  </r>
  <r>
    <x v="39"/>
    <x v="6"/>
    <x v="137"/>
    <n v="7103634.4399999995"/>
    <x v="1"/>
  </r>
  <r>
    <x v="39"/>
    <x v="7"/>
    <x v="137"/>
    <n v="7103634.4399999995"/>
    <x v="1"/>
  </r>
  <r>
    <x v="39"/>
    <x v="8"/>
    <x v="137"/>
    <n v="7103634.4399999995"/>
    <x v="1"/>
  </r>
  <r>
    <x v="39"/>
    <x v="9"/>
    <x v="137"/>
    <n v="7103634.4399999995"/>
    <x v="1"/>
  </r>
  <r>
    <x v="39"/>
    <x v="10"/>
    <x v="137"/>
    <n v="7103634.4399999995"/>
    <x v="1"/>
  </r>
  <r>
    <x v="39"/>
    <x v="11"/>
    <x v="137"/>
    <n v="7103634.4399999995"/>
    <x v="1"/>
  </r>
  <r>
    <x v="39"/>
    <x v="12"/>
    <x v="137"/>
    <n v="7103634.4399999995"/>
    <x v="1"/>
  </r>
  <r>
    <x v="39"/>
    <x v="13"/>
    <x v="137"/>
    <n v="7103634.4399999995"/>
    <x v="1"/>
  </r>
  <r>
    <x v="39"/>
    <x v="14"/>
    <x v="137"/>
    <n v="7103634.4399999995"/>
    <x v="1"/>
  </r>
  <r>
    <x v="39"/>
    <x v="15"/>
    <x v="137"/>
    <n v="7103634.4399999995"/>
    <x v="1"/>
  </r>
  <r>
    <x v="39"/>
    <x v="3"/>
    <x v="135"/>
    <n v="5930064"/>
    <x v="1"/>
  </r>
  <r>
    <x v="39"/>
    <x v="4"/>
    <x v="135"/>
    <n v="5930064"/>
    <x v="1"/>
  </r>
  <r>
    <x v="39"/>
    <x v="5"/>
    <x v="135"/>
    <n v="5930064"/>
    <x v="1"/>
  </r>
  <r>
    <x v="39"/>
    <x v="6"/>
    <x v="135"/>
    <n v="5930064"/>
    <x v="1"/>
  </r>
  <r>
    <x v="39"/>
    <x v="7"/>
    <x v="135"/>
    <n v="5930064"/>
    <x v="1"/>
  </r>
  <r>
    <x v="39"/>
    <x v="8"/>
    <x v="135"/>
    <n v="5930064"/>
    <x v="1"/>
  </r>
  <r>
    <x v="39"/>
    <x v="9"/>
    <x v="135"/>
    <n v="5930064"/>
    <x v="1"/>
  </r>
  <r>
    <x v="39"/>
    <x v="10"/>
    <x v="135"/>
    <n v="5930064"/>
    <x v="1"/>
  </r>
  <r>
    <x v="39"/>
    <x v="11"/>
    <x v="135"/>
    <n v="5930064"/>
    <x v="1"/>
  </r>
  <r>
    <x v="39"/>
    <x v="12"/>
    <x v="135"/>
    <n v="5930064"/>
    <x v="1"/>
  </r>
  <r>
    <x v="39"/>
    <x v="13"/>
    <x v="135"/>
    <n v="5930064"/>
    <x v="1"/>
  </r>
  <r>
    <x v="39"/>
    <x v="14"/>
    <x v="135"/>
    <n v="5930064"/>
    <x v="1"/>
  </r>
  <r>
    <x v="39"/>
    <x v="15"/>
    <x v="135"/>
    <n v="5930064"/>
    <x v="1"/>
  </r>
  <r>
    <x v="39"/>
    <x v="3"/>
    <x v="30"/>
    <n v="3847852"/>
    <x v="1"/>
  </r>
  <r>
    <x v="39"/>
    <x v="4"/>
    <x v="30"/>
    <n v="3847852"/>
    <x v="1"/>
  </r>
  <r>
    <x v="39"/>
    <x v="5"/>
    <x v="30"/>
    <n v="3847852"/>
    <x v="1"/>
  </r>
  <r>
    <x v="39"/>
    <x v="6"/>
    <x v="30"/>
    <n v="3847852"/>
    <x v="1"/>
  </r>
  <r>
    <x v="39"/>
    <x v="7"/>
    <x v="30"/>
    <n v="3847852"/>
    <x v="1"/>
  </r>
  <r>
    <x v="39"/>
    <x v="8"/>
    <x v="30"/>
    <n v="3847852"/>
    <x v="1"/>
  </r>
  <r>
    <x v="39"/>
    <x v="9"/>
    <x v="30"/>
    <n v="3847852"/>
    <x v="1"/>
  </r>
  <r>
    <x v="39"/>
    <x v="10"/>
    <x v="30"/>
    <n v="3847852"/>
    <x v="1"/>
  </r>
  <r>
    <x v="39"/>
    <x v="11"/>
    <x v="30"/>
    <n v="3847852"/>
    <x v="1"/>
  </r>
  <r>
    <x v="39"/>
    <x v="12"/>
    <x v="30"/>
    <n v="3847852"/>
    <x v="1"/>
  </r>
  <r>
    <x v="39"/>
    <x v="13"/>
    <x v="30"/>
    <n v="3847852"/>
    <x v="1"/>
  </r>
  <r>
    <x v="39"/>
    <x v="14"/>
    <x v="30"/>
    <n v="3847852"/>
    <x v="1"/>
  </r>
  <r>
    <x v="39"/>
    <x v="15"/>
    <x v="30"/>
    <n v="3847852"/>
    <x v="1"/>
  </r>
  <r>
    <x v="39"/>
    <x v="3"/>
    <x v="27"/>
    <n v="6012426"/>
    <x v="1"/>
  </r>
  <r>
    <x v="39"/>
    <x v="4"/>
    <x v="27"/>
    <n v="6012426"/>
    <x v="1"/>
  </r>
  <r>
    <x v="39"/>
    <x v="5"/>
    <x v="27"/>
    <n v="6012426"/>
    <x v="1"/>
  </r>
  <r>
    <x v="39"/>
    <x v="6"/>
    <x v="27"/>
    <n v="6012426"/>
    <x v="1"/>
  </r>
  <r>
    <x v="39"/>
    <x v="7"/>
    <x v="27"/>
    <n v="6012426"/>
    <x v="1"/>
  </r>
  <r>
    <x v="39"/>
    <x v="8"/>
    <x v="27"/>
    <n v="6012426"/>
    <x v="1"/>
  </r>
  <r>
    <x v="39"/>
    <x v="9"/>
    <x v="27"/>
    <n v="6012426"/>
    <x v="1"/>
  </r>
  <r>
    <x v="39"/>
    <x v="10"/>
    <x v="27"/>
    <n v="6012426"/>
    <x v="1"/>
  </r>
  <r>
    <x v="39"/>
    <x v="11"/>
    <x v="27"/>
    <n v="6012426"/>
    <x v="1"/>
  </r>
  <r>
    <x v="39"/>
    <x v="12"/>
    <x v="27"/>
    <n v="6012426"/>
    <x v="1"/>
  </r>
  <r>
    <x v="39"/>
    <x v="13"/>
    <x v="27"/>
    <n v="6012426"/>
    <x v="1"/>
  </r>
  <r>
    <x v="39"/>
    <x v="14"/>
    <x v="27"/>
    <n v="6012426"/>
    <x v="1"/>
  </r>
  <r>
    <x v="39"/>
    <x v="15"/>
    <x v="27"/>
    <n v="6012426"/>
    <x v="1"/>
  </r>
  <r>
    <x v="39"/>
    <x v="3"/>
    <x v="138"/>
    <n v="4941720"/>
    <x v="1"/>
  </r>
  <r>
    <x v="39"/>
    <x v="4"/>
    <x v="138"/>
    <n v="4941720"/>
    <x v="1"/>
  </r>
  <r>
    <x v="39"/>
    <x v="5"/>
    <x v="138"/>
    <n v="4941720"/>
    <x v="1"/>
  </r>
  <r>
    <x v="39"/>
    <x v="6"/>
    <x v="138"/>
    <n v="4941720"/>
    <x v="1"/>
  </r>
  <r>
    <x v="39"/>
    <x v="7"/>
    <x v="138"/>
    <n v="4941720"/>
    <x v="1"/>
  </r>
  <r>
    <x v="39"/>
    <x v="8"/>
    <x v="138"/>
    <n v="4941720"/>
    <x v="1"/>
  </r>
  <r>
    <x v="39"/>
    <x v="9"/>
    <x v="138"/>
    <n v="4941720"/>
    <x v="1"/>
  </r>
  <r>
    <x v="39"/>
    <x v="10"/>
    <x v="138"/>
    <n v="4941720"/>
    <x v="1"/>
  </r>
  <r>
    <x v="39"/>
    <x v="11"/>
    <x v="138"/>
    <n v="4941720"/>
    <x v="1"/>
  </r>
  <r>
    <x v="39"/>
    <x v="12"/>
    <x v="138"/>
    <n v="4941720"/>
    <x v="1"/>
  </r>
  <r>
    <x v="39"/>
    <x v="13"/>
    <x v="138"/>
    <n v="4941720"/>
    <x v="1"/>
  </r>
  <r>
    <x v="39"/>
    <x v="14"/>
    <x v="138"/>
    <n v="4941720"/>
    <x v="1"/>
  </r>
  <r>
    <x v="39"/>
    <x v="15"/>
    <x v="138"/>
    <n v="4941720"/>
    <x v="1"/>
  </r>
  <r>
    <x v="39"/>
    <x v="3"/>
    <x v="64"/>
    <n v="4612272"/>
    <x v="1"/>
  </r>
  <r>
    <x v="39"/>
    <x v="4"/>
    <x v="64"/>
    <n v="4612272"/>
    <x v="1"/>
  </r>
  <r>
    <x v="39"/>
    <x v="5"/>
    <x v="64"/>
    <n v="4612272"/>
    <x v="1"/>
  </r>
  <r>
    <x v="39"/>
    <x v="6"/>
    <x v="64"/>
    <n v="4612272"/>
    <x v="1"/>
  </r>
  <r>
    <x v="39"/>
    <x v="7"/>
    <x v="64"/>
    <n v="4612272"/>
    <x v="1"/>
  </r>
  <r>
    <x v="39"/>
    <x v="8"/>
    <x v="64"/>
    <n v="4612272"/>
    <x v="1"/>
  </r>
  <r>
    <x v="39"/>
    <x v="9"/>
    <x v="64"/>
    <n v="4612272"/>
    <x v="1"/>
  </r>
  <r>
    <x v="39"/>
    <x v="10"/>
    <x v="64"/>
    <n v="4612272"/>
    <x v="1"/>
  </r>
  <r>
    <x v="39"/>
    <x v="11"/>
    <x v="64"/>
    <n v="4612272"/>
    <x v="1"/>
  </r>
  <r>
    <x v="39"/>
    <x v="12"/>
    <x v="64"/>
    <n v="4612272"/>
    <x v="1"/>
  </r>
  <r>
    <x v="39"/>
    <x v="13"/>
    <x v="64"/>
    <n v="4612272"/>
    <x v="1"/>
  </r>
  <r>
    <x v="39"/>
    <x v="14"/>
    <x v="64"/>
    <n v="4612272"/>
    <x v="1"/>
  </r>
  <r>
    <x v="39"/>
    <x v="15"/>
    <x v="64"/>
    <n v="4612272"/>
    <x v="1"/>
  </r>
  <r>
    <x v="39"/>
    <x v="3"/>
    <x v="67"/>
    <n v="3669727.95"/>
    <x v="1"/>
  </r>
  <r>
    <x v="39"/>
    <x v="4"/>
    <x v="67"/>
    <n v="3669727.95"/>
    <x v="1"/>
  </r>
  <r>
    <x v="39"/>
    <x v="5"/>
    <x v="67"/>
    <n v="3669727.95"/>
    <x v="1"/>
  </r>
  <r>
    <x v="39"/>
    <x v="6"/>
    <x v="67"/>
    <n v="3669727.95"/>
    <x v="1"/>
  </r>
  <r>
    <x v="39"/>
    <x v="7"/>
    <x v="67"/>
    <n v="3669727.95"/>
    <x v="1"/>
  </r>
  <r>
    <x v="39"/>
    <x v="8"/>
    <x v="67"/>
    <n v="3669727.95"/>
    <x v="1"/>
  </r>
  <r>
    <x v="39"/>
    <x v="9"/>
    <x v="67"/>
    <n v="3669727.95"/>
    <x v="1"/>
  </r>
  <r>
    <x v="39"/>
    <x v="10"/>
    <x v="67"/>
    <n v="3669727.95"/>
    <x v="1"/>
  </r>
  <r>
    <x v="39"/>
    <x v="11"/>
    <x v="67"/>
    <n v="3669727.95"/>
    <x v="1"/>
  </r>
  <r>
    <x v="39"/>
    <x v="12"/>
    <x v="67"/>
    <n v="3669727.95"/>
    <x v="1"/>
  </r>
  <r>
    <x v="39"/>
    <x v="13"/>
    <x v="67"/>
    <n v="3669727.95"/>
    <x v="1"/>
  </r>
  <r>
    <x v="39"/>
    <x v="14"/>
    <x v="67"/>
    <n v="3669727.95"/>
    <x v="1"/>
  </r>
  <r>
    <x v="39"/>
    <x v="15"/>
    <x v="67"/>
    <n v="3669727.95"/>
    <x v="1"/>
  </r>
  <r>
    <x v="39"/>
    <x v="3"/>
    <x v="75"/>
    <n v="3678242.4"/>
    <x v="1"/>
  </r>
  <r>
    <x v="39"/>
    <x v="4"/>
    <x v="75"/>
    <n v="3678242.4"/>
    <x v="1"/>
  </r>
  <r>
    <x v="39"/>
    <x v="5"/>
    <x v="75"/>
    <n v="3678242.4"/>
    <x v="1"/>
  </r>
  <r>
    <x v="39"/>
    <x v="6"/>
    <x v="75"/>
    <n v="3678242.4"/>
    <x v="1"/>
  </r>
  <r>
    <x v="39"/>
    <x v="7"/>
    <x v="75"/>
    <n v="3678242.4"/>
    <x v="1"/>
  </r>
  <r>
    <x v="39"/>
    <x v="8"/>
    <x v="75"/>
    <n v="3678242.4"/>
    <x v="1"/>
  </r>
  <r>
    <x v="39"/>
    <x v="9"/>
    <x v="75"/>
    <n v="3678242.4"/>
    <x v="1"/>
  </r>
  <r>
    <x v="39"/>
    <x v="10"/>
    <x v="75"/>
    <n v="3678242.4"/>
    <x v="1"/>
  </r>
  <r>
    <x v="39"/>
    <x v="11"/>
    <x v="75"/>
    <n v="3678242.4"/>
    <x v="1"/>
  </r>
  <r>
    <x v="39"/>
    <x v="12"/>
    <x v="75"/>
    <n v="3678242.4"/>
    <x v="1"/>
  </r>
  <r>
    <x v="39"/>
    <x v="13"/>
    <x v="75"/>
    <n v="3678242.4"/>
    <x v="1"/>
  </r>
  <r>
    <x v="39"/>
    <x v="14"/>
    <x v="75"/>
    <n v="3678242.4"/>
    <x v="1"/>
  </r>
  <r>
    <x v="39"/>
    <x v="15"/>
    <x v="75"/>
    <n v="3678242.4"/>
    <x v="1"/>
  </r>
  <r>
    <x v="39"/>
    <x v="3"/>
    <x v="139"/>
    <n v="3678242.4"/>
    <x v="1"/>
  </r>
  <r>
    <x v="39"/>
    <x v="4"/>
    <x v="139"/>
    <n v="3678242.4"/>
    <x v="1"/>
  </r>
  <r>
    <x v="39"/>
    <x v="5"/>
    <x v="139"/>
    <n v="3678242.4"/>
    <x v="1"/>
  </r>
  <r>
    <x v="39"/>
    <x v="6"/>
    <x v="139"/>
    <n v="3678242.4"/>
    <x v="1"/>
  </r>
  <r>
    <x v="39"/>
    <x v="7"/>
    <x v="139"/>
    <n v="3678242.4"/>
    <x v="1"/>
  </r>
  <r>
    <x v="39"/>
    <x v="8"/>
    <x v="139"/>
    <n v="3678242.4"/>
    <x v="1"/>
  </r>
  <r>
    <x v="39"/>
    <x v="9"/>
    <x v="139"/>
    <n v="3678242.4"/>
    <x v="1"/>
  </r>
  <r>
    <x v="39"/>
    <x v="10"/>
    <x v="139"/>
    <n v="3678242.4"/>
    <x v="1"/>
  </r>
  <r>
    <x v="39"/>
    <x v="11"/>
    <x v="139"/>
    <n v="3678242.4"/>
    <x v="1"/>
  </r>
  <r>
    <x v="40"/>
    <x v="5"/>
    <x v="140"/>
    <n v="577000000"/>
    <x v="1"/>
  </r>
  <r>
    <x v="0"/>
    <x v="0"/>
    <x v="140"/>
    <n v="29400000"/>
    <x v="1"/>
  </r>
  <r>
    <x v="0"/>
    <x v="1"/>
    <x v="140"/>
    <n v="29400000"/>
    <x v="1"/>
  </r>
  <r>
    <x v="0"/>
    <x v="2"/>
    <x v="140"/>
    <n v="29400000"/>
    <x v="1"/>
  </r>
  <r>
    <x v="0"/>
    <x v="3"/>
    <x v="140"/>
    <n v="29400000"/>
    <x v="1"/>
  </r>
  <r>
    <x v="0"/>
    <x v="4"/>
    <x v="140"/>
    <n v="29400000"/>
    <x v="1"/>
  </r>
  <r>
    <x v="0"/>
    <x v="5"/>
    <x v="140"/>
    <n v="29400000"/>
    <x v="1"/>
  </r>
  <r>
    <x v="0"/>
    <x v="6"/>
    <x v="140"/>
    <n v="29400000"/>
    <x v="1"/>
  </r>
  <r>
    <x v="0"/>
    <x v="7"/>
    <x v="140"/>
    <n v="29400000"/>
    <x v="1"/>
  </r>
  <r>
    <x v="0"/>
    <x v="8"/>
    <x v="140"/>
    <n v="29400000"/>
    <x v="1"/>
  </r>
  <r>
    <x v="0"/>
    <x v="9"/>
    <x v="140"/>
    <n v="29400000"/>
    <x v="1"/>
  </r>
  <r>
    <x v="0"/>
    <x v="10"/>
    <x v="140"/>
    <n v="29400000"/>
    <x v="1"/>
  </r>
  <r>
    <x v="0"/>
    <x v="11"/>
    <x v="140"/>
    <n v="29400000"/>
    <x v="1"/>
  </r>
  <r>
    <x v="0"/>
    <x v="12"/>
    <x v="140"/>
    <n v="29400000"/>
    <x v="1"/>
  </r>
  <r>
    <x v="0"/>
    <x v="13"/>
    <x v="140"/>
    <n v="29400000"/>
    <x v="1"/>
  </r>
  <r>
    <x v="2"/>
    <x v="0"/>
    <x v="140"/>
    <n v="21263797.894736841"/>
    <x v="1"/>
  </r>
  <r>
    <x v="2"/>
    <x v="1"/>
    <x v="140"/>
    <n v="21263797.894736841"/>
    <x v="1"/>
  </r>
  <r>
    <x v="2"/>
    <x v="2"/>
    <x v="140"/>
    <n v="21263797.894736841"/>
    <x v="1"/>
  </r>
  <r>
    <x v="2"/>
    <x v="3"/>
    <x v="140"/>
    <n v="21263797.894736841"/>
    <x v="1"/>
  </r>
  <r>
    <x v="2"/>
    <x v="4"/>
    <x v="140"/>
    <n v="21263797.894736841"/>
    <x v="1"/>
  </r>
  <r>
    <x v="2"/>
    <x v="5"/>
    <x v="140"/>
    <n v="21263797.894736841"/>
    <x v="1"/>
  </r>
  <r>
    <x v="4"/>
    <x v="0"/>
    <x v="140"/>
    <n v="15665740"/>
    <x v="1"/>
  </r>
  <r>
    <x v="4"/>
    <x v="1"/>
    <x v="140"/>
    <n v="15665740"/>
    <x v="1"/>
  </r>
  <r>
    <x v="4"/>
    <x v="2"/>
    <x v="140"/>
    <n v="15665740"/>
    <x v="1"/>
  </r>
  <r>
    <x v="4"/>
    <x v="3"/>
    <x v="140"/>
    <n v="15665740"/>
    <x v="1"/>
  </r>
  <r>
    <x v="4"/>
    <x v="4"/>
    <x v="140"/>
    <n v="15665740"/>
    <x v="1"/>
  </r>
  <r>
    <x v="4"/>
    <x v="5"/>
    <x v="140"/>
    <n v="15665740"/>
    <x v="1"/>
  </r>
  <r>
    <x v="4"/>
    <x v="6"/>
    <x v="140"/>
    <n v="15665740"/>
    <x v="1"/>
  </r>
  <r>
    <x v="4"/>
    <x v="7"/>
    <x v="140"/>
    <n v="15665740"/>
    <x v="1"/>
  </r>
  <r>
    <x v="4"/>
    <x v="8"/>
    <x v="140"/>
    <n v="15665740"/>
    <x v="1"/>
  </r>
  <r>
    <x v="41"/>
    <x v="0"/>
    <x v="140"/>
    <n v="35458635"/>
    <x v="1"/>
  </r>
  <r>
    <x v="41"/>
    <x v="1"/>
    <x v="140"/>
    <n v="35458635"/>
    <x v="1"/>
  </r>
  <r>
    <x v="41"/>
    <x v="2"/>
    <x v="140"/>
    <n v="35458635"/>
    <x v="1"/>
  </r>
  <r>
    <x v="41"/>
    <x v="3"/>
    <x v="140"/>
    <n v="35458635"/>
    <x v="1"/>
  </r>
  <r>
    <x v="41"/>
    <x v="4"/>
    <x v="140"/>
    <n v="35458635"/>
    <x v="1"/>
  </r>
  <r>
    <x v="41"/>
    <x v="5"/>
    <x v="140"/>
    <n v="35458635"/>
    <x v="1"/>
  </r>
  <r>
    <x v="41"/>
    <x v="6"/>
    <x v="140"/>
    <n v="35458635"/>
    <x v="1"/>
  </r>
  <r>
    <x v="41"/>
    <x v="7"/>
    <x v="140"/>
    <n v="35458635"/>
    <x v="1"/>
  </r>
  <r>
    <x v="6"/>
    <x v="0"/>
    <x v="140"/>
    <n v="15500000"/>
    <x v="1"/>
  </r>
  <r>
    <x v="6"/>
    <x v="1"/>
    <x v="140"/>
    <n v="15500000"/>
    <x v="1"/>
  </r>
  <r>
    <x v="6"/>
    <x v="2"/>
    <x v="140"/>
    <n v="15500000"/>
    <x v="1"/>
  </r>
  <r>
    <x v="6"/>
    <x v="3"/>
    <x v="140"/>
    <n v="15500000"/>
    <x v="1"/>
  </r>
  <r>
    <x v="6"/>
    <x v="4"/>
    <x v="140"/>
    <n v="15500000"/>
    <x v="1"/>
  </r>
  <r>
    <x v="22"/>
    <x v="0"/>
    <x v="140"/>
    <n v="10000000"/>
    <x v="1"/>
  </r>
  <r>
    <x v="42"/>
    <x v="0"/>
    <x v="140"/>
    <n v="62778573"/>
    <x v="1"/>
  </r>
  <r>
    <x v="42"/>
    <x v="1"/>
    <x v="140"/>
    <n v="62778573"/>
    <x v="1"/>
  </r>
  <r>
    <x v="42"/>
    <x v="2"/>
    <x v="140"/>
    <n v="62778573"/>
    <x v="1"/>
  </r>
  <r>
    <x v="42"/>
    <x v="3"/>
    <x v="140"/>
    <n v="62778573"/>
    <x v="1"/>
  </r>
  <r>
    <x v="42"/>
    <x v="4"/>
    <x v="140"/>
    <n v="62778573"/>
    <x v="1"/>
  </r>
  <r>
    <x v="42"/>
    <x v="5"/>
    <x v="140"/>
    <n v="62778573"/>
    <x v="1"/>
  </r>
  <r>
    <x v="42"/>
    <x v="6"/>
    <x v="140"/>
    <n v="62778573"/>
    <x v="1"/>
  </r>
  <r>
    <x v="42"/>
    <x v="7"/>
    <x v="140"/>
    <n v="62778573"/>
    <x v="1"/>
  </r>
  <r>
    <x v="42"/>
    <x v="8"/>
    <x v="140"/>
    <n v="62778573"/>
    <x v="1"/>
  </r>
  <r>
    <x v="7"/>
    <x v="0"/>
    <x v="140"/>
    <n v="16500000"/>
    <x v="1"/>
  </r>
  <r>
    <x v="7"/>
    <x v="1"/>
    <x v="140"/>
    <n v="16500000"/>
    <x v="1"/>
  </r>
  <r>
    <x v="7"/>
    <x v="2"/>
    <x v="140"/>
    <n v="16500000"/>
    <x v="1"/>
  </r>
  <r>
    <x v="7"/>
    <x v="3"/>
    <x v="140"/>
    <n v="16500000"/>
    <x v="1"/>
  </r>
  <r>
    <x v="7"/>
    <x v="4"/>
    <x v="140"/>
    <n v="16500000"/>
    <x v="1"/>
  </r>
  <r>
    <x v="7"/>
    <x v="5"/>
    <x v="140"/>
    <n v="16500000"/>
    <x v="1"/>
  </r>
  <r>
    <x v="7"/>
    <x v="6"/>
    <x v="140"/>
    <n v="16500000"/>
    <x v="1"/>
  </r>
  <r>
    <x v="7"/>
    <x v="7"/>
    <x v="140"/>
    <n v="16500000"/>
    <x v="1"/>
  </r>
  <r>
    <x v="7"/>
    <x v="8"/>
    <x v="140"/>
    <n v="16500000"/>
    <x v="1"/>
  </r>
  <r>
    <x v="7"/>
    <x v="9"/>
    <x v="140"/>
    <n v="16500000"/>
    <x v="1"/>
  </r>
  <r>
    <x v="7"/>
    <x v="10"/>
    <x v="140"/>
    <n v="16500000"/>
    <x v="1"/>
  </r>
  <r>
    <x v="7"/>
    <x v="11"/>
    <x v="140"/>
    <n v="16500000"/>
    <x v="1"/>
  </r>
  <r>
    <x v="8"/>
    <x v="0"/>
    <x v="140"/>
    <n v="15400000"/>
    <x v="1"/>
  </r>
  <r>
    <x v="9"/>
    <x v="0"/>
    <x v="140"/>
    <n v="21063300"/>
    <x v="1"/>
  </r>
  <r>
    <x v="9"/>
    <x v="1"/>
    <x v="140"/>
    <n v="21063300"/>
    <x v="1"/>
  </r>
  <r>
    <x v="9"/>
    <x v="2"/>
    <x v="140"/>
    <n v="21063300"/>
    <x v="1"/>
  </r>
  <r>
    <x v="9"/>
    <x v="3"/>
    <x v="140"/>
    <n v="21063300"/>
    <x v="1"/>
  </r>
  <r>
    <x v="9"/>
    <x v="4"/>
    <x v="140"/>
    <n v="21063300"/>
    <x v="1"/>
  </r>
  <r>
    <x v="9"/>
    <x v="5"/>
    <x v="140"/>
    <n v="21063300"/>
    <x v="1"/>
  </r>
  <r>
    <x v="9"/>
    <x v="6"/>
    <x v="140"/>
    <n v="21063300"/>
    <x v="1"/>
  </r>
  <r>
    <x v="9"/>
    <x v="7"/>
    <x v="140"/>
    <n v="21063300"/>
    <x v="1"/>
  </r>
  <r>
    <x v="9"/>
    <x v="8"/>
    <x v="140"/>
    <n v="21063300"/>
    <x v="1"/>
  </r>
  <r>
    <x v="9"/>
    <x v="9"/>
    <x v="140"/>
    <n v="21063300"/>
    <x v="1"/>
  </r>
  <r>
    <x v="9"/>
    <x v="10"/>
    <x v="140"/>
    <n v="21063300"/>
    <x v="1"/>
  </r>
  <r>
    <x v="9"/>
    <x v="11"/>
    <x v="140"/>
    <n v="21063300"/>
    <x v="1"/>
  </r>
  <r>
    <x v="9"/>
    <x v="12"/>
    <x v="140"/>
    <n v="21063300"/>
    <x v="1"/>
  </r>
  <r>
    <x v="9"/>
    <x v="13"/>
    <x v="140"/>
    <n v="21063300"/>
    <x v="1"/>
  </r>
  <r>
    <x v="43"/>
    <x v="0"/>
    <x v="140"/>
    <n v="29813870"/>
    <x v="1"/>
  </r>
  <r>
    <x v="43"/>
    <x v="1"/>
    <x v="140"/>
    <n v="29813870"/>
    <x v="1"/>
  </r>
  <r>
    <x v="43"/>
    <x v="2"/>
    <x v="140"/>
    <n v="29813870"/>
    <x v="1"/>
  </r>
  <r>
    <x v="44"/>
    <x v="0"/>
    <x v="140"/>
    <n v="39668026.912500001"/>
    <x v="1"/>
  </r>
  <r>
    <x v="44"/>
    <x v="1"/>
    <x v="140"/>
    <n v="39668026.912500001"/>
    <x v="1"/>
  </r>
  <r>
    <x v="44"/>
    <x v="2"/>
    <x v="140"/>
    <n v="39668026.912500001"/>
    <x v="1"/>
  </r>
  <r>
    <x v="44"/>
    <x v="3"/>
    <x v="140"/>
    <n v="39668026.912500001"/>
    <x v="1"/>
  </r>
  <r>
    <x v="44"/>
    <x v="4"/>
    <x v="140"/>
    <n v="39668026.912500001"/>
    <x v="1"/>
  </r>
  <r>
    <x v="44"/>
    <x v="0"/>
    <x v="140"/>
    <n v="86911842.894736797"/>
    <x v="1"/>
  </r>
  <r>
    <x v="44"/>
    <x v="1"/>
    <x v="140"/>
    <n v="86911842.894736797"/>
    <x v="1"/>
  </r>
  <r>
    <x v="44"/>
    <x v="2"/>
    <x v="140"/>
    <n v="86911842.894736797"/>
    <x v="1"/>
  </r>
  <r>
    <x v="44"/>
    <x v="3"/>
    <x v="140"/>
    <n v="86911842.894736797"/>
    <x v="1"/>
  </r>
  <r>
    <x v="44"/>
    <x v="4"/>
    <x v="140"/>
    <n v="86911842.894736797"/>
    <x v="1"/>
  </r>
  <r>
    <x v="10"/>
    <x v="0"/>
    <x v="140"/>
    <n v="14500000"/>
    <x v="1"/>
  </r>
  <r>
    <x v="10"/>
    <x v="1"/>
    <x v="140"/>
    <n v="14500000"/>
    <x v="1"/>
  </r>
  <r>
    <x v="10"/>
    <x v="2"/>
    <x v="140"/>
    <n v="14500000"/>
    <x v="1"/>
  </r>
  <r>
    <x v="10"/>
    <x v="3"/>
    <x v="140"/>
    <n v="14500000"/>
    <x v="1"/>
  </r>
  <r>
    <x v="10"/>
    <x v="4"/>
    <x v="140"/>
    <n v="14500000"/>
    <x v="1"/>
  </r>
  <r>
    <x v="10"/>
    <x v="5"/>
    <x v="140"/>
    <n v="14500000"/>
    <x v="1"/>
  </r>
  <r>
    <x v="10"/>
    <x v="6"/>
    <x v="140"/>
    <n v="14500000"/>
    <x v="1"/>
  </r>
  <r>
    <x v="10"/>
    <x v="7"/>
    <x v="140"/>
    <n v="14500000"/>
    <x v="1"/>
  </r>
  <r>
    <x v="10"/>
    <x v="8"/>
    <x v="140"/>
    <n v="14500000"/>
    <x v="1"/>
  </r>
  <r>
    <x v="10"/>
    <x v="9"/>
    <x v="140"/>
    <n v="14500000"/>
    <x v="1"/>
  </r>
  <r>
    <x v="10"/>
    <x v="10"/>
    <x v="140"/>
    <n v="14500000"/>
    <x v="1"/>
  </r>
  <r>
    <x v="10"/>
    <x v="11"/>
    <x v="140"/>
    <n v="14500000"/>
    <x v="1"/>
  </r>
  <r>
    <x v="11"/>
    <x v="0"/>
    <x v="140"/>
    <n v="13393000"/>
    <x v="1"/>
  </r>
  <r>
    <x v="11"/>
    <x v="1"/>
    <x v="140"/>
    <n v="13393000"/>
    <x v="1"/>
  </r>
  <r>
    <x v="11"/>
    <x v="2"/>
    <x v="140"/>
    <n v="13393000"/>
    <x v="1"/>
  </r>
  <r>
    <x v="11"/>
    <x v="3"/>
    <x v="140"/>
    <n v="13393000"/>
    <x v="1"/>
  </r>
  <r>
    <x v="11"/>
    <x v="4"/>
    <x v="140"/>
    <n v="13393000"/>
    <x v="1"/>
  </r>
  <r>
    <x v="11"/>
    <x v="5"/>
    <x v="140"/>
    <n v="13393000"/>
    <x v="1"/>
  </r>
  <r>
    <x v="11"/>
    <x v="6"/>
    <x v="140"/>
    <n v="13393000"/>
    <x v="1"/>
  </r>
  <r>
    <x v="11"/>
    <x v="7"/>
    <x v="140"/>
    <n v="13393000"/>
    <x v="1"/>
  </r>
  <r>
    <x v="11"/>
    <x v="8"/>
    <x v="140"/>
    <n v="13393000"/>
    <x v="1"/>
  </r>
  <r>
    <x v="11"/>
    <x v="9"/>
    <x v="140"/>
    <n v="13393000"/>
    <x v="1"/>
  </r>
  <r>
    <x v="11"/>
    <x v="10"/>
    <x v="140"/>
    <n v="13393000"/>
    <x v="1"/>
  </r>
  <r>
    <x v="11"/>
    <x v="11"/>
    <x v="140"/>
    <n v="13393000"/>
    <x v="1"/>
  </r>
  <r>
    <x v="11"/>
    <x v="12"/>
    <x v="140"/>
    <n v="13393000"/>
    <x v="1"/>
  </r>
  <r>
    <x v="11"/>
    <x v="13"/>
    <x v="140"/>
    <n v="13393000"/>
    <x v="1"/>
  </r>
  <r>
    <x v="11"/>
    <x v="14"/>
    <x v="140"/>
    <n v="13393000"/>
    <x v="1"/>
  </r>
  <r>
    <x v="11"/>
    <x v="15"/>
    <x v="140"/>
    <n v="13393000"/>
    <x v="1"/>
  </r>
  <r>
    <x v="11"/>
    <x v="16"/>
    <x v="140"/>
    <n v="13393000"/>
    <x v="1"/>
  </r>
  <r>
    <x v="11"/>
    <x v="17"/>
    <x v="140"/>
    <n v="13393000"/>
    <x v="1"/>
  </r>
  <r>
    <x v="11"/>
    <x v="0"/>
    <x v="140"/>
    <n v="2337394.9579831935"/>
    <x v="1"/>
  </r>
  <r>
    <x v="11"/>
    <x v="1"/>
    <x v="140"/>
    <n v="2337394.9579831935"/>
    <x v="1"/>
  </r>
  <r>
    <x v="11"/>
    <x v="2"/>
    <x v="140"/>
    <n v="2337394.9579831935"/>
    <x v="1"/>
  </r>
  <r>
    <x v="11"/>
    <x v="3"/>
    <x v="140"/>
    <n v="2337394.9579831935"/>
    <x v="1"/>
  </r>
  <r>
    <x v="11"/>
    <x v="4"/>
    <x v="140"/>
    <n v="2337394.9579831935"/>
    <x v="1"/>
  </r>
  <r>
    <x v="11"/>
    <x v="5"/>
    <x v="140"/>
    <n v="2337394.9579831935"/>
    <x v="1"/>
  </r>
  <r>
    <x v="11"/>
    <x v="6"/>
    <x v="140"/>
    <n v="2337394.9579831935"/>
    <x v="1"/>
  </r>
  <r>
    <x v="11"/>
    <x v="7"/>
    <x v="140"/>
    <n v="2337394.9579831935"/>
    <x v="1"/>
  </r>
  <r>
    <x v="11"/>
    <x v="8"/>
    <x v="140"/>
    <n v="2337394.9579831935"/>
    <x v="1"/>
  </r>
  <r>
    <x v="11"/>
    <x v="9"/>
    <x v="140"/>
    <n v="2337394.9579831935"/>
    <x v="1"/>
  </r>
  <r>
    <x v="11"/>
    <x v="10"/>
    <x v="140"/>
    <n v="2337394.9579831935"/>
    <x v="1"/>
  </r>
  <r>
    <x v="11"/>
    <x v="11"/>
    <x v="140"/>
    <n v="2337394.9579831935"/>
    <x v="1"/>
  </r>
  <r>
    <x v="11"/>
    <x v="12"/>
    <x v="140"/>
    <n v="2337394.9579831935"/>
    <x v="1"/>
  </r>
  <r>
    <x v="11"/>
    <x v="13"/>
    <x v="140"/>
    <n v="2337394.9579831935"/>
    <x v="1"/>
  </r>
  <r>
    <x v="11"/>
    <x v="14"/>
    <x v="140"/>
    <n v="2337394.9579831935"/>
    <x v="1"/>
  </r>
  <r>
    <x v="11"/>
    <x v="15"/>
    <x v="140"/>
    <n v="2337394.9579831935"/>
    <x v="1"/>
  </r>
  <r>
    <x v="11"/>
    <x v="16"/>
    <x v="140"/>
    <n v="2337394.9579831935"/>
    <x v="1"/>
  </r>
  <r>
    <x v="11"/>
    <x v="17"/>
    <x v="140"/>
    <n v="2337394.9579831935"/>
    <x v="1"/>
  </r>
  <r>
    <x v="12"/>
    <x v="0"/>
    <x v="140"/>
    <n v="5797541"/>
    <x v="1"/>
  </r>
  <r>
    <x v="12"/>
    <x v="1"/>
    <x v="140"/>
    <n v="5797541"/>
    <x v="1"/>
  </r>
  <r>
    <x v="12"/>
    <x v="2"/>
    <x v="140"/>
    <n v="5797541"/>
    <x v="1"/>
  </r>
  <r>
    <x v="14"/>
    <x v="0"/>
    <x v="140"/>
    <n v="20000000"/>
    <x v="1"/>
  </r>
  <r>
    <x v="14"/>
    <x v="1"/>
    <x v="140"/>
    <n v="20000000"/>
    <x v="1"/>
  </r>
  <r>
    <x v="14"/>
    <x v="2"/>
    <x v="140"/>
    <n v="20000000"/>
    <x v="1"/>
  </r>
  <r>
    <x v="14"/>
    <x v="3"/>
    <x v="140"/>
    <n v="20000000"/>
    <x v="1"/>
  </r>
  <r>
    <x v="14"/>
    <x v="4"/>
    <x v="140"/>
    <n v="20000000"/>
    <x v="1"/>
  </r>
  <r>
    <x v="14"/>
    <x v="5"/>
    <x v="140"/>
    <n v="20000000"/>
    <x v="1"/>
  </r>
  <r>
    <x v="14"/>
    <x v="6"/>
    <x v="140"/>
    <n v="20000000"/>
    <x v="1"/>
  </r>
  <r>
    <x v="14"/>
    <x v="7"/>
    <x v="140"/>
    <n v="20000000"/>
    <x v="1"/>
  </r>
  <r>
    <x v="14"/>
    <x v="8"/>
    <x v="140"/>
    <n v="20000000"/>
    <x v="1"/>
  </r>
  <r>
    <x v="14"/>
    <x v="9"/>
    <x v="140"/>
    <n v="20000000"/>
    <x v="1"/>
  </r>
  <r>
    <x v="14"/>
    <x v="10"/>
    <x v="140"/>
    <n v="20000000"/>
    <x v="1"/>
  </r>
  <r>
    <x v="14"/>
    <x v="11"/>
    <x v="140"/>
    <n v="20000000"/>
    <x v="1"/>
  </r>
  <r>
    <x v="14"/>
    <x v="12"/>
    <x v="140"/>
    <n v="20000000"/>
    <x v="1"/>
  </r>
  <r>
    <x v="14"/>
    <x v="13"/>
    <x v="140"/>
    <n v="20000000"/>
    <x v="1"/>
  </r>
  <r>
    <x v="14"/>
    <x v="14"/>
    <x v="140"/>
    <n v="20000000"/>
    <x v="1"/>
  </r>
  <r>
    <x v="14"/>
    <x v="15"/>
    <x v="140"/>
    <n v="20000000"/>
    <x v="1"/>
  </r>
  <r>
    <x v="14"/>
    <x v="16"/>
    <x v="140"/>
    <n v="20000000"/>
    <x v="1"/>
  </r>
  <r>
    <x v="14"/>
    <x v="17"/>
    <x v="140"/>
    <n v="20000000"/>
    <x v="1"/>
  </r>
  <r>
    <x v="14"/>
    <x v="18"/>
    <x v="140"/>
    <n v="20000000"/>
    <x v="1"/>
  </r>
  <r>
    <x v="14"/>
    <x v="19"/>
    <x v="140"/>
    <n v="20000000"/>
    <x v="1"/>
  </r>
  <r>
    <x v="14"/>
    <x v="20"/>
    <x v="140"/>
    <n v="20000000"/>
    <x v="1"/>
  </r>
  <r>
    <x v="14"/>
    <x v="21"/>
    <x v="140"/>
    <n v="20000000"/>
    <x v="1"/>
  </r>
  <r>
    <x v="14"/>
    <x v="22"/>
    <x v="140"/>
    <n v="20000000"/>
    <x v="1"/>
  </r>
  <r>
    <x v="14"/>
    <x v="23"/>
    <x v="140"/>
    <n v="20000000"/>
    <x v="1"/>
  </r>
  <r>
    <x v="14"/>
    <x v="24"/>
    <x v="140"/>
    <n v="20000000"/>
    <x v="1"/>
  </r>
  <r>
    <x v="45"/>
    <x v="0"/>
    <x v="140"/>
    <n v="9800000"/>
    <x v="1"/>
  </r>
  <r>
    <x v="45"/>
    <x v="1"/>
    <x v="140"/>
    <n v="9800000"/>
    <x v="1"/>
  </r>
  <r>
    <x v="45"/>
    <x v="2"/>
    <x v="140"/>
    <n v="9800000"/>
    <x v="1"/>
  </r>
  <r>
    <x v="45"/>
    <x v="3"/>
    <x v="140"/>
    <n v="9800000"/>
    <x v="1"/>
  </r>
  <r>
    <x v="45"/>
    <x v="4"/>
    <x v="140"/>
    <n v="9800000"/>
    <x v="1"/>
  </r>
  <r>
    <x v="45"/>
    <x v="5"/>
    <x v="140"/>
    <n v="9800000"/>
    <x v="1"/>
  </r>
  <r>
    <x v="45"/>
    <x v="6"/>
    <x v="140"/>
    <n v="9800000"/>
    <x v="1"/>
  </r>
  <r>
    <x v="45"/>
    <x v="7"/>
    <x v="140"/>
    <n v="9800000"/>
    <x v="1"/>
  </r>
  <r>
    <x v="45"/>
    <x v="8"/>
    <x v="140"/>
    <n v="9800000"/>
    <x v="1"/>
  </r>
  <r>
    <x v="15"/>
    <x v="0"/>
    <x v="140"/>
    <n v="7700000"/>
    <x v="1"/>
  </r>
  <r>
    <x v="15"/>
    <x v="1"/>
    <x v="140"/>
    <n v="7700000"/>
    <x v="1"/>
  </r>
  <r>
    <x v="15"/>
    <x v="2"/>
    <x v="140"/>
    <n v="7700000"/>
    <x v="1"/>
  </r>
  <r>
    <x v="15"/>
    <x v="3"/>
    <x v="140"/>
    <n v="7700000"/>
    <x v="1"/>
  </r>
  <r>
    <x v="15"/>
    <x v="4"/>
    <x v="140"/>
    <n v="7700000"/>
    <x v="1"/>
  </r>
  <r>
    <x v="15"/>
    <x v="5"/>
    <x v="140"/>
    <n v="7700000"/>
    <x v="1"/>
  </r>
  <r>
    <x v="15"/>
    <x v="6"/>
    <x v="140"/>
    <n v="7700000"/>
    <x v="1"/>
  </r>
  <r>
    <x v="15"/>
    <x v="7"/>
    <x v="140"/>
    <n v="7700000"/>
    <x v="1"/>
  </r>
  <r>
    <x v="15"/>
    <x v="8"/>
    <x v="140"/>
    <n v="7700000"/>
    <x v="1"/>
  </r>
  <r>
    <x v="15"/>
    <x v="9"/>
    <x v="140"/>
    <n v="7700000"/>
    <x v="1"/>
  </r>
  <r>
    <x v="15"/>
    <x v="10"/>
    <x v="140"/>
    <n v="7700000"/>
    <x v="1"/>
  </r>
  <r>
    <x v="15"/>
    <x v="11"/>
    <x v="140"/>
    <n v="7700000"/>
    <x v="1"/>
  </r>
  <r>
    <x v="15"/>
    <x v="12"/>
    <x v="140"/>
    <n v="7700000"/>
    <x v="1"/>
  </r>
  <r>
    <x v="15"/>
    <x v="13"/>
    <x v="140"/>
    <n v="7700000"/>
    <x v="1"/>
  </r>
  <r>
    <x v="15"/>
    <x v="14"/>
    <x v="140"/>
    <n v="7700000"/>
    <x v="1"/>
  </r>
  <r>
    <x v="15"/>
    <x v="15"/>
    <x v="140"/>
    <n v="7700000"/>
    <x v="1"/>
  </r>
  <r>
    <x v="15"/>
    <x v="16"/>
    <x v="140"/>
    <n v="7700000"/>
    <x v="1"/>
  </r>
  <r>
    <x v="15"/>
    <x v="17"/>
    <x v="140"/>
    <n v="7700000"/>
    <x v="1"/>
  </r>
  <r>
    <x v="15"/>
    <x v="18"/>
    <x v="140"/>
    <n v="7700000"/>
    <x v="1"/>
  </r>
  <r>
    <x v="15"/>
    <x v="19"/>
    <x v="140"/>
    <n v="7700000"/>
    <x v="1"/>
  </r>
  <r>
    <x v="15"/>
    <x v="20"/>
    <x v="140"/>
    <n v="7700000"/>
    <x v="1"/>
  </r>
  <r>
    <x v="15"/>
    <x v="21"/>
    <x v="140"/>
    <n v="7700000"/>
    <x v="1"/>
  </r>
  <r>
    <x v="15"/>
    <x v="22"/>
    <x v="140"/>
    <n v="7700000"/>
    <x v="1"/>
  </r>
  <r>
    <x v="15"/>
    <x v="23"/>
    <x v="140"/>
    <n v="7700000"/>
    <x v="1"/>
  </r>
  <r>
    <x v="15"/>
    <x v="24"/>
    <x v="140"/>
    <n v="7700000"/>
    <x v="1"/>
  </r>
  <r>
    <x v="15"/>
    <x v="25"/>
    <x v="140"/>
    <n v="7700000"/>
    <x v="1"/>
  </r>
  <r>
    <x v="15"/>
    <x v="26"/>
    <x v="140"/>
    <n v="7700000"/>
    <x v="1"/>
  </r>
  <r>
    <x v="15"/>
    <x v="27"/>
    <x v="140"/>
    <n v="7700000"/>
    <x v="1"/>
  </r>
  <r>
    <x v="16"/>
    <x v="0"/>
    <x v="140"/>
    <n v="64030000"/>
    <x v="1"/>
  </r>
  <r>
    <x v="16"/>
    <x v="1"/>
    <x v="140"/>
    <n v="64030000"/>
    <x v="1"/>
  </r>
  <r>
    <x v="16"/>
    <x v="2"/>
    <x v="140"/>
    <n v="64030000"/>
    <x v="1"/>
  </r>
  <r>
    <x v="16"/>
    <x v="0"/>
    <x v="140"/>
    <n v="48811000"/>
    <x v="1"/>
  </r>
  <r>
    <x v="16"/>
    <x v="1"/>
    <x v="140"/>
    <n v="48811000"/>
    <x v="1"/>
  </r>
  <r>
    <x v="16"/>
    <x v="2"/>
    <x v="140"/>
    <n v="48811000"/>
    <x v="1"/>
  </r>
  <r>
    <x v="16"/>
    <x v="3"/>
    <x v="140"/>
    <n v="48811000"/>
    <x v="1"/>
  </r>
  <r>
    <x v="16"/>
    <x v="4"/>
    <x v="140"/>
    <n v="48811000"/>
    <x v="1"/>
  </r>
  <r>
    <x v="16"/>
    <x v="5"/>
    <x v="140"/>
    <n v="48811000"/>
    <x v="1"/>
  </r>
  <r>
    <x v="16"/>
    <x v="6"/>
    <x v="140"/>
    <n v="48811000"/>
    <x v="1"/>
  </r>
  <r>
    <x v="16"/>
    <x v="7"/>
    <x v="140"/>
    <n v="48811000"/>
    <x v="1"/>
  </r>
  <r>
    <x v="16"/>
    <x v="8"/>
    <x v="140"/>
    <n v="48811000"/>
    <x v="1"/>
  </r>
  <r>
    <x v="16"/>
    <x v="9"/>
    <x v="140"/>
    <n v="48811000"/>
    <x v="1"/>
  </r>
  <r>
    <x v="16"/>
    <x v="10"/>
    <x v="140"/>
    <n v="48811000"/>
    <x v="1"/>
  </r>
  <r>
    <x v="16"/>
    <x v="11"/>
    <x v="140"/>
    <n v="48811000"/>
    <x v="1"/>
  </r>
  <r>
    <x v="16"/>
    <x v="12"/>
    <x v="140"/>
    <n v="48811000"/>
    <x v="1"/>
  </r>
  <r>
    <x v="16"/>
    <x v="13"/>
    <x v="140"/>
    <n v="48811000"/>
    <x v="1"/>
  </r>
  <r>
    <x v="16"/>
    <x v="14"/>
    <x v="140"/>
    <n v="48811000"/>
    <x v="1"/>
  </r>
  <r>
    <x v="16"/>
    <x v="15"/>
    <x v="140"/>
    <n v="48811000"/>
    <x v="1"/>
  </r>
  <r>
    <x v="16"/>
    <x v="16"/>
    <x v="140"/>
    <n v="48811000"/>
    <x v="1"/>
  </r>
  <r>
    <x v="16"/>
    <x v="17"/>
    <x v="140"/>
    <n v="48811000"/>
    <x v="1"/>
  </r>
  <r>
    <x v="16"/>
    <x v="18"/>
    <x v="140"/>
    <n v="48811000"/>
    <x v="1"/>
  </r>
  <r>
    <x v="16"/>
    <x v="19"/>
    <x v="140"/>
    <n v="48811000"/>
    <x v="1"/>
  </r>
  <r>
    <x v="16"/>
    <x v="20"/>
    <x v="140"/>
    <n v="48811000"/>
    <x v="1"/>
  </r>
  <r>
    <x v="16"/>
    <x v="21"/>
    <x v="140"/>
    <n v="48811000"/>
    <x v="1"/>
  </r>
  <r>
    <x v="16"/>
    <x v="22"/>
    <x v="140"/>
    <n v="48811000"/>
    <x v="1"/>
  </r>
  <r>
    <x v="16"/>
    <x v="23"/>
    <x v="140"/>
    <n v="48811000"/>
    <x v="1"/>
  </r>
  <r>
    <x v="17"/>
    <x v="0"/>
    <x v="140"/>
    <n v="6950000"/>
    <x v="1"/>
  </r>
  <r>
    <x v="17"/>
    <x v="1"/>
    <x v="140"/>
    <n v="6950000"/>
    <x v="1"/>
  </r>
  <r>
    <x v="17"/>
    <x v="2"/>
    <x v="140"/>
    <n v="6950000"/>
    <x v="1"/>
  </r>
  <r>
    <x v="17"/>
    <x v="3"/>
    <x v="140"/>
    <n v="6950000"/>
    <x v="1"/>
  </r>
  <r>
    <x v="17"/>
    <x v="4"/>
    <x v="140"/>
    <n v="6950000"/>
    <x v="1"/>
  </r>
  <r>
    <x v="17"/>
    <x v="5"/>
    <x v="140"/>
    <n v="6950000"/>
    <x v="1"/>
  </r>
  <r>
    <x v="17"/>
    <x v="6"/>
    <x v="140"/>
    <n v="6950000"/>
    <x v="1"/>
  </r>
  <r>
    <x v="17"/>
    <x v="7"/>
    <x v="140"/>
    <n v="6950000"/>
    <x v="1"/>
  </r>
  <r>
    <x v="17"/>
    <x v="8"/>
    <x v="140"/>
    <n v="6950000"/>
    <x v="1"/>
  </r>
  <r>
    <x v="17"/>
    <x v="9"/>
    <x v="140"/>
    <n v="6950000"/>
    <x v="1"/>
  </r>
  <r>
    <x v="17"/>
    <x v="10"/>
    <x v="140"/>
    <n v="6950000"/>
    <x v="1"/>
  </r>
  <r>
    <x v="17"/>
    <x v="11"/>
    <x v="140"/>
    <n v="6950000"/>
    <x v="1"/>
  </r>
  <r>
    <x v="18"/>
    <x v="0"/>
    <x v="140"/>
    <n v="19400000"/>
    <x v="1"/>
  </r>
  <r>
    <x v="18"/>
    <x v="1"/>
    <x v="140"/>
    <n v="19400000"/>
    <x v="1"/>
  </r>
  <r>
    <x v="18"/>
    <x v="2"/>
    <x v="140"/>
    <n v="19400000"/>
    <x v="1"/>
  </r>
  <r>
    <x v="18"/>
    <x v="3"/>
    <x v="140"/>
    <n v="19400000"/>
    <x v="1"/>
  </r>
  <r>
    <x v="18"/>
    <x v="4"/>
    <x v="140"/>
    <n v="19400000"/>
    <x v="1"/>
  </r>
  <r>
    <x v="18"/>
    <x v="5"/>
    <x v="140"/>
    <n v="19400000"/>
    <x v="1"/>
  </r>
  <r>
    <x v="18"/>
    <x v="6"/>
    <x v="140"/>
    <n v="19400000"/>
    <x v="1"/>
  </r>
  <r>
    <x v="18"/>
    <x v="7"/>
    <x v="140"/>
    <n v="19400000"/>
    <x v="1"/>
  </r>
  <r>
    <x v="18"/>
    <x v="8"/>
    <x v="140"/>
    <n v="19400000"/>
    <x v="1"/>
  </r>
  <r>
    <x v="18"/>
    <x v="9"/>
    <x v="140"/>
    <n v="19400000"/>
    <x v="1"/>
  </r>
  <r>
    <x v="46"/>
    <x v="0"/>
    <x v="140"/>
    <n v="11029019"/>
    <x v="1"/>
  </r>
  <r>
    <x v="46"/>
    <x v="1"/>
    <x v="140"/>
    <n v="11029019"/>
    <x v="1"/>
  </r>
  <r>
    <x v="46"/>
    <x v="2"/>
    <x v="140"/>
    <n v="11029019"/>
    <x v="1"/>
  </r>
  <r>
    <x v="46"/>
    <x v="3"/>
    <x v="140"/>
    <n v="11029019"/>
    <x v="1"/>
  </r>
  <r>
    <x v="46"/>
    <x v="4"/>
    <x v="140"/>
    <n v="11029019"/>
    <x v="1"/>
  </r>
  <r>
    <x v="46"/>
    <x v="5"/>
    <x v="140"/>
    <n v="11029019"/>
    <x v="1"/>
  </r>
  <r>
    <x v="46"/>
    <x v="6"/>
    <x v="140"/>
    <n v="11029019"/>
    <x v="1"/>
  </r>
  <r>
    <x v="46"/>
    <x v="7"/>
    <x v="140"/>
    <n v="11029019"/>
    <x v="1"/>
  </r>
  <r>
    <x v="46"/>
    <x v="8"/>
    <x v="140"/>
    <n v="11029019"/>
    <x v="1"/>
  </r>
  <r>
    <x v="46"/>
    <x v="9"/>
    <x v="140"/>
    <n v="11029019"/>
    <x v="1"/>
  </r>
  <r>
    <x v="46"/>
    <x v="10"/>
    <x v="140"/>
    <n v="11029019"/>
    <x v="1"/>
  </r>
  <r>
    <x v="46"/>
    <x v="11"/>
    <x v="140"/>
    <n v="11029019"/>
    <x v="1"/>
  </r>
  <r>
    <x v="46"/>
    <x v="12"/>
    <x v="140"/>
    <n v="11029019"/>
    <x v="1"/>
  </r>
  <r>
    <x v="46"/>
    <x v="13"/>
    <x v="140"/>
    <n v="11029019"/>
    <x v="1"/>
  </r>
  <r>
    <x v="46"/>
    <x v="14"/>
    <x v="140"/>
    <n v="11029019"/>
    <x v="1"/>
  </r>
  <r>
    <x v="46"/>
    <x v="15"/>
    <x v="140"/>
    <n v="11029019"/>
    <x v="1"/>
  </r>
  <r>
    <x v="46"/>
    <x v="16"/>
    <x v="140"/>
    <n v="11029019"/>
    <x v="1"/>
  </r>
  <r>
    <x v="46"/>
    <x v="17"/>
    <x v="140"/>
    <n v="11029019"/>
    <x v="1"/>
  </r>
  <r>
    <x v="46"/>
    <x v="18"/>
    <x v="140"/>
    <n v="11029019"/>
    <x v="1"/>
  </r>
  <r>
    <x v="46"/>
    <x v="19"/>
    <x v="140"/>
    <n v="11029019"/>
    <x v="1"/>
  </r>
  <r>
    <x v="46"/>
    <x v="20"/>
    <x v="140"/>
    <n v="11029019"/>
    <x v="1"/>
  </r>
  <r>
    <x v="46"/>
    <x v="21"/>
    <x v="140"/>
    <n v="11029019"/>
    <x v="1"/>
  </r>
  <r>
    <x v="46"/>
    <x v="22"/>
    <x v="140"/>
    <n v="11029019"/>
    <x v="1"/>
  </r>
  <r>
    <x v="46"/>
    <x v="23"/>
    <x v="140"/>
    <n v="11029019"/>
    <x v="1"/>
  </r>
  <r>
    <x v="46"/>
    <x v="24"/>
    <x v="140"/>
    <n v="11029019"/>
    <x v="1"/>
  </r>
  <r>
    <x v="46"/>
    <x v="25"/>
    <x v="140"/>
    <n v="11029019"/>
    <x v="1"/>
  </r>
  <r>
    <x v="47"/>
    <x v="0"/>
    <x v="140"/>
    <n v="10920000"/>
    <x v="1"/>
  </r>
  <r>
    <x v="47"/>
    <x v="1"/>
    <x v="140"/>
    <n v="10920000"/>
    <x v="1"/>
  </r>
  <r>
    <x v="47"/>
    <x v="2"/>
    <x v="140"/>
    <n v="10920000"/>
    <x v="1"/>
  </r>
  <r>
    <x v="47"/>
    <x v="3"/>
    <x v="140"/>
    <n v="10920000"/>
    <x v="1"/>
  </r>
  <r>
    <x v="47"/>
    <x v="4"/>
    <x v="140"/>
    <n v="10920000"/>
    <x v="1"/>
  </r>
  <r>
    <x v="47"/>
    <x v="5"/>
    <x v="140"/>
    <n v="10920000"/>
    <x v="1"/>
  </r>
  <r>
    <x v="47"/>
    <x v="6"/>
    <x v="140"/>
    <n v="10920000"/>
    <x v="1"/>
  </r>
  <r>
    <x v="47"/>
    <x v="7"/>
    <x v="140"/>
    <n v="10920000"/>
    <x v="1"/>
  </r>
  <r>
    <x v="47"/>
    <x v="8"/>
    <x v="140"/>
    <n v="10920000"/>
    <x v="1"/>
  </r>
  <r>
    <x v="47"/>
    <x v="9"/>
    <x v="140"/>
    <n v="10920000"/>
    <x v="1"/>
  </r>
  <r>
    <x v="47"/>
    <x v="10"/>
    <x v="140"/>
    <n v="10920000"/>
    <x v="1"/>
  </r>
  <r>
    <x v="47"/>
    <x v="11"/>
    <x v="140"/>
    <n v="10920000"/>
    <x v="1"/>
  </r>
  <r>
    <x v="47"/>
    <x v="12"/>
    <x v="140"/>
    <n v="10920000"/>
    <x v="1"/>
  </r>
  <r>
    <x v="19"/>
    <x v="0"/>
    <x v="140"/>
    <n v="8200000"/>
    <x v="1"/>
  </r>
  <r>
    <x v="19"/>
    <x v="1"/>
    <x v="140"/>
    <n v="8200000"/>
    <x v="1"/>
  </r>
  <r>
    <x v="19"/>
    <x v="2"/>
    <x v="140"/>
    <n v="8200000"/>
    <x v="1"/>
  </r>
  <r>
    <x v="19"/>
    <x v="3"/>
    <x v="140"/>
    <n v="8200000"/>
    <x v="1"/>
  </r>
  <r>
    <x v="19"/>
    <x v="4"/>
    <x v="140"/>
    <n v="8200000"/>
    <x v="1"/>
  </r>
  <r>
    <x v="19"/>
    <x v="5"/>
    <x v="140"/>
    <n v="8200000"/>
    <x v="1"/>
  </r>
  <r>
    <x v="19"/>
    <x v="6"/>
    <x v="140"/>
    <n v="8200000"/>
    <x v="1"/>
  </r>
  <r>
    <x v="19"/>
    <x v="7"/>
    <x v="140"/>
    <n v="8200000"/>
    <x v="1"/>
  </r>
  <r>
    <x v="19"/>
    <x v="8"/>
    <x v="140"/>
    <n v="8200000"/>
    <x v="1"/>
  </r>
  <r>
    <x v="19"/>
    <x v="9"/>
    <x v="140"/>
    <n v="8200000"/>
    <x v="1"/>
  </r>
  <r>
    <x v="19"/>
    <x v="10"/>
    <x v="140"/>
    <n v="8200000"/>
    <x v="1"/>
  </r>
  <r>
    <x v="19"/>
    <x v="11"/>
    <x v="140"/>
    <n v="8200000"/>
    <x v="1"/>
  </r>
  <r>
    <x v="19"/>
    <x v="12"/>
    <x v="140"/>
    <n v="8200000"/>
    <x v="1"/>
  </r>
  <r>
    <x v="19"/>
    <x v="13"/>
    <x v="140"/>
    <n v="8200000"/>
    <x v="1"/>
  </r>
  <r>
    <x v="19"/>
    <x v="14"/>
    <x v="140"/>
    <n v="8200000"/>
    <x v="1"/>
  </r>
  <r>
    <x v="19"/>
    <x v="15"/>
    <x v="140"/>
    <n v="8200000"/>
    <x v="1"/>
  </r>
  <r>
    <x v="19"/>
    <x v="16"/>
    <x v="140"/>
    <n v="8200000"/>
    <x v="1"/>
  </r>
  <r>
    <x v="19"/>
    <x v="17"/>
    <x v="140"/>
    <n v="8200000"/>
    <x v="1"/>
  </r>
  <r>
    <x v="19"/>
    <x v="18"/>
    <x v="140"/>
    <n v="8200000"/>
    <x v="1"/>
  </r>
  <r>
    <x v="20"/>
    <x v="0"/>
    <x v="140"/>
    <n v="9080000"/>
    <x v="1"/>
  </r>
  <r>
    <x v="20"/>
    <x v="1"/>
    <x v="140"/>
    <n v="9080000"/>
    <x v="1"/>
  </r>
  <r>
    <x v="20"/>
    <x v="2"/>
    <x v="140"/>
    <n v="9080000"/>
    <x v="1"/>
  </r>
  <r>
    <x v="20"/>
    <x v="3"/>
    <x v="140"/>
    <n v="9080000"/>
    <x v="1"/>
  </r>
  <r>
    <x v="20"/>
    <x v="4"/>
    <x v="140"/>
    <n v="9080000"/>
    <x v="1"/>
  </r>
  <r>
    <x v="20"/>
    <x v="5"/>
    <x v="140"/>
    <n v="9080000"/>
    <x v="1"/>
  </r>
  <r>
    <x v="21"/>
    <x v="0"/>
    <x v="140"/>
    <n v="27800000"/>
    <x v="1"/>
  </r>
  <r>
    <x v="21"/>
    <x v="1"/>
    <x v="140"/>
    <n v="27800000"/>
    <x v="1"/>
  </r>
  <r>
    <x v="21"/>
    <x v="2"/>
    <x v="140"/>
    <n v="27800000"/>
    <x v="1"/>
  </r>
  <r>
    <x v="21"/>
    <x v="3"/>
    <x v="140"/>
    <n v="27800000"/>
    <x v="1"/>
  </r>
  <r>
    <x v="21"/>
    <x v="4"/>
    <x v="140"/>
    <n v="27800000"/>
    <x v="1"/>
  </r>
  <r>
    <x v="21"/>
    <x v="5"/>
    <x v="140"/>
    <n v="27800000"/>
    <x v="1"/>
  </r>
  <r>
    <x v="21"/>
    <x v="6"/>
    <x v="140"/>
    <n v="27800000"/>
    <x v="1"/>
  </r>
  <r>
    <x v="21"/>
    <x v="7"/>
    <x v="140"/>
    <n v="27800000"/>
    <x v="1"/>
  </r>
  <r>
    <x v="21"/>
    <x v="8"/>
    <x v="140"/>
    <n v="27800000"/>
    <x v="1"/>
  </r>
  <r>
    <x v="21"/>
    <x v="9"/>
    <x v="140"/>
    <n v="27800000"/>
    <x v="1"/>
  </r>
  <r>
    <x v="21"/>
    <x v="10"/>
    <x v="140"/>
    <n v="27800000"/>
    <x v="1"/>
  </r>
  <r>
    <x v="21"/>
    <x v="11"/>
    <x v="140"/>
    <n v="27800000"/>
    <x v="1"/>
  </r>
  <r>
    <x v="21"/>
    <x v="12"/>
    <x v="140"/>
    <n v="27800000"/>
    <x v="1"/>
  </r>
  <r>
    <x v="21"/>
    <x v="13"/>
    <x v="140"/>
    <n v="27800000"/>
    <x v="1"/>
  </r>
  <r>
    <x v="21"/>
    <x v="14"/>
    <x v="140"/>
    <n v="27800000"/>
    <x v="1"/>
  </r>
  <r>
    <x v="44"/>
    <x v="0"/>
    <x v="140"/>
    <n v="0"/>
    <x v="1"/>
  </r>
  <r>
    <x v="44"/>
    <x v="1"/>
    <x v="140"/>
    <n v="0"/>
    <x v="1"/>
  </r>
  <r>
    <x v="44"/>
    <x v="2"/>
    <x v="140"/>
    <n v="0"/>
    <x v="1"/>
  </r>
  <r>
    <x v="44"/>
    <x v="3"/>
    <x v="140"/>
    <n v="0"/>
    <x v="1"/>
  </r>
  <r>
    <x v="44"/>
    <x v="4"/>
    <x v="140"/>
    <n v="0"/>
    <x v="1"/>
  </r>
  <r>
    <x v="5"/>
    <x v="0"/>
    <x v="140"/>
    <n v="19000000"/>
    <x v="1"/>
  </r>
  <r>
    <x v="5"/>
    <x v="1"/>
    <x v="140"/>
    <n v="19000000"/>
    <x v="1"/>
  </r>
  <r>
    <x v="5"/>
    <x v="2"/>
    <x v="140"/>
    <n v="19000000"/>
    <x v="1"/>
  </r>
  <r>
    <x v="5"/>
    <x v="3"/>
    <x v="140"/>
    <n v="19000000"/>
    <x v="1"/>
  </r>
  <r>
    <x v="5"/>
    <x v="4"/>
    <x v="140"/>
    <n v="19000000"/>
    <x v="1"/>
  </r>
  <r>
    <x v="5"/>
    <x v="5"/>
    <x v="140"/>
    <n v="19000000"/>
    <x v="1"/>
  </r>
  <r>
    <x v="5"/>
    <x v="6"/>
    <x v="140"/>
    <n v="19000000"/>
    <x v="1"/>
  </r>
  <r>
    <x v="5"/>
    <x v="7"/>
    <x v="140"/>
    <n v="19000000"/>
    <x v="1"/>
  </r>
  <r>
    <x v="5"/>
    <x v="8"/>
    <x v="140"/>
    <n v="19000000"/>
    <x v="1"/>
  </r>
  <r>
    <x v="5"/>
    <x v="9"/>
    <x v="140"/>
    <n v="19000000"/>
    <x v="1"/>
  </r>
  <r>
    <x v="5"/>
    <x v="10"/>
    <x v="140"/>
    <n v="19000000"/>
    <x v="1"/>
  </r>
  <r>
    <x v="5"/>
    <x v="11"/>
    <x v="140"/>
    <n v="19000000"/>
    <x v="1"/>
  </r>
  <r>
    <x v="3"/>
    <x v="0"/>
    <x v="140"/>
    <n v="32000000"/>
    <x v="1"/>
  </r>
  <r>
    <x v="24"/>
    <x v="0"/>
    <x v="140"/>
    <n v="33000000"/>
    <x v="1"/>
  </r>
  <r>
    <x v="24"/>
    <x v="1"/>
    <x v="140"/>
    <n v="33000000"/>
    <x v="1"/>
  </r>
  <r>
    <x v="24"/>
    <x v="2"/>
    <x v="140"/>
    <n v="33000000"/>
    <x v="1"/>
  </r>
  <r>
    <x v="24"/>
    <x v="3"/>
    <x v="140"/>
    <n v="33000000"/>
    <x v="1"/>
  </r>
  <r>
    <x v="24"/>
    <x v="4"/>
    <x v="140"/>
    <n v="33000000"/>
    <x v="1"/>
  </r>
  <r>
    <x v="24"/>
    <x v="5"/>
    <x v="140"/>
    <n v="15000000"/>
    <x v="1"/>
  </r>
  <r>
    <x v="24"/>
    <x v="6"/>
    <x v="140"/>
    <n v="15000000"/>
    <x v="1"/>
  </r>
  <r>
    <x v="25"/>
    <x v="0"/>
    <x v="140"/>
    <n v="36049228"/>
    <x v="1"/>
  </r>
  <r>
    <x v="25"/>
    <x v="1"/>
    <x v="140"/>
    <n v="36049228"/>
    <x v="1"/>
  </r>
  <r>
    <x v="25"/>
    <x v="2"/>
    <x v="140"/>
    <n v="36049228"/>
    <x v="1"/>
  </r>
  <r>
    <x v="25"/>
    <x v="0"/>
    <x v="140"/>
    <n v="44700000"/>
    <x v="1"/>
  </r>
  <r>
    <x v="25"/>
    <x v="1"/>
    <x v="140"/>
    <n v="44700000"/>
    <x v="1"/>
  </r>
  <r>
    <x v="25"/>
    <x v="2"/>
    <x v="140"/>
    <n v="44700000"/>
    <x v="1"/>
  </r>
  <r>
    <x v="25"/>
    <x v="3"/>
    <x v="140"/>
    <n v="44700000"/>
    <x v="1"/>
  </r>
  <r>
    <x v="1"/>
    <x v="0"/>
    <x v="140"/>
    <n v="20430000"/>
    <x v="1"/>
  </r>
  <r>
    <x v="1"/>
    <x v="1"/>
    <x v="140"/>
    <n v="20430000"/>
    <x v="1"/>
  </r>
  <r>
    <x v="1"/>
    <x v="2"/>
    <x v="140"/>
    <n v="20430000"/>
    <x v="1"/>
  </r>
  <r>
    <x v="23"/>
    <x v="0"/>
    <x v="140"/>
    <n v="48600000"/>
    <x v="1"/>
  </r>
  <r>
    <x v="23"/>
    <x v="1"/>
    <x v="140"/>
    <n v="48600000"/>
    <x v="1"/>
  </r>
  <r>
    <x v="23"/>
    <x v="2"/>
    <x v="140"/>
    <n v="48600000"/>
    <x v="1"/>
  </r>
  <r>
    <x v="23"/>
    <x v="3"/>
    <x v="140"/>
    <n v="48600000"/>
    <x v="1"/>
  </r>
  <r>
    <x v="23"/>
    <x v="4"/>
    <x v="140"/>
    <n v="48600000"/>
    <x v="1"/>
  </r>
  <r>
    <x v="23"/>
    <x v="5"/>
    <x v="140"/>
    <n v="48600000"/>
    <x v="1"/>
  </r>
  <r>
    <x v="27"/>
    <x v="2"/>
    <x v="140"/>
    <n v="6040000"/>
    <x v="1"/>
  </r>
  <r>
    <x v="27"/>
    <x v="3"/>
    <x v="140"/>
    <n v="6040000"/>
    <x v="1"/>
  </r>
  <r>
    <x v="27"/>
    <x v="4"/>
    <x v="140"/>
    <n v="6040000"/>
    <x v="1"/>
  </r>
  <r>
    <x v="27"/>
    <x v="5"/>
    <x v="140"/>
    <n v="6040000"/>
    <x v="1"/>
  </r>
  <r>
    <x v="27"/>
    <x v="2"/>
    <x v="140"/>
    <n v="19220000"/>
    <x v="1"/>
  </r>
  <r>
    <x v="27"/>
    <x v="3"/>
    <x v="140"/>
    <n v="19220000"/>
    <x v="1"/>
  </r>
  <r>
    <x v="27"/>
    <x v="4"/>
    <x v="140"/>
    <n v="19220000"/>
    <x v="1"/>
  </r>
  <r>
    <x v="27"/>
    <x v="5"/>
    <x v="140"/>
    <n v="19220000"/>
    <x v="1"/>
  </r>
  <r>
    <x v="27"/>
    <x v="6"/>
    <x v="140"/>
    <n v="19220000"/>
    <x v="1"/>
  </r>
  <r>
    <x v="27"/>
    <x v="7"/>
    <x v="140"/>
    <n v="19220000"/>
    <x v="1"/>
  </r>
  <r>
    <x v="27"/>
    <x v="8"/>
    <x v="140"/>
    <n v="19220000"/>
    <x v="1"/>
  </r>
  <r>
    <x v="27"/>
    <x v="9"/>
    <x v="140"/>
    <n v="19220000"/>
    <x v="1"/>
  </r>
  <r>
    <x v="27"/>
    <x v="10"/>
    <x v="140"/>
    <n v="19220000"/>
    <x v="1"/>
  </r>
  <r>
    <x v="27"/>
    <x v="11"/>
    <x v="140"/>
    <n v="19220000"/>
    <x v="1"/>
  </r>
  <r>
    <x v="27"/>
    <x v="12"/>
    <x v="140"/>
    <n v="19220000"/>
    <x v="1"/>
  </r>
  <r>
    <x v="27"/>
    <x v="13"/>
    <x v="140"/>
    <n v="19220000"/>
    <x v="1"/>
  </r>
  <r>
    <x v="28"/>
    <x v="1"/>
    <x v="140"/>
    <n v="23250000"/>
    <x v="1"/>
  </r>
  <r>
    <x v="28"/>
    <x v="2"/>
    <x v="140"/>
    <n v="23250000"/>
    <x v="1"/>
  </r>
  <r>
    <x v="28"/>
    <x v="3"/>
    <x v="140"/>
    <n v="23250000"/>
    <x v="1"/>
  </r>
  <r>
    <x v="28"/>
    <x v="4"/>
    <x v="140"/>
    <n v="23250000"/>
    <x v="1"/>
  </r>
  <r>
    <x v="28"/>
    <x v="5"/>
    <x v="140"/>
    <n v="23250000"/>
    <x v="1"/>
  </r>
  <r>
    <x v="28"/>
    <x v="6"/>
    <x v="140"/>
    <n v="23250000"/>
    <x v="1"/>
  </r>
  <r>
    <x v="28"/>
    <x v="7"/>
    <x v="140"/>
    <n v="23250000"/>
    <x v="1"/>
  </r>
  <r>
    <x v="28"/>
    <x v="8"/>
    <x v="140"/>
    <n v="23250000"/>
    <x v="1"/>
  </r>
  <r>
    <x v="28"/>
    <x v="9"/>
    <x v="140"/>
    <n v="23250000"/>
    <x v="1"/>
  </r>
  <r>
    <x v="28"/>
    <x v="10"/>
    <x v="140"/>
    <n v="23250000"/>
    <x v="1"/>
  </r>
  <r>
    <x v="28"/>
    <x v="11"/>
    <x v="140"/>
    <n v="23250000"/>
    <x v="1"/>
  </r>
  <r>
    <x v="28"/>
    <x v="12"/>
    <x v="140"/>
    <n v="23250000"/>
    <x v="1"/>
  </r>
  <r>
    <x v="28"/>
    <x v="13"/>
    <x v="140"/>
    <n v="23250000"/>
    <x v="1"/>
  </r>
  <r>
    <x v="28"/>
    <x v="14"/>
    <x v="140"/>
    <n v="23250000"/>
    <x v="1"/>
  </r>
  <r>
    <x v="28"/>
    <x v="15"/>
    <x v="140"/>
    <n v="23250000"/>
    <x v="1"/>
  </r>
  <r>
    <x v="28"/>
    <x v="16"/>
    <x v="140"/>
    <n v="23250000"/>
    <x v="1"/>
  </r>
  <r>
    <x v="28"/>
    <x v="17"/>
    <x v="140"/>
    <n v="23250000"/>
    <x v="1"/>
  </r>
  <r>
    <x v="28"/>
    <x v="18"/>
    <x v="140"/>
    <n v="23250000"/>
    <x v="1"/>
  </r>
  <r>
    <x v="28"/>
    <x v="19"/>
    <x v="140"/>
    <n v="23250000"/>
    <x v="1"/>
  </r>
  <r>
    <x v="28"/>
    <x v="20"/>
    <x v="140"/>
    <n v="23250000"/>
    <x v="1"/>
  </r>
  <r>
    <x v="28"/>
    <x v="21"/>
    <x v="140"/>
    <n v="23250000"/>
    <x v="1"/>
  </r>
  <r>
    <x v="28"/>
    <x v="22"/>
    <x v="140"/>
    <n v="23250000"/>
    <x v="1"/>
  </r>
  <r>
    <x v="28"/>
    <x v="23"/>
    <x v="140"/>
    <n v="23250000"/>
    <x v="1"/>
  </r>
  <r>
    <x v="48"/>
    <x v="0"/>
    <x v="140"/>
    <n v="60561853.894285716"/>
    <x v="1"/>
  </r>
  <r>
    <x v="48"/>
    <x v="1"/>
    <x v="140"/>
    <n v="60561853.894285716"/>
    <x v="1"/>
  </r>
  <r>
    <x v="48"/>
    <x v="2"/>
    <x v="140"/>
    <n v="60561853.894285716"/>
    <x v="1"/>
  </r>
  <r>
    <x v="48"/>
    <x v="3"/>
    <x v="140"/>
    <n v="60561853.894285716"/>
    <x v="1"/>
  </r>
  <r>
    <x v="48"/>
    <x v="4"/>
    <x v="140"/>
    <n v="60561853.894285716"/>
    <x v="1"/>
  </r>
  <r>
    <x v="48"/>
    <x v="5"/>
    <x v="140"/>
    <n v="60561853.894285716"/>
    <x v="1"/>
  </r>
  <r>
    <x v="48"/>
    <x v="6"/>
    <x v="140"/>
    <n v="60561853.894285716"/>
    <x v="1"/>
  </r>
  <r>
    <x v="48"/>
    <x v="7"/>
    <x v="140"/>
    <n v="60561853.894285716"/>
    <x v="1"/>
  </r>
  <r>
    <x v="48"/>
    <x v="8"/>
    <x v="140"/>
    <n v="60561853.894285716"/>
    <x v="1"/>
  </r>
  <r>
    <x v="48"/>
    <x v="9"/>
    <x v="140"/>
    <n v="60561853.894285716"/>
    <x v="1"/>
  </r>
  <r>
    <x v="48"/>
    <x v="10"/>
    <x v="140"/>
    <n v="60561853.894285716"/>
    <x v="1"/>
  </r>
  <r>
    <x v="48"/>
    <x v="11"/>
    <x v="140"/>
    <n v="60561853.894285716"/>
    <x v="1"/>
  </r>
  <r>
    <x v="49"/>
    <x v="0"/>
    <x v="140"/>
    <n v="15250000"/>
    <x v="1"/>
  </r>
  <r>
    <x v="49"/>
    <x v="1"/>
    <x v="140"/>
    <n v="15250000"/>
    <x v="1"/>
  </r>
  <r>
    <x v="49"/>
    <x v="2"/>
    <x v="140"/>
    <n v="15250000"/>
    <x v="1"/>
  </r>
  <r>
    <x v="49"/>
    <x v="3"/>
    <x v="140"/>
    <n v="15250000"/>
    <x v="1"/>
  </r>
  <r>
    <x v="49"/>
    <x v="4"/>
    <x v="140"/>
    <n v="15250000"/>
    <x v="1"/>
  </r>
  <r>
    <x v="49"/>
    <x v="5"/>
    <x v="140"/>
    <n v="15250000"/>
    <x v="1"/>
  </r>
  <r>
    <x v="49"/>
    <x v="6"/>
    <x v="140"/>
    <n v="15250000"/>
    <x v="1"/>
  </r>
  <r>
    <x v="49"/>
    <x v="7"/>
    <x v="140"/>
    <n v="15250000"/>
    <x v="1"/>
  </r>
  <r>
    <x v="49"/>
    <x v="8"/>
    <x v="140"/>
    <n v="15250000"/>
    <x v="1"/>
  </r>
  <r>
    <x v="49"/>
    <x v="9"/>
    <x v="140"/>
    <n v="15250000"/>
    <x v="1"/>
  </r>
  <r>
    <x v="49"/>
    <x v="10"/>
    <x v="140"/>
    <n v="15250000"/>
    <x v="1"/>
  </r>
  <r>
    <x v="49"/>
    <x v="11"/>
    <x v="140"/>
    <n v="15250000"/>
    <x v="1"/>
  </r>
  <r>
    <x v="50"/>
    <x v="0"/>
    <x v="140"/>
    <n v="20341421"/>
    <x v="1"/>
  </r>
  <r>
    <x v="50"/>
    <x v="1"/>
    <x v="140"/>
    <n v="20341421"/>
    <x v="1"/>
  </r>
  <r>
    <x v="50"/>
    <x v="2"/>
    <x v="140"/>
    <n v="20341421"/>
    <x v="1"/>
  </r>
  <r>
    <x v="29"/>
    <x v="0"/>
    <x v="140"/>
    <n v="7100000"/>
    <x v="1"/>
  </r>
  <r>
    <x v="26"/>
    <x v="0"/>
    <x v="140"/>
    <n v="15173515.981735155"/>
    <x v="1"/>
  </r>
  <r>
    <x v="26"/>
    <x v="1"/>
    <x v="140"/>
    <n v="14609589.041095892"/>
    <x v="1"/>
  </r>
  <r>
    <x v="26"/>
    <x v="2"/>
    <x v="140"/>
    <n v="15203196.347031964"/>
    <x v="1"/>
  </r>
  <r>
    <x v="26"/>
    <x v="3"/>
    <x v="140"/>
    <n v="18824200.913242016"/>
    <x v="1"/>
  </r>
  <r>
    <x v="26"/>
    <x v="4"/>
    <x v="140"/>
    <n v="21317351.598173514"/>
    <x v="1"/>
  </r>
  <r>
    <x v="26"/>
    <x v="5"/>
    <x v="140"/>
    <n v="22860730.593607314"/>
    <x v="1"/>
  </r>
  <r>
    <x v="26"/>
    <x v="6"/>
    <x v="140"/>
    <n v="21079908.675799087"/>
    <x v="1"/>
  </r>
  <r>
    <x v="26"/>
    <x v="7"/>
    <x v="140"/>
    <n v="25917808.219178069"/>
    <x v="1"/>
  </r>
  <r>
    <x v="26"/>
    <x v="8"/>
    <x v="140"/>
    <n v="23216894.977168947"/>
    <x v="1"/>
  </r>
  <r>
    <x v="26"/>
    <x v="9"/>
    <x v="140"/>
    <n v="24226027.397260282"/>
    <x v="1"/>
  </r>
  <r>
    <x v="26"/>
    <x v="10"/>
    <x v="140"/>
    <n v="25977168.949771687"/>
    <x v="1"/>
  </r>
  <r>
    <x v="26"/>
    <x v="11"/>
    <x v="140"/>
    <n v="20456621.00456623"/>
    <x v="1"/>
  </r>
  <r>
    <x v="26"/>
    <x v="12"/>
    <x v="140"/>
    <n v="20812785.388127822"/>
    <x v="1"/>
  </r>
  <r>
    <x v="26"/>
    <x v="13"/>
    <x v="140"/>
    <n v="23038812.785388142"/>
    <x v="1"/>
  </r>
  <r>
    <x v="26"/>
    <x v="14"/>
    <x v="140"/>
    <n v="20219178.082191784"/>
    <x v="1"/>
  </r>
  <r>
    <x v="26"/>
    <x v="15"/>
    <x v="140"/>
    <n v="22415525.11415524"/>
    <x v="1"/>
  </r>
  <r>
    <x v="26"/>
    <x v="16"/>
    <x v="140"/>
    <n v="22920091.324200906"/>
    <x v="1"/>
  </r>
  <r>
    <x v="26"/>
    <x v="17"/>
    <x v="140"/>
    <n v="18468036.529680401"/>
    <x v="1"/>
  </r>
  <r>
    <x v="26"/>
    <x v="18"/>
    <x v="140"/>
    <n v="17013698.630136952"/>
    <x v="1"/>
  </r>
  <r>
    <x v="26"/>
    <x v="19"/>
    <x v="140"/>
    <n v="16894977.168949805"/>
    <x v="1"/>
  </r>
  <r>
    <x v="26"/>
    <x v="20"/>
    <x v="140"/>
    <n v="14609589.041095892"/>
    <x v="1"/>
  </r>
  <r>
    <x v="13"/>
    <x v="0"/>
    <x v="140"/>
    <n v="29900000"/>
    <x v="1"/>
  </r>
  <r>
    <x v="13"/>
    <x v="1"/>
    <x v="140"/>
    <n v="29900000"/>
    <x v="1"/>
  </r>
  <r>
    <x v="13"/>
    <x v="2"/>
    <x v="140"/>
    <n v="29900000"/>
    <x v="1"/>
  </r>
  <r>
    <x v="51"/>
    <x v="0"/>
    <x v="140"/>
    <n v="118601976.15000001"/>
    <x v="1"/>
  </r>
  <r>
    <x v="51"/>
    <x v="1"/>
    <x v="140"/>
    <n v="197669960.25"/>
    <x v="1"/>
  </r>
  <r>
    <x v="51"/>
    <x v="2"/>
    <x v="140"/>
    <n v="171313965.55000007"/>
    <x v="1"/>
  </r>
  <r>
    <x v="51"/>
    <x v="3"/>
    <x v="140"/>
    <n v="210847957.5999999"/>
    <x v="1"/>
  </r>
  <r>
    <x v="30"/>
    <x v="0"/>
    <x v="140"/>
    <n v="14000000"/>
    <x v="1"/>
  </r>
  <r>
    <x v="30"/>
    <x v="1"/>
    <x v="140"/>
    <n v="14000000"/>
    <x v="1"/>
  </r>
  <r>
    <x v="30"/>
    <x v="2"/>
    <x v="140"/>
    <n v="14000000"/>
    <x v="1"/>
  </r>
  <r>
    <x v="30"/>
    <x v="3"/>
    <x v="140"/>
    <n v="14000000"/>
    <x v="1"/>
  </r>
  <r>
    <x v="30"/>
    <x v="4"/>
    <x v="140"/>
    <n v="14000000"/>
    <x v="1"/>
  </r>
  <r>
    <x v="30"/>
    <x v="5"/>
    <x v="140"/>
    <n v="14000000"/>
    <x v="1"/>
  </r>
  <r>
    <x v="30"/>
    <x v="6"/>
    <x v="140"/>
    <n v="14000000"/>
    <x v="1"/>
  </r>
  <r>
    <x v="30"/>
    <x v="7"/>
    <x v="140"/>
    <n v="14000000"/>
    <x v="1"/>
  </r>
  <r>
    <x v="30"/>
    <x v="8"/>
    <x v="140"/>
    <n v="14000000"/>
    <x v="1"/>
  </r>
  <r>
    <x v="30"/>
    <x v="9"/>
    <x v="140"/>
    <n v="14000000"/>
    <x v="1"/>
  </r>
  <r>
    <x v="30"/>
    <x v="10"/>
    <x v="140"/>
    <n v="14000000"/>
    <x v="1"/>
  </r>
  <r>
    <x v="30"/>
    <x v="11"/>
    <x v="140"/>
    <n v="14000000"/>
    <x v="1"/>
  </r>
  <r>
    <x v="30"/>
    <x v="12"/>
    <x v="140"/>
    <n v="14000000"/>
    <x v="1"/>
  </r>
  <r>
    <x v="30"/>
    <x v="13"/>
    <x v="140"/>
    <n v="14000000"/>
    <x v="1"/>
  </r>
  <r>
    <x v="30"/>
    <x v="14"/>
    <x v="140"/>
    <n v="14000000"/>
    <x v="1"/>
  </r>
  <r>
    <x v="31"/>
    <x v="0"/>
    <x v="140"/>
    <n v="12000000"/>
    <x v="1"/>
  </r>
  <r>
    <x v="31"/>
    <x v="1"/>
    <x v="140"/>
    <n v="12000000"/>
    <x v="1"/>
  </r>
  <r>
    <x v="31"/>
    <x v="2"/>
    <x v="140"/>
    <n v="12000000"/>
    <x v="1"/>
  </r>
  <r>
    <x v="31"/>
    <x v="3"/>
    <x v="140"/>
    <n v="12000000"/>
    <x v="1"/>
  </r>
  <r>
    <x v="31"/>
    <x v="4"/>
    <x v="140"/>
    <n v="12000000"/>
    <x v="1"/>
  </r>
  <r>
    <x v="31"/>
    <x v="5"/>
    <x v="140"/>
    <n v="12000000"/>
    <x v="1"/>
  </r>
  <r>
    <x v="31"/>
    <x v="6"/>
    <x v="140"/>
    <n v="12000000"/>
    <x v="1"/>
  </r>
  <r>
    <x v="31"/>
    <x v="7"/>
    <x v="140"/>
    <n v="12000000"/>
    <x v="1"/>
  </r>
  <r>
    <x v="31"/>
    <x v="8"/>
    <x v="140"/>
    <n v="12000000"/>
    <x v="1"/>
  </r>
  <r>
    <x v="31"/>
    <x v="9"/>
    <x v="140"/>
    <n v="12000000"/>
    <x v="1"/>
  </r>
  <r>
    <x v="31"/>
    <x v="10"/>
    <x v="140"/>
    <n v="12000000"/>
    <x v="1"/>
  </r>
  <r>
    <x v="31"/>
    <x v="11"/>
    <x v="140"/>
    <n v="12000000"/>
    <x v="1"/>
  </r>
  <r>
    <x v="31"/>
    <x v="12"/>
    <x v="140"/>
    <n v="12000000"/>
    <x v="1"/>
  </r>
  <r>
    <x v="31"/>
    <x v="13"/>
    <x v="140"/>
    <n v="12000000"/>
    <x v="1"/>
  </r>
  <r>
    <x v="31"/>
    <x v="14"/>
    <x v="140"/>
    <n v="12000000"/>
    <x v="1"/>
  </r>
  <r>
    <x v="31"/>
    <x v="15"/>
    <x v="140"/>
    <n v="12000000"/>
    <x v="1"/>
  </r>
  <r>
    <x v="31"/>
    <x v="16"/>
    <x v="140"/>
    <n v="12000000"/>
    <x v="1"/>
  </r>
  <r>
    <x v="31"/>
    <x v="17"/>
    <x v="140"/>
    <n v="12000000"/>
    <x v="1"/>
  </r>
  <r>
    <x v="31"/>
    <x v="18"/>
    <x v="140"/>
    <n v="12000000"/>
    <x v="1"/>
  </r>
  <r>
    <x v="31"/>
    <x v="19"/>
    <x v="140"/>
    <n v="12000000"/>
    <x v="1"/>
  </r>
  <r>
    <x v="31"/>
    <x v="20"/>
    <x v="140"/>
    <n v="12000000"/>
    <x v="1"/>
  </r>
  <r>
    <x v="31"/>
    <x v="21"/>
    <x v="140"/>
    <n v="12000000"/>
    <x v="1"/>
  </r>
  <r>
    <x v="31"/>
    <x v="22"/>
    <x v="140"/>
    <n v="12000000"/>
    <x v="1"/>
  </r>
  <r>
    <x v="31"/>
    <x v="23"/>
    <x v="140"/>
    <n v="12000000"/>
    <x v="1"/>
  </r>
  <r>
    <x v="33"/>
    <x v="0"/>
    <x v="140"/>
    <n v="7050296.2803877732"/>
    <x v="1"/>
  </r>
  <r>
    <x v="33"/>
    <x v="1"/>
    <x v="140"/>
    <n v="7050296.2803877732"/>
    <x v="1"/>
  </r>
  <r>
    <x v="33"/>
    <x v="2"/>
    <x v="140"/>
    <n v="7050296.2803877732"/>
    <x v="1"/>
  </r>
  <r>
    <x v="33"/>
    <x v="3"/>
    <x v="140"/>
    <n v="7050296.2803877732"/>
    <x v="1"/>
  </r>
  <r>
    <x v="33"/>
    <x v="0"/>
    <x v="140"/>
    <n v="5301683.8089733012"/>
    <x v="1"/>
  </r>
  <r>
    <x v="33"/>
    <x v="1"/>
    <x v="140"/>
    <n v="5301683.8089733012"/>
    <x v="1"/>
  </r>
  <r>
    <x v="33"/>
    <x v="2"/>
    <x v="140"/>
    <n v="5301683.8089733012"/>
    <x v="1"/>
  </r>
  <r>
    <x v="33"/>
    <x v="3"/>
    <x v="140"/>
    <n v="5301683.8089733012"/>
    <x v="1"/>
  </r>
  <r>
    <x v="33"/>
    <x v="0"/>
    <x v="140"/>
    <n v="7122595.6118260631"/>
    <x v="1"/>
  </r>
  <r>
    <x v="33"/>
    <x v="1"/>
    <x v="140"/>
    <n v="7122595.6118260631"/>
    <x v="1"/>
  </r>
  <r>
    <x v="33"/>
    <x v="2"/>
    <x v="140"/>
    <n v="7122595.6118260631"/>
    <x v="1"/>
  </r>
  <r>
    <x v="33"/>
    <x v="3"/>
    <x v="140"/>
    <n v="7122595.6118260631"/>
    <x v="1"/>
  </r>
  <r>
    <x v="33"/>
    <x v="0"/>
    <x v="140"/>
    <n v="2753063.7872998388"/>
    <x v="1"/>
  </r>
  <r>
    <x v="33"/>
    <x v="1"/>
    <x v="140"/>
    <n v="2753063.7872998388"/>
    <x v="1"/>
  </r>
  <r>
    <x v="33"/>
    <x v="2"/>
    <x v="140"/>
    <n v="2753063.7872998388"/>
    <x v="1"/>
  </r>
  <r>
    <x v="33"/>
    <x v="3"/>
    <x v="140"/>
    <n v="2753063.7872998388"/>
    <x v="1"/>
  </r>
  <r>
    <x v="33"/>
    <x v="0"/>
    <x v="140"/>
    <n v="4064763.0345789804"/>
    <x v="1"/>
  </r>
  <r>
    <x v="33"/>
    <x v="1"/>
    <x v="140"/>
    <n v="4064763.0345789804"/>
    <x v="1"/>
  </r>
  <r>
    <x v="33"/>
    <x v="2"/>
    <x v="140"/>
    <n v="4064763.0345789804"/>
    <x v="1"/>
  </r>
  <r>
    <x v="33"/>
    <x v="3"/>
    <x v="140"/>
    <n v="4064763.0345789804"/>
    <x v="1"/>
  </r>
  <r>
    <x v="33"/>
    <x v="0"/>
    <x v="140"/>
    <n v="3114204.2269340428"/>
    <x v="1"/>
  </r>
  <r>
    <x v="33"/>
    <x v="1"/>
    <x v="140"/>
    <n v="3114204.2269340428"/>
    <x v="1"/>
  </r>
  <r>
    <x v="33"/>
    <x v="2"/>
    <x v="140"/>
    <n v="3114204.2269340428"/>
    <x v="1"/>
  </r>
  <r>
    <x v="33"/>
    <x v="3"/>
    <x v="140"/>
    <n v="3114204.2269340428"/>
    <x v="1"/>
  </r>
  <r>
    <x v="52"/>
    <x v="0"/>
    <x v="140"/>
    <n v="12773052.833333334"/>
    <x v="1"/>
  </r>
  <r>
    <x v="52"/>
    <x v="1"/>
    <x v="140"/>
    <n v="12773052.833333334"/>
    <x v="1"/>
  </r>
  <r>
    <x v="53"/>
    <x v="0"/>
    <x v="140"/>
    <n v="50000000"/>
    <x v="1"/>
  </r>
  <r>
    <x v="53"/>
    <x v="1"/>
    <x v="140"/>
    <n v="50000000"/>
    <x v="1"/>
  </r>
  <r>
    <x v="53"/>
    <x v="2"/>
    <x v="140"/>
    <n v="50000000"/>
    <x v="1"/>
  </r>
  <r>
    <x v="53"/>
    <x v="3"/>
    <x v="140"/>
    <n v="50000000"/>
    <x v="1"/>
  </r>
  <r>
    <x v="53"/>
    <x v="4"/>
    <x v="140"/>
    <n v="50000000"/>
    <x v="1"/>
  </r>
  <r>
    <x v="54"/>
    <x v="0"/>
    <x v="140"/>
    <n v="48166666.666666664"/>
    <x v="1"/>
  </r>
  <r>
    <x v="54"/>
    <x v="1"/>
    <x v="140"/>
    <n v="48166666.666666664"/>
    <x v="1"/>
  </r>
  <r>
    <x v="54"/>
    <x v="2"/>
    <x v="140"/>
    <n v="48166666.666666664"/>
    <x v="1"/>
  </r>
  <r>
    <x v="54"/>
    <x v="3"/>
    <x v="140"/>
    <n v="48166666.666666664"/>
    <x v="1"/>
  </r>
  <r>
    <x v="54"/>
    <x v="4"/>
    <x v="140"/>
    <n v="48166666.666666664"/>
    <x v="1"/>
  </r>
  <r>
    <x v="54"/>
    <x v="5"/>
    <x v="140"/>
    <n v="48166666.666666664"/>
    <x v="1"/>
  </r>
  <r>
    <x v="34"/>
    <x v="0"/>
    <x v="140"/>
    <n v="10500000"/>
    <x v="1"/>
  </r>
  <r>
    <x v="34"/>
    <x v="1"/>
    <x v="140"/>
    <n v="10500000"/>
    <x v="1"/>
  </r>
  <r>
    <x v="55"/>
    <x v="1"/>
    <x v="140"/>
    <n v="9800000"/>
    <x v="1"/>
  </r>
  <r>
    <x v="55"/>
    <x v="2"/>
    <x v="140"/>
    <n v="9800000"/>
    <x v="1"/>
  </r>
  <r>
    <x v="55"/>
    <x v="3"/>
    <x v="140"/>
    <n v="9800000"/>
    <x v="1"/>
  </r>
  <r>
    <x v="55"/>
    <x v="4"/>
    <x v="140"/>
    <n v="9800000"/>
    <x v="1"/>
  </r>
  <r>
    <x v="55"/>
    <x v="5"/>
    <x v="140"/>
    <n v="9800000"/>
    <x v="1"/>
  </r>
  <r>
    <x v="55"/>
    <x v="6"/>
    <x v="140"/>
    <n v="9800000"/>
    <x v="1"/>
  </r>
  <r>
    <x v="55"/>
    <x v="7"/>
    <x v="140"/>
    <n v="9800000"/>
    <x v="1"/>
  </r>
  <r>
    <x v="55"/>
    <x v="8"/>
    <x v="140"/>
    <n v="9800000"/>
    <x v="1"/>
  </r>
  <r>
    <x v="55"/>
    <x v="9"/>
    <x v="140"/>
    <n v="9800000"/>
    <x v="1"/>
  </r>
  <r>
    <x v="55"/>
    <x v="10"/>
    <x v="140"/>
    <n v="9800000"/>
    <x v="1"/>
  </r>
  <r>
    <x v="55"/>
    <x v="11"/>
    <x v="140"/>
    <n v="9800000"/>
    <x v="1"/>
  </r>
  <r>
    <x v="55"/>
    <x v="12"/>
    <x v="140"/>
    <n v="9800000"/>
    <x v="1"/>
  </r>
  <r>
    <x v="55"/>
    <x v="13"/>
    <x v="140"/>
    <n v="9800000"/>
    <x v="1"/>
  </r>
  <r>
    <x v="55"/>
    <x v="14"/>
    <x v="140"/>
    <n v="9800000"/>
    <x v="1"/>
  </r>
  <r>
    <x v="52"/>
    <x v="2"/>
    <x v="140"/>
    <n v="12773052.833333334"/>
    <x v="1"/>
  </r>
  <r>
    <x v="52"/>
    <x v="3"/>
    <x v="140"/>
    <n v="12773052.833333334"/>
    <x v="1"/>
  </r>
  <r>
    <x v="52"/>
    <x v="4"/>
    <x v="140"/>
    <n v="12773052.833333334"/>
    <x v="1"/>
  </r>
  <r>
    <x v="52"/>
    <x v="5"/>
    <x v="140"/>
    <n v="12773052.833333334"/>
    <x v="1"/>
  </r>
  <r>
    <x v="52"/>
    <x v="6"/>
    <x v="140"/>
    <n v="12773052.833333334"/>
    <x v="1"/>
  </r>
  <r>
    <x v="52"/>
    <x v="7"/>
    <x v="140"/>
    <n v="12773052.833333334"/>
    <x v="1"/>
  </r>
  <r>
    <x v="52"/>
    <x v="8"/>
    <x v="140"/>
    <n v="12773052.833333334"/>
    <x v="1"/>
  </r>
  <r>
    <x v="52"/>
    <x v="9"/>
    <x v="140"/>
    <n v="12773052.833333334"/>
    <x v="1"/>
  </r>
  <r>
    <x v="52"/>
    <x v="10"/>
    <x v="140"/>
    <n v="12773052.833333334"/>
    <x v="1"/>
  </r>
  <r>
    <x v="35"/>
    <x v="1"/>
    <x v="140"/>
    <n v="22250000"/>
    <x v="1"/>
  </r>
  <r>
    <x v="35"/>
    <x v="2"/>
    <x v="140"/>
    <n v="22250000"/>
    <x v="1"/>
  </r>
  <r>
    <x v="35"/>
    <x v="3"/>
    <x v="140"/>
    <n v="22250000"/>
    <x v="1"/>
  </r>
  <r>
    <x v="35"/>
    <x v="4"/>
    <x v="140"/>
    <n v="22250000"/>
    <x v="1"/>
  </r>
  <r>
    <x v="35"/>
    <x v="5"/>
    <x v="140"/>
    <n v="22250000"/>
    <x v="1"/>
  </r>
  <r>
    <x v="35"/>
    <x v="6"/>
    <x v="140"/>
    <n v="22250000"/>
    <x v="1"/>
  </r>
  <r>
    <x v="35"/>
    <x v="7"/>
    <x v="140"/>
    <n v="22250000"/>
    <x v="1"/>
  </r>
  <r>
    <x v="39"/>
    <x v="3"/>
    <x v="140"/>
    <n v="17160000"/>
    <x v="1"/>
  </r>
  <r>
    <x v="39"/>
    <x v="4"/>
    <x v="140"/>
    <n v="17160000"/>
    <x v="1"/>
  </r>
  <r>
    <x v="39"/>
    <x v="5"/>
    <x v="140"/>
    <n v="17160000"/>
    <x v="1"/>
  </r>
  <r>
    <x v="39"/>
    <x v="6"/>
    <x v="140"/>
    <n v="17160000"/>
    <x v="1"/>
  </r>
  <r>
    <x v="39"/>
    <x v="7"/>
    <x v="140"/>
    <n v="17160000"/>
    <x v="1"/>
  </r>
  <r>
    <x v="39"/>
    <x v="8"/>
    <x v="140"/>
    <n v="17160000"/>
    <x v="1"/>
  </r>
  <r>
    <x v="39"/>
    <x v="9"/>
    <x v="140"/>
    <n v="17160000"/>
    <x v="1"/>
  </r>
  <r>
    <x v="39"/>
    <x v="10"/>
    <x v="140"/>
    <n v="17160000"/>
    <x v="1"/>
  </r>
  <r>
    <x v="39"/>
    <x v="11"/>
    <x v="140"/>
    <n v="17160000"/>
    <x v="1"/>
  </r>
  <r>
    <x v="39"/>
    <x v="12"/>
    <x v="140"/>
    <n v="17160000"/>
    <x v="1"/>
  </r>
  <r>
    <x v="39"/>
    <x v="13"/>
    <x v="140"/>
    <n v="17160000"/>
    <x v="1"/>
  </r>
  <r>
    <x v="39"/>
    <x v="14"/>
    <x v="140"/>
    <n v="17160000"/>
    <x v="1"/>
  </r>
  <r>
    <x v="39"/>
    <x v="15"/>
    <x v="140"/>
    <n v="17160000"/>
    <x v="1"/>
  </r>
  <r>
    <x v="37"/>
    <x v="2"/>
    <x v="140"/>
    <n v="26936126"/>
    <x v="1"/>
  </r>
  <r>
    <x v="37"/>
    <x v="3"/>
    <x v="140"/>
    <n v="26936126"/>
    <x v="1"/>
  </r>
  <r>
    <x v="37"/>
    <x v="4"/>
    <x v="140"/>
    <n v="26936126"/>
    <x v="1"/>
  </r>
  <r>
    <x v="37"/>
    <x v="5"/>
    <x v="140"/>
    <n v="26936126"/>
    <x v="1"/>
  </r>
  <r>
    <x v="37"/>
    <x v="6"/>
    <x v="140"/>
    <n v="26936126"/>
    <x v="1"/>
  </r>
  <r>
    <x v="37"/>
    <x v="7"/>
    <x v="140"/>
    <n v="26936126"/>
    <x v="1"/>
  </r>
  <r>
    <x v="37"/>
    <x v="8"/>
    <x v="140"/>
    <n v="26936126"/>
    <x v="1"/>
  </r>
  <r>
    <x v="37"/>
    <x v="9"/>
    <x v="140"/>
    <n v="26936126"/>
    <x v="1"/>
  </r>
  <r>
    <x v="37"/>
    <x v="10"/>
    <x v="140"/>
    <n v="26936126"/>
    <x v="1"/>
  </r>
  <r>
    <x v="37"/>
    <x v="11"/>
    <x v="140"/>
    <n v="26936126"/>
    <x v="1"/>
  </r>
  <r>
    <x v="37"/>
    <x v="12"/>
    <x v="140"/>
    <n v="26936126"/>
    <x v="1"/>
  </r>
  <r>
    <x v="37"/>
    <x v="13"/>
    <x v="140"/>
    <n v="26936126"/>
    <x v="1"/>
  </r>
  <r>
    <x v="37"/>
    <x v="14"/>
    <x v="140"/>
    <n v="26936126"/>
    <x v="1"/>
  </r>
  <r>
    <x v="37"/>
    <x v="15"/>
    <x v="140"/>
    <n v="26936126"/>
    <x v="1"/>
  </r>
  <r>
    <x v="37"/>
    <x v="16"/>
    <x v="140"/>
    <n v="26936126"/>
    <x v="1"/>
  </r>
  <r>
    <x v="37"/>
    <x v="17"/>
    <x v="140"/>
    <n v="26936126"/>
    <x v="1"/>
  </r>
  <r>
    <x v="37"/>
    <x v="18"/>
    <x v="140"/>
    <n v="26936126"/>
    <x v="1"/>
  </r>
  <r>
    <x v="37"/>
    <x v="19"/>
    <x v="140"/>
    <n v="26936126"/>
    <x v="1"/>
  </r>
  <r>
    <x v="37"/>
    <x v="20"/>
    <x v="140"/>
    <n v="26936126"/>
    <x v="1"/>
  </r>
  <r>
    <x v="37"/>
    <x v="21"/>
    <x v="140"/>
    <n v="26936126"/>
    <x v="1"/>
  </r>
  <r>
    <x v="37"/>
    <x v="22"/>
    <x v="140"/>
    <n v="26936126"/>
    <x v="1"/>
  </r>
  <r>
    <x v="37"/>
    <x v="23"/>
    <x v="140"/>
    <n v="26936126"/>
    <x v="1"/>
  </r>
  <r>
    <x v="37"/>
    <x v="24"/>
    <x v="140"/>
    <n v="26936126"/>
    <x v="1"/>
  </r>
  <r>
    <x v="37"/>
    <x v="25"/>
    <x v="140"/>
    <n v="26936126"/>
    <x v="1"/>
  </r>
  <r>
    <x v="37"/>
    <x v="26"/>
    <x v="140"/>
    <n v="26936126"/>
    <x v="1"/>
  </r>
  <r>
    <x v="38"/>
    <x v="3"/>
    <x v="140"/>
    <n v="8700000"/>
    <x v="1"/>
  </r>
  <r>
    <x v="38"/>
    <x v="3"/>
    <x v="140"/>
    <n v="20600000"/>
    <x v="1"/>
  </r>
  <r>
    <x v="38"/>
    <x v="4"/>
    <x v="140"/>
    <n v="20600000"/>
    <x v="1"/>
  </r>
  <r>
    <x v="38"/>
    <x v="5"/>
    <x v="140"/>
    <n v="20600000"/>
    <x v="1"/>
  </r>
  <r>
    <x v="38"/>
    <x v="6"/>
    <x v="140"/>
    <n v="20600000"/>
    <x v="1"/>
  </r>
  <r>
    <x v="38"/>
    <x v="7"/>
    <x v="140"/>
    <n v="20600000"/>
    <x v="1"/>
  </r>
  <r>
    <x v="38"/>
    <x v="8"/>
    <x v="140"/>
    <n v="20600000"/>
    <x v="1"/>
  </r>
  <r>
    <x v="38"/>
    <x v="9"/>
    <x v="140"/>
    <n v="20600000"/>
    <x v="1"/>
  </r>
  <r>
    <x v="38"/>
    <x v="10"/>
    <x v="140"/>
    <n v="20600000"/>
    <x v="1"/>
  </r>
  <r>
    <x v="38"/>
    <x v="11"/>
    <x v="140"/>
    <n v="20600000"/>
    <x v="1"/>
  </r>
  <r>
    <x v="38"/>
    <x v="12"/>
    <x v="140"/>
    <n v="20600000"/>
    <x v="1"/>
  </r>
  <r>
    <x v="38"/>
    <x v="3"/>
    <x v="140"/>
    <n v="14200000"/>
    <x v="1"/>
  </r>
  <r>
    <x v="38"/>
    <x v="4"/>
    <x v="140"/>
    <n v="14200000"/>
    <x v="1"/>
  </r>
  <r>
    <x v="38"/>
    <x v="5"/>
    <x v="140"/>
    <n v="14200000"/>
    <x v="1"/>
  </r>
  <r>
    <x v="38"/>
    <x v="6"/>
    <x v="140"/>
    <n v="14200000"/>
    <x v="1"/>
  </r>
  <r>
    <x v="56"/>
    <x v="3"/>
    <x v="140"/>
    <n v="10000000"/>
    <x v="1"/>
  </r>
  <r>
    <x v="56"/>
    <x v="4"/>
    <x v="140"/>
    <n v="10000000"/>
    <x v="1"/>
  </r>
  <r>
    <x v="56"/>
    <x v="5"/>
    <x v="140"/>
    <n v="1000000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605">
  <r>
    <x v="0"/>
    <x v="0"/>
    <x v="0"/>
    <n v="5273934.6806999994"/>
  </r>
  <r>
    <x v="0"/>
    <x v="1"/>
    <x v="0"/>
    <n v="5273934.6806999994"/>
  </r>
  <r>
    <x v="0"/>
    <x v="2"/>
    <x v="0"/>
    <n v="5273934.6806999994"/>
  </r>
  <r>
    <x v="0"/>
    <x v="3"/>
    <x v="0"/>
    <n v="5273934.6806999994"/>
  </r>
  <r>
    <x v="0"/>
    <x v="4"/>
    <x v="0"/>
    <n v="5273934.6806999994"/>
  </r>
  <r>
    <x v="0"/>
    <x v="5"/>
    <x v="0"/>
    <n v="5273934.6806999994"/>
  </r>
  <r>
    <x v="0"/>
    <x v="6"/>
    <x v="0"/>
    <n v="5273934.6806999994"/>
  </r>
  <r>
    <x v="0"/>
    <x v="7"/>
    <x v="0"/>
    <n v="5273934.6806999994"/>
  </r>
  <r>
    <x v="0"/>
    <x v="8"/>
    <x v="0"/>
    <n v="5273934.6806999994"/>
  </r>
  <r>
    <x v="0"/>
    <x v="9"/>
    <x v="0"/>
    <n v="5273934.6806999994"/>
  </r>
  <r>
    <x v="0"/>
    <x v="10"/>
    <x v="0"/>
    <n v="5273934.6806999994"/>
  </r>
  <r>
    <x v="0"/>
    <x v="11"/>
    <x v="0"/>
    <n v="5273934.6806999994"/>
  </r>
  <r>
    <x v="0"/>
    <x v="12"/>
    <x v="0"/>
    <n v="5273934.6806999994"/>
  </r>
  <r>
    <x v="0"/>
    <x v="13"/>
    <x v="0"/>
    <n v="5273934.6806999994"/>
  </r>
  <r>
    <x v="0"/>
    <x v="0"/>
    <x v="1"/>
    <n v="7784590.2750000004"/>
  </r>
  <r>
    <x v="0"/>
    <x v="1"/>
    <x v="1"/>
    <n v="7784590.2750000004"/>
  </r>
  <r>
    <x v="0"/>
    <x v="2"/>
    <x v="1"/>
    <n v="7784590.2750000004"/>
  </r>
  <r>
    <x v="0"/>
    <x v="3"/>
    <x v="1"/>
    <n v="7784590.2750000004"/>
  </r>
  <r>
    <x v="0"/>
    <x v="4"/>
    <x v="1"/>
    <n v="7784590.2750000004"/>
  </r>
  <r>
    <x v="0"/>
    <x v="5"/>
    <x v="1"/>
    <n v="7784590.2750000004"/>
  </r>
  <r>
    <x v="0"/>
    <x v="6"/>
    <x v="1"/>
    <n v="7784590.2750000004"/>
  </r>
  <r>
    <x v="0"/>
    <x v="7"/>
    <x v="1"/>
    <n v="7784590.2750000004"/>
  </r>
  <r>
    <x v="0"/>
    <x v="8"/>
    <x v="1"/>
    <n v="7784590.2750000004"/>
  </r>
  <r>
    <x v="0"/>
    <x v="9"/>
    <x v="1"/>
    <n v="7784590.2750000004"/>
  </r>
  <r>
    <x v="0"/>
    <x v="10"/>
    <x v="1"/>
    <n v="7784590.2750000004"/>
  </r>
  <r>
    <x v="0"/>
    <x v="11"/>
    <x v="1"/>
    <n v="7784590.2750000004"/>
  </r>
  <r>
    <x v="0"/>
    <x v="12"/>
    <x v="1"/>
    <n v="7784590.2750000004"/>
  </r>
  <r>
    <x v="0"/>
    <x v="13"/>
    <x v="1"/>
    <n v="7784590.2750000004"/>
  </r>
  <r>
    <x v="0"/>
    <x v="0"/>
    <x v="2"/>
    <n v="6517329.5250000004"/>
  </r>
  <r>
    <x v="0"/>
    <x v="1"/>
    <x v="2"/>
    <n v="6517329.5250000004"/>
  </r>
  <r>
    <x v="0"/>
    <x v="2"/>
    <x v="2"/>
    <n v="6517329.5250000004"/>
  </r>
  <r>
    <x v="0"/>
    <x v="3"/>
    <x v="2"/>
    <n v="6517329.5250000004"/>
  </r>
  <r>
    <x v="0"/>
    <x v="4"/>
    <x v="2"/>
    <n v="6517329.5250000004"/>
  </r>
  <r>
    <x v="0"/>
    <x v="5"/>
    <x v="2"/>
    <n v="6517329.5250000004"/>
  </r>
  <r>
    <x v="0"/>
    <x v="6"/>
    <x v="2"/>
    <n v="6517329.5250000004"/>
  </r>
  <r>
    <x v="0"/>
    <x v="7"/>
    <x v="2"/>
    <n v="6517329.5250000004"/>
  </r>
  <r>
    <x v="0"/>
    <x v="8"/>
    <x v="2"/>
    <n v="6517329.5250000004"/>
  </r>
  <r>
    <x v="0"/>
    <x v="9"/>
    <x v="2"/>
    <n v="6517329.5250000004"/>
  </r>
  <r>
    <x v="0"/>
    <x v="10"/>
    <x v="2"/>
    <n v="6517329.5250000004"/>
  </r>
  <r>
    <x v="0"/>
    <x v="11"/>
    <x v="2"/>
    <n v="6517329.5250000004"/>
  </r>
  <r>
    <x v="0"/>
    <x v="12"/>
    <x v="2"/>
    <n v="6517329.5250000004"/>
  </r>
  <r>
    <x v="0"/>
    <x v="0"/>
    <x v="3"/>
    <n v="7791940.1186286025"/>
  </r>
  <r>
    <x v="0"/>
    <x v="1"/>
    <x v="3"/>
    <n v="7791940.1186286025"/>
  </r>
  <r>
    <x v="0"/>
    <x v="2"/>
    <x v="3"/>
    <n v="7791940.1186286025"/>
  </r>
  <r>
    <x v="0"/>
    <x v="3"/>
    <x v="3"/>
    <n v="7791940.1186286025"/>
  </r>
  <r>
    <x v="0"/>
    <x v="4"/>
    <x v="3"/>
    <n v="7791940.1186286025"/>
  </r>
  <r>
    <x v="0"/>
    <x v="5"/>
    <x v="3"/>
    <n v="7791940.1186286025"/>
  </r>
  <r>
    <x v="0"/>
    <x v="6"/>
    <x v="3"/>
    <n v="7791940.1186286025"/>
  </r>
  <r>
    <x v="0"/>
    <x v="7"/>
    <x v="3"/>
    <n v="7791940.1186286025"/>
  </r>
  <r>
    <x v="0"/>
    <x v="8"/>
    <x v="3"/>
    <n v="7791940.1186286025"/>
  </r>
  <r>
    <x v="0"/>
    <x v="9"/>
    <x v="3"/>
    <n v="7791940.1186286025"/>
  </r>
  <r>
    <x v="0"/>
    <x v="10"/>
    <x v="3"/>
    <n v="7791940.1186286025"/>
  </r>
  <r>
    <x v="0"/>
    <x v="11"/>
    <x v="3"/>
    <n v="7791940.1186286025"/>
  </r>
  <r>
    <x v="0"/>
    <x v="12"/>
    <x v="3"/>
    <n v="7791940.1186286025"/>
  </r>
  <r>
    <x v="0"/>
    <x v="13"/>
    <x v="3"/>
    <n v="7791940.1186286025"/>
  </r>
  <r>
    <x v="0"/>
    <x v="0"/>
    <x v="4"/>
    <n v="4525924.49505"/>
  </r>
  <r>
    <x v="0"/>
    <x v="1"/>
    <x v="4"/>
    <n v="4525924.49505"/>
  </r>
  <r>
    <x v="0"/>
    <x v="2"/>
    <x v="4"/>
    <n v="4525924.49505"/>
  </r>
  <r>
    <x v="0"/>
    <x v="3"/>
    <x v="4"/>
    <n v="4525924.49505"/>
  </r>
  <r>
    <x v="0"/>
    <x v="4"/>
    <x v="4"/>
    <n v="4525924.49505"/>
  </r>
  <r>
    <x v="0"/>
    <x v="5"/>
    <x v="4"/>
    <n v="4525924.49505"/>
  </r>
  <r>
    <x v="0"/>
    <x v="6"/>
    <x v="4"/>
    <n v="4525924.49505"/>
  </r>
  <r>
    <x v="0"/>
    <x v="7"/>
    <x v="4"/>
    <n v="4525924.49505"/>
  </r>
  <r>
    <x v="0"/>
    <x v="8"/>
    <x v="4"/>
    <n v="4525924.49505"/>
  </r>
  <r>
    <x v="0"/>
    <x v="9"/>
    <x v="4"/>
    <n v="4525924.49505"/>
  </r>
  <r>
    <x v="0"/>
    <x v="10"/>
    <x v="4"/>
    <n v="4525924.49505"/>
  </r>
  <r>
    <x v="0"/>
    <x v="11"/>
    <x v="4"/>
    <n v="4525924.49505"/>
  </r>
  <r>
    <x v="0"/>
    <x v="12"/>
    <x v="4"/>
    <n v="4525924.49505"/>
  </r>
  <r>
    <x v="0"/>
    <x v="13"/>
    <x v="4"/>
    <n v="4525924.49505"/>
  </r>
  <r>
    <x v="0"/>
    <x v="0"/>
    <x v="5"/>
    <n v="4797479.3643000005"/>
  </r>
  <r>
    <x v="0"/>
    <x v="1"/>
    <x v="5"/>
    <n v="4797479.3643000005"/>
  </r>
  <r>
    <x v="0"/>
    <x v="2"/>
    <x v="5"/>
    <n v="4797479.3643000005"/>
  </r>
  <r>
    <x v="0"/>
    <x v="3"/>
    <x v="5"/>
    <n v="4797479.3643000005"/>
  </r>
  <r>
    <x v="0"/>
    <x v="4"/>
    <x v="5"/>
    <n v="4797479.3643000005"/>
  </r>
  <r>
    <x v="0"/>
    <x v="5"/>
    <x v="5"/>
    <n v="4797479.3643000005"/>
  </r>
  <r>
    <x v="0"/>
    <x v="6"/>
    <x v="5"/>
    <n v="4797479.3643000005"/>
  </r>
  <r>
    <x v="0"/>
    <x v="7"/>
    <x v="5"/>
    <n v="4797479.3643000005"/>
  </r>
  <r>
    <x v="0"/>
    <x v="8"/>
    <x v="5"/>
    <n v="4797479.3643000005"/>
  </r>
  <r>
    <x v="0"/>
    <x v="0"/>
    <x v="6"/>
    <n v="4024174.4865000001"/>
  </r>
  <r>
    <x v="0"/>
    <x v="1"/>
    <x v="6"/>
    <n v="4024174.4865000001"/>
  </r>
  <r>
    <x v="0"/>
    <x v="2"/>
    <x v="6"/>
    <n v="4024174.4865000001"/>
  </r>
  <r>
    <x v="0"/>
    <x v="3"/>
    <x v="6"/>
    <n v="4024174.4865000001"/>
  </r>
  <r>
    <x v="0"/>
    <x v="4"/>
    <x v="6"/>
    <n v="4024174.4865000001"/>
  </r>
  <r>
    <x v="0"/>
    <x v="5"/>
    <x v="6"/>
    <n v="4024174.4865000001"/>
  </r>
  <r>
    <x v="0"/>
    <x v="6"/>
    <x v="6"/>
    <n v="4024174.4865000001"/>
  </r>
  <r>
    <x v="0"/>
    <x v="7"/>
    <x v="6"/>
    <n v="4024174.4865000001"/>
  </r>
  <r>
    <x v="0"/>
    <x v="8"/>
    <x v="6"/>
    <n v="4024174.4865000001"/>
  </r>
  <r>
    <x v="0"/>
    <x v="9"/>
    <x v="6"/>
    <n v="4024174.4865000001"/>
  </r>
  <r>
    <x v="0"/>
    <x v="10"/>
    <x v="6"/>
    <n v="4024174.4865000001"/>
  </r>
  <r>
    <x v="0"/>
    <x v="11"/>
    <x v="6"/>
    <n v="4024174.4865000001"/>
  </r>
  <r>
    <x v="0"/>
    <x v="12"/>
    <x v="6"/>
    <n v="4024174.4865000001"/>
  </r>
  <r>
    <x v="0"/>
    <x v="3"/>
    <x v="7"/>
    <n v="3995634.3839999996"/>
  </r>
  <r>
    <x v="0"/>
    <x v="4"/>
    <x v="7"/>
    <n v="3995634.3839999996"/>
  </r>
  <r>
    <x v="0"/>
    <x v="5"/>
    <x v="7"/>
    <n v="3995634.3839999996"/>
  </r>
  <r>
    <x v="0"/>
    <x v="6"/>
    <x v="7"/>
    <n v="3995634.3839999996"/>
  </r>
  <r>
    <x v="0"/>
    <x v="7"/>
    <x v="7"/>
    <n v="3995634.3839999996"/>
  </r>
  <r>
    <x v="0"/>
    <x v="8"/>
    <x v="7"/>
    <n v="3995634.3839999996"/>
  </r>
  <r>
    <x v="0"/>
    <x v="9"/>
    <x v="7"/>
    <n v="3995634.3839999996"/>
  </r>
  <r>
    <x v="0"/>
    <x v="10"/>
    <x v="7"/>
    <n v="3995634.3839999996"/>
  </r>
  <r>
    <x v="0"/>
    <x v="11"/>
    <x v="7"/>
    <n v="3995634.3839999996"/>
  </r>
  <r>
    <x v="1"/>
    <x v="0"/>
    <x v="1"/>
    <n v="10120918.862249998"/>
  </r>
  <r>
    <x v="1"/>
    <x v="1"/>
    <x v="1"/>
    <n v="10120918.862249998"/>
  </r>
  <r>
    <x v="1"/>
    <x v="2"/>
    <x v="1"/>
    <n v="10120918.862249998"/>
  </r>
  <r>
    <x v="1"/>
    <x v="0"/>
    <x v="8"/>
    <n v="3845949.1676549995"/>
  </r>
  <r>
    <x v="1"/>
    <x v="1"/>
    <x v="8"/>
    <n v="3845949.1676549995"/>
  </r>
  <r>
    <x v="1"/>
    <x v="2"/>
    <x v="8"/>
    <n v="3845949.1676549995"/>
  </r>
  <r>
    <x v="1"/>
    <x v="0"/>
    <x v="9"/>
    <n v="3845949.1676549995"/>
  </r>
  <r>
    <x v="1"/>
    <x v="1"/>
    <x v="9"/>
    <n v="3845949.1676549995"/>
  </r>
  <r>
    <x v="1"/>
    <x v="2"/>
    <x v="9"/>
    <n v="3845949.1676549995"/>
  </r>
  <r>
    <x v="1"/>
    <x v="0"/>
    <x v="10"/>
    <n v="4250785.9221449997"/>
  </r>
  <r>
    <x v="1"/>
    <x v="1"/>
    <x v="10"/>
    <n v="4250785.9221449997"/>
  </r>
  <r>
    <x v="1"/>
    <x v="2"/>
    <x v="10"/>
    <n v="4250785.9221449997"/>
  </r>
  <r>
    <x v="1"/>
    <x v="0"/>
    <x v="11"/>
    <n v="3643530.7904099999"/>
  </r>
  <r>
    <x v="1"/>
    <x v="1"/>
    <x v="11"/>
    <n v="3643530.7904099999"/>
  </r>
  <r>
    <x v="1"/>
    <x v="2"/>
    <x v="11"/>
    <n v="3643530.7904099999"/>
  </r>
  <r>
    <x v="1"/>
    <x v="0"/>
    <x v="12"/>
    <n v="4964979.0644999994"/>
  </r>
  <r>
    <x v="1"/>
    <x v="1"/>
    <x v="12"/>
    <n v="4964979.0644999994"/>
  </r>
  <r>
    <x v="1"/>
    <x v="2"/>
    <x v="12"/>
    <n v="4964979.0644999994"/>
  </r>
  <r>
    <x v="1"/>
    <x v="0"/>
    <x v="3"/>
    <n v="8593232.9962500017"/>
  </r>
  <r>
    <x v="1"/>
    <x v="1"/>
    <x v="3"/>
    <n v="8593232.9962500017"/>
  </r>
  <r>
    <x v="1"/>
    <x v="2"/>
    <x v="3"/>
    <n v="8593232.9962500017"/>
  </r>
  <r>
    <x v="1"/>
    <x v="0"/>
    <x v="13"/>
    <n v="6110743.4639999997"/>
  </r>
  <r>
    <x v="1"/>
    <x v="1"/>
    <x v="13"/>
    <n v="6110743.4639999997"/>
  </r>
  <r>
    <x v="1"/>
    <x v="2"/>
    <x v="13"/>
    <n v="6110743.4639999997"/>
  </r>
  <r>
    <x v="2"/>
    <x v="0"/>
    <x v="0"/>
    <n v="2679075"/>
  </r>
  <r>
    <x v="2"/>
    <x v="1"/>
    <x v="0"/>
    <n v="2679075"/>
  </r>
  <r>
    <x v="2"/>
    <x v="2"/>
    <x v="0"/>
    <n v="2679075"/>
  </r>
  <r>
    <x v="2"/>
    <x v="3"/>
    <x v="0"/>
    <n v="2679075"/>
  </r>
  <r>
    <x v="2"/>
    <x v="4"/>
    <x v="0"/>
    <n v="2679075"/>
  </r>
  <r>
    <x v="2"/>
    <x v="5"/>
    <x v="0"/>
    <n v="2679075"/>
  </r>
  <r>
    <x v="2"/>
    <x v="0"/>
    <x v="1"/>
    <n v="9754920"/>
  </r>
  <r>
    <x v="2"/>
    <x v="1"/>
    <x v="1"/>
    <n v="9754920"/>
  </r>
  <r>
    <x v="2"/>
    <x v="2"/>
    <x v="1"/>
    <n v="9754920"/>
  </r>
  <r>
    <x v="2"/>
    <x v="3"/>
    <x v="1"/>
    <n v="9754920"/>
  </r>
  <r>
    <x v="2"/>
    <x v="4"/>
    <x v="1"/>
    <n v="9754920"/>
  </r>
  <r>
    <x v="2"/>
    <x v="5"/>
    <x v="1"/>
    <n v="9754920"/>
  </r>
  <r>
    <x v="2"/>
    <x v="0"/>
    <x v="14"/>
    <n v="4163260.5"/>
  </r>
  <r>
    <x v="2"/>
    <x v="1"/>
    <x v="14"/>
    <n v="4163260.5"/>
  </r>
  <r>
    <x v="2"/>
    <x v="2"/>
    <x v="14"/>
    <n v="4163260.5"/>
  </r>
  <r>
    <x v="2"/>
    <x v="3"/>
    <x v="14"/>
    <n v="4163260.5"/>
  </r>
  <r>
    <x v="2"/>
    <x v="0"/>
    <x v="5"/>
    <n v="1950380.3812500001"/>
  </r>
  <r>
    <x v="2"/>
    <x v="1"/>
    <x v="5"/>
    <n v="1950380.3812500001"/>
  </r>
  <r>
    <x v="2"/>
    <x v="2"/>
    <x v="5"/>
    <n v="1950380.3812500001"/>
  </r>
  <r>
    <x v="2"/>
    <x v="3"/>
    <x v="5"/>
    <n v="1950380.3812500001"/>
  </r>
  <r>
    <x v="2"/>
    <x v="0"/>
    <x v="15"/>
    <n v="5521981.5"/>
  </r>
  <r>
    <x v="2"/>
    <x v="1"/>
    <x v="15"/>
    <n v="5521981.5"/>
  </r>
  <r>
    <x v="2"/>
    <x v="2"/>
    <x v="15"/>
    <n v="5521981.5"/>
  </r>
  <r>
    <x v="3"/>
    <x v="0"/>
    <x v="0"/>
    <n v="3804794.5320000006"/>
  </r>
  <r>
    <x v="3"/>
    <x v="1"/>
    <x v="0"/>
    <n v="3804794.5320000006"/>
  </r>
  <r>
    <x v="3"/>
    <x v="2"/>
    <x v="0"/>
    <n v="3804794.5320000006"/>
  </r>
  <r>
    <x v="3"/>
    <x v="3"/>
    <x v="0"/>
    <n v="3804794.5320000006"/>
  </r>
  <r>
    <x v="3"/>
    <x v="0"/>
    <x v="1"/>
    <n v="10868700"/>
  </r>
  <r>
    <x v="3"/>
    <x v="1"/>
    <x v="1"/>
    <n v="10868700"/>
  </r>
  <r>
    <x v="3"/>
    <x v="2"/>
    <x v="1"/>
    <n v="10868700"/>
  </r>
  <r>
    <x v="3"/>
    <x v="3"/>
    <x v="1"/>
    <n v="10868700"/>
  </r>
  <r>
    <x v="3"/>
    <x v="0"/>
    <x v="14"/>
    <n v="3601566.2399999998"/>
  </r>
  <r>
    <x v="3"/>
    <x v="1"/>
    <x v="14"/>
    <n v="3601566.2399999998"/>
  </r>
  <r>
    <x v="3"/>
    <x v="2"/>
    <x v="14"/>
    <n v="3601566.2399999998"/>
  </r>
  <r>
    <x v="3"/>
    <x v="3"/>
    <x v="14"/>
    <n v="3601566.2399999998"/>
  </r>
  <r>
    <x v="3"/>
    <x v="0"/>
    <x v="16"/>
    <n v="5246958"/>
  </r>
  <r>
    <x v="3"/>
    <x v="1"/>
    <x v="16"/>
    <n v="5246958"/>
  </r>
  <r>
    <x v="3"/>
    <x v="2"/>
    <x v="16"/>
    <n v="5246958"/>
  </r>
  <r>
    <x v="3"/>
    <x v="3"/>
    <x v="16"/>
    <n v="5246958"/>
  </r>
  <r>
    <x v="3"/>
    <x v="0"/>
    <x v="15"/>
    <n v="4544697"/>
  </r>
  <r>
    <x v="3"/>
    <x v="1"/>
    <x v="15"/>
    <n v="4544697"/>
  </r>
  <r>
    <x v="3"/>
    <x v="2"/>
    <x v="15"/>
    <n v="4544697"/>
  </r>
  <r>
    <x v="3"/>
    <x v="3"/>
    <x v="15"/>
    <n v="4544697"/>
  </r>
  <r>
    <x v="3"/>
    <x v="0"/>
    <x v="17"/>
    <n v="7308264"/>
  </r>
  <r>
    <x v="3"/>
    <x v="1"/>
    <x v="17"/>
    <n v="7308264"/>
  </r>
  <r>
    <x v="3"/>
    <x v="2"/>
    <x v="17"/>
    <n v="7308264"/>
  </r>
  <r>
    <x v="3"/>
    <x v="3"/>
    <x v="17"/>
    <n v="7308264"/>
  </r>
  <r>
    <x v="3"/>
    <x v="0"/>
    <x v="18"/>
    <n v="3989386.5"/>
  </r>
  <r>
    <x v="3"/>
    <x v="1"/>
    <x v="18"/>
    <n v="3989386.5"/>
  </r>
  <r>
    <x v="3"/>
    <x v="2"/>
    <x v="18"/>
    <n v="3989386.5"/>
  </r>
  <r>
    <x v="4"/>
    <x v="0"/>
    <x v="1"/>
    <n v="9724050.0000000019"/>
  </r>
  <r>
    <x v="4"/>
    <x v="1"/>
    <x v="1"/>
    <n v="9724050.0000000019"/>
  </r>
  <r>
    <x v="4"/>
    <x v="2"/>
    <x v="1"/>
    <n v="9724050.0000000019"/>
  </r>
  <r>
    <x v="4"/>
    <x v="3"/>
    <x v="1"/>
    <n v="9724050.0000000019"/>
  </r>
  <r>
    <x v="4"/>
    <x v="4"/>
    <x v="1"/>
    <n v="9724050.0000000019"/>
  </r>
  <r>
    <x v="4"/>
    <x v="5"/>
    <x v="1"/>
    <n v="9724050.0000000019"/>
  </r>
  <r>
    <x v="4"/>
    <x v="6"/>
    <x v="1"/>
    <n v="9724050.0000000019"/>
  </r>
  <r>
    <x v="4"/>
    <x v="7"/>
    <x v="1"/>
    <n v="9724050.0000000019"/>
  </r>
  <r>
    <x v="4"/>
    <x v="8"/>
    <x v="1"/>
    <n v="9724050.0000000019"/>
  </r>
  <r>
    <x v="4"/>
    <x v="9"/>
    <x v="1"/>
    <n v="9724050.0000000019"/>
  </r>
  <r>
    <x v="4"/>
    <x v="10"/>
    <x v="1"/>
    <n v="9724050.0000000019"/>
  </r>
  <r>
    <x v="4"/>
    <x v="11"/>
    <x v="1"/>
    <n v="9724050.0000000019"/>
  </r>
  <r>
    <x v="4"/>
    <x v="0"/>
    <x v="19"/>
    <n v="3533997.5999999996"/>
  </r>
  <r>
    <x v="4"/>
    <x v="1"/>
    <x v="19"/>
    <n v="3533997.5999999996"/>
  </r>
  <r>
    <x v="4"/>
    <x v="2"/>
    <x v="19"/>
    <n v="3533997.5999999996"/>
  </r>
  <r>
    <x v="4"/>
    <x v="3"/>
    <x v="19"/>
    <n v="3533997.5999999996"/>
  </r>
  <r>
    <x v="4"/>
    <x v="4"/>
    <x v="19"/>
    <n v="3533997.5999999996"/>
  </r>
  <r>
    <x v="4"/>
    <x v="5"/>
    <x v="19"/>
    <n v="3533997.5999999996"/>
  </r>
  <r>
    <x v="4"/>
    <x v="6"/>
    <x v="19"/>
    <n v="3533997.5999999996"/>
  </r>
  <r>
    <x v="4"/>
    <x v="7"/>
    <x v="19"/>
    <n v="3533997.5999999996"/>
  </r>
  <r>
    <x v="4"/>
    <x v="8"/>
    <x v="19"/>
    <n v="3533997.5999999996"/>
  </r>
  <r>
    <x v="4"/>
    <x v="9"/>
    <x v="19"/>
    <n v="3533997.5999999996"/>
  </r>
  <r>
    <x v="4"/>
    <x v="10"/>
    <x v="19"/>
    <n v="3533997.5999999996"/>
  </r>
  <r>
    <x v="4"/>
    <x v="11"/>
    <x v="19"/>
    <n v="3533997.5999999996"/>
  </r>
  <r>
    <x v="4"/>
    <x v="0"/>
    <x v="20"/>
    <n v="3902122.35"/>
  </r>
  <r>
    <x v="4"/>
    <x v="1"/>
    <x v="20"/>
    <n v="3902122.35"/>
  </r>
  <r>
    <x v="4"/>
    <x v="2"/>
    <x v="20"/>
    <n v="3902122.35"/>
  </r>
  <r>
    <x v="4"/>
    <x v="3"/>
    <x v="20"/>
    <n v="3902122.35"/>
  </r>
  <r>
    <x v="4"/>
    <x v="4"/>
    <x v="20"/>
    <n v="3902122.35"/>
  </r>
  <r>
    <x v="4"/>
    <x v="5"/>
    <x v="20"/>
    <n v="3902122.35"/>
  </r>
  <r>
    <x v="4"/>
    <x v="6"/>
    <x v="20"/>
    <n v="3902122.35"/>
  </r>
  <r>
    <x v="4"/>
    <x v="7"/>
    <x v="20"/>
    <n v="3902122.35"/>
  </r>
  <r>
    <x v="4"/>
    <x v="0"/>
    <x v="15"/>
    <n v="3993806.2500000005"/>
  </r>
  <r>
    <x v="4"/>
    <x v="1"/>
    <x v="15"/>
    <n v="3993806.2500000005"/>
  </r>
  <r>
    <x v="4"/>
    <x v="2"/>
    <x v="15"/>
    <n v="3993806.2500000005"/>
  </r>
  <r>
    <x v="4"/>
    <x v="3"/>
    <x v="15"/>
    <n v="3993806.2500000005"/>
  </r>
  <r>
    <x v="4"/>
    <x v="4"/>
    <x v="15"/>
    <n v="3993806.2500000005"/>
  </r>
  <r>
    <x v="4"/>
    <x v="5"/>
    <x v="15"/>
    <n v="3993806.2500000005"/>
  </r>
  <r>
    <x v="4"/>
    <x v="6"/>
    <x v="15"/>
    <n v="3993806.2500000005"/>
  </r>
  <r>
    <x v="4"/>
    <x v="7"/>
    <x v="15"/>
    <n v="3993806.2500000005"/>
  </r>
  <r>
    <x v="5"/>
    <x v="0"/>
    <x v="0"/>
    <n v="4388324.8500000006"/>
  </r>
  <r>
    <x v="5"/>
    <x v="1"/>
    <x v="0"/>
    <n v="4388324.8500000006"/>
  </r>
  <r>
    <x v="5"/>
    <x v="2"/>
    <x v="0"/>
    <n v="4388324.8500000006"/>
  </r>
  <r>
    <x v="5"/>
    <x v="3"/>
    <x v="0"/>
    <n v="4388324.8500000006"/>
  </r>
  <r>
    <x v="5"/>
    <x v="4"/>
    <x v="0"/>
    <n v="4388324.8500000006"/>
  </r>
  <r>
    <x v="5"/>
    <x v="0"/>
    <x v="1"/>
    <n v="8682187.5000000019"/>
  </r>
  <r>
    <x v="5"/>
    <x v="1"/>
    <x v="1"/>
    <n v="8682187.5000000019"/>
  </r>
  <r>
    <x v="5"/>
    <x v="2"/>
    <x v="1"/>
    <n v="8682187.5000000019"/>
  </r>
  <r>
    <x v="5"/>
    <x v="3"/>
    <x v="1"/>
    <n v="8682187.5000000019"/>
  </r>
  <r>
    <x v="5"/>
    <x v="4"/>
    <x v="1"/>
    <n v="8682187.5000000019"/>
  </r>
  <r>
    <x v="5"/>
    <x v="0"/>
    <x v="14"/>
    <n v="3865309.875"/>
  </r>
  <r>
    <x v="5"/>
    <x v="1"/>
    <x v="14"/>
    <n v="3865309.875"/>
  </r>
  <r>
    <x v="5"/>
    <x v="2"/>
    <x v="14"/>
    <n v="3865309.875"/>
  </r>
  <r>
    <x v="5"/>
    <x v="3"/>
    <x v="14"/>
    <n v="3865309.875"/>
  </r>
  <r>
    <x v="5"/>
    <x v="4"/>
    <x v="14"/>
    <n v="3865309.875"/>
  </r>
  <r>
    <x v="5"/>
    <x v="0"/>
    <x v="21"/>
    <n v="3497185.125"/>
  </r>
  <r>
    <x v="5"/>
    <x v="1"/>
    <x v="21"/>
    <n v="3497185.125"/>
  </r>
  <r>
    <x v="5"/>
    <x v="2"/>
    <x v="21"/>
    <n v="3497185.125"/>
  </r>
  <r>
    <x v="5"/>
    <x v="3"/>
    <x v="21"/>
    <n v="3497185.125"/>
  </r>
  <r>
    <x v="5"/>
    <x v="4"/>
    <x v="21"/>
    <n v="3497185.125"/>
  </r>
  <r>
    <x v="5"/>
    <x v="5"/>
    <x v="21"/>
    <n v="3497185.125"/>
  </r>
  <r>
    <x v="5"/>
    <x v="6"/>
    <x v="21"/>
    <n v="3497185.125"/>
  </r>
  <r>
    <x v="5"/>
    <x v="7"/>
    <x v="21"/>
    <n v="3497185.125"/>
  </r>
  <r>
    <x v="5"/>
    <x v="8"/>
    <x v="21"/>
    <n v="3497185.125"/>
  </r>
  <r>
    <x v="5"/>
    <x v="9"/>
    <x v="21"/>
    <n v="3497185.125"/>
  </r>
  <r>
    <x v="5"/>
    <x v="10"/>
    <x v="21"/>
    <n v="3497185.125"/>
  </r>
  <r>
    <x v="5"/>
    <x v="11"/>
    <x v="21"/>
    <n v="3497185.125"/>
  </r>
  <r>
    <x v="5"/>
    <x v="12"/>
    <x v="21"/>
    <n v="3497185.125"/>
  </r>
  <r>
    <x v="5"/>
    <x v="0"/>
    <x v="15"/>
    <n v="3646518.7500000005"/>
  </r>
  <r>
    <x v="6"/>
    <x v="0"/>
    <x v="13"/>
    <n v="8365287.65625"/>
  </r>
  <r>
    <x v="6"/>
    <x v="1"/>
    <x v="13"/>
    <n v="8365287.65625"/>
  </r>
  <r>
    <x v="7"/>
    <x v="0"/>
    <x v="0"/>
    <n v="3839596.7085000006"/>
  </r>
  <r>
    <x v="7"/>
    <x v="1"/>
    <x v="0"/>
    <n v="3839596.7085000006"/>
  </r>
  <r>
    <x v="7"/>
    <x v="2"/>
    <x v="0"/>
    <n v="3839596.7085000006"/>
  </r>
  <r>
    <x v="7"/>
    <x v="3"/>
    <x v="0"/>
    <n v="3839596.7085000006"/>
  </r>
  <r>
    <x v="7"/>
    <x v="4"/>
    <x v="0"/>
    <n v="3839596.7085000006"/>
  </r>
  <r>
    <x v="7"/>
    <x v="5"/>
    <x v="0"/>
    <n v="3839596.7085000006"/>
  </r>
  <r>
    <x v="7"/>
    <x v="6"/>
    <x v="0"/>
    <n v="3839596.7085000006"/>
  </r>
  <r>
    <x v="7"/>
    <x v="7"/>
    <x v="0"/>
    <n v="3839596.7085000006"/>
  </r>
  <r>
    <x v="7"/>
    <x v="8"/>
    <x v="0"/>
    <n v="3839596.7085000006"/>
  </r>
  <r>
    <x v="7"/>
    <x v="9"/>
    <x v="0"/>
    <n v="3839596.7085000006"/>
  </r>
  <r>
    <x v="7"/>
    <x v="10"/>
    <x v="0"/>
    <n v="3839596.7085000006"/>
  </r>
  <r>
    <x v="7"/>
    <x v="11"/>
    <x v="0"/>
    <n v="3839596.7085000006"/>
  </r>
  <r>
    <x v="7"/>
    <x v="0"/>
    <x v="1"/>
    <n v="12599152.25625"/>
  </r>
  <r>
    <x v="7"/>
    <x v="1"/>
    <x v="1"/>
    <n v="12599152.25625"/>
  </r>
  <r>
    <x v="7"/>
    <x v="2"/>
    <x v="1"/>
    <n v="12599152.25625"/>
  </r>
  <r>
    <x v="7"/>
    <x v="3"/>
    <x v="1"/>
    <n v="12599152.25625"/>
  </r>
  <r>
    <x v="7"/>
    <x v="4"/>
    <x v="1"/>
    <n v="12599152.25625"/>
  </r>
  <r>
    <x v="7"/>
    <x v="5"/>
    <x v="1"/>
    <n v="12599152.25625"/>
  </r>
  <r>
    <x v="7"/>
    <x v="6"/>
    <x v="1"/>
    <n v="12599152.25625"/>
  </r>
  <r>
    <x v="7"/>
    <x v="7"/>
    <x v="1"/>
    <n v="12599152.25625"/>
  </r>
  <r>
    <x v="7"/>
    <x v="8"/>
    <x v="1"/>
    <n v="12599152.25625"/>
  </r>
  <r>
    <x v="7"/>
    <x v="9"/>
    <x v="1"/>
    <n v="12599152.25625"/>
  </r>
  <r>
    <x v="7"/>
    <x v="10"/>
    <x v="1"/>
    <n v="12599152.25625"/>
  </r>
  <r>
    <x v="7"/>
    <x v="11"/>
    <x v="1"/>
    <n v="12599152.25625"/>
  </r>
  <r>
    <x v="7"/>
    <x v="0"/>
    <x v="22"/>
    <n v="7005285"/>
  </r>
  <r>
    <x v="7"/>
    <x v="1"/>
    <x v="22"/>
    <n v="7005285"/>
  </r>
  <r>
    <x v="7"/>
    <x v="2"/>
    <x v="22"/>
    <n v="7005285"/>
  </r>
  <r>
    <x v="7"/>
    <x v="3"/>
    <x v="22"/>
    <n v="7005285"/>
  </r>
  <r>
    <x v="7"/>
    <x v="4"/>
    <x v="22"/>
    <n v="7005285"/>
  </r>
  <r>
    <x v="7"/>
    <x v="5"/>
    <x v="22"/>
    <n v="7005285"/>
  </r>
  <r>
    <x v="7"/>
    <x v="6"/>
    <x v="22"/>
    <n v="7005285"/>
  </r>
  <r>
    <x v="7"/>
    <x v="7"/>
    <x v="22"/>
    <n v="7005285"/>
  </r>
  <r>
    <x v="7"/>
    <x v="8"/>
    <x v="22"/>
    <n v="7005285"/>
  </r>
  <r>
    <x v="7"/>
    <x v="9"/>
    <x v="22"/>
    <n v="7005285"/>
  </r>
  <r>
    <x v="7"/>
    <x v="10"/>
    <x v="22"/>
    <n v="7005285"/>
  </r>
  <r>
    <x v="7"/>
    <x v="11"/>
    <x v="22"/>
    <n v="7005285"/>
  </r>
  <r>
    <x v="8"/>
    <x v="0"/>
    <x v="0"/>
    <n v="2727772.2"/>
  </r>
  <r>
    <x v="8"/>
    <x v="0"/>
    <x v="23"/>
    <n v="8520078"/>
  </r>
  <r>
    <x v="8"/>
    <x v="0"/>
    <x v="24"/>
    <n v="8520078"/>
  </r>
  <r>
    <x v="8"/>
    <x v="0"/>
    <x v="25"/>
    <n v="4462096.5"/>
  </r>
  <r>
    <x v="8"/>
    <x v="0"/>
    <x v="15"/>
    <n v="3872763"/>
  </r>
  <r>
    <x v="9"/>
    <x v="0"/>
    <x v="1"/>
    <n v="11721250.800000001"/>
  </r>
  <r>
    <x v="9"/>
    <x v="1"/>
    <x v="1"/>
    <n v="11721250.800000001"/>
  </r>
  <r>
    <x v="9"/>
    <x v="2"/>
    <x v="1"/>
    <n v="11721250.800000001"/>
  </r>
  <r>
    <x v="9"/>
    <x v="3"/>
    <x v="1"/>
    <n v="11721250.800000001"/>
  </r>
  <r>
    <x v="9"/>
    <x v="4"/>
    <x v="1"/>
    <n v="11721250.800000001"/>
  </r>
  <r>
    <x v="9"/>
    <x v="5"/>
    <x v="1"/>
    <n v="11721250.800000001"/>
  </r>
  <r>
    <x v="9"/>
    <x v="6"/>
    <x v="1"/>
    <n v="11721250.800000001"/>
  </r>
  <r>
    <x v="9"/>
    <x v="7"/>
    <x v="1"/>
    <n v="11721250.800000001"/>
  </r>
  <r>
    <x v="9"/>
    <x v="0"/>
    <x v="14"/>
    <n v="3810634.5847499999"/>
  </r>
  <r>
    <x v="9"/>
    <x v="1"/>
    <x v="14"/>
    <n v="3810634.5847499999"/>
  </r>
  <r>
    <x v="9"/>
    <x v="2"/>
    <x v="14"/>
    <n v="3810634.5847499999"/>
  </r>
  <r>
    <x v="9"/>
    <x v="3"/>
    <x v="14"/>
    <n v="3810634.5847499999"/>
  </r>
  <r>
    <x v="9"/>
    <x v="4"/>
    <x v="14"/>
    <n v="3810634.5847499999"/>
  </r>
  <r>
    <x v="9"/>
    <x v="5"/>
    <x v="14"/>
    <n v="3810634.5847499999"/>
  </r>
  <r>
    <x v="9"/>
    <x v="6"/>
    <x v="14"/>
    <n v="3810634.5847499999"/>
  </r>
  <r>
    <x v="9"/>
    <x v="0"/>
    <x v="15"/>
    <n v="5301459.45"/>
  </r>
  <r>
    <x v="9"/>
    <x v="1"/>
    <x v="15"/>
    <n v="5301459.45"/>
  </r>
  <r>
    <x v="9"/>
    <x v="2"/>
    <x v="15"/>
    <n v="5301459.45"/>
  </r>
  <r>
    <x v="9"/>
    <x v="3"/>
    <x v="15"/>
    <n v="5301459.45"/>
  </r>
  <r>
    <x v="9"/>
    <x v="4"/>
    <x v="15"/>
    <n v="5301459.45"/>
  </r>
  <r>
    <x v="9"/>
    <x v="5"/>
    <x v="15"/>
    <n v="5301459.45"/>
  </r>
  <r>
    <x v="9"/>
    <x v="6"/>
    <x v="15"/>
    <n v="5301459.45"/>
  </r>
  <r>
    <x v="9"/>
    <x v="7"/>
    <x v="15"/>
    <n v="5301459.45"/>
  </r>
  <r>
    <x v="9"/>
    <x v="0"/>
    <x v="18"/>
    <n v="4777683.75"/>
  </r>
  <r>
    <x v="9"/>
    <x v="1"/>
    <x v="18"/>
    <n v="4777683.75"/>
  </r>
  <r>
    <x v="9"/>
    <x v="2"/>
    <x v="18"/>
    <n v="4777683.75"/>
  </r>
  <r>
    <x v="9"/>
    <x v="3"/>
    <x v="18"/>
    <n v="4777683.75"/>
  </r>
  <r>
    <x v="9"/>
    <x v="4"/>
    <x v="18"/>
    <n v="4777683.75"/>
  </r>
  <r>
    <x v="9"/>
    <x v="5"/>
    <x v="18"/>
    <n v="4777683.75"/>
  </r>
  <r>
    <x v="9"/>
    <x v="6"/>
    <x v="18"/>
    <n v="4777683.75"/>
  </r>
  <r>
    <x v="9"/>
    <x v="0"/>
    <x v="13"/>
    <n v="7255001.25"/>
  </r>
  <r>
    <x v="9"/>
    <x v="1"/>
    <x v="13"/>
    <n v="7255001.25"/>
  </r>
  <r>
    <x v="9"/>
    <x v="2"/>
    <x v="13"/>
    <n v="7255001.25"/>
  </r>
  <r>
    <x v="9"/>
    <x v="3"/>
    <x v="13"/>
    <n v="7255001.25"/>
  </r>
  <r>
    <x v="9"/>
    <x v="4"/>
    <x v="13"/>
    <n v="7255001.25"/>
  </r>
  <r>
    <x v="9"/>
    <x v="5"/>
    <x v="13"/>
    <n v="7255001.25"/>
  </r>
  <r>
    <x v="9"/>
    <x v="6"/>
    <x v="13"/>
    <n v="7255001.25"/>
  </r>
  <r>
    <x v="9"/>
    <x v="7"/>
    <x v="13"/>
    <n v="7255001.25"/>
  </r>
  <r>
    <x v="9"/>
    <x v="8"/>
    <x v="13"/>
    <n v="7255001.25"/>
  </r>
  <r>
    <x v="9"/>
    <x v="9"/>
    <x v="13"/>
    <n v="7255001.25"/>
  </r>
  <r>
    <x v="9"/>
    <x v="10"/>
    <x v="13"/>
    <n v="7255001.25"/>
  </r>
  <r>
    <x v="9"/>
    <x v="11"/>
    <x v="13"/>
    <n v="7255001.25"/>
  </r>
  <r>
    <x v="10"/>
    <x v="0"/>
    <x v="0"/>
    <n v="4704455.7"/>
  </r>
  <r>
    <x v="10"/>
    <x v="1"/>
    <x v="0"/>
    <n v="4704455.7"/>
  </r>
  <r>
    <x v="10"/>
    <x v="2"/>
    <x v="0"/>
    <n v="4704455.7"/>
  </r>
  <r>
    <x v="10"/>
    <x v="3"/>
    <x v="0"/>
    <n v="4704455.7"/>
  </r>
  <r>
    <x v="10"/>
    <x v="4"/>
    <x v="0"/>
    <n v="4704455.7"/>
  </r>
  <r>
    <x v="10"/>
    <x v="5"/>
    <x v="0"/>
    <n v="4704455.7"/>
  </r>
  <r>
    <x v="10"/>
    <x v="6"/>
    <x v="0"/>
    <n v="4704455.7"/>
  </r>
  <r>
    <x v="10"/>
    <x v="7"/>
    <x v="0"/>
    <n v="4704455.7"/>
  </r>
  <r>
    <x v="10"/>
    <x v="8"/>
    <x v="0"/>
    <n v="4704455.7"/>
  </r>
  <r>
    <x v="10"/>
    <x v="9"/>
    <x v="0"/>
    <n v="4704455.7"/>
  </r>
  <r>
    <x v="10"/>
    <x v="10"/>
    <x v="0"/>
    <n v="4704455.7"/>
  </r>
  <r>
    <x v="10"/>
    <x v="11"/>
    <x v="0"/>
    <n v="4704455.7"/>
  </r>
  <r>
    <x v="10"/>
    <x v="0"/>
    <x v="1"/>
    <n v="8351437.5"/>
  </r>
  <r>
    <x v="10"/>
    <x v="1"/>
    <x v="1"/>
    <n v="8351437.5"/>
  </r>
  <r>
    <x v="10"/>
    <x v="2"/>
    <x v="1"/>
    <n v="8351437.5"/>
  </r>
  <r>
    <x v="10"/>
    <x v="3"/>
    <x v="1"/>
    <n v="8351437.5"/>
  </r>
  <r>
    <x v="10"/>
    <x v="4"/>
    <x v="1"/>
    <n v="8351437.5"/>
  </r>
  <r>
    <x v="10"/>
    <x v="5"/>
    <x v="1"/>
    <n v="8351437.5"/>
  </r>
  <r>
    <x v="10"/>
    <x v="6"/>
    <x v="1"/>
    <n v="8351437.5"/>
  </r>
  <r>
    <x v="10"/>
    <x v="7"/>
    <x v="1"/>
    <n v="8351437.5"/>
  </r>
  <r>
    <x v="10"/>
    <x v="8"/>
    <x v="1"/>
    <n v="8351437.5"/>
  </r>
  <r>
    <x v="10"/>
    <x v="9"/>
    <x v="1"/>
    <n v="8351437.5"/>
  </r>
  <r>
    <x v="10"/>
    <x v="10"/>
    <x v="1"/>
    <n v="8351437.5"/>
  </r>
  <r>
    <x v="10"/>
    <x v="11"/>
    <x v="1"/>
    <n v="8351437.5"/>
  </r>
  <r>
    <x v="10"/>
    <x v="0"/>
    <x v="26"/>
    <n v="2356593.75"/>
  </r>
  <r>
    <x v="10"/>
    <x v="1"/>
    <x v="26"/>
    <n v="2356593.75"/>
  </r>
  <r>
    <x v="10"/>
    <x v="2"/>
    <x v="26"/>
    <n v="2356593.75"/>
  </r>
  <r>
    <x v="10"/>
    <x v="3"/>
    <x v="26"/>
    <n v="2356593.75"/>
  </r>
  <r>
    <x v="10"/>
    <x v="4"/>
    <x v="26"/>
    <n v="2356593.75"/>
  </r>
  <r>
    <x v="10"/>
    <x v="5"/>
    <x v="26"/>
    <n v="2356593.75"/>
  </r>
  <r>
    <x v="10"/>
    <x v="0"/>
    <x v="14"/>
    <n v="3786425.9999999995"/>
  </r>
  <r>
    <x v="10"/>
    <x v="1"/>
    <x v="14"/>
    <n v="3786425.9999999995"/>
  </r>
  <r>
    <x v="10"/>
    <x v="2"/>
    <x v="14"/>
    <n v="3786425.9999999995"/>
  </r>
  <r>
    <x v="10"/>
    <x v="3"/>
    <x v="14"/>
    <n v="3786425.9999999995"/>
  </r>
  <r>
    <x v="10"/>
    <x v="4"/>
    <x v="14"/>
    <n v="3786425.9999999995"/>
  </r>
  <r>
    <x v="10"/>
    <x v="5"/>
    <x v="14"/>
    <n v="3786425.9999999995"/>
  </r>
  <r>
    <x v="10"/>
    <x v="6"/>
    <x v="14"/>
    <n v="3786425.9999999995"/>
  </r>
  <r>
    <x v="10"/>
    <x v="7"/>
    <x v="14"/>
    <n v="3786425.9999999995"/>
  </r>
  <r>
    <x v="10"/>
    <x v="8"/>
    <x v="14"/>
    <n v="3786425.9999999995"/>
  </r>
  <r>
    <x v="10"/>
    <x v="9"/>
    <x v="14"/>
    <n v="3786425.9999999995"/>
  </r>
  <r>
    <x v="10"/>
    <x v="10"/>
    <x v="14"/>
    <n v="3786425.9999999995"/>
  </r>
  <r>
    <x v="10"/>
    <x v="0"/>
    <x v="15"/>
    <n v="3853237.5"/>
  </r>
  <r>
    <x v="10"/>
    <x v="1"/>
    <x v="15"/>
    <n v="3853237.5"/>
  </r>
  <r>
    <x v="10"/>
    <x v="2"/>
    <x v="15"/>
    <n v="3853237.5"/>
  </r>
  <r>
    <x v="10"/>
    <x v="3"/>
    <x v="15"/>
    <n v="3853237.5"/>
  </r>
  <r>
    <x v="10"/>
    <x v="4"/>
    <x v="15"/>
    <n v="3853237.5"/>
  </r>
  <r>
    <x v="10"/>
    <x v="5"/>
    <x v="15"/>
    <n v="3853237.5"/>
  </r>
  <r>
    <x v="10"/>
    <x v="6"/>
    <x v="15"/>
    <n v="3853237.5"/>
  </r>
  <r>
    <x v="10"/>
    <x v="7"/>
    <x v="15"/>
    <n v="3853237.5"/>
  </r>
  <r>
    <x v="10"/>
    <x v="8"/>
    <x v="15"/>
    <n v="3853237.5"/>
  </r>
  <r>
    <x v="10"/>
    <x v="9"/>
    <x v="15"/>
    <n v="3853237.5"/>
  </r>
  <r>
    <x v="10"/>
    <x v="10"/>
    <x v="15"/>
    <n v="3853237.5"/>
  </r>
  <r>
    <x v="10"/>
    <x v="11"/>
    <x v="15"/>
    <n v="3853237.5"/>
  </r>
  <r>
    <x v="11"/>
    <x v="0"/>
    <x v="0"/>
    <n v="3811675.6440000003"/>
  </r>
  <r>
    <x v="11"/>
    <x v="1"/>
    <x v="0"/>
    <n v="3811675.6440000003"/>
  </r>
  <r>
    <x v="11"/>
    <x v="2"/>
    <x v="0"/>
    <n v="3811675.6440000003"/>
  </r>
  <r>
    <x v="11"/>
    <x v="3"/>
    <x v="0"/>
    <n v="3811675.6440000003"/>
  </r>
  <r>
    <x v="11"/>
    <x v="4"/>
    <x v="0"/>
    <n v="3811675.6440000003"/>
  </r>
  <r>
    <x v="11"/>
    <x v="5"/>
    <x v="0"/>
    <n v="3811675.6440000003"/>
  </r>
  <r>
    <x v="11"/>
    <x v="6"/>
    <x v="0"/>
    <n v="3811675.6440000003"/>
  </r>
  <r>
    <x v="11"/>
    <x v="7"/>
    <x v="0"/>
    <n v="3811675.6440000003"/>
  </r>
  <r>
    <x v="11"/>
    <x v="8"/>
    <x v="0"/>
    <n v="3811675.6440000003"/>
  </r>
  <r>
    <x v="11"/>
    <x v="9"/>
    <x v="0"/>
    <n v="3811675.6440000003"/>
  </r>
  <r>
    <x v="11"/>
    <x v="10"/>
    <x v="0"/>
    <n v="3811675.6440000003"/>
  </r>
  <r>
    <x v="11"/>
    <x v="11"/>
    <x v="0"/>
    <n v="3811675.6440000003"/>
  </r>
  <r>
    <x v="11"/>
    <x v="12"/>
    <x v="0"/>
    <n v="3811675.6440000003"/>
  </r>
  <r>
    <x v="11"/>
    <x v="13"/>
    <x v="0"/>
    <n v="3811675.6440000003"/>
  </r>
  <r>
    <x v="11"/>
    <x v="14"/>
    <x v="0"/>
    <n v="3811675.6440000003"/>
  </r>
  <r>
    <x v="11"/>
    <x v="15"/>
    <x v="0"/>
    <n v="3811675.6440000003"/>
  </r>
  <r>
    <x v="11"/>
    <x v="16"/>
    <x v="0"/>
    <n v="3811675.6440000003"/>
  </r>
  <r>
    <x v="11"/>
    <x v="17"/>
    <x v="0"/>
    <n v="3811675.6440000003"/>
  </r>
  <r>
    <x v="11"/>
    <x v="0"/>
    <x v="27"/>
    <n v="7505662.5"/>
  </r>
  <r>
    <x v="11"/>
    <x v="1"/>
    <x v="27"/>
    <n v="7505662.5"/>
  </r>
  <r>
    <x v="11"/>
    <x v="2"/>
    <x v="27"/>
    <n v="7505662.5"/>
  </r>
  <r>
    <x v="11"/>
    <x v="3"/>
    <x v="27"/>
    <n v="7505662.5"/>
  </r>
  <r>
    <x v="11"/>
    <x v="4"/>
    <x v="27"/>
    <n v="7505662.5"/>
  </r>
  <r>
    <x v="11"/>
    <x v="5"/>
    <x v="27"/>
    <n v="7505662.5"/>
  </r>
  <r>
    <x v="11"/>
    <x v="6"/>
    <x v="27"/>
    <n v="7505662.5"/>
  </r>
  <r>
    <x v="11"/>
    <x v="7"/>
    <x v="27"/>
    <n v="7505662.5"/>
  </r>
  <r>
    <x v="11"/>
    <x v="8"/>
    <x v="27"/>
    <n v="7505662.5"/>
  </r>
  <r>
    <x v="11"/>
    <x v="9"/>
    <x v="27"/>
    <n v="7505662.5"/>
  </r>
  <r>
    <x v="11"/>
    <x v="10"/>
    <x v="27"/>
    <n v="7505662.5"/>
  </r>
  <r>
    <x v="11"/>
    <x v="11"/>
    <x v="27"/>
    <n v="7505662.5"/>
  </r>
  <r>
    <x v="11"/>
    <x v="12"/>
    <x v="27"/>
    <n v="7505662.5"/>
  </r>
  <r>
    <x v="11"/>
    <x v="13"/>
    <x v="27"/>
    <n v="7505662.5"/>
  </r>
  <r>
    <x v="11"/>
    <x v="14"/>
    <x v="27"/>
    <n v="7505662.5"/>
  </r>
  <r>
    <x v="11"/>
    <x v="15"/>
    <x v="27"/>
    <n v="7505662.5"/>
  </r>
  <r>
    <x v="11"/>
    <x v="16"/>
    <x v="27"/>
    <n v="7505662.5"/>
  </r>
  <r>
    <x v="11"/>
    <x v="0"/>
    <x v="1"/>
    <n v="17112910.5"/>
  </r>
  <r>
    <x v="11"/>
    <x v="1"/>
    <x v="1"/>
    <n v="17112910.5"/>
  </r>
  <r>
    <x v="11"/>
    <x v="2"/>
    <x v="1"/>
    <n v="17112910.5"/>
  </r>
  <r>
    <x v="11"/>
    <x v="3"/>
    <x v="1"/>
    <n v="17112910.5"/>
  </r>
  <r>
    <x v="11"/>
    <x v="4"/>
    <x v="1"/>
    <n v="17112910.5"/>
  </r>
  <r>
    <x v="11"/>
    <x v="5"/>
    <x v="1"/>
    <n v="17112910.5"/>
  </r>
  <r>
    <x v="11"/>
    <x v="6"/>
    <x v="1"/>
    <n v="17112910.5"/>
  </r>
  <r>
    <x v="11"/>
    <x v="7"/>
    <x v="1"/>
    <n v="17112910.5"/>
  </r>
  <r>
    <x v="11"/>
    <x v="8"/>
    <x v="1"/>
    <n v="17112910.5"/>
  </r>
  <r>
    <x v="11"/>
    <x v="9"/>
    <x v="1"/>
    <n v="17112910.5"/>
  </r>
  <r>
    <x v="11"/>
    <x v="10"/>
    <x v="1"/>
    <n v="17112910.5"/>
  </r>
  <r>
    <x v="11"/>
    <x v="11"/>
    <x v="1"/>
    <n v="17112910.5"/>
  </r>
  <r>
    <x v="11"/>
    <x v="12"/>
    <x v="1"/>
    <n v="17112910.5"/>
  </r>
  <r>
    <x v="11"/>
    <x v="13"/>
    <x v="1"/>
    <n v="17112910.5"/>
  </r>
  <r>
    <x v="11"/>
    <x v="14"/>
    <x v="1"/>
    <n v="17112910.5"/>
  </r>
  <r>
    <x v="11"/>
    <x v="15"/>
    <x v="1"/>
    <n v="17112910.5"/>
  </r>
  <r>
    <x v="11"/>
    <x v="16"/>
    <x v="1"/>
    <n v="17112910.5"/>
  </r>
  <r>
    <x v="11"/>
    <x v="17"/>
    <x v="1"/>
    <n v="17112910.5"/>
  </r>
  <r>
    <x v="11"/>
    <x v="0"/>
    <x v="28"/>
    <n v="5821058.25"/>
  </r>
  <r>
    <x v="11"/>
    <x v="1"/>
    <x v="28"/>
    <n v="5821058.25"/>
  </r>
  <r>
    <x v="11"/>
    <x v="2"/>
    <x v="28"/>
    <n v="5821058.25"/>
  </r>
  <r>
    <x v="11"/>
    <x v="3"/>
    <x v="28"/>
    <n v="5821058.25"/>
  </r>
  <r>
    <x v="11"/>
    <x v="4"/>
    <x v="28"/>
    <n v="5821058.25"/>
  </r>
  <r>
    <x v="11"/>
    <x v="5"/>
    <x v="28"/>
    <n v="5821058.25"/>
  </r>
  <r>
    <x v="11"/>
    <x v="6"/>
    <x v="28"/>
    <n v="5821058.25"/>
  </r>
  <r>
    <x v="11"/>
    <x v="7"/>
    <x v="28"/>
    <n v="5821058.25"/>
  </r>
  <r>
    <x v="11"/>
    <x v="8"/>
    <x v="28"/>
    <n v="5821058.25"/>
  </r>
  <r>
    <x v="11"/>
    <x v="9"/>
    <x v="28"/>
    <n v="5821058.25"/>
  </r>
  <r>
    <x v="11"/>
    <x v="10"/>
    <x v="28"/>
    <n v="5821058.25"/>
  </r>
  <r>
    <x v="11"/>
    <x v="11"/>
    <x v="28"/>
    <n v="5821058.25"/>
  </r>
  <r>
    <x v="11"/>
    <x v="0"/>
    <x v="29"/>
    <n v="4154801.1749999998"/>
  </r>
  <r>
    <x v="11"/>
    <x v="1"/>
    <x v="29"/>
    <n v="4154801.1749999998"/>
  </r>
  <r>
    <x v="11"/>
    <x v="2"/>
    <x v="29"/>
    <n v="4154801.1749999998"/>
  </r>
  <r>
    <x v="11"/>
    <x v="3"/>
    <x v="29"/>
    <n v="4154801.1749999998"/>
  </r>
  <r>
    <x v="11"/>
    <x v="4"/>
    <x v="29"/>
    <n v="4154801.1749999998"/>
  </r>
  <r>
    <x v="11"/>
    <x v="5"/>
    <x v="29"/>
    <n v="4154801.1749999998"/>
  </r>
  <r>
    <x v="11"/>
    <x v="6"/>
    <x v="29"/>
    <n v="4154801.1749999998"/>
  </r>
  <r>
    <x v="11"/>
    <x v="7"/>
    <x v="29"/>
    <n v="4154801.1749999998"/>
  </r>
  <r>
    <x v="11"/>
    <x v="8"/>
    <x v="29"/>
    <n v="4154801.1749999998"/>
  </r>
  <r>
    <x v="11"/>
    <x v="9"/>
    <x v="29"/>
    <n v="4154801.1749999998"/>
  </r>
  <r>
    <x v="11"/>
    <x v="10"/>
    <x v="29"/>
    <n v="4154801.1749999998"/>
  </r>
  <r>
    <x v="11"/>
    <x v="11"/>
    <x v="29"/>
    <n v="4154801.1749999998"/>
  </r>
  <r>
    <x v="11"/>
    <x v="12"/>
    <x v="29"/>
    <n v="4154801.1749999998"/>
  </r>
  <r>
    <x v="11"/>
    <x v="13"/>
    <x v="29"/>
    <n v="4154801.1749999998"/>
  </r>
  <r>
    <x v="11"/>
    <x v="0"/>
    <x v="30"/>
    <n v="1667925"/>
  </r>
  <r>
    <x v="11"/>
    <x v="1"/>
    <x v="30"/>
    <n v="1667925"/>
  </r>
  <r>
    <x v="11"/>
    <x v="2"/>
    <x v="30"/>
    <n v="1667925"/>
  </r>
  <r>
    <x v="11"/>
    <x v="3"/>
    <x v="30"/>
    <n v="1667925"/>
  </r>
  <r>
    <x v="11"/>
    <x v="4"/>
    <x v="30"/>
    <n v="1667925"/>
  </r>
  <r>
    <x v="11"/>
    <x v="5"/>
    <x v="30"/>
    <n v="1667925"/>
  </r>
  <r>
    <x v="11"/>
    <x v="6"/>
    <x v="30"/>
    <n v="1667925"/>
  </r>
  <r>
    <x v="11"/>
    <x v="7"/>
    <x v="30"/>
    <n v="1667925"/>
  </r>
  <r>
    <x v="11"/>
    <x v="8"/>
    <x v="30"/>
    <n v="1667925"/>
  </r>
  <r>
    <x v="11"/>
    <x v="9"/>
    <x v="30"/>
    <n v="1667925"/>
  </r>
  <r>
    <x v="11"/>
    <x v="10"/>
    <x v="30"/>
    <n v="1667925"/>
  </r>
  <r>
    <x v="11"/>
    <x v="11"/>
    <x v="30"/>
    <n v="1667925"/>
  </r>
  <r>
    <x v="11"/>
    <x v="12"/>
    <x v="30"/>
    <n v="1667925"/>
  </r>
  <r>
    <x v="11"/>
    <x v="13"/>
    <x v="30"/>
    <n v="1667925"/>
  </r>
  <r>
    <x v="11"/>
    <x v="14"/>
    <x v="30"/>
    <n v="1667925"/>
  </r>
  <r>
    <x v="11"/>
    <x v="15"/>
    <x v="30"/>
    <n v="1667925"/>
  </r>
  <r>
    <x v="11"/>
    <x v="0"/>
    <x v="15"/>
    <n v="3886265.25"/>
  </r>
  <r>
    <x v="11"/>
    <x v="1"/>
    <x v="15"/>
    <n v="3886265.25"/>
  </r>
  <r>
    <x v="11"/>
    <x v="2"/>
    <x v="15"/>
    <n v="3886265.25"/>
  </r>
  <r>
    <x v="11"/>
    <x v="3"/>
    <x v="15"/>
    <n v="3886265.25"/>
  </r>
  <r>
    <x v="11"/>
    <x v="4"/>
    <x v="15"/>
    <n v="3886265.25"/>
  </r>
  <r>
    <x v="11"/>
    <x v="5"/>
    <x v="15"/>
    <n v="3886265.25"/>
  </r>
  <r>
    <x v="11"/>
    <x v="6"/>
    <x v="15"/>
    <n v="3886265.25"/>
  </r>
  <r>
    <x v="11"/>
    <x v="7"/>
    <x v="15"/>
    <n v="3886265.25"/>
  </r>
  <r>
    <x v="11"/>
    <x v="8"/>
    <x v="15"/>
    <n v="3886265.25"/>
  </r>
  <r>
    <x v="11"/>
    <x v="9"/>
    <x v="15"/>
    <n v="3886265.25"/>
  </r>
  <r>
    <x v="11"/>
    <x v="10"/>
    <x v="15"/>
    <n v="3886265.25"/>
  </r>
  <r>
    <x v="11"/>
    <x v="11"/>
    <x v="15"/>
    <n v="3886265.25"/>
  </r>
  <r>
    <x v="11"/>
    <x v="12"/>
    <x v="15"/>
    <n v="3886265.25"/>
  </r>
  <r>
    <x v="11"/>
    <x v="13"/>
    <x v="15"/>
    <n v="3886265.25"/>
  </r>
  <r>
    <x v="11"/>
    <x v="14"/>
    <x v="15"/>
    <n v="3886265.25"/>
  </r>
  <r>
    <x v="11"/>
    <x v="15"/>
    <x v="15"/>
    <n v="3886265.25"/>
  </r>
  <r>
    <x v="11"/>
    <x v="16"/>
    <x v="15"/>
    <n v="3886265.25"/>
  </r>
  <r>
    <x v="11"/>
    <x v="17"/>
    <x v="15"/>
    <n v="3886265.25"/>
  </r>
  <r>
    <x v="11"/>
    <x v="0"/>
    <x v="31"/>
    <n v="6004530"/>
  </r>
  <r>
    <x v="11"/>
    <x v="1"/>
    <x v="31"/>
    <n v="6004530"/>
  </r>
  <r>
    <x v="11"/>
    <x v="2"/>
    <x v="31"/>
    <n v="6004530"/>
  </r>
  <r>
    <x v="11"/>
    <x v="3"/>
    <x v="31"/>
    <n v="6004530"/>
  </r>
  <r>
    <x v="11"/>
    <x v="4"/>
    <x v="31"/>
    <n v="6004530"/>
  </r>
  <r>
    <x v="11"/>
    <x v="5"/>
    <x v="31"/>
    <n v="6004530"/>
  </r>
  <r>
    <x v="11"/>
    <x v="6"/>
    <x v="31"/>
    <n v="6004530"/>
  </r>
  <r>
    <x v="11"/>
    <x v="7"/>
    <x v="31"/>
    <n v="6004530"/>
  </r>
  <r>
    <x v="11"/>
    <x v="8"/>
    <x v="31"/>
    <n v="6004530"/>
  </r>
  <r>
    <x v="11"/>
    <x v="9"/>
    <x v="31"/>
    <n v="6004530"/>
  </r>
  <r>
    <x v="11"/>
    <x v="10"/>
    <x v="31"/>
    <n v="6004530"/>
  </r>
  <r>
    <x v="11"/>
    <x v="11"/>
    <x v="31"/>
    <n v="6004530"/>
  </r>
  <r>
    <x v="11"/>
    <x v="12"/>
    <x v="31"/>
    <n v="6004530"/>
  </r>
  <r>
    <x v="11"/>
    <x v="13"/>
    <x v="31"/>
    <n v="6004530"/>
  </r>
  <r>
    <x v="11"/>
    <x v="14"/>
    <x v="31"/>
    <n v="6004530"/>
  </r>
  <r>
    <x v="12"/>
    <x v="0"/>
    <x v="32"/>
    <n v="1289925"/>
  </r>
  <r>
    <x v="12"/>
    <x v="1"/>
    <x v="32"/>
    <n v="1289925"/>
  </r>
  <r>
    <x v="12"/>
    <x v="2"/>
    <x v="32"/>
    <n v="1289925"/>
  </r>
  <r>
    <x v="12"/>
    <x v="0"/>
    <x v="33"/>
    <n v="1129511.25"/>
  </r>
  <r>
    <x v="12"/>
    <x v="1"/>
    <x v="33"/>
    <n v="1129511.25"/>
  </r>
  <r>
    <x v="12"/>
    <x v="2"/>
    <x v="33"/>
    <n v="1129511.25"/>
  </r>
  <r>
    <x v="12"/>
    <x v="0"/>
    <x v="34"/>
    <n v="7607250"/>
  </r>
  <r>
    <x v="12"/>
    <x v="1"/>
    <x v="34"/>
    <n v="7607250"/>
  </r>
  <r>
    <x v="12"/>
    <x v="2"/>
    <x v="34"/>
    <n v="7607250"/>
  </r>
  <r>
    <x v="13"/>
    <x v="0"/>
    <x v="35"/>
    <n v="3780000"/>
  </r>
  <r>
    <x v="13"/>
    <x v="1"/>
    <x v="35"/>
    <n v="3780000"/>
  </r>
  <r>
    <x v="13"/>
    <x v="2"/>
    <x v="35"/>
    <n v="3780000"/>
  </r>
  <r>
    <x v="13"/>
    <x v="0"/>
    <x v="36"/>
    <n v="5868450"/>
  </r>
  <r>
    <x v="13"/>
    <x v="1"/>
    <x v="36"/>
    <n v="5868450"/>
  </r>
  <r>
    <x v="13"/>
    <x v="2"/>
    <x v="36"/>
    <n v="5868450"/>
  </r>
  <r>
    <x v="13"/>
    <x v="2"/>
    <x v="37"/>
    <n v="1535625"/>
  </r>
  <r>
    <x v="13"/>
    <x v="0"/>
    <x v="33"/>
    <n v="19561500"/>
  </r>
  <r>
    <x v="13"/>
    <x v="1"/>
    <x v="33"/>
    <n v="19561500"/>
  </r>
  <r>
    <x v="13"/>
    <x v="0"/>
    <x v="38"/>
    <n v="2835913.5"/>
  </r>
  <r>
    <x v="13"/>
    <x v="1"/>
    <x v="38"/>
    <n v="2835913.5"/>
  </r>
  <r>
    <x v="13"/>
    <x v="0"/>
    <x v="39"/>
    <n v="5868450"/>
  </r>
  <r>
    <x v="13"/>
    <x v="1"/>
    <x v="39"/>
    <n v="5868450"/>
  </r>
  <r>
    <x v="13"/>
    <x v="2"/>
    <x v="39"/>
    <n v="5868450"/>
  </r>
  <r>
    <x v="13"/>
    <x v="0"/>
    <x v="40"/>
    <n v="2531377.8000000003"/>
  </r>
  <r>
    <x v="13"/>
    <x v="1"/>
    <x v="40"/>
    <n v="2531377.8000000003"/>
  </r>
  <r>
    <x v="13"/>
    <x v="2"/>
    <x v="40"/>
    <n v="2531377.8000000003"/>
  </r>
  <r>
    <x v="13"/>
    <x v="0"/>
    <x v="41"/>
    <n v="3780000"/>
  </r>
  <r>
    <x v="13"/>
    <x v="1"/>
    <x v="41"/>
    <n v="3780000"/>
  </r>
  <r>
    <x v="13"/>
    <x v="2"/>
    <x v="41"/>
    <n v="3780000"/>
  </r>
  <r>
    <x v="13"/>
    <x v="0"/>
    <x v="42"/>
    <n v="2173500"/>
  </r>
  <r>
    <x v="13"/>
    <x v="1"/>
    <x v="42"/>
    <n v="2173500"/>
  </r>
  <r>
    <x v="13"/>
    <x v="2"/>
    <x v="42"/>
    <n v="2173500"/>
  </r>
  <r>
    <x v="13"/>
    <x v="0"/>
    <x v="43"/>
    <n v="5460525"/>
  </r>
  <r>
    <x v="13"/>
    <x v="1"/>
    <x v="43"/>
    <n v="5460525"/>
  </r>
  <r>
    <x v="13"/>
    <x v="2"/>
    <x v="43"/>
    <n v="5460525"/>
  </r>
  <r>
    <x v="13"/>
    <x v="0"/>
    <x v="44"/>
    <n v="3213000"/>
  </r>
  <r>
    <x v="13"/>
    <x v="1"/>
    <x v="44"/>
    <n v="3213000"/>
  </r>
  <r>
    <x v="13"/>
    <x v="2"/>
    <x v="44"/>
    <n v="3213000"/>
  </r>
  <r>
    <x v="13"/>
    <x v="0"/>
    <x v="45"/>
    <n v="2173500"/>
  </r>
  <r>
    <x v="13"/>
    <x v="1"/>
    <x v="45"/>
    <n v="2173500"/>
  </r>
  <r>
    <x v="13"/>
    <x v="2"/>
    <x v="45"/>
    <n v="2173500"/>
  </r>
  <r>
    <x v="13"/>
    <x v="0"/>
    <x v="46"/>
    <n v="3780000"/>
  </r>
  <r>
    <x v="13"/>
    <x v="1"/>
    <x v="46"/>
    <n v="3780000"/>
  </r>
  <r>
    <x v="13"/>
    <x v="2"/>
    <x v="46"/>
    <n v="3780000"/>
  </r>
  <r>
    <x v="13"/>
    <x v="0"/>
    <x v="47"/>
    <n v="1890000"/>
  </r>
  <r>
    <x v="13"/>
    <x v="1"/>
    <x v="47"/>
    <n v="1890000"/>
  </r>
  <r>
    <x v="13"/>
    <x v="2"/>
    <x v="47"/>
    <n v="1890000"/>
  </r>
  <r>
    <x v="13"/>
    <x v="0"/>
    <x v="48"/>
    <n v="1265688.9000000001"/>
  </r>
  <r>
    <x v="13"/>
    <x v="1"/>
    <x v="48"/>
    <n v="1265688.9000000001"/>
  </r>
  <r>
    <x v="13"/>
    <x v="2"/>
    <x v="48"/>
    <n v="1265688.9000000001"/>
  </r>
  <r>
    <x v="13"/>
    <x v="0"/>
    <x v="49"/>
    <n v="5827500"/>
  </r>
  <r>
    <x v="13"/>
    <x v="1"/>
    <x v="49"/>
    <n v="5827500"/>
  </r>
  <r>
    <x v="13"/>
    <x v="2"/>
    <x v="49"/>
    <n v="5827500"/>
  </r>
  <r>
    <x v="13"/>
    <x v="0"/>
    <x v="50"/>
    <n v="5118750"/>
  </r>
  <r>
    <x v="13"/>
    <x v="1"/>
    <x v="50"/>
    <n v="5118750"/>
  </r>
  <r>
    <x v="13"/>
    <x v="0"/>
    <x v="51"/>
    <n v="7245000"/>
  </r>
  <r>
    <x v="13"/>
    <x v="1"/>
    <x v="51"/>
    <n v="7245000"/>
  </r>
  <r>
    <x v="13"/>
    <x v="0"/>
    <x v="52"/>
    <n v="5118750"/>
  </r>
  <r>
    <x v="13"/>
    <x v="1"/>
    <x v="52"/>
    <n v="5118750"/>
  </r>
  <r>
    <x v="14"/>
    <x v="0"/>
    <x v="1"/>
    <n v="9910003.9500000011"/>
  </r>
  <r>
    <x v="14"/>
    <x v="1"/>
    <x v="1"/>
    <n v="9910003.9500000011"/>
  </r>
  <r>
    <x v="14"/>
    <x v="2"/>
    <x v="1"/>
    <n v="9910003.9500000011"/>
  </r>
  <r>
    <x v="14"/>
    <x v="3"/>
    <x v="1"/>
    <n v="9910003.9500000011"/>
  </r>
  <r>
    <x v="14"/>
    <x v="4"/>
    <x v="1"/>
    <n v="9910003.9500000011"/>
  </r>
  <r>
    <x v="14"/>
    <x v="5"/>
    <x v="1"/>
    <n v="9910003.9500000011"/>
  </r>
  <r>
    <x v="14"/>
    <x v="6"/>
    <x v="1"/>
    <n v="9910003.9500000011"/>
  </r>
  <r>
    <x v="14"/>
    <x v="7"/>
    <x v="1"/>
    <n v="9910003.9500000011"/>
  </r>
  <r>
    <x v="14"/>
    <x v="8"/>
    <x v="1"/>
    <n v="9910003.9500000011"/>
  </r>
  <r>
    <x v="14"/>
    <x v="9"/>
    <x v="1"/>
    <n v="9910003.9500000011"/>
  </r>
  <r>
    <x v="14"/>
    <x v="10"/>
    <x v="1"/>
    <n v="9910003.9500000011"/>
  </r>
  <r>
    <x v="14"/>
    <x v="11"/>
    <x v="1"/>
    <n v="9910003.9500000011"/>
  </r>
  <r>
    <x v="14"/>
    <x v="12"/>
    <x v="1"/>
    <n v="9910003.9500000011"/>
  </r>
  <r>
    <x v="14"/>
    <x v="13"/>
    <x v="1"/>
    <n v="9910003.9500000011"/>
  </r>
  <r>
    <x v="14"/>
    <x v="14"/>
    <x v="1"/>
    <n v="9910003.9500000011"/>
  </r>
  <r>
    <x v="14"/>
    <x v="15"/>
    <x v="1"/>
    <n v="9910003.9500000011"/>
  </r>
  <r>
    <x v="14"/>
    <x v="16"/>
    <x v="1"/>
    <n v="9910003.9500000011"/>
  </r>
  <r>
    <x v="14"/>
    <x v="17"/>
    <x v="1"/>
    <n v="9910003.9500000011"/>
  </r>
  <r>
    <x v="14"/>
    <x v="18"/>
    <x v="1"/>
    <n v="9910003.9500000011"/>
  </r>
  <r>
    <x v="14"/>
    <x v="19"/>
    <x v="1"/>
    <n v="9910003.9500000011"/>
  </r>
  <r>
    <x v="14"/>
    <x v="20"/>
    <x v="1"/>
    <n v="9910003.9500000011"/>
  </r>
  <r>
    <x v="14"/>
    <x v="21"/>
    <x v="1"/>
    <n v="9910003.9500000011"/>
  </r>
  <r>
    <x v="14"/>
    <x v="22"/>
    <x v="1"/>
    <n v="9910003.9500000011"/>
  </r>
  <r>
    <x v="14"/>
    <x v="23"/>
    <x v="1"/>
    <n v="9910003.9500000011"/>
  </r>
  <r>
    <x v="14"/>
    <x v="24"/>
    <x v="1"/>
    <n v="9910003.9500000011"/>
  </r>
  <r>
    <x v="14"/>
    <x v="25"/>
    <x v="1"/>
    <n v="9910003.9500000011"/>
  </r>
  <r>
    <x v="14"/>
    <x v="0"/>
    <x v="53"/>
    <n v="5019615.5309999995"/>
  </r>
  <r>
    <x v="14"/>
    <x v="1"/>
    <x v="53"/>
    <n v="5019615.5309999995"/>
  </r>
  <r>
    <x v="14"/>
    <x v="2"/>
    <x v="53"/>
    <n v="5019615.5309999995"/>
  </r>
  <r>
    <x v="14"/>
    <x v="3"/>
    <x v="53"/>
    <n v="5019615.5309999995"/>
  </r>
  <r>
    <x v="14"/>
    <x v="4"/>
    <x v="53"/>
    <n v="5019615.5309999995"/>
  </r>
  <r>
    <x v="14"/>
    <x v="5"/>
    <x v="53"/>
    <n v="5019615.5309999995"/>
  </r>
  <r>
    <x v="14"/>
    <x v="6"/>
    <x v="53"/>
    <n v="5019615.5309999995"/>
  </r>
  <r>
    <x v="14"/>
    <x v="7"/>
    <x v="53"/>
    <n v="5019615.5309999995"/>
  </r>
  <r>
    <x v="14"/>
    <x v="8"/>
    <x v="53"/>
    <n v="5019615.5309999995"/>
  </r>
  <r>
    <x v="14"/>
    <x v="9"/>
    <x v="53"/>
    <n v="5019615.5309999995"/>
  </r>
  <r>
    <x v="14"/>
    <x v="10"/>
    <x v="53"/>
    <n v="5019615.5309999995"/>
  </r>
  <r>
    <x v="14"/>
    <x v="11"/>
    <x v="53"/>
    <n v="5019615.5309999995"/>
  </r>
  <r>
    <x v="14"/>
    <x v="12"/>
    <x v="53"/>
    <n v="5019615.5309999995"/>
  </r>
  <r>
    <x v="14"/>
    <x v="13"/>
    <x v="53"/>
    <n v="5019615.5309999995"/>
  </r>
  <r>
    <x v="14"/>
    <x v="14"/>
    <x v="53"/>
    <n v="5019615.5309999995"/>
  </r>
  <r>
    <x v="14"/>
    <x v="15"/>
    <x v="53"/>
    <n v="5019615.5309999995"/>
  </r>
  <r>
    <x v="14"/>
    <x v="16"/>
    <x v="53"/>
    <n v="5019615.5309999995"/>
  </r>
  <r>
    <x v="14"/>
    <x v="17"/>
    <x v="53"/>
    <n v="5019615.5309999995"/>
  </r>
  <r>
    <x v="14"/>
    <x v="18"/>
    <x v="53"/>
    <n v="5019615.5309999995"/>
  </r>
  <r>
    <x v="14"/>
    <x v="19"/>
    <x v="53"/>
    <n v="5019615.5309999995"/>
  </r>
  <r>
    <x v="14"/>
    <x v="20"/>
    <x v="53"/>
    <n v="5019615.5309999995"/>
  </r>
  <r>
    <x v="14"/>
    <x v="21"/>
    <x v="53"/>
    <n v="5019615.5309999995"/>
  </r>
  <r>
    <x v="14"/>
    <x v="22"/>
    <x v="53"/>
    <n v="5019615.5309999995"/>
  </r>
  <r>
    <x v="14"/>
    <x v="23"/>
    <x v="53"/>
    <n v="5019615.5309999995"/>
  </r>
  <r>
    <x v="14"/>
    <x v="24"/>
    <x v="53"/>
    <n v="5019615.5309999995"/>
  </r>
  <r>
    <x v="14"/>
    <x v="0"/>
    <x v="21"/>
    <n v="4260730.9499999993"/>
  </r>
  <r>
    <x v="14"/>
    <x v="1"/>
    <x v="21"/>
    <n v="4260730.9499999993"/>
  </r>
  <r>
    <x v="14"/>
    <x v="2"/>
    <x v="21"/>
    <n v="4260730.9499999993"/>
  </r>
  <r>
    <x v="14"/>
    <x v="3"/>
    <x v="21"/>
    <n v="4260730.9499999993"/>
  </r>
  <r>
    <x v="14"/>
    <x v="4"/>
    <x v="21"/>
    <n v="4260730.9499999993"/>
  </r>
  <r>
    <x v="14"/>
    <x v="5"/>
    <x v="21"/>
    <n v="4260730.9499999993"/>
  </r>
  <r>
    <x v="14"/>
    <x v="6"/>
    <x v="21"/>
    <n v="4260730.9499999993"/>
  </r>
  <r>
    <x v="14"/>
    <x v="7"/>
    <x v="21"/>
    <n v="4260730.9499999993"/>
  </r>
  <r>
    <x v="14"/>
    <x v="0"/>
    <x v="54"/>
    <n v="3984270.0974999997"/>
  </r>
  <r>
    <x v="14"/>
    <x v="0"/>
    <x v="15"/>
    <n v="4205787.0750000002"/>
  </r>
  <r>
    <x v="14"/>
    <x v="1"/>
    <x v="15"/>
    <n v="4205787.0750000002"/>
  </r>
  <r>
    <x v="14"/>
    <x v="2"/>
    <x v="15"/>
    <n v="4205787.0750000002"/>
  </r>
  <r>
    <x v="14"/>
    <x v="3"/>
    <x v="15"/>
    <n v="4205787.0750000002"/>
  </r>
  <r>
    <x v="14"/>
    <x v="4"/>
    <x v="15"/>
    <n v="4205787.0750000002"/>
  </r>
  <r>
    <x v="14"/>
    <x v="5"/>
    <x v="15"/>
    <n v="4205787.0750000002"/>
  </r>
  <r>
    <x v="14"/>
    <x v="6"/>
    <x v="15"/>
    <n v="4205787.0750000002"/>
  </r>
  <r>
    <x v="14"/>
    <x v="7"/>
    <x v="15"/>
    <n v="4205787.0750000002"/>
  </r>
  <r>
    <x v="14"/>
    <x v="8"/>
    <x v="15"/>
    <n v="4205787.0750000002"/>
  </r>
  <r>
    <x v="14"/>
    <x v="9"/>
    <x v="15"/>
    <n v="4205787.0750000002"/>
  </r>
  <r>
    <x v="14"/>
    <x v="10"/>
    <x v="15"/>
    <n v="4205787.0750000002"/>
  </r>
  <r>
    <x v="14"/>
    <x v="11"/>
    <x v="15"/>
    <n v="4205787.0750000002"/>
  </r>
  <r>
    <x v="14"/>
    <x v="12"/>
    <x v="15"/>
    <n v="4205787.0750000002"/>
  </r>
  <r>
    <x v="14"/>
    <x v="13"/>
    <x v="15"/>
    <n v="4205787.0750000002"/>
  </r>
  <r>
    <x v="14"/>
    <x v="14"/>
    <x v="15"/>
    <n v="4205787.0750000002"/>
  </r>
  <r>
    <x v="14"/>
    <x v="15"/>
    <x v="15"/>
    <n v="4205787.0750000002"/>
  </r>
  <r>
    <x v="14"/>
    <x v="16"/>
    <x v="15"/>
    <n v="4205787.0750000002"/>
  </r>
  <r>
    <x v="14"/>
    <x v="17"/>
    <x v="15"/>
    <n v="4205787.0750000002"/>
  </r>
  <r>
    <x v="14"/>
    <x v="18"/>
    <x v="15"/>
    <n v="4205787.0750000002"/>
  </r>
  <r>
    <x v="14"/>
    <x v="19"/>
    <x v="15"/>
    <n v="4205787.0750000002"/>
  </r>
  <r>
    <x v="14"/>
    <x v="20"/>
    <x v="15"/>
    <n v="4205787.0750000002"/>
  </r>
  <r>
    <x v="14"/>
    <x v="21"/>
    <x v="15"/>
    <n v="4205787.0750000002"/>
  </r>
  <r>
    <x v="14"/>
    <x v="22"/>
    <x v="15"/>
    <n v="4205787.0750000002"/>
  </r>
  <r>
    <x v="14"/>
    <x v="23"/>
    <x v="15"/>
    <n v="4205787.0750000002"/>
  </r>
  <r>
    <x v="14"/>
    <x v="24"/>
    <x v="15"/>
    <n v="4205787.0750000002"/>
  </r>
  <r>
    <x v="14"/>
    <x v="3"/>
    <x v="13"/>
    <n v="6444668.4750000006"/>
  </r>
  <r>
    <x v="14"/>
    <x v="4"/>
    <x v="13"/>
    <n v="6444668.4750000006"/>
  </r>
  <r>
    <x v="14"/>
    <x v="5"/>
    <x v="13"/>
    <n v="6444668.4750000006"/>
  </r>
  <r>
    <x v="14"/>
    <x v="6"/>
    <x v="13"/>
    <n v="6444668.4750000006"/>
  </r>
  <r>
    <x v="14"/>
    <x v="7"/>
    <x v="13"/>
    <n v="6444668.4750000006"/>
  </r>
  <r>
    <x v="14"/>
    <x v="8"/>
    <x v="13"/>
    <n v="6444668.4750000006"/>
  </r>
  <r>
    <x v="14"/>
    <x v="9"/>
    <x v="13"/>
    <n v="6444668.4750000006"/>
  </r>
  <r>
    <x v="14"/>
    <x v="10"/>
    <x v="13"/>
    <n v="6444668.4750000006"/>
  </r>
  <r>
    <x v="14"/>
    <x v="11"/>
    <x v="13"/>
    <n v="6444668.4750000006"/>
  </r>
  <r>
    <x v="14"/>
    <x v="12"/>
    <x v="13"/>
    <n v="6444668.4750000006"/>
  </r>
  <r>
    <x v="14"/>
    <x v="13"/>
    <x v="13"/>
    <n v="6444668.4750000006"/>
  </r>
  <r>
    <x v="14"/>
    <x v="14"/>
    <x v="13"/>
    <n v="6444668.4750000006"/>
  </r>
  <r>
    <x v="14"/>
    <x v="15"/>
    <x v="13"/>
    <n v="6444668.4750000006"/>
  </r>
  <r>
    <x v="14"/>
    <x v="16"/>
    <x v="13"/>
    <n v="6444668.4750000006"/>
  </r>
  <r>
    <x v="14"/>
    <x v="17"/>
    <x v="13"/>
    <n v="6444668.4750000006"/>
  </r>
  <r>
    <x v="14"/>
    <x v="18"/>
    <x v="13"/>
    <n v="6444668.4750000006"/>
  </r>
  <r>
    <x v="14"/>
    <x v="19"/>
    <x v="13"/>
    <n v="6444668.4750000006"/>
  </r>
  <r>
    <x v="14"/>
    <x v="20"/>
    <x v="13"/>
    <n v="6444668.4750000006"/>
  </r>
  <r>
    <x v="14"/>
    <x v="21"/>
    <x v="13"/>
    <n v="6444668.4750000006"/>
  </r>
  <r>
    <x v="14"/>
    <x v="22"/>
    <x v="13"/>
    <n v="6444668.4750000006"/>
  </r>
  <r>
    <x v="14"/>
    <x v="23"/>
    <x v="13"/>
    <n v="6444668.4750000006"/>
  </r>
  <r>
    <x v="14"/>
    <x v="24"/>
    <x v="13"/>
    <n v="6444668.4750000006"/>
  </r>
  <r>
    <x v="15"/>
    <x v="0"/>
    <x v="0"/>
    <n v="1905120.0000000002"/>
  </r>
  <r>
    <x v="15"/>
    <x v="1"/>
    <x v="0"/>
    <n v="1905120.0000000002"/>
  </r>
  <r>
    <x v="15"/>
    <x v="2"/>
    <x v="0"/>
    <n v="1905120.0000000002"/>
  </r>
  <r>
    <x v="15"/>
    <x v="3"/>
    <x v="0"/>
    <n v="1905120.0000000002"/>
  </r>
  <r>
    <x v="15"/>
    <x v="4"/>
    <x v="0"/>
    <n v="1905120.0000000002"/>
  </r>
  <r>
    <x v="15"/>
    <x v="5"/>
    <x v="0"/>
    <n v="1905120.0000000002"/>
  </r>
  <r>
    <x v="15"/>
    <x v="6"/>
    <x v="0"/>
    <n v="1905120.0000000002"/>
  </r>
  <r>
    <x v="15"/>
    <x v="7"/>
    <x v="0"/>
    <n v="1905120.0000000002"/>
  </r>
  <r>
    <x v="15"/>
    <x v="8"/>
    <x v="0"/>
    <n v="1905120.0000000002"/>
  </r>
  <r>
    <x v="15"/>
    <x v="9"/>
    <x v="0"/>
    <n v="1905120.0000000002"/>
  </r>
  <r>
    <x v="15"/>
    <x v="10"/>
    <x v="0"/>
    <n v="1905120.0000000002"/>
  </r>
  <r>
    <x v="15"/>
    <x v="11"/>
    <x v="0"/>
    <n v="1905120.0000000002"/>
  </r>
  <r>
    <x v="15"/>
    <x v="12"/>
    <x v="0"/>
    <n v="1905120.0000000002"/>
  </r>
  <r>
    <x v="15"/>
    <x v="13"/>
    <x v="0"/>
    <n v="1905120.0000000002"/>
  </r>
  <r>
    <x v="15"/>
    <x v="14"/>
    <x v="0"/>
    <n v="1905120.0000000002"/>
  </r>
  <r>
    <x v="15"/>
    <x v="15"/>
    <x v="0"/>
    <n v="1905120.0000000002"/>
  </r>
  <r>
    <x v="15"/>
    <x v="16"/>
    <x v="0"/>
    <n v="1905120.0000000002"/>
  </r>
  <r>
    <x v="15"/>
    <x v="17"/>
    <x v="0"/>
    <n v="1905120.0000000002"/>
  </r>
  <r>
    <x v="15"/>
    <x v="18"/>
    <x v="0"/>
    <n v="1905120.0000000002"/>
  </r>
  <r>
    <x v="15"/>
    <x v="19"/>
    <x v="0"/>
    <n v="1905120.0000000002"/>
  </r>
  <r>
    <x v="15"/>
    <x v="20"/>
    <x v="0"/>
    <n v="1905120.0000000002"/>
  </r>
  <r>
    <x v="15"/>
    <x v="21"/>
    <x v="0"/>
    <n v="1905120.0000000002"/>
  </r>
  <r>
    <x v="15"/>
    <x v="22"/>
    <x v="0"/>
    <n v="1905120.0000000002"/>
  </r>
  <r>
    <x v="15"/>
    <x v="23"/>
    <x v="0"/>
    <n v="1905120.0000000002"/>
  </r>
  <r>
    <x v="15"/>
    <x v="24"/>
    <x v="0"/>
    <n v="1905120.0000000002"/>
  </r>
  <r>
    <x v="15"/>
    <x v="25"/>
    <x v="0"/>
    <n v="1905120.0000000002"/>
  </r>
  <r>
    <x v="15"/>
    <x v="26"/>
    <x v="0"/>
    <n v="1905120.0000000002"/>
  </r>
  <r>
    <x v="15"/>
    <x v="27"/>
    <x v="0"/>
    <n v="1905120.0000000002"/>
  </r>
  <r>
    <x v="15"/>
    <x v="19"/>
    <x v="21"/>
    <n v="3923324.9999999995"/>
  </r>
  <r>
    <x v="15"/>
    <x v="20"/>
    <x v="21"/>
    <n v="3923324.9999999995"/>
  </r>
  <r>
    <x v="15"/>
    <x v="21"/>
    <x v="21"/>
    <n v="3923324.9999999995"/>
  </r>
  <r>
    <x v="15"/>
    <x v="22"/>
    <x v="21"/>
    <n v="3923324.9999999995"/>
  </r>
  <r>
    <x v="15"/>
    <x v="23"/>
    <x v="21"/>
    <n v="3923324.9999999995"/>
  </r>
  <r>
    <x v="15"/>
    <x v="24"/>
    <x v="21"/>
    <n v="3923324.9999999995"/>
  </r>
  <r>
    <x v="15"/>
    <x v="25"/>
    <x v="21"/>
    <n v="3923324.9999999995"/>
  </r>
  <r>
    <x v="15"/>
    <x v="26"/>
    <x v="21"/>
    <n v="3923324.9999999995"/>
  </r>
  <r>
    <x v="15"/>
    <x v="27"/>
    <x v="21"/>
    <n v="3923324.9999999995"/>
  </r>
  <r>
    <x v="15"/>
    <x v="28"/>
    <x v="21"/>
    <n v="3923324.9999999995"/>
  </r>
  <r>
    <x v="15"/>
    <x v="29"/>
    <x v="21"/>
    <n v="3923324.9999999995"/>
  </r>
  <r>
    <x v="15"/>
    <x v="30"/>
    <x v="21"/>
    <n v="3923324.9999999995"/>
  </r>
  <r>
    <x v="15"/>
    <x v="0"/>
    <x v="53"/>
    <n v="4758075"/>
  </r>
  <r>
    <x v="15"/>
    <x v="1"/>
    <x v="53"/>
    <n v="4758075"/>
  </r>
  <r>
    <x v="15"/>
    <x v="2"/>
    <x v="53"/>
    <n v="4758075"/>
  </r>
  <r>
    <x v="15"/>
    <x v="3"/>
    <x v="53"/>
    <n v="4758075"/>
  </r>
  <r>
    <x v="15"/>
    <x v="4"/>
    <x v="53"/>
    <n v="4758075"/>
  </r>
  <r>
    <x v="15"/>
    <x v="5"/>
    <x v="53"/>
    <n v="4758075"/>
  </r>
  <r>
    <x v="15"/>
    <x v="6"/>
    <x v="53"/>
    <n v="4758075"/>
  </r>
  <r>
    <x v="15"/>
    <x v="7"/>
    <x v="53"/>
    <n v="4758075"/>
  </r>
  <r>
    <x v="15"/>
    <x v="8"/>
    <x v="53"/>
    <n v="4758075"/>
  </r>
  <r>
    <x v="15"/>
    <x v="9"/>
    <x v="53"/>
    <n v="4758075"/>
  </r>
  <r>
    <x v="15"/>
    <x v="10"/>
    <x v="53"/>
    <n v="4758075"/>
  </r>
  <r>
    <x v="15"/>
    <x v="11"/>
    <x v="53"/>
    <n v="4758075"/>
  </r>
  <r>
    <x v="15"/>
    <x v="12"/>
    <x v="53"/>
    <n v="4758075"/>
  </r>
  <r>
    <x v="15"/>
    <x v="13"/>
    <x v="53"/>
    <n v="4758075"/>
  </r>
  <r>
    <x v="15"/>
    <x v="14"/>
    <x v="53"/>
    <n v="4758075"/>
  </r>
  <r>
    <x v="15"/>
    <x v="15"/>
    <x v="53"/>
    <n v="4758075"/>
  </r>
  <r>
    <x v="15"/>
    <x v="16"/>
    <x v="53"/>
    <n v="4758075"/>
  </r>
  <r>
    <x v="15"/>
    <x v="17"/>
    <x v="53"/>
    <n v="4758075"/>
  </r>
  <r>
    <x v="15"/>
    <x v="18"/>
    <x v="53"/>
    <n v="4758075"/>
  </r>
  <r>
    <x v="15"/>
    <x v="19"/>
    <x v="53"/>
    <n v="4758075"/>
  </r>
  <r>
    <x v="15"/>
    <x v="20"/>
    <x v="53"/>
    <n v="4758075"/>
  </r>
  <r>
    <x v="15"/>
    <x v="21"/>
    <x v="53"/>
    <n v="4758075"/>
  </r>
  <r>
    <x v="15"/>
    <x v="22"/>
    <x v="53"/>
    <n v="4758075"/>
  </r>
  <r>
    <x v="15"/>
    <x v="23"/>
    <x v="53"/>
    <n v="4758075"/>
  </r>
  <r>
    <x v="15"/>
    <x v="24"/>
    <x v="53"/>
    <n v="4758075"/>
  </r>
  <r>
    <x v="15"/>
    <x v="25"/>
    <x v="53"/>
    <n v="4758075"/>
  </r>
  <r>
    <x v="15"/>
    <x v="26"/>
    <x v="53"/>
    <n v="4758075"/>
  </r>
  <r>
    <x v="15"/>
    <x v="0"/>
    <x v="13"/>
    <n v="5985000"/>
  </r>
  <r>
    <x v="15"/>
    <x v="1"/>
    <x v="13"/>
    <n v="5985000"/>
  </r>
  <r>
    <x v="15"/>
    <x v="2"/>
    <x v="13"/>
    <n v="5985000"/>
  </r>
  <r>
    <x v="15"/>
    <x v="3"/>
    <x v="13"/>
    <n v="5985000"/>
  </r>
  <r>
    <x v="15"/>
    <x v="4"/>
    <x v="13"/>
    <n v="5985000"/>
  </r>
  <r>
    <x v="15"/>
    <x v="5"/>
    <x v="13"/>
    <n v="5985000"/>
  </r>
  <r>
    <x v="15"/>
    <x v="6"/>
    <x v="13"/>
    <n v="5985000"/>
  </r>
  <r>
    <x v="15"/>
    <x v="7"/>
    <x v="13"/>
    <n v="5985000"/>
  </r>
  <r>
    <x v="15"/>
    <x v="8"/>
    <x v="13"/>
    <n v="5985000"/>
  </r>
  <r>
    <x v="15"/>
    <x v="9"/>
    <x v="13"/>
    <n v="5985000"/>
  </r>
  <r>
    <x v="15"/>
    <x v="10"/>
    <x v="13"/>
    <n v="5985000"/>
  </r>
  <r>
    <x v="15"/>
    <x v="11"/>
    <x v="13"/>
    <n v="5985000"/>
  </r>
  <r>
    <x v="15"/>
    <x v="12"/>
    <x v="13"/>
    <n v="5985000"/>
  </r>
  <r>
    <x v="15"/>
    <x v="13"/>
    <x v="13"/>
    <n v="5985000"/>
  </r>
  <r>
    <x v="15"/>
    <x v="14"/>
    <x v="13"/>
    <n v="5985000"/>
  </r>
  <r>
    <x v="15"/>
    <x v="15"/>
    <x v="13"/>
    <n v="5985000"/>
  </r>
  <r>
    <x v="15"/>
    <x v="16"/>
    <x v="13"/>
    <n v="5985000"/>
  </r>
  <r>
    <x v="15"/>
    <x v="17"/>
    <x v="13"/>
    <n v="5985000"/>
  </r>
  <r>
    <x v="15"/>
    <x v="18"/>
    <x v="13"/>
    <n v="5985000"/>
  </r>
  <r>
    <x v="15"/>
    <x v="19"/>
    <x v="13"/>
    <n v="5985000"/>
  </r>
  <r>
    <x v="15"/>
    <x v="20"/>
    <x v="13"/>
    <n v="5985000"/>
  </r>
  <r>
    <x v="15"/>
    <x v="21"/>
    <x v="13"/>
    <n v="5985000"/>
  </r>
  <r>
    <x v="15"/>
    <x v="22"/>
    <x v="13"/>
    <n v="5985000"/>
  </r>
  <r>
    <x v="15"/>
    <x v="23"/>
    <x v="13"/>
    <n v="5985000"/>
  </r>
  <r>
    <x v="15"/>
    <x v="24"/>
    <x v="13"/>
    <n v="5985000"/>
  </r>
  <r>
    <x v="15"/>
    <x v="25"/>
    <x v="13"/>
    <n v="5985000"/>
  </r>
  <r>
    <x v="15"/>
    <x v="26"/>
    <x v="13"/>
    <n v="5985000"/>
  </r>
  <r>
    <x v="15"/>
    <x v="27"/>
    <x v="13"/>
    <n v="5985000"/>
  </r>
  <r>
    <x v="16"/>
    <x v="0"/>
    <x v="55"/>
    <n v="5768028"/>
  </r>
  <r>
    <x v="16"/>
    <x v="1"/>
    <x v="55"/>
    <n v="5768028"/>
  </r>
  <r>
    <x v="16"/>
    <x v="2"/>
    <x v="55"/>
    <n v="5768028"/>
  </r>
  <r>
    <x v="16"/>
    <x v="3"/>
    <x v="55"/>
    <n v="5768028"/>
  </r>
  <r>
    <x v="16"/>
    <x v="4"/>
    <x v="55"/>
    <n v="5768028"/>
  </r>
  <r>
    <x v="16"/>
    <x v="5"/>
    <x v="55"/>
    <n v="5768028"/>
  </r>
  <r>
    <x v="16"/>
    <x v="6"/>
    <x v="55"/>
    <n v="5768028"/>
  </r>
  <r>
    <x v="16"/>
    <x v="7"/>
    <x v="55"/>
    <n v="5768028"/>
  </r>
  <r>
    <x v="16"/>
    <x v="8"/>
    <x v="55"/>
    <n v="5768028"/>
  </r>
  <r>
    <x v="16"/>
    <x v="9"/>
    <x v="55"/>
    <n v="5768028"/>
  </r>
  <r>
    <x v="16"/>
    <x v="10"/>
    <x v="55"/>
    <n v="5768028"/>
  </r>
  <r>
    <x v="16"/>
    <x v="11"/>
    <x v="55"/>
    <n v="5768028"/>
  </r>
  <r>
    <x v="16"/>
    <x v="12"/>
    <x v="55"/>
    <n v="5768028"/>
  </r>
  <r>
    <x v="16"/>
    <x v="13"/>
    <x v="55"/>
    <n v="5768028"/>
  </r>
  <r>
    <x v="16"/>
    <x v="14"/>
    <x v="55"/>
    <n v="5768028"/>
  </r>
  <r>
    <x v="16"/>
    <x v="15"/>
    <x v="55"/>
    <n v="5768028"/>
  </r>
  <r>
    <x v="16"/>
    <x v="16"/>
    <x v="55"/>
    <n v="5768028"/>
  </r>
  <r>
    <x v="16"/>
    <x v="17"/>
    <x v="55"/>
    <n v="5768028"/>
  </r>
  <r>
    <x v="16"/>
    <x v="18"/>
    <x v="55"/>
    <n v="5768028"/>
  </r>
  <r>
    <x v="16"/>
    <x v="19"/>
    <x v="55"/>
    <n v="5768028"/>
  </r>
  <r>
    <x v="16"/>
    <x v="20"/>
    <x v="55"/>
    <n v="5768028"/>
  </r>
  <r>
    <x v="16"/>
    <x v="21"/>
    <x v="55"/>
    <n v="5768028"/>
  </r>
  <r>
    <x v="16"/>
    <x v="22"/>
    <x v="55"/>
    <n v="5768028"/>
  </r>
  <r>
    <x v="16"/>
    <x v="0"/>
    <x v="55"/>
    <n v="5853202.4250000007"/>
  </r>
  <r>
    <x v="16"/>
    <x v="1"/>
    <x v="55"/>
    <n v="5853202.4250000007"/>
  </r>
  <r>
    <x v="16"/>
    <x v="2"/>
    <x v="55"/>
    <n v="5853202.4250000007"/>
  </r>
  <r>
    <x v="16"/>
    <x v="3"/>
    <x v="55"/>
    <n v="5853202.4250000007"/>
  </r>
  <r>
    <x v="16"/>
    <x v="4"/>
    <x v="55"/>
    <n v="5853202.4250000007"/>
  </r>
  <r>
    <x v="16"/>
    <x v="5"/>
    <x v="55"/>
    <n v="5853202.4250000007"/>
  </r>
  <r>
    <x v="16"/>
    <x v="6"/>
    <x v="55"/>
    <n v="5853202.4250000007"/>
  </r>
  <r>
    <x v="16"/>
    <x v="7"/>
    <x v="55"/>
    <n v="5853202.4250000007"/>
  </r>
  <r>
    <x v="16"/>
    <x v="8"/>
    <x v="55"/>
    <n v="5853202.4250000007"/>
  </r>
  <r>
    <x v="16"/>
    <x v="9"/>
    <x v="55"/>
    <n v="5853202.4250000007"/>
  </r>
  <r>
    <x v="16"/>
    <x v="10"/>
    <x v="55"/>
    <n v="5853202.4250000007"/>
  </r>
  <r>
    <x v="16"/>
    <x v="11"/>
    <x v="55"/>
    <n v="5853202.4250000007"/>
  </r>
  <r>
    <x v="16"/>
    <x v="12"/>
    <x v="55"/>
    <n v="5853202.4250000007"/>
  </r>
  <r>
    <x v="16"/>
    <x v="13"/>
    <x v="55"/>
    <n v="5853202.4250000007"/>
  </r>
  <r>
    <x v="16"/>
    <x v="14"/>
    <x v="55"/>
    <n v="5853202.4250000007"/>
  </r>
  <r>
    <x v="16"/>
    <x v="15"/>
    <x v="55"/>
    <n v="5853202.4250000007"/>
  </r>
  <r>
    <x v="16"/>
    <x v="16"/>
    <x v="55"/>
    <n v="5853202.4250000007"/>
  </r>
  <r>
    <x v="16"/>
    <x v="0"/>
    <x v="1"/>
    <n v="11280052.350000001"/>
  </r>
  <r>
    <x v="16"/>
    <x v="1"/>
    <x v="1"/>
    <n v="11280052.350000001"/>
  </r>
  <r>
    <x v="16"/>
    <x v="2"/>
    <x v="1"/>
    <n v="11280052.350000001"/>
  </r>
  <r>
    <x v="16"/>
    <x v="3"/>
    <x v="1"/>
    <n v="11280052.350000001"/>
  </r>
  <r>
    <x v="16"/>
    <x v="4"/>
    <x v="1"/>
    <n v="11280052.350000001"/>
  </r>
  <r>
    <x v="16"/>
    <x v="5"/>
    <x v="1"/>
    <n v="11280052.350000001"/>
  </r>
  <r>
    <x v="16"/>
    <x v="6"/>
    <x v="1"/>
    <n v="11280052.350000001"/>
  </r>
  <r>
    <x v="16"/>
    <x v="7"/>
    <x v="1"/>
    <n v="11280052.350000001"/>
  </r>
  <r>
    <x v="16"/>
    <x v="8"/>
    <x v="1"/>
    <n v="11280052.350000001"/>
  </r>
  <r>
    <x v="16"/>
    <x v="9"/>
    <x v="1"/>
    <n v="11280052.350000001"/>
  </r>
  <r>
    <x v="16"/>
    <x v="10"/>
    <x v="1"/>
    <n v="11280052.350000001"/>
  </r>
  <r>
    <x v="16"/>
    <x v="11"/>
    <x v="1"/>
    <n v="11280052.350000001"/>
  </r>
  <r>
    <x v="16"/>
    <x v="12"/>
    <x v="1"/>
    <n v="11280052.350000001"/>
  </r>
  <r>
    <x v="16"/>
    <x v="13"/>
    <x v="1"/>
    <n v="11280052.350000001"/>
  </r>
  <r>
    <x v="16"/>
    <x v="14"/>
    <x v="1"/>
    <n v="11280052.350000001"/>
  </r>
  <r>
    <x v="16"/>
    <x v="15"/>
    <x v="1"/>
    <n v="11280052.350000001"/>
  </r>
  <r>
    <x v="16"/>
    <x v="16"/>
    <x v="1"/>
    <n v="11280052.350000001"/>
  </r>
  <r>
    <x v="16"/>
    <x v="17"/>
    <x v="1"/>
    <n v="11280052.350000001"/>
  </r>
  <r>
    <x v="16"/>
    <x v="18"/>
    <x v="1"/>
    <n v="11280052.350000001"/>
  </r>
  <r>
    <x v="16"/>
    <x v="19"/>
    <x v="1"/>
    <n v="11280052.350000001"/>
  </r>
  <r>
    <x v="16"/>
    <x v="20"/>
    <x v="1"/>
    <n v="11280052.350000001"/>
  </r>
  <r>
    <x v="16"/>
    <x v="0"/>
    <x v="56"/>
    <n v="4765579.4024999999"/>
  </r>
  <r>
    <x v="16"/>
    <x v="1"/>
    <x v="56"/>
    <n v="4765579.4024999999"/>
  </r>
  <r>
    <x v="16"/>
    <x v="2"/>
    <x v="56"/>
    <n v="4765579.4024999999"/>
  </r>
  <r>
    <x v="16"/>
    <x v="3"/>
    <x v="56"/>
    <n v="4765579.4024999999"/>
  </r>
  <r>
    <x v="16"/>
    <x v="4"/>
    <x v="56"/>
    <n v="4765579.4024999999"/>
  </r>
  <r>
    <x v="16"/>
    <x v="5"/>
    <x v="56"/>
    <n v="4765579.4024999999"/>
  </r>
  <r>
    <x v="16"/>
    <x v="6"/>
    <x v="56"/>
    <n v="4765579.4024999999"/>
  </r>
  <r>
    <x v="16"/>
    <x v="7"/>
    <x v="56"/>
    <n v="4765579.4024999999"/>
  </r>
  <r>
    <x v="16"/>
    <x v="8"/>
    <x v="56"/>
    <n v="4765579.4024999999"/>
  </r>
  <r>
    <x v="16"/>
    <x v="9"/>
    <x v="56"/>
    <n v="4765579.4024999999"/>
  </r>
  <r>
    <x v="16"/>
    <x v="10"/>
    <x v="56"/>
    <n v="4765579.4024999999"/>
  </r>
  <r>
    <x v="16"/>
    <x v="11"/>
    <x v="56"/>
    <n v="4765579.4024999999"/>
  </r>
  <r>
    <x v="16"/>
    <x v="12"/>
    <x v="56"/>
    <n v="4765579.4024999999"/>
  </r>
  <r>
    <x v="16"/>
    <x v="13"/>
    <x v="56"/>
    <n v="4765579.4024999999"/>
  </r>
  <r>
    <x v="16"/>
    <x v="14"/>
    <x v="56"/>
    <n v="4765579.4024999999"/>
  </r>
  <r>
    <x v="16"/>
    <x v="15"/>
    <x v="56"/>
    <n v="4765579.4024999999"/>
  </r>
  <r>
    <x v="16"/>
    <x v="16"/>
    <x v="56"/>
    <n v="4765579.4024999999"/>
  </r>
  <r>
    <x v="16"/>
    <x v="17"/>
    <x v="56"/>
    <n v="4765579.4024999999"/>
  </r>
  <r>
    <x v="16"/>
    <x v="18"/>
    <x v="56"/>
    <n v="4765579.4024999999"/>
  </r>
  <r>
    <x v="16"/>
    <x v="19"/>
    <x v="56"/>
    <n v="4765579.4024999999"/>
  </r>
  <r>
    <x v="16"/>
    <x v="20"/>
    <x v="56"/>
    <n v="4765579.4024999999"/>
  </r>
  <r>
    <x v="16"/>
    <x v="21"/>
    <x v="56"/>
    <n v="4765579.4024999999"/>
  </r>
  <r>
    <x v="16"/>
    <x v="22"/>
    <x v="56"/>
    <n v="4765579.4024999999"/>
  </r>
  <r>
    <x v="16"/>
    <x v="0"/>
    <x v="56"/>
    <n v="6204394.5704999994"/>
  </r>
  <r>
    <x v="16"/>
    <x v="1"/>
    <x v="56"/>
    <n v="6204394.5704999994"/>
  </r>
  <r>
    <x v="16"/>
    <x v="2"/>
    <x v="56"/>
    <n v="6204394.5704999994"/>
  </r>
  <r>
    <x v="16"/>
    <x v="3"/>
    <x v="56"/>
    <n v="6204394.5704999994"/>
  </r>
  <r>
    <x v="16"/>
    <x v="4"/>
    <x v="56"/>
    <n v="6204394.5704999994"/>
  </r>
  <r>
    <x v="16"/>
    <x v="5"/>
    <x v="56"/>
    <n v="6204394.5704999994"/>
  </r>
  <r>
    <x v="16"/>
    <x v="6"/>
    <x v="56"/>
    <n v="6204394.5704999994"/>
  </r>
  <r>
    <x v="16"/>
    <x v="7"/>
    <x v="56"/>
    <n v="6204394.5704999994"/>
  </r>
  <r>
    <x v="16"/>
    <x v="8"/>
    <x v="56"/>
    <n v="6204394.5704999994"/>
  </r>
  <r>
    <x v="16"/>
    <x v="9"/>
    <x v="56"/>
    <n v="6204394.5704999994"/>
  </r>
  <r>
    <x v="16"/>
    <x v="10"/>
    <x v="56"/>
    <n v="6204394.5704999994"/>
  </r>
  <r>
    <x v="16"/>
    <x v="11"/>
    <x v="56"/>
    <n v="6204394.5704999994"/>
  </r>
  <r>
    <x v="16"/>
    <x v="12"/>
    <x v="56"/>
    <n v="6204394.5704999994"/>
  </r>
  <r>
    <x v="16"/>
    <x v="13"/>
    <x v="56"/>
    <n v="6204394.5704999994"/>
  </r>
  <r>
    <x v="16"/>
    <x v="14"/>
    <x v="56"/>
    <n v="6204394.5704999994"/>
  </r>
  <r>
    <x v="16"/>
    <x v="15"/>
    <x v="56"/>
    <n v="6204394.5704999994"/>
  </r>
  <r>
    <x v="16"/>
    <x v="16"/>
    <x v="56"/>
    <n v="6204394.5704999994"/>
  </r>
  <r>
    <x v="16"/>
    <x v="0"/>
    <x v="57"/>
    <n v="4314814.4024999999"/>
  </r>
  <r>
    <x v="16"/>
    <x v="1"/>
    <x v="57"/>
    <n v="4314814.4024999999"/>
  </r>
  <r>
    <x v="16"/>
    <x v="2"/>
    <x v="57"/>
    <n v="4314814.4024999999"/>
  </r>
  <r>
    <x v="16"/>
    <x v="3"/>
    <x v="57"/>
    <n v="4314814.4024999999"/>
  </r>
  <r>
    <x v="16"/>
    <x v="4"/>
    <x v="57"/>
    <n v="4314814.4024999999"/>
  </r>
  <r>
    <x v="16"/>
    <x v="5"/>
    <x v="57"/>
    <n v="4314814.4024999999"/>
  </r>
  <r>
    <x v="16"/>
    <x v="6"/>
    <x v="57"/>
    <n v="4314814.4024999999"/>
  </r>
  <r>
    <x v="16"/>
    <x v="7"/>
    <x v="57"/>
    <n v="4314814.4024999999"/>
  </r>
  <r>
    <x v="16"/>
    <x v="8"/>
    <x v="57"/>
    <n v="4314814.4024999999"/>
  </r>
  <r>
    <x v="16"/>
    <x v="9"/>
    <x v="57"/>
    <n v="4314814.4024999999"/>
  </r>
  <r>
    <x v="16"/>
    <x v="10"/>
    <x v="57"/>
    <n v="4314814.4024999999"/>
  </r>
  <r>
    <x v="16"/>
    <x v="11"/>
    <x v="57"/>
    <n v="4314814.4024999999"/>
  </r>
  <r>
    <x v="16"/>
    <x v="12"/>
    <x v="57"/>
    <n v="4314814.4024999999"/>
  </r>
  <r>
    <x v="16"/>
    <x v="13"/>
    <x v="57"/>
    <n v="4314814.4024999999"/>
  </r>
  <r>
    <x v="16"/>
    <x v="14"/>
    <x v="57"/>
    <n v="4314814.4024999999"/>
  </r>
  <r>
    <x v="16"/>
    <x v="15"/>
    <x v="57"/>
    <n v="4314814.4024999999"/>
  </r>
  <r>
    <x v="16"/>
    <x v="16"/>
    <x v="57"/>
    <n v="4314814.4024999999"/>
  </r>
  <r>
    <x v="16"/>
    <x v="17"/>
    <x v="57"/>
    <n v="4314814.4024999999"/>
  </r>
  <r>
    <x v="16"/>
    <x v="18"/>
    <x v="57"/>
    <n v="4314814.4024999999"/>
  </r>
  <r>
    <x v="16"/>
    <x v="19"/>
    <x v="57"/>
    <n v="4314814.4024999999"/>
  </r>
  <r>
    <x v="16"/>
    <x v="20"/>
    <x v="57"/>
    <n v="4314814.4024999999"/>
  </r>
  <r>
    <x v="16"/>
    <x v="21"/>
    <x v="57"/>
    <n v="4314814.4024999999"/>
  </r>
  <r>
    <x v="16"/>
    <x v="22"/>
    <x v="57"/>
    <n v="4314814.4024999999"/>
  </r>
  <r>
    <x v="16"/>
    <x v="0"/>
    <x v="57"/>
    <n v="4363154.7749999994"/>
  </r>
  <r>
    <x v="16"/>
    <x v="1"/>
    <x v="57"/>
    <n v="4363154.7749999994"/>
  </r>
  <r>
    <x v="16"/>
    <x v="2"/>
    <x v="57"/>
    <n v="4363154.7749999994"/>
  </r>
  <r>
    <x v="16"/>
    <x v="3"/>
    <x v="57"/>
    <n v="4363154.7749999994"/>
  </r>
  <r>
    <x v="16"/>
    <x v="4"/>
    <x v="57"/>
    <n v="4363154.7749999994"/>
  </r>
  <r>
    <x v="16"/>
    <x v="5"/>
    <x v="57"/>
    <n v="4363154.7749999994"/>
  </r>
  <r>
    <x v="16"/>
    <x v="6"/>
    <x v="57"/>
    <n v="4363154.7749999994"/>
  </r>
  <r>
    <x v="16"/>
    <x v="7"/>
    <x v="57"/>
    <n v="4363154.7749999994"/>
  </r>
  <r>
    <x v="16"/>
    <x v="8"/>
    <x v="57"/>
    <n v="4363154.7749999994"/>
  </r>
  <r>
    <x v="16"/>
    <x v="9"/>
    <x v="57"/>
    <n v="4363154.7749999994"/>
  </r>
  <r>
    <x v="16"/>
    <x v="10"/>
    <x v="57"/>
    <n v="4363154.7749999994"/>
  </r>
  <r>
    <x v="16"/>
    <x v="11"/>
    <x v="57"/>
    <n v="4363154.7749999994"/>
  </r>
  <r>
    <x v="16"/>
    <x v="0"/>
    <x v="58"/>
    <n v="5731070.625"/>
  </r>
  <r>
    <x v="16"/>
    <x v="1"/>
    <x v="58"/>
    <n v="5731070.625"/>
  </r>
  <r>
    <x v="16"/>
    <x v="2"/>
    <x v="58"/>
    <n v="5731070.625"/>
  </r>
  <r>
    <x v="16"/>
    <x v="3"/>
    <x v="58"/>
    <n v="5731070.625"/>
  </r>
  <r>
    <x v="16"/>
    <x v="4"/>
    <x v="58"/>
    <n v="5731070.625"/>
  </r>
  <r>
    <x v="16"/>
    <x v="5"/>
    <x v="58"/>
    <n v="5731070.625"/>
  </r>
  <r>
    <x v="16"/>
    <x v="6"/>
    <x v="58"/>
    <n v="5731070.625"/>
  </r>
  <r>
    <x v="16"/>
    <x v="7"/>
    <x v="58"/>
    <n v="5731070.625"/>
  </r>
  <r>
    <x v="16"/>
    <x v="8"/>
    <x v="58"/>
    <n v="5731070.625"/>
  </r>
  <r>
    <x v="16"/>
    <x v="9"/>
    <x v="58"/>
    <n v="5731070.625"/>
  </r>
  <r>
    <x v="16"/>
    <x v="10"/>
    <x v="58"/>
    <n v="5731070.625"/>
  </r>
  <r>
    <x v="16"/>
    <x v="11"/>
    <x v="58"/>
    <n v="5731070.625"/>
  </r>
  <r>
    <x v="16"/>
    <x v="12"/>
    <x v="58"/>
    <n v="5731070.625"/>
  </r>
  <r>
    <x v="16"/>
    <x v="13"/>
    <x v="58"/>
    <n v="5731070.625"/>
  </r>
  <r>
    <x v="16"/>
    <x v="14"/>
    <x v="58"/>
    <n v="5731070.625"/>
  </r>
  <r>
    <x v="16"/>
    <x v="15"/>
    <x v="58"/>
    <n v="5731070.625"/>
  </r>
  <r>
    <x v="16"/>
    <x v="16"/>
    <x v="58"/>
    <n v="5731070.625"/>
  </r>
  <r>
    <x v="16"/>
    <x v="17"/>
    <x v="58"/>
    <n v="5731070.625"/>
  </r>
  <r>
    <x v="16"/>
    <x v="18"/>
    <x v="58"/>
    <n v="5731070.625"/>
  </r>
  <r>
    <x v="16"/>
    <x v="0"/>
    <x v="59"/>
    <n v="5735067.9750000006"/>
  </r>
  <r>
    <x v="16"/>
    <x v="1"/>
    <x v="59"/>
    <n v="5735067.9750000006"/>
  </r>
  <r>
    <x v="16"/>
    <x v="2"/>
    <x v="59"/>
    <n v="5735067.9750000006"/>
  </r>
  <r>
    <x v="16"/>
    <x v="3"/>
    <x v="59"/>
    <n v="5735067.9750000006"/>
  </r>
  <r>
    <x v="16"/>
    <x v="4"/>
    <x v="59"/>
    <n v="5735067.9750000006"/>
  </r>
  <r>
    <x v="16"/>
    <x v="5"/>
    <x v="59"/>
    <n v="5735067.9750000006"/>
  </r>
  <r>
    <x v="16"/>
    <x v="6"/>
    <x v="59"/>
    <n v="5735067.9750000006"/>
  </r>
  <r>
    <x v="16"/>
    <x v="7"/>
    <x v="59"/>
    <n v="5735067.9750000006"/>
  </r>
  <r>
    <x v="16"/>
    <x v="8"/>
    <x v="59"/>
    <n v="5735067.9750000006"/>
  </r>
  <r>
    <x v="16"/>
    <x v="9"/>
    <x v="59"/>
    <n v="5735067.9750000006"/>
  </r>
  <r>
    <x v="16"/>
    <x v="10"/>
    <x v="59"/>
    <n v="5735067.9750000006"/>
  </r>
  <r>
    <x v="16"/>
    <x v="11"/>
    <x v="59"/>
    <n v="5735067.9750000006"/>
  </r>
  <r>
    <x v="16"/>
    <x v="12"/>
    <x v="59"/>
    <n v="5735067.9750000006"/>
  </r>
  <r>
    <x v="16"/>
    <x v="13"/>
    <x v="59"/>
    <n v="5735067.9750000006"/>
  </r>
  <r>
    <x v="16"/>
    <x v="14"/>
    <x v="59"/>
    <n v="5735067.9750000006"/>
  </r>
  <r>
    <x v="16"/>
    <x v="15"/>
    <x v="59"/>
    <n v="5735067.9750000006"/>
  </r>
  <r>
    <x v="16"/>
    <x v="16"/>
    <x v="59"/>
    <n v="5735067.9750000006"/>
  </r>
  <r>
    <x v="16"/>
    <x v="17"/>
    <x v="59"/>
    <n v="5735067.9750000006"/>
  </r>
  <r>
    <x v="16"/>
    <x v="18"/>
    <x v="59"/>
    <n v="5735067.9750000006"/>
  </r>
  <r>
    <x v="16"/>
    <x v="19"/>
    <x v="59"/>
    <n v="5735067.9750000006"/>
  </r>
  <r>
    <x v="16"/>
    <x v="20"/>
    <x v="59"/>
    <n v="5735067.9750000006"/>
  </r>
  <r>
    <x v="16"/>
    <x v="21"/>
    <x v="59"/>
    <n v="5735067.9750000006"/>
  </r>
  <r>
    <x v="16"/>
    <x v="22"/>
    <x v="59"/>
    <n v="5735067.9750000006"/>
  </r>
  <r>
    <x v="16"/>
    <x v="0"/>
    <x v="15"/>
    <n v="5532675.75"/>
  </r>
  <r>
    <x v="16"/>
    <x v="1"/>
    <x v="15"/>
    <n v="5532675.75"/>
  </r>
  <r>
    <x v="16"/>
    <x v="2"/>
    <x v="15"/>
    <n v="5532675.75"/>
  </r>
  <r>
    <x v="16"/>
    <x v="3"/>
    <x v="15"/>
    <n v="5532675.75"/>
  </r>
  <r>
    <x v="16"/>
    <x v="4"/>
    <x v="15"/>
    <n v="5532675.75"/>
  </r>
  <r>
    <x v="16"/>
    <x v="5"/>
    <x v="15"/>
    <n v="5532675.75"/>
  </r>
  <r>
    <x v="16"/>
    <x v="6"/>
    <x v="15"/>
    <n v="5532675.75"/>
  </r>
  <r>
    <x v="16"/>
    <x v="7"/>
    <x v="15"/>
    <n v="5532675.75"/>
  </r>
  <r>
    <x v="16"/>
    <x v="8"/>
    <x v="15"/>
    <n v="5532675.75"/>
  </r>
  <r>
    <x v="16"/>
    <x v="9"/>
    <x v="15"/>
    <n v="5532675.75"/>
  </r>
  <r>
    <x v="16"/>
    <x v="10"/>
    <x v="15"/>
    <n v="5532675.75"/>
  </r>
  <r>
    <x v="16"/>
    <x v="11"/>
    <x v="15"/>
    <n v="5532675.75"/>
  </r>
  <r>
    <x v="16"/>
    <x v="12"/>
    <x v="15"/>
    <n v="5532675.75"/>
  </r>
  <r>
    <x v="16"/>
    <x v="13"/>
    <x v="15"/>
    <n v="5532675.75"/>
  </r>
  <r>
    <x v="16"/>
    <x v="14"/>
    <x v="15"/>
    <n v="5532675.75"/>
  </r>
  <r>
    <x v="16"/>
    <x v="15"/>
    <x v="15"/>
    <n v="5532675.75"/>
  </r>
  <r>
    <x v="16"/>
    <x v="16"/>
    <x v="15"/>
    <n v="5532675.75"/>
  </r>
  <r>
    <x v="16"/>
    <x v="17"/>
    <x v="15"/>
    <n v="5532675.75"/>
  </r>
  <r>
    <x v="16"/>
    <x v="18"/>
    <x v="15"/>
    <n v="5532675.75"/>
  </r>
  <r>
    <x v="16"/>
    <x v="19"/>
    <x v="15"/>
    <n v="5532675.75"/>
  </r>
  <r>
    <x v="16"/>
    <x v="20"/>
    <x v="15"/>
    <n v="5532675.75"/>
  </r>
  <r>
    <x v="16"/>
    <x v="21"/>
    <x v="15"/>
    <n v="5532675.75"/>
  </r>
  <r>
    <x v="16"/>
    <x v="22"/>
    <x v="15"/>
    <n v="5532675.75"/>
  </r>
  <r>
    <x v="16"/>
    <x v="23"/>
    <x v="15"/>
    <n v="5532675.75"/>
  </r>
  <r>
    <x v="16"/>
    <x v="0"/>
    <x v="60"/>
    <n v="6478130.9250000007"/>
  </r>
  <r>
    <x v="16"/>
    <x v="1"/>
    <x v="60"/>
    <n v="6478130.9250000007"/>
  </r>
  <r>
    <x v="16"/>
    <x v="2"/>
    <x v="60"/>
    <n v="6478130.9250000007"/>
  </r>
  <r>
    <x v="16"/>
    <x v="3"/>
    <x v="60"/>
    <n v="6478130.9250000007"/>
  </r>
  <r>
    <x v="16"/>
    <x v="4"/>
    <x v="60"/>
    <n v="6478130.9250000007"/>
  </r>
  <r>
    <x v="16"/>
    <x v="5"/>
    <x v="60"/>
    <n v="6478130.9250000007"/>
  </r>
  <r>
    <x v="16"/>
    <x v="6"/>
    <x v="60"/>
    <n v="6478130.9250000007"/>
  </r>
  <r>
    <x v="16"/>
    <x v="7"/>
    <x v="60"/>
    <n v="6478130.9250000007"/>
  </r>
  <r>
    <x v="16"/>
    <x v="8"/>
    <x v="60"/>
    <n v="6478130.9250000007"/>
  </r>
  <r>
    <x v="16"/>
    <x v="9"/>
    <x v="60"/>
    <n v="6478130.9250000007"/>
  </r>
  <r>
    <x v="16"/>
    <x v="10"/>
    <x v="60"/>
    <n v="6478130.9250000007"/>
  </r>
  <r>
    <x v="16"/>
    <x v="11"/>
    <x v="60"/>
    <n v="6478130.9250000007"/>
  </r>
  <r>
    <x v="16"/>
    <x v="12"/>
    <x v="60"/>
    <n v="6478130.9250000007"/>
  </r>
  <r>
    <x v="16"/>
    <x v="13"/>
    <x v="60"/>
    <n v="6478130.9250000007"/>
  </r>
  <r>
    <x v="16"/>
    <x v="14"/>
    <x v="60"/>
    <n v="6478130.9250000007"/>
  </r>
  <r>
    <x v="16"/>
    <x v="15"/>
    <x v="60"/>
    <n v="6478130.9250000007"/>
  </r>
  <r>
    <x v="16"/>
    <x v="16"/>
    <x v="60"/>
    <n v="6478130.9250000007"/>
  </r>
  <r>
    <x v="16"/>
    <x v="17"/>
    <x v="60"/>
    <n v="6478130.9250000007"/>
  </r>
  <r>
    <x v="16"/>
    <x v="18"/>
    <x v="60"/>
    <n v="6478130.9250000007"/>
  </r>
  <r>
    <x v="16"/>
    <x v="19"/>
    <x v="60"/>
    <n v="6478130.9250000007"/>
  </r>
  <r>
    <x v="16"/>
    <x v="20"/>
    <x v="60"/>
    <n v="6478130.9250000007"/>
  </r>
  <r>
    <x v="16"/>
    <x v="21"/>
    <x v="60"/>
    <n v="6478130.9250000007"/>
  </r>
  <r>
    <x v="16"/>
    <x v="22"/>
    <x v="60"/>
    <n v="6478130.9250000007"/>
  </r>
  <r>
    <x v="16"/>
    <x v="0"/>
    <x v="60"/>
    <n v="6478130.9250000007"/>
  </r>
  <r>
    <x v="16"/>
    <x v="1"/>
    <x v="60"/>
    <n v="6478130.9250000007"/>
  </r>
  <r>
    <x v="16"/>
    <x v="2"/>
    <x v="60"/>
    <n v="6478130.9250000007"/>
  </r>
  <r>
    <x v="16"/>
    <x v="3"/>
    <x v="60"/>
    <n v="6478130.9250000007"/>
  </r>
  <r>
    <x v="16"/>
    <x v="4"/>
    <x v="60"/>
    <n v="6478130.9250000007"/>
  </r>
  <r>
    <x v="16"/>
    <x v="5"/>
    <x v="60"/>
    <n v="6478130.9250000007"/>
  </r>
  <r>
    <x v="16"/>
    <x v="6"/>
    <x v="60"/>
    <n v="6478130.9250000007"/>
  </r>
  <r>
    <x v="16"/>
    <x v="7"/>
    <x v="60"/>
    <n v="6478130.9250000007"/>
  </r>
  <r>
    <x v="16"/>
    <x v="8"/>
    <x v="60"/>
    <n v="6478130.9250000007"/>
  </r>
  <r>
    <x v="16"/>
    <x v="9"/>
    <x v="60"/>
    <n v="6478130.9250000007"/>
  </r>
  <r>
    <x v="16"/>
    <x v="10"/>
    <x v="60"/>
    <n v="6478130.9250000007"/>
  </r>
  <r>
    <x v="16"/>
    <x v="11"/>
    <x v="60"/>
    <n v="6478130.9250000007"/>
  </r>
  <r>
    <x v="16"/>
    <x v="12"/>
    <x v="60"/>
    <n v="6478130.9250000007"/>
  </r>
  <r>
    <x v="16"/>
    <x v="13"/>
    <x v="60"/>
    <n v="6478130.9250000007"/>
  </r>
  <r>
    <x v="16"/>
    <x v="14"/>
    <x v="60"/>
    <n v="6478130.9250000007"/>
  </r>
  <r>
    <x v="16"/>
    <x v="15"/>
    <x v="60"/>
    <n v="6478130.9250000007"/>
  </r>
  <r>
    <x v="16"/>
    <x v="16"/>
    <x v="60"/>
    <n v="6478130.9250000007"/>
  </r>
  <r>
    <x v="16"/>
    <x v="17"/>
    <x v="60"/>
    <n v="6478130.9250000007"/>
  </r>
  <r>
    <x v="16"/>
    <x v="18"/>
    <x v="60"/>
    <n v="6478130.9250000007"/>
  </r>
  <r>
    <x v="16"/>
    <x v="19"/>
    <x v="60"/>
    <n v="6478130.9250000007"/>
  </r>
  <r>
    <x v="16"/>
    <x v="20"/>
    <x v="60"/>
    <n v="6478130.9250000007"/>
  </r>
  <r>
    <x v="16"/>
    <x v="21"/>
    <x v="60"/>
    <n v="6478130.9250000007"/>
  </r>
  <r>
    <x v="16"/>
    <x v="22"/>
    <x v="60"/>
    <n v="6478130.9250000007"/>
  </r>
  <r>
    <x v="17"/>
    <x v="0"/>
    <x v="0"/>
    <n v="2806650"/>
  </r>
  <r>
    <x v="17"/>
    <x v="1"/>
    <x v="0"/>
    <n v="2806650"/>
  </r>
  <r>
    <x v="17"/>
    <x v="2"/>
    <x v="0"/>
    <n v="2806650"/>
  </r>
  <r>
    <x v="17"/>
    <x v="3"/>
    <x v="0"/>
    <n v="2806650"/>
  </r>
  <r>
    <x v="17"/>
    <x v="4"/>
    <x v="0"/>
    <n v="2806650"/>
  </r>
  <r>
    <x v="17"/>
    <x v="5"/>
    <x v="0"/>
    <n v="2806650"/>
  </r>
  <r>
    <x v="17"/>
    <x v="6"/>
    <x v="0"/>
    <n v="2806650"/>
  </r>
  <r>
    <x v="17"/>
    <x v="7"/>
    <x v="0"/>
    <n v="2806650"/>
  </r>
  <r>
    <x v="17"/>
    <x v="8"/>
    <x v="0"/>
    <n v="2806650"/>
  </r>
  <r>
    <x v="17"/>
    <x v="9"/>
    <x v="0"/>
    <n v="2806650"/>
  </r>
  <r>
    <x v="17"/>
    <x v="10"/>
    <x v="0"/>
    <n v="2806650"/>
  </r>
  <r>
    <x v="17"/>
    <x v="0"/>
    <x v="13"/>
    <n v="5355000"/>
  </r>
  <r>
    <x v="17"/>
    <x v="1"/>
    <x v="13"/>
    <n v="5355000"/>
  </r>
  <r>
    <x v="17"/>
    <x v="2"/>
    <x v="13"/>
    <n v="5355000"/>
  </r>
  <r>
    <x v="17"/>
    <x v="3"/>
    <x v="13"/>
    <n v="5355000"/>
  </r>
  <r>
    <x v="17"/>
    <x v="4"/>
    <x v="13"/>
    <n v="5355000"/>
  </r>
  <r>
    <x v="17"/>
    <x v="5"/>
    <x v="13"/>
    <n v="5355000"/>
  </r>
  <r>
    <x v="17"/>
    <x v="6"/>
    <x v="13"/>
    <n v="5355000"/>
  </r>
  <r>
    <x v="17"/>
    <x v="7"/>
    <x v="13"/>
    <n v="5355000"/>
  </r>
  <r>
    <x v="17"/>
    <x v="8"/>
    <x v="13"/>
    <n v="5355000"/>
  </r>
  <r>
    <x v="17"/>
    <x v="9"/>
    <x v="13"/>
    <n v="5355000"/>
  </r>
  <r>
    <x v="17"/>
    <x v="10"/>
    <x v="13"/>
    <n v="5355000"/>
  </r>
  <r>
    <x v="17"/>
    <x v="0"/>
    <x v="14"/>
    <n v="4123664.9999999995"/>
  </r>
  <r>
    <x v="17"/>
    <x v="1"/>
    <x v="14"/>
    <n v="4123664.9999999995"/>
  </r>
  <r>
    <x v="17"/>
    <x v="2"/>
    <x v="14"/>
    <n v="4123664.9999999995"/>
  </r>
  <r>
    <x v="17"/>
    <x v="3"/>
    <x v="14"/>
    <n v="4123664.9999999995"/>
  </r>
  <r>
    <x v="17"/>
    <x v="4"/>
    <x v="14"/>
    <n v="4123664.9999999995"/>
  </r>
  <r>
    <x v="17"/>
    <x v="5"/>
    <x v="14"/>
    <n v="4123664.9999999995"/>
  </r>
  <r>
    <x v="17"/>
    <x v="6"/>
    <x v="14"/>
    <n v="4123664.9999999995"/>
  </r>
  <r>
    <x v="17"/>
    <x v="7"/>
    <x v="14"/>
    <n v="4123664.9999999995"/>
  </r>
  <r>
    <x v="17"/>
    <x v="0"/>
    <x v="61"/>
    <n v="4123666.6694999998"/>
  </r>
  <r>
    <x v="17"/>
    <x v="1"/>
    <x v="61"/>
    <n v="4123666.6694999998"/>
  </r>
  <r>
    <x v="18"/>
    <x v="0"/>
    <x v="62"/>
    <n v="10415999.475"/>
  </r>
  <r>
    <x v="18"/>
    <x v="1"/>
    <x v="62"/>
    <n v="10415999.475"/>
  </r>
  <r>
    <x v="18"/>
    <x v="2"/>
    <x v="62"/>
    <n v="10415999.475"/>
  </r>
  <r>
    <x v="18"/>
    <x v="3"/>
    <x v="62"/>
    <n v="10415999.475"/>
  </r>
  <r>
    <x v="18"/>
    <x v="4"/>
    <x v="62"/>
    <n v="10415999.475"/>
  </r>
  <r>
    <x v="18"/>
    <x v="5"/>
    <x v="62"/>
    <n v="10415999.475"/>
  </r>
  <r>
    <x v="18"/>
    <x v="6"/>
    <x v="62"/>
    <n v="10415999.475"/>
  </r>
  <r>
    <x v="18"/>
    <x v="7"/>
    <x v="62"/>
    <n v="10415999.475"/>
  </r>
  <r>
    <x v="18"/>
    <x v="8"/>
    <x v="62"/>
    <n v="10415999.475"/>
  </r>
  <r>
    <x v="18"/>
    <x v="9"/>
    <x v="62"/>
    <n v="10415999.475"/>
  </r>
  <r>
    <x v="18"/>
    <x v="0"/>
    <x v="63"/>
    <n v="7207200"/>
  </r>
  <r>
    <x v="18"/>
    <x v="1"/>
    <x v="63"/>
    <n v="7207200"/>
  </r>
  <r>
    <x v="18"/>
    <x v="2"/>
    <x v="63"/>
    <n v="7207200"/>
  </r>
  <r>
    <x v="18"/>
    <x v="3"/>
    <x v="63"/>
    <n v="7207200"/>
  </r>
  <r>
    <x v="18"/>
    <x v="4"/>
    <x v="63"/>
    <n v="7207200"/>
  </r>
  <r>
    <x v="18"/>
    <x v="5"/>
    <x v="63"/>
    <n v="7207200"/>
  </r>
  <r>
    <x v="18"/>
    <x v="6"/>
    <x v="63"/>
    <n v="7207200"/>
  </r>
  <r>
    <x v="18"/>
    <x v="7"/>
    <x v="63"/>
    <n v="7207200"/>
  </r>
  <r>
    <x v="18"/>
    <x v="0"/>
    <x v="64"/>
    <n v="4866750"/>
  </r>
  <r>
    <x v="18"/>
    <x v="1"/>
    <x v="64"/>
    <n v="4866750"/>
  </r>
  <r>
    <x v="18"/>
    <x v="2"/>
    <x v="64"/>
    <n v="4866750"/>
  </r>
  <r>
    <x v="18"/>
    <x v="3"/>
    <x v="64"/>
    <n v="4866750"/>
  </r>
  <r>
    <x v="18"/>
    <x v="4"/>
    <x v="64"/>
    <n v="4866750"/>
  </r>
  <r>
    <x v="18"/>
    <x v="5"/>
    <x v="64"/>
    <n v="4866750"/>
  </r>
  <r>
    <x v="18"/>
    <x v="6"/>
    <x v="64"/>
    <n v="4866750"/>
  </r>
  <r>
    <x v="18"/>
    <x v="7"/>
    <x v="64"/>
    <n v="4866750"/>
  </r>
  <r>
    <x v="18"/>
    <x v="0"/>
    <x v="65"/>
    <n v="3916091.0564999999"/>
  </r>
  <r>
    <x v="18"/>
    <x v="1"/>
    <x v="65"/>
    <n v="3916091.0564999999"/>
  </r>
  <r>
    <x v="18"/>
    <x v="2"/>
    <x v="65"/>
    <n v="3916091.0564999999"/>
  </r>
  <r>
    <x v="18"/>
    <x v="3"/>
    <x v="65"/>
    <n v="3916091.0564999999"/>
  </r>
  <r>
    <x v="18"/>
    <x v="4"/>
    <x v="65"/>
    <n v="3916091.0564999999"/>
  </r>
  <r>
    <x v="18"/>
    <x v="5"/>
    <x v="65"/>
    <n v="3916091.0564999999"/>
  </r>
  <r>
    <x v="18"/>
    <x v="6"/>
    <x v="65"/>
    <n v="3916091.0564999999"/>
  </r>
  <r>
    <x v="18"/>
    <x v="7"/>
    <x v="65"/>
    <n v="3916091.0564999999"/>
  </r>
  <r>
    <x v="18"/>
    <x v="8"/>
    <x v="65"/>
    <n v="3916091.0564999999"/>
  </r>
  <r>
    <x v="18"/>
    <x v="9"/>
    <x v="65"/>
    <n v="3916091.0564999999"/>
  </r>
  <r>
    <x v="16"/>
    <x v="0"/>
    <x v="0"/>
    <n v="6263286.4602000006"/>
  </r>
  <r>
    <x v="16"/>
    <x v="1"/>
    <x v="0"/>
    <n v="6263286.4602000006"/>
  </r>
  <r>
    <x v="16"/>
    <x v="2"/>
    <x v="0"/>
    <n v="6263286.4602000006"/>
  </r>
  <r>
    <x v="16"/>
    <x v="3"/>
    <x v="0"/>
    <n v="6263286.4602000006"/>
  </r>
  <r>
    <x v="16"/>
    <x v="4"/>
    <x v="0"/>
    <n v="6263286.4602000006"/>
  </r>
  <r>
    <x v="16"/>
    <x v="5"/>
    <x v="0"/>
    <n v="6263286.4602000006"/>
  </r>
  <r>
    <x v="16"/>
    <x v="6"/>
    <x v="0"/>
    <n v="6263286.4602000006"/>
  </r>
  <r>
    <x v="16"/>
    <x v="7"/>
    <x v="0"/>
    <n v="6263286.4602000006"/>
  </r>
  <r>
    <x v="16"/>
    <x v="8"/>
    <x v="0"/>
    <n v="6263286.4602000006"/>
  </r>
  <r>
    <x v="16"/>
    <x v="9"/>
    <x v="0"/>
    <n v="6263286.4602000006"/>
  </r>
  <r>
    <x v="16"/>
    <x v="10"/>
    <x v="0"/>
    <n v="6263286.4602000006"/>
  </r>
  <r>
    <x v="16"/>
    <x v="11"/>
    <x v="0"/>
    <n v="6263286.4602000006"/>
  </r>
  <r>
    <x v="16"/>
    <x v="12"/>
    <x v="0"/>
    <n v="6263286.4602000006"/>
  </r>
  <r>
    <x v="16"/>
    <x v="13"/>
    <x v="0"/>
    <n v="6263286.4602000006"/>
  </r>
  <r>
    <x v="16"/>
    <x v="14"/>
    <x v="0"/>
    <n v="6263286.4602000006"/>
  </r>
  <r>
    <x v="16"/>
    <x v="15"/>
    <x v="0"/>
    <n v="6263286.4602000006"/>
  </r>
  <r>
    <x v="16"/>
    <x v="16"/>
    <x v="0"/>
    <n v="6263286.4602000006"/>
  </r>
  <r>
    <x v="16"/>
    <x v="17"/>
    <x v="0"/>
    <n v="6263286.4602000006"/>
  </r>
  <r>
    <x v="16"/>
    <x v="18"/>
    <x v="0"/>
    <n v="6263286.4602000006"/>
  </r>
  <r>
    <x v="16"/>
    <x v="19"/>
    <x v="0"/>
    <n v="6263286.4602000006"/>
  </r>
  <r>
    <x v="16"/>
    <x v="0"/>
    <x v="66"/>
    <n v="4120018.875"/>
  </r>
  <r>
    <x v="16"/>
    <x v="1"/>
    <x v="66"/>
    <n v="4120018.875"/>
  </r>
  <r>
    <x v="16"/>
    <x v="2"/>
    <x v="66"/>
    <n v="4120018.875"/>
  </r>
  <r>
    <x v="16"/>
    <x v="3"/>
    <x v="66"/>
    <n v="4120018.875"/>
  </r>
  <r>
    <x v="16"/>
    <x v="4"/>
    <x v="66"/>
    <n v="4120018.875"/>
  </r>
  <r>
    <x v="16"/>
    <x v="5"/>
    <x v="66"/>
    <n v="4120018.875"/>
  </r>
  <r>
    <x v="16"/>
    <x v="6"/>
    <x v="66"/>
    <n v="4120018.875"/>
  </r>
  <r>
    <x v="16"/>
    <x v="7"/>
    <x v="66"/>
    <n v="4120018.875"/>
  </r>
  <r>
    <x v="16"/>
    <x v="8"/>
    <x v="66"/>
    <n v="4120018.875"/>
  </r>
  <r>
    <x v="16"/>
    <x v="9"/>
    <x v="66"/>
    <n v="4120018.875"/>
  </r>
  <r>
    <x v="16"/>
    <x v="10"/>
    <x v="66"/>
    <n v="4120018.875"/>
  </r>
  <r>
    <x v="16"/>
    <x v="11"/>
    <x v="66"/>
    <n v="4120018.875"/>
  </r>
  <r>
    <x v="16"/>
    <x v="12"/>
    <x v="66"/>
    <n v="4120018.875"/>
  </r>
  <r>
    <x v="16"/>
    <x v="13"/>
    <x v="66"/>
    <n v="4120018.875"/>
  </r>
  <r>
    <x v="16"/>
    <x v="14"/>
    <x v="66"/>
    <n v="4120018.875"/>
  </r>
  <r>
    <x v="16"/>
    <x v="15"/>
    <x v="66"/>
    <n v="4120018.875"/>
  </r>
  <r>
    <x v="16"/>
    <x v="16"/>
    <x v="66"/>
    <n v="4120018.875"/>
  </r>
  <r>
    <x v="16"/>
    <x v="17"/>
    <x v="66"/>
    <n v="4120018.875"/>
  </r>
  <r>
    <x v="16"/>
    <x v="18"/>
    <x v="66"/>
    <n v="4120018.875"/>
  </r>
  <r>
    <x v="16"/>
    <x v="19"/>
    <x v="66"/>
    <n v="4120018.875"/>
  </r>
  <r>
    <x v="16"/>
    <x v="20"/>
    <x v="66"/>
    <n v="4120018.875"/>
  </r>
  <r>
    <x v="16"/>
    <x v="21"/>
    <x v="66"/>
    <n v="4120018.875"/>
  </r>
  <r>
    <x v="16"/>
    <x v="22"/>
    <x v="66"/>
    <n v="4120018.875"/>
  </r>
  <r>
    <x v="19"/>
    <x v="0"/>
    <x v="34"/>
    <n v="6549894.2250000006"/>
  </r>
  <r>
    <x v="19"/>
    <x v="1"/>
    <x v="34"/>
    <n v="6549894.2250000006"/>
  </r>
  <r>
    <x v="19"/>
    <x v="2"/>
    <x v="34"/>
    <n v="6549894.2250000006"/>
  </r>
  <r>
    <x v="19"/>
    <x v="3"/>
    <x v="34"/>
    <n v="6549894.2250000006"/>
  </r>
  <r>
    <x v="19"/>
    <x v="4"/>
    <x v="34"/>
    <n v="6549894.2250000006"/>
  </r>
  <r>
    <x v="19"/>
    <x v="5"/>
    <x v="34"/>
    <n v="6549894.2250000006"/>
  </r>
  <r>
    <x v="19"/>
    <x v="6"/>
    <x v="34"/>
    <n v="6549894.2250000006"/>
  </r>
  <r>
    <x v="19"/>
    <x v="7"/>
    <x v="34"/>
    <n v="6549894.2250000006"/>
  </r>
  <r>
    <x v="19"/>
    <x v="8"/>
    <x v="34"/>
    <n v="6549894.2250000006"/>
  </r>
  <r>
    <x v="19"/>
    <x v="9"/>
    <x v="34"/>
    <n v="6549894.2250000006"/>
  </r>
  <r>
    <x v="19"/>
    <x v="10"/>
    <x v="34"/>
    <n v="6549894.2250000006"/>
  </r>
  <r>
    <x v="19"/>
    <x v="11"/>
    <x v="34"/>
    <n v="6549894.2250000006"/>
  </r>
  <r>
    <x v="19"/>
    <x v="12"/>
    <x v="34"/>
    <n v="6549894.2250000006"/>
  </r>
  <r>
    <x v="19"/>
    <x v="13"/>
    <x v="34"/>
    <n v="6549894.2250000006"/>
  </r>
  <r>
    <x v="19"/>
    <x v="14"/>
    <x v="34"/>
    <n v="6549894.2250000006"/>
  </r>
  <r>
    <x v="19"/>
    <x v="15"/>
    <x v="34"/>
    <n v="6549894.2250000006"/>
  </r>
  <r>
    <x v="19"/>
    <x v="16"/>
    <x v="34"/>
    <n v="6549894.2250000006"/>
  </r>
  <r>
    <x v="19"/>
    <x v="17"/>
    <x v="34"/>
    <n v="6549894.2250000006"/>
  </r>
  <r>
    <x v="19"/>
    <x v="18"/>
    <x v="34"/>
    <n v="6549894.2250000006"/>
  </r>
  <r>
    <x v="19"/>
    <x v="0"/>
    <x v="67"/>
    <n v="3981406.9049999998"/>
  </r>
  <r>
    <x v="19"/>
    <x v="1"/>
    <x v="67"/>
    <n v="3981406.9049999998"/>
  </r>
  <r>
    <x v="19"/>
    <x v="2"/>
    <x v="67"/>
    <n v="3981406.9049999998"/>
  </r>
  <r>
    <x v="19"/>
    <x v="3"/>
    <x v="67"/>
    <n v="3981406.9049999998"/>
  </r>
  <r>
    <x v="19"/>
    <x v="4"/>
    <x v="67"/>
    <n v="3981406.9049999998"/>
  </r>
  <r>
    <x v="19"/>
    <x v="5"/>
    <x v="67"/>
    <n v="3981406.9049999998"/>
  </r>
  <r>
    <x v="19"/>
    <x v="6"/>
    <x v="67"/>
    <n v="3981406.9049999998"/>
  </r>
  <r>
    <x v="19"/>
    <x v="7"/>
    <x v="67"/>
    <n v="3981406.9049999998"/>
  </r>
  <r>
    <x v="19"/>
    <x v="8"/>
    <x v="67"/>
    <n v="3981406.9049999998"/>
  </r>
  <r>
    <x v="19"/>
    <x v="9"/>
    <x v="67"/>
    <n v="3981406.9049999998"/>
  </r>
  <r>
    <x v="19"/>
    <x v="10"/>
    <x v="67"/>
    <n v="3981406.9049999998"/>
  </r>
  <r>
    <x v="19"/>
    <x v="11"/>
    <x v="67"/>
    <n v="3981406.9049999998"/>
  </r>
  <r>
    <x v="19"/>
    <x v="12"/>
    <x v="67"/>
    <n v="3981406.9049999998"/>
  </r>
  <r>
    <x v="19"/>
    <x v="13"/>
    <x v="67"/>
    <n v="3981406.9049999998"/>
  </r>
  <r>
    <x v="19"/>
    <x v="14"/>
    <x v="67"/>
    <n v="3981406.9049999998"/>
  </r>
  <r>
    <x v="19"/>
    <x v="15"/>
    <x v="67"/>
    <n v="3981406.9049999998"/>
  </r>
  <r>
    <x v="19"/>
    <x v="16"/>
    <x v="67"/>
    <n v="3981406.9049999998"/>
  </r>
  <r>
    <x v="19"/>
    <x v="17"/>
    <x v="67"/>
    <n v="3981406.9049999998"/>
  </r>
  <r>
    <x v="19"/>
    <x v="18"/>
    <x v="67"/>
    <n v="3981406.9049999998"/>
  </r>
  <r>
    <x v="20"/>
    <x v="0"/>
    <x v="0"/>
    <n v="2823017.4132300001"/>
  </r>
  <r>
    <x v="20"/>
    <x v="1"/>
    <x v="0"/>
    <n v="2823017.4132300001"/>
  </r>
  <r>
    <x v="20"/>
    <x v="2"/>
    <x v="0"/>
    <n v="2823017.4132300001"/>
  </r>
  <r>
    <x v="20"/>
    <x v="3"/>
    <x v="0"/>
    <n v="2823017.4132300001"/>
  </r>
  <r>
    <x v="20"/>
    <x v="0"/>
    <x v="13"/>
    <n v="6088446"/>
  </r>
  <r>
    <x v="20"/>
    <x v="1"/>
    <x v="13"/>
    <n v="6088446"/>
  </r>
  <r>
    <x v="20"/>
    <x v="2"/>
    <x v="13"/>
    <n v="6088446"/>
  </r>
  <r>
    <x v="20"/>
    <x v="3"/>
    <x v="13"/>
    <n v="6088446"/>
  </r>
  <r>
    <x v="20"/>
    <x v="4"/>
    <x v="13"/>
    <n v="6088446"/>
  </r>
  <r>
    <x v="20"/>
    <x v="5"/>
    <x v="13"/>
    <n v="6088446"/>
  </r>
  <r>
    <x v="20"/>
    <x v="0"/>
    <x v="30"/>
    <n v="3965084.6316681607"/>
  </r>
  <r>
    <x v="20"/>
    <x v="1"/>
    <x v="30"/>
    <n v="3965084.6316681607"/>
  </r>
  <r>
    <x v="20"/>
    <x v="2"/>
    <x v="30"/>
    <n v="3965084.6316681607"/>
  </r>
  <r>
    <x v="20"/>
    <x v="3"/>
    <x v="30"/>
    <n v="3965084.6316681607"/>
  </r>
  <r>
    <x v="20"/>
    <x v="4"/>
    <x v="30"/>
    <n v="3965084.6316681607"/>
  </r>
  <r>
    <x v="20"/>
    <x v="0"/>
    <x v="20"/>
    <n v="3198581.6105249994"/>
  </r>
  <r>
    <x v="20"/>
    <x v="1"/>
    <x v="20"/>
    <n v="3198581.6105249994"/>
  </r>
  <r>
    <x v="20"/>
    <x v="2"/>
    <x v="20"/>
    <n v="3198581.6105249994"/>
  </r>
  <r>
    <x v="20"/>
    <x v="3"/>
    <x v="20"/>
    <n v="3198581.6105249994"/>
  </r>
  <r>
    <x v="20"/>
    <x v="0"/>
    <x v="20"/>
    <n v="3427052.1011999999"/>
  </r>
  <r>
    <x v="20"/>
    <x v="1"/>
    <x v="20"/>
    <n v="3427052.1011999999"/>
  </r>
  <r>
    <x v="21"/>
    <x v="0"/>
    <x v="1"/>
    <n v="11163096"/>
  </r>
  <r>
    <x v="21"/>
    <x v="1"/>
    <x v="1"/>
    <n v="11163096"/>
  </r>
  <r>
    <x v="21"/>
    <x v="2"/>
    <x v="1"/>
    <n v="11163096"/>
  </r>
  <r>
    <x v="21"/>
    <x v="3"/>
    <x v="1"/>
    <n v="11163096"/>
  </r>
  <r>
    <x v="21"/>
    <x v="4"/>
    <x v="1"/>
    <n v="11163096"/>
  </r>
  <r>
    <x v="21"/>
    <x v="5"/>
    <x v="1"/>
    <n v="11163096"/>
  </r>
  <r>
    <x v="21"/>
    <x v="6"/>
    <x v="1"/>
    <n v="11163096"/>
  </r>
  <r>
    <x v="21"/>
    <x v="7"/>
    <x v="1"/>
    <n v="11163096"/>
  </r>
  <r>
    <x v="21"/>
    <x v="8"/>
    <x v="1"/>
    <n v="11163096"/>
  </r>
  <r>
    <x v="21"/>
    <x v="9"/>
    <x v="1"/>
    <n v="11163096"/>
  </r>
  <r>
    <x v="21"/>
    <x v="10"/>
    <x v="1"/>
    <n v="11163096"/>
  </r>
  <r>
    <x v="21"/>
    <x v="11"/>
    <x v="1"/>
    <n v="11163096"/>
  </r>
  <r>
    <x v="21"/>
    <x v="12"/>
    <x v="1"/>
    <n v="11163096"/>
  </r>
  <r>
    <x v="21"/>
    <x v="13"/>
    <x v="1"/>
    <n v="11163096"/>
  </r>
  <r>
    <x v="21"/>
    <x v="14"/>
    <x v="1"/>
    <n v="11163096"/>
  </r>
  <r>
    <x v="21"/>
    <x v="0"/>
    <x v="68"/>
    <n v="6909525"/>
  </r>
  <r>
    <x v="21"/>
    <x v="1"/>
    <x v="68"/>
    <n v="6909525"/>
  </r>
  <r>
    <x v="21"/>
    <x v="2"/>
    <x v="68"/>
    <n v="6909525"/>
  </r>
  <r>
    <x v="21"/>
    <x v="3"/>
    <x v="68"/>
    <n v="6909525"/>
  </r>
  <r>
    <x v="21"/>
    <x v="4"/>
    <x v="68"/>
    <n v="6909525"/>
  </r>
  <r>
    <x v="21"/>
    <x v="5"/>
    <x v="68"/>
    <n v="6909525"/>
  </r>
  <r>
    <x v="21"/>
    <x v="6"/>
    <x v="68"/>
    <n v="6909525"/>
  </r>
  <r>
    <x v="21"/>
    <x v="7"/>
    <x v="68"/>
    <n v="6909525"/>
  </r>
  <r>
    <x v="21"/>
    <x v="8"/>
    <x v="68"/>
    <n v="6909525"/>
  </r>
  <r>
    <x v="21"/>
    <x v="9"/>
    <x v="68"/>
    <n v="6909525"/>
  </r>
  <r>
    <x v="21"/>
    <x v="10"/>
    <x v="68"/>
    <n v="6909525"/>
  </r>
  <r>
    <x v="21"/>
    <x v="11"/>
    <x v="68"/>
    <n v="6909525"/>
  </r>
  <r>
    <x v="21"/>
    <x v="0"/>
    <x v="69"/>
    <n v="6909525"/>
  </r>
  <r>
    <x v="21"/>
    <x v="1"/>
    <x v="69"/>
    <n v="6909525"/>
  </r>
  <r>
    <x v="21"/>
    <x v="2"/>
    <x v="69"/>
    <n v="6909525"/>
  </r>
  <r>
    <x v="21"/>
    <x v="3"/>
    <x v="69"/>
    <n v="6909525"/>
  </r>
  <r>
    <x v="21"/>
    <x v="4"/>
    <x v="69"/>
    <n v="6909525"/>
  </r>
  <r>
    <x v="21"/>
    <x v="5"/>
    <x v="69"/>
    <n v="6909525"/>
  </r>
  <r>
    <x v="21"/>
    <x v="6"/>
    <x v="69"/>
    <n v="6909525"/>
  </r>
  <r>
    <x v="21"/>
    <x v="7"/>
    <x v="69"/>
    <n v="6909525"/>
  </r>
  <r>
    <x v="21"/>
    <x v="8"/>
    <x v="69"/>
    <n v="6909525"/>
  </r>
  <r>
    <x v="21"/>
    <x v="9"/>
    <x v="69"/>
    <n v="6909525"/>
  </r>
  <r>
    <x v="21"/>
    <x v="0"/>
    <x v="15"/>
    <n v="5049009"/>
  </r>
  <r>
    <x v="21"/>
    <x v="1"/>
    <x v="15"/>
    <n v="5049009"/>
  </r>
  <r>
    <x v="21"/>
    <x v="2"/>
    <x v="15"/>
    <n v="5049009"/>
  </r>
  <r>
    <x v="21"/>
    <x v="3"/>
    <x v="15"/>
    <n v="5049009"/>
  </r>
  <r>
    <x v="21"/>
    <x v="4"/>
    <x v="15"/>
    <n v="5049009"/>
  </r>
  <r>
    <x v="21"/>
    <x v="5"/>
    <x v="15"/>
    <n v="5049009"/>
  </r>
  <r>
    <x v="21"/>
    <x v="6"/>
    <x v="15"/>
    <n v="5049009"/>
  </r>
  <r>
    <x v="21"/>
    <x v="7"/>
    <x v="15"/>
    <n v="5049009"/>
  </r>
  <r>
    <x v="21"/>
    <x v="8"/>
    <x v="15"/>
    <n v="5049009"/>
  </r>
  <r>
    <x v="21"/>
    <x v="9"/>
    <x v="15"/>
    <n v="5049009"/>
  </r>
  <r>
    <x v="21"/>
    <x v="10"/>
    <x v="15"/>
    <n v="5049009"/>
  </r>
  <r>
    <x v="21"/>
    <x v="11"/>
    <x v="15"/>
    <n v="5049009"/>
  </r>
  <r>
    <x v="21"/>
    <x v="12"/>
    <x v="15"/>
    <n v="5049009"/>
  </r>
  <r>
    <x v="21"/>
    <x v="13"/>
    <x v="15"/>
    <n v="5049009"/>
  </r>
  <r>
    <x v="21"/>
    <x v="14"/>
    <x v="15"/>
    <n v="5049009"/>
  </r>
  <r>
    <x v="21"/>
    <x v="0"/>
    <x v="70"/>
    <n v="4550175"/>
  </r>
  <r>
    <x v="21"/>
    <x v="1"/>
    <x v="70"/>
    <n v="4550175"/>
  </r>
  <r>
    <x v="21"/>
    <x v="2"/>
    <x v="70"/>
    <n v="4550175"/>
  </r>
  <r>
    <x v="21"/>
    <x v="3"/>
    <x v="70"/>
    <n v="4550175"/>
  </r>
  <r>
    <x v="21"/>
    <x v="4"/>
    <x v="70"/>
    <n v="4550175"/>
  </r>
  <r>
    <x v="21"/>
    <x v="5"/>
    <x v="70"/>
    <n v="4550175"/>
  </r>
  <r>
    <x v="21"/>
    <x v="6"/>
    <x v="70"/>
    <n v="4550175"/>
  </r>
  <r>
    <x v="21"/>
    <x v="7"/>
    <x v="70"/>
    <n v="4550175"/>
  </r>
  <r>
    <x v="21"/>
    <x v="8"/>
    <x v="70"/>
    <n v="4550175"/>
  </r>
  <r>
    <x v="21"/>
    <x v="9"/>
    <x v="70"/>
    <n v="4550175"/>
  </r>
  <r>
    <x v="21"/>
    <x v="10"/>
    <x v="70"/>
    <n v="4550175"/>
  </r>
  <r>
    <x v="21"/>
    <x v="11"/>
    <x v="70"/>
    <n v="4550175"/>
  </r>
  <r>
    <x v="21"/>
    <x v="12"/>
    <x v="70"/>
    <n v="4550175"/>
  </r>
  <r>
    <x v="21"/>
    <x v="13"/>
    <x v="70"/>
    <n v="4550175"/>
  </r>
  <r>
    <x v="21"/>
    <x v="14"/>
    <x v="70"/>
    <n v="4550175"/>
  </r>
  <r>
    <x v="21"/>
    <x v="0"/>
    <x v="71"/>
    <n v="9327858.75"/>
  </r>
  <r>
    <x v="21"/>
    <x v="1"/>
    <x v="71"/>
    <n v="9327858.75"/>
  </r>
  <r>
    <x v="21"/>
    <x v="2"/>
    <x v="71"/>
    <n v="9327858.75"/>
  </r>
  <r>
    <x v="21"/>
    <x v="3"/>
    <x v="71"/>
    <n v="9327858.75"/>
  </r>
  <r>
    <x v="21"/>
    <x v="4"/>
    <x v="71"/>
    <n v="9327858.75"/>
  </r>
  <r>
    <x v="21"/>
    <x v="5"/>
    <x v="71"/>
    <n v="9327858.75"/>
  </r>
  <r>
    <x v="21"/>
    <x v="6"/>
    <x v="71"/>
    <n v="9327858.75"/>
  </r>
  <r>
    <x v="21"/>
    <x v="7"/>
    <x v="71"/>
    <n v="9327858.75"/>
  </r>
  <r>
    <x v="21"/>
    <x v="0"/>
    <x v="72"/>
    <n v="9327858.75"/>
  </r>
  <r>
    <x v="21"/>
    <x v="1"/>
    <x v="72"/>
    <n v="9327858.75"/>
  </r>
  <r>
    <x v="21"/>
    <x v="0"/>
    <x v="73"/>
    <n v="4899387.3232500004"/>
  </r>
  <r>
    <x v="21"/>
    <x v="1"/>
    <x v="73"/>
    <n v="4899387.3232500004"/>
  </r>
  <r>
    <x v="21"/>
    <x v="2"/>
    <x v="73"/>
    <n v="4899387.3232500004"/>
  </r>
  <r>
    <x v="21"/>
    <x v="3"/>
    <x v="73"/>
    <n v="4899387.3232500004"/>
  </r>
  <r>
    <x v="21"/>
    <x v="4"/>
    <x v="73"/>
    <n v="4899387.3232500004"/>
  </r>
  <r>
    <x v="21"/>
    <x v="5"/>
    <x v="73"/>
    <n v="4899387.3232500004"/>
  </r>
  <r>
    <x v="21"/>
    <x v="6"/>
    <x v="73"/>
    <n v="4899387.3232500004"/>
  </r>
  <r>
    <x v="21"/>
    <x v="7"/>
    <x v="73"/>
    <n v="4899387.3232500004"/>
  </r>
  <r>
    <x v="21"/>
    <x v="8"/>
    <x v="73"/>
    <n v="4899387.3232500004"/>
  </r>
  <r>
    <x v="21"/>
    <x v="9"/>
    <x v="73"/>
    <n v="4899387.3232500004"/>
  </r>
  <r>
    <x v="21"/>
    <x v="10"/>
    <x v="73"/>
    <n v="4899387.3232500004"/>
  </r>
  <r>
    <x v="21"/>
    <x v="11"/>
    <x v="73"/>
    <n v="4899387.3232500004"/>
  </r>
  <r>
    <x v="21"/>
    <x v="0"/>
    <x v="74"/>
    <n v="4899387.3232500004"/>
  </r>
  <r>
    <x v="21"/>
    <x v="1"/>
    <x v="74"/>
    <n v="4899387.3232500004"/>
  </r>
  <r>
    <x v="21"/>
    <x v="2"/>
    <x v="74"/>
    <n v="4899387.3232500004"/>
  </r>
  <r>
    <x v="21"/>
    <x v="3"/>
    <x v="74"/>
    <n v="4899387.3232500004"/>
  </r>
  <r>
    <x v="21"/>
    <x v="4"/>
    <x v="74"/>
    <n v="4899387.3232500004"/>
  </r>
  <r>
    <x v="21"/>
    <x v="5"/>
    <x v="74"/>
    <n v="4899387.3232500004"/>
  </r>
  <r>
    <x v="21"/>
    <x v="6"/>
    <x v="74"/>
    <n v="4899387.3232500004"/>
  </r>
  <r>
    <x v="21"/>
    <x v="0"/>
    <x v="67"/>
    <n v="3629175.7949999999"/>
  </r>
  <r>
    <x v="21"/>
    <x v="1"/>
    <x v="67"/>
    <n v="3629175.7949999999"/>
  </r>
  <r>
    <x v="21"/>
    <x v="2"/>
    <x v="67"/>
    <n v="3629175.7949999999"/>
  </r>
  <r>
    <x v="21"/>
    <x v="3"/>
    <x v="67"/>
    <n v="3629175.7949999999"/>
  </r>
  <r>
    <x v="21"/>
    <x v="4"/>
    <x v="67"/>
    <n v="3629175.7949999999"/>
  </r>
  <r>
    <x v="21"/>
    <x v="5"/>
    <x v="67"/>
    <n v="3629175.7949999999"/>
  </r>
  <r>
    <x v="21"/>
    <x v="6"/>
    <x v="67"/>
    <n v="3629175.7949999999"/>
  </r>
  <r>
    <x v="21"/>
    <x v="7"/>
    <x v="67"/>
    <n v="3629175.7949999999"/>
  </r>
  <r>
    <x v="21"/>
    <x v="0"/>
    <x v="75"/>
    <n v="3690632.1209625001"/>
  </r>
  <r>
    <x v="21"/>
    <x v="1"/>
    <x v="75"/>
    <n v="3690632.1209625001"/>
  </r>
  <r>
    <x v="21"/>
    <x v="2"/>
    <x v="75"/>
    <n v="3690632.1209625001"/>
  </r>
  <r>
    <x v="21"/>
    <x v="3"/>
    <x v="75"/>
    <n v="3690632.1209625001"/>
  </r>
  <r>
    <x v="21"/>
    <x v="4"/>
    <x v="75"/>
    <n v="3690632.1209625001"/>
  </r>
  <r>
    <x v="21"/>
    <x v="5"/>
    <x v="75"/>
    <n v="3690632.1209625001"/>
  </r>
  <r>
    <x v="21"/>
    <x v="6"/>
    <x v="75"/>
    <n v="3690632.1209625001"/>
  </r>
  <r>
    <x v="21"/>
    <x v="7"/>
    <x v="75"/>
    <n v="3690632.1209625001"/>
  </r>
  <r>
    <x v="21"/>
    <x v="8"/>
    <x v="75"/>
    <n v="3690632.1209625001"/>
  </r>
  <r>
    <x v="21"/>
    <x v="9"/>
    <x v="75"/>
    <n v="3690632.1209625001"/>
  </r>
  <r>
    <x v="21"/>
    <x v="0"/>
    <x v="11"/>
    <n v="4935876.75"/>
  </r>
  <r>
    <x v="21"/>
    <x v="1"/>
    <x v="11"/>
    <n v="4935876.75"/>
  </r>
  <r>
    <x v="21"/>
    <x v="2"/>
    <x v="11"/>
    <n v="4935876.75"/>
  </r>
  <r>
    <x v="21"/>
    <x v="3"/>
    <x v="11"/>
    <n v="4935876.75"/>
  </r>
  <r>
    <x v="21"/>
    <x v="4"/>
    <x v="11"/>
    <n v="4935876.75"/>
  </r>
  <r>
    <x v="21"/>
    <x v="5"/>
    <x v="11"/>
    <n v="4935876.75"/>
  </r>
  <r>
    <x v="21"/>
    <x v="6"/>
    <x v="11"/>
    <n v="4935876.75"/>
  </r>
  <r>
    <x v="21"/>
    <x v="7"/>
    <x v="11"/>
    <n v="4935876.75"/>
  </r>
  <r>
    <x v="14"/>
    <x v="0"/>
    <x v="11"/>
    <n v="3771772.7985"/>
  </r>
  <r>
    <x v="14"/>
    <x v="1"/>
    <x v="11"/>
    <n v="3771772.7985"/>
  </r>
  <r>
    <x v="14"/>
    <x v="2"/>
    <x v="11"/>
    <n v="3771772.7985"/>
  </r>
  <r>
    <x v="14"/>
    <x v="3"/>
    <x v="11"/>
    <n v="3771772.7985"/>
  </r>
  <r>
    <x v="14"/>
    <x v="4"/>
    <x v="11"/>
    <n v="3771772.7985"/>
  </r>
  <r>
    <x v="14"/>
    <x v="5"/>
    <x v="11"/>
    <n v="3771772.7985"/>
  </r>
  <r>
    <x v="14"/>
    <x v="6"/>
    <x v="11"/>
    <n v="3771772.7985"/>
  </r>
  <r>
    <x v="14"/>
    <x v="7"/>
    <x v="11"/>
    <n v="3771772.7985"/>
  </r>
  <r>
    <x v="14"/>
    <x v="8"/>
    <x v="11"/>
    <n v="3771772.7985"/>
  </r>
  <r>
    <x v="14"/>
    <x v="9"/>
    <x v="11"/>
    <n v="3771772.7985"/>
  </r>
  <r>
    <x v="14"/>
    <x v="10"/>
    <x v="11"/>
    <n v="3771772.7985"/>
  </r>
  <r>
    <x v="14"/>
    <x v="11"/>
    <x v="11"/>
    <n v="3771772.7985"/>
  </r>
  <r>
    <x v="14"/>
    <x v="12"/>
    <x v="11"/>
    <n v="3771772.7985"/>
  </r>
  <r>
    <x v="14"/>
    <x v="13"/>
    <x v="11"/>
    <n v="3771772.7985"/>
  </r>
  <r>
    <x v="14"/>
    <x v="14"/>
    <x v="11"/>
    <n v="3771772.7985"/>
  </r>
  <r>
    <x v="14"/>
    <x v="15"/>
    <x v="11"/>
    <n v="3771772.7985"/>
  </r>
  <r>
    <x v="14"/>
    <x v="16"/>
    <x v="11"/>
    <n v="3771772.7985"/>
  </r>
  <r>
    <x v="14"/>
    <x v="17"/>
    <x v="11"/>
    <n v="3771772.7985"/>
  </r>
  <r>
    <x v="14"/>
    <x v="18"/>
    <x v="11"/>
    <n v="3771772.7985"/>
  </r>
  <r>
    <x v="14"/>
    <x v="19"/>
    <x v="11"/>
    <n v="3771772.7985"/>
  </r>
  <r>
    <x v="14"/>
    <x v="20"/>
    <x v="11"/>
    <n v="3771772.7985"/>
  </r>
  <r>
    <x v="14"/>
    <x v="21"/>
    <x v="11"/>
    <n v="3771772.7985"/>
  </r>
  <r>
    <x v="14"/>
    <x v="22"/>
    <x v="11"/>
    <n v="3771772.7985"/>
  </r>
  <r>
    <x v="14"/>
    <x v="23"/>
    <x v="11"/>
    <n v="3771772.7985"/>
  </r>
  <r>
    <x v="14"/>
    <x v="24"/>
    <x v="11"/>
    <n v="3771772.7985"/>
  </r>
  <r>
    <x v="11"/>
    <x v="0"/>
    <x v="76"/>
    <n v="6004530"/>
  </r>
  <r>
    <x v="11"/>
    <x v="1"/>
    <x v="76"/>
    <n v="6004530"/>
  </r>
  <r>
    <x v="11"/>
    <x v="2"/>
    <x v="76"/>
    <n v="6004530"/>
  </r>
  <r>
    <x v="11"/>
    <x v="3"/>
    <x v="76"/>
    <n v="6004530"/>
  </r>
  <r>
    <x v="11"/>
    <x v="4"/>
    <x v="76"/>
    <n v="6004530"/>
  </r>
  <r>
    <x v="11"/>
    <x v="5"/>
    <x v="76"/>
    <n v="6004530"/>
  </r>
  <r>
    <x v="11"/>
    <x v="6"/>
    <x v="76"/>
    <n v="6004530"/>
  </r>
  <r>
    <x v="11"/>
    <x v="7"/>
    <x v="76"/>
    <n v="6004530"/>
  </r>
  <r>
    <x v="11"/>
    <x v="8"/>
    <x v="76"/>
    <n v="6004530"/>
  </r>
  <r>
    <x v="11"/>
    <x v="9"/>
    <x v="76"/>
    <n v="6004530"/>
  </r>
  <r>
    <x v="11"/>
    <x v="10"/>
    <x v="76"/>
    <n v="6004530"/>
  </r>
  <r>
    <x v="11"/>
    <x v="11"/>
    <x v="76"/>
    <n v="6004530"/>
  </r>
  <r>
    <x v="11"/>
    <x v="12"/>
    <x v="76"/>
    <n v="6004530"/>
  </r>
  <r>
    <x v="11"/>
    <x v="13"/>
    <x v="76"/>
    <n v="6004530"/>
  </r>
  <r>
    <x v="11"/>
    <x v="14"/>
    <x v="76"/>
    <n v="6004530"/>
  </r>
  <r>
    <x v="10"/>
    <x v="0"/>
    <x v="5"/>
    <n v="380362.5"/>
  </r>
  <r>
    <x v="10"/>
    <x v="1"/>
    <x v="5"/>
    <n v="380362.5"/>
  </r>
  <r>
    <x v="10"/>
    <x v="2"/>
    <x v="5"/>
    <n v="380362.5"/>
  </r>
  <r>
    <x v="10"/>
    <x v="3"/>
    <x v="5"/>
    <n v="380362.5"/>
  </r>
  <r>
    <x v="10"/>
    <x v="4"/>
    <x v="5"/>
    <n v="380362.5"/>
  </r>
  <r>
    <x v="10"/>
    <x v="5"/>
    <x v="5"/>
    <n v="380362.5"/>
  </r>
  <r>
    <x v="10"/>
    <x v="6"/>
    <x v="5"/>
    <n v="380362.5"/>
  </r>
  <r>
    <x v="10"/>
    <x v="7"/>
    <x v="5"/>
    <n v="380362.5"/>
  </r>
  <r>
    <x v="22"/>
    <x v="0"/>
    <x v="77"/>
    <n v="7324096.5"/>
  </r>
  <r>
    <x v="22"/>
    <x v="0"/>
    <x v="30"/>
    <n v="2504250"/>
  </r>
  <r>
    <x v="22"/>
    <x v="0"/>
    <x v="11"/>
    <n v="4165803.1799999997"/>
  </r>
  <r>
    <x v="22"/>
    <x v="0"/>
    <x v="14"/>
    <n v="4165803.1799999997"/>
  </r>
  <r>
    <x v="23"/>
    <x v="0"/>
    <x v="0"/>
    <n v="6085367.1464827517"/>
  </r>
  <r>
    <x v="23"/>
    <x v="1"/>
    <x v="0"/>
    <n v="6085367.1464827517"/>
  </r>
  <r>
    <x v="23"/>
    <x v="2"/>
    <x v="0"/>
    <n v="6085367.1464827517"/>
  </r>
  <r>
    <x v="23"/>
    <x v="3"/>
    <x v="0"/>
    <n v="6085367.1464827517"/>
  </r>
  <r>
    <x v="23"/>
    <x v="4"/>
    <x v="0"/>
    <n v="6085367.1464827517"/>
  </r>
  <r>
    <x v="23"/>
    <x v="5"/>
    <x v="0"/>
    <n v="6085367.1464827517"/>
  </r>
  <r>
    <x v="23"/>
    <x v="0"/>
    <x v="1"/>
    <n v="11269198.072125001"/>
  </r>
  <r>
    <x v="23"/>
    <x v="1"/>
    <x v="1"/>
    <n v="11269198.072125001"/>
  </r>
  <r>
    <x v="23"/>
    <x v="2"/>
    <x v="1"/>
    <n v="11269198.072125001"/>
  </r>
  <r>
    <x v="23"/>
    <x v="3"/>
    <x v="1"/>
    <n v="11269198.072125001"/>
  </r>
  <r>
    <x v="23"/>
    <x v="4"/>
    <x v="1"/>
    <n v="11269198.072125001"/>
  </r>
  <r>
    <x v="23"/>
    <x v="5"/>
    <x v="1"/>
    <n v="11269198.072125001"/>
  </r>
  <r>
    <x v="23"/>
    <x v="0"/>
    <x v="78"/>
    <n v="960135.74937000009"/>
  </r>
  <r>
    <x v="23"/>
    <x v="1"/>
    <x v="78"/>
    <n v="960135.74937000009"/>
  </r>
  <r>
    <x v="23"/>
    <x v="2"/>
    <x v="78"/>
    <n v="960135.74937000009"/>
  </r>
  <r>
    <x v="23"/>
    <x v="3"/>
    <x v="78"/>
    <n v="960135.74937000009"/>
  </r>
  <r>
    <x v="23"/>
    <x v="4"/>
    <x v="78"/>
    <n v="960135.74937000009"/>
  </r>
  <r>
    <x v="23"/>
    <x v="5"/>
    <x v="78"/>
    <n v="960135.74937000009"/>
  </r>
  <r>
    <x v="24"/>
    <x v="0"/>
    <x v="0"/>
    <n v="3685661.2115662512"/>
  </r>
  <r>
    <x v="24"/>
    <x v="1"/>
    <x v="0"/>
    <n v="3685661.2115662512"/>
  </r>
  <r>
    <x v="24"/>
    <x v="2"/>
    <x v="0"/>
    <n v="3685661.2115662512"/>
  </r>
  <r>
    <x v="24"/>
    <x v="3"/>
    <x v="0"/>
    <n v="3685661.2115662512"/>
  </r>
  <r>
    <x v="24"/>
    <x v="4"/>
    <x v="0"/>
    <n v="3685661.2115662512"/>
  </r>
  <r>
    <x v="24"/>
    <x v="5"/>
    <x v="0"/>
    <n v="3685661.2115662512"/>
  </r>
  <r>
    <x v="24"/>
    <x v="6"/>
    <x v="0"/>
    <n v="3685661.2115662512"/>
  </r>
  <r>
    <x v="24"/>
    <x v="0"/>
    <x v="1"/>
    <n v="11787098.370468752"/>
  </r>
  <r>
    <x v="24"/>
    <x v="1"/>
    <x v="1"/>
    <n v="11787098.370468752"/>
  </r>
  <r>
    <x v="24"/>
    <x v="2"/>
    <x v="1"/>
    <n v="11787098.370468752"/>
  </r>
  <r>
    <x v="24"/>
    <x v="3"/>
    <x v="1"/>
    <n v="11787098.370468752"/>
  </r>
  <r>
    <x v="24"/>
    <x v="4"/>
    <x v="1"/>
    <n v="11787098.370468752"/>
  </r>
  <r>
    <x v="24"/>
    <x v="5"/>
    <x v="1"/>
    <n v="11787098.370468752"/>
  </r>
  <r>
    <x v="24"/>
    <x v="6"/>
    <x v="1"/>
    <n v="11787098.370468752"/>
  </r>
  <r>
    <x v="24"/>
    <x v="0"/>
    <x v="3"/>
    <n v="9796099.1329687536"/>
  </r>
  <r>
    <x v="24"/>
    <x v="1"/>
    <x v="3"/>
    <n v="9796099.1329687536"/>
  </r>
  <r>
    <x v="24"/>
    <x v="2"/>
    <x v="3"/>
    <n v="9796099.1329687536"/>
  </r>
  <r>
    <x v="24"/>
    <x v="3"/>
    <x v="3"/>
    <n v="9796099.1329687536"/>
  </r>
  <r>
    <x v="24"/>
    <x v="4"/>
    <x v="3"/>
    <n v="9796099.1329687536"/>
  </r>
  <r>
    <x v="24"/>
    <x v="0"/>
    <x v="79"/>
    <n v="8143952.6503125019"/>
  </r>
  <r>
    <x v="24"/>
    <x v="0"/>
    <x v="80"/>
    <n v="8143952.6503125019"/>
  </r>
  <r>
    <x v="24"/>
    <x v="1"/>
    <x v="80"/>
    <n v="8143952.6503125019"/>
  </r>
  <r>
    <x v="24"/>
    <x v="2"/>
    <x v="80"/>
    <n v="8143952.6503125019"/>
  </r>
  <r>
    <x v="24"/>
    <x v="3"/>
    <x v="80"/>
    <n v="8143952.6503125019"/>
  </r>
  <r>
    <x v="24"/>
    <x v="4"/>
    <x v="80"/>
    <n v="8143952.6503125019"/>
  </r>
  <r>
    <x v="24"/>
    <x v="0"/>
    <x v="81"/>
    <n v="6891920.4375000019"/>
  </r>
  <r>
    <x v="24"/>
    <x v="1"/>
    <x v="81"/>
    <n v="6891920.4375000019"/>
  </r>
  <r>
    <x v="24"/>
    <x v="2"/>
    <x v="81"/>
    <n v="6891920.4375000019"/>
  </r>
  <r>
    <x v="24"/>
    <x v="3"/>
    <x v="81"/>
    <n v="6891920.4375000019"/>
  </r>
  <r>
    <x v="24"/>
    <x v="4"/>
    <x v="81"/>
    <n v="6891920.4375000019"/>
  </r>
  <r>
    <x v="24"/>
    <x v="0"/>
    <x v="30"/>
    <n v="3882448.513125001"/>
  </r>
  <r>
    <x v="24"/>
    <x v="1"/>
    <x v="30"/>
    <n v="3882448.513125001"/>
  </r>
  <r>
    <x v="24"/>
    <x v="2"/>
    <x v="30"/>
    <n v="3882448.513125001"/>
  </r>
  <r>
    <x v="24"/>
    <x v="3"/>
    <x v="30"/>
    <n v="3882448.513125001"/>
  </r>
  <r>
    <x v="24"/>
    <x v="4"/>
    <x v="30"/>
    <n v="3882448.513125001"/>
  </r>
  <r>
    <x v="24"/>
    <x v="5"/>
    <x v="30"/>
    <n v="3882448.513125001"/>
  </r>
  <r>
    <x v="24"/>
    <x v="6"/>
    <x v="30"/>
    <n v="3882448.513125001"/>
  </r>
  <r>
    <x v="24"/>
    <x v="0"/>
    <x v="30"/>
    <n v="3882448.513125001"/>
  </r>
  <r>
    <x v="24"/>
    <x v="1"/>
    <x v="30"/>
    <n v="3882448.513125001"/>
  </r>
  <r>
    <x v="24"/>
    <x v="2"/>
    <x v="30"/>
    <n v="3882448.513125001"/>
  </r>
  <r>
    <x v="24"/>
    <x v="3"/>
    <x v="30"/>
    <n v="3882448.513125001"/>
  </r>
  <r>
    <x v="24"/>
    <x v="4"/>
    <x v="30"/>
    <n v="3882448.513125001"/>
  </r>
  <r>
    <x v="24"/>
    <x v="5"/>
    <x v="30"/>
    <n v="3882448.513125001"/>
  </r>
  <r>
    <x v="24"/>
    <x v="6"/>
    <x v="30"/>
    <n v="3882448.513125001"/>
  </r>
  <r>
    <x v="24"/>
    <x v="0"/>
    <x v="82"/>
    <n v="3802042.7746875011"/>
  </r>
  <r>
    <x v="24"/>
    <x v="0"/>
    <x v="83"/>
    <n v="3802042.7746875011"/>
  </r>
  <r>
    <x v="24"/>
    <x v="0"/>
    <x v="84"/>
    <n v="6769397.4075000016"/>
  </r>
  <r>
    <x v="24"/>
    <x v="1"/>
    <x v="84"/>
    <n v="6769397.4075000016"/>
  </r>
  <r>
    <x v="24"/>
    <x v="2"/>
    <x v="84"/>
    <n v="6769397.4075000016"/>
  </r>
  <r>
    <x v="24"/>
    <x v="0"/>
    <x v="85"/>
    <n v="3802042.7746875011"/>
  </r>
  <r>
    <x v="24"/>
    <x v="1"/>
    <x v="85"/>
    <n v="3802042.7746875011"/>
  </r>
  <r>
    <x v="24"/>
    <x v="2"/>
    <x v="85"/>
    <n v="3802042.7746875011"/>
  </r>
  <r>
    <x v="24"/>
    <x v="3"/>
    <x v="85"/>
    <n v="3802042.7746875011"/>
  </r>
  <r>
    <x v="24"/>
    <x v="4"/>
    <x v="85"/>
    <n v="3802042.7746875011"/>
  </r>
  <r>
    <x v="24"/>
    <x v="0"/>
    <x v="86"/>
    <n v="3802042.7746875011"/>
  </r>
  <r>
    <x v="24"/>
    <x v="1"/>
    <x v="86"/>
    <n v="3802042.7746875011"/>
  </r>
  <r>
    <x v="24"/>
    <x v="2"/>
    <x v="86"/>
    <n v="3802042.7746875011"/>
  </r>
  <r>
    <x v="24"/>
    <x v="3"/>
    <x v="86"/>
    <n v="3802042.7746875011"/>
  </r>
  <r>
    <x v="24"/>
    <x v="4"/>
    <x v="86"/>
    <n v="3802042.7746875011"/>
  </r>
  <r>
    <x v="24"/>
    <x v="0"/>
    <x v="87"/>
    <n v="6891920.4375000019"/>
  </r>
  <r>
    <x v="24"/>
    <x v="1"/>
    <x v="87"/>
    <n v="6891920.4375000019"/>
  </r>
  <r>
    <x v="24"/>
    <x v="2"/>
    <x v="87"/>
    <n v="6891920.4375000019"/>
  </r>
  <r>
    <x v="24"/>
    <x v="3"/>
    <x v="87"/>
    <n v="6891920.4375000019"/>
  </r>
  <r>
    <x v="24"/>
    <x v="4"/>
    <x v="87"/>
    <n v="6891920.4375000019"/>
  </r>
  <r>
    <x v="24"/>
    <x v="0"/>
    <x v="88"/>
    <n v="3802042.7746875011"/>
  </r>
  <r>
    <x v="24"/>
    <x v="1"/>
    <x v="88"/>
    <n v="3802042.7746875011"/>
  </r>
  <r>
    <x v="24"/>
    <x v="2"/>
    <x v="88"/>
    <n v="3802042.7746875011"/>
  </r>
  <r>
    <x v="24"/>
    <x v="3"/>
    <x v="88"/>
    <n v="3802042.7746875011"/>
  </r>
  <r>
    <x v="24"/>
    <x v="4"/>
    <x v="88"/>
    <n v="3802042.7746875011"/>
  </r>
  <r>
    <x v="25"/>
    <x v="0"/>
    <x v="89"/>
    <n v="26786251"/>
  </r>
  <r>
    <x v="25"/>
    <x v="1"/>
    <x v="89"/>
    <n v="26786251"/>
  </r>
  <r>
    <x v="25"/>
    <x v="2"/>
    <x v="89"/>
    <n v="26786251"/>
  </r>
  <r>
    <x v="25"/>
    <x v="0"/>
    <x v="90"/>
    <n v="15218233.5"/>
  </r>
  <r>
    <x v="25"/>
    <x v="0"/>
    <x v="91"/>
    <n v="6015462"/>
  </r>
  <r>
    <x v="25"/>
    <x v="0"/>
    <x v="92"/>
    <n v="4757001"/>
  </r>
  <r>
    <x v="25"/>
    <x v="1"/>
    <x v="92"/>
    <n v="4757001"/>
  </r>
  <r>
    <x v="25"/>
    <x v="2"/>
    <x v="92"/>
    <n v="4757001"/>
  </r>
  <r>
    <x v="25"/>
    <x v="3"/>
    <x v="92"/>
    <n v="4757001"/>
  </r>
  <r>
    <x v="25"/>
    <x v="4"/>
    <x v="92"/>
    <n v="4757001"/>
  </r>
  <r>
    <x v="25"/>
    <x v="5"/>
    <x v="92"/>
    <n v="4757001"/>
  </r>
  <r>
    <x v="25"/>
    <x v="6"/>
    <x v="92"/>
    <n v="4757001"/>
  </r>
  <r>
    <x v="25"/>
    <x v="7"/>
    <x v="92"/>
    <n v="4757001"/>
  </r>
  <r>
    <x v="25"/>
    <x v="8"/>
    <x v="92"/>
    <n v="4757001"/>
  </r>
  <r>
    <x v="25"/>
    <x v="9"/>
    <x v="92"/>
    <n v="4757001"/>
  </r>
  <r>
    <x v="25"/>
    <x v="10"/>
    <x v="92"/>
    <n v="4757001"/>
  </r>
  <r>
    <x v="25"/>
    <x v="11"/>
    <x v="92"/>
    <n v="4757001"/>
  </r>
  <r>
    <x v="25"/>
    <x v="12"/>
    <x v="92"/>
    <n v="4757001"/>
  </r>
  <r>
    <x v="25"/>
    <x v="13"/>
    <x v="92"/>
    <n v="4757001"/>
  </r>
  <r>
    <x v="25"/>
    <x v="14"/>
    <x v="92"/>
    <n v="4757001"/>
  </r>
  <r>
    <x v="25"/>
    <x v="15"/>
    <x v="92"/>
    <n v="4757001"/>
  </r>
  <r>
    <x v="25"/>
    <x v="16"/>
    <x v="92"/>
    <n v="4757001"/>
  </r>
  <r>
    <x v="25"/>
    <x v="17"/>
    <x v="92"/>
    <n v="4757001"/>
  </r>
  <r>
    <x v="25"/>
    <x v="18"/>
    <x v="92"/>
    <n v="4757001"/>
  </r>
  <r>
    <x v="25"/>
    <x v="19"/>
    <x v="92"/>
    <n v="4757001"/>
  </r>
  <r>
    <x v="25"/>
    <x v="20"/>
    <x v="92"/>
    <n v="4757001"/>
  </r>
  <r>
    <x v="25"/>
    <x v="21"/>
    <x v="92"/>
    <n v="4757001"/>
  </r>
  <r>
    <x v="25"/>
    <x v="22"/>
    <x v="92"/>
    <n v="4757001"/>
  </r>
  <r>
    <x v="25"/>
    <x v="23"/>
    <x v="92"/>
    <n v="4757001"/>
  </r>
  <r>
    <x v="25"/>
    <x v="24"/>
    <x v="92"/>
    <n v="4757001"/>
  </r>
  <r>
    <x v="25"/>
    <x v="25"/>
    <x v="92"/>
    <n v="4757001"/>
  </r>
  <r>
    <x v="25"/>
    <x v="26"/>
    <x v="92"/>
    <n v="4757001"/>
  </r>
  <r>
    <x v="25"/>
    <x v="27"/>
    <x v="92"/>
    <n v="4757001"/>
  </r>
  <r>
    <x v="25"/>
    <x v="28"/>
    <x v="92"/>
    <n v="4757001"/>
  </r>
  <r>
    <x v="25"/>
    <x v="29"/>
    <x v="92"/>
    <n v="4757001"/>
  </r>
  <r>
    <x v="25"/>
    <x v="30"/>
    <x v="92"/>
    <n v="4757001"/>
  </r>
  <r>
    <x v="25"/>
    <x v="31"/>
    <x v="92"/>
    <n v="4757001"/>
  </r>
  <r>
    <x v="25"/>
    <x v="32"/>
    <x v="92"/>
    <n v="4757001"/>
  </r>
  <r>
    <x v="25"/>
    <x v="33"/>
    <x v="92"/>
    <n v="4757001"/>
  </r>
  <r>
    <x v="25"/>
    <x v="0"/>
    <x v="93"/>
    <n v="6199545"/>
  </r>
  <r>
    <x v="25"/>
    <x v="1"/>
    <x v="93"/>
    <n v="6199545"/>
  </r>
  <r>
    <x v="25"/>
    <x v="2"/>
    <x v="93"/>
    <n v="6199545"/>
  </r>
  <r>
    <x v="25"/>
    <x v="3"/>
    <x v="93"/>
    <n v="6199545"/>
  </r>
  <r>
    <x v="25"/>
    <x v="4"/>
    <x v="93"/>
    <n v="6199545"/>
  </r>
  <r>
    <x v="25"/>
    <x v="5"/>
    <x v="93"/>
    <n v="6199545"/>
  </r>
  <r>
    <x v="25"/>
    <x v="6"/>
    <x v="93"/>
    <n v="6199545"/>
  </r>
  <r>
    <x v="25"/>
    <x v="7"/>
    <x v="93"/>
    <n v="6199545"/>
  </r>
  <r>
    <x v="25"/>
    <x v="8"/>
    <x v="93"/>
    <n v="6199545"/>
  </r>
  <r>
    <x v="25"/>
    <x v="9"/>
    <x v="93"/>
    <n v="6199545"/>
  </r>
  <r>
    <x v="25"/>
    <x v="10"/>
    <x v="93"/>
    <n v="6199545"/>
  </r>
  <r>
    <x v="25"/>
    <x v="11"/>
    <x v="93"/>
    <n v="6199545"/>
  </r>
  <r>
    <x v="25"/>
    <x v="12"/>
    <x v="93"/>
    <n v="6199545"/>
  </r>
  <r>
    <x v="25"/>
    <x v="13"/>
    <x v="93"/>
    <n v="6199545"/>
  </r>
  <r>
    <x v="25"/>
    <x v="14"/>
    <x v="93"/>
    <n v="6199545"/>
  </r>
  <r>
    <x v="25"/>
    <x v="15"/>
    <x v="93"/>
    <n v="6199545"/>
  </r>
  <r>
    <x v="25"/>
    <x v="16"/>
    <x v="93"/>
    <n v="6199545"/>
  </r>
  <r>
    <x v="25"/>
    <x v="17"/>
    <x v="93"/>
    <n v="6199545"/>
  </r>
  <r>
    <x v="25"/>
    <x v="18"/>
    <x v="93"/>
    <n v="6199545"/>
  </r>
  <r>
    <x v="25"/>
    <x v="19"/>
    <x v="93"/>
    <n v="6199545"/>
  </r>
  <r>
    <x v="25"/>
    <x v="20"/>
    <x v="93"/>
    <n v="6199545"/>
  </r>
  <r>
    <x v="25"/>
    <x v="21"/>
    <x v="93"/>
    <n v="6199545"/>
  </r>
  <r>
    <x v="25"/>
    <x v="22"/>
    <x v="93"/>
    <n v="6199545"/>
  </r>
  <r>
    <x v="25"/>
    <x v="23"/>
    <x v="93"/>
    <n v="6199545"/>
  </r>
  <r>
    <x v="25"/>
    <x v="24"/>
    <x v="93"/>
    <n v="6199545"/>
  </r>
  <r>
    <x v="25"/>
    <x v="25"/>
    <x v="93"/>
    <n v="6199545"/>
  </r>
  <r>
    <x v="25"/>
    <x v="26"/>
    <x v="93"/>
    <n v="6199545"/>
  </r>
  <r>
    <x v="25"/>
    <x v="27"/>
    <x v="93"/>
    <n v="6199545"/>
  </r>
  <r>
    <x v="25"/>
    <x v="28"/>
    <x v="93"/>
    <n v="6199545"/>
  </r>
  <r>
    <x v="25"/>
    <x v="29"/>
    <x v="93"/>
    <n v="6199545"/>
  </r>
  <r>
    <x v="25"/>
    <x v="30"/>
    <x v="93"/>
    <n v="6199545"/>
  </r>
  <r>
    <x v="25"/>
    <x v="31"/>
    <x v="93"/>
    <n v="6199545"/>
  </r>
  <r>
    <x v="25"/>
    <x v="32"/>
    <x v="93"/>
    <n v="6199545"/>
  </r>
  <r>
    <x v="25"/>
    <x v="33"/>
    <x v="93"/>
    <n v="6199545"/>
  </r>
  <r>
    <x v="25"/>
    <x v="0"/>
    <x v="94"/>
    <n v="6239898"/>
  </r>
  <r>
    <x v="25"/>
    <x v="1"/>
    <x v="94"/>
    <n v="6239898"/>
  </r>
  <r>
    <x v="25"/>
    <x v="2"/>
    <x v="94"/>
    <n v="6239898"/>
  </r>
  <r>
    <x v="25"/>
    <x v="3"/>
    <x v="94"/>
    <n v="6239898"/>
  </r>
  <r>
    <x v="25"/>
    <x v="4"/>
    <x v="94"/>
    <n v="6239898"/>
  </r>
  <r>
    <x v="25"/>
    <x v="5"/>
    <x v="94"/>
    <n v="6239898"/>
  </r>
  <r>
    <x v="25"/>
    <x v="6"/>
    <x v="94"/>
    <n v="6239898"/>
  </r>
  <r>
    <x v="25"/>
    <x v="7"/>
    <x v="94"/>
    <n v="6239898"/>
  </r>
  <r>
    <x v="25"/>
    <x v="0"/>
    <x v="95"/>
    <n v="7453077"/>
  </r>
  <r>
    <x v="25"/>
    <x v="1"/>
    <x v="95"/>
    <n v="7453077"/>
  </r>
  <r>
    <x v="25"/>
    <x v="2"/>
    <x v="95"/>
    <n v="7453077"/>
  </r>
  <r>
    <x v="25"/>
    <x v="3"/>
    <x v="95"/>
    <n v="7453077"/>
  </r>
  <r>
    <x v="25"/>
    <x v="4"/>
    <x v="95"/>
    <n v="7453077"/>
  </r>
  <r>
    <x v="25"/>
    <x v="5"/>
    <x v="95"/>
    <n v="7453077"/>
  </r>
  <r>
    <x v="25"/>
    <x v="6"/>
    <x v="95"/>
    <n v="7453077"/>
  </r>
  <r>
    <x v="25"/>
    <x v="7"/>
    <x v="95"/>
    <n v="7453077"/>
  </r>
  <r>
    <x v="25"/>
    <x v="8"/>
    <x v="95"/>
    <n v="7453077"/>
  </r>
  <r>
    <x v="25"/>
    <x v="9"/>
    <x v="95"/>
    <n v="7453077"/>
  </r>
  <r>
    <x v="25"/>
    <x v="10"/>
    <x v="95"/>
    <n v="7453077"/>
  </r>
  <r>
    <x v="25"/>
    <x v="11"/>
    <x v="95"/>
    <n v="7453077"/>
  </r>
  <r>
    <x v="25"/>
    <x v="12"/>
    <x v="95"/>
    <n v="7453077"/>
  </r>
  <r>
    <x v="25"/>
    <x v="0"/>
    <x v="20"/>
    <n v="3580481.2499999995"/>
  </r>
  <r>
    <x v="25"/>
    <x v="1"/>
    <x v="20"/>
    <n v="3580481.2499999995"/>
  </r>
  <r>
    <x v="25"/>
    <x v="0"/>
    <x v="96"/>
    <n v="3687130.4999999995"/>
  </r>
  <r>
    <x v="25"/>
    <x v="1"/>
    <x v="96"/>
    <n v="3687130.4999999995"/>
  </r>
  <r>
    <x v="25"/>
    <x v="2"/>
    <x v="96"/>
    <n v="3687130.4999999995"/>
  </r>
  <r>
    <x v="25"/>
    <x v="3"/>
    <x v="96"/>
    <n v="3687130.4999999995"/>
  </r>
  <r>
    <x v="25"/>
    <x v="0"/>
    <x v="97"/>
    <n v="4479713.6999999993"/>
  </r>
  <r>
    <x v="25"/>
    <x v="1"/>
    <x v="97"/>
    <n v="4479713.6999999993"/>
  </r>
  <r>
    <x v="25"/>
    <x v="2"/>
    <x v="97"/>
    <n v="4479713.6999999993"/>
  </r>
  <r>
    <x v="25"/>
    <x v="3"/>
    <x v="97"/>
    <n v="4479713.6999999993"/>
  </r>
  <r>
    <x v="25"/>
    <x v="4"/>
    <x v="97"/>
    <n v="4479713.6999999993"/>
  </r>
  <r>
    <x v="25"/>
    <x v="5"/>
    <x v="97"/>
    <n v="4479713.6999999993"/>
  </r>
  <r>
    <x v="25"/>
    <x v="6"/>
    <x v="97"/>
    <n v="4479713.6999999993"/>
  </r>
  <r>
    <x v="25"/>
    <x v="7"/>
    <x v="97"/>
    <n v="4479713.6999999993"/>
  </r>
  <r>
    <x v="25"/>
    <x v="8"/>
    <x v="97"/>
    <n v="4479713.6999999993"/>
  </r>
  <r>
    <x v="25"/>
    <x v="9"/>
    <x v="97"/>
    <n v="4479713.6999999993"/>
  </r>
  <r>
    <x v="25"/>
    <x v="0"/>
    <x v="98"/>
    <n v="4487334.5699999994"/>
  </r>
  <r>
    <x v="25"/>
    <x v="1"/>
    <x v="98"/>
    <n v="4487334.5699999994"/>
  </r>
  <r>
    <x v="25"/>
    <x v="0"/>
    <x v="8"/>
    <n v="3611462.4"/>
  </r>
  <r>
    <x v="25"/>
    <x v="1"/>
    <x v="8"/>
    <n v="3611462.4"/>
  </r>
  <r>
    <x v="25"/>
    <x v="2"/>
    <x v="8"/>
    <n v="3611462.4"/>
  </r>
  <r>
    <x v="25"/>
    <x v="3"/>
    <x v="8"/>
    <n v="3611462.4"/>
  </r>
  <r>
    <x v="25"/>
    <x v="0"/>
    <x v="99"/>
    <n v="3767611.53"/>
  </r>
  <r>
    <x v="25"/>
    <x v="1"/>
    <x v="99"/>
    <n v="3767611.53"/>
  </r>
  <r>
    <x v="25"/>
    <x v="0"/>
    <x v="9"/>
    <n v="3767611.53"/>
  </r>
  <r>
    <x v="25"/>
    <x v="1"/>
    <x v="9"/>
    <n v="3767611.53"/>
  </r>
  <r>
    <x v="25"/>
    <x v="2"/>
    <x v="9"/>
    <n v="3767611.53"/>
  </r>
  <r>
    <x v="25"/>
    <x v="3"/>
    <x v="9"/>
    <n v="3767611.53"/>
  </r>
  <r>
    <x v="25"/>
    <x v="3"/>
    <x v="100"/>
    <n v="4477341.0150000006"/>
  </r>
  <r>
    <x v="25"/>
    <x v="4"/>
    <x v="100"/>
    <n v="4477341.0150000006"/>
  </r>
  <r>
    <x v="25"/>
    <x v="5"/>
    <x v="100"/>
    <n v="4477341.0150000006"/>
  </r>
  <r>
    <x v="25"/>
    <x v="6"/>
    <x v="100"/>
    <n v="4477341.0150000006"/>
  </r>
  <r>
    <x v="25"/>
    <x v="7"/>
    <x v="100"/>
    <n v="4477341.0150000006"/>
  </r>
  <r>
    <x v="25"/>
    <x v="8"/>
    <x v="100"/>
    <n v="4477341.0150000006"/>
  </r>
  <r>
    <x v="25"/>
    <x v="9"/>
    <x v="100"/>
    <n v="4477341.0150000006"/>
  </r>
  <r>
    <x v="25"/>
    <x v="3"/>
    <x v="101"/>
    <n v="3062689.7"/>
  </r>
  <r>
    <x v="25"/>
    <x v="4"/>
    <x v="101"/>
    <n v="3062689.7"/>
  </r>
  <r>
    <x v="25"/>
    <x v="5"/>
    <x v="101"/>
    <n v="3062689.7"/>
  </r>
  <r>
    <x v="25"/>
    <x v="6"/>
    <x v="101"/>
    <n v="3062689.7"/>
  </r>
  <r>
    <x v="25"/>
    <x v="7"/>
    <x v="101"/>
    <n v="3062689.7"/>
  </r>
  <r>
    <x v="25"/>
    <x v="8"/>
    <x v="101"/>
    <n v="3062689.7"/>
  </r>
  <r>
    <x v="25"/>
    <x v="9"/>
    <x v="101"/>
    <n v="3062689.7"/>
  </r>
  <r>
    <x v="25"/>
    <x v="3"/>
    <x v="102"/>
    <n v="4854913"/>
  </r>
  <r>
    <x v="25"/>
    <x v="4"/>
    <x v="102"/>
    <n v="4854913"/>
  </r>
  <r>
    <x v="25"/>
    <x v="5"/>
    <x v="102"/>
    <n v="4854913"/>
  </r>
  <r>
    <x v="25"/>
    <x v="6"/>
    <x v="102"/>
    <n v="4854913"/>
  </r>
  <r>
    <x v="25"/>
    <x v="7"/>
    <x v="102"/>
    <n v="4854913"/>
  </r>
  <r>
    <x v="25"/>
    <x v="8"/>
    <x v="102"/>
    <n v="4854913"/>
  </r>
  <r>
    <x v="25"/>
    <x v="9"/>
    <x v="102"/>
    <n v="4854913"/>
  </r>
  <r>
    <x v="25"/>
    <x v="3"/>
    <x v="89"/>
    <n v="29161467"/>
  </r>
  <r>
    <x v="25"/>
    <x v="4"/>
    <x v="89"/>
    <n v="29161467"/>
  </r>
  <r>
    <x v="25"/>
    <x v="5"/>
    <x v="89"/>
    <n v="29161467"/>
  </r>
  <r>
    <x v="25"/>
    <x v="6"/>
    <x v="89"/>
    <n v="29161467"/>
  </r>
  <r>
    <x v="25"/>
    <x v="7"/>
    <x v="89"/>
    <n v="29161467"/>
  </r>
  <r>
    <x v="25"/>
    <x v="8"/>
    <x v="89"/>
    <n v="29161467"/>
  </r>
  <r>
    <x v="25"/>
    <x v="9"/>
    <x v="89"/>
    <n v="29161467"/>
  </r>
  <r>
    <x v="25"/>
    <x v="3"/>
    <x v="90"/>
    <n v="16582744.5"/>
  </r>
  <r>
    <x v="25"/>
    <x v="4"/>
    <x v="90"/>
    <n v="16582744.5"/>
  </r>
  <r>
    <x v="25"/>
    <x v="5"/>
    <x v="90"/>
    <n v="16582744.5"/>
  </r>
  <r>
    <x v="25"/>
    <x v="6"/>
    <x v="90"/>
    <n v="16582744.5"/>
  </r>
  <r>
    <x v="25"/>
    <x v="7"/>
    <x v="90"/>
    <n v="16582744.5"/>
  </r>
  <r>
    <x v="25"/>
    <x v="8"/>
    <x v="90"/>
    <n v="16582744.5"/>
  </r>
  <r>
    <x v="25"/>
    <x v="9"/>
    <x v="90"/>
    <n v="16582744.5"/>
  </r>
  <r>
    <x v="25"/>
    <x v="3"/>
    <x v="103"/>
    <n v="6633097.5"/>
  </r>
  <r>
    <x v="25"/>
    <x v="4"/>
    <x v="103"/>
    <n v="6633097.5"/>
  </r>
  <r>
    <x v="25"/>
    <x v="5"/>
    <x v="103"/>
    <n v="6633097.5"/>
  </r>
  <r>
    <x v="25"/>
    <x v="6"/>
    <x v="103"/>
    <n v="6633097.5"/>
  </r>
  <r>
    <x v="25"/>
    <x v="7"/>
    <x v="103"/>
    <n v="6633097.5"/>
  </r>
  <r>
    <x v="25"/>
    <x v="3"/>
    <x v="92"/>
    <n v="5088885"/>
  </r>
  <r>
    <x v="25"/>
    <x v="4"/>
    <x v="92"/>
    <n v="5088885"/>
  </r>
  <r>
    <x v="25"/>
    <x v="5"/>
    <x v="92"/>
    <n v="5088885"/>
  </r>
  <r>
    <x v="25"/>
    <x v="6"/>
    <x v="92"/>
    <n v="5088885"/>
  </r>
  <r>
    <x v="25"/>
    <x v="7"/>
    <x v="92"/>
    <n v="5088885"/>
  </r>
  <r>
    <x v="25"/>
    <x v="8"/>
    <x v="92"/>
    <n v="5088885"/>
  </r>
  <r>
    <x v="25"/>
    <x v="9"/>
    <x v="92"/>
    <n v="5088885"/>
  </r>
  <r>
    <x v="25"/>
    <x v="3"/>
    <x v="93"/>
    <n v="6663097.5"/>
  </r>
  <r>
    <x v="25"/>
    <x v="4"/>
    <x v="93"/>
    <n v="6663097.5"/>
  </r>
  <r>
    <x v="25"/>
    <x v="5"/>
    <x v="93"/>
    <n v="6663097.5"/>
  </r>
  <r>
    <x v="25"/>
    <x v="6"/>
    <x v="93"/>
    <n v="6663097.5"/>
  </r>
  <r>
    <x v="25"/>
    <x v="7"/>
    <x v="93"/>
    <n v="6663097.5"/>
  </r>
  <r>
    <x v="25"/>
    <x v="8"/>
    <x v="93"/>
    <n v="6663097.5"/>
  </r>
  <r>
    <x v="25"/>
    <x v="9"/>
    <x v="93"/>
    <n v="6663097.5"/>
  </r>
  <r>
    <x v="25"/>
    <x v="3"/>
    <x v="94"/>
    <n v="6663097.5"/>
  </r>
  <r>
    <x v="25"/>
    <x v="4"/>
    <x v="94"/>
    <n v="6663097.5"/>
  </r>
  <r>
    <x v="25"/>
    <x v="5"/>
    <x v="94"/>
    <n v="6663097.5"/>
  </r>
  <r>
    <x v="25"/>
    <x v="6"/>
    <x v="94"/>
    <n v="6663097.5"/>
  </r>
  <r>
    <x v="25"/>
    <x v="7"/>
    <x v="94"/>
    <n v="6663097.5"/>
  </r>
  <r>
    <x v="25"/>
    <x v="8"/>
    <x v="94"/>
    <n v="6663097.5"/>
  </r>
  <r>
    <x v="25"/>
    <x v="9"/>
    <x v="94"/>
    <n v="6663097.5"/>
  </r>
  <r>
    <x v="25"/>
    <x v="3"/>
    <x v="95"/>
    <n v="7922866.5"/>
  </r>
  <r>
    <x v="25"/>
    <x v="4"/>
    <x v="95"/>
    <n v="7922866.5"/>
  </r>
  <r>
    <x v="25"/>
    <x v="5"/>
    <x v="95"/>
    <n v="7922866.5"/>
  </r>
  <r>
    <x v="25"/>
    <x v="6"/>
    <x v="95"/>
    <n v="7922866.5"/>
  </r>
  <r>
    <x v="25"/>
    <x v="7"/>
    <x v="95"/>
    <n v="7922866.5"/>
  </r>
  <r>
    <x v="25"/>
    <x v="8"/>
    <x v="95"/>
    <n v="7922866.5"/>
  </r>
  <r>
    <x v="25"/>
    <x v="9"/>
    <x v="95"/>
    <n v="7922866.5"/>
  </r>
  <r>
    <x v="25"/>
    <x v="3"/>
    <x v="104"/>
    <n v="7896546"/>
  </r>
  <r>
    <x v="25"/>
    <x v="4"/>
    <x v="104"/>
    <n v="7896546"/>
  </r>
  <r>
    <x v="25"/>
    <x v="5"/>
    <x v="104"/>
    <n v="7896546"/>
  </r>
  <r>
    <x v="25"/>
    <x v="6"/>
    <x v="104"/>
    <n v="7896546"/>
  </r>
  <r>
    <x v="25"/>
    <x v="7"/>
    <x v="104"/>
    <n v="7896546"/>
  </r>
  <r>
    <x v="25"/>
    <x v="8"/>
    <x v="104"/>
    <n v="7896546"/>
  </r>
  <r>
    <x v="25"/>
    <x v="9"/>
    <x v="104"/>
    <n v="7896546"/>
  </r>
  <r>
    <x v="25"/>
    <x v="3"/>
    <x v="105"/>
    <n v="5159076"/>
  </r>
  <r>
    <x v="25"/>
    <x v="4"/>
    <x v="105"/>
    <n v="5159076"/>
  </r>
  <r>
    <x v="25"/>
    <x v="5"/>
    <x v="105"/>
    <n v="5159076"/>
  </r>
  <r>
    <x v="25"/>
    <x v="6"/>
    <x v="105"/>
    <n v="5159076"/>
  </r>
  <r>
    <x v="25"/>
    <x v="7"/>
    <x v="105"/>
    <n v="5159076"/>
  </r>
  <r>
    <x v="25"/>
    <x v="8"/>
    <x v="105"/>
    <n v="5159076"/>
  </r>
  <r>
    <x v="25"/>
    <x v="9"/>
    <x v="105"/>
    <n v="5159076"/>
  </r>
  <r>
    <x v="25"/>
    <x v="3"/>
    <x v="30"/>
    <n v="1658274"/>
  </r>
  <r>
    <x v="25"/>
    <x v="4"/>
    <x v="30"/>
    <n v="1658274"/>
  </r>
  <r>
    <x v="25"/>
    <x v="5"/>
    <x v="30"/>
    <n v="1658274"/>
  </r>
  <r>
    <x v="25"/>
    <x v="6"/>
    <x v="30"/>
    <n v="1658274"/>
  </r>
  <r>
    <x v="25"/>
    <x v="7"/>
    <x v="30"/>
    <n v="1658274"/>
  </r>
  <r>
    <x v="25"/>
    <x v="8"/>
    <x v="30"/>
    <n v="1658274"/>
  </r>
  <r>
    <x v="25"/>
    <x v="9"/>
    <x v="30"/>
    <n v="1658274"/>
  </r>
  <r>
    <x v="25"/>
    <x v="3"/>
    <x v="20"/>
    <n v="3906157.7699999996"/>
  </r>
  <r>
    <x v="25"/>
    <x v="4"/>
    <x v="20"/>
    <n v="3906157.7699999996"/>
  </r>
  <r>
    <x v="25"/>
    <x v="5"/>
    <x v="20"/>
    <n v="3906157.7699999996"/>
  </r>
  <r>
    <x v="25"/>
    <x v="3"/>
    <x v="97"/>
    <n v="4687389.96"/>
  </r>
  <r>
    <x v="25"/>
    <x v="3"/>
    <x v="99"/>
    <n v="3906157.7699999996"/>
  </r>
  <r>
    <x v="25"/>
    <x v="3"/>
    <x v="9"/>
    <n v="3906157.7699999996"/>
  </r>
  <r>
    <x v="25"/>
    <x v="4"/>
    <x v="9"/>
    <n v="3906157.7699999996"/>
  </r>
  <r>
    <x v="25"/>
    <x v="5"/>
    <x v="9"/>
    <n v="3906157.7699999996"/>
  </r>
  <r>
    <x v="25"/>
    <x v="6"/>
    <x v="9"/>
    <n v="3906157.7699999996"/>
  </r>
  <r>
    <x v="25"/>
    <x v="7"/>
    <x v="9"/>
    <n v="3906157.7699999996"/>
  </r>
  <r>
    <x v="25"/>
    <x v="8"/>
    <x v="9"/>
    <n v="3906157.7699999996"/>
  </r>
  <r>
    <x v="25"/>
    <x v="9"/>
    <x v="9"/>
    <n v="3906157.7699999996"/>
  </r>
  <r>
    <x v="1"/>
    <x v="0"/>
    <x v="0"/>
    <n v="3071827.3950000005"/>
  </r>
  <r>
    <x v="1"/>
    <x v="1"/>
    <x v="0"/>
    <n v="3071827.3950000005"/>
  </r>
  <r>
    <x v="1"/>
    <x v="2"/>
    <x v="0"/>
    <n v="3071827.3950000005"/>
  </r>
  <r>
    <x v="23"/>
    <x v="0"/>
    <x v="0"/>
    <n v="5626057.5000000009"/>
  </r>
  <r>
    <x v="23"/>
    <x v="1"/>
    <x v="0"/>
    <n v="5626057.5000000009"/>
  </r>
  <r>
    <x v="23"/>
    <x v="2"/>
    <x v="0"/>
    <n v="5626057.5000000009"/>
  </r>
  <r>
    <x v="23"/>
    <x v="3"/>
    <x v="0"/>
    <n v="5626057.5000000009"/>
  </r>
  <r>
    <x v="23"/>
    <x v="4"/>
    <x v="0"/>
    <n v="5626057.5000000009"/>
  </r>
  <r>
    <x v="23"/>
    <x v="5"/>
    <x v="0"/>
    <n v="5626057.5000000009"/>
  </r>
  <r>
    <x v="23"/>
    <x v="0"/>
    <x v="106"/>
    <n v="10418625.000000002"/>
  </r>
  <r>
    <x v="23"/>
    <x v="1"/>
    <x v="106"/>
    <n v="10418625.000000002"/>
  </r>
  <r>
    <x v="23"/>
    <x v="2"/>
    <x v="106"/>
    <n v="10418625.000000002"/>
  </r>
  <r>
    <x v="23"/>
    <x v="3"/>
    <x v="106"/>
    <n v="10418625.000000002"/>
  </r>
  <r>
    <x v="23"/>
    <x v="4"/>
    <x v="106"/>
    <n v="10418625.000000002"/>
  </r>
  <r>
    <x v="23"/>
    <x v="5"/>
    <x v="106"/>
    <n v="10418625.000000002"/>
  </r>
  <r>
    <x v="23"/>
    <x v="0"/>
    <x v="107"/>
    <n v="887666.85000000009"/>
  </r>
  <r>
    <x v="23"/>
    <x v="1"/>
    <x v="107"/>
    <n v="887666.85000000009"/>
  </r>
  <r>
    <x v="23"/>
    <x v="2"/>
    <x v="107"/>
    <n v="887666.85000000009"/>
  </r>
  <r>
    <x v="23"/>
    <x v="3"/>
    <x v="107"/>
    <n v="887666.85000000009"/>
  </r>
  <r>
    <x v="23"/>
    <x v="4"/>
    <x v="107"/>
    <n v="887666.85000000009"/>
  </r>
  <r>
    <x v="23"/>
    <x v="5"/>
    <x v="107"/>
    <n v="887666.85000000009"/>
  </r>
  <r>
    <x v="23"/>
    <x v="0"/>
    <x v="58"/>
    <n v="4514737.5000000009"/>
  </r>
  <r>
    <x v="23"/>
    <x v="1"/>
    <x v="58"/>
    <n v="4514737.5000000009"/>
  </r>
  <r>
    <x v="23"/>
    <x v="2"/>
    <x v="58"/>
    <n v="4514737.5000000009"/>
  </r>
  <r>
    <x v="23"/>
    <x v="3"/>
    <x v="58"/>
    <n v="4514737.5000000009"/>
  </r>
  <r>
    <x v="23"/>
    <x v="4"/>
    <x v="58"/>
    <n v="4514737.5000000009"/>
  </r>
  <r>
    <x v="23"/>
    <x v="5"/>
    <x v="58"/>
    <n v="4514737.5000000009"/>
  </r>
  <r>
    <x v="23"/>
    <x v="0"/>
    <x v="3"/>
    <n v="2448376.8750000005"/>
  </r>
  <r>
    <x v="23"/>
    <x v="1"/>
    <x v="3"/>
    <n v="2448376.8750000005"/>
  </r>
  <r>
    <x v="23"/>
    <x v="2"/>
    <x v="3"/>
    <n v="2448376.8750000005"/>
  </r>
  <r>
    <x v="23"/>
    <x v="3"/>
    <x v="3"/>
    <n v="2448376.8750000005"/>
  </r>
  <r>
    <x v="23"/>
    <x v="4"/>
    <x v="3"/>
    <n v="2448376.8750000005"/>
  </r>
  <r>
    <x v="23"/>
    <x v="5"/>
    <x v="3"/>
    <n v="2448376.8750000005"/>
  </r>
  <r>
    <x v="23"/>
    <x v="0"/>
    <x v="15"/>
    <n v="5903887.5000000009"/>
  </r>
  <r>
    <x v="23"/>
    <x v="1"/>
    <x v="15"/>
    <n v="5903887.5000000009"/>
  </r>
  <r>
    <x v="23"/>
    <x v="2"/>
    <x v="15"/>
    <n v="5903887.5000000009"/>
  </r>
  <r>
    <x v="23"/>
    <x v="3"/>
    <x v="15"/>
    <n v="5903887.5000000009"/>
  </r>
  <r>
    <x v="23"/>
    <x v="4"/>
    <x v="15"/>
    <n v="5903887.5000000009"/>
  </r>
  <r>
    <x v="23"/>
    <x v="5"/>
    <x v="15"/>
    <n v="5903887.5000000009"/>
  </r>
  <r>
    <x v="23"/>
    <x v="0"/>
    <x v="108"/>
    <n v="2604656.2500000005"/>
  </r>
  <r>
    <x v="23"/>
    <x v="1"/>
    <x v="108"/>
    <n v="2604656.2500000005"/>
  </r>
  <r>
    <x v="23"/>
    <x v="2"/>
    <x v="108"/>
    <n v="2604656.2500000005"/>
  </r>
  <r>
    <x v="23"/>
    <x v="3"/>
    <x v="108"/>
    <n v="2604656.2500000005"/>
  </r>
  <r>
    <x v="23"/>
    <x v="4"/>
    <x v="108"/>
    <n v="2604656.2500000005"/>
  </r>
  <r>
    <x v="23"/>
    <x v="5"/>
    <x v="108"/>
    <n v="2604656.2500000005"/>
  </r>
  <r>
    <x v="23"/>
    <x v="0"/>
    <x v="20"/>
    <n v="4049372.25"/>
  </r>
  <r>
    <x v="23"/>
    <x v="1"/>
    <x v="20"/>
    <n v="4049372.25"/>
  </r>
  <r>
    <x v="23"/>
    <x v="2"/>
    <x v="20"/>
    <n v="4049372.25"/>
  </r>
  <r>
    <x v="23"/>
    <x v="3"/>
    <x v="20"/>
    <n v="4049372.25"/>
  </r>
  <r>
    <x v="23"/>
    <x v="4"/>
    <x v="20"/>
    <n v="4049372.25"/>
  </r>
  <r>
    <x v="23"/>
    <x v="5"/>
    <x v="20"/>
    <n v="4049372.25"/>
  </r>
  <r>
    <x v="23"/>
    <x v="0"/>
    <x v="109"/>
    <n v="3718059.9750000001"/>
  </r>
  <r>
    <x v="23"/>
    <x v="1"/>
    <x v="109"/>
    <n v="3718059.9750000001"/>
  </r>
  <r>
    <x v="23"/>
    <x v="2"/>
    <x v="109"/>
    <n v="3718059.9750000001"/>
  </r>
  <r>
    <x v="23"/>
    <x v="3"/>
    <x v="109"/>
    <n v="3718059.9750000001"/>
  </r>
  <r>
    <x v="23"/>
    <x v="4"/>
    <x v="109"/>
    <n v="3718059.9750000001"/>
  </r>
  <r>
    <x v="23"/>
    <x v="5"/>
    <x v="109"/>
    <n v="3718059.9750000001"/>
  </r>
  <r>
    <x v="23"/>
    <x v="0"/>
    <x v="110"/>
    <n v="3718059.9750000001"/>
  </r>
  <r>
    <x v="23"/>
    <x v="1"/>
    <x v="110"/>
    <n v="3718059.9750000001"/>
  </r>
  <r>
    <x v="23"/>
    <x v="2"/>
    <x v="110"/>
    <n v="3718059.9750000001"/>
  </r>
  <r>
    <x v="23"/>
    <x v="3"/>
    <x v="110"/>
    <n v="3718059.9750000001"/>
  </r>
  <r>
    <x v="23"/>
    <x v="4"/>
    <x v="110"/>
    <n v="3718059.9750000001"/>
  </r>
  <r>
    <x v="23"/>
    <x v="5"/>
    <x v="110"/>
    <n v="3718059.9750000001"/>
  </r>
  <r>
    <x v="23"/>
    <x v="0"/>
    <x v="10"/>
    <n v="4049372.25"/>
  </r>
  <r>
    <x v="23"/>
    <x v="1"/>
    <x v="10"/>
    <n v="4049372.25"/>
  </r>
  <r>
    <x v="23"/>
    <x v="2"/>
    <x v="10"/>
    <n v="4049372.25"/>
  </r>
  <r>
    <x v="23"/>
    <x v="3"/>
    <x v="10"/>
    <n v="4049372.25"/>
  </r>
  <r>
    <x v="23"/>
    <x v="4"/>
    <x v="10"/>
    <n v="4049372.25"/>
  </r>
  <r>
    <x v="23"/>
    <x v="5"/>
    <x v="10"/>
    <n v="4049372.25"/>
  </r>
  <r>
    <x v="23"/>
    <x v="0"/>
    <x v="111"/>
    <n v="6221250"/>
  </r>
  <r>
    <x v="23"/>
    <x v="1"/>
    <x v="111"/>
    <n v="6221250"/>
  </r>
  <r>
    <x v="23"/>
    <x v="0"/>
    <x v="112"/>
    <n v="6221250"/>
  </r>
  <r>
    <x v="23"/>
    <x v="1"/>
    <x v="112"/>
    <n v="6221250"/>
  </r>
  <r>
    <x v="23"/>
    <x v="2"/>
    <x v="112"/>
    <n v="6221250"/>
  </r>
  <r>
    <x v="23"/>
    <x v="3"/>
    <x v="112"/>
    <n v="6221250"/>
  </r>
  <r>
    <x v="23"/>
    <x v="0"/>
    <x v="113"/>
    <n v="6221250"/>
  </r>
  <r>
    <x v="23"/>
    <x v="0"/>
    <x v="114"/>
    <n v="4123664.9999999995"/>
  </r>
  <r>
    <x v="23"/>
    <x v="1"/>
    <x v="114"/>
    <n v="4123664.9999999995"/>
  </r>
  <r>
    <x v="23"/>
    <x v="2"/>
    <x v="114"/>
    <n v="4123664.9999999995"/>
  </r>
  <r>
    <x v="23"/>
    <x v="0"/>
    <x v="10"/>
    <n v="4123664.9999999995"/>
  </r>
  <r>
    <x v="23"/>
    <x v="1"/>
    <x v="10"/>
    <n v="4123664.9999999995"/>
  </r>
  <r>
    <x v="23"/>
    <x v="2"/>
    <x v="10"/>
    <n v="4123664.9999999995"/>
  </r>
  <r>
    <x v="23"/>
    <x v="3"/>
    <x v="10"/>
    <n v="4123664.9999999995"/>
  </r>
  <r>
    <x v="26"/>
    <x v="0"/>
    <x v="0"/>
    <n v="3572100"/>
  </r>
  <r>
    <x v="26"/>
    <x v="1"/>
    <x v="0"/>
    <n v="3572100"/>
  </r>
  <r>
    <x v="26"/>
    <x v="2"/>
    <x v="0"/>
    <n v="3572100"/>
  </r>
  <r>
    <x v="26"/>
    <x v="3"/>
    <x v="0"/>
    <n v="3572100"/>
  </r>
  <r>
    <x v="26"/>
    <x v="4"/>
    <x v="0"/>
    <n v="3572100"/>
  </r>
  <r>
    <x v="26"/>
    <x v="5"/>
    <x v="0"/>
    <n v="3572100"/>
  </r>
  <r>
    <x v="26"/>
    <x v="6"/>
    <x v="0"/>
    <n v="3572100"/>
  </r>
  <r>
    <x v="26"/>
    <x v="7"/>
    <x v="0"/>
    <n v="3572100"/>
  </r>
  <r>
    <x v="26"/>
    <x v="8"/>
    <x v="0"/>
    <n v="3572100"/>
  </r>
  <r>
    <x v="26"/>
    <x v="9"/>
    <x v="0"/>
    <n v="3572100"/>
  </r>
  <r>
    <x v="26"/>
    <x v="10"/>
    <x v="0"/>
    <n v="3572100"/>
  </r>
  <r>
    <x v="26"/>
    <x v="11"/>
    <x v="0"/>
    <n v="3572100"/>
  </r>
  <r>
    <x v="26"/>
    <x v="12"/>
    <x v="0"/>
    <n v="3572100"/>
  </r>
  <r>
    <x v="26"/>
    <x v="13"/>
    <x v="0"/>
    <n v="3572100"/>
  </r>
  <r>
    <x v="26"/>
    <x v="14"/>
    <x v="0"/>
    <n v="3572100"/>
  </r>
  <r>
    <x v="26"/>
    <x v="15"/>
    <x v="0"/>
    <n v="3572100"/>
  </r>
  <r>
    <x v="26"/>
    <x v="16"/>
    <x v="0"/>
    <n v="3572100"/>
  </r>
  <r>
    <x v="26"/>
    <x v="17"/>
    <x v="0"/>
    <n v="3572100"/>
  </r>
  <r>
    <x v="26"/>
    <x v="18"/>
    <x v="0"/>
    <n v="3572100"/>
  </r>
  <r>
    <x v="26"/>
    <x v="19"/>
    <x v="0"/>
    <n v="3572100"/>
  </r>
  <r>
    <x v="26"/>
    <x v="20"/>
    <x v="0"/>
    <n v="3572100"/>
  </r>
  <r>
    <x v="26"/>
    <x v="0"/>
    <x v="1"/>
    <n v="10087875"/>
  </r>
  <r>
    <x v="26"/>
    <x v="1"/>
    <x v="1"/>
    <n v="10087875"/>
  </r>
  <r>
    <x v="26"/>
    <x v="2"/>
    <x v="1"/>
    <n v="10087875"/>
  </r>
  <r>
    <x v="26"/>
    <x v="3"/>
    <x v="1"/>
    <n v="10087875"/>
  </r>
  <r>
    <x v="26"/>
    <x v="4"/>
    <x v="1"/>
    <n v="10087875"/>
  </r>
  <r>
    <x v="26"/>
    <x v="5"/>
    <x v="1"/>
    <n v="10087875"/>
  </r>
  <r>
    <x v="26"/>
    <x v="6"/>
    <x v="1"/>
    <n v="10087875"/>
  </r>
  <r>
    <x v="26"/>
    <x v="7"/>
    <x v="1"/>
    <n v="10087875"/>
  </r>
  <r>
    <x v="26"/>
    <x v="8"/>
    <x v="1"/>
    <n v="10087875"/>
  </r>
  <r>
    <x v="26"/>
    <x v="9"/>
    <x v="1"/>
    <n v="10087875"/>
  </r>
  <r>
    <x v="26"/>
    <x v="10"/>
    <x v="1"/>
    <n v="10087875"/>
  </r>
  <r>
    <x v="26"/>
    <x v="11"/>
    <x v="1"/>
    <n v="10087875"/>
  </r>
  <r>
    <x v="26"/>
    <x v="12"/>
    <x v="1"/>
    <n v="10087875"/>
  </r>
  <r>
    <x v="26"/>
    <x v="13"/>
    <x v="1"/>
    <n v="10087875"/>
  </r>
  <r>
    <x v="26"/>
    <x v="14"/>
    <x v="1"/>
    <n v="10087875"/>
  </r>
  <r>
    <x v="26"/>
    <x v="15"/>
    <x v="1"/>
    <n v="10087875"/>
  </r>
  <r>
    <x v="26"/>
    <x v="16"/>
    <x v="1"/>
    <n v="10087875"/>
  </r>
  <r>
    <x v="26"/>
    <x v="17"/>
    <x v="1"/>
    <n v="10087875"/>
  </r>
  <r>
    <x v="26"/>
    <x v="18"/>
    <x v="1"/>
    <n v="10087875"/>
  </r>
  <r>
    <x v="26"/>
    <x v="19"/>
    <x v="1"/>
    <n v="10087875"/>
  </r>
  <r>
    <x v="26"/>
    <x v="20"/>
    <x v="1"/>
    <n v="10087875"/>
  </r>
  <r>
    <x v="26"/>
    <x v="0"/>
    <x v="115"/>
    <n v="7594316.1000000006"/>
  </r>
  <r>
    <x v="26"/>
    <x v="1"/>
    <x v="115"/>
    <n v="7594316.1000000006"/>
  </r>
  <r>
    <x v="26"/>
    <x v="2"/>
    <x v="115"/>
    <n v="7594316.1000000006"/>
  </r>
  <r>
    <x v="26"/>
    <x v="3"/>
    <x v="115"/>
    <n v="7594316.1000000006"/>
  </r>
  <r>
    <x v="26"/>
    <x v="4"/>
    <x v="115"/>
    <n v="7594316.1000000006"/>
  </r>
  <r>
    <x v="26"/>
    <x v="5"/>
    <x v="115"/>
    <n v="7594316.1000000006"/>
  </r>
  <r>
    <x v="26"/>
    <x v="6"/>
    <x v="115"/>
    <n v="7594316.1000000006"/>
  </r>
  <r>
    <x v="26"/>
    <x v="7"/>
    <x v="115"/>
    <n v="7594316.1000000006"/>
  </r>
  <r>
    <x v="26"/>
    <x v="8"/>
    <x v="115"/>
    <n v="7594316.1000000006"/>
  </r>
  <r>
    <x v="26"/>
    <x v="9"/>
    <x v="115"/>
    <n v="7594316.1000000006"/>
  </r>
  <r>
    <x v="26"/>
    <x v="10"/>
    <x v="115"/>
    <n v="7594316.1000000006"/>
  </r>
  <r>
    <x v="26"/>
    <x v="11"/>
    <x v="115"/>
    <n v="7594316.1000000006"/>
  </r>
  <r>
    <x v="26"/>
    <x v="12"/>
    <x v="115"/>
    <n v="7594316.1000000006"/>
  </r>
  <r>
    <x v="26"/>
    <x v="13"/>
    <x v="115"/>
    <n v="7594316.1000000006"/>
  </r>
  <r>
    <x v="26"/>
    <x v="14"/>
    <x v="115"/>
    <n v="7594316.1000000006"/>
  </r>
  <r>
    <x v="26"/>
    <x v="15"/>
    <x v="115"/>
    <n v="7594316.1000000006"/>
  </r>
  <r>
    <x v="26"/>
    <x v="16"/>
    <x v="115"/>
    <n v="7594316.1000000006"/>
  </r>
  <r>
    <x v="26"/>
    <x v="17"/>
    <x v="115"/>
    <n v="7594316.1000000006"/>
  </r>
  <r>
    <x v="26"/>
    <x v="18"/>
    <x v="115"/>
    <n v="7594316.1000000006"/>
  </r>
  <r>
    <x v="26"/>
    <x v="19"/>
    <x v="115"/>
    <n v="7594316.1000000006"/>
  </r>
  <r>
    <x v="26"/>
    <x v="20"/>
    <x v="115"/>
    <n v="7594316.1000000006"/>
  </r>
  <r>
    <x v="26"/>
    <x v="0"/>
    <x v="15"/>
    <n v="7594316.1000000006"/>
  </r>
  <r>
    <x v="26"/>
    <x v="1"/>
    <x v="15"/>
    <n v="7594316.1000000006"/>
  </r>
  <r>
    <x v="26"/>
    <x v="2"/>
    <x v="15"/>
    <n v="7594316.1000000006"/>
  </r>
  <r>
    <x v="26"/>
    <x v="3"/>
    <x v="15"/>
    <n v="7594316.1000000006"/>
  </r>
  <r>
    <x v="26"/>
    <x v="4"/>
    <x v="15"/>
    <n v="7594316.1000000006"/>
  </r>
  <r>
    <x v="26"/>
    <x v="5"/>
    <x v="15"/>
    <n v="7594316.1000000006"/>
  </r>
  <r>
    <x v="26"/>
    <x v="6"/>
    <x v="15"/>
    <n v="7594316.1000000006"/>
  </r>
  <r>
    <x v="26"/>
    <x v="7"/>
    <x v="15"/>
    <n v="7594316.1000000006"/>
  </r>
  <r>
    <x v="26"/>
    <x v="8"/>
    <x v="15"/>
    <n v="7594316.1000000006"/>
  </r>
  <r>
    <x v="26"/>
    <x v="9"/>
    <x v="15"/>
    <n v="7594316.1000000006"/>
  </r>
  <r>
    <x v="26"/>
    <x v="10"/>
    <x v="15"/>
    <n v="7594316.1000000006"/>
  </r>
  <r>
    <x v="26"/>
    <x v="11"/>
    <x v="15"/>
    <n v="7594316.1000000006"/>
  </r>
  <r>
    <x v="26"/>
    <x v="12"/>
    <x v="15"/>
    <n v="7594316.1000000006"/>
  </r>
  <r>
    <x v="26"/>
    <x v="13"/>
    <x v="15"/>
    <n v="7594316.1000000006"/>
  </r>
  <r>
    <x v="26"/>
    <x v="14"/>
    <x v="15"/>
    <n v="7594316.1000000006"/>
  </r>
  <r>
    <x v="26"/>
    <x v="15"/>
    <x v="15"/>
    <n v="7594316.1000000006"/>
  </r>
  <r>
    <x v="26"/>
    <x v="16"/>
    <x v="15"/>
    <n v="7594316.1000000006"/>
  </r>
  <r>
    <x v="26"/>
    <x v="17"/>
    <x v="15"/>
    <n v="7594316.1000000006"/>
  </r>
  <r>
    <x v="26"/>
    <x v="18"/>
    <x v="15"/>
    <n v="7594316.1000000006"/>
  </r>
  <r>
    <x v="26"/>
    <x v="19"/>
    <x v="15"/>
    <n v="7594316.1000000006"/>
  </r>
  <r>
    <x v="26"/>
    <x v="20"/>
    <x v="15"/>
    <n v="7594316.1000000006"/>
  </r>
  <r>
    <x v="26"/>
    <x v="6"/>
    <x v="116"/>
    <n v="7594316.1000000006"/>
  </r>
  <r>
    <x v="26"/>
    <x v="7"/>
    <x v="116"/>
    <n v="7594316.1000000006"/>
  </r>
  <r>
    <x v="26"/>
    <x v="8"/>
    <x v="116"/>
    <n v="7594316.1000000006"/>
  </r>
  <r>
    <x v="26"/>
    <x v="9"/>
    <x v="116"/>
    <n v="7594316.1000000006"/>
  </r>
  <r>
    <x v="26"/>
    <x v="10"/>
    <x v="116"/>
    <n v="7594316.1000000006"/>
  </r>
  <r>
    <x v="26"/>
    <x v="11"/>
    <x v="116"/>
    <n v="7594316.1000000006"/>
  </r>
  <r>
    <x v="26"/>
    <x v="12"/>
    <x v="116"/>
    <n v="7594316.1000000006"/>
  </r>
  <r>
    <x v="26"/>
    <x v="13"/>
    <x v="116"/>
    <n v="7594316.1000000006"/>
  </r>
  <r>
    <x v="26"/>
    <x v="14"/>
    <x v="116"/>
    <n v="7594316.1000000006"/>
  </r>
  <r>
    <x v="26"/>
    <x v="15"/>
    <x v="116"/>
    <n v="7594316.1000000006"/>
  </r>
  <r>
    <x v="26"/>
    <x v="16"/>
    <x v="116"/>
    <n v="7594316.1000000006"/>
  </r>
  <r>
    <x v="26"/>
    <x v="17"/>
    <x v="116"/>
    <n v="7594316.1000000006"/>
  </r>
  <r>
    <x v="26"/>
    <x v="18"/>
    <x v="116"/>
    <n v="7594316.1000000006"/>
  </r>
  <r>
    <x v="26"/>
    <x v="19"/>
    <x v="116"/>
    <n v="7594316.1000000006"/>
  </r>
  <r>
    <x v="26"/>
    <x v="20"/>
    <x v="116"/>
    <n v="7594316.1000000006"/>
  </r>
  <r>
    <x v="26"/>
    <x v="6"/>
    <x v="3"/>
    <n v="7008008.1750000007"/>
  </r>
  <r>
    <x v="26"/>
    <x v="7"/>
    <x v="3"/>
    <n v="7008008.1750000007"/>
  </r>
  <r>
    <x v="26"/>
    <x v="8"/>
    <x v="3"/>
    <n v="7008008.1750000007"/>
  </r>
  <r>
    <x v="26"/>
    <x v="9"/>
    <x v="3"/>
    <n v="7008008.1750000007"/>
  </r>
  <r>
    <x v="26"/>
    <x v="10"/>
    <x v="3"/>
    <n v="7008008.1750000007"/>
  </r>
  <r>
    <x v="26"/>
    <x v="11"/>
    <x v="3"/>
    <n v="7008008.1750000007"/>
  </r>
  <r>
    <x v="26"/>
    <x v="12"/>
    <x v="3"/>
    <n v="7008008.1750000007"/>
  </r>
  <r>
    <x v="26"/>
    <x v="13"/>
    <x v="3"/>
    <n v="7008008.1750000007"/>
  </r>
  <r>
    <x v="26"/>
    <x v="14"/>
    <x v="3"/>
    <n v="7008008.1750000007"/>
  </r>
  <r>
    <x v="26"/>
    <x v="15"/>
    <x v="3"/>
    <n v="7008008.1750000007"/>
  </r>
  <r>
    <x v="26"/>
    <x v="16"/>
    <x v="3"/>
    <n v="7008008.1750000007"/>
  </r>
  <r>
    <x v="26"/>
    <x v="17"/>
    <x v="3"/>
    <n v="7008008.1750000007"/>
  </r>
  <r>
    <x v="26"/>
    <x v="18"/>
    <x v="3"/>
    <n v="7008008.1750000007"/>
  </r>
  <r>
    <x v="26"/>
    <x v="19"/>
    <x v="3"/>
    <n v="7008008.1750000007"/>
  </r>
  <r>
    <x v="26"/>
    <x v="20"/>
    <x v="3"/>
    <n v="7008008.1750000007"/>
  </r>
  <r>
    <x v="26"/>
    <x v="0"/>
    <x v="117"/>
    <n v="3731425.4250000003"/>
  </r>
  <r>
    <x v="26"/>
    <x v="1"/>
    <x v="117"/>
    <n v="3731425.4250000003"/>
  </r>
  <r>
    <x v="26"/>
    <x v="2"/>
    <x v="117"/>
    <n v="3731425.4250000003"/>
  </r>
  <r>
    <x v="26"/>
    <x v="3"/>
    <x v="117"/>
    <n v="3731425.4250000003"/>
  </r>
  <r>
    <x v="26"/>
    <x v="4"/>
    <x v="117"/>
    <n v="3731425.4250000003"/>
  </r>
  <r>
    <x v="26"/>
    <x v="5"/>
    <x v="117"/>
    <n v="3731425.4250000003"/>
  </r>
  <r>
    <x v="26"/>
    <x v="6"/>
    <x v="117"/>
    <n v="3731425.4250000003"/>
  </r>
  <r>
    <x v="26"/>
    <x v="7"/>
    <x v="117"/>
    <n v="3731425.4250000003"/>
  </r>
  <r>
    <x v="26"/>
    <x v="8"/>
    <x v="117"/>
    <n v="3731425.4250000003"/>
  </r>
  <r>
    <x v="26"/>
    <x v="9"/>
    <x v="117"/>
    <n v="3731425.4250000003"/>
  </r>
  <r>
    <x v="26"/>
    <x v="10"/>
    <x v="117"/>
    <n v="3731425.4250000003"/>
  </r>
  <r>
    <x v="26"/>
    <x v="11"/>
    <x v="117"/>
    <n v="3731425.4250000003"/>
  </r>
  <r>
    <x v="26"/>
    <x v="12"/>
    <x v="117"/>
    <n v="3731425.4250000003"/>
  </r>
  <r>
    <x v="26"/>
    <x v="13"/>
    <x v="117"/>
    <n v="3731425.4250000003"/>
  </r>
  <r>
    <x v="26"/>
    <x v="14"/>
    <x v="117"/>
    <n v="3731425.4250000003"/>
  </r>
  <r>
    <x v="26"/>
    <x v="15"/>
    <x v="117"/>
    <n v="3731425.4250000003"/>
  </r>
  <r>
    <x v="26"/>
    <x v="16"/>
    <x v="117"/>
    <n v="3731425.4250000003"/>
  </r>
  <r>
    <x v="26"/>
    <x v="17"/>
    <x v="117"/>
    <n v="3731425.4250000003"/>
  </r>
  <r>
    <x v="26"/>
    <x v="18"/>
    <x v="117"/>
    <n v="3731425.4250000003"/>
  </r>
  <r>
    <x v="26"/>
    <x v="19"/>
    <x v="117"/>
    <n v="3731425.4250000003"/>
  </r>
  <r>
    <x v="26"/>
    <x v="20"/>
    <x v="117"/>
    <n v="3731425.4250000003"/>
  </r>
  <r>
    <x v="26"/>
    <x v="0"/>
    <x v="118"/>
    <n v="3544014.6"/>
  </r>
  <r>
    <x v="26"/>
    <x v="1"/>
    <x v="118"/>
    <n v="3544014.6"/>
  </r>
  <r>
    <x v="26"/>
    <x v="2"/>
    <x v="118"/>
    <n v="3544014.6"/>
  </r>
  <r>
    <x v="26"/>
    <x v="3"/>
    <x v="118"/>
    <n v="3544014.6"/>
  </r>
  <r>
    <x v="26"/>
    <x v="4"/>
    <x v="118"/>
    <n v="3544014.6"/>
  </r>
  <r>
    <x v="26"/>
    <x v="5"/>
    <x v="118"/>
    <n v="3544014.6"/>
  </r>
  <r>
    <x v="26"/>
    <x v="6"/>
    <x v="118"/>
    <n v="3544014.6"/>
  </r>
  <r>
    <x v="26"/>
    <x v="7"/>
    <x v="118"/>
    <n v="3544014.6"/>
  </r>
  <r>
    <x v="26"/>
    <x v="8"/>
    <x v="118"/>
    <n v="3544014.6"/>
  </r>
  <r>
    <x v="26"/>
    <x v="9"/>
    <x v="118"/>
    <n v="3544014.6"/>
  </r>
  <r>
    <x v="26"/>
    <x v="10"/>
    <x v="118"/>
    <n v="3544014.6"/>
  </r>
  <r>
    <x v="26"/>
    <x v="11"/>
    <x v="118"/>
    <n v="3544014.6"/>
  </r>
  <r>
    <x v="26"/>
    <x v="12"/>
    <x v="118"/>
    <n v="3544014.6"/>
  </r>
  <r>
    <x v="26"/>
    <x v="13"/>
    <x v="118"/>
    <n v="3544014.6"/>
  </r>
  <r>
    <x v="26"/>
    <x v="14"/>
    <x v="118"/>
    <n v="3544014.6"/>
  </r>
  <r>
    <x v="26"/>
    <x v="15"/>
    <x v="118"/>
    <n v="3544014.6"/>
  </r>
  <r>
    <x v="26"/>
    <x v="16"/>
    <x v="118"/>
    <n v="3544014.6"/>
  </r>
  <r>
    <x v="26"/>
    <x v="17"/>
    <x v="118"/>
    <n v="3544014.6"/>
  </r>
  <r>
    <x v="26"/>
    <x v="18"/>
    <x v="118"/>
    <n v="3544014.6"/>
  </r>
  <r>
    <x v="26"/>
    <x v="19"/>
    <x v="118"/>
    <n v="3544014.6"/>
  </r>
  <r>
    <x v="26"/>
    <x v="20"/>
    <x v="118"/>
    <n v="3544014.6"/>
  </r>
  <r>
    <x v="26"/>
    <x v="0"/>
    <x v="14"/>
    <n v="4829985.3734999998"/>
  </r>
  <r>
    <x v="26"/>
    <x v="1"/>
    <x v="14"/>
    <n v="4829985.3734999998"/>
  </r>
  <r>
    <x v="26"/>
    <x v="2"/>
    <x v="14"/>
    <n v="4829985.3734999998"/>
  </r>
  <r>
    <x v="26"/>
    <x v="3"/>
    <x v="14"/>
    <n v="4829985.3734999998"/>
  </r>
  <r>
    <x v="26"/>
    <x v="4"/>
    <x v="14"/>
    <n v="4829985.3734999998"/>
  </r>
  <r>
    <x v="26"/>
    <x v="5"/>
    <x v="14"/>
    <n v="4829985.3734999998"/>
  </r>
  <r>
    <x v="26"/>
    <x v="6"/>
    <x v="14"/>
    <n v="4829985.3734999998"/>
  </r>
  <r>
    <x v="26"/>
    <x v="7"/>
    <x v="14"/>
    <n v="4829985.3734999998"/>
  </r>
  <r>
    <x v="26"/>
    <x v="8"/>
    <x v="14"/>
    <n v="4829985.3734999998"/>
  </r>
  <r>
    <x v="26"/>
    <x v="9"/>
    <x v="14"/>
    <n v="4829985.3734999998"/>
  </r>
  <r>
    <x v="26"/>
    <x v="10"/>
    <x v="14"/>
    <n v="4829985.3734999998"/>
  </r>
  <r>
    <x v="26"/>
    <x v="11"/>
    <x v="14"/>
    <n v="4829985.3734999998"/>
  </r>
  <r>
    <x v="26"/>
    <x v="12"/>
    <x v="14"/>
    <n v="4829985.3734999998"/>
  </r>
  <r>
    <x v="26"/>
    <x v="13"/>
    <x v="14"/>
    <n v="4829985.3734999998"/>
  </r>
  <r>
    <x v="26"/>
    <x v="14"/>
    <x v="14"/>
    <n v="4829985.3734999998"/>
  </r>
  <r>
    <x v="26"/>
    <x v="15"/>
    <x v="14"/>
    <n v="4829985.3734999998"/>
  </r>
  <r>
    <x v="26"/>
    <x v="16"/>
    <x v="14"/>
    <n v="4829985.3734999998"/>
  </r>
  <r>
    <x v="26"/>
    <x v="17"/>
    <x v="14"/>
    <n v="4829985.3734999998"/>
  </r>
  <r>
    <x v="26"/>
    <x v="18"/>
    <x v="14"/>
    <n v="4829985.3734999998"/>
  </r>
  <r>
    <x v="26"/>
    <x v="19"/>
    <x v="14"/>
    <n v="4829985.3734999998"/>
  </r>
  <r>
    <x v="26"/>
    <x v="20"/>
    <x v="14"/>
    <n v="4829985.3734999998"/>
  </r>
  <r>
    <x v="26"/>
    <x v="1"/>
    <x v="110"/>
    <n v="4829985.3734999998"/>
  </r>
  <r>
    <x v="26"/>
    <x v="2"/>
    <x v="110"/>
    <n v="4829985.3734999998"/>
  </r>
  <r>
    <x v="26"/>
    <x v="3"/>
    <x v="110"/>
    <n v="4829985.3734999998"/>
  </r>
  <r>
    <x v="26"/>
    <x v="4"/>
    <x v="110"/>
    <n v="4829985.3734999998"/>
  </r>
  <r>
    <x v="26"/>
    <x v="5"/>
    <x v="110"/>
    <n v="4829985.3734999998"/>
  </r>
  <r>
    <x v="26"/>
    <x v="6"/>
    <x v="110"/>
    <n v="4829985.3734999998"/>
  </r>
  <r>
    <x v="26"/>
    <x v="7"/>
    <x v="110"/>
    <n v="4829985.3734999998"/>
  </r>
  <r>
    <x v="26"/>
    <x v="8"/>
    <x v="110"/>
    <n v="4829985.3734999998"/>
  </r>
  <r>
    <x v="26"/>
    <x v="9"/>
    <x v="110"/>
    <n v="4829985.3734999998"/>
  </r>
  <r>
    <x v="26"/>
    <x v="10"/>
    <x v="110"/>
    <n v="4829985.3734999998"/>
  </r>
  <r>
    <x v="26"/>
    <x v="11"/>
    <x v="110"/>
    <n v="4829985.3734999998"/>
  </r>
  <r>
    <x v="26"/>
    <x v="12"/>
    <x v="110"/>
    <n v="4829985.3734999998"/>
  </r>
  <r>
    <x v="26"/>
    <x v="13"/>
    <x v="110"/>
    <n v="4829985.3734999998"/>
  </r>
  <r>
    <x v="26"/>
    <x v="14"/>
    <x v="110"/>
    <n v="4829985.3734999998"/>
  </r>
  <r>
    <x v="26"/>
    <x v="15"/>
    <x v="110"/>
    <n v="4829985.3734999998"/>
  </r>
  <r>
    <x v="26"/>
    <x v="16"/>
    <x v="110"/>
    <n v="4829985.3734999998"/>
  </r>
  <r>
    <x v="26"/>
    <x v="17"/>
    <x v="110"/>
    <n v="4829985.3734999998"/>
  </r>
  <r>
    <x v="26"/>
    <x v="18"/>
    <x v="110"/>
    <n v="4829985.3734999998"/>
  </r>
  <r>
    <x v="26"/>
    <x v="19"/>
    <x v="110"/>
    <n v="4829985.3734999998"/>
  </r>
  <r>
    <x v="26"/>
    <x v="20"/>
    <x v="110"/>
    <n v="4829985.3734999998"/>
  </r>
  <r>
    <x v="26"/>
    <x v="6"/>
    <x v="10"/>
    <n v="3613544.2664999994"/>
  </r>
  <r>
    <x v="26"/>
    <x v="7"/>
    <x v="10"/>
    <n v="3613544.2664999994"/>
  </r>
  <r>
    <x v="26"/>
    <x v="8"/>
    <x v="10"/>
    <n v="3613544.2664999994"/>
  </r>
  <r>
    <x v="26"/>
    <x v="9"/>
    <x v="10"/>
    <n v="3613544.2664999994"/>
  </r>
  <r>
    <x v="26"/>
    <x v="10"/>
    <x v="10"/>
    <n v="3613544.2664999994"/>
  </r>
  <r>
    <x v="26"/>
    <x v="11"/>
    <x v="10"/>
    <n v="3613544.2664999994"/>
  </r>
  <r>
    <x v="26"/>
    <x v="12"/>
    <x v="10"/>
    <n v="3613544.2664999994"/>
  </r>
  <r>
    <x v="26"/>
    <x v="13"/>
    <x v="10"/>
    <n v="3613544.2664999994"/>
  </r>
  <r>
    <x v="26"/>
    <x v="14"/>
    <x v="10"/>
    <n v="3613544.2664999994"/>
  </r>
  <r>
    <x v="26"/>
    <x v="15"/>
    <x v="10"/>
    <n v="3613544.2664999994"/>
  </r>
  <r>
    <x v="26"/>
    <x v="16"/>
    <x v="10"/>
    <n v="3613544.2664999994"/>
  </r>
  <r>
    <x v="26"/>
    <x v="17"/>
    <x v="10"/>
    <n v="3613544.2664999994"/>
  </r>
  <r>
    <x v="26"/>
    <x v="18"/>
    <x v="10"/>
    <n v="3613544.2664999994"/>
  </r>
  <r>
    <x v="26"/>
    <x v="19"/>
    <x v="10"/>
    <n v="3613544.2664999994"/>
  </r>
  <r>
    <x v="26"/>
    <x v="20"/>
    <x v="10"/>
    <n v="3613544.2664999994"/>
  </r>
  <r>
    <x v="27"/>
    <x v="2"/>
    <x v="0"/>
    <n v="3170664"/>
  </r>
  <r>
    <x v="27"/>
    <x v="3"/>
    <x v="0"/>
    <n v="3170664"/>
  </r>
  <r>
    <x v="27"/>
    <x v="4"/>
    <x v="0"/>
    <n v="3170664"/>
  </r>
  <r>
    <x v="27"/>
    <x v="5"/>
    <x v="0"/>
    <n v="3170664"/>
  </r>
  <r>
    <x v="27"/>
    <x v="6"/>
    <x v="0"/>
    <n v="3170664"/>
  </r>
  <r>
    <x v="27"/>
    <x v="7"/>
    <x v="0"/>
    <n v="3170664"/>
  </r>
  <r>
    <x v="27"/>
    <x v="8"/>
    <x v="0"/>
    <n v="3170664"/>
  </r>
  <r>
    <x v="27"/>
    <x v="9"/>
    <x v="0"/>
    <n v="3170664"/>
  </r>
  <r>
    <x v="27"/>
    <x v="10"/>
    <x v="0"/>
    <n v="3170664"/>
  </r>
  <r>
    <x v="27"/>
    <x v="11"/>
    <x v="0"/>
    <n v="3170664"/>
  </r>
  <r>
    <x v="27"/>
    <x v="12"/>
    <x v="0"/>
    <n v="3170664"/>
  </r>
  <r>
    <x v="27"/>
    <x v="13"/>
    <x v="0"/>
    <n v="3170664"/>
  </r>
  <r>
    <x v="27"/>
    <x v="14"/>
    <x v="0"/>
    <n v="3170664"/>
  </r>
  <r>
    <x v="27"/>
    <x v="15"/>
    <x v="0"/>
    <n v="3170664"/>
  </r>
  <r>
    <x v="27"/>
    <x v="16"/>
    <x v="0"/>
    <n v="3170664"/>
  </r>
  <r>
    <x v="27"/>
    <x v="2"/>
    <x v="1"/>
    <n v="8741250"/>
  </r>
  <r>
    <x v="27"/>
    <x v="3"/>
    <x v="1"/>
    <n v="8741250"/>
  </r>
  <r>
    <x v="27"/>
    <x v="4"/>
    <x v="1"/>
    <n v="8741250"/>
  </r>
  <r>
    <x v="27"/>
    <x v="5"/>
    <x v="1"/>
    <n v="8741250"/>
  </r>
  <r>
    <x v="27"/>
    <x v="6"/>
    <x v="1"/>
    <n v="8741250"/>
  </r>
  <r>
    <x v="27"/>
    <x v="7"/>
    <x v="1"/>
    <n v="8741250"/>
  </r>
  <r>
    <x v="27"/>
    <x v="8"/>
    <x v="1"/>
    <n v="8741250"/>
  </r>
  <r>
    <x v="27"/>
    <x v="9"/>
    <x v="1"/>
    <n v="8741250"/>
  </r>
  <r>
    <x v="27"/>
    <x v="10"/>
    <x v="1"/>
    <n v="8741250"/>
  </r>
  <r>
    <x v="27"/>
    <x v="11"/>
    <x v="1"/>
    <n v="8741250"/>
  </r>
  <r>
    <x v="27"/>
    <x v="12"/>
    <x v="1"/>
    <n v="8741250"/>
  </r>
  <r>
    <x v="27"/>
    <x v="13"/>
    <x v="1"/>
    <n v="8741250"/>
  </r>
  <r>
    <x v="27"/>
    <x v="2"/>
    <x v="15"/>
    <n v="4725000"/>
  </r>
  <r>
    <x v="27"/>
    <x v="3"/>
    <x v="15"/>
    <n v="4725000"/>
  </r>
  <r>
    <x v="27"/>
    <x v="4"/>
    <x v="15"/>
    <n v="4725000"/>
  </r>
  <r>
    <x v="27"/>
    <x v="5"/>
    <x v="15"/>
    <n v="4725000"/>
  </r>
  <r>
    <x v="27"/>
    <x v="6"/>
    <x v="15"/>
    <n v="4725000"/>
  </r>
  <r>
    <x v="27"/>
    <x v="7"/>
    <x v="15"/>
    <n v="4725000"/>
  </r>
  <r>
    <x v="27"/>
    <x v="8"/>
    <x v="15"/>
    <n v="4725000"/>
  </r>
  <r>
    <x v="27"/>
    <x v="9"/>
    <x v="15"/>
    <n v="4725000"/>
  </r>
  <r>
    <x v="27"/>
    <x v="10"/>
    <x v="15"/>
    <n v="4725000"/>
  </r>
  <r>
    <x v="27"/>
    <x v="11"/>
    <x v="15"/>
    <n v="4725000"/>
  </r>
  <r>
    <x v="27"/>
    <x v="12"/>
    <x v="15"/>
    <n v="4725000"/>
  </r>
  <r>
    <x v="27"/>
    <x v="13"/>
    <x v="15"/>
    <n v="4725000"/>
  </r>
  <r>
    <x v="27"/>
    <x v="2"/>
    <x v="14"/>
    <n v="4006799.9999999995"/>
  </r>
  <r>
    <x v="27"/>
    <x v="3"/>
    <x v="14"/>
    <n v="4006799.9999999995"/>
  </r>
  <r>
    <x v="27"/>
    <x v="4"/>
    <x v="14"/>
    <n v="4006799.9999999995"/>
  </r>
  <r>
    <x v="27"/>
    <x v="5"/>
    <x v="14"/>
    <n v="4006799.9999999995"/>
  </r>
  <r>
    <x v="27"/>
    <x v="6"/>
    <x v="14"/>
    <n v="4006799.9999999995"/>
  </r>
  <r>
    <x v="27"/>
    <x v="7"/>
    <x v="14"/>
    <n v="4006799.9999999995"/>
  </r>
  <r>
    <x v="27"/>
    <x v="8"/>
    <x v="14"/>
    <n v="4006799.9999999995"/>
  </r>
  <r>
    <x v="27"/>
    <x v="9"/>
    <x v="14"/>
    <n v="4006799.9999999995"/>
  </r>
  <r>
    <x v="27"/>
    <x v="10"/>
    <x v="14"/>
    <n v="4006799.9999999995"/>
  </r>
  <r>
    <x v="27"/>
    <x v="11"/>
    <x v="14"/>
    <n v="4006799.9999999995"/>
  </r>
  <r>
    <x v="27"/>
    <x v="12"/>
    <x v="14"/>
    <n v="4006799.9999999995"/>
  </r>
  <r>
    <x v="27"/>
    <x v="2"/>
    <x v="58"/>
    <n v="1850625"/>
  </r>
  <r>
    <x v="27"/>
    <x v="3"/>
    <x v="58"/>
    <n v="1850625"/>
  </r>
  <r>
    <x v="27"/>
    <x v="4"/>
    <x v="58"/>
    <n v="1850625"/>
  </r>
  <r>
    <x v="27"/>
    <x v="5"/>
    <x v="58"/>
    <n v="1850625"/>
  </r>
  <r>
    <x v="27"/>
    <x v="2"/>
    <x v="119"/>
    <n v="2583000"/>
  </r>
  <r>
    <x v="27"/>
    <x v="3"/>
    <x v="119"/>
    <n v="2583000"/>
  </r>
  <r>
    <x v="27"/>
    <x v="4"/>
    <x v="119"/>
    <n v="2583000"/>
  </r>
  <r>
    <x v="27"/>
    <x v="5"/>
    <x v="119"/>
    <n v="2583000"/>
  </r>
  <r>
    <x v="28"/>
    <x v="1"/>
    <x v="1"/>
    <n v="12134941.875"/>
  </r>
  <r>
    <x v="28"/>
    <x v="2"/>
    <x v="1"/>
    <n v="12134941.875"/>
  </r>
  <r>
    <x v="28"/>
    <x v="3"/>
    <x v="1"/>
    <n v="12134941.875"/>
  </r>
  <r>
    <x v="28"/>
    <x v="4"/>
    <x v="1"/>
    <n v="12134941.875"/>
  </r>
  <r>
    <x v="28"/>
    <x v="5"/>
    <x v="1"/>
    <n v="12134941.875"/>
  </r>
  <r>
    <x v="28"/>
    <x v="6"/>
    <x v="1"/>
    <n v="12134941.875"/>
  </r>
  <r>
    <x v="28"/>
    <x v="7"/>
    <x v="1"/>
    <n v="12134941.875"/>
  </r>
  <r>
    <x v="28"/>
    <x v="8"/>
    <x v="1"/>
    <n v="12134941.875"/>
  </r>
  <r>
    <x v="28"/>
    <x v="9"/>
    <x v="1"/>
    <n v="12134941.875"/>
  </r>
  <r>
    <x v="28"/>
    <x v="10"/>
    <x v="1"/>
    <n v="12134941.875"/>
  </r>
  <r>
    <x v="28"/>
    <x v="11"/>
    <x v="1"/>
    <n v="12134941.875"/>
  </r>
  <r>
    <x v="28"/>
    <x v="12"/>
    <x v="1"/>
    <n v="12134941.875"/>
  </r>
  <r>
    <x v="28"/>
    <x v="13"/>
    <x v="1"/>
    <n v="12134941.875"/>
  </r>
  <r>
    <x v="28"/>
    <x v="14"/>
    <x v="1"/>
    <n v="12134941.875"/>
  </r>
  <r>
    <x v="28"/>
    <x v="15"/>
    <x v="1"/>
    <n v="12134941.875"/>
  </r>
  <r>
    <x v="28"/>
    <x v="16"/>
    <x v="1"/>
    <n v="12134941.875"/>
  </r>
  <r>
    <x v="28"/>
    <x v="17"/>
    <x v="1"/>
    <n v="12134941.875"/>
  </r>
  <r>
    <x v="28"/>
    <x v="1"/>
    <x v="13"/>
    <n v="7406867.4750000006"/>
  </r>
  <r>
    <x v="28"/>
    <x v="2"/>
    <x v="13"/>
    <n v="7406867.4750000006"/>
  </r>
  <r>
    <x v="28"/>
    <x v="3"/>
    <x v="13"/>
    <n v="7406867.4750000006"/>
  </r>
  <r>
    <x v="28"/>
    <x v="4"/>
    <x v="13"/>
    <n v="7406867.4750000006"/>
  </r>
  <r>
    <x v="28"/>
    <x v="5"/>
    <x v="13"/>
    <n v="7406867.4750000006"/>
  </r>
  <r>
    <x v="28"/>
    <x v="6"/>
    <x v="13"/>
    <n v="7406867.4750000006"/>
  </r>
  <r>
    <x v="28"/>
    <x v="7"/>
    <x v="13"/>
    <n v="7406867.4750000006"/>
  </r>
  <r>
    <x v="28"/>
    <x v="8"/>
    <x v="13"/>
    <n v="7406867.4750000006"/>
  </r>
  <r>
    <x v="28"/>
    <x v="9"/>
    <x v="13"/>
    <n v="7406867.4750000006"/>
  </r>
  <r>
    <x v="28"/>
    <x v="10"/>
    <x v="13"/>
    <n v="7406867.4750000006"/>
  </r>
  <r>
    <x v="28"/>
    <x v="11"/>
    <x v="13"/>
    <n v="7406867.4750000006"/>
  </r>
  <r>
    <x v="28"/>
    <x v="12"/>
    <x v="13"/>
    <n v="7406867.4750000006"/>
  </r>
  <r>
    <x v="28"/>
    <x v="13"/>
    <x v="13"/>
    <n v="7406867.4750000006"/>
  </r>
  <r>
    <x v="28"/>
    <x v="14"/>
    <x v="13"/>
    <n v="7406867.4750000006"/>
  </r>
  <r>
    <x v="28"/>
    <x v="15"/>
    <x v="13"/>
    <n v="7406867.4750000006"/>
  </r>
  <r>
    <x v="28"/>
    <x v="16"/>
    <x v="13"/>
    <n v="7406867.4750000006"/>
  </r>
  <r>
    <x v="28"/>
    <x v="17"/>
    <x v="13"/>
    <n v="7406867.4750000006"/>
  </r>
  <r>
    <x v="28"/>
    <x v="18"/>
    <x v="13"/>
    <n v="7406867.4750000006"/>
  </r>
  <r>
    <x v="28"/>
    <x v="19"/>
    <x v="13"/>
    <n v="7406867.4750000006"/>
  </r>
  <r>
    <x v="28"/>
    <x v="20"/>
    <x v="13"/>
    <n v="7406867.4750000006"/>
  </r>
  <r>
    <x v="28"/>
    <x v="21"/>
    <x v="13"/>
    <n v="7406867.4750000006"/>
  </r>
  <r>
    <x v="28"/>
    <x v="22"/>
    <x v="13"/>
    <n v="7406867.4750000006"/>
  </r>
  <r>
    <x v="28"/>
    <x v="23"/>
    <x v="13"/>
    <n v="7406867.4750000006"/>
  </r>
  <r>
    <x v="28"/>
    <x v="1"/>
    <x v="63"/>
    <n v="7540019.5500000007"/>
  </r>
  <r>
    <x v="28"/>
    <x v="2"/>
    <x v="63"/>
    <n v="7540019.5500000007"/>
  </r>
  <r>
    <x v="28"/>
    <x v="3"/>
    <x v="63"/>
    <n v="7540019.5500000007"/>
  </r>
  <r>
    <x v="28"/>
    <x v="4"/>
    <x v="63"/>
    <n v="7540019.5500000007"/>
  </r>
  <r>
    <x v="28"/>
    <x v="5"/>
    <x v="63"/>
    <n v="7540019.5500000007"/>
  </r>
  <r>
    <x v="28"/>
    <x v="6"/>
    <x v="63"/>
    <n v="7540019.5500000007"/>
  </r>
  <r>
    <x v="28"/>
    <x v="7"/>
    <x v="63"/>
    <n v="7540019.5500000007"/>
  </r>
  <r>
    <x v="28"/>
    <x v="8"/>
    <x v="63"/>
    <n v="7540019.5500000007"/>
  </r>
  <r>
    <x v="28"/>
    <x v="9"/>
    <x v="63"/>
    <n v="7540019.5500000007"/>
  </r>
  <r>
    <x v="28"/>
    <x v="10"/>
    <x v="63"/>
    <n v="7540019.5500000007"/>
  </r>
  <r>
    <x v="28"/>
    <x v="11"/>
    <x v="63"/>
    <n v="7540019.5500000007"/>
  </r>
  <r>
    <x v="28"/>
    <x v="12"/>
    <x v="63"/>
    <n v="7540019.5500000007"/>
  </r>
  <r>
    <x v="28"/>
    <x v="13"/>
    <x v="63"/>
    <n v="7540019.5500000007"/>
  </r>
  <r>
    <x v="28"/>
    <x v="14"/>
    <x v="63"/>
    <n v="7540019.5500000007"/>
  </r>
  <r>
    <x v="28"/>
    <x v="1"/>
    <x v="15"/>
    <n v="5488569.4500000002"/>
  </r>
  <r>
    <x v="28"/>
    <x v="2"/>
    <x v="15"/>
    <n v="5488569.4500000002"/>
  </r>
  <r>
    <x v="28"/>
    <x v="3"/>
    <x v="15"/>
    <n v="5488569.4500000002"/>
  </r>
  <r>
    <x v="28"/>
    <x v="4"/>
    <x v="15"/>
    <n v="5488569.4500000002"/>
  </r>
  <r>
    <x v="28"/>
    <x v="5"/>
    <x v="15"/>
    <n v="5488569.4500000002"/>
  </r>
  <r>
    <x v="28"/>
    <x v="6"/>
    <x v="15"/>
    <n v="5488569.4500000002"/>
  </r>
  <r>
    <x v="28"/>
    <x v="7"/>
    <x v="15"/>
    <n v="5488569.4500000002"/>
  </r>
  <r>
    <x v="28"/>
    <x v="8"/>
    <x v="15"/>
    <n v="5488569.4500000002"/>
  </r>
  <r>
    <x v="28"/>
    <x v="9"/>
    <x v="15"/>
    <n v="5488569.4500000002"/>
  </r>
  <r>
    <x v="28"/>
    <x v="10"/>
    <x v="15"/>
    <n v="5488569.4500000002"/>
  </r>
  <r>
    <x v="28"/>
    <x v="11"/>
    <x v="15"/>
    <n v="5488569.4500000002"/>
  </r>
  <r>
    <x v="28"/>
    <x v="12"/>
    <x v="15"/>
    <n v="5488569.4500000002"/>
  </r>
  <r>
    <x v="28"/>
    <x v="13"/>
    <x v="15"/>
    <n v="5488569.4500000002"/>
  </r>
  <r>
    <x v="28"/>
    <x v="14"/>
    <x v="15"/>
    <n v="5488569.4500000002"/>
  </r>
  <r>
    <x v="28"/>
    <x v="15"/>
    <x v="15"/>
    <n v="5488569.4500000002"/>
  </r>
  <r>
    <x v="28"/>
    <x v="16"/>
    <x v="15"/>
    <n v="5488569.4500000002"/>
  </r>
  <r>
    <x v="28"/>
    <x v="17"/>
    <x v="15"/>
    <n v="5488569.4500000002"/>
  </r>
  <r>
    <x v="28"/>
    <x v="1"/>
    <x v="70"/>
    <n v="4923668.9249999998"/>
  </r>
  <r>
    <x v="28"/>
    <x v="2"/>
    <x v="70"/>
    <n v="4923668.9249999998"/>
  </r>
  <r>
    <x v="28"/>
    <x v="3"/>
    <x v="70"/>
    <n v="4923668.9249999998"/>
  </r>
  <r>
    <x v="28"/>
    <x v="4"/>
    <x v="70"/>
    <n v="4923668.9249999998"/>
  </r>
  <r>
    <x v="28"/>
    <x v="5"/>
    <x v="70"/>
    <n v="4923668.9249999998"/>
  </r>
  <r>
    <x v="28"/>
    <x v="6"/>
    <x v="70"/>
    <n v="4923668.9249999998"/>
  </r>
  <r>
    <x v="28"/>
    <x v="7"/>
    <x v="70"/>
    <n v="4923668.9249999998"/>
  </r>
  <r>
    <x v="28"/>
    <x v="8"/>
    <x v="70"/>
    <n v="4923668.9249999998"/>
  </r>
  <r>
    <x v="28"/>
    <x v="9"/>
    <x v="70"/>
    <n v="4923668.9249999998"/>
  </r>
  <r>
    <x v="28"/>
    <x v="10"/>
    <x v="70"/>
    <n v="4923668.9249999998"/>
  </r>
  <r>
    <x v="28"/>
    <x v="11"/>
    <x v="70"/>
    <n v="4923668.9249999998"/>
  </r>
  <r>
    <x v="28"/>
    <x v="12"/>
    <x v="70"/>
    <n v="4923668.9249999998"/>
  </r>
  <r>
    <x v="28"/>
    <x v="13"/>
    <x v="70"/>
    <n v="4923668.9249999998"/>
  </r>
  <r>
    <x v="28"/>
    <x v="14"/>
    <x v="70"/>
    <n v="4923668.9249999998"/>
  </r>
  <r>
    <x v="28"/>
    <x v="15"/>
    <x v="70"/>
    <n v="4923668.9249999998"/>
  </r>
  <r>
    <x v="28"/>
    <x v="16"/>
    <x v="70"/>
    <n v="4923668.9249999998"/>
  </r>
  <r>
    <x v="28"/>
    <x v="17"/>
    <x v="70"/>
    <n v="4923668.9249999998"/>
  </r>
  <r>
    <x v="28"/>
    <x v="18"/>
    <x v="70"/>
    <n v="4923668.9249999998"/>
  </r>
  <r>
    <x v="28"/>
    <x v="1"/>
    <x v="30"/>
    <n v="3222031.0500000003"/>
  </r>
  <r>
    <x v="28"/>
    <x v="2"/>
    <x v="30"/>
    <n v="3222031.0500000003"/>
  </r>
  <r>
    <x v="28"/>
    <x v="3"/>
    <x v="30"/>
    <n v="3222031.0500000003"/>
  </r>
  <r>
    <x v="28"/>
    <x v="4"/>
    <x v="30"/>
    <n v="3222031.0500000003"/>
  </r>
  <r>
    <x v="28"/>
    <x v="5"/>
    <x v="30"/>
    <n v="3222031.0500000003"/>
  </r>
  <r>
    <x v="28"/>
    <x v="6"/>
    <x v="30"/>
    <n v="3222031.0500000003"/>
  </r>
  <r>
    <x v="28"/>
    <x v="7"/>
    <x v="30"/>
    <n v="3222031.0500000003"/>
  </r>
  <r>
    <x v="28"/>
    <x v="8"/>
    <x v="30"/>
    <n v="3222031.0500000003"/>
  </r>
  <r>
    <x v="28"/>
    <x v="9"/>
    <x v="30"/>
    <n v="3222031.0500000003"/>
  </r>
  <r>
    <x v="28"/>
    <x v="10"/>
    <x v="30"/>
    <n v="3222031.0500000003"/>
  </r>
  <r>
    <x v="28"/>
    <x v="11"/>
    <x v="30"/>
    <n v="3222031.0500000003"/>
  </r>
  <r>
    <x v="28"/>
    <x v="12"/>
    <x v="30"/>
    <n v="3222031.0500000003"/>
  </r>
  <r>
    <x v="28"/>
    <x v="13"/>
    <x v="30"/>
    <n v="3222031.0500000003"/>
  </r>
  <r>
    <x v="28"/>
    <x v="14"/>
    <x v="30"/>
    <n v="3222031.0500000003"/>
  </r>
  <r>
    <x v="28"/>
    <x v="15"/>
    <x v="30"/>
    <n v="3222031.0500000003"/>
  </r>
  <r>
    <x v="28"/>
    <x v="16"/>
    <x v="30"/>
    <n v="3222031.0500000003"/>
  </r>
  <r>
    <x v="28"/>
    <x v="17"/>
    <x v="30"/>
    <n v="3222031.0500000003"/>
  </r>
  <r>
    <x v="28"/>
    <x v="18"/>
    <x v="30"/>
    <n v="3222031.0500000003"/>
  </r>
  <r>
    <x v="28"/>
    <x v="19"/>
    <x v="30"/>
    <n v="3222031.0500000003"/>
  </r>
  <r>
    <x v="28"/>
    <x v="20"/>
    <x v="30"/>
    <n v="3222031.0500000003"/>
  </r>
  <r>
    <x v="28"/>
    <x v="21"/>
    <x v="30"/>
    <n v="3222031.0500000003"/>
  </r>
  <r>
    <x v="28"/>
    <x v="22"/>
    <x v="30"/>
    <n v="3222031.0500000003"/>
  </r>
  <r>
    <x v="28"/>
    <x v="23"/>
    <x v="30"/>
    <n v="3222031.0500000003"/>
  </r>
  <r>
    <x v="28"/>
    <x v="1"/>
    <x v="67"/>
    <n v="3868248.1949999994"/>
  </r>
  <r>
    <x v="28"/>
    <x v="2"/>
    <x v="67"/>
    <n v="3868248.1949999994"/>
  </r>
  <r>
    <x v="28"/>
    <x v="3"/>
    <x v="67"/>
    <n v="3868248.1949999994"/>
  </r>
  <r>
    <x v="28"/>
    <x v="4"/>
    <x v="67"/>
    <n v="3868248.1949999994"/>
  </r>
  <r>
    <x v="28"/>
    <x v="5"/>
    <x v="67"/>
    <n v="3868248.1949999994"/>
  </r>
  <r>
    <x v="28"/>
    <x v="6"/>
    <x v="67"/>
    <n v="3868248.1949999994"/>
  </r>
  <r>
    <x v="28"/>
    <x v="7"/>
    <x v="67"/>
    <n v="3868248.1949999994"/>
  </r>
  <r>
    <x v="28"/>
    <x v="8"/>
    <x v="67"/>
    <n v="3868248.1949999994"/>
  </r>
  <r>
    <x v="28"/>
    <x v="9"/>
    <x v="67"/>
    <n v="3868248.1949999994"/>
  </r>
  <r>
    <x v="28"/>
    <x v="10"/>
    <x v="67"/>
    <n v="3868248.1949999994"/>
  </r>
  <r>
    <x v="28"/>
    <x v="11"/>
    <x v="67"/>
    <n v="3868248.1949999994"/>
  </r>
  <r>
    <x v="28"/>
    <x v="12"/>
    <x v="67"/>
    <n v="3868248.1949999994"/>
  </r>
  <r>
    <x v="28"/>
    <x v="13"/>
    <x v="67"/>
    <n v="3868248.1949999994"/>
  </r>
  <r>
    <x v="28"/>
    <x v="14"/>
    <x v="67"/>
    <n v="3868248.1949999994"/>
  </r>
  <r>
    <x v="28"/>
    <x v="15"/>
    <x v="67"/>
    <n v="3868248.1949999994"/>
  </r>
  <r>
    <x v="28"/>
    <x v="16"/>
    <x v="67"/>
    <n v="3868248.1949999994"/>
  </r>
  <r>
    <x v="28"/>
    <x v="17"/>
    <x v="67"/>
    <n v="3868248.1949999994"/>
  </r>
  <r>
    <x v="28"/>
    <x v="18"/>
    <x v="67"/>
    <n v="3868248.1949999994"/>
  </r>
  <r>
    <x v="28"/>
    <x v="19"/>
    <x v="67"/>
    <n v="3868248.1949999994"/>
  </r>
  <r>
    <x v="28"/>
    <x v="20"/>
    <x v="67"/>
    <n v="3868248.1949999994"/>
  </r>
  <r>
    <x v="28"/>
    <x v="1"/>
    <x v="21"/>
    <n v="4001167.1069999998"/>
  </r>
  <r>
    <x v="28"/>
    <x v="2"/>
    <x v="21"/>
    <n v="4001167.1069999998"/>
  </r>
  <r>
    <x v="28"/>
    <x v="3"/>
    <x v="21"/>
    <n v="4001167.1069999998"/>
  </r>
  <r>
    <x v="28"/>
    <x v="4"/>
    <x v="21"/>
    <n v="4001167.1069999998"/>
  </r>
  <r>
    <x v="28"/>
    <x v="5"/>
    <x v="21"/>
    <n v="4001167.1069999998"/>
  </r>
  <r>
    <x v="28"/>
    <x v="6"/>
    <x v="21"/>
    <n v="4001167.1069999998"/>
  </r>
  <r>
    <x v="28"/>
    <x v="7"/>
    <x v="21"/>
    <n v="4001167.1069999998"/>
  </r>
  <r>
    <x v="28"/>
    <x v="8"/>
    <x v="21"/>
    <n v="4001167.1069999998"/>
  </r>
  <r>
    <x v="28"/>
    <x v="9"/>
    <x v="21"/>
    <n v="4001167.1069999998"/>
  </r>
  <r>
    <x v="28"/>
    <x v="10"/>
    <x v="21"/>
    <n v="4001167.1069999998"/>
  </r>
  <r>
    <x v="29"/>
    <x v="0"/>
    <x v="0"/>
    <n v="3230392.9140000003"/>
  </r>
  <r>
    <x v="29"/>
    <x v="0"/>
    <x v="13"/>
    <n v="6132105"/>
  </r>
  <r>
    <x v="29"/>
    <x v="0"/>
    <x v="30"/>
    <n v="2367673.875"/>
  </r>
  <r>
    <x v="13"/>
    <x v="0"/>
    <x v="1"/>
    <n v="19561500"/>
  </r>
  <r>
    <x v="13"/>
    <x v="1"/>
    <x v="1"/>
    <n v="19561500"/>
  </r>
  <r>
    <x v="13"/>
    <x v="2"/>
    <x v="1"/>
    <n v="19561500"/>
  </r>
  <r>
    <x v="13"/>
    <x v="3"/>
    <x v="1"/>
    <n v="19561500"/>
  </r>
  <r>
    <x v="13"/>
    <x v="0"/>
    <x v="120"/>
    <n v="1449000"/>
  </r>
  <r>
    <x v="13"/>
    <x v="0"/>
    <x v="121"/>
    <n v="8437922.3250000011"/>
  </r>
  <r>
    <x v="13"/>
    <x v="1"/>
    <x v="121"/>
    <n v="8437922.3250000011"/>
  </r>
  <r>
    <x v="13"/>
    <x v="0"/>
    <x v="28"/>
    <n v="6177149.9999999991"/>
  </r>
  <r>
    <x v="13"/>
    <x v="1"/>
    <x v="28"/>
    <n v="6177149.9999999991"/>
  </r>
  <r>
    <x v="30"/>
    <x v="0"/>
    <x v="0"/>
    <n v="1956490.2000000004"/>
  </r>
  <r>
    <x v="30"/>
    <x v="1"/>
    <x v="0"/>
    <n v="1956490.2000000004"/>
  </r>
  <r>
    <x v="30"/>
    <x v="2"/>
    <x v="0"/>
    <n v="1956490.2000000004"/>
  </r>
  <r>
    <x v="30"/>
    <x v="3"/>
    <x v="0"/>
    <n v="1956490.2000000004"/>
  </r>
  <r>
    <x v="30"/>
    <x v="4"/>
    <x v="0"/>
    <n v="1956490.2000000004"/>
  </r>
  <r>
    <x v="30"/>
    <x v="5"/>
    <x v="0"/>
    <n v="1956490.2000000004"/>
  </r>
  <r>
    <x v="30"/>
    <x v="6"/>
    <x v="0"/>
    <n v="1956490.2000000004"/>
  </r>
  <r>
    <x v="30"/>
    <x v="7"/>
    <x v="0"/>
    <n v="1956490.2000000004"/>
  </r>
  <r>
    <x v="30"/>
    <x v="8"/>
    <x v="0"/>
    <n v="1956490.2000000004"/>
  </r>
  <r>
    <x v="30"/>
    <x v="9"/>
    <x v="0"/>
    <n v="1956490.2000000004"/>
  </r>
  <r>
    <x v="30"/>
    <x v="10"/>
    <x v="0"/>
    <n v="1956490.2000000004"/>
  </r>
  <r>
    <x v="30"/>
    <x v="11"/>
    <x v="0"/>
    <n v="1956490.2000000004"/>
  </r>
  <r>
    <x v="30"/>
    <x v="12"/>
    <x v="0"/>
    <n v="1956490.2000000004"/>
  </r>
  <r>
    <x v="30"/>
    <x v="13"/>
    <x v="0"/>
    <n v="1956490.2000000004"/>
  </r>
  <r>
    <x v="30"/>
    <x v="14"/>
    <x v="0"/>
    <n v="1956490.2000000004"/>
  </r>
  <r>
    <x v="30"/>
    <x v="0"/>
    <x v="1"/>
    <n v="8716050"/>
  </r>
  <r>
    <x v="30"/>
    <x v="1"/>
    <x v="1"/>
    <n v="8716050"/>
  </r>
  <r>
    <x v="30"/>
    <x v="2"/>
    <x v="1"/>
    <n v="8716050"/>
  </r>
  <r>
    <x v="30"/>
    <x v="3"/>
    <x v="1"/>
    <n v="8716050"/>
  </r>
  <r>
    <x v="30"/>
    <x v="4"/>
    <x v="1"/>
    <n v="8716050"/>
  </r>
  <r>
    <x v="30"/>
    <x v="5"/>
    <x v="1"/>
    <n v="8716050"/>
  </r>
  <r>
    <x v="30"/>
    <x v="6"/>
    <x v="1"/>
    <n v="8716050"/>
  </r>
  <r>
    <x v="30"/>
    <x v="7"/>
    <x v="1"/>
    <n v="8716050"/>
  </r>
  <r>
    <x v="30"/>
    <x v="8"/>
    <x v="1"/>
    <n v="8716050"/>
  </r>
  <r>
    <x v="30"/>
    <x v="9"/>
    <x v="1"/>
    <n v="8716050"/>
  </r>
  <r>
    <x v="30"/>
    <x v="10"/>
    <x v="1"/>
    <n v="8716050"/>
  </r>
  <r>
    <x v="30"/>
    <x v="11"/>
    <x v="1"/>
    <n v="8716050"/>
  </r>
  <r>
    <x v="30"/>
    <x v="12"/>
    <x v="1"/>
    <n v="8716050"/>
  </r>
  <r>
    <x v="30"/>
    <x v="13"/>
    <x v="1"/>
    <n v="8716050"/>
  </r>
  <r>
    <x v="30"/>
    <x v="14"/>
    <x v="1"/>
    <n v="8716050"/>
  </r>
  <r>
    <x v="30"/>
    <x v="0"/>
    <x v="122"/>
    <n v="6150375"/>
  </r>
  <r>
    <x v="30"/>
    <x v="1"/>
    <x v="122"/>
    <n v="6150375"/>
  </r>
  <r>
    <x v="30"/>
    <x v="2"/>
    <x v="122"/>
    <n v="6150375"/>
  </r>
  <r>
    <x v="30"/>
    <x v="3"/>
    <x v="122"/>
    <n v="6150375"/>
  </r>
  <r>
    <x v="30"/>
    <x v="4"/>
    <x v="122"/>
    <n v="6150375"/>
  </r>
  <r>
    <x v="30"/>
    <x v="5"/>
    <x v="122"/>
    <n v="6150375"/>
  </r>
  <r>
    <x v="30"/>
    <x v="6"/>
    <x v="122"/>
    <n v="6150375"/>
  </r>
  <r>
    <x v="30"/>
    <x v="7"/>
    <x v="122"/>
    <n v="6150375"/>
  </r>
  <r>
    <x v="30"/>
    <x v="8"/>
    <x v="122"/>
    <n v="6150375"/>
  </r>
  <r>
    <x v="30"/>
    <x v="9"/>
    <x v="122"/>
    <n v="6150375"/>
  </r>
  <r>
    <x v="30"/>
    <x v="10"/>
    <x v="122"/>
    <n v="6150375"/>
  </r>
  <r>
    <x v="30"/>
    <x v="11"/>
    <x v="122"/>
    <n v="6150375"/>
  </r>
  <r>
    <x v="30"/>
    <x v="12"/>
    <x v="122"/>
    <n v="6150375"/>
  </r>
  <r>
    <x v="30"/>
    <x v="13"/>
    <x v="122"/>
    <n v="6150375"/>
  </r>
  <r>
    <x v="30"/>
    <x v="14"/>
    <x v="122"/>
    <n v="6150375"/>
  </r>
  <r>
    <x v="30"/>
    <x v="0"/>
    <x v="123"/>
    <n v="3369208.5"/>
  </r>
  <r>
    <x v="30"/>
    <x v="1"/>
    <x v="123"/>
    <n v="3369208.5"/>
  </r>
  <r>
    <x v="30"/>
    <x v="2"/>
    <x v="123"/>
    <n v="3369208.5"/>
  </r>
  <r>
    <x v="30"/>
    <x v="3"/>
    <x v="123"/>
    <n v="3369208.5"/>
  </r>
  <r>
    <x v="30"/>
    <x v="4"/>
    <x v="123"/>
    <n v="3369208.5"/>
  </r>
  <r>
    <x v="30"/>
    <x v="5"/>
    <x v="123"/>
    <n v="3369208.5"/>
  </r>
  <r>
    <x v="30"/>
    <x v="6"/>
    <x v="123"/>
    <n v="3369208.5"/>
  </r>
  <r>
    <x v="30"/>
    <x v="7"/>
    <x v="123"/>
    <n v="3369208.5"/>
  </r>
  <r>
    <x v="30"/>
    <x v="8"/>
    <x v="123"/>
    <n v="3369208.5"/>
  </r>
  <r>
    <x v="30"/>
    <x v="9"/>
    <x v="123"/>
    <n v="3369208.5"/>
  </r>
  <r>
    <x v="30"/>
    <x v="10"/>
    <x v="123"/>
    <n v="3369208.5"/>
  </r>
  <r>
    <x v="30"/>
    <x v="11"/>
    <x v="123"/>
    <n v="3369208.5"/>
  </r>
  <r>
    <x v="30"/>
    <x v="12"/>
    <x v="123"/>
    <n v="3369208.5"/>
  </r>
  <r>
    <x v="30"/>
    <x v="13"/>
    <x v="123"/>
    <n v="3369208.5"/>
  </r>
  <r>
    <x v="30"/>
    <x v="14"/>
    <x v="123"/>
    <n v="3369208.5"/>
  </r>
  <r>
    <x v="30"/>
    <x v="0"/>
    <x v="14"/>
    <n v="3571361.01"/>
  </r>
  <r>
    <x v="30"/>
    <x v="1"/>
    <x v="14"/>
    <n v="3571361.01"/>
  </r>
  <r>
    <x v="30"/>
    <x v="2"/>
    <x v="14"/>
    <n v="3571361.01"/>
  </r>
  <r>
    <x v="30"/>
    <x v="3"/>
    <x v="14"/>
    <n v="3571361.01"/>
  </r>
  <r>
    <x v="30"/>
    <x v="4"/>
    <x v="14"/>
    <n v="3571361.01"/>
  </r>
  <r>
    <x v="30"/>
    <x v="5"/>
    <x v="14"/>
    <n v="3571361.01"/>
  </r>
  <r>
    <x v="30"/>
    <x v="6"/>
    <x v="14"/>
    <n v="3571361.01"/>
  </r>
  <r>
    <x v="30"/>
    <x v="7"/>
    <x v="14"/>
    <n v="3571361.01"/>
  </r>
  <r>
    <x v="30"/>
    <x v="8"/>
    <x v="14"/>
    <n v="3571361.01"/>
  </r>
  <r>
    <x v="30"/>
    <x v="9"/>
    <x v="14"/>
    <n v="3571361.01"/>
  </r>
  <r>
    <x v="30"/>
    <x v="10"/>
    <x v="14"/>
    <n v="3571361.01"/>
  </r>
  <r>
    <x v="30"/>
    <x v="11"/>
    <x v="14"/>
    <n v="3571361.01"/>
  </r>
  <r>
    <x v="30"/>
    <x v="12"/>
    <x v="14"/>
    <n v="3571361.01"/>
  </r>
  <r>
    <x v="30"/>
    <x v="13"/>
    <x v="14"/>
    <n v="3571361.01"/>
  </r>
  <r>
    <x v="30"/>
    <x v="14"/>
    <x v="14"/>
    <n v="3571361.01"/>
  </r>
  <r>
    <x v="31"/>
    <x v="0"/>
    <x v="0"/>
    <n v="3868074.0000000005"/>
  </r>
  <r>
    <x v="31"/>
    <x v="1"/>
    <x v="0"/>
    <n v="3868074.0000000005"/>
  </r>
  <r>
    <x v="31"/>
    <x v="2"/>
    <x v="0"/>
    <n v="3868074.0000000005"/>
  </r>
  <r>
    <x v="31"/>
    <x v="3"/>
    <x v="0"/>
    <n v="3868074.0000000005"/>
  </r>
  <r>
    <x v="31"/>
    <x v="4"/>
    <x v="0"/>
    <n v="3868074.0000000005"/>
  </r>
  <r>
    <x v="31"/>
    <x v="5"/>
    <x v="0"/>
    <n v="3868074.0000000005"/>
  </r>
  <r>
    <x v="31"/>
    <x v="6"/>
    <x v="0"/>
    <n v="3868074.0000000005"/>
  </r>
  <r>
    <x v="31"/>
    <x v="7"/>
    <x v="0"/>
    <n v="3868074.0000000005"/>
  </r>
  <r>
    <x v="31"/>
    <x v="8"/>
    <x v="0"/>
    <n v="3868074.0000000005"/>
  </r>
  <r>
    <x v="31"/>
    <x v="9"/>
    <x v="0"/>
    <n v="3868074.0000000005"/>
  </r>
  <r>
    <x v="31"/>
    <x v="10"/>
    <x v="0"/>
    <n v="3868074.0000000005"/>
  </r>
  <r>
    <x v="31"/>
    <x v="11"/>
    <x v="0"/>
    <n v="3868074.0000000005"/>
  </r>
  <r>
    <x v="31"/>
    <x v="12"/>
    <x v="0"/>
    <n v="3868074.0000000005"/>
  </r>
  <r>
    <x v="31"/>
    <x v="13"/>
    <x v="0"/>
    <n v="3868074.0000000005"/>
  </r>
  <r>
    <x v="31"/>
    <x v="14"/>
    <x v="0"/>
    <n v="3868074.0000000005"/>
  </r>
  <r>
    <x v="31"/>
    <x v="15"/>
    <x v="0"/>
    <n v="3868074.0000000005"/>
  </r>
  <r>
    <x v="31"/>
    <x v="16"/>
    <x v="0"/>
    <n v="3868074.0000000005"/>
  </r>
  <r>
    <x v="31"/>
    <x v="17"/>
    <x v="0"/>
    <n v="3868074.0000000005"/>
  </r>
  <r>
    <x v="31"/>
    <x v="18"/>
    <x v="0"/>
    <n v="3868074.0000000005"/>
  </r>
  <r>
    <x v="31"/>
    <x v="19"/>
    <x v="0"/>
    <n v="3868074.0000000005"/>
  </r>
  <r>
    <x v="31"/>
    <x v="20"/>
    <x v="0"/>
    <n v="3868074.0000000005"/>
  </r>
  <r>
    <x v="31"/>
    <x v="21"/>
    <x v="0"/>
    <n v="3868074.0000000005"/>
  </r>
  <r>
    <x v="31"/>
    <x v="22"/>
    <x v="0"/>
    <n v="3868074.0000000005"/>
  </r>
  <r>
    <x v="31"/>
    <x v="23"/>
    <x v="0"/>
    <n v="3868074.0000000005"/>
  </r>
  <r>
    <x v="31"/>
    <x v="0"/>
    <x v="1"/>
    <n v="9450000"/>
  </r>
  <r>
    <x v="31"/>
    <x v="1"/>
    <x v="1"/>
    <n v="9450000"/>
  </r>
  <r>
    <x v="31"/>
    <x v="2"/>
    <x v="1"/>
    <n v="9450000"/>
  </r>
  <r>
    <x v="31"/>
    <x v="3"/>
    <x v="1"/>
    <n v="9450000"/>
  </r>
  <r>
    <x v="31"/>
    <x v="4"/>
    <x v="1"/>
    <n v="9450000"/>
  </r>
  <r>
    <x v="31"/>
    <x v="5"/>
    <x v="1"/>
    <n v="9450000"/>
  </r>
  <r>
    <x v="31"/>
    <x v="6"/>
    <x v="1"/>
    <n v="9450000"/>
  </r>
  <r>
    <x v="31"/>
    <x v="7"/>
    <x v="1"/>
    <n v="9450000"/>
  </r>
  <r>
    <x v="31"/>
    <x v="8"/>
    <x v="1"/>
    <n v="9450000"/>
  </r>
  <r>
    <x v="31"/>
    <x v="9"/>
    <x v="1"/>
    <n v="9450000"/>
  </r>
  <r>
    <x v="31"/>
    <x v="10"/>
    <x v="1"/>
    <n v="9450000"/>
  </r>
  <r>
    <x v="31"/>
    <x v="11"/>
    <x v="1"/>
    <n v="9450000"/>
  </r>
  <r>
    <x v="31"/>
    <x v="12"/>
    <x v="1"/>
    <n v="9450000"/>
  </r>
  <r>
    <x v="31"/>
    <x v="13"/>
    <x v="1"/>
    <n v="9450000"/>
  </r>
  <r>
    <x v="31"/>
    <x v="14"/>
    <x v="1"/>
    <n v="9450000"/>
  </r>
  <r>
    <x v="31"/>
    <x v="15"/>
    <x v="1"/>
    <n v="9450000"/>
  </r>
  <r>
    <x v="31"/>
    <x v="16"/>
    <x v="1"/>
    <n v="9450000"/>
  </r>
  <r>
    <x v="31"/>
    <x v="17"/>
    <x v="1"/>
    <n v="9450000"/>
  </r>
  <r>
    <x v="31"/>
    <x v="18"/>
    <x v="1"/>
    <n v="9450000"/>
  </r>
  <r>
    <x v="31"/>
    <x v="19"/>
    <x v="1"/>
    <n v="9450000"/>
  </r>
  <r>
    <x v="31"/>
    <x v="20"/>
    <x v="1"/>
    <n v="9450000"/>
  </r>
  <r>
    <x v="31"/>
    <x v="21"/>
    <x v="1"/>
    <n v="9450000"/>
  </r>
  <r>
    <x v="31"/>
    <x v="22"/>
    <x v="1"/>
    <n v="9450000"/>
  </r>
  <r>
    <x v="31"/>
    <x v="23"/>
    <x v="1"/>
    <n v="9450000"/>
  </r>
  <r>
    <x v="31"/>
    <x v="12"/>
    <x v="13"/>
    <n v="6221250"/>
  </r>
  <r>
    <x v="31"/>
    <x v="13"/>
    <x v="13"/>
    <n v="6221250"/>
  </r>
  <r>
    <x v="31"/>
    <x v="14"/>
    <x v="13"/>
    <n v="6221250"/>
  </r>
  <r>
    <x v="31"/>
    <x v="15"/>
    <x v="13"/>
    <n v="6221250"/>
  </r>
  <r>
    <x v="31"/>
    <x v="16"/>
    <x v="13"/>
    <n v="6221250"/>
  </r>
  <r>
    <x v="31"/>
    <x v="17"/>
    <x v="13"/>
    <n v="6221250"/>
  </r>
  <r>
    <x v="31"/>
    <x v="18"/>
    <x v="13"/>
    <n v="6221250"/>
  </r>
  <r>
    <x v="31"/>
    <x v="19"/>
    <x v="13"/>
    <n v="6221250"/>
  </r>
  <r>
    <x v="31"/>
    <x v="20"/>
    <x v="13"/>
    <n v="6221250"/>
  </r>
  <r>
    <x v="31"/>
    <x v="21"/>
    <x v="13"/>
    <n v="6221250"/>
  </r>
  <r>
    <x v="31"/>
    <x v="12"/>
    <x v="15"/>
    <n v="4095000"/>
  </r>
  <r>
    <x v="31"/>
    <x v="13"/>
    <x v="15"/>
    <n v="4095000"/>
  </r>
  <r>
    <x v="31"/>
    <x v="14"/>
    <x v="15"/>
    <n v="4095000"/>
  </r>
  <r>
    <x v="31"/>
    <x v="15"/>
    <x v="15"/>
    <n v="4095000"/>
  </r>
  <r>
    <x v="31"/>
    <x v="16"/>
    <x v="15"/>
    <n v="4095000"/>
  </r>
  <r>
    <x v="31"/>
    <x v="17"/>
    <x v="15"/>
    <n v="4095000"/>
  </r>
  <r>
    <x v="31"/>
    <x v="18"/>
    <x v="15"/>
    <n v="4095000"/>
  </r>
  <r>
    <x v="31"/>
    <x v="19"/>
    <x v="15"/>
    <n v="4095000"/>
  </r>
  <r>
    <x v="31"/>
    <x v="20"/>
    <x v="15"/>
    <n v="4095000"/>
  </r>
  <r>
    <x v="31"/>
    <x v="21"/>
    <x v="15"/>
    <n v="4095000"/>
  </r>
  <r>
    <x v="31"/>
    <x v="22"/>
    <x v="15"/>
    <n v="4095000"/>
  </r>
  <r>
    <x v="31"/>
    <x v="23"/>
    <x v="15"/>
    <n v="4095000"/>
  </r>
  <r>
    <x v="31"/>
    <x v="1"/>
    <x v="109"/>
    <n v="4006799.9999999995"/>
  </r>
  <r>
    <x v="31"/>
    <x v="2"/>
    <x v="109"/>
    <n v="4006799.9999999995"/>
  </r>
  <r>
    <x v="31"/>
    <x v="3"/>
    <x v="109"/>
    <n v="4006799.9999999995"/>
  </r>
  <r>
    <x v="31"/>
    <x v="4"/>
    <x v="109"/>
    <n v="4006799.9999999995"/>
  </r>
  <r>
    <x v="31"/>
    <x v="5"/>
    <x v="109"/>
    <n v="4006799.9999999995"/>
  </r>
  <r>
    <x v="31"/>
    <x v="6"/>
    <x v="109"/>
    <n v="4006799.9999999995"/>
  </r>
  <r>
    <x v="31"/>
    <x v="7"/>
    <x v="109"/>
    <n v="4006799.9999999995"/>
  </r>
  <r>
    <x v="31"/>
    <x v="8"/>
    <x v="109"/>
    <n v="4006799.9999999995"/>
  </r>
  <r>
    <x v="31"/>
    <x v="9"/>
    <x v="109"/>
    <n v="4006799.9999999995"/>
  </r>
  <r>
    <x v="31"/>
    <x v="10"/>
    <x v="109"/>
    <n v="4006799.9999999995"/>
  </r>
  <r>
    <x v="31"/>
    <x v="11"/>
    <x v="109"/>
    <n v="4006799.9999999995"/>
  </r>
  <r>
    <x v="31"/>
    <x v="12"/>
    <x v="109"/>
    <n v="4006799.9999999995"/>
  </r>
  <r>
    <x v="31"/>
    <x v="13"/>
    <x v="109"/>
    <n v="4006799.9999999995"/>
  </r>
  <r>
    <x v="31"/>
    <x v="14"/>
    <x v="109"/>
    <n v="4006799.9999999995"/>
  </r>
  <r>
    <x v="31"/>
    <x v="15"/>
    <x v="109"/>
    <n v="4006799.9999999995"/>
  </r>
  <r>
    <x v="31"/>
    <x v="16"/>
    <x v="109"/>
    <n v="4006799.9999999995"/>
  </r>
  <r>
    <x v="31"/>
    <x v="17"/>
    <x v="109"/>
    <n v="4006799.9999999995"/>
  </r>
  <r>
    <x v="31"/>
    <x v="18"/>
    <x v="109"/>
    <n v="4006799.9999999995"/>
  </r>
  <r>
    <x v="31"/>
    <x v="19"/>
    <x v="109"/>
    <n v="4006799.9999999995"/>
  </r>
  <r>
    <x v="31"/>
    <x v="20"/>
    <x v="109"/>
    <n v="4006799.9999999995"/>
  </r>
  <r>
    <x v="31"/>
    <x v="21"/>
    <x v="109"/>
    <n v="4006799.9999999995"/>
  </r>
  <r>
    <x v="31"/>
    <x v="12"/>
    <x v="10"/>
    <n v="4006799.9999999995"/>
  </r>
  <r>
    <x v="31"/>
    <x v="13"/>
    <x v="10"/>
    <n v="4006799.9999999995"/>
  </r>
  <r>
    <x v="31"/>
    <x v="14"/>
    <x v="10"/>
    <n v="4006799.9999999995"/>
  </r>
  <r>
    <x v="31"/>
    <x v="15"/>
    <x v="10"/>
    <n v="4006799.9999999995"/>
  </r>
  <r>
    <x v="31"/>
    <x v="16"/>
    <x v="10"/>
    <n v="4006799.9999999995"/>
  </r>
  <r>
    <x v="31"/>
    <x v="17"/>
    <x v="10"/>
    <n v="4006799.9999999995"/>
  </r>
  <r>
    <x v="31"/>
    <x v="18"/>
    <x v="10"/>
    <n v="4006799.9999999995"/>
  </r>
  <r>
    <x v="31"/>
    <x v="19"/>
    <x v="10"/>
    <n v="4006799.9999999995"/>
  </r>
  <r>
    <x v="31"/>
    <x v="20"/>
    <x v="10"/>
    <n v="4006799.9999999995"/>
  </r>
  <r>
    <x v="31"/>
    <x v="21"/>
    <x v="10"/>
    <n v="4006799.9999999995"/>
  </r>
  <r>
    <x v="32"/>
    <x v="0"/>
    <x v="0"/>
    <n v="5898109.7507954882"/>
  </r>
  <r>
    <x v="32"/>
    <x v="0"/>
    <x v="1"/>
    <n v="10573456.644736286"/>
  </r>
  <r>
    <x v="32"/>
    <x v="1"/>
    <x v="1"/>
    <n v="10573456.644736286"/>
  </r>
  <r>
    <x v="32"/>
    <x v="2"/>
    <x v="1"/>
    <n v="10573456.644736286"/>
  </r>
  <r>
    <x v="32"/>
    <x v="3"/>
    <x v="1"/>
    <n v="10573456.644736286"/>
  </r>
  <r>
    <x v="32"/>
    <x v="0"/>
    <x v="71"/>
    <n v="8420426.5965553131"/>
  </r>
  <r>
    <x v="32"/>
    <x v="0"/>
    <x v="13"/>
    <n v="5968758.5524032004"/>
  </r>
  <r>
    <x v="32"/>
    <x v="0"/>
    <x v="58"/>
    <n v="2694198.4714365834"/>
  </r>
  <r>
    <x v="32"/>
    <x v="1"/>
    <x v="58"/>
    <n v="2694198.4714365834"/>
  </r>
  <r>
    <x v="32"/>
    <x v="2"/>
    <x v="58"/>
    <n v="2694198.4714365834"/>
  </r>
  <r>
    <x v="32"/>
    <x v="3"/>
    <x v="58"/>
    <n v="2694198.4714365834"/>
  </r>
  <r>
    <x v="33"/>
    <x v="0"/>
    <x v="0"/>
    <n v="2992909.5"/>
  </r>
  <r>
    <x v="33"/>
    <x v="1"/>
    <x v="0"/>
    <n v="2992909.5"/>
  </r>
  <r>
    <x v="33"/>
    <x v="2"/>
    <x v="0"/>
    <n v="2992909.5"/>
  </r>
  <r>
    <x v="33"/>
    <x v="3"/>
    <x v="0"/>
    <n v="2992909.5"/>
  </r>
  <r>
    <x v="33"/>
    <x v="0"/>
    <x v="1"/>
    <n v="2835000"/>
  </r>
  <r>
    <x v="33"/>
    <x v="1"/>
    <x v="1"/>
    <n v="2835000"/>
  </r>
  <r>
    <x v="33"/>
    <x v="2"/>
    <x v="1"/>
    <n v="2835000"/>
  </r>
  <r>
    <x v="33"/>
    <x v="3"/>
    <x v="1"/>
    <n v="2835000"/>
  </r>
  <r>
    <x v="33"/>
    <x v="0"/>
    <x v="15"/>
    <n v="1228500"/>
  </r>
  <r>
    <x v="33"/>
    <x v="1"/>
    <x v="15"/>
    <n v="1228500"/>
  </r>
  <r>
    <x v="33"/>
    <x v="2"/>
    <x v="15"/>
    <n v="1228500"/>
  </r>
  <r>
    <x v="33"/>
    <x v="3"/>
    <x v="15"/>
    <n v="1228500"/>
  </r>
  <r>
    <x v="33"/>
    <x v="0"/>
    <x v="5"/>
    <n v="1181250"/>
  </r>
  <r>
    <x v="33"/>
    <x v="1"/>
    <x v="5"/>
    <n v="1181250"/>
  </r>
  <r>
    <x v="33"/>
    <x v="2"/>
    <x v="5"/>
    <n v="1181250"/>
  </r>
  <r>
    <x v="33"/>
    <x v="3"/>
    <x v="5"/>
    <n v="1181250"/>
  </r>
  <r>
    <x v="33"/>
    <x v="0"/>
    <x v="0"/>
    <n v="2494091.25"/>
  </r>
  <r>
    <x v="33"/>
    <x v="1"/>
    <x v="0"/>
    <n v="2494091.25"/>
  </r>
  <r>
    <x v="33"/>
    <x v="2"/>
    <x v="0"/>
    <n v="2494091.25"/>
  </r>
  <r>
    <x v="33"/>
    <x v="3"/>
    <x v="0"/>
    <n v="2494091.25"/>
  </r>
  <r>
    <x v="33"/>
    <x v="0"/>
    <x v="1"/>
    <n v="2362500"/>
  </r>
  <r>
    <x v="33"/>
    <x v="1"/>
    <x v="1"/>
    <n v="2362500"/>
  </r>
  <r>
    <x v="33"/>
    <x v="2"/>
    <x v="1"/>
    <n v="2362500"/>
  </r>
  <r>
    <x v="33"/>
    <x v="3"/>
    <x v="1"/>
    <n v="2362500"/>
  </r>
  <r>
    <x v="33"/>
    <x v="0"/>
    <x v="15"/>
    <n v="1023750"/>
  </r>
  <r>
    <x v="33"/>
    <x v="1"/>
    <x v="15"/>
    <n v="1023750"/>
  </r>
  <r>
    <x v="33"/>
    <x v="2"/>
    <x v="15"/>
    <n v="1023750"/>
  </r>
  <r>
    <x v="33"/>
    <x v="3"/>
    <x v="15"/>
    <n v="1023750"/>
  </r>
  <r>
    <x v="33"/>
    <x v="0"/>
    <x v="58"/>
    <n v="708750"/>
  </r>
  <r>
    <x v="33"/>
    <x v="1"/>
    <x v="58"/>
    <n v="708750"/>
  </r>
  <r>
    <x v="33"/>
    <x v="2"/>
    <x v="58"/>
    <n v="708750"/>
  </r>
  <r>
    <x v="33"/>
    <x v="3"/>
    <x v="58"/>
    <n v="708750"/>
  </r>
  <r>
    <x v="33"/>
    <x v="0"/>
    <x v="0"/>
    <n v="1496454.75"/>
  </r>
  <r>
    <x v="33"/>
    <x v="1"/>
    <x v="0"/>
    <n v="1496454.75"/>
  </r>
  <r>
    <x v="33"/>
    <x v="2"/>
    <x v="0"/>
    <n v="1496454.75"/>
  </r>
  <r>
    <x v="33"/>
    <x v="3"/>
    <x v="0"/>
    <n v="1496454.75"/>
  </r>
  <r>
    <x v="33"/>
    <x v="0"/>
    <x v="1"/>
    <n v="945000"/>
  </r>
  <r>
    <x v="33"/>
    <x v="1"/>
    <x v="1"/>
    <n v="945000"/>
  </r>
  <r>
    <x v="33"/>
    <x v="2"/>
    <x v="1"/>
    <n v="945000"/>
  </r>
  <r>
    <x v="33"/>
    <x v="3"/>
    <x v="1"/>
    <n v="945000"/>
  </r>
  <r>
    <x v="33"/>
    <x v="0"/>
    <x v="15"/>
    <n v="409500"/>
  </r>
  <r>
    <x v="33"/>
    <x v="1"/>
    <x v="15"/>
    <n v="409500"/>
  </r>
  <r>
    <x v="33"/>
    <x v="2"/>
    <x v="15"/>
    <n v="409500"/>
  </r>
  <r>
    <x v="33"/>
    <x v="3"/>
    <x v="15"/>
    <n v="409500"/>
  </r>
  <r>
    <x v="33"/>
    <x v="0"/>
    <x v="124"/>
    <n v="236250"/>
  </r>
  <r>
    <x v="33"/>
    <x v="1"/>
    <x v="124"/>
    <n v="236250"/>
  </r>
  <r>
    <x v="33"/>
    <x v="2"/>
    <x v="124"/>
    <n v="236250"/>
  </r>
  <r>
    <x v="33"/>
    <x v="3"/>
    <x v="124"/>
    <n v="236250"/>
  </r>
  <r>
    <x v="33"/>
    <x v="0"/>
    <x v="0"/>
    <n v="1496454.75"/>
  </r>
  <r>
    <x v="33"/>
    <x v="1"/>
    <x v="0"/>
    <n v="1496454.75"/>
  </r>
  <r>
    <x v="33"/>
    <x v="2"/>
    <x v="0"/>
    <n v="1496454.75"/>
  </r>
  <r>
    <x v="33"/>
    <x v="3"/>
    <x v="0"/>
    <n v="1496454.75"/>
  </r>
  <r>
    <x v="33"/>
    <x v="0"/>
    <x v="1"/>
    <n v="1890000"/>
  </r>
  <r>
    <x v="33"/>
    <x v="1"/>
    <x v="1"/>
    <n v="1890000"/>
  </r>
  <r>
    <x v="33"/>
    <x v="2"/>
    <x v="1"/>
    <n v="1890000"/>
  </r>
  <r>
    <x v="33"/>
    <x v="3"/>
    <x v="1"/>
    <n v="1890000"/>
  </r>
  <r>
    <x v="33"/>
    <x v="0"/>
    <x v="15"/>
    <n v="819000"/>
  </r>
  <r>
    <x v="33"/>
    <x v="1"/>
    <x v="15"/>
    <n v="819000"/>
  </r>
  <r>
    <x v="33"/>
    <x v="2"/>
    <x v="15"/>
    <n v="819000"/>
  </r>
  <r>
    <x v="33"/>
    <x v="3"/>
    <x v="15"/>
    <n v="819000"/>
  </r>
  <r>
    <x v="33"/>
    <x v="0"/>
    <x v="125"/>
    <n v="441000"/>
  </r>
  <r>
    <x v="33"/>
    <x v="1"/>
    <x v="125"/>
    <n v="441000"/>
  </r>
  <r>
    <x v="33"/>
    <x v="2"/>
    <x v="125"/>
    <n v="441000"/>
  </r>
  <r>
    <x v="33"/>
    <x v="3"/>
    <x v="125"/>
    <n v="441000"/>
  </r>
  <r>
    <x v="33"/>
    <x v="0"/>
    <x v="58"/>
    <n v="354375"/>
  </r>
  <r>
    <x v="33"/>
    <x v="1"/>
    <x v="58"/>
    <n v="354375"/>
  </r>
  <r>
    <x v="33"/>
    <x v="2"/>
    <x v="58"/>
    <n v="354375"/>
  </r>
  <r>
    <x v="33"/>
    <x v="3"/>
    <x v="58"/>
    <n v="354375"/>
  </r>
  <r>
    <x v="33"/>
    <x v="0"/>
    <x v="0"/>
    <n v="1496454.75"/>
  </r>
  <r>
    <x v="33"/>
    <x v="1"/>
    <x v="0"/>
    <n v="1496454.75"/>
  </r>
  <r>
    <x v="33"/>
    <x v="2"/>
    <x v="0"/>
    <n v="1496454.75"/>
  </r>
  <r>
    <x v="33"/>
    <x v="3"/>
    <x v="0"/>
    <n v="1496454.75"/>
  </r>
  <r>
    <x v="33"/>
    <x v="0"/>
    <x v="1"/>
    <n v="1417500"/>
  </r>
  <r>
    <x v="33"/>
    <x v="1"/>
    <x v="1"/>
    <n v="1417500"/>
  </r>
  <r>
    <x v="33"/>
    <x v="2"/>
    <x v="1"/>
    <n v="1417500"/>
  </r>
  <r>
    <x v="33"/>
    <x v="3"/>
    <x v="1"/>
    <n v="1417500"/>
  </r>
  <r>
    <x v="33"/>
    <x v="0"/>
    <x v="15"/>
    <n v="614250"/>
  </r>
  <r>
    <x v="33"/>
    <x v="1"/>
    <x v="15"/>
    <n v="614250"/>
  </r>
  <r>
    <x v="33"/>
    <x v="2"/>
    <x v="15"/>
    <n v="614250"/>
  </r>
  <r>
    <x v="33"/>
    <x v="3"/>
    <x v="15"/>
    <n v="614250"/>
  </r>
  <r>
    <x v="34"/>
    <x v="0"/>
    <x v="126"/>
    <n v="1778395.5"/>
  </r>
  <r>
    <x v="34"/>
    <x v="1"/>
    <x v="126"/>
    <n v="1778395.5"/>
  </r>
  <r>
    <x v="34"/>
    <x v="2"/>
    <x v="126"/>
    <n v="1778395.5"/>
  </r>
  <r>
    <x v="34"/>
    <x v="3"/>
    <x v="126"/>
    <n v="1778395.5"/>
  </r>
  <r>
    <x v="34"/>
    <x v="4"/>
    <x v="126"/>
    <n v="1778395.5"/>
  </r>
  <r>
    <x v="34"/>
    <x v="5"/>
    <x v="126"/>
    <n v="1778395.5"/>
  </r>
  <r>
    <x v="34"/>
    <x v="0"/>
    <x v="77"/>
    <n v="7426125"/>
  </r>
  <r>
    <x v="34"/>
    <x v="1"/>
    <x v="77"/>
    <n v="7426125"/>
  </r>
  <r>
    <x v="34"/>
    <x v="2"/>
    <x v="77"/>
    <n v="7426125"/>
  </r>
  <r>
    <x v="34"/>
    <x v="3"/>
    <x v="77"/>
    <n v="7426125"/>
  </r>
  <r>
    <x v="34"/>
    <x v="4"/>
    <x v="77"/>
    <n v="7426125"/>
  </r>
  <r>
    <x v="34"/>
    <x v="5"/>
    <x v="77"/>
    <n v="7426125"/>
  </r>
  <r>
    <x v="34"/>
    <x v="0"/>
    <x v="127"/>
    <n v="964096.875"/>
  </r>
  <r>
    <x v="34"/>
    <x v="1"/>
    <x v="127"/>
    <n v="964096.875"/>
  </r>
  <r>
    <x v="34"/>
    <x v="2"/>
    <x v="127"/>
    <n v="964096.875"/>
  </r>
  <r>
    <x v="34"/>
    <x v="0"/>
    <x v="67"/>
    <n v="3764722.4999999995"/>
  </r>
  <r>
    <x v="34"/>
    <x v="1"/>
    <x v="67"/>
    <n v="3764722.4999999995"/>
  </r>
  <r>
    <x v="34"/>
    <x v="2"/>
    <x v="67"/>
    <n v="3764722.4999999995"/>
  </r>
  <r>
    <x v="34"/>
    <x v="3"/>
    <x v="67"/>
    <n v="3764722.4999999995"/>
  </r>
  <r>
    <x v="34"/>
    <x v="4"/>
    <x v="67"/>
    <n v="3764722.4999999995"/>
  </r>
  <r>
    <x v="34"/>
    <x v="5"/>
    <x v="67"/>
    <n v="3764722.4999999995"/>
  </r>
  <r>
    <x v="35"/>
    <x v="1"/>
    <x v="0"/>
    <n v="3818881.08"/>
  </r>
  <r>
    <x v="35"/>
    <x v="2"/>
    <x v="0"/>
    <n v="3818881.08"/>
  </r>
  <r>
    <x v="35"/>
    <x v="3"/>
    <x v="0"/>
    <n v="3818881.08"/>
  </r>
  <r>
    <x v="35"/>
    <x v="4"/>
    <x v="0"/>
    <n v="3818881.08"/>
  </r>
  <r>
    <x v="35"/>
    <x v="5"/>
    <x v="0"/>
    <n v="3818881.08"/>
  </r>
  <r>
    <x v="35"/>
    <x v="6"/>
    <x v="0"/>
    <n v="3818881.08"/>
  </r>
  <r>
    <x v="35"/>
    <x v="7"/>
    <x v="0"/>
    <n v="3818881.08"/>
  </r>
  <r>
    <x v="35"/>
    <x v="1"/>
    <x v="77"/>
    <n v="6750000"/>
  </r>
  <r>
    <x v="35"/>
    <x v="2"/>
    <x v="77"/>
    <n v="6750000"/>
  </r>
  <r>
    <x v="35"/>
    <x v="3"/>
    <x v="77"/>
    <n v="6750000"/>
  </r>
  <r>
    <x v="35"/>
    <x v="4"/>
    <x v="77"/>
    <n v="6750000"/>
  </r>
  <r>
    <x v="35"/>
    <x v="5"/>
    <x v="77"/>
    <n v="6750000"/>
  </r>
  <r>
    <x v="35"/>
    <x v="6"/>
    <x v="77"/>
    <n v="6750000"/>
  </r>
  <r>
    <x v="35"/>
    <x v="7"/>
    <x v="77"/>
    <n v="6750000"/>
  </r>
  <r>
    <x v="35"/>
    <x v="1"/>
    <x v="58"/>
    <n v="1961638.6500000001"/>
  </r>
  <r>
    <x v="35"/>
    <x v="2"/>
    <x v="58"/>
    <n v="1961638.6500000001"/>
  </r>
  <r>
    <x v="35"/>
    <x v="3"/>
    <x v="58"/>
    <n v="1961638.6500000001"/>
  </r>
  <r>
    <x v="35"/>
    <x v="4"/>
    <x v="58"/>
    <n v="1961638.6500000001"/>
  </r>
  <r>
    <x v="35"/>
    <x v="5"/>
    <x v="58"/>
    <n v="1961638.6500000001"/>
  </r>
  <r>
    <x v="35"/>
    <x v="6"/>
    <x v="58"/>
    <n v="1961638.6500000001"/>
  </r>
  <r>
    <x v="35"/>
    <x v="7"/>
    <x v="58"/>
    <n v="1961638.6500000001"/>
  </r>
  <r>
    <x v="35"/>
    <x v="1"/>
    <x v="15"/>
    <n v="5271741.5887850448"/>
  </r>
  <r>
    <x v="35"/>
    <x v="2"/>
    <x v="15"/>
    <n v="5271741.5887850448"/>
  </r>
  <r>
    <x v="35"/>
    <x v="3"/>
    <x v="15"/>
    <n v="5271741.5887850448"/>
  </r>
  <r>
    <x v="35"/>
    <x v="4"/>
    <x v="15"/>
    <n v="5271741.5887850448"/>
  </r>
  <r>
    <x v="35"/>
    <x v="5"/>
    <x v="15"/>
    <n v="5271741.5887850448"/>
  </r>
  <r>
    <x v="35"/>
    <x v="6"/>
    <x v="15"/>
    <n v="5271741.5887850448"/>
  </r>
  <r>
    <x v="35"/>
    <x v="7"/>
    <x v="15"/>
    <n v="5271741.5887850448"/>
  </r>
  <r>
    <x v="35"/>
    <x v="1"/>
    <x v="14"/>
    <n v="3855251.3759999997"/>
  </r>
  <r>
    <x v="35"/>
    <x v="2"/>
    <x v="14"/>
    <n v="3855251.3759999997"/>
  </r>
  <r>
    <x v="35"/>
    <x v="3"/>
    <x v="14"/>
    <n v="3855251.3759999997"/>
  </r>
  <r>
    <x v="35"/>
    <x v="4"/>
    <x v="14"/>
    <n v="3855251.3759999997"/>
  </r>
  <r>
    <x v="35"/>
    <x v="5"/>
    <x v="14"/>
    <n v="3855251.3759999997"/>
  </r>
  <r>
    <x v="35"/>
    <x v="6"/>
    <x v="14"/>
    <n v="3855251.3759999997"/>
  </r>
  <r>
    <x v="35"/>
    <x v="7"/>
    <x v="14"/>
    <n v="3855251.3759999997"/>
  </r>
  <r>
    <x v="36"/>
    <x v="0"/>
    <x v="128"/>
    <n v="12913846.050000001"/>
  </r>
  <r>
    <x v="36"/>
    <x v="1"/>
    <x v="128"/>
    <n v="12913846.050000001"/>
  </r>
  <r>
    <x v="36"/>
    <x v="2"/>
    <x v="128"/>
    <n v="12913846.050000001"/>
  </r>
  <r>
    <x v="36"/>
    <x v="3"/>
    <x v="128"/>
    <n v="12913846.050000001"/>
  </r>
  <r>
    <x v="36"/>
    <x v="4"/>
    <x v="128"/>
    <n v="12913846.050000001"/>
  </r>
  <r>
    <x v="36"/>
    <x v="0"/>
    <x v="13"/>
    <n v="7300574.4000000004"/>
  </r>
  <r>
    <x v="36"/>
    <x v="1"/>
    <x v="13"/>
    <n v="7300574.4000000004"/>
  </r>
  <r>
    <x v="36"/>
    <x v="2"/>
    <x v="13"/>
    <n v="7300574.4000000004"/>
  </r>
  <r>
    <x v="36"/>
    <x v="3"/>
    <x v="13"/>
    <n v="7300574.4000000004"/>
  </r>
  <r>
    <x v="36"/>
    <x v="4"/>
    <x v="13"/>
    <n v="7300574.4000000004"/>
  </r>
  <r>
    <x v="36"/>
    <x v="0"/>
    <x v="13"/>
    <n v="7300574.4000000004"/>
  </r>
  <r>
    <x v="36"/>
    <x v="1"/>
    <x v="13"/>
    <n v="7300574.4000000004"/>
  </r>
  <r>
    <x v="36"/>
    <x v="2"/>
    <x v="13"/>
    <n v="7300574.4000000004"/>
  </r>
  <r>
    <x v="36"/>
    <x v="3"/>
    <x v="13"/>
    <n v="7300574.4000000004"/>
  </r>
  <r>
    <x v="36"/>
    <x v="4"/>
    <x v="13"/>
    <n v="7300574.4000000004"/>
  </r>
  <r>
    <x v="36"/>
    <x v="0"/>
    <x v="13"/>
    <n v="7300574.4000000004"/>
  </r>
  <r>
    <x v="36"/>
    <x v="1"/>
    <x v="13"/>
    <n v="7300574.4000000004"/>
  </r>
  <r>
    <x v="36"/>
    <x v="2"/>
    <x v="13"/>
    <n v="7300574.4000000004"/>
  </r>
  <r>
    <x v="36"/>
    <x v="3"/>
    <x v="13"/>
    <n v="7300574.4000000004"/>
  </r>
  <r>
    <x v="36"/>
    <x v="4"/>
    <x v="13"/>
    <n v="7300574.4000000004"/>
  </r>
  <r>
    <x v="36"/>
    <x v="0"/>
    <x v="15"/>
    <n v="5214695.8500000006"/>
  </r>
  <r>
    <x v="36"/>
    <x v="1"/>
    <x v="15"/>
    <n v="5214695.8500000006"/>
  </r>
  <r>
    <x v="36"/>
    <x v="2"/>
    <x v="15"/>
    <n v="5214695.8500000006"/>
  </r>
  <r>
    <x v="36"/>
    <x v="3"/>
    <x v="15"/>
    <n v="5214695.8500000006"/>
  </r>
  <r>
    <x v="36"/>
    <x v="4"/>
    <x v="15"/>
    <n v="5214695.8500000006"/>
  </r>
  <r>
    <x v="36"/>
    <x v="0"/>
    <x v="104"/>
    <n v="5214695.8500000006"/>
  </r>
  <r>
    <x v="36"/>
    <x v="1"/>
    <x v="104"/>
    <n v="5214695.8500000006"/>
  </r>
  <r>
    <x v="36"/>
    <x v="2"/>
    <x v="104"/>
    <n v="5214695.8500000006"/>
  </r>
  <r>
    <x v="36"/>
    <x v="3"/>
    <x v="104"/>
    <n v="5214695.8500000006"/>
  </r>
  <r>
    <x v="36"/>
    <x v="4"/>
    <x v="104"/>
    <n v="5214695.8500000006"/>
  </r>
  <r>
    <x v="36"/>
    <x v="0"/>
    <x v="105"/>
    <n v="5142002.25"/>
  </r>
  <r>
    <x v="36"/>
    <x v="1"/>
    <x v="105"/>
    <n v="5142002.25"/>
  </r>
  <r>
    <x v="36"/>
    <x v="2"/>
    <x v="105"/>
    <n v="5142002.25"/>
  </r>
  <r>
    <x v="36"/>
    <x v="3"/>
    <x v="105"/>
    <n v="5142002.25"/>
  </r>
  <r>
    <x v="36"/>
    <x v="4"/>
    <x v="105"/>
    <n v="5142002.25"/>
  </r>
  <r>
    <x v="36"/>
    <x v="0"/>
    <x v="3"/>
    <n v="9867809.7000000011"/>
  </r>
  <r>
    <x v="36"/>
    <x v="1"/>
    <x v="3"/>
    <n v="9867809.7000000011"/>
  </r>
  <r>
    <x v="36"/>
    <x v="2"/>
    <x v="3"/>
    <n v="9867809.7000000011"/>
  </r>
  <r>
    <x v="36"/>
    <x v="3"/>
    <x v="3"/>
    <n v="9867809.7000000011"/>
  </r>
  <r>
    <x v="36"/>
    <x v="4"/>
    <x v="3"/>
    <n v="9867809.7000000011"/>
  </r>
  <r>
    <x v="36"/>
    <x v="0"/>
    <x v="117"/>
    <n v="3569121.1500000004"/>
  </r>
  <r>
    <x v="36"/>
    <x v="1"/>
    <x v="117"/>
    <n v="3569121.1500000004"/>
  </r>
  <r>
    <x v="36"/>
    <x v="2"/>
    <x v="117"/>
    <n v="3569121.1500000004"/>
  </r>
  <r>
    <x v="36"/>
    <x v="3"/>
    <x v="117"/>
    <n v="3569121.1500000004"/>
  </r>
  <r>
    <x v="36"/>
    <x v="4"/>
    <x v="117"/>
    <n v="3569121.1500000004"/>
  </r>
  <r>
    <x v="36"/>
    <x v="0"/>
    <x v="67"/>
    <n v="4240842.9000000004"/>
  </r>
  <r>
    <x v="36"/>
    <x v="1"/>
    <x v="67"/>
    <n v="4240842.9000000004"/>
  </r>
  <r>
    <x v="36"/>
    <x v="2"/>
    <x v="67"/>
    <n v="4240842.9000000004"/>
  </r>
  <r>
    <x v="36"/>
    <x v="3"/>
    <x v="67"/>
    <n v="4240842.9000000004"/>
  </r>
  <r>
    <x v="36"/>
    <x v="4"/>
    <x v="67"/>
    <n v="4240842.9000000004"/>
  </r>
  <r>
    <x v="36"/>
    <x v="0"/>
    <x v="109"/>
    <n v="3348034.2"/>
  </r>
  <r>
    <x v="36"/>
    <x v="1"/>
    <x v="109"/>
    <n v="3348034.2"/>
  </r>
  <r>
    <x v="36"/>
    <x v="2"/>
    <x v="109"/>
    <n v="3348034.2"/>
  </r>
  <r>
    <x v="36"/>
    <x v="3"/>
    <x v="109"/>
    <n v="3348034.2"/>
  </r>
  <r>
    <x v="36"/>
    <x v="4"/>
    <x v="109"/>
    <n v="3348034.2"/>
  </r>
  <r>
    <x v="36"/>
    <x v="0"/>
    <x v="129"/>
    <n v="3348034.2"/>
  </r>
  <r>
    <x v="36"/>
    <x v="1"/>
    <x v="129"/>
    <n v="3348034.2"/>
  </r>
  <r>
    <x v="36"/>
    <x v="2"/>
    <x v="129"/>
    <n v="3348034.2"/>
  </r>
  <r>
    <x v="36"/>
    <x v="3"/>
    <x v="129"/>
    <n v="3348034.2"/>
  </r>
  <r>
    <x v="36"/>
    <x v="4"/>
    <x v="129"/>
    <n v="3348034.2"/>
  </r>
  <r>
    <x v="36"/>
    <x v="0"/>
    <x v="130"/>
    <n v="3348034.2"/>
  </r>
  <r>
    <x v="36"/>
    <x v="1"/>
    <x v="130"/>
    <n v="3348034.2"/>
  </r>
  <r>
    <x v="36"/>
    <x v="2"/>
    <x v="130"/>
    <n v="3348034.2"/>
  </r>
  <r>
    <x v="36"/>
    <x v="3"/>
    <x v="130"/>
    <n v="3348034.2"/>
  </r>
  <r>
    <x v="36"/>
    <x v="4"/>
    <x v="130"/>
    <n v="3348034.2"/>
  </r>
  <r>
    <x v="36"/>
    <x v="0"/>
    <x v="19"/>
    <n v="3348034.2"/>
  </r>
  <r>
    <x v="36"/>
    <x v="1"/>
    <x v="19"/>
    <n v="3348034.2"/>
  </r>
  <r>
    <x v="36"/>
    <x v="2"/>
    <x v="19"/>
    <n v="3348034.2"/>
  </r>
  <r>
    <x v="36"/>
    <x v="3"/>
    <x v="19"/>
    <n v="3348034.2"/>
  </r>
  <r>
    <x v="36"/>
    <x v="4"/>
    <x v="19"/>
    <n v="3348034.2"/>
  </r>
  <r>
    <x v="36"/>
    <x v="0"/>
    <x v="131"/>
    <n v="3348034.2"/>
  </r>
  <r>
    <x v="36"/>
    <x v="1"/>
    <x v="131"/>
    <n v="3348034.2"/>
  </r>
  <r>
    <x v="36"/>
    <x v="2"/>
    <x v="131"/>
    <n v="3348034.2"/>
  </r>
  <r>
    <x v="36"/>
    <x v="3"/>
    <x v="131"/>
    <n v="3348034.2"/>
  </r>
  <r>
    <x v="36"/>
    <x v="4"/>
    <x v="131"/>
    <n v="3348034.2"/>
  </r>
  <r>
    <x v="36"/>
    <x v="0"/>
    <x v="132"/>
    <n v="3348034.2"/>
  </r>
  <r>
    <x v="36"/>
    <x v="1"/>
    <x v="132"/>
    <n v="3348034.2"/>
  </r>
  <r>
    <x v="36"/>
    <x v="2"/>
    <x v="132"/>
    <n v="3348034.2"/>
  </r>
  <r>
    <x v="36"/>
    <x v="3"/>
    <x v="132"/>
    <n v="3348034.2"/>
  </r>
  <r>
    <x v="36"/>
    <x v="4"/>
    <x v="132"/>
    <n v="3348034.2"/>
  </r>
  <r>
    <x v="36"/>
    <x v="0"/>
    <x v="33"/>
    <n v="1989931.6500000001"/>
  </r>
  <r>
    <x v="36"/>
    <x v="1"/>
    <x v="33"/>
    <n v="1989931.6500000001"/>
  </r>
  <r>
    <x v="36"/>
    <x v="2"/>
    <x v="33"/>
    <n v="1989931.6500000001"/>
  </r>
  <r>
    <x v="36"/>
    <x v="3"/>
    <x v="33"/>
    <n v="1989931.6500000001"/>
  </r>
  <r>
    <x v="36"/>
    <x v="4"/>
    <x v="33"/>
    <n v="1989931.6500000001"/>
  </r>
  <r>
    <x v="36"/>
    <x v="0"/>
    <x v="58"/>
    <n v="6819217.6500000004"/>
  </r>
  <r>
    <x v="36"/>
    <x v="1"/>
    <x v="58"/>
    <n v="6819217.6500000004"/>
  </r>
  <r>
    <x v="36"/>
    <x v="2"/>
    <x v="58"/>
    <n v="6819217.6500000004"/>
  </r>
  <r>
    <x v="36"/>
    <x v="3"/>
    <x v="58"/>
    <n v="6819217.6500000004"/>
  </r>
  <r>
    <x v="36"/>
    <x v="4"/>
    <x v="58"/>
    <n v="6819217.6500000004"/>
  </r>
  <r>
    <x v="36"/>
    <x v="0"/>
    <x v="13"/>
    <n v="9827696.5500000007"/>
  </r>
  <r>
    <x v="36"/>
    <x v="1"/>
    <x v="13"/>
    <n v="9827696.5500000007"/>
  </r>
  <r>
    <x v="36"/>
    <x v="2"/>
    <x v="13"/>
    <n v="9827696.5500000007"/>
  </r>
  <r>
    <x v="36"/>
    <x v="3"/>
    <x v="13"/>
    <n v="9827696.5500000007"/>
  </r>
  <r>
    <x v="36"/>
    <x v="4"/>
    <x v="13"/>
    <n v="9827696.5500000007"/>
  </r>
  <r>
    <x v="36"/>
    <x v="0"/>
    <x v="133"/>
    <n v="9827696.5500000007"/>
  </r>
  <r>
    <x v="36"/>
    <x v="1"/>
    <x v="133"/>
    <n v="9827696.5500000007"/>
  </r>
  <r>
    <x v="36"/>
    <x v="2"/>
    <x v="133"/>
    <n v="9827696.5500000007"/>
  </r>
  <r>
    <x v="36"/>
    <x v="3"/>
    <x v="133"/>
    <n v="9827696.5500000007"/>
  </r>
  <r>
    <x v="36"/>
    <x v="4"/>
    <x v="133"/>
    <n v="9827696.5500000007"/>
  </r>
  <r>
    <x v="36"/>
    <x v="0"/>
    <x v="133"/>
    <n v="9827696.5500000007"/>
  </r>
  <r>
    <x v="36"/>
    <x v="1"/>
    <x v="133"/>
    <n v="9827696.5500000007"/>
  </r>
  <r>
    <x v="36"/>
    <x v="2"/>
    <x v="133"/>
    <n v="9827696.5500000007"/>
  </r>
  <r>
    <x v="36"/>
    <x v="3"/>
    <x v="133"/>
    <n v="9827696.5500000007"/>
  </r>
  <r>
    <x v="36"/>
    <x v="4"/>
    <x v="133"/>
    <n v="9827696.5500000007"/>
  </r>
  <r>
    <x v="36"/>
    <x v="0"/>
    <x v="134"/>
    <n v="7822044.3000000007"/>
  </r>
  <r>
    <x v="36"/>
    <x v="1"/>
    <x v="134"/>
    <n v="7822044.3000000007"/>
  </r>
  <r>
    <x v="36"/>
    <x v="2"/>
    <x v="134"/>
    <n v="7822044.3000000007"/>
  </r>
  <r>
    <x v="36"/>
    <x v="3"/>
    <x v="134"/>
    <n v="7822044.3000000007"/>
  </r>
  <r>
    <x v="36"/>
    <x v="4"/>
    <x v="134"/>
    <n v="7822044.3000000007"/>
  </r>
  <r>
    <x v="37"/>
    <x v="2"/>
    <x v="0"/>
    <n v="3184375.68"/>
  </r>
  <r>
    <x v="37"/>
    <x v="3"/>
    <x v="0"/>
    <n v="3184375.68"/>
  </r>
  <r>
    <x v="37"/>
    <x v="4"/>
    <x v="0"/>
    <n v="3184375.68"/>
  </r>
  <r>
    <x v="37"/>
    <x v="5"/>
    <x v="0"/>
    <n v="3184375.68"/>
  </r>
  <r>
    <x v="37"/>
    <x v="6"/>
    <x v="0"/>
    <n v="3184375.68"/>
  </r>
  <r>
    <x v="37"/>
    <x v="7"/>
    <x v="0"/>
    <n v="4776563.5200000005"/>
  </r>
  <r>
    <x v="37"/>
    <x v="8"/>
    <x v="0"/>
    <n v="4776563.5200000005"/>
  </r>
  <r>
    <x v="37"/>
    <x v="9"/>
    <x v="0"/>
    <n v="4776563.5200000005"/>
  </r>
  <r>
    <x v="37"/>
    <x v="10"/>
    <x v="0"/>
    <n v="4776563.5200000005"/>
  </r>
  <r>
    <x v="37"/>
    <x v="11"/>
    <x v="0"/>
    <n v="4776563.5200000005"/>
  </r>
  <r>
    <x v="37"/>
    <x v="12"/>
    <x v="0"/>
    <n v="4776563.5200000005"/>
  </r>
  <r>
    <x v="37"/>
    <x v="13"/>
    <x v="0"/>
    <n v="4776563.5200000005"/>
  </r>
  <r>
    <x v="37"/>
    <x v="14"/>
    <x v="0"/>
    <n v="4776563.5200000005"/>
  </r>
  <r>
    <x v="37"/>
    <x v="15"/>
    <x v="0"/>
    <n v="4776563.5200000005"/>
  </r>
  <r>
    <x v="37"/>
    <x v="16"/>
    <x v="0"/>
    <n v="4776563.5200000005"/>
  </r>
  <r>
    <x v="37"/>
    <x v="17"/>
    <x v="0"/>
    <n v="4776563.5200000005"/>
  </r>
  <r>
    <x v="37"/>
    <x v="18"/>
    <x v="0"/>
    <n v="4776563.5200000005"/>
  </r>
  <r>
    <x v="37"/>
    <x v="19"/>
    <x v="0"/>
    <n v="4776563.5200000005"/>
  </r>
  <r>
    <x v="37"/>
    <x v="20"/>
    <x v="0"/>
    <n v="4776563.5200000005"/>
  </r>
  <r>
    <x v="37"/>
    <x v="21"/>
    <x v="0"/>
    <n v="4776563.5200000005"/>
  </r>
  <r>
    <x v="37"/>
    <x v="22"/>
    <x v="0"/>
    <n v="4776563.5200000005"/>
  </r>
  <r>
    <x v="37"/>
    <x v="23"/>
    <x v="0"/>
    <n v="4776563.5200000005"/>
  </r>
  <r>
    <x v="37"/>
    <x v="24"/>
    <x v="0"/>
    <n v="4776563.5200000005"/>
  </r>
  <r>
    <x v="37"/>
    <x v="25"/>
    <x v="0"/>
    <n v="4776563.5200000005"/>
  </r>
  <r>
    <x v="37"/>
    <x v="26"/>
    <x v="0"/>
    <n v="4776563.5200000005"/>
  </r>
  <r>
    <x v="37"/>
    <x v="2"/>
    <x v="1"/>
    <n v="6862500"/>
  </r>
  <r>
    <x v="37"/>
    <x v="3"/>
    <x v="1"/>
    <n v="6862500"/>
  </r>
  <r>
    <x v="37"/>
    <x v="4"/>
    <x v="1"/>
    <n v="6862500"/>
  </r>
  <r>
    <x v="37"/>
    <x v="5"/>
    <x v="1"/>
    <n v="6862500"/>
  </r>
  <r>
    <x v="37"/>
    <x v="6"/>
    <x v="1"/>
    <n v="6862500"/>
  </r>
  <r>
    <x v="37"/>
    <x v="7"/>
    <x v="1"/>
    <n v="9150000"/>
  </r>
  <r>
    <x v="37"/>
    <x v="8"/>
    <x v="1"/>
    <n v="9150000"/>
  </r>
  <r>
    <x v="37"/>
    <x v="9"/>
    <x v="1"/>
    <n v="9150000"/>
  </r>
  <r>
    <x v="37"/>
    <x v="10"/>
    <x v="1"/>
    <n v="9150000"/>
  </r>
  <r>
    <x v="37"/>
    <x v="11"/>
    <x v="1"/>
    <n v="9150000"/>
  </r>
  <r>
    <x v="37"/>
    <x v="12"/>
    <x v="1"/>
    <n v="9150000"/>
  </r>
  <r>
    <x v="37"/>
    <x v="13"/>
    <x v="1"/>
    <n v="9150000"/>
  </r>
  <r>
    <x v="37"/>
    <x v="14"/>
    <x v="1"/>
    <n v="9150000"/>
  </r>
  <r>
    <x v="37"/>
    <x v="15"/>
    <x v="1"/>
    <n v="9150000"/>
  </r>
  <r>
    <x v="37"/>
    <x v="16"/>
    <x v="1"/>
    <n v="9150000"/>
  </r>
  <r>
    <x v="37"/>
    <x v="17"/>
    <x v="1"/>
    <n v="9150000"/>
  </r>
  <r>
    <x v="37"/>
    <x v="18"/>
    <x v="1"/>
    <n v="9150000"/>
  </r>
  <r>
    <x v="37"/>
    <x v="19"/>
    <x v="1"/>
    <n v="9150000"/>
  </r>
  <r>
    <x v="37"/>
    <x v="20"/>
    <x v="1"/>
    <n v="9150000"/>
  </r>
  <r>
    <x v="37"/>
    <x v="21"/>
    <x v="1"/>
    <n v="9150000"/>
  </r>
  <r>
    <x v="37"/>
    <x v="22"/>
    <x v="1"/>
    <n v="9150000"/>
  </r>
  <r>
    <x v="37"/>
    <x v="23"/>
    <x v="1"/>
    <n v="9150000"/>
  </r>
  <r>
    <x v="37"/>
    <x v="24"/>
    <x v="1"/>
    <n v="9150000"/>
  </r>
  <r>
    <x v="37"/>
    <x v="25"/>
    <x v="1"/>
    <n v="9150000"/>
  </r>
  <r>
    <x v="37"/>
    <x v="26"/>
    <x v="1"/>
    <n v="9150000"/>
  </r>
  <r>
    <x v="37"/>
    <x v="2"/>
    <x v="119"/>
    <n v="6000000"/>
  </r>
  <r>
    <x v="37"/>
    <x v="3"/>
    <x v="119"/>
    <n v="6000000"/>
  </r>
  <r>
    <x v="37"/>
    <x v="4"/>
    <x v="119"/>
    <n v="6000000"/>
  </r>
  <r>
    <x v="37"/>
    <x v="5"/>
    <x v="119"/>
    <n v="6000000"/>
  </r>
  <r>
    <x v="37"/>
    <x v="6"/>
    <x v="119"/>
    <n v="6000000"/>
  </r>
  <r>
    <x v="37"/>
    <x v="7"/>
    <x v="119"/>
    <n v="6000000"/>
  </r>
  <r>
    <x v="37"/>
    <x v="8"/>
    <x v="119"/>
    <n v="6000000"/>
  </r>
  <r>
    <x v="37"/>
    <x v="9"/>
    <x v="119"/>
    <n v="6000000"/>
  </r>
  <r>
    <x v="37"/>
    <x v="10"/>
    <x v="119"/>
    <n v="6000000"/>
  </r>
  <r>
    <x v="37"/>
    <x v="11"/>
    <x v="119"/>
    <n v="6000000"/>
  </r>
  <r>
    <x v="37"/>
    <x v="12"/>
    <x v="119"/>
    <n v="6000000"/>
  </r>
  <r>
    <x v="37"/>
    <x v="13"/>
    <x v="119"/>
    <n v="6000000"/>
  </r>
  <r>
    <x v="37"/>
    <x v="14"/>
    <x v="119"/>
    <n v="6000000"/>
  </r>
  <r>
    <x v="37"/>
    <x v="15"/>
    <x v="119"/>
    <n v="6000000"/>
  </r>
  <r>
    <x v="37"/>
    <x v="2"/>
    <x v="3"/>
    <n v="6000000"/>
  </r>
  <r>
    <x v="37"/>
    <x v="3"/>
    <x v="3"/>
    <n v="6000000"/>
  </r>
  <r>
    <x v="37"/>
    <x v="4"/>
    <x v="3"/>
    <n v="6000000"/>
  </r>
  <r>
    <x v="37"/>
    <x v="5"/>
    <x v="3"/>
    <n v="6000000"/>
  </r>
  <r>
    <x v="37"/>
    <x v="6"/>
    <x v="3"/>
    <n v="6000000"/>
  </r>
  <r>
    <x v="37"/>
    <x v="7"/>
    <x v="3"/>
    <n v="6000000"/>
  </r>
  <r>
    <x v="37"/>
    <x v="8"/>
    <x v="3"/>
    <n v="6000000"/>
  </r>
  <r>
    <x v="37"/>
    <x v="9"/>
    <x v="3"/>
    <n v="6000000"/>
  </r>
  <r>
    <x v="37"/>
    <x v="10"/>
    <x v="3"/>
    <n v="6000000"/>
  </r>
  <r>
    <x v="37"/>
    <x v="11"/>
    <x v="3"/>
    <n v="6000000"/>
  </r>
  <r>
    <x v="37"/>
    <x v="12"/>
    <x v="3"/>
    <n v="6000000"/>
  </r>
  <r>
    <x v="37"/>
    <x v="13"/>
    <x v="3"/>
    <n v="6000000"/>
  </r>
  <r>
    <x v="37"/>
    <x v="2"/>
    <x v="15"/>
    <n v="3058762.5"/>
  </r>
  <r>
    <x v="37"/>
    <x v="3"/>
    <x v="15"/>
    <n v="3058762.5"/>
  </r>
  <r>
    <x v="37"/>
    <x v="4"/>
    <x v="15"/>
    <n v="3058762.5"/>
  </r>
  <r>
    <x v="37"/>
    <x v="2"/>
    <x v="15"/>
    <n v="4078350"/>
  </r>
  <r>
    <x v="37"/>
    <x v="3"/>
    <x v="15"/>
    <n v="4078350"/>
  </r>
  <r>
    <x v="37"/>
    <x v="4"/>
    <x v="15"/>
    <n v="4078350"/>
  </r>
  <r>
    <x v="37"/>
    <x v="5"/>
    <x v="15"/>
    <n v="4078350"/>
  </r>
  <r>
    <x v="37"/>
    <x v="6"/>
    <x v="15"/>
    <n v="4078350"/>
  </r>
  <r>
    <x v="37"/>
    <x v="7"/>
    <x v="15"/>
    <n v="4078350"/>
  </r>
  <r>
    <x v="37"/>
    <x v="8"/>
    <x v="15"/>
    <n v="4078350"/>
  </r>
  <r>
    <x v="37"/>
    <x v="9"/>
    <x v="15"/>
    <n v="4078350"/>
  </r>
  <r>
    <x v="37"/>
    <x v="10"/>
    <x v="15"/>
    <n v="4078350"/>
  </r>
  <r>
    <x v="37"/>
    <x v="11"/>
    <x v="15"/>
    <n v="4078350"/>
  </r>
  <r>
    <x v="37"/>
    <x v="12"/>
    <x v="15"/>
    <n v="4078350"/>
  </r>
  <r>
    <x v="37"/>
    <x v="13"/>
    <x v="15"/>
    <n v="4078350"/>
  </r>
  <r>
    <x v="37"/>
    <x v="14"/>
    <x v="15"/>
    <n v="4078350"/>
  </r>
  <r>
    <x v="37"/>
    <x v="15"/>
    <x v="15"/>
    <n v="4078350"/>
  </r>
  <r>
    <x v="37"/>
    <x v="16"/>
    <x v="15"/>
    <n v="4078350"/>
  </r>
  <r>
    <x v="37"/>
    <x v="17"/>
    <x v="15"/>
    <n v="4078350"/>
  </r>
  <r>
    <x v="37"/>
    <x v="18"/>
    <x v="15"/>
    <n v="4078350"/>
  </r>
  <r>
    <x v="37"/>
    <x v="19"/>
    <x v="15"/>
    <n v="4078350"/>
  </r>
  <r>
    <x v="37"/>
    <x v="20"/>
    <x v="15"/>
    <n v="4078350"/>
  </r>
  <r>
    <x v="37"/>
    <x v="21"/>
    <x v="15"/>
    <n v="4078350"/>
  </r>
  <r>
    <x v="37"/>
    <x v="2"/>
    <x v="58"/>
    <n v="3923277"/>
  </r>
  <r>
    <x v="37"/>
    <x v="3"/>
    <x v="58"/>
    <n v="3923277"/>
  </r>
  <r>
    <x v="37"/>
    <x v="4"/>
    <x v="58"/>
    <n v="3923277"/>
  </r>
  <r>
    <x v="37"/>
    <x v="5"/>
    <x v="58"/>
    <n v="3923277"/>
  </r>
  <r>
    <x v="37"/>
    <x v="6"/>
    <x v="58"/>
    <n v="3923277"/>
  </r>
  <r>
    <x v="37"/>
    <x v="7"/>
    <x v="58"/>
    <n v="3923277"/>
  </r>
  <r>
    <x v="37"/>
    <x v="8"/>
    <x v="58"/>
    <n v="3923277"/>
  </r>
  <r>
    <x v="37"/>
    <x v="2"/>
    <x v="20"/>
    <n v="3815999.9999999995"/>
  </r>
  <r>
    <x v="37"/>
    <x v="3"/>
    <x v="20"/>
    <n v="3815999.9999999995"/>
  </r>
  <r>
    <x v="37"/>
    <x v="4"/>
    <x v="20"/>
    <n v="3815999.9999999995"/>
  </r>
  <r>
    <x v="37"/>
    <x v="5"/>
    <x v="20"/>
    <n v="3815999.9999999995"/>
  </r>
  <r>
    <x v="37"/>
    <x v="6"/>
    <x v="20"/>
    <n v="3815999.9999999995"/>
  </r>
  <r>
    <x v="37"/>
    <x v="7"/>
    <x v="20"/>
    <n v="3815999.9999999995"/>
  </r>
  <r>
    <x v="37"/>
    <x v="8"/>
    <x v="20"/>
    <n v="3815999.9999999995"/>
  </r>
  <r>
    <x v="37"/>
    <x v="9"/>
    <x v="20"/>
    <n v="3815999.9999999995"/>
  </r>
  <r>
    <x v="37"/>
    <x v="10"/>
    <x v="20"/>
    <n v="3815999.9999999995"/>
  </r>
  <r>
    <x v="37"/>
    <x v="11"/>
    <x v="20"/>
    <n v="3815999.9999999995"/>
  </r>
  <r>
    <x v="37"/>
    <x v="12"/>
    <x v="20"/>
    <n v="3815999.9999999995"/>
  </r>
  <r>
    <x v="37"/>
    <x v="13"/>
    <x v="20"/>
    <n v="3815999.9999999995"/>
  </r>
  <r>
    <x v="37"/>
    <x v="14"/>
    <x v="20"/>
    <n v="3815999.9999999995"/>
  </r>
  <r>
    <x v="37"/>
    <x v="15"/>
    <x v="20"/>
    <n v="3815999.9999999995"/>
  </r>
  <r>
    <x v="37"/>
    <x v="16"/>
    <x v="20"/>
    <n v="3815999.9999999995"/>
  </r>
  <r>
    <x v="37"/>
    <x v="17"/>
    <x v="20"/>
    <n v="3815999.9999999995"/>
  </r>
  <r>
    <x v="37"/>
    <x v="18"/>
    <x v="20"/>
    <n v="3815999.9999999995"/>
  </r>
  <r>
    <x v="37"/>
    <x v="19"/>
    <x v="20"/>
    <n v="3815999.9999999995"/>
  </r>
  <r>
    <x v="37"/>
    <x v="20"/>
    <x v="20"/>
    <n v="3815999.9999999995"/>
  </r>
  <r>
    <x v="37"/>
    <x v="21"/>
    <x v="20"/>
    <n v="3815999.9999999995"/>
  </r>
  <r>
    <x v="37"/>
    <x v="22"/>
    <x v="20"/>
    <n v="3815999.9999999995"/>
  </r>
  <r>
    <x v="37"/>
    <x v="23"/>
    <x v="20"/>
    <n v="3815999.9999999995"/>
  </r>
  <r>
    <x v="37"/>
    <x v="24"/>
    <x v="20"/>
    <n v="3815999.9999999995"/>
  </r>
  <r>
    <x v="37"/>
    <x v="25"/>
    <x v="20"/>
    <n v="3815999.9999999995"/>
  </r>
  <r>
    <x v="38"/>
    <x v="3"/>
    <x v="13"/>
    <n v="5724000"/>
  </r>
  <r>
    <x v="38"/>
    <x v="3"/>
    <x v="15"/>
    <n v="5271741"/>
  </r>
  <r>
    <x v="38"/>
    <x v="3"/>
    <x v="5"/>
    <n v="1963650"/>
  </r>
  <r>
    <x v="38"/>
    <x v="3"/>
    <x v="0"/>
    <n v="3183727.68"/>
  </r>
  <r>
    <x v="38"/>
    <x v="4"/>
    <x v="0"/>
    <n v="3183727.68"/>
  </r>
  <r>
    <x v="38"/>
    <x v="5"/>
    <x v="0"/>
    <n v="3183727.68"/>
  </r>
  <r>
    <x v="38"/>
    <x v="6"/>
    <x v="0"/>
    <n v="3183727.68"/>
  </r>
  <r>
    <x v="38"/>
    <x v="7"/>
    <x v="0"/>
    <n v="3183727.68"/>
  </r>
  <r>
    <x v="38"/>
    <x v="8"/>
    <x v="0"/>
    <n v="3183727.68"/>
  </r>
  <r>
    <x v="38"/>
    <x v="9"/>
    <x v="0"/>
    <n v="3183727.68"/>
  </r>
  <r>
    <x v="38"/>
    <x v="10"/>
    <x v="0"/>
    <n v="3183727.68"/>
  </r>
  <r>
    <x v="38"/>
    <x v="11"/>
    <x v="0"/>
    <n v="3183727.68"/>
  </r>
  <r>
    <x v="38"/>
    <x v="12"/>
    <x v="0"/>
    <n v="3183727.68"/>
  </r>
  <r>
    <x v="38"/>
    <x v="3"/>
    <x v="77"/>
    <n v="6750000"/>
  </r>
  <r>
    <x v="38"/>
    <x v="4"/>
    <x v="77"/>
    <n v="6750000"/>
  </r>
  <r>
    <x v="38"/>
    <x v="5"/>
    <x v="77"/>
    <n v="6750000"/>
  </r>
  <r>
    <x v="38"/>
    <x v="6"/>
    <x v="77"/>
    <n v="6750000"/>
  </r>
  <r>
    <x v="38"/>
    <x v="7"/>
    <x v="77"/>
    <n v="6750000"/>
  </r>
  <r>
    <x v="38"/>
    <x v="8"/>
    <x v="77"/>
    <n v="6750000"/>
  </r>
  <r>
    <x v="38"/>
    <x v="9"/>
    <x v="77"/>
    <n v="6750000"/>
  </r>
  <r>
    <x v="38"/>
    <x v="10"/>
    <x v="77"/>
    <n v="6750000"/>
  </r>
  <r>
    <x v="38"/>
    <x v="11"/>
    <x v="77"/>
    <n v="6750000"/>
  </r>
  <r>
    <x v="38"/>
    <x v="12"/>
    <x v="77"/>
    <n v="6750000"/>
  </r>
  <r>
    <x v="38"/>
    <x v="3"/>
    <x v="58"/>
    <n v="1961638.5"/>
  </r>
  <r>
    <x v="38"/>
    <x v="4"/>
    <x v="58"/>
    <n v="1961638.5"/>
  </r>
  <r>
    <x v="38"/>
    <x v="5"/>
    <x v="58"/>
    <n v="1961638.5"/>
  </r>
  <r>
    <x v="38"/>
    <x v="6"/>
    <x v="58"/>
    <n v="1961638.5"/>
  </r>
  <r>
    <x v="38"/>
    <x v="7"/>
    <x v="58"/>
    <n v="1961638.5"/>
  </r>
  <r>
    <x v="38"/>
    <x v="8"/>
    <x v="58"/>
    <n v="1961638.5"/>
  </r>
  <r>
    <x v="38"/>
    <x v="9"/>
    <x v="58"/>
    <n v="1961638.5"/>
  </r>
  <r>
    <x v="38"/>
    <x v="3"/>
    <x v="15"/>
    <n v="4078350"/>
  </r>
  <r>
    <x v="38"/>
    <x v="4"/>
    <x v="15"/>
    <n v="4078350"/>
  </r>
  <r>
    <x v="38"/>
    <x v="5"/>
    <x v="15"/>
    <n v="4078350"/>
  </r>
  <r>
    <x v="38"/>
    <x v="6"/>
    <x v="15"/>
    <n v="4078350"/>
  </r>
  <r>
    <x v="38"/>
    <x v="7"/>
    <x v="15"/>
    <n v="4078350"/>
  </r>
  <r>
    <x v="38"/>
    <x v="8"/>
    <x v="15"/>
    <n v="4078350"/>
  </r>
  <r>
    <x v="38"/>
    <x v="9"/>
    <x v="15"/>
    <n v="4078350"/>
  </r>
  <r>
    <x v="38"/>
    <x v="10"/>
    <x v="15"/>
    <n v="4078350"/>
  </r>
  <r>
    <x v="38"/>
    <x v="11"/>
    <x v="15"/>
    <n v="4078350"/>
  </r>
  <r>
    <x v="38"/>
    <x v="12"/>
    <x v="15"/>
    <n v="4078350"/>
  </r>
  <r>
    <x v="38"/>
    <x v="3"/>
    <x v="14"/>
    <n v="4626300.8879999993"/>
  </r>
  <r>
    <x v="38"/>
    <x v="4"/>
    <x v="14"/>
    <n v="4626300.8879999993"/>
  </r>
  <r>
    <x v="38"/>
    <x v="5"/>
    <x v="14"/>
    <n v="4626300.8879999993"/>
  </r>
  <r>
    <x v="38"/>
    <x v="6"/>
    <x v="14"/>
    <n v="4626300.8879999993"/>
  </r>
  <r>
    <x v="38"/>
    <x v="7"/>
    <x v="14"/>
    <n v="4626300.8879999993"/>
  </r>
  <r>
    <x v="38"/>
    <x v="8"/>
    <x v="14"/>
    <n v="4626300.8879999993"/>
  </r>
  <r>
    <x v="38"/>
    <x v="9"/>
    <x v="14"/>
    <n v="4626300.8879999993"/>
  </r>
  <r>
    <x v="38"/>
    <x v="10"/>
    <x v="14"/>
    <n v="4626300.8879999993"/>
  </r>
  <r>
    <x v="38"/>
    <x v="11"/>
    <x v="14"/>
    <n v="4626300.8879999993"/>
  </r>
  <r>
    <x v="38"/>
    <x v="3"/>
    <x v="13"/>
    <n v="7512750"/>
  </r>
  <r>
    <x v="38"/>
    <x v="4"/>
    <x v="13"/>
    <n v="7512750"/>
  </r>
  <r>
    <x v="38"/>
    <x v="5"/>
    <x v="13"/>
    <n v="7512750"/>
  </r>
  <r>
    <x v="38"/>
    <x v="6"/>
    <x v="13"/>
    <n v="7512750"/>
  </r>
  <r>
    <x v="38"/>
    <x v="3"/>
    <x v="14"/>
    <n v="5204588.4989999998"/>
  </r>
  <r>
    <x v="38"/>
    <x v="4"/>
    <x v="14"/>
    <n v="5204588.4989999998"/>
  </r>
  <r>
    <x v="38"/>
    <x v="5"/>
    <x v="14"/>
    <n v="5204588.4989999998"/>
  </r>
  <r>
    <x v="39"/>
    <x v="3"/>
    <x v="0"/>
    <n v="2323944"/>
  </r>
  <r>
    <x v="39"/>
    <x v="4"/>
    <x v="0"/>
    <n v="2323944"/>
  </r>
  <r>
    <x v="39"/>
    <x v="5"/>
    <x v="0"/>
    <n v="2323944"/>
  </r>
  <r>
    <x v="39"/>
    <x v="6"/>
    <x v="0"/>
    <n v="2323944"/>
  </r>
  <r>
    <x v="39"/>
    <x v="7"/>
    <x v="0"/>
    <n v="2323944"/>
  </r>
  <r>
    <x v="39"/>
    <x v="8"/>
    <x v="0"/>
    <n v="2323944"/>
  </r>
  <r>
    <x v="39"/>
    <x v="9"/>
    <x v="0"/>
    <n v="2323944"/>
  </r>
  <r>
    <x v="39"/>
    <x v="10"/>
    <x v="0"/>
    <n v="2323944"/>
  </r>
  <r>
    <x v="39"/>
    <x v="11"/>
    <x v="0"/>
    <n v="2323944"/>
  </r>
  <r>
    <x v="39"/>
    <x v="12"/>
    <x v="0"/>
    <n v="2323944"/>
  </r>
  <r>
    <x v="39"/>
    <x v="13"/>
    <x v="0"/>
    <n v="2323944"/>
  </r>
  <r>
    <x v="39"/>
    <x v="14"/>
    <x v="0"/>
    <n v="2323944"/>
  </r>
  <r>
    <x v="39"/>
    <x v="15"/>
    <x v="0"/>
    <n v="2323944"/>
  </r>
  <r>
    <x v="39"/>
    <x v="3"/>
    <x v="0"/>
    <n v="726232.5"/>
  </r>
  <r>
    <x v="39"/>
    <x v="4"/>
    <x v="0"/>
    <n v="726232.5"/>
  </r>
  <r>
    <x v="39"/>
    <x v="5"/>
    <x v="0"/>
    <n v="726232.5"/>
  </r>
  <r>
    <x v="39"/>
    <x v="6"/>
    <x v="0"/>
    <n v="726232.5"/>
  </r>
  <r>
    <x v="39"/>
    <x v="3"/>
    <x v="62"/>
    <n v="9883440"/>
  </r>
  <r>
    <x v="39"/>
    <x v="4"/>
    <x v="62"/>
    <n v="9883440"/>
  </r>
  <r>
    <x v="39"/>
    <x v="5"/>
    <x v="62"/>
    <n v="9883440"/>
  </r>
  <r>
    <x v="39"/>
    <x v="6"/>
    <x v="62"/>
    <n v="9883440"/>
  </r>
  <r>
    <x v="39"/>
    <x v="7"/>
    <x v="62"/>
    <n v="9883440"/>
  </r>
  <r>
    <x v="39"/>
    <x v="8"/>
    <x v="62"/>
    <n v="9883440"/>
  </r>
  <r>
    <x v="39"/>
    <x v="9"/>
    <x v="62"/>
    <n v="9883440"/>
  </r>
  <r>
    <x v="39"/>
    <x v="10"/>
    <x v="62"/>
    <n v="9883440"/>
  </r>
  <r>
    <x v="39"/>
    <x v="11"/>
    <x v="62"/>
    <n v="9883440"/>
  </r>
  <r>
    <x v="39"/>
    <x v="12"/>
    <x v="62"/>
    <n v="9883440"/>
  </r>
  <r>
    <x v="39"/>
    <x v="13"/>
    <x v="62"/>
    <n v="9883440"/>
  </r>
  <r>
    <x v="39"/>
    <x v="14"/>
    <x v="62"/>
    <n v="9883440"/>
  </r>
  <r>
    <x v="39"/>
    <x v="15"/>
    <x v="62"/>
    <n v="9883440"/>
  </r>
  <r>
    <x v="39"/>
    <x v="3"/>
    <x v="135"/>
    <n v="5930064"/>
  </r>
  <r>
    <x v="39"/>
    <x v="4"/>
    <x v="135"/>
    <n v="5930064"/>
  </r>
  <r>
    <x v="39"/>
    <x v="5"/>
    <x v="135"/>
    <n v="5930064"/>
  </r>
  <r>
    <x v="39"/>
    <x v="6"/>
    <x v="135"/>
    <n v="5930064"/>
  </r>
  <r>
    <x v="39"/>
    <x v="7"/>
    <x v="135"/>
    <n v="5930064"/>
  </r>
  <r>
    <x v="39"/>
    <x v="8"/>
    <x v="135"/>
    <n v="5930064"/>
  </r>
  <r>
    <x v="39"/>
    <x v="9"/>
    <x v="135"/>
    <n v="5930064"/>
  </r>
  <r>
    <x v="39"/>
    <x v="10"/>
    <x v="135"/>
    <n v="5930064"/>
  </r>
  <r>
    <x v="39"/>
    <x v="11"/>
    <x v="135"/>
    <n v="5930064"/>
  </r>
  <r>
    <x v="39"/>
    <x v="12"/>
    <x v="135"/>
    <n v="5930064"/>
  </r>
  <r>
    <x v="39"/>
    <x v="13"/>
    <x v="135"/>
    <n v="5930064"/>
  </r>
  <r>
    <x v="39"/>
    <x v="14"/>
    <x v="135"/>
    <n v="5930064"/>
  </r>
  <r>
    <x v="39"/>
    <x v="15"/>
    <x v="135"/>
    <n v="5930064"/>
  </r>
  <r>
    <x v="39"/>
    <x v="3"/>
    <x v="136"/>
    <n v="3916647"/>
  </r>
  <r>
    <x v="39"/>
    <x v="4"/>
    <x v="136"/>
    <n v="3916647"/>
  </r>
  <r>
    <x v="39"/>
    <x v="5"/>
    <x v="136"/>
    <n v="3916647"/>
  </r>
  <r>
    <x v="39"/>
    <x v="6"/>
    <x v="136"/>
    <n v="3916647"/>
  </r>
  <r>
    <x v="39"/>
    <x v="7"/>
    <x v="136"/>
    <n v="3916647"/>
  </r>
  <r>
    <x v="39"/>
    <x v="8"/>
    <x v="136"/>
    <n v="3916647"/>
  </r>
  <r>
    <x v="39"/>
    <x v="9"/>
    <x v="136"/>
    <n v="3916647"/>
  </r>
  <r>
    <x v="39"/>
    <x v="10"/>
    <x v="136"/>
    <n v="3916647"/>
  </r>
  <r>
    <x v="39"/>
    <x v="11"/>
    <x v="136"/>
    <n v="3916647"/>
  </r>
  <r>
    <x v="39"/>
    <x v="12"/>
    <x v="136"/>
    <n v="3916647"/>
  </r>
  <r>
    <x v="39"/>
    <x v="13"/>
    <x v="136"/>
    <n v="3916647"/>
  </r>
  <r>
    <x v="39"/>
    <x v="14"/>
    <x v="136"/>
    <n v="3916647"/>
  </r>
  <r>
    <x v="39"/>
    <x v="15"/>
    <x v="136"/>
    <n v="3916647"/>
  </r>
  <r>
    <x v="39"/>
    <x v="3"/>
    <x v="137"/>
    <n v="7103634.4399999995"/>
  </r>
  <r>
    <x v="39"/>
    <x v="4"/>
    <x v="137"/>
    <n v="7103634.4399999995"/>
  </r>
  <r>
    <x v="39"/>
    <x v="5"/>
    <x v="137"/>
    <n v="7103634.4399999995"/>
  </r>
  <r>
    <x v="39"/>
    <x v="6"/>
    <x v="137"/>
    <n v="7103634.4399999995"/>
  </r>
  <r>
    <x v="39"/>
    <x v="7"/>
    <x v="137"/>
    <n v="7103634.4399999995"/>
  </r>
  <r>
    <x v="39"/>
    <x v="8"/>
    <x v="137"/>
    <n v="7103634.4399999995"/>
  </r>
  <r>
    <x v="39"/>
    <x v="9"/>
    <x v="137"/>
    <n v="7103634.4399999995"/>
  </r>
  <r>
    <x v="39"/>
    <x v="10"/>
    <x v="137"/>
    <n v="7103634.4399999995"/>
  </r>
  <r>
    <x v="39"/>
    <x v="11"/>
    <x v="137"/>
    <n v="7103634.4399999995"/>
  </r>
  <r>
    <x v="39"/>
    <x v="12"/>
    <x v="137"/>
    <n v="7103634.4399999995"/>
  </r>
  <r>
    <x v="39"/>
    <x v="13"/>
    <x v="137"/>
    <n v="7103634.4399999995"/>
  </r>
  <r>
    <x v="39"/>
    <x v="14"/>
    <x v="137"/>
    <n v="7103634.4399999995"/>
  </r>
  <r>
    <x v="39"/>
    <x v="15"/>
    <x v="137"/>
    <n v="7103634.4399999995"/>
  </r>
  <r>
    <x v="39"/>
    <x v="3"/>
    <x v="135"/>
    <n v="5930064"/>
  </r>
  <r>
    <x v="39"/>
    <x v="4"/>
    <x v="135"/>
    <n v="5930064"/>
  </r>
  <r>
    <x v="39"/>
    <x v="5"/>
    <x v="135"/>
    <n v="5930064"/>
  </r>
  <r>
    <x v="39"/>
    <x v="6"/>
    <x v="135"/>
    <n v="5930064"/>
  </r>
  <r>
    <x v="39"/>
    <x v="7"/>
    <x v="135"/>
    <n v="5930064"/>
  </r>
  <r>
    <x v="39"/>
    <x v="8"/>
    <x v="135"/>
    <n v="5930064"/>
  </r>
  <r>
    <x v="39"/>
    <x v="9"/>
    <x v="135"/>
    <n v="5930064"/>
  </r>
  <r>
    <x v="39"/>
    <x v="10"/>
    <x v="135"/>
    <n v="5930064"/>
  </r>
  <r>
    <x v="39"/>
    <x v="11"/>
    <x v="135"/>
    <n v="5930064"/>
  </r>
  <r>
    <x v="39"/>
    <x v="12"/>
    <x v="135"/>
    <n v="5930064"/>
  </r>
  <r>
    <x v="39"/>
    <x v="13"/>
    <x v="135"/>
    <n v="5930064"/>
  </r>
  <r>
    <x v="39"/>
    <x v="14"/>
    <x v="135"/>
    <n v="5930064"/>
  </r>
  <r>
    <x v="39"/>
    <x v="15"/>
    <x v="135"/>
    <n v="5930064"/>
  </r>
  <r>
    <x v="39"/>
    <x v="3"/>
    <x v="30"/>
    <n v="3847852"/>
  </r>
  <r>
    <x v="39"/>
    <x v="4"/>
    <x v="30"/>
    <n v="3847852"/>
  </r>
  <r>
    <x v="39"/>
    <x v="5"/>
    <x v="30"/>
    <n v="3847852"/>
  </r>
  <r>
    <x v="39"/>
    <x v="6"/>
    <x v="30"/>
    <n v="3847852"/>
  </r>
  <r>
    <x v="39"/>
    <x v="7"/>
    <x v="30"/>
    <n v="3847852"/>
  </r>
  <r>
    <x v="39"/>
    <x v="8"/>
    <x v="30"/>
    <n v="3847852"/>
  </r>
  <r>
    <x v="39"/>
    <x v="9"/>
    <x v="30"/>
    <n v="3847852"/>
  </r>
  <r>
    <x v="39"/>
    <x v="10"/>
    <x v="30"/>
    <n v="3847852"/>
  </r>
  <r>
    <x v="39"/>
    <x v="11"/>
    <x v="30"/>
    <n v="3847852"/>
  </r>
  <r>
    <x v="39"/>
    <x v="12"/>
    <x v="30"/>
    <n v="3847852"/>
  </r>
  <r>
    <x v="39"/>
    <x v="13"/>
    <x v="30"/>
    <n v="3847852"/>
  </r>
  <r>
    <x v="39"/>
    <x v="14"/>
    <x v="30"/>
    <n v="3847852"/>
  </r>
  <r>
    <x v="39"/>
    <x v="15"/>
    <x v="30"/>
    <n v="3847852"/>
  </r>
  <r>
    <x v="39"/>
    <x v="3"/>
    <x v="27"/>
    <n v="6012426"/>
  </r>
  <r>
    <x v="39"/>
    <x v="4"/>
    <x v="27"/>
    <n v="6012426"/>
  </r>
  <r>
    <x v="39"/>
    <x v="5"/>
    <x v="27"/>
    <n v="6012426"/>
  </r>
  <r>
    <x v="39"/>
    <x v="6"/>
    <x v="27"/>
    <n v="6012426"/>
  </r>
  <r>
    <x v="39"/>
    <x v="7"/>
    <x v="27"/>
    <n v="6012426"/>
  </r>
  <r>
    <x v="39"/>
    <x v="8"/>
    <x v="27"/>
    <n v="6012426"/>
  </r>
  <r>
    <x v="39"/>
    <x v="9"/>
    <x v="27"/>
    <n v="6012426"/>
  </r>
  <r>
    <x v="39"/>
    <x v="10"/>
    <x v="27"/>
    <n v="6012426"/>
  </r>
  <r>
    <x v="39"/>
    <x v="11"/>
    <x v="27"/>
    <n v="6012426"/>
  </r>
  <r>
    <x v="39"/>
    <x v="12"/>
    <x v="27"/>
    <n v="6012426"/>
  </r>
  <r>
    <x v="39"/>
    <x v="13"/>
    <x v="27"/>
    <n v="6012426"/>
  </r>
  <r>
    <x v="39"/>
    <x v="14"/>
    <x v="27"/>
    <n v="6012426"/>
  </r>
  <r>
    <x v="39"/>
    <x v="15"/>
    <x v="27"/>
    <n v="6012426"/>
  </r>
  <r>
    <x v="39"/>
    <x v="3"/>
    <x v="138"/>
    <n v="4941720"/>
  </r>
  <r>
    <x v="39"/>
    <x v="4"/>
    <x v="138"/>
    <n v="4941720"/>
  </r>
  <r>
    <x v="39"/>
    <x v="5"/>
    <x v="138"/>
    <n v="4941720"/>
  </r>
  <r>
    <x v="39"/>
    <x v="6"/>
    <x v="138"/>
    <n v="4941720"/>
  </r>
  <r>
    <x v="39"/>
    <x v="7"/>
    <x v="138"/>
    <n v="4941720"/>
  </r>
  <r>
    <x v="39"/>
    <x v="8"/>
    <x v="138"/>
    <n v="4941720"/>
  </r>
  <r>
    <x v="39"/>
    <x v="9"/>
    <x v="138"/>
    <n v="4941720"/>
  </r>
  <r>
    <x v="39"/>
    <x v="10"/>
    <x v="138"/>
    <n v="4941720"/>
  </r>
  <r>
    <x v="39"/>
    <x v="11"/>
    <x v="138"/>
    <n v="4941720"/>
  </r>
  <r>
    <x v="39"/>
    <x v="12"/>
    <x v="138"/>
    <n v="4941720"/>
  </r>
  <r>
    <x v="39"/>
    <x v="13"/>
    <x v="138"/>
    <n v="4941720"/>
  </r>
  <r>
    <x v="39"/>
    <x v="14"/>
    <x v="138"/>
    <n v="4941720"/>
  </r>
  <r>
    <x v="39"/>
    <x v="15"/>
    <x v="138"/>
    <n v="4941720"/>
  </r>
  <r>
    <x v="39"/>
    <x v="3"/>
    <x v="64"/>
    <n v="4612272"/>
  </r>
  <r>
    <x v="39"/>
    <x v="4"/>
    <x v="64"/>
    <n v="4612272"/>
  </r>
  <r>
    <x v="39"/>
    <x v="5"/>
    <x v="64"/>
    <n v="4612272"/>
  </r>
  <r>
    <x v="39"/>
    <x v="6"/>
    <x v="64"/>
    <n v="4612272"/>
  </r>
  <r>
    <x v="39"/>
    <x v="7"/>
    <x v="64"/>
    <n v="4612272"/>
  </r>
  <r>
    <x v="39"/>
    <x v="8"/>
    <x v="64"/>
    <n v="4612272"/>
  </r>
  <r>
    <x v="39"/>
    <x v="9"/>
    <x v="64"/>
    <n v="4612272"/>
  </r>
  <r>
    <x v="39"/>
    <x v="10"/>
    <x v="64"/>
    <n v="4612272"/>
  </r>
  <r>
    <x v="39"/>
    <x v="11"/>
    <x v="64"/>
    <n v="4612272"/>
  </r>
  <r>
    <x v="39"/>
    <x v="12"/>
    <x v="64"/>
    <n v="4612272"/>
  </r>
  <r>
    <x v="39"/>
    <x v="13"/>
    <x v="64"/>
    <n v="4612272"/>
  </r>
  <r>
    <x v="39"/>
    <x v="14"/>
    <x v="64"/>
    <n v="4612272"/>
  </r>
  <r>
    <x v="39"/>
    <x v="15"/>
    <x v="64"/>
    <n v="4612272"/>
  </r>
  <r>
    <x v="39"/>
    <x v="3"/>
    <x v="67"/>
    <n v="3669727.95"/>
  </r>
  <r>
    <x v="39"/>
    <x v="4"/>
    <x v="67"/>
    <n v="3669727.95"/>
  </r>
  <r>
    <x v="39"/>
    <x v="5"/>
    <x v="67"/>
    <n v="3669727.95"/>
  </r>
  <r>
    <x v="39"/>
    <x v="6"/>
    <x v="67"/>
    <n v="3669727.95"/>
  </r>
  <r>
    <x v="39"/>
    <x v="7"/>
    <x v="67"/>
    <n v="3669727.95"/>
  </r>
  <r>
    <x v="39"/>
    <x v="8"/>
    <x v="67"/>
    <n v="3669727.95"/>
  </r>
  <r>
    <x v="39"/>
    <x v="9"/>
    <x v="67"/>
    <n v="3669727.95"/>
  </r>
  <r>
    <x v="39"/>
    <x v="10"/>
    <x v="67"/>
    <n v="3669727.95"/>
  </r>
  <r>
    <x v="39"/>
    <x v="11"/>
    <x v="67"/>
    <n v="3669727.95"/>
  </r>
  <r>
    <x v="39"/>
    <x v="12"/>
    <x v="67"/>
    <n v="3669727.95"/>
  </r>
  <r>
    <x v="39"/>
    <x v="13"/>
    <x v="67"/>
    <n v="3669727.95"/>
  </r>
  <r>
    <x v="39"/>
    <x v="14"/>
    <x v="67"/>
    <n v="3669727.95"/>
  </r>
  <r>
    <x v="39"/>
    <x v="15"/>
    <x v="67"/>
    <n v="3669727.95"/>
  </r>
  <r>
    <x v="39"/>
    <x v="3"/>
    <x v="75"/>
    <n v="3678242.4"/>
  </r>
  <r>
    <x v="39"/>
    <x v="4"/>
    <x v="75"/>
    <n v="3678242.4"/>
  </r>
  <r>
    <x v="39"/>
    <x v="5"/>
    <x v="75"/>
    <n v="3678242.4"/>
  </r>
  <r>
    <x v="39"/>
    <x v="6"/>
    <x v="75"/>
    <n v="3678242.4"/>
  </r>
  <r>
    <x v="39"/>
    <x v="7"/>
    <x v="75"/>
    <n v="3678242.4"/>
  </r>
  <r>
    <x v="39"/>
    <x v="8"/>
    <x v="75"/>
    <n v="3678242.4"/>
  </r>
  <r>
    <x v="39"/>
    <x v="9"/>
    <x v="75"/>
    <n v="3678242.4"/>
  </r>
  <r>
    <x v="39"/>
    <x v="10"/>
    <x v="75"/>
    <n v="3678242.4"/>
  </r>
  <r>
    <x v="39"/>
    <x v="11"/>
    <x v="75"/>
    <n v="3678242.4"/>
  </r>
  <r>
    <x v="39"/>
    <x v="12"/>
    <x v="75"/>
    <n v="3678242.4"/>
  </r>
  <r>
    <x v="39"/>
    <x v="13"/>
    <x v="75"/>
    <n v="3678242.4"/>
  </r>
  <r>
    <x v="39"/>
    <x v="14"/>
    <x v="75"/>
    <n v="3678242.4"/>
  </r>
  <r>
    <x v="39"/>
    <x v="15"/>
    <x v="75"/>
    <n v="3678242.4"/>
  </r>
  <r>
    <x v="39"/>
    <x v="3"/>
    <x v="139"/>
    <n v="3678242.4"/>
  </r>
  <r>
    <x v="39"/>
    <x v="4"/>
    <x v="139"/>
    <n v="3678242.4"/>
  </r>
  <r>
    <x v="39"/>
    <x v="5"/>
    <x v="139"/>
    <n v="3678242.4"/>
  </r>
  <r>
    <x v="39"/>
    <x v="6"/>
    <x v="139"/>
    <n v="3678242.4"/>
  </r>
  <r>
    <x v="39"/>
    <x v="7"/>
    <x v="139"/>
    <n v="3678242.4"/>
  </r>
  <r>
    <x v="39"/>
    <x v="8"/>
    <x v="139"/>
    <n v="3678242.4"/>
  </r>
  <r>
    <x v="39"/>
    <x v="9"/>
    <x v="139"/>
    <n v="3678242.4"/>
  </r>
  <r>
    <x v="39"/>
    <x v="10"/>
    <x v="139"/>
    <n v="3678242.4"/>
  </r>
  <r>
    <x v="39"/>
    <x v="11"/>
    <x v="139"/>
    <n v="3678242.4"/>
  </r>
  <r>
    <x v="40"/>
    <x v="5"/>
    <x v="140"/>
    <n v="577000000"/>
  </r>
  <r>
    <x v="0"/>
    <x v="0"/>
    <x v="140"/>
    <n v="29400000"/>
  </r>
  <r>
    <x v="0"/>
    <x v="1"/>
    <x v="140"/>
    <n v="29400000"/>
  </r>
  <r>
    <x v="0"/>
    <x v="2"/>
    <x v="140"/>
    <n v="29400000"/>
  </r>
  <r>
    <x v="0"/>
    <x v="3"/>
    <x v="140"/>
    <n v="29400000"/>
  </r>
  <r>
    <x v="0"/>
    <x v="4"/>
    <x v="140"/>
    <n v="29400000"/>
  </r>
  <r>
    <x v="0"/>
    <x v="5"/>
    <x v="140"/>
    <n v="29400000"/>
  </r>
  <r>
    <x v="0"/>
    <x v="6"/>
    <x v="140"/>
    <n v="29400000"/>
  </r>
  <r>
    <x v="0"/>
    <x v="7"/>
    <x v="140"/>
    <n v="29400000"/>
  </r>
  <r>
    <x v="0"/>
    <x v="8"/>
    <x v="140"/>
    <n v="29400000"/>
  </r>
  <r>
    <x v="0"/>
    <x v="9"/>
    <x v="140"/>
    <n v="29400000"/>
  </r>
  <r>
    <x v="0"/>
    <x v="10"/>
    <x v="140"/>
    <n v="29400000"/>
  </r>
  <r>
    <x v="0"/>
    <x v="11"/>
    <x v="140"/>
    <n v="29400000"/>
  </r>
  <r>
    <x v="0"/>
    <x v="12"/>
    <x v="140"/>
    <n v="29400000"/>
  </r>
  <r>
    <x v="0"/>
    <x v="13"/>
    <x v="140"/>
    <n v="29400000"/>
  </r>
  <r>
    <x v="2"/>
    <x v="0"/>
    <x v="140"/>
    <n v="21263797.894736841"/>
  </r>
  <r>
    <x v="2"/>
    <x v="1"/>
    <x v="140"/>
    <n v="21263797.894736841"/>
  </r>
  <r>
    <x v="2"/>
    <x v="2"/>
    <x v="140"/>
    <n v="21263797.894736841"/>
  </r>
  <r>
    <x v="2"/>
    <x v="3"/>
    <x v="140"/>
    <n v="21263797.894736841"/>
  </r>
  <r>
    <x v="2"/>
    <x v="4"/>
    <x v="140"/>
    <n v="21263797.894736841"/>
  </r>
  <r>
    <x v="2"/>
    <x v="5"/>
    <x v="140"/>
    <n v="21263797.894736841"/>
  </r>
  <r>
    <x v="4"/>
    <x v="0"/>
    <x v="140"/>
    <n v="15665740"/>
  </r>
  <r>
    <x v="4"/>
    <x v="1"/>
    <x v="140"/>
    <n v="15665740"/>
  </r>
  <r>
    <x v="4"/>
    <x v="2"/>
    <x v="140"/>
    <n v="15665740"/>
  </r>
  <r>
    <x v="4"/>
    <x v="3"/>
    <x v="140"/>
    <n v="15665740"/>
  </r>
  <r>
    <x v="4"/>
    <x v="4"/>
    <x v="140"/>
    <n v="15665740"/>
  </r>
  <r>
    <x v="4"/>
    <x v="5"/>
    <x v="140"/>
    <n v="15665740"/>
  </r>
  <r>
    <x v="4"/>
    <x v="6"/>
    <x v="140"/>
    <n v="15665740"/>
  </r>
  <r>
    <x v="4"/>
    <x v="7"/>
    <x v="140"/>
    <n v="15665740"/>
  </r>
  <r>
    <x v="4"/>
    <x v="8"/>
    <x v="140"/>
    <n v="15665740"/>
  </r>
  <r>
    <x v="41"/>
    <x v="0"/>
    <x v="140"/>
    <n v="35458635"/>
  </r>
  <r>
    <x v="41"/>
    <x v="1"/>
    <x v="140"/>
    <n v="35458635"/>
  </r>
  <r>
    <x v="41"/>
    <x v="2"/>
    <x v="140"/>
    <n v="35458635"/>
  </r>
  <r>
    <x v="41"/>
    <x v="3"/>
    <x v="140"/>
    <n v="35458635"/>
  </r>
  <r>
    <x v="41"/>
    <x v="4"/>
    <x v="140"/>
    <n v="35458635"/>
  </r>
  <r>
    <x v="41"/>
    <x v="5"/>
    <x v="140"/>
    <n v="35458635"/>
  </r>
  <r>
    <x v="41"/>
    <x v="6"/>
    <x v="140"/>
    <n v="35458635"/>
  </r>
  <r>
    <x v="41"/>
    <x v="7"/>
    <x v="140"/>
    <n v="35458635"/>
  </r>
  <r>
    <x v="6"/>
    <x v="0"/>
    <x v="140"/>
    <n v="15500000"/>
  </r>
  <r>
    <x v="6"/>
    <x v="1"/>
    <x v="140"/>
    <n v="15500000"/>
  </r>
  <r>
    <x v="6"/>
    <x v="2"/>
    <x v="140"/>
    <n v="15500000"/>
  </r>
  <r>
    <x v="6"/>
    <x v="3"/>
    <x v="140"/>
    <n v="15500000"/>
  </r>
  <r>
    <x v="6"/>
    <x v="4"/>
    <x v="140"/>
    <n v="15500000"/>
  </r>
  <r>
    <x v="22"/>
    <x v="0"/>
    <x v="140"/>
    <n v="10000000"/>
  </r>
  <r>
    <x v="42"/>
    <x v="0"/>
    <x v="140"/>
    <n v="62778573"/>
  </r>
  <r>
    <x v="42"/>
    <x v="1"/>
    <x v="140"/>
    <n v="62778573"/>
  </r>
  <r>
    <x v="42"/>
    <x v="2"/>
    <x v="140"/>
    <n v="62778573"/>
  </r>
  <r>
    <x v="42"/>
    <x v="3"/>
    <x v="140"/>
    <n v="62778573"/>
  </r>
  <r>
    <x v="42"/>
    <x v="4"/>
    <x v="140"/>
    <n v="62778573"/>
  </r>
  <r>
    <x v="42"/>
    <x v="5"/>
    <x v="140"/>
    <n v="62778573"/>
  </r>
  <r>
    <x v="42"/>
    <x v="6"/>
    <x v="140"/>
    <n v="62778573"/>
  </r>
  <r>
    <x v="42"/>
    <x v="7"/>
    <x v="140"/>
    <n v="62778573"/>
  </r>
  <r>
    <x v="42"/>
    <x v="8"/>
    <x v="140"/>
    <n v="62778573"/>
  </r>
  <r>
    <x v="7"/>
    <x v="0"/>
    <x v="140"/>
    <n v="16500000"/>
  </r>
  <r>
    <x v="7"/>
    <x v="1"/>
    <x v="140"/>
    <n v="16500000"/>
  </r>
  <r>
    <x v="7"/>
    <x v="2"/>
    <x v="140"/>
    <n v="16500000"/>
  </r>
  <r>
    <x v="7"/>
    <x v="3"/>
    <x v="140"/>
    <n v="16500000"/>
  </r>
  <r>
    <x v="7"/>
    <x v="4"/>
    <x v="140"/>
    <n v="16500000"/>
  </r>
  <r>
    <x v="7"/>
    <x v="5"/>
    <x v="140"/>
    <n v="16500000"/>
  </r>
  <r>
    <x v="7"/>
    <x v="6"/>
    <x v="140"/>
    <n v="16500000"/>
  </r>
  <r>
    <x v="7"/>
    <x v="7"/>
    <x v="140"/>
    <n v="16500000"/>
  </r>
  <r>
    <x v="7"/>
    <x v="8"/>
    <x v="140"/>
    <n v="16500000"/>
  </r>
  <r>
    <x v="7"/>
    <x v="9"/>
    <x v="140"/>
    <n v="16500000"/>
  </r>
  <r>
    <x v="7"/>
    <x v="10"/>
    <x v="140"/>
    <n v="16500000"/>
  </r>
  <r>
    <x v="7"/>
    <x v="11"/>
    <x v="140"/>
    <n v="16500000"/>
  </r>
  <r>
    <x v="8"/>
    <x v="0"/>
    <x v="140"/>
    <n v="15400000"/>
  </r>
  <r>
    <x v="9"/>
    <x v="0"/>
    <x v="140"/>
    <n v="21063300"/>
  </r>
  <r>
    <x v="9"/>
    <x v="1"/>
    <x v="140"/>
    <n v="21063300"/>
  </r>
  <r>
    <x v="9"/>
    <x v="2"/>
    <x v="140"/>
    <n v="21063300"/>
  </r>
  <r>
    <x v="9"/>
    <x v="3"/>
    <x v="140"/>
    <n v="21063300"/>
  </r>
  <r>
    <x v="9"/>
    <x v="4"/>
    <x v="140"/>
    <n v="21063300"/>
  </r>
  <r>
    <x v="9"/>
    <x v="5"/>
    <x v="140"/>
    <n v="21063300"/>
  </r>
  <r>
    <x v="9"/>
    <x v="6"/>
    <x v="140"/>
    <n v="21063300"/>
  </r>
  <r>
    <x v="9"/>
    <x v="7"/>
    <x v="140"/>
    <n v="21063300"/>
  </r>
  <r>
    <x v="9"/>
    <x v="8"/>
    <x v="140"/>
    <n v="21063300"/>
  </r>
  <r>
    <x v="9"/>
    <x v="9"/>
    <x v="140"/>
    <n v="21063300"/>
  </r>
  <r>
    <x v="9"/>
    <x v="10"/>
    <x v="140"/>
    <n v="21063300"/>
  </r>
  <r>
    <x v="9"/>
    <x v="11"/>
    <x v="140"/>
    <n v="21063300"/>
  </r>
  <r>
    <x v="9"/>
    <x v="12"/>
    <x v="140"/>
    <n v="21063300"/>
  </r>
  <r>
    <x v="9"/>
    <x v="13"/>
    <x v="140"/>
    <n v="21063300"/>
  </r>
  <r>
    <x v="43"/>
    <x v="0"/>
    <x v="140"/>
    <n v="29813870"/>
  </r>
  <r>
    <x v="43"/>
    <x v="1"/>
    <x v="140"/>
    <n v="29813870"/>
  </r>
  <r>
    <x v="43"/>
    <x v="2"/>
    <x v="140"/>
    <n v="29813870"/>
  </r>
  <r>
    <x v="44"/>
    <x v="0"/>
    <x v="140"/>
    <n v="39668026.912500001"/>
  </r>
  <r>
    <x v="44"/>
    <x v="1"/>
    <x v="140"/>
    <n v="39668026.912500001"/>
  </r>
  <r>
    <x v="44"/>
    <x v="2"/>
    <x v="140"/>
    <n v="39668026.912500001"/>
  </r>
  <r>
    <x v="44"/>
    <x v="3"/>
    <x v="140"/>
    <n v="39668026.912500001"/>
  </r>
  <r>
    <x v="44"/>
    <x v="4"/>
    <x v="140"/>
    <n v="39668026.912500001"/>
  </r>
  <r>
    <x v="44"/>
    <x v="0"/>
    <x v="140"/>
    <n v="86911842.894736797"/>
  </r>
  <r>
    <x v="44"/>
    <x v="1"/>
    <x v="140"/>
    <n v="86911842.894736797"/>
  </r>
  <r>
    <x v="44"/>
    <x v="2"/>
    <x v="140"/>
    <n v="86911842.894736797"/>
  </r>
  <r>
    <x v="44"/>
    <x v="3"/>
    <x v="140"/>
    <n v="86911842.894736797"/>
  </r>
  <r>
    <x v="44"/>
    <x v="4"/>
    <x v="140"/>
    <n v="86911842.894736797"/>
  </r>
  <r>
    <x v="10"/>
    <x v="0"/>
    <x v="140"/>
    <n v="14500000"/>
  </r>
  <r>
    <x v="10"/>
    <x v="1"/>
    <x v="140"/>
    <n v="14500000"/>
  </r>
  <r>
    <x v="10"/>
    <x v="2"/>
    <x v="140"/>
    <n v="14500000"/>
  </r>
  <r>
    <x v="10"/>
    <x v="3"/>
    <x v="140"/>
    <n v="14500000"/>
  </r>
  <r>
    <x v="10"/>
    <x v="4"/>
    <x v="140"/>
    <n v="14500000"/>
  </r>
  <r>
    <x v="10"/>
    <x v="5"/>
    <x v="140"/>
    <n v="14500000"/>
  </r>
  <r>
    <x v="10"/>
    <x v="6"/>
    <x v="140"/>
    <n v="14500000"/>
  </r>
  <r>
    <x v="10"/>
    <x v="7"/>
    <x v="140"/>
    <n v="14500000"/>
  </r>
  <r>
    <x v="10"/>
    <x v="8"/>
    <x v="140"/>
    <n v="14500000"/>
  </r>
  <r>
    <x v="10"/>
    <x v="9"/>
    <x v="140"/>
    <n v="14500000"/>
  </r>
  <r>
    <x v="10"/>
    <x v="10"/>
    <x v="140"/>
    <n v="14500000"/>
  </r>
  <r>
    <x v="10"/>
    <x v="11"/>
    <x v="140"/>
    <n v="14500000"/>
  </r>
  <r>
    <x v="11"/>
    <x v="0"/>
    <x v="140"/>
    <n v="13393000"/>
  </r>
  <r>
    <x v="11"/>
    <x v="1"/>
    <x v="140"/>
    <n v="13393000"/>
  </r>
  <r>
    <x v="11"/>
    <x v="2"/>
    <x v="140"/>
    <n v="13393000"/>
  </r>
  <r>
    <x v="11"/>
    <x v="3"/>
    <x v="140"/>
    <n v="13393000"/>
  </r>
  <r>
    <x v="11"/>
    <x v="4"/>
    <x v="140"/>
    <n v="13393000"/>
  </r>
  <r>
    <x v="11"/>
    <x v="5"/>
    <x v="140"/>
    <n v="13393000"/>
  </r>
  <r>
    <x v="11"/>
    <x v="6"/>
    <x v="140"/>
    <n v="13393000"/>
  </r>
  <r>
    <x v="11"/>
    <x v="7"/>
    <x v="140"/>
    <n v="13393000"/>
  </r>
  <r>
    <x v="11"/>
    <x v="8"/>
    <x v="140"/>
    <n v="13393000"/>
  </r>
  <r>
    <x v="11"/>
    <x v="9"/>
    <x v="140"/>
    <n v="13393000"/>
  </r>
  <r>
    <x v="11"/>
    <x v="10"/>
    <x v="140"/>
    <n v="13393000"/>
  </r>
  <r>
    <x v="11"/>
    <x v="11"/>
    <x v="140"/>
    <n v="13393000"/>
  </r>
  <r>
    <x v="11"/>
    <x v="12"/>
    <x v="140"/>
    <n v="13393000"/>
  </r>
  <r>
    <x v="11"/>
    <x v="13"/>
    <x v="140"/>
    <n v="13393000"/>
  </r>
  <r>
    <x v="11"/>
    <x v="14"/>
    <x v="140"/>
    <n v="13393000"/>
  </r>
  <r>
    <x v="11"/>
    <x v="15"/>
    <x v="140"/>
    <n v="13393000"/>
  </r>
  <r>
    <x v="11"/>
    <x v="16"/>
    <x v="140"/>
    <n v="13393000"/>
  </r>
  <r>
    <x v="11"/>
    <x v="17"/>
    <x v="140"/>
    <n v="13393000"/>
  </r>
  <r>
    <x v="11"/>
    <x v="0"/>
    <x v="140"/>
    <n v="2337394.9579831935"/>
  </r>
  <r>
    <x v="11"/>
    <x v="1"/>
    <x v="140"/>
    <n v="2337394.9579831935"/>
  </r>
  <r>
    <x v="11"/>
    <x v="2"/>
    <x v="140"/>
    <n v="2337394.9579831935"/>
  </r>
  <r>
    <x v="11"/>
    <x v="3"/>
    <x v="140"/>
    <n v="2337394.9579831935"/>
  </r>
  <r>
    <x v="11"/>
    <x v="4"/>
    <x v="140"/>
    <n v="2337394.9579831935"/>
  </r>
  <r>
    <x v="11"/>
    <x v="5"/>
    <x v="140"/>
    <n v="2337394.9579831935"/>
  </r>
  <r>
    <x v="11"/>
    <x v="6"/>
    <x v="140"/>
    <n v="2337394.9579831935"/>
  </r>
  <r>
    <x v="11"/>
    <x v="7"/>
    <x v="140"/>
    <n v="2337394.9579831935"/>
  </r>
  <r>
    <x v="11"/>
    <x v="8"/>
    <x v="140"/>
    <n v="2337394.9579831935"/>
  </r>
  <r>
    <x v="11"/>
    <x v="9"/>
    <x v="140"/>
    <n v="2337394.9579831935"/>
  </r>
  <r>
    <x v="11"/>
    <x v="10"/>
    <x v="140"/>
    <n v="2337394.9579831935"/>
  </r>
  <r>
    <x v="11"/>
    <x v="11"/>
    <x v="140"/>
    <n v="2337394.9579831935"/>
  </r>
  <r>
    <x v="11"/>
    <x v="12"/>
    <x v="140"/>
    <n v="2337394.9579831935"/>
  </r>
  <r>
    <x v="11"/>
    <x v="13"/>
    <x v="140"/>
    <n v="2337394.9579831935"/>
  </r>
  <r>
    <x v="11"/>
    <x v="14"/>
    <x v="140"/>
    <n v="2337394.9579831935"/>
  </r>
  <r>
    <x v="11"/>
    <x v="15"/>
    <x v="140"/>
    <n v="2337394.9579831935"/>
  </r>
  <r>
    <x v="11"/>
    <x v="16"/>
    <x v="140"/>
    <n v="2337394.9579831935"/>
  </r>
  <r>
    <x v="11"/>
    <x v="17"/>
    <x v="140"/>
    <n v="2337394.9579831935"/>
  </r>
  <r>
    <x v="12"/>
    <x v="0"/>
    <x v="140"/>
    <n v="5797541"/>
  </r>
  <r>
    <x v="12"/>
    <x v="1"/>
    <x v="140"/>
    <n v="5797541"/>
  </r>
  <r>
    <x v="12"/>
    <x v="2"/>
    <x v="140"/>
    <n v="5797541"/>
  </r>
  <r>
    <x v="14"/>
    <x v="0"/>
    <x v="140"/>
    <n v="20000000"/>
  </r>
  <r>
    <x v="14"/>
    <x v="1"/>
    <x v="140"/>
    <n v="20000000"/>
  </r>
  <r>
    <x v="14"/>
    <x v="2"/>
    <x v="140"/>
    <n v="20000000"/>
  </r>
  <r>
    <x v="14"/>
    <x v="3"/>
    <x v="140"/>
    <n v="20000000"/>
  </r>
  <r>
    <x v="14"/>
    <x v="4"/>
    <x v="140"/>
    <n v="20000000"/>
  </r>
  <r>
    <x v="14"/>
    <x v="5"/>
    <x v="140"/>
    <n v="20000000"/>
  </r>
  <r>
    <x v="14"/>
    <x v="6"/>
    <x v="140"/>
    <n v="20000000"/>
  </r>
  <r>
    <x v="14"/>
    <x v="7"/>
    <x v="140"/>
    <n v="20000000"/>
  </r>
  <r>
    <x v="14"/>
    <x v="8"/>
    <x v="140"/>
    <n v="20000000"/>
  </r>
  <r>
    <x v="14"/>
    <x v="9"/>
    <x v="140"/>
    <n v="20000000"/>
  </r>
  <r>
    <x v="14"/>
    <x v="10"/>
    <x v="140"/>
    <n v="20000000"/>
  </r>
  <r>
    <x v="14"/>
    <x v="11"/>
    <x v="140"/>
    <n v="20000000"/>
  </r>
  <r>
    <x v="14"/>
    <x v="12"/>
    <x v="140"/>
    <n v="20000000"/>
  </r>
  <r>
    <x v="14"/>
    <x v="13"/>
    <x v="140"/>
    <n v="20000000"/>
  </r>
  <r>
    <x v="14"/>
    <x v="14"/>
    <x v="140"/>
    <n v="20000000"/>
  </r>
  <r>
    <x v="14"/>
    <x v="15"/>
    <x v="140"/>
    <n v="20000000"/>
  </r>
  <r>
    <x v="14"/>
    <x v="16"/>
    <x v="140"/>
    <n v="20000000"/>
  </r>
  <r>
    <x v="14"/>
    <x v="17"/>
    <x v="140"/>
    <n v="20000000"/>
  </r>
  <r>
    <x v="14"/>
    <x v="18"/>
    <x v="140"/>
    <n v="20000000"/>
  </r>
  <r>
    <x v="14"/>
    <x v="19"/>
    <x v="140"/>
    <n v="20000000"/>
  </r>
  <r>
    <x v="14"/>
    <x v="20"/>
    <x v="140"/>
    <n v="20000000"/>
  </r>
  <r>
    <x v="14"/>
    <x v="21"/>
    <x v="140"/>
    <n v="20000000"/>
  </r>
  <r>
    <x v="14"/>
    <x v="22"/>
    <x v="140"/>
    <n v="20000000"/>
  </r>
  <r>
    <x v="14"/>
    <x v="23"/>
    <x v="140"/>
    <n v="20000000"/>
  </r>
  <r>
    <x v="14"/>
    <x v="24"/>
    <x v="140"/>
    <n v="20000000"/>
  </r>
  <r>
    <x v="45"/>
    <x v="0"/>
    <x v="140"/>
    <n v="9800000"/>
  </r>
  <r>
    <x v="45"/>
    <x v="1"/>
    <x v="140"/>
    <n v="9800000"/>
  </r>
  <r>
    <x v="45"/>
    <x v="2"/>
    <x v="140"/>
    <n v="9800000"/>
  </r>
  <r>
    <x v="45"/>
    <x v="3"/>
    <x v="140"/>
    <n v="9800000"/>
  </r>
  <r>
    <x v="45"/>
    <x v="4"/>
    <x v="140"/>
    <n v="9800000"/>
  </r>
  <r>
    <x v="45"/>
    <x v="5"/>
    <x v="140"/>
    <n v="9800000"/>
  </r>
  <r>
    <x v="45"/>
    <x v="6"/>
    <x v="140"/>
    <n v="9800000"/>
  </r>
  <r>
    <x v="45"/>
    <x v="7"/>
    <x v="140"/>
    <n v="9800000"/>
  </r>
  <r>
    <x v="45"/>
    <x v="8"/>
    <x v="140"/>
    <n v="9800000"/>
  </r>
  <r>
    <x v="15"/>
    <x v="0"/>
    <x v="140"/>
    <n v="7700000"/>
  </r>
  <r>
    <x v="15"/>
    <x v="1"/>
    <x v="140"/>
    <n v="7700000"/>
  </r>
  <r>
    <x v="15"/>
    <x v="2"/>
    <x v="140"/>
    <n v="7700000"/>
  </r>
  <r>
    <x v="15"/>
    <x v="3"/>
    <x v="140"/>
    <n v="7700000"/>
  </r>
  <r>
    <x v="15"/>
    <x v="4"/>
    <x v="140"/>
    <n v="7700000"/>
  </r>
  <r>
    <x v="15"/>
    <x v="5"/>
    <x v="140"/>
    <n v="7700000"/>
  </r>
  <r>
    <x v="15"/>
    <x v="6"/>
    <x v="140"/>
    <n v="7700000"/>
  </r>
  <r>
    <x v="15"/>
    <x v="7"/>
    <x v="140"/>
    <n v="7700000"/>
  </r>
  <r>
    <x v="15"/>
    <x v="8"/>
    <x v="140"/>
    <n v="7700000"/>
  </r>
  <r>
    <x v="15"/>
    <x v="9"/>
    <x v="140"/>
    <n v="7700000"/>
  </r>
  <r>
    <x v="15"/>
    <x v="10"/>
    <x v="140"/>
    <n v="7700000"/>
  </r>
  <r>
    <x v="15"/>
    <x v="11"/>
    <x v="140"/>
    <n v="7700000"/>
  </r>
  <r>
    <x v="15"/>
    <x v="12"/>
    <x v="140"/>
    <n v="7700000"/>
  </r>
  <r>
    <x v="15"/>
    <x v="13"/>
    <x v="140"/>
    <n v="7700000"/>
  </r>
  <r>
    <x v="15"/>
    <x v="14"/>
    <x v="140"/>
    <n v="7700000"/>
  </r>
  <r>
    <x v="15"/>
    <x v="15"/>
    <x v="140"/>
    <n v="7700000"/>
  </r>
  <r>
    <x v="15"/>
    <x v="16"/>
    <x v="140"/>
    <n v="7700000"/>
  </r>
  <r>
    <x v="15"/>
    <x v="17"/>
    <x v="140"/>
    <n v="7700000"/>
  </r>
  <r>
    <x v="15"/>
    <x v="18"/>
    <x v="140"/>
    <n v="7700000"/>
  </r>
  <r>
    <x v="15"/>
    <x v="19"/>
    <x v="140"/>
    <n v="7700000"/>
  </r>
  <r>
    <x v="15"/>
    <x v="20"/>
    <x v="140"/>
    <n v="7700000"/>
  </r>
  <r>
    <x v="15"/>
    <x v="21"/>
    <x v="140"/>
    <n v="7700000"/>
  </r>
  <r>
    <x v="15"/>
    <x v="22"/>
    <x v="140"/>
    <n v="7700000"/>
  </r>
  <r>
    <x v="15"/>
    <x v="23"/>
    <x v="140"/>
    <n v="7700000"/>
  </r>
  <r>
    <x v="15"/>
    <x v="24"/>
    <x v="140"/>
    <n v="7700000"/>
  </r>
  <r>
    <x v="15"/>
    <x v="25"/>
    <x v="140"/>
    <n v="7700000"/>
  </r>
  <r>
    <x v="15"/>
    <x v="26"/>
    <x v="140"/>
    <n v="7700000"/>
  </r>
  <r>
    <x v="15"/>
    <x v="27"/>
    <x v="140"/>
    <n v="7700000"/>
  </r>
  <r>
    <x v="16"/>
    <x v="0"/>
    <x v="140"/>
    <n v="64030000"/>
  </r>
  <r>
    <x v="16"/>
    <x v="1"/>
    <x v="140"/>
    <n v="64030000"/>
  </r>
  <r>
    <x v="16"/>
    <x v="2"/>
    <x v="140"/>
    <n v="64030000"/>
  </r>
  <r>
    <x v="16"/>
    <x v="0"/>
    <x v="140"/>
    <n v="48811000"/>
  </r>
  <r>
    <x v="16"/>
    <x v="1"/>
    <x v="140"/>
    <n v="48811000"/>
  </r>
  <r>
    <x v="16"/>
    <x v="2"/>
    <x v="140"/>
    <n v="48811000"/>
  </r>
  <r>
    <x v="16"/>
    <x v="3"/>
    <x v="140"/>
    <n v="48811000"/>
  </r>
  <r>
    <x v="16"/>
    <x v="4"/>
    <x v="140"/>
    <n v="48811000"/>
  </r>
  <r>
    <x v="16"/>
    <x v="5"/>
    <x v="140"/>
    <n v="48811000"/>
  </r>
  <r>
    <x v="16"/>
    <x v="6"/>
    <x v="140"/>
    <n v="48811000"/>
  </r>
  <r>
    <x v="16"/>
    <x v="7"/>
    <x v="140"/>
    <n v="48811000"/>
  </r>
  <r>
    <x v="16"/>
    <x v="8"/>
    <x v="140"/>
    <n v="48811000"/>
  </r>
  <r>
    <x v="16"/>
    <x v="9"/>
    <x v="140"/>
    <n v="48811000"/>
  </r>
  <r>
    <x v="16"/>
    <x v="10"/>
    <x v="140"/>
    <n v="48811000"/>
  </r>
  <r>
    <x v="16"/>
    <x v="11"/>
    <x v="140"/>
    <n v="48811000"/>
  </r>
  <r>
    <x v="16"/>
    <x v="12"/>
    <x v="140"/>
    <n v="48811000"/>
  </r>
  <r>
    <x v="16"/>
    <x v="13"/>
    <x v="140"/>
    <n v="48811000"/>
  </r>
  <r>
    <x v="16"/>
    <x v="14"/>
    <x v="140"/>
    <n v="48811000"/>
  </r>
  <r>
    <x v="16"/>
    <x v="15"/>
    <x v="140"/>
    <n v="48811000"/>
  </r>
  <r>
    <x v="16"/>
    <x v="16"/>
    <x v="140"/>
    <n v="48811000"/>
  </r>
  <r>
    <x v="16"/>
    <x v="17"/>
    <x v="140"/>
    <n v="48811000"/>
  </r>
  <r>
    <x v="16"/>
    <x v="18"/>
    <x v="140"/>
    <n v="48811000"/>
  </r>
  <r>
    <x v="16"/>
    <x v="19"/>
    <x v="140"/>
    <n v="48811000"/>
  </r>
  <r>
    <x v="16"/>
    <x v="20"/>
    <x v="140"/>
    <n v="48811000"/>
  </r>
  <r>
    <x v="16"/>
    <x v="21"/>
    <x v="140"/>
    <n v="48811000"/>
  </r>
  <r>
    <x v="16"/>
    <x v="22"/>
    <x v="140"/>
    <n v="48811000"/>
  </r>
  <r>
    <x v="16"/>
    <x v="23"/>
    <x v="140"/>
    <n v="48811000"/>
  </r>
  <r>
    <x v="17"/>
    <x v="0"/>
    <x v="140"/>
    <n v="6950000"/>
  </r>
  <r>
    <x v="17"/>
    <x v="1"/>
    <x v="140"/>
    <n v="6950000"/>
  </r>
  <r>
    <x v="17"/>
    <x v="2"/>
    <x v="140"/>
    <n v="6950000"/>
  </r>
  <r>
    <x v="17"/>
    <x v="3"/>
    <x v="140"/>
    <n v="6950000"/>
  </r>
  <r>
    <x v="17"/>
    <x v="4"/>
    <x v="140"/>
    <n v="6950000"/>
  </r>
  <r>
    <x v="17"/>
    <x v="5"/>
    <x v="140"/>
    <n v="6950000"/>
  </r>
  <r>
    <x v="17"/>
    <x v="6"/>
    <x v="140"/>
    <n v="6950000"/>
  </r>
  <r>
    <x v="17"/>
    <x v="7"/>
    <x v="140"/>
    <n v="6950000"/>
  </r>
  <r>
    <x v="17"/>
    <x v="8"/>
    <x v="140"/>
    <n v="6950000"/>
  </r>
  <r>
    <x v="17"/>
    <x v="9"/>
    <x v="140"/>
    <n v="6950000"/>
  </r>
  <r>
    <x v="17"/>
    <x v="10"/>
    <x v="140"/>
    <n v="6950000"/>
  </r>
  <r>
    <x v="17"/>
    <x v="11"/>
    <x v="140"/>
    <n v="6950000"/>
  </r>
  <r>
    <x v="18"/>
    <x v="0"/>
    <x v="140"/>
    <n v="19400000"/>
  </r>
  <r>
    <x v="18"/>
    <x v="1"/>
    <x v="140"/>
    <n v="19400000"/>
  </r>
  <r>
    <x v="18"/>
    <x v="2"/>
    <x v="140"/>
    <n v="19400000"/>
  </r>
  <r>
    <x v="18"/>
    <x v="3"/>
    <x v="140"/>
    <n v="19400000"/>
  </r>
  <r>
    <x v="18"/>
    <x v="4"/>
    <x v="140"/>
    <n v="19400000"/>
  </r>
  <r>
    <x v="18"/>
    <x v="5"/>
    <x v="140"/>
    <n v="19400000"/>
  </r>
  <r>
    <x v="18"/>
    <x v="6"/>
    <x v="140"/>
    <n v="19400000"/>
  </r>
  <r>
    <x v="18"/>
    <x v="7"/>
    <x v="140"/>
    <n v="19400000"/>
  </r>
  <r>
    <x v="18"/>
    <x v="8"/>
    <x v="140"/>
    <n v="19400000"/>
  </r>
  <r>
    <x v="18"/>
    <x v="9"/>
    <x v="140"/>
    <n v="19400000"/>
  </r>
  <r>
    <x v="46"/>
    <x v="0"/>
    <x v="140"/>
    <n v="11029019"/>
  </r>
  <r>
    <x v="46"/>
    <x v="1"/>
    <x v="140"/>
    <n v="11029019"/>
  </r>
  <r>
    <x v="46"/>
    <x v="2"/>
    <x v="140"/>
    <n v="11029019"/>
  </r>
  <r>
    <x v="46"/>
    <x v="3"/>
    <x v="140"/>
    <n v="11029019"/>
  </r>
  <r>
    <x v="46"/>
    <x v="4"/>
    <x v="140"/>
    <n v="11029019"/>
  </r>
  <r>
    <x v="46"/>
    <x v="5"/>
    <x v="140"/>
    <n v="11029019"/>
  </r>
  <r>
    <x v="46"/>
    <x v="6"/>
    <x v="140"/>
    <n v="11029019"/>
  </r>
  <r>
    <x v="46"/>
    <x v="7"/>
    <x v="140"/>
    <n v="11029019"/>
  </r>
  <r>
    <x v="46"/>
    <x v="8"/>
    <x v="140"/>
    <n v="11029019"/>
  </r>
  <r>
    <x v="46"/>
    <x v="9"/>
    <x v="140"/>
    <n v="11029019"/>
  </r>
  <r>
    <x v="46"/>
    <x v="10"/>
    <x v="140"/>
    <n v="11029019"/>
  </r>
  <r>
    <x v="46"/>
    <x v="11"/>
    <x v="140"/>
    <n v="11029019"/>
  </r>
  <r>
    <x v="46"/>
    <x v="12"/>
    <x v="140"/>
    <n v="11029019"/>
  </r>
  <r>
    <x v="46"/>
    <x v="13"/>
    <x v="140"/>
    <n v="11029019"/>
  </r>
  <r>
    <x v="46"/>
    <x v="14"/>
    <x v="140"/>
    <n v="11029019"/>
  </r>
  <r>
    <x v="46"/>
    <x v="15"/>
    <x v="140"/>
    <n v="11029019"/>
  </r>
  <r>
    <x v="46"/>
    <x v="16"/>
    <x v="140"/>
    <n v="11029019"/>
  </r>
  <r>
    <x v="46"/>
    <x v="17"/>
    <x v="140"/>
    <n v="11029019"/>
  </r>
  <r>
    <x v="46"/>
    <x v="18"/>
    <x v="140"/>
    <n v="11029019"/>
  </r>
  <r>
    <x v="46"/>
    <x v="19"/>
    <x v="140"/>
    <n v="11029019"/>
  </r>
  <r>
    <x v="46"/>
    <x v="20"/>
    <x v="140"/>
    <n v="11029019"/>
  </r>
  <r>
    <x v="46"/>
    <x v="21"/>
    <x v="140"/>
    <n v="11029019"/>
  </r>
  <r>
    <x v="46"/>
    <x v="22"/>
    <x v="140"/>
    <n v="11029019"/>
  </r>
  <r>
    <x v="46"/>
    <x v="23"/>
    <x v="140"/>
    <n v="11029019"/>
  </r>
  <r>
    <x v="46"/>
    <x v="24"/>
    <x v="140"/>
    <n v="11029019"/>
  </r>
  <r>
    <x v="46"/>
    <x v="25"/>
    <x v="140"/>
    <n v="11029019"/>
  </r>
  <r>
    <x v="47"/>
    <x v="0"/>
    <x v="140"/>
    <n v="10920000"/>
  </r>
  <r>
    <x v="47"/>
    <x v="1"/>
    <x v="140"/>
    <n v="10920000"/>
  </r>
  <r>
    <x v="47"/>
    <x v="2"/>
    <x v="140"/>
    <n v="10920000"/>
  </r>
  <r>
    <x v="47"/>
    <x v="3"/>
    <x v="140"/>
    <n v="10920000"/>
  </r>
  <r>
    <x v="47"/>
    <x v="4"/>
    <x v="140"/>
    <n v="10920000"/>
  </r>
  <r>
    <x v="47"/>
    <x v="5"/>
    <x v="140"/>
    <n v="10920000"/>
  </r>
  <r>
    <x v="47"/>
    <x v="6"/>
    <x v="140"/>
    <n v="10920000"/>
  </r>
  <r>
    <x v="47"/>
    <x v="7"/>
    <x v="140"/>
    <n v="10920000"/>
  </r>
  <r>
    <x v="47"/>
    <x v="8"/>
    <x v="140"/>
    <n v="10920000"/>
  </r>
  <r>
    <x v="47"/>
    <x v="9"/>
    <x v="140"/>
    <n v="10920000"/>
  </r>
  <r>
    <x v="47"/>
    <x v="10"/>
    <x v="140"/>
    <n v="10920000"/>
  </r>
  <r>
    <x v="47"/>
    <x v="11"/>
    <x v="140"/>
    <n v="10920000"/>
  </r>
  <r>
    <x v="47"/>
    <x v="12"/>
    <x v="140"/>
    <n v="10920000"/>
  </r>
  <r>
    <x v="19"/>
    <x v="0"/>
    <x v="140"/>
    <n v="8200000"/>
  </r>
  <r>
    <x v="19"/>
    <x v="1"/>
    <x v="140"/>
    <n v="8200000"/>
  </r>
  <r>
    <x v="19"/>
    <x v="2"/>
    <x v="140"/>
    <n v="8200000"/>
  </r>
  <r>
    <x v="19"/>
    <x v="3"/>
    <x v="140"/>
    <n v="8200000"/>
  </r>
  <r>
    <x v="19"/>
    <x v="4"/>
    <x v="140"/>
    <n v="8200000"/>
  </r>
  <r>
    <x v="19"/>
    <x v="5"/>
    <x v="140"/>
    <n v="8200000"/>
  </r>
  <r>
    <x v="19"/>
    <x v="6"/>
    <x v="140"/>
    <n v="8200000"/>
  </r>
  <r>
    <x v="19"/>
    <x v="7"/>
    <x v="140"/>
    <n v="8200000"/>
  </r>
  <r>
    <x v="19"/>
    <x v="8"/>
    <x v="140"/>
    <n v="8200000"/>
  </r>
  <r>
    <x v="19"/>
    <x v="9"/>
    <x v="140"/>
    <n v="8200000"/>
  </r>
  <r>
    <x v="19"/>
    <x v="10"/>
    <x v="140"/>
    <n v="8200000"/>
  </r>
  <r>
    <x v="19"/>
    <x v="11"/>
    <x v="140"/>
    <n v="8200000"/>
  </r>
  <r>
    <x v="19"/>
    <x v="12"/>
    <x v="140"/>
    <n v="8200000"/>
  </r>
  <r>
    <x v="19"/>
    <x v="13"/>
    <x v="140"/>
    <n v="8200000"/>
  </r>
  <r>
    <x v="19"/>
    <x v="14"/>
    <x v="140"/>
    <n v="8200000"/>
  </r>
  <r>
    <x v="19"/>
    <x v="15"/>
    <x v="140"/>
    <n v="8200000"/>
  </r>
  <r>
    <x v="19"/>
    <x v="16"/>
    <x v="140"/>
    <n v="8200000"/>
  </r>
  <r>
    <x v="19"/>
    <x v="17"/>
    <x v="140"/>
    <n v="8200000"/>
  </r>
  <r>
    <x v="19"/>
    <x v="18"/>
    <x v="140"/>
    <n v="8200000"/>
  </r>
  <r>
    <x v="20"/>
    <x v="0"/>
    <x v="140"/>
    <n v="9080000"/>
  </r>
  <r>
    <x v="20"/>
    <x v="1"/>
    <x v="140"/>
    <n v="9080000"/>
  </r>
  <r>
    <x v="20"/>
    <x v="2"/>
    <x v="140"/>
    <n v="9080000"/>
  </r>
  <r>
    <x v="20"/>
    <x v="3"/>
    <x v="140"/>
    <n v="9080000"/>
  </r>
  <r>
    <x v="20"/>
    <x v="4"/>
    <x v="140"/>
    <n v="9080000"/>
  </r>
  <r>
    <x v="20"/>
    <x v="5"/>
    <x v="140"/>
    <n v="9080000"/>
  </r>
  <r>
    <x v="21"/>
    <x v="0"/>
    <x v="140"/>
    <n v="27800000"/>
  </r>
  <r>
    <x v="21"/>
    <x v="1"/>
    <x v="140"/>
    <n v="27800000"/>
  </r>
  <r>
    <x v="21"/>
    <x v="2"/>
    <x v="140"/>
    <n v="27800000"/>
  </r>
  <r>
    <x v="21"/>
    <x v="3"/>
    <x v="140"/>
    <n v="27800000"/>
  </r>
  <r>
    <x v="21"/>
    <x v="4"/>
    <x v="140"/>
    <n v="27800000"/>
  </r>
  <r>
    <x v="21"/>
    <x v="5"/>
    <x v="140"/>
    <n v="27800000"/>
  </r>
  <r>
    <x v="21"/>
    <x v="6"/>
    <x v="140"/>
    <n v="27800000"/>
  </r>
  <r>
    <x v="21"/>
    <x v="7"/>
    <x v="140"/>
    <n v="27800000"/>
  </r>
  <r>
    <x v="21"/>
    <x v="8"/>
    <x v="140"/>
    <n v="27800000"/>
  </r>
  <r>
    <x v="21"/>
    <x v="9"/>
    <x v="140"/>
    <n v="27800000"/>
  </r>
  <r>
    <x v="21"/>
    <x v="10"/>
    <x v="140"/>
    <n v="27800000"/>
  </r>
  <r>
    <x v="21"/>
    <x v="11"/>
    <x v="140"/>
    <n v="27800000"/>
  </r>
  <r>
    <x v="21"/>
    <x v="12"/>
    <x v="140"/>
    <n v="27800000"/>
  </r>
  <r>
    <x v="21"/>
    <x v="13"/>
    <x v="140"/>
    <n v="27800000"/>
  </r>
  <r>
    <x v="21"/>
    <x v="14"/>
    <x v="140"/>
    <n v="27800000"/>
  </r>
  <r>
    <x v="44"/>
    <x v="0"/>
    <x v="140"/>
    <n v="0"/>
  </r>
  <r>
    <x v="44"/>
    <x v="1"/>
    <x v="140"/>
    <n v="0"/>
  </r>
  <r>
    <x v="44"/>
    <x v="2"/>
    <x v="140"/>
    <n v="0"/>
  </r>
  <r>
    <x v="44"/>
    <x v="3"/>
    <x v="140"/>
    <n v="0"/>
  </r>
  <r>
    <x v="44"/>
    <x v="4"/>
    <x v="140"/>
    <n v="0"/>
  </r>
  <r>
    <x v="5"/>
    <x v="0"/>
    <x v="140"/>
    <n v="19000000"/>
  </r>
  <r>
    <x v="5"/>
    <x v="1"/>
    <x v="140"/>
    <n v="19000000"/>
  </r>
  <r>
    <x v="5"/>
    <x v="2"/>
    <x v="140"/>
    <n v="19000000"/>
  </r>
  <r>
    <x v="5"/>
    <x v="3"/>
    <x v="140"/>
    <n v="19000000"/>
  </r>
  <r>
    <x v="5"/>
    <x v="4"/>
    <x v="140"/>
    <n v="19000000"/>
  </r>
  <r>
    <x v="5"/>
    <x v="5"/>
    <x v="140"/>
    <n v="19000000"/>
  </r>
  <r>
    <x v="5"/>
    <x v="6"/>
    <x v="140"/>
    <n v="19000000"/>
  </r>
  <r>
    <x v="5"/>
    <x v="7"/>
    <x v="140"/>
    <n v="19000000"/>
  </r>
  <r>
    <x v="5"/>
    <x v="8"/>
    <x v="140"/>
    <n v="19000000"/>
  </r>
  <r>
    <x v="5"/>
    <x v="9"/>
    <x v="140"/>
    <n v="19000000"/>
  </r>
  <r>
    <x v="5"/>
    <x v="10"/>
    <x v="140"/>
    <n v="19000000"/>
  </r>
  <r>
    <x v="5"/>
    <x v="11"/>
    <x v="140"/>
    <n v="19000000"/>
  </r>
  <r>
    <x v="3"/>
    <x v="0"/>
    <x v="140"/>
    <n v="32000000"/>
  </r>
  <r>
    <x v="24"/>
    <x v="0"/>
    <x v="140"/>
    <n v="33000000"/>
  </r>
  <r>
    <x v="24"/>
    <x v="1"/>
    <x v="140"/>
    <n v="33000000"/>
  </r>
  <r>
    <x v="24"/>
    <x v="2"/>
    <x v="140"/>
    <n v="33000000"/>
  </r>
  <r>
    <x v="24"/>
    <x v="3"/>
    <x v="140"/>
    <n v="33000000"/>
  </r>
  <r>
    <x v="24"/>
    <x v="4"/>
    <x v="140"/>
    <n v="33000000"/>
  </r>
  <r>
    <x v="24"/>
    <x v="5"/>
    <x v="140"/>
    <n v="15000000"/>
  </r>
  <r>
    <x v="24"/>
    <x v="6"/>
    <x v="140"/>
    <n v="15000000"/>
  </r>
  <r>
    <x v="25"/>
    <x v="0"/>
    <x v="140"/>
    <n v="36049228"/>
  </r>
  <r>
    <x v="25"/>
    <x v="1"/>
    <x v="140"/>
    <n v="36049228"/>
  </r>
  <r>
    <x v="25"/>
    <x v="2"/>
    <x v="140"/>
    <n v="36049228"/>
  </r>
  <r>
    <x v="25"/>
    <x v="0"/>
    <x v="140"/>
    <n v="44700000"/>
  </r>
  <r>
    <x v="25"/>
    <x v="1"/>
    <x v="140"/>
    <n v="44700000"/>
  </r>
  <r>
    <x v="25"/>
    <x v="2"/>
    <x v="140"/>
    <n v="44700000"/>
  </r>
  <r>
    <x v="25"/>
    <x v="3"/>
    <x v="140"/>
    <n v="44700000"/>
  </r>
  <r>
    <x v="1"/>
    <x v="0"/>
    <x v="140"/>
    <n v="20430000"/>
  </r>
  <r>
    <x v="1"/>
    <x v="1"/>
    <x v="140"/>
    <n v="20430000"/>
  </r>
  <r>
    <x v="1"/>
    <x v="2"/>
    <x v="140"/>
    <n v="20430000"/>
  </r>
  <r>
    <x v="23"/>
    <x v="0"/>
    <x v="140"/>
    <n v="48600000"/>
  </r>
  <r>
    <x v="23"/>
    <x v="1"/>
    <x v="140"/>
    <n v="48600000"/>
  </r>
  <r>
    <x v="23"/>
    <x v="2"/>
    <x v="140"/>
    <n v="48600000"/>
  </r>
  <r>
    <x v="23"/>
    <x v="3"/>
    <x v="140"/>
    <n v="48600000"/>
  </r>
  <r>
    <x v="23"/>
    <x v="4"/>
    <x v="140"/>
    <n v="48600000"/>
  </r>
  <r>
    <x v="23"/>
    <x v="5"/>
    <x v="140"/>
    <n v="48600000"/>
  </r>
  <r>
    <x v="27"/>
    <x v="2"/>
    <x v="140"/>
    <n v="6040000"/>
  </r>
  <r>
    <x v="27"/>
    <x v="3"/>
    <x v="140"/>
    <n v="6040000"/>
  </r>
  <r>
    <x v="27"/>
    <x v="4"/>
    <x v="140"/>
    <n v="6040000"/>
  </r>
  <r>
    <x v="27"/>
    <x v="5"/>
    <x v="140"/>
    <n v="6040000"/>
  </r>
  <r>
    <x v="27"/>
    <x v="2"/>
    <x v="140"/>
    <n v="19220000"/>
  </r>
  <r>
    <x v="27"/>
    <x v="3"/>
    <x v="140"/>
    <n v="19220000"/>
  </r>
  <r>
    <x v="27"/>
    <x v="4"/>
    <x v="140"/>
    <n v="19220000"/>
  </r>
  <r>
    <x v="27"/>
    <x v="5"/>
    <x v="140"/>
    <n v="19220000"/>
  </r>
  <r>
    <x v="27"/>
    <x v="6"/>
    <x v="140"/>
    <n v="19220000"/>
  </r>
  <r>
    <x v="27"/>
    <x v="7"/>
    <x v="140"/>
    <n v="19220000"/>
  </r>
  <r>
    <x v="27"/>
    <x v="8"/>
    <x v="140"/>
    <n v="19220000"/>
  </r>
  <r>
    <x v="27"/>
    <x v="9"/>
    <x v="140"/>
    <n v="19220000"/>
  </r>
  <r>
    <x v="27"/>
    <x v="10"/>
    <x v="140"/>
    <n v="19220000"/>
  </r>
  <r>
    <x v="27"/>
    <x v="11"/>
    <x v="140"/>
    <n v="19220000"/>
  </r>
  <r>
    <x v="27"/>
    <x v="12"/>
    <x v="140"/>
    <n v="19220000"/>
  </r>
  <r>
    <x v="27"/>
    <x v="13"/>
    <x v="140"/>
    <n v="19220000"/>
  </r>
  <r>
    <x v="28"/>
    <x v="1"/>
    <x v="140"/>
    <n v="23250000"/>
  </r>
  <r>
    <x v="28"/>
    <x v="2"/>
    <x v="140"/>
    <n v="23250000"/>
  </r>
  <r>
    <x v="28"/>
    <x v="3"/>
    <x v="140"/>
    <n v="23250000"/>
  </r>
  <r>
    <x v="28"/>
    <x v="4"/>
    <x v="140"/>
    <n v="23250000"/>
  </r>
  <r>
    <x v="28"/>
    <x v="5"/>
    <x v="140"/>
    <n v="23250000"/>
  </r>
  <r>
    <x v="28"/>
    <x v="6"/>
    <x v="140"/>
    <n v="23250000"/>
  </r>
  <r>
    <x v="28"/>
    <x v="7"/>
    <x v="140"/>
    <n v="23250000"/>
  </r>
  <r>
    <x v="28"/>
    <x v="8"/>
    <x v="140"/>
    <n v="23250000"/>
  </r>
  <r>
    <x v="28"/>
    <x v="9"/>
    <x v="140"/>
    <n v="23250000"/>
  </r>
  <r>
    <x v="28"/>
    <x v="10"/>
    <x v="140"/>
    <n v="23250000"/>
  </r>
  <r>
    <x v="28"/>
    <x v="11"/>
    <x v="140"/>
    <n v="23250000"/>
  </r>
  <r>
    <x v="28"/>
    <x v="12"/>
    <x v="140"/>
    <n v="23250000"/>
  </r>
  <r>
    <x v="28"/>
    <x v="13"/>
    <x v="140"/>
    <n v="23250000"/>
  </r>
  <r>
    <x v="28"/>
    <x v="14"/>
    <x v="140"/>
    <n v="23250000"/>
  </r>
  <r>
    <x v="28"/>
    <x v="15"/>
    <x v="140"/>
    <n v="23250000"/>
  </r>
  <r>
    <x v="28"/>
    <x v="16"/>
    <x v="140"/>
    <n v="23250000"/>
  </r>
  <r>
    <x v="28"/>
    <x v="17"/>
    <x v="140"/>
    <n v="23250000"/>
  </r>
  <r>
    <x v="28"/>
    <x v="18"/>
    <x v="140"/>
    <n v="23250000"/>
  </r>
  <r>
    <x v="28"/>
    <x v="19"/>
    <x v="140"/>
    <n v="23250000"/>
  </r>
  <r>
    <x v="28"/>
    <x v="20"/>
    <x v="140"/>
    <n v="23250000"/>
  </r>
  <r>
    <x v="28"/>
    <x v="21"/>
    <x v="140"/>
    <n v="23250000"/>
  </r>
  <r>
    <x v="28"/>
    <x v="22"/>
    <x v="140"/>
    <n v="23250000"/>
  </r>
  <r>
    <x v="28"/>
    <x v="23"/>
    <x v="140"/>
    <n v="23250000"/>
  </r>
  <r>
    <x v="48"/>
    <x v="0"/>
    <x v="140"/>
    <n v="60561853.894285716"/>
  </r>
  <r>
    <x v="48"/>
    <x v="1"/>
    <x v="140"/>
    <n v="60561853.894285716"/>
  </r>
  <r>
    <x v="48"/>
    <x v="2"/>
    <x v="140"/>
    <n v="60561853.894285716"/>
  </r>
  <r>
    <x v="48"/>
    <x v="3"/>
    <x v="140"/>
    <n v="60561853.894285716"/>
  </r>
  <r>
    <x v="48"/>
    <x v="4"/>
    <x v="140"/>
    <n v="60561853.894285716"/>
  </r>
  <r>
    <x v="48"/>
    <x v="5"/>
    <x v="140"/>
    <n v="60561853.894285716"/>
  </r>
  <r>
    <x v="48"/>
    <x v="6"/>
    <x v="140"/>
    <n v="60561853.894285716"/>
  </r>
  <r>
    <x v="48"/>
    <x v="7"/>
    <x v="140"/>
    <n v="60561853.894285716"/>
  </r>
  <r>
    <x v="48"/>
    <x v="8"/>
    <x v="140"/>
    <n v="60561853.894285716"/>
  </r>
  <r>
    <x v="48"/>
    <x v="9"/>
    <x v="140"/>
    <n v="60561853.894285716"/>
  </r>
  <r>
    <x v="48"/>
    <x v="10"/>
    <x v="140"/>
    <n v="60561853.894285716"/>
  </r>
  <r>
    <x v="48"/>
    <x v="11"/>
    <x v="140"/>
    <n v="60561853.894285716"/>
  </r>
  <r>
    <x v="49"/>
    <x v="0"/>
    <x v="140"/>
    <n v="15250000"/>
  </r>
  <r>
    <x v="49"/>
    <x v="1"/>
    <x v="140"/>
    <n v="15250000"/>
  </r>
  <r>
    <x v="49"/>
    <x v="2"/>
    <x v="140"/>
    <n v="15250000"/>
  </r>
  <r>
    <x v="49"/>
    <x v="3"/>
    <x v="140"/>
    <n v="15250000"/>
  </r>
  <r>
    <x v="49"/>
    <x v="4"/>
    <x v="140"/>
    <n v="15250000"/>
  </r>
  <r>
    <x v="49"/>
    <x v="5"/>
    <x v="140"/>
    <n v="15250000"/>
  </r>
  <r>
    <x v="49"/>
    <x v="6"/>
    <x v="140"/>
    <n v="15250000"/>
  </r>
  <r>
    <x v="49"/>
    <x v="7"/>
    <x v="140"/>
    <n v="15250000"/>
  </r>
  <r>
    <x v="49"/>
    <x v="8"/>
    <x v="140"/>
    <n v="15250000"/>
  </r>
  <r>
    <x v="49"/>
    <x v="9"/>
    <x v="140"/>
    <n v="15250000"/>
  </r>
  <r>
    <x v="49"/>
    <x v="10"/>
    <x v="140"/>
    <n v="15250000"/>
  </r>
  <r>
    <x v="49"/>
    <x v="11"/>
    <x v="140"/>
    <n v="15250000"/>
  </r>
  <r>
    <x v="50"/>
    <x v="0"/>
    <x v="140"/>
    <n v="20341421"/>
  </r>
  <r>
    <x v="50"/>
    <x v="1"/>
    <x v="140"/>
    <n v="20341421"/>
  </r>
  <r>
    <x v="50"/>
    <x v="2"/>
    <x v="140"/>
    <n v="20341421"/>
  </r>
  <r>
    <x v="29"/>
    <x v="0"/>
    <x v="140"/>
    <n v="7100000"/>
  </r>
  <r>
    <x v="26"/>
    <x v="0"/>
    <x v="140"/>
    <n v="15173515.981735155"/>
  </r>
  <r>
    <x v="26"/>
    <x v="1"/>
    <x v="140"/>
    <n v="14609589.041095892"/>
  </r>
  <r>
    <x v="26"/>
    <x v="2"/>
    <x v="140"/>
    <n v="15203196.347031964"/>
  </r>
  <r>
    <x v="26"/>
    <x v="3"/>
    <x v="140"/>
    <n v="18824200.913242016"/>
  </r>
  <r>
    <x v="26"/>
    <x v="4"/>
    <x v="140"/>
    <n v="21317351.598173514"/>
  </r>
  <r>
    <x v="26"/>
    <x v="5"/>
    <x v="140"/>
    <n v="22860730.593607314"/>
  </r>
  <r>
    <x v="26"/>
    <x v="6"/>
    <x v="140"/>
    <n v="21079908.675799087"/>
  </r>
  <r>
    <x v="26"/>
    <x v="7"/>
    <x v="140"/>
    <n v="25917808.219178069"/>
  </r>
  <r>
    <x v="26"/>
    <x v="8"/>
    <x v="140"/>
    <n v="23216894.977168947"/>
  </r>
  <r>
    <x v="26"/>
    <x v="9"/>
    <x v="140"/>
    <n v="24226027.397260282"/>
  </r>
  <r>
    <x v="26"/>
    <x v="10"/>
    <x v="140"/>
    <n v="25977168.949771687"/>
  </r>
  <r>
    <x v="26"/>
    <x v="11"/>
    <x v="140"/>
    <n v="20456621.00456623"/>
  </r>
  <r>
    <x v="26"/>
    <x v="12"/>
    <x v="140"/>
    <n v="20812785.388127822"/>
  </r>
  <r>
    <x v="26"/>
    <x v="13"/>
    <x v="140"/>
    <n v="23038812.785388142"/>
  </r>
  <r>
    <x v="26"/>
    <x v="14"/>
    <x v="140"/>
    <n v="20219178.082191784"/>
  </r>
  <r>
    <x v="26"/>
    <x v="15"/>
    <x v="140"/>
    <n v="22415525.11415524"/>
  </r>
  <r>
    <x v="26"/>
    <x v="16"/>
    <x v="140"/>
    <n v="22920091.324200906"/>
  </r>
  <r>
    <x v="26"/>
    <x v="17"/>
    <x v="140"/>
    <n v="18468036.529680401"/>
  </r>
  <r>
    <x v="26"/>
    <x v="18"/>
    <x v="140"/>
    <n v="17013698.630136952"/>
  </r>
  <r>
    <x v="26"/>
    <x v="19"/>
    <x v="140"/>
    <n v="16894977.168949805"/>
  </r>
  <r>
    <x v="26"/>
    <x v="20"/>
    <x v="140"/>
    <n v="14609589.041095892"/>
  </r>
  <r>
    <x v="13"/>
    <x v="0"/>
    <x v="140"/>
    <n v="29900000"/>
  </r>
  <r>
    <x v="13"/>
    <x v="1"/>
    <x v="140"/>
    <n v="29900000"/>
  </r>
  <r>
    <x v="13"/>
    <x v="2"/>
    <x v="140"/>
    <n v="29900000"/>
  </r>
  <r>
    <x v="51"/>
    <x v="0"/>
    <x v="140"/>
    <n v="118601976.15000001"/>
  </r>
  <r>
    <x v="51"/>
    <x v="1"/>
    <x v="140"/>
    <n v="197669960.25"/>
  </r>
  <r>
    <x v="51"/>
    <x v="2"/>
    <x v="140"/>
    <n v="171313965.55000007"/>
  </r>
  <r>
    <x v="51"/>
    <x v="3"/>
    <x v="140"/>
    <n v="210847957.5999999"/>
  </r>
  <r>
    <x v="30"/>
    <x v="0"/>
    <x v="140"/>
    <n v="14000000"/>
  </r>
  <r>
    <x v="30"/>
    <x v="1"/>
    <x v="140"/>
    <n v="14000000"/>
  </r>
  <r>
    <x v="30"/>
    <x v="2"/>
    <x v="140"/>
    <n v="14000000"/>
  </r>
  <r>
    <x v="30"/>
    <x v="3"/>
    <x v="140"/>
    <n v="14000000"/>
  </r>
  <r>
    <x v="30"/>
    <x v="4"/>
    <x v="140"/>
    <n v="14000000"/>
  </r>
  <r>
    <x v="30"/>
    <x v="5"/>
    <x v="140"/>
    <n v="14000000"/>
  </r>
  <r>
    <x v="30"/>
    <x v="6"/>
    <x v="140"/>
    <n v="14000000"/>
  </r>
  <r>
    <x v="30"/>
    <x v="7"/>
    <x v="140"/>
    <n v="14000000"/>
  </r>
  <r>
    <x v="30"/>
    <x v="8"/>
    <x v="140"/>
    <n v="14000000"/>
  </r>
  <r>
    <x v="30"/>
    <x v="9"/>
    <x v="140"/>
    <n v="14000000"/>
  </r>
  <r>
    <x v="30"/>
    <x v="10"/>
    <x v="140"/>
    <n v="14000000"/>
  </r>
  <r>
    <x v="30"/>
    <x v="11"/>
    <x v="140"/>
    <n v="14000000"/>
  </r>
  <r>
    <x v="30"/>
    <x v="12"/>
    <x v="140"/>
    <n v="14000000"/>
  </r>
  <r>
    <x v="30"/>
    <x v="13"/>
    <x v="140"/>
    <n v="14000000"/>
  </r>
  <r>
    <x v="30"/>
    <x v="14"/>
    <x v="140"/>
    <n v="14000000"/>
  </r>
  <r>
    <x v="31"/>
    <x v="0"/>
    <x v="140"/>
    <n v="12000000"/>
  </r>
  <r>
    <x v="31"/>
    <x v="1"/>
    <x v="140"/>
    <n v="12000000"/>
  </r>
  <r>
    <x v="31"/>
    <x v="2"/>
    <x v="140"/>
    <n v="12000000"/>
  </r>
  <r>
    <x v="31"/>
    <x v="3"/>
    <x v="140"/>
    <n v="12000000"/>
  </r>
  <r>
    <x v="31"/>
    <x v="4"/>
    <x v="140"/>
    <n v="12000000"/>
  </r>
  <r>
    <x v="31"/>
    <x v="5"/>
    <x v="140"/>
    <n v="12000000"/>
  </r>
  <r>
    <x v="31"/>
    <x v="6"/>
    <x v="140"/>
    <n v="12000000"/>
  </r>
  <r>
    <x v="31"/>
    <x v="7"/>
    <x v="140"/>
    <n v="12000000"/>
  </r>
  <r>
    <x v="31"/>
    <x v="8"/>
    <x v="140"/>
    <n v="12000000"/>
  </r>
  <r>
    <x v="31"/>
    <x v="9"/>
    <x v="140"/>
    <n v="12000000"/>
  </r>
  <r>
    <x v="31"/>
    <x v="10"/>
    <x v="140"/>
    <n v="12000000"/>
  </r>
  <r>
    <x v="31"/>
    <x v="11"/>
    <x v="140"/>
    <n v="12000000"/>
  </r>
  <r>
    <x v="31"/>
    <x v="12"/>
    <x v="140"/>
    <n v="12000000"/>
  </r>
  <r>
    <x v="31"/>
    <x v="13"/>
    <x v="140"/>
    <n v="12000000"/>
  </r>
  <r>
    <x v="31"/>
    <x v="14"/>
    <x v="140"/>
    <n v="12000000"/>
  </r>
  <r>
    <x v="31"/>
    <x v="15"/>
    <x v="140"/>
    <n v="12000000"/>
  </r>
  <r>
    <x v="31"/>
    <x v="16"/>
    <x v="140"/>
    <n v="12000000"/>
  </r>
  <r>
    <x v="31"/>
    <x v="17"/>
    <x v="140"/>
    <n v="12000000"/>
  </r>
  <r>
    <x v="31"/>
    <x v="18"/>
    <x v="140"/>
    <n v="12000000"/>
  </r>
  <r>
    <x v="31"/>
    <x v="19"/>
    <x v="140"/>
    <n v="12000000"/>
  </r>
  <r>
    <x v="31"/>
    <x v="20"/>
    <x v="140"/>
    <n v="12000000"/>
  </r>
  <r>
    <x v="31"/>
    <x v="21"/>
    <x v="140"/>
    <n v="12000000"/>
  </r>
  <r>
    <x v="31"/>
    <x v="22"/>
    <x v="140"/>
    <n v="12000000"/>
  </r>
  <r>
    <x v="31"/>
    <x v="23"/>
    <x v="140"/>
    <n v="12000000"/>
  </r>
  <r>
    <x v="33"/>
    <x v="0"/>
    <x v="140"/>
    <n v="7050296.2803877732"/>
  </r>
  <r>
    <x v="33"/>
    <x v="1"/>
    <x v="140"/>
    <n v="7050296.2803877732"/>
  </r>
  <r>
    <x v="33"/>
    <x v="2"/>
    <x v="140"/>
    <n v="7050296.2803877732"/>
  </r>
  <r>
    <x v="33"/>
    <x v="3"/>
    <x v="140"/>
    <n v="7050296.2803877732"/>
  </r>
  <r>
    <x v="33"/>
    <x v="0"/>
    <x v="140"/>
    <n v="5301683.8089733012"/>
  </r>
  <r>
    <x v="33"/>
    <x v="1"/>
    <x v="140"/>
    <n v="5301683.8089733012"/>
  </r>
  <r>
    <x v="33"/>
    <x v="2"/>
    <x v="140"/>
    <n v="5301683.8089733012"/>
  </r>
  <r>
    <x v="33"/>
    <x v="3"/>
    <x v="140"/>
    <n v="5301683.8089733012"/>
  </r>
  <r>
    <x v="33"/>
    <x v="0"/>
    <x v="140"/>
    <n v="7122595.6118260631"/>
  </r>
  <r>
    <x v="33"/>
    <x v="1"/>
    <x v="140"/>
    <n v="7122595.6118260631"/>
  </r>
  <r>
    <x v="33"/>
    <x v="2"/>
    <x v="140"/>
    <n v="7122595.6118260631"/>
  </r>
  <r>
    <x v="33"/>
    <x v="3"/>
    <x v="140"/>
    <n v="7122595.6118260631"/>
  </r>
  <r>
    <x v="33"/>
    <x v="0"/>
    <x v="140"/>
    <n v="2753063.7872998388"/>
  </r>
  <r>
    <x v="33"/>
    <x v="1"/>
    <x v="140"/>
    <n v="2753063.7872998388"/>
  </r>
  <r>
    <x v="33"/>
    <x v="2"/>
    <x v="140"/>
    <n v="2753063.7872998388"/>
  </r>
  <r>
    <x v="33"/>
    <x v="3"/>
    <x v="140"/>
    <n v="2753063.7872998388"/>
  </r>
  <r>
    <x v="33"/>
    <x v="0"/>
    <x v="140"/>
    <n v="4064763.0345789804"/>
  </r>
  <r>
    <x v="33"/>
    <x v="1"/>
    <x v="140"/>
    <n v="4064763.0345789804"/>
  </r>
  <r>
    <x v="33"/>
    <x v="2"/>
    <x v="140"/>
    <n v="4064763.0345789804"/>
  </r>
  <r>
    <x v="33"/>
    <x v="3"/>
    <x v="140"/>
    <n v="4064763.0345789804"/>
  </r>
  <r>
    <x v="33"/>
    <x v="0"/>
    <x v="140"/>
    <n v="3114204.2269340428"/>
  </r>
  <r>
    <x v="33"/>
    <x v="1"/>
    <x v="140"/>
    <n v="3114204.2269340428"/>
  </r>
  <r>
    <x v="33"/>
    <x v="2"/>
    <x v="140"/>
    <n v="3114204.2269340428"/>
  </r>
  <r>
    <x v="33"/>
    <x v="3"/>
    <x v="140"/>
    <n v="3114204.2269340428"/>
  </r>
  <r>
    <x v="52"/>
    <x v="0"/>
    <x v="140"/>
    <n v="12773052.833333334"/>
  </r>
  <r>
    <x v="52"/>
    <x v="1"/>
    <x v="140"/>
    <n v="12773052.833333334"/>
  </r>
  <r>
    <x v="53"/>
    <x v="0"/>
    <x v="140"/>
    <n v="50000000"/>
  </r>
  <r>
    <x v="53"/>
    <x v="1"/>
    <x v="140"/>
    <n v="50000000"/>
  </r>
  <r>
    <x v="53"/>
    <x v="2"/>
    <x v="140"/>
    <n v="50000000"/>
  </r>
  <r>
    <x v="53"/>
    <x v="3"/>
    <x v="140"/>
    <n v="50000000"/>
  </r>
  <r>
    <x v="53"/>
    <x v="4"/>
    <x v="140"/>
    <n v="50000000"/>
  </r>
  <r>
    <x v="54"/>
    <x v="0"/>
    <x v="140"/>
    <n v="48166666.666666664"/>
  </r>
  <r>
    <x v="54"/>
    <x v="1"/>
    <x v="140"/>
    <n v="48166666.666666664"/>
  </r>
  <r>
    <x v="54"/>
    <x v="2"/>
    <x v="140"/>
    <n v="48166666.666666664"/>
  </r>
  <r>
    <x v="54"/>
    <x v="3"/>
    <x v="140"/>
    <n v="48166666.666666664"/>
  </r>
  <r>
    <x v="54"/>
    <x v="4"/>
    <x v="140"/>
    <n v="48166666.666666664"/>
  </r>
  <r>
    <x v="54"/>
    <x v="5"/>
    <x v="140"/>
    <n v="48166666.666666664"/>
  </r>
  <r>
    <x v="34"/>
    <x v="0"/>
    <x v="140"/>
    <n v="10500000"/>
  </r>
  <r>
    <x v="34"/>
    <x v="1"/>
    <x v="140"/>
    <n v="10500000"/>
  </r>
  <r>
    <x v="34"/>
    <x v="2"/>
    <x v="140"/>
    <n v="10500000"/>
  </r>
  <r>
    <x v="34"/>
    <x v="3"/>
    <x v="140"/>
    <n v="10500000"/>
  </r>
  <r>
    <x v="34"/>
    <x v="4"/>
    <x v="140"/>
    <n v="10500000"/>
  </r>
  <r>
    <x v="34"/>
    <x v="5"/>
    <x v="140"/>
    <n v="10500000"/>
  </r>
  <r>
    <x v="55"/>
    <x v="1"/>
    <x v="140"/>
    <n v="9800000"/>
  </r>
  <r>
    <x v="55"/>
    <x v="2"/>
    <x v="140"/>
    <n v="9800000"/>
  </r>
  <r>
    <x v="55"/>
    <x v="3"/>
    <x v="140"/>
    <n v="9800000"/>
  </r>
  <r>
    <x v="55"/>
    <x v="4"/>
    <x v="140"/>
    <n v="9800000"/>
  </r>
  <r>
    <x v="55"/>
    <x v="5"/>
    <x v="140"/>
    <n v="9800000"/>
  </r>
  <r>
    <x v="55"/>
    <x v="6"/>
    <x v="140"/>
    <n v="9800000"/>
  </r>
  <r>
    <x v="55"/>
    <x v="7"/>
    <x v="140"/>
    <n v="9800000"/>
  </r>
  <r>
    <x v="55"/>
    <x v="8"/>
    <x v="140"/>
    <n v="9800000"/>
  </r>
  <r>
    <x v="55"/>
    <x v="9"/>
    <x v="140"/>
    <n v="9800000"/>
  </r>
  <r>
    <x v="55"/>
    <x v="10"/>
    <x v="140"/>
    <n v="9800000"/>
  </r>
  <r>
    <x v="55"/>
    <x v="11"/>
    <x v="140"/>
    <n v="9800000"/>
  </r>
  <r>
    <x v="55"/>
    <x v="12"/>
    <x v="140"/>
    <n v="9800000"/>
  </r>
  <r>
    <x v="55"/>
    <x v="13"/>
    <x v="140"/>
    <n v="9800000"/>
  </r>
  <r>
    <x v="55"/>
    <x v="14"/>
    <x v="140"/>
    <n v="9800000"/>
  </r>
  <r>
    <x v="52"/>
    <x v="2"/>
    <x v="140"/>
    <n v="12773052.833333334"/>
  </r>
  <r>
    <x v="52"/>
    <x v="3"/>
    <x v="140"/>
    <n v="12773052.833333334"/>
  </r>
  <r>
    <x v="52"/>
    <x v="4"/>
    <x v="140"/>
    <n v="12773052.833333334"/>
  </r>
  <r>
    <x v="52"/>
    <x v="5"/>
    <x v="140"/>
    <n v="12773052.833333334"/>
  </r>
  <r>
    <x v="52"/>
    <x v="6"/>
    <x v="140"/>
    <n v="12773052.833333334"/>
  </r>
  <r>
    <x v="52"/>
    <x v="7"/>
    <x v="140"/>
    <n v="12773052.833333334"/>
  </r>
  <r>
    <x v="52"/>
    <x v="8"/>
    <x v="140"/>
    <n v="12773052.833333334"/>
  </r>
  <r>
    <x v="52"/>
    <x v="9"/>
    <x v="140"/>
    <n v="12773052.833333334"/>
  </r>
  <r>
    <x v="52"/>
    <x v="10"/>
    <x v="140"/>
    <n v="12773052.833333334"/>
  </r>
  <r>
    <x v="35"/>
    <x v="1"/>
    <x v="140"/>
    <n v="22250000"/>
  </r>
  <r>
    <x v="35"/>
    <x v="2"/>
    <x v="140"/>
    <n v="22250000"/>
  </r>
  <r>
    <x v="35"/>
    <x v="3"/>
    <x v="140"/>
    <n v="22250000"/>
  </r>
  <r>
    <x v="35"/>
    <x v="4"/>
    <x v="140"/>
    <n v="22250000"/>
  </r>
  <r>
    <x v="35"/>
    <x v="5"/>
    <x v="140"/>
    <n v="22250000"/>
  </r>
  <r>
    <x v="35"/>
    <x v="6"/>
    <x v="140"/>
    <n v="22250000"/>
  </r>
  <r>
    <x v="35"/>
    <x v="7"/>
    <x v="140"/>
    <n v="22250000"/>
  </r>
  <r>
    <x v="39"/>
    <x v="3"/>
    <x v="140"/>
    <n v="17160000"/>
  </r>
  <r>
    <x v="39"/>
    <x v="4"/>
    <x v="140"/>
    <n v="17160000"/>
  </r>
  <r>
    <x v="39"/>
    <x v="5"/>
    <x v="140"/>
    <n v="17160000"/>
  </r>
  <r>
    <x v="39"/>
    <x v="6"/>
    <x v="140"/>
    <n v="17160000"/>
  </r>
  <r>
    <x v="39"/>
    <x v="7"/>
    <x v="140"/>
    <n v="17160000"/>
  </r>
  <r>
    <x v="39"/>
    <x v="8"/>
    <x v="140"/>
    <n v="17160000"/>
  </r>
  <r>
    <x v="39"/>
    <x v="9"/>
    <x v="140"/>
    <n v="17160000"/>
  </r>
  <r>
    <x v="39"/>
    <x v="10"/>
    <x v="140"/>
    <n v="17160000"/>
  </r>
  <r>
    <x v="39"/>
    <x v="11"/>
    <x v="140"/>
    <n v="17160000"/>
  </r>
  <r>
    <x v="39"/>
    <x v="12"/>
    <x v="140"/>
    <n v="17160000"/>
  </r>
  <r>
    <x v="39"/>
    <x v="13"/>
    <x v="140"/>
    <n v="17160000"/>
  </r>
  <r>
    <x v="39"/>
    <x v="14"/>
    <x v="140"/>
    <n v="17160000"/>
  </r>
  <r>
    <x v="39"/>
    <x v="15"/>
    <x v="140"/>
    <n v="17160000"/>
  </r>
  <r>
    <x v="37"/>
    <x v="2"/>
    <x v="140"/>
    <n v="26936126"/>
  </r>
  <r>
    <x v="37"/>
    <x v="3"/>
    <x v="140"/>
    <n v="26936126"/>
  </r>
  <r>
    <x v="37"/>
    <x v="4"/>
    <x v="140"/>
    <n v="26936126"/>
  </r>
  <r>
    <x v="37"/>
    <x v="5"/>
    <x v="140"/>
    <n v="26936126"/>
  </r>
  <r>
    <x v="37"/>
    <x v="6"/>
    <x v="140"/>
    <n v="26936126"/>
  </r>
  <r>
    <x v="37"/>
    <x v="7"/>
    <x v="140"/>
    <n v="26936126"/>
  </r>
  <r>
    <x v="37"/>
    <x v="8"/>
    <x v="140"/>
    <n v="26936126"/>
  </r>
  <r>
    <x v="37"/>
    <x v="9"/>
    <x v="140"/>
    <n v="26936126"/>
  </r>
  <r>
    <x v="37"/>
    <x v="10"/>
    <x v="140"/>
    <n v="26936126"/>
  </r>
  <r>
    <x v="37"/>
    <x v="11"/>
    <x v="140"/>
    <n v="26936126"/>
  </r>
  <r>
    <x v="37"/>
    <x v="12"/>
    <x v="140"/>
    <n v="26936126"/>
  </r>
  <r>
    <x v="37"/>
    <x v="13"/>
    <x v="140"/>
    <n v="26936126"/>
  </r>
  <r>
    <x v="37"/>
    <x v="14"/>
    <x v="140"/>
    <n v="26936126"/>
  </r>
  <r>
    <x v="37"/>
    <x v="15"/>
    <x v="140"/>
    <n v="26936126"/>
  </r>
  <r>
    <x v="37"/>
    <x v="16"/>
    <x v="140"/>
    <n v="26936126"/>
  </r>
  <r>
    <x v="37"/>
    <x v="17"/>
    <x v="140"/>
    <n v="26936126"/>
  </r>
  <r>
    <x v="37"/>
    <x v="18"/>
    <x v="140"/>
    <n v="26936126"/>
  </r>
  <r>
    <x v="37"/>
    <x v="19"/>
    <x v="140"/>
    <n v="26936126"/>
  </r>
  <r>
    <x v="37"/>
    <x v="20"/>
    <x v="140"/>
    <n v="26936126"/>
  </r>
  <r>
    <x v="37"/>
    <x v="21"/>
    <x v="140"/>
    <n v="26936126"/>
  </r>
  <r>
    <x v="37"/>
    <x v="22"/>
    <x v="140"/>
    <n v="26936126"/>
  </r>
  <r>
    <x v="37"/>
    <x v="23"/>
    <x v="140"/>
    <n v="26936126"/>
  </r>
  <r>
    <x v="37"/>
    <x v="24"/>
    <x v="140"/>
    <n v="26936126"/>
  </r>
  <r>
    <x v="37"/>
    <x v="25"/>
    <x v="140"/>
    <n v="26936126"/>
  </r>
  <r>
    <x v="37"/>
    <x v="26"/>
    <x v="140"/>
    <n v="26936126"/>
  </r>
  <r>
    <x v="38"/>
    <x v="3"/>
    <x v="140"/>
    <n v="8700000"/>
  </r>
  <r>
    <x v="38"/>
    <x v="3"/>
    <x v="140"/>
    <n v="20600000"/>
  </r>
  <r>
    <x v="38"/>
    <x v="4"/>
    <x v="140"/>
    <n v="20600000"/>
  </r>
  <r>
    <x v="38"/>
    <x v="5"/>
    <x v="140"/>
    <n v="20600000"/>
  </r>
  <r>
    <x v="38"/>
    <x v="6"/>
    <x v="140"/>
    <n v="20600000"/>
  </r>
  <r>
    <x v="38"/>
    <x v="7"/>
    <x v="140"/>
    <n v="20600000"/>
  </r>
  <r>
    <x v="38"/>
    <x v="8"/>
    <x v="140"/>
    <n v="20600000"/>
  </r>
  <r>
    <x v="38"/>
    <x v="9"/>
    <x v="140"/>
    <n v="20600000"/>
  </r>
  <r>
    <x v="38"/>
    <x v="10"/>
    <x v="140"/>
    <n v="20600000"/>
  </r>
  <r>
    <x v="38"/>
    <x v="11"/>
    <x v="140"/>
    <n v="20600000"/>
  </r>
  <r>
    <x v="38"/>
    <x v="12"/>
    <x v="140"/>
    <n v="20600000"/>
  </r>
  <r>
    <x v="38"/>
    <x v="3"/>
    <x v="140"/>
    <n v="14200000"/>
  </r>
  <r>
    <x v="38"/>
    <x v="4"/>
    <x v="140"/>
    <n v="14200000"/>
  </r>
  <r>
    <x v="38"/>
    <x v="5"/>
    <x v="140"/>
    <n v="14200000"/>
  </r>
  <r>
    <x v="38"/>
    <x v="6"/>
    <x v="140"/>
    <n v="14200000"/>
  </r>
  <r>
    <x v="56"/>
    <x v="3"/>
    <x v="140"/>
    <n v="10000000"/>
  </r>
  <r>
    <x v="56"/>
    <x v="4"/>
    <x v="140"/>
    <n v="10000000"/>
  </r>
  <r>
    <x v="56"/>
    <x v="5"/>
    <x v="140"/>
    <n v="100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9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7">
  <location ref="A3:H11" firstHeaderRow="1" firstDataRow="3" firstDataCol="1" rowPageCount="1" colPageCount="1"/>
  <pivotFields count="5">
    <pivotField axis="axisPage" multipleItemSelectionAllowed="1" showAll="0">
      <items count="58">
        <item h="1" x="0"/>
        <item h="1" x="25"/>
        <item h="1" x="5"/>
        <item h="1" x="48"/>
        <item h="1" x="11"/>
        <item h="1" x="14"/>
        <item h="1" x="45"/>
        <item h="1" x="15"/>
        <item h="1" x="16"/>
        <item h="1" x="17"/>
        <item h="1" x="18"/>
        <item h="1" x="21"/>
        <item h="1" x="20"/>
        <item h="1" x="19"/>
        <item h="1" x="28"/>
        <item h="1" x="40"/>
        <item h="1" x="1"/>
        <item h="1" x="27"/>
        <item h="1" x="49"/>
        <item h="1" x="10"/>
        <item h="1" x="13"/>
        <item h="1" x="26"/>
        <item h="1" x="30"/>
        <item h="1" x="31"/>
        <item h="1" x="32"/>
        <item h="1" x="42"/>
        <item h="1" x="44"/>
        <item h="1" x="51"/>
        <item h="1" x="53"/>
        <item h="1" x="54"/>
        <item x="34"/>
        <item h="1" x="55"/>
        <item h="1" x="39"/>
        <item h="1" x="37"/>
        <item h="1" x="38"/>
        <item h="1" x="56"/>
        <item h="1" x="12"/>
        <item h="1" x="22"/>
        <item h="1" x="33"/>
        <item h="1" x="46"/>
        <item h="1" x="47"/>
        <item h="1" x="36"/>
        <item h="1" x="2"/>
        <item h="1" x="3"/>
        <item h="1" x="4"/>
        <item h="1" x="6"/>
        <item h="1" x="7"/>
        <item h="1" x="8"/>
        <item h="1" x="9"/>
        <item h="1" x="23"/>
        <item h="1" x="24"/>
        <item h="1" x="29"/>
        <item h="1" x="41"/>
        <item h="1" x="43"/>
        <item h="1" x="50"/>
        <item h="1" x="52"/>
        <item h="1" x="35"/>
        <item t="default"/>
      </items>
    </pivotField>
    <pivotField axis="axisCol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142">
        <item x="30"/>
        <item x="66"/>
        <item x="0"/>
        <item x="27"/>
        <item x="1"/>
        <item x="33"/>
        <item x="89"/>
        <item x="62"/>
        <item x="90"/>
        <item x="140"/>
        <item x="14"/>
        <item x="6"/>
        <item x="7"/>
        <item x="110"/>
        <item x="61"/>
        <item x="21"/>
        <item x="8"/>
        <item x="9"/>
        <item x="29"/>
        <item x="67"/>
        <item x="75"/>
        <item x="56"/>
        <item x="57"/>
        <item x="73"/>
        <item x="74"/>
        <item x="54"/>
        <item x="53"/>
        <item x="109"/>
        <item x="96"/>
        <item x="99"/>
        <item x="20"/>
        <item x="123"/>
        <item x="10"/>
        <item x="97"/>
        <item x="98"/>
        <item x="11"/>
        <item x="28"/>
        <item x="65"/>
        <item x="5"/>
        <item x="12"/>
        <item x="103"/>
        <item x="58"/>
        <item x="93"/>
        <item x="92"/>
        <item x="119"/>
        <item x="91"/>
        <item x="55"/>
        <item x="34"/>
        <item x="4"/>
        <item x="15"/>
        <item x="104"/>
        <item x="105"/>
        <item x="51"/>
        <item x="59"/>
        <item x="3"/>
        <item x="31"/>
        <item x="60"/>
        <item x="63"/>
        <item x="70"/>
        <item x="94"/>
        <item x="95"/>
        <item x="64"/>
        <item x="13"/>
        <item x="2"/>
        <item x="68"/>
        <item x="69"/>
        <item x="71"/>
        <item x="72"/>
        <item x="100"/>
        <item x="101"/>
        <item x="102"/>
        <item x="76"/>
        <item x="26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2"/>
        <item x="77"/>
        <item x="115"/>
        <item x="116"/>
        <item x="117"/>
        <item x="118"/>
        <item x="120"/>
        <item x="121"/>
        <item x="122"/>
        <item x="127"/>
        <item x="19"/>
        <item x="32"/>
        <item x="124"/>
        <item x="125"/>
        <item x="126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6"/>
        <item x="17"/>
        <item x="18"/>
        <item x="22"/>
        <item x="23"/>
        <item x="24"/>
        <item x="25"/>
        <item x="37"/>
        <item x="78"/>
        <item x="79"/>
        <item x="80"/>
        <item x="81"/>
        <item x="82"/>
        <item x="83"/>
        <item x="84"/>
        <item x="85"/>
        <item x="86"/>
        <item x="87"/>
        <item x="88"/>
        <item x="106"/>
        <item x="107"/>
        <item x="108"/>
        <item x="111"/>
        <item x="112"/>
        <item x="113"/>
        <item x="114"/>
        <item t="default"/>
      </items>
    </pivotField>
    <pivotField dataField="1" numFmtId="168" showAll="0"/>
    <pivotField axis="axisCol" showAll="0" sortType="ascending" defaultSubtotal="0">
      <items count="5">
        <item x="0"/>
        <item x="4"/>
        <item x="1"/>
        <item x="2"/>
        <item x="3"/>
      </items>
    </pivotField>
  </pivotFields>
  <rowFields count="1">
    <field x="2"/>
  </rowFields>
  <rowItems count="6">
    <i>
      <x v="9"/>
    </i>
    <i>
      <x v="19"/>
    </i>
    <i>
      <x v="89"/>
    </i>
    <i>
      <x v="97"/>
    </i>
    <i>
      <x v="102"/>
    </i>
    <i t="grand">
      <x/>
    </i>
  </rowItems>
  <colFields count="2">
    <field x="4"/>
    <field x="1"/>
  </colFields>
  <colItems count="7"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pageFields count="1">
    <pageField fld="0" hier="-1"/>
  </pageFields>
  <dataFields count="1">
    <dataField name="Suma de VALOR" fld="3" baseField="0" baseItem="0" numFmtId="168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1" cacheId="7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compact="0" compactData="0" gridDropZones="1" multipleFieldFilters="0">
  <location ref="A3:F3317" firstHeaderRow="1" firstDataRow="2" firstDataCol="3"/>
  <pivotFields count="5">
    <pivotField axis="axisRow" compact="0" outline="0" showAll="0" defaultSubtotal="0">
      <items count="58">
        <item x="36"/>
        <item x="49"/>
        <item x="40"/>
        <item x="24"/>
        <item x="0"/>
        <item x="1"/>
        <item x="2"/>
        <item x="32"/>
        <item x="25"/>
        <item x="3"/>
        <item x="4"/>
        <item x="5"/>
        <item m="1" x="57"/>
        <item x="33"/>
        <item x="23"/>
        <item x="26"/>
        <item x="41"/>
        <item x="6"/>
        <item x="22"/>
        <item x="42"/>
        <item x="7"/>
        <item x="8"/>
        <item x="39"/>
        <item x="48"/>
        <item x="9"/>
        <item x="43"/>
        <item x="53"/>
        <item x="44"/>
        <item x="10"/>
        <item x="54"/>
        <item x="50"/>
        <item x="11"/>
        <item x="34"/>
        <item x="12"/>
        <item x="35"/>
        <item x="13"/>
        <item x="52"/>
        <item x="14"/>
        <item x="45"/>
        <item x="51"/>
        <item x="15"/>
        <item x="16"/>
        <item x="55"/>
        <item x="17"/>
        <item x="18"/>
        <item x="21"/>
        <item x="20"/>
        <item x="19"/>
        <item x="46"/>
        <item x="47"/>
        <item x="27"/>
        <item x="31"/>
        <item x="28"/>
        <item x="30"/>
        <item x="29"/>
        <item x="56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>
      <items count="143">
        <item x="35"/>
        <item x="136"/>
        <item x="36"/>
        <item x="30"/>
        <item x="108"/>
        <item x="117"/>
        <item x="32"/>
        <item x="118"/>
        <item x="37"/>
        <item x="66"/>
        <item x="0"/>
        <item x="126"/>
        <item x="27"/>
        <item x="1"/>
        <item x="106"/>
        <item x="78"/>
        <item x="107"/>
        <item x="33"/>
        <item x="23"/>
        <item x="128"/>
        <item x="89"/>
        <item x="62"/>
        <item x="90"/>
        <item x="77"/>
        <item x="24"/>
        <item x="120"/>
        <item x="38"/>
        <item x="39"/>
        <item x="40"/>
        <item x="41"/>
        <item x="42"/>
        <item x="43"/>
        <item x="44"/>
        <item x="45"/>
        <item x="46"/>
        <item x="47"/>
        <item x="26"/>
        <item x="127"/>
        <item x="140"/>
        <item x="48"/>
        <item m="1" x="141"/>
        <item x="121"/>
        <item x="14"/>
        <item x="6"/>
        <item x="7"/>
        <item x="110"/>
        <item x="129"/>
        <item x="130"/>
        <item x="61"/>
        <item x="82"/>
        <item x="83"/>
        <item x="21"/>
        <item x="8"/>
        <item x="9"/>
        <item x="19"/>
        <item x="131"/>
        <item x="132"/>
        <item x="29"/>
        <item x="67"/>
        <item x="75"/>
        <item x="139"/>
        <item x="56"/>
        <item x="57"/>
        <item x="73"/>
        <item x="74"/>
        <item x="54"/>
        <item x="53"/>
        <item x="25"/>
        <item x="109"/>
        <item x="96"/>
        <item x="99"/>
        <item x="20"/>
        <item x="123"/>
        <item x="10"/>
        <item x="97"/>
        <item x="98"/>
        <item x="114"/>
        <item x="11"/>
        <item x="28"/>
        <item x="65"/>
        <item x="85"/>
        <item x="86"/>
        <item x="88"/>
        <item x="124"/>
        <item x="5"/>
        <item x="12"/>
        <item x="22"/>
        <item x="103"/>
        <item x="49"/>
        <item x="58"/>
        <item x="93"/>
        <item x="92"/>
        <item x="119"/>
        <item x="91"/>
        <item x="16"/>
        <item x="125"/>
        <item x="55"/>
        <item x="50"/>
        <item x="34"/>
        <item x="4"/>
        <item x="15"/>
        <item x="104"/>
        <item x="105"/>
        <item x="51"/>
        <item x="122"/>
        <item x="79"/>
        <item x="133"/>
        <item x="134"/>
        <item x="116"/>
        <item x="138"/>
        <item x="59"/>
        <item x="17"/>
        <item x="3"/>
        <item x="31"/>
        <item x="60"/>
        <item x="63"/>
        <item x="70"/>
        <item x="94"/>
        <item x="95"/>
        <item x="111"/>
        <item x="81"/>
        <item x="18"/>
        <item x="64"/>
        <item x="13"/>
        <item x="115"/>
        <item x="2"/>
        <item x="137"/>
        <item x="135"/>
        <item x="68"/>
        <item x="69"/>
        <item x="71"/>
        <item x="72"/>
        <item x="80"/>
        <item x="112"/>
        <item x="52"/>
        <item x="87"/>
        <item x="113"/>
        <item x="84"/>
        <item x="100"/>
        <item x="101"/>
        <item x="102"/>
        <item x="7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313">
    <i>
      <x/>
      <x/>
      <x v="58"/>
    </i>
    <i r="2">
      <x v="68"/>
    </i>
    <i r="2">
      <x v="17"/>
    </i>
    <i r="2">
      <x v="89"/>
    </i>
    <i r="2">
      <x v="46"/>
    </i>
    <i r="2">
      <x v="100"/>
    </i>
    <i r="2">
      <x v="54"/>
    </i>
    <i r="2">
      <x v="101"/>
    </i>
    <i r="2">
      <x v="56"/>
    </i>
    <i r="2">
      <x v="102"/>
    </i>
    <i r="2">
      <x v="19"/>
    </i>
    <i r="2">
      <x v="106"/>
    </i>
    <i r="2">
      <x v="55"/>
    </i>
    <i r="2">
      <x v="107"/>
    </i>
    <i r="2">
      <x v="47"/>
    </i>
    <i r="2">
      <x v="112"/>
    </i>
    <i r="2">
      <x v="5"/>
    </i>
    <i r="2">
      <x v="123"/>
    </i>
    <i r="1">
      <x v="1"/>
      <x v="58"/>
    </i>
    <i r="2">
      <x v="68"/>
    </i>
    <i r="2">
      <x v="17"/>
    </i>
    <i r="2">
      <x v="89"/>
    </i>
    <i r="2">
      <x v="46"/>
    </i>
    <i r="2">
      <x v="100"/>
    </i>
    <i r="2">
      <x v="54"/>
    </i>
    <i r="2">
      <x v="101"/>
    </i>
    <i r="2">
      <x v="56"/>
    </i>
    <i r="2">
      <x v="102"/>
    </i>
    <i r="2">
      <x v="19"/>
    </i>
    <i r="2">
      <x v="106"/>
    </i>
    <i r="2">
      <x v="55"/>
    </i>
    <i r="2">
      <x v="107"/>
    </i>
    <i r="2">
      <x v="47"/>
    </i>
    <i r="2">
      <x v="112"/>
    </i>
    <i r="2">
      <x v="5"/>
    </i>
    <i r="2">
      <x v="123"/>
    </i>
    <i r="1">
      <x v="2"/>
      <x v="58"/>
    </i>
    <i r="2">
      <x v="68"/>
    </i>
    <i r="2">
      <x v="17"/>
    </i>
    <i r="2">
      <x v="89"/>
    </i>
    <i r="2">
      <x v="46"/>
    </i>
    <i r="2">
      <x v="100"/>
    </i>
    <i r="2">
      <x v="54"/>
    </i>
    <i r="2">
      <x v="101"/>
    </i>
    <i r="2">
      <x v="56"/>
    </i>
    <i r="2">
      <x v="102"/>
    </i>
    <i r="2">
      <x v="19"/>
    </i>
    <i r="2">
      <x v="106"/>
    </i>
    <i r="2">
      <x v="55"/>
    </i>
    <i r="2">
      <x v="107"/>
    </i>
    <i r="2">
      <x v="47"/>
    </i>
    <i r="2">
      <x v="112"/>
    </i>
    <i r="2">
      <x v="5"/>
    </i>
    <i r="2">
      <x v="123"/>
    </i>
    <i r="1">
      <x v="3"/>
      <x v="58"/>
    </i>
    <i r="2">
      <x v="68"/>
    </i>
    <i r="2">
      <x v="17"/>
    </i>
    <i r="2">
      <x v="89"/>
    </i>
    <i r="2">
      <x v="46"/>
    </i>
    <i r="2">
      <x v="100"/>
    </i>
    <i r="2">
      <x v="54"/>
    </i>
    <i r="2">
      <x v="101"/>
    </i>
    <i r="2">
      <x v="56"/>
    </i>
    <i r="2">
      <x v="102"/>
    </i>
    <i r="2">
      <x v="19"/>
    </i>
    <i r="2">
      <x v="106"/>
    </i>
    <i r="2">
      <x v="55"/>
    </i>
    <i r="2">
      <x v="107"/>
    </i>
    <i r="2">
      <x v="47"/>
    </i>
    <i r="2">
      <x v="112"/>
    </i>
    <i r="2">
      <x v="5"/>
    </i>
    <i r="2">
      <x v="123"/>
    </i>
    <i r="1">
      <x v="4"/>
      <x v="58"/>
    </i>
    <i r="2">
      <x v="68"/>
    </i>
    <i r="2">
      <x v="17"/>
    </i>
    <i r="2">
      <x v="89"/>
    </i>
    <i r="2">
      <x v="46"/>
    </i>
    <i r="2">
      <x v="100"/>
    </i>
    <i r="2">
      <x v="54"/>
    </i>
    <i r="2">
      <x v="101"/>
    </i>
    <i r="2">
      <x v="56"/>
    </i>
    <i r="2">
      <x v="102"/>
    </i>
    <i r="2">
      <x v="19"/>
    </i>
    <i r="2">
      <x v="106"/>
    </i>
    <i r="2">
      <x v="55"/>
    </i>
    <i r="2">
      <x v="107"/>
    </i>
    <i r="2">
      <x v="47"/>
    </i>
    <i r="2">
      <x v="112"/>
    </i>
    <i r="2">
      <x v="5"/>
    </i>
    <i r="2">
      <x v="123"/>
    </i>
    <i>
      <x v="1"/>
      <x/>
      <x v="38"/>
    </i>
    <i r="1">
      <x v="1"/>
      <x v="38"/>
    </i>
    <i r="1">
      <x v="2"/>
      <x v="38"/>
    </i>
    <i r="1">
      <x v="3"/>
      <x v="38"/>
    </i>
    <i r="1">
      <x v="4"/>
      <x v="38"/>
    </i>
    <i r="1">
      <x v="5"/>
      <x v="38"/>
    </i>
    <i r="1">
      <x v="6"/>
      <x v="38"/>
    </i>
    <i r="1">
      <x v="7"/>
      <x v="38"/>
    </i>
    <i r="1">
      <x v="8"/>
      <x v="38"/>
    </i>
    <i r="1">
      <x v="9"/>
      <x v="38"/>
    </i>
    <i r="1">
      <x v="10"/>
      <x v="38"/>
    </i>
    <i r="1">
      <x v="11"/>
      <x v="38"/>
    </i>
    <i>
      <x v="2"/>
      <x v="5"/>
      <x v="38"/>
    </i>
    <i>
      <x v="3"/>
      <x/>
      <x v="81"/>
    </i>
    <i r="2">
      <x v="3"/>
    </i>
    <i r="2">
      <x v="82"/>
    </i>
    <i r="2">
      <x v="13"/>
    </i>
    <i r="2">
      <x v="105"/>
    </i>
    <i r="2">
      <x v="49"/>
    </i>
    <i r="2">
      <x v="112"/>
    </i>
    <i r="2">
      <x v="80"/>
    </i>
    <i r="2">
      <x v="120"/>
    </i>
    <i r="2">
      <x v="38"/>
    </i>
    <i r="2">
      <x v="132"/>
    </i>
    <i r="2">
      <x v="10"/>
    </i>
    <i r="2">
      <x v="135"/>
    </i>
    <i r="2">
      <x v="50"/>
    </i>
    <i r="2">
      <x v="137"/>
    </i>
    <i r="1">
      <x v="1"/>
      <x v="81"/>
    </i>
    <i r="2">
      <x v="82"/>
    </i>
    <i r="2">
      <x v="10"/>
    </i>
    <i r="2">
      <x v="112"/>
    </i>
    <i r="2">
      <x v="38"/>
    </i>
    <i r="2">
      <x v="120"/>
    </i>
    <i r="2">
      <x v="3"/>
    </i>
    <i r="2">
      <x v="132"/>
    </i>
    <i r="2">
      <x v="80"/>
    </i>
    <i r="2">
      <x v="135"/>
    </i>
    <i r="2">
      <x v="13"/>
    </i>
    <i r="2">
      <x v="137"/>
    </i>
    <i r="1">
      <x v="2"/>
      <x v="81"/>
    </i>
    <i r="2">
      <x v="82"/>
    </i>
    <i r="2">
      <x v="10"/>
    </i>
    <i r="2">
      <x v="112"/>
    </i>
    <i r="2">
      <x v="38"/>
    </i>
    <i r="2">
      <x v="120"/>
    </i>
    <i r="2">
      <x v="3"/>
    </i>
    <i r="2">
      <x v="132"/>
    </i>
    <i r="2">
      <x v="80"/>
    </i>
    <i r="2">
      <x v="135"/>
    </i>
    <i r="2">
      <x v="13"/>
    </i>
    <i r="2">
      <x v="137"/>
    </i>
    <i r="1">
      <x v="3"/>
      <x v="81"/>
    </i>
    <i r="2">
      <x v="3"/>
    </i>
    <i r="2">
      <x v="82"/>
    </i>
    <i r="2">
      <x v="13"/>
    </i>
    <i r="2">
      <x v="112"/>
    </i>
    <i r="2">
      <x v="80"/>
    </i>
    <i r="2">
      <x v="120"/>
    </i>
    <i r="2">
      <x v="38"/>
    </i>
    <i r="2">
      <x v="132"/>
    </i>
    <i r="2">
      <x v="10"/>
    </i>
    <i r="2">
      <x v="135"/>
    </i>
    <i r="1">
      <x v="4"/>
      <x v="81"/>
    </i>
    <i r="2">
      <x v="3"/>
    </i>
    <i r="2">
      <x v="82"/>
    </i>
    <i r="2">
      <x v="13"/>
    </i>
    <i r="2">
      <x v="112"/>
    </i>
    <i r="2">
      <x v="80"/>
    </i>
    <i r="2">
      <x v="120"/>
    </i>
    <i r="2">
      <x v="38"/>
    </i>
    <i r="2">
      <x v="132"/>
    </i>
    <i r="2">
      <x v="10"/>
    </i>
    <i r="2">
      <x v="135"/>
    </i>
    <i r="1">
      <x v="5"/>
      <x v="10"/>
    </i>
    <i r="2">
      <x v="13"/>
    </i>
    <i r="2">
      <x v="3"/>
    </i>
    <i r="2">
      <x v="38"/>
    </i>
    <i r="1">
      <x v="6"/>
      <x v="10"/>
    </i>
    <i r="2">
      <x v="13"/>
    </i>
    <i r="2">
      <x v="3"/>
    </i>
    <i r="2">
      <x v="38"/>
    </i>
    <i>
      <x v="4"/>
      <x/>
      <x v="43"/>
    </i>
    <i r="2">
      <x v="84"/>
    </i>
    <i r="2">
      <x v="13"/>
    </i>
    <i r="2">
      <x v="99"/>
    </i>
    <i r="2">
      <x v="10"/>
    </i>
    <i r="2">
      <x v="112"/>
    </i>
    <i r="2">
      <x v="38"/>
    </i>
    <i r="2">
      <x v="125"/>
    </i>
    <i r="1">
      <x v="1"/>
      <x v="43"/>
    </i>
    <i r="2">
      <x v="84"/>
    </i>
    <i r="2">
      <x v="13"/>
    </i>
    <i r="2">
      <x v="99"/>
    </i>
    <i r="2">
      <x v="10"/>
    </i>
    <i r="2">
      <x v="112"/>
    </i>
    <i r="2">
      <x v="38"/>
    </i>
    <i r="2">
      <x v="125"/>
    </i>
    <i r="1">
      <x v="2"/>
      <x v="43"/>
    </i>
    <i r="2">
      <x v="84"/>
    </i>
    <i r="2">
      <x v="13"/>
    </i>
    <i r="2">
      <x v="99"/>
    </i>
    <i r="2">
      <x v="10"/>
    </i>
    <i r="2">
      <x v="112"/>
    </i>
    <i r="2">
      <x v="38"/>
    </i>
    <i r="2">
      <x v="125"/>
    </i>
    <i r="1">
      <x v="3"/>
      <x v="44"/>
    </i>
    <i r="2">
      <x v="10"/>
    </i>
    <i r="2">
      <x v="84"/>
    </i>
    <i r="2">
      <x v="38"/>
    </i>
    <i r="2">
      <x v="99"/>
    </i>
    <i r="2">
      <x v="13"/>
    </i>
    <i r="2">
      <x v="112"/>
    </i>
    <i r="2">
      <x v="43"/>
    </i>
    <i r="2">
      <x v="125"/>
    </i>
    <i r="1">
      <x v="4"/>
      <x v="44"/>
    </i>
    <i r="2">
      <x v="10"/>
    </i>
    <i r="2">
      <x v="84"/>
    </i>
    <i r="2">
      <x v="38"/>
    </i>
    <i r="2">
      <x v="99"/>
    </i>
    <i r="2">
      <x v="13"/>
    </i>
    <i r="2">
      <x v="112"/>
    </i>
    <i r="2">
      <x v="43"/>
    </i>
    <i r="2">
      <x v="125"/>
    </i>
    <i r="1">
      <x v="5"/>
      <x v="44"/>
    </i>
    <i r="2">
      <x v="10"/>
    </i>
    <i r="2">
      <x v="84"/>
    </i>
    <i r="2">
      <x v="38"/>
    </i>
    <i r="2">
      <x v="99"/>
    </i>
    <i r="2">
      <x v="13"/>
    </i>
    <i r="2">
      <x v="112"/>
    </i>
    <i r="2">
      <x v="43"/>
    </i>
    <i r="2">
      <x v="125"/>
    </i>
    <i r="1">
      <x v="6"/>
      <x v="44"/>
    </i>
    <i r="2">
      <x v="10"/>
    </i>
    <i r="2">
      <x v="84"/>
    </i>
    <i r="2">
      <x v="38"/>
    </i>
    <i r="2">
      <x v="99"/>
    </i>
    <i r="2">
      <x v="13"/>
    </i>
    <i r="2">
      <x v="112"/>
    </i>
    <i r="2">
      <x v="43"/>
    </i>
    <i r="2">
      <x v="125"/>
    </i>
    <i r="1">
      <x v="7"/>
      <x v="44"/>
    </i>
    <i r="2">
      <x v="10"/>
    </i>
    <i r="2">
      <x v="84"/>
    </i>
    <i r="2">
      <x v="38"/>
    </i>
    <i r="2">
      <x v="99"/>
    </i>
    <i r="2">
      <x v="13"/>
    </i>
    <i r="2">
      <x v="112"/>
    </i>
    <i r="2">
      <x v="43"/>
    </i>
    <i r="2">
      <x v="125"/>
    </i>
    <i r="1">
      <x v="8"/>
      <x v="44"/>
    </i>
    <i r="2">
      <x v="10"/>
    </i>
    <i r="2">
      <x v="84"/>
    </i>
    <i r="2">
      <x v="38"/>
    </i>
    <i r="2">
      <x v="99"/>
    </i>
    <i r="2">
      <x v="13"/>
    </i>
    <i r="2">
      <x v="112"/>
    </i>
    <i r="2">
      <x v="43"/>
    </i>
    <i r="2">
      <x v="125"/>
    </i>
    <i r="1">
      <x v="9"/>
      <x v="43"/>
    </i>
    <i r="2">
      <x v="44"/>
    </i>
    <i r="2">
      <x v="13"/>
    </i>
    <i r="2">
      <x v="99"/>
    </i>
    <i r="2">
      <x v="10"/>
    </i>
    <i r="2">
      <x v="112"/>
    </i>
    <i r="2">
      <x v="38"/>
    </i>
    <i r="2">
      <x v="125"/>
    </i>
    <i r="1">
      <x v="10"/>
      <x v="43"/>
    </i>
    <i r="2">
      <x v="44"/>
    </i>
    <i r="2">
      <x v="13"/>
    </i>
    <i r="2">
      <x v="99"/>
    </i>
    <i r="2">
      <x v="10"/>
    </i>
    <i r="2">
      <x v="112"/>
    </i>
    <i r="2">
      <x v="38"/>
    </i>
    <i r="2">
      <x v="125"/>
    </i>
    <i r="1">
      <x v="11"/>
      <x v="43"/>
    </i>
    <i r="2">
      <x v="44"/>
    </i>
    <i r="2">
      <x v="13"/>
    </i>
    <i r="2">
      <x v="99"/>
    </i>
    <i r="2">
      <x v="10"/>
    </i>
    <i r="2">
      <x v="112"/>
    </i>
    <i r="2">
      <x v="38"/>
    </i>
    <i r="2">
      <x v="125"/>
    </i>
    <i r="1">
      <x v="12"/>
      <x v="43"/>
    </i>
    <i r="2">
      <x v="10"/>
    </i>
    <i r="2">
      <x v="99"/>
    </i>
    <i r="2">
      <x v="38"/>
    </i>
    <i r="2">
      <x v="112"/>
    </i>
    <i r="2">
      <x v="13"/>
    </i>
    <i r="2">
      <x v="125"/>
    </i>
    <i r="1">
      <x v="13"/>
      <x v="38"/>
    </i>
    <i r="2">
      <x v="10"/>
    </i>
    <i r="2">
      <x v="99"/>
    </i>
    <i r="2">
      <x v="13"/>
    </i>
    <i r="2">
      <x v="112"/>
    </i>
    <i>
      <x v="5"/>
      <x/>
      <x v="53"/>
    </i>
    <i r="2">
      <x v="73"/>
    </i>
    <i r="2">
      <x v="13"/>
    </i>
    <i r="2">
      <x v="77"/>
    </i>
    <i r="2">
      <x v="52"/>
    </i>
    <i r="2">
      <x v="85"/>
    </i>
    <i r="2">
      <x v="38"/>
    </i>
    <i r="2">
      <x v="112"/>
    </i>
    <i r="2">
      <x v="10"/>
    </i>
    <i r="2">
      <x v="123"/>
    </i>
    <i r="1">
      <x v="1"/>
      <x v="53"/>
    </i>
    <i r="2">
      <x v="73"/>
    </i>
    <i r="2">
      <x v="13"/>
    </i>
    <i r="2">
      <x v="77"/>
    </i>
    <i r="2">
      <x v="52"/>
    </i>
    <i r="2">
      <x v="85"/>
    </i>
    <i r="2">
      <x v="38"/>
    </i>
    <i r="2">
      <x v="112"/>
    </i>
    <i r="2">
      <x v="10"/>
    </i>
    <i r="2">
      <x v="123"/>
    </i>
    <i r="1">
      <x v="2"/>
      <x v="53"/>
    </i>
    <i r="2">
      <x v="73"/>
    </i>
    <i r="2">
      <x v="13"/>
    </i>
    <i r="2">
      <x v="77"/>
    </i>
    <i r="2">
      <x v="52"/>
    </i>
    <i r="2">
      <x v="85"/>
    </i>
    <i r="2">
      <x v="38"/>
    </i>
    <i r="2">
      <x v="112"/>
    </i>
    <i r="2">
      <x v="10"/>
    </i>
    <i r="2">
      <x v="123"/>
    </i>
    <i>
      <x v="6"/>
      <x/>
      <x v="38"/>
    </i>
    <i r="2">
      <x v="42"/>
    </i>
    <i r="2">
      <x v="13"/>
    </i>
    <i r="2">
      <x v="84"/>
    </i>
    <i r="2">
      <x v="10"/>
    </i>
    <i r="2">
      <x v="100"/>
    </i>
    <i r="1">
      <x v="1"/>
      <x v="38"/>
    </i>
    <i r="2">
      <x v="42"/>
    </i>
    <i r="2">
      <x v="13"/>
    </i>
    <i r="2">
      <x v="84"/>
    </i>
    <i r="2">
      <x v="10"/>
    </i>
    <i r="2">
      <x v="100"/>
    </i>
    <i r="1">
      <x v="2"/>
      <x v="38"/>
    </i>
    <i r="2">
      <x v="42"/>
    </i>
    <i r="2">
      <x v="13"/>
    </i>
    <i r="2">
      <x v="84"/>
    </i>
    <i r="2">
      <x v="10"/>
    </i>
    <i r="2">
      <x v="100"/>
    </i>
    <i r="1">
      <x v="3"/>
      <x v="38"/>
    </i>
    <i r="2">
      <x v="10"/>
    </i>
    <i r="2">
      <x v="42"/>
    </i>
    <i r="2">
      <x v="13"/>
    </i>
    <i r="2">
      <x v="84"/>
    </i>
    <i r="1">
      <x v="4"/>
      <x v="13"/>
    </i>
    <i r="2">
      <x v="10"/>
    </i>
    <i r="2">
      <x v="38"/>
    </i>
    <i r="1">
      <x v="5"/>
      <x v="13"/>
    </i>
    <i r="2">
      <x v="10"/>
    </i>
    <i r="2">
      <x v="38"/>
    </i>
    <i>
      <x v="7"/>
      <x/>
      <x v="89"/>
    </i>
    <i r="2">
      <x v="10"/>
    </i>
    <i r="2">
      <x v="123"/>
    </i>
    <i r="2">
      <x v="13"/>
    </i>
    <i r="2">
      <x v="130"/>
    </i>
    <i r="1">
      <x v="1"/>
      <x v="13"/>
    </i>
    <i r="2">
      <x v="89"/>
    </i>
    <i r="1">
      <x v="2"/>
      <x v="89"/>
    </i>
    <i r="2">
      <x v="13"/>
    </i>
    <i r="1">
      <x v="3"/>
      <x v="89"/>
    </i>
    <i r="2">
      <x v="13"/>
    </i>
    <i>
      <x v="8"/>
      <x/>
      <x v="71"/>
    </i>
    <i r="2">
      <x v="20"/>
    </i>
    <i r="2">
      <x v="74"/>
    </i>
    <i r="2">
      <x v="38"/>
    </i>
    <i r="2">
      <x v="75"/>
    </i>
    <i r="2">
      <x v="53"/>
    </i>
    <i r="2">
      <x v="90"/>
    </i>
    <i r="2">
      <x v="70"/>
    </i>
    <i r="2">
      <x v="91"/>
    </i>
    <i r="2">
      <x v="52"/>
    </i>
    <i r="2">
      <x v="93"/>
    </i>
    <i r="2">
      <x v="22"/>
    </i>
    <i r="2">
      <x v="117"/>
    </i>
    <i r="2">
      <x v="69"/>
    </i>
    <i r="2">
      <x v="118"/>
    </i>
    <i r="1">
      <x v="1"/>
      <x v="71"/>
    </i>
    <i r="2">
      <x v="20"/>
    </i>
    <i r="2">
      <x v="74"/>
    </i>
    <i r="2">
      <x v="52"/>
    </i>
    <i r="2">
      <x v="75"/>
    </i>
    <i r="2">
      <x v="69"/>
    </i>
    <i r="2">
      <x v="90"/>
    </i>
    <i r="2">
      <x v="38"/>
    </i>
    <i r="2">
      <x v="91"/>
    </i>
    <i r="2">
      <x v="70"/>
    </i>
    <i r="2">
      <x v="117"/>
    </i>
    <i r="2">
      <x v="53"/>
    </i>
    <i r="2">
      <x v="118"/>
    </i>
    <i r="1">
      <x v="2"/>
      <x v="69"/>
    </i>
    <i r="2">
      <x v="74"/>
    </i>
    <i r="2">
      <x v="38"/>
    </i>
    <i r="2">
      <x v="90"/>
    </i>
    <i r="2">
      <x v="53"/>
    </i>
    <i r="2">
      <x v="91"/>
    </i>
    <i r="2">
      <x v="52"/>
    </i>
    <i r="2">
      <x v="117"/>
    </i>
    <i r="2">
      <x v="20"/>
    </i>
    <i r="2">
      <x v="118"/>
    </i>
    <i r="1">
      <x v="3"/>
      <x v="74"/>
    </i>
    <i r="2">
      <x v="87"/>
    </i>
    <i r="2">
      <x v="20"/>
    </i>
    <i r="2">
      <x v="90"/>
    </i>
    <i r="2">
      <x v="38"/>
    </i>
    <i r="2">
      <x v="91"/>
    </i>
    <i r="2">
      <x v="53"/>
    </i>
    <i r="2">
      <x v="101"/>
    </i>
    <i r="2">
      <x v="70"/>
    </i>
    <i r="2">
      <x v="102"/>
    </i>
    <i r="2">
      <x v="3"/>
    </i>
    <i r="2">
      <x v="117"/>
    </i>
    <i r="2">
      <x v="52"/>
    </i>
    <i r="2">
      <x v="118"/>
    </i>
    <i r="2">
      <x v="71"/>
    </i>
    <i r="2">
      <x v="138"/>
    </i>
    <i r="2">
      <x v="69"/>
    </i>
    <i r="2">
      <x v="139"/>
    </i>
    <i r="2">
      <x v="22"/>
    </i>
    <i r="2">
      <x v="140"/>
    </i>
    <i r="1">
      <x v="4"/>
      <x v="90"/>
    </i>
    <i r="2">
      <x v="91"/>
    </i>
    <i r="2">
      <x v="20"/>
    </i>
    <i r="2">
      <x v="101"/>
    </i>
    <i r="2">
      <x v="53"/>
    </i>
    <i r="2">
      <x v="102"/>
    </i>
    <i r="2">
      <x v="74"/>
    </i>
    <i r="2">
      <x v="117"/>
    </i>
    <i r="2">
      <x v="3"/>
    </i>
    <i r="2">
      <x v="118"/>
    </i>
    <i r="2">
      <x v="71"/>
    </i>
    <i r="2">
      <x v="138"/>
    </i>
    <i r="2">
      <x v="22"/>
    </i>
    <i r="2">
      <x v="139"/>
    </i>
    <i r="2">
      <x v="87"/>
    </i>
    <i r="2">
      <x v="140"/>
    </i>
    <i r="1">
      <x v="5"/>
      <x v="90"/>
    </i>
    <i r="2">
      <x v="91"/>
    </i>
    <i r="2">
      <x v="20"/>
    </i>
    <i r="2">
      <x v="101"/>
    </i>
    <i r="2">
      <x v="53"/>
    </i>
    <i r="2">
      <x v="102"/>
    </i>
    <i r="2">
      <x v="74"/>
    </i>
    <i r="2">
      <x v="117"/>
    </i>
    <i r="2">
      <x v="3"/>
    </i>
    <i r="2">
      <x v="118"/>
    </i>
    <i r="2">
      <x v="71"/>
    </i>
    <i r="2">
      <x v="138"/>
    </i>
    <i r="2">
      <x v="22"/>
    </i>
    <i r="2">
      <x v="139"/>
    </i>
    <i r="2">
      <x v="87"/>
    </i>
    <i r="2">
      <x v="140"/>
    </i>
    <i r="1">
      <x v="6"/>
      <x v="91"/>
    </i>
    <i r="2">
      <x v="3"/>
    </i>
    <i r="2">
      <x v="101"/>
    </i>
    <i r="2">
      <x v="22"/>
    </i>
    <i r="2">
      <x v="102"/>
    </i>
    <i r="2">
      <x v="74"/>
    </i>
    <i r="2">
      <x v="117"/>
    </i>
    <i r="2">
      <x v="90"/>
    </i>
    <i r="2">
      <x v="118"/>
    </i>
    <i r="2">
      <x v="53"/>
    </i>
    <i r="2">
      <x v="138"/>
    </i>
    <i r="2">
      <x v="20"/>
    </i>
    <i r="2">
      <x v="139"/>
    </i>
    <i r="2">
      <x v="87"/>
    </i>
    <i r="2">
      <x v="140"/>
    </i>
    <i r="1">
      <x v="7"/>
      <x v="91"/>
    </i>
    <i r="2">
      <x v="3"/>
    </i>
    <i r="2">
      <x v="101"/>
    </i>
    <i r="2">
      <x v="22"/>
    </i>
    <i r="2">
      <x v="102"/>
    </i>
    <i r="2">
      <x v="74"/>
    </i>
    <i r="2">
      <x v="117"/>
    </i>
    <i r="2">
      <x v="90"/>
    </i>
    <i r="2">
      <x v="118"/>
    </i>
    <i r="2">
      <x v="53"/>
    </i>
    <i r="2">
      <x v="138"/>
    </i>
    <i r="2">
      <x v="20"/>
    </i>
    <i r="2">
      <x v="139"/>
    </i>
    <i r="2">
      <x v="87"/>
    </i>
    <i r="2">
      <x v="140"/>
    </i>
    <i r="1">
      <x v="8"/>
      <x v="91"/>
    </i>
    <i r="2">
      <x v="101"/>
    </i>
    <i r="2">
      <x v="20"/>
    </i>
    <i r="2">
      <x v="102"/>
    </i>
    <i r="2">
      <x v="53"/>
    </i>
    <i r="2">
      <x v="117"/>
    </i>
    <i r="2">
      <x v="90"/>
    </i>
    <i r="2">
      <x v="118"/>
    </i>
    <i r="2">
      <x v="22"/>
    </i>
    <i r="2">
      <x v="138"/>
    </i>
    <i r="2">
      <x v="3"/>
    </i>
    <i r="2">
      <x v="139"/>
    </i>
    <i r="2">
      <x v="74"/>
    </i>
    <i r="2">
      <x v="140"/>
    </i>
    <i r="1">
      <x v="9"/>
      <x v="91"/>
    </i>
    <i r="2">
      <x v="101"/>
    </i>
    <i r="2">
      <x v="20"/>
    </i>
    <i r="2">
      <x v="102"/>
    </i>
    <i r="2">
      <x v="53"/>
    </i>
    <i r="2">
      <x v="117"/>
    </i>
    <i r="2">
      <x v="90"/>
    </i>
    <i r="2">
      <x v="118"/>
    </i>
    <i r="2">
      <x v="22"/>
    </i>
    <i r="2">
      <x v="138"/>
    </i>
    <i r="2">
      <x v="3"/>
    </i>
    <i r="2">
      <x v="139"/>
    </i>
    <i r="2">
      <x v="74"/>
    </i>
    <i r="2">
      <x v="140"/>
    </i>
    <i r="1">
      <x v="10"/>
      <x v="91"/>
    </i>
    <i r="2">
      <x v="90"/>
    </i>
    <i r="2">
      <x v="118"/>
    </i>
    <i r="1">
      <x v="11"/>
      <x v="91"/>
    </i>
    <i r="2">
      <x v="90"/>
    </i>
    <i r="2">
      <x v="118"/>
    </i>
    <i r="1">
      <x v="12"/>
      <x v="91"/>
    </i>
    <i r="2">
      <x v="90"/>
    </i>
    <i r="2">
      <x v="118"/>
    </i>
    <i r="1">
      <x v="13"/>
      <x v="90"/>
    </i>
    <i r="2">
      <x v="91"/>
    </i>
    <i r="1">
      <x v="14"/>
      <x v="90"/>
    </i>
    <i r="2">
      <x v="91"/>
    </i>
    <i r="1">
      <x v="15"/>
      <x v="90"/>
    </i>
    <i r="2">
      <x v="91"/>
    </i>
    <i r="1">
      <x v="16"/>
      <x v="90"/>
    </i>
    <i r="2">
      <x v="91"/>
    </i>
    <i r="1">
      <x v="17"/>
      <x v="90"/>
    </i>
    <i r="2">
      <x v="91"/>
    </i>
    <i r="1">
      <x v="18"/>
      <x v="90"/>
    </i>
    <i r="2">
      <x v="91"/>
    </i>
    <i r="1">
      <x v="19"/>
      <x v="90"/>
    </i>
    <i r="2">
      <x v="91"/>
    </i>
    <i r="1">
      <x v="20"/>
      <x v="90"/>
    </i>
    <i r="2">
      <x v="91"/>
    </i>
    <i r="1">
      <x v="21"/>
      <x v="90"/>
    </i>
    <i r="2">
      <x v="91"/>
    </i>
    <i r="1">
      <x v="22"/>
      <x v="90"/>
    </i>
    <i r="2">
      <x v="91"/>
    </i>
    <i r="1">
      <x v="23"/>
      <x v="90"/>
    </i>
    <i r="2">
      <x v="91"/>
    </i>
    <i r="1">
      <x v="24"/>
      <x v="90"/>
    </i>
    <i r="2">
      <x v="91"/>
    </i>
    <i r="1">
      <x v="25"/>
      <x v="90"/>
    </i>
    <i r="2">
      <x v="91"/>
    </i>
    <i r="1">
      <x v="26"/>
      <x v="90"/>
    </i>
    <i r="2">
      <x v="91"/>
    </i>
    <i r="1">
      <x v="27"/>
      <x v="90"/>
    </i>
    <i r="2">
      <x v="91"/>
    </i>
    <i r="1">
      <x v="28"/>
      <x v="90"/>
    </i>
    <i r="2">
      <x v="91"/>
    </i>
    <i r="1">
      <x v="29"/>
      <x v="90"/>
    </i>
    <i r="2">
      <x v="91"/>
    </i>
    <i r="1">
      <x v="30"/>
      <x v="90"/>
    </i>
    <i r="2">
      <x v="91"/>
    </i>
    <i r="1">
      <x v="31"/>
      <x v="90"/>
    </i>
    <i r="2">
      <x v="91"/>
    </i>
    <i r="1">
      <x v="32"/>
      <x v="90"/>
    </i>
    <i r="2">
      <x v="91"/>
    </i>
    <i r="1">
      <x v="33"/>
      <x v="90"/>
    </i>
    <i r="2">
      <x v="91"/>
    </i>
    <i>
      <x v="9"/>
      <x/>
      <x v="42"/>
    </i>
    <i r="2">
      <x v="94"/>
    </i>
    <i r="2">
      <x v="13"/>
    </i>
    <i r="2">
      <x v="100"/>
    </i>
    <i r="2">
      <x v="10"/>
    </i>
    <i r="2">
      <x v="111"/>
    </i>
    <i r="2">
      <x v="38"/>
    </i>
    <i r="2">
      <x v="121"/>
    </i>
    <i r="1">
      <x v="1"/>
      <x v="94"/>
    </i>
    <i r="2">
      <x v="10"/>
    </i>
    <i r="2">
      <x v="100"/>
    </i>
    <i r="2">
      <x v="42"/>
    </i>
    <i r="2">
      <x v="111"/>
    </i>
    <i r="2">
      <x v="13"/>
    </i>
    <i r="2">
      <x v="121"/>
    </i>
    <i r="1">
      <x v="2"/>
      <x v="94"/>
    </i>
    <i r="2">
      <x v="10"/>
    </i>
    <i r="2">
      <x v="100"/>
    </i>
    <i r="2">
      <x v="42"/>
    </i>
    <i r="2">
      <x v="111"/>
    </i>
    <i r="2">
      <x v="13"/>
    </i>
    <i r="2">
      <x v="121"/>
    </i>
    <i r="1">
      <x v="3"/>
      <x v="42"/>
    </i>
    <i r="2">
      <x v="94"/>
    </i>
    <i r="2">
      <x v="13"/>
    </i>
    <i r="2">
      <x v="100"/>
    </i>
    <i r="2">
      <x v="10"/>
    </i>
    <i r="2">
      <x v="111"/>
    </i>
    <i>
      <x v="10"/>
      <x/>
      <x v="54"/>
    </i>
    <i r="2">
      <x v="13"/>
    </i>
    <i r="2">
      <x v="71"/>
    </i>
    <i r="2">
      <x v="38"/>
    </i>
    <i r="2">
      <x v="100"/>
    </i>
    <i r="1">
      <x v="1"/>
      <x v="54"/>
    </i>
    <i r="2">
      <x v="13"/>
    </i>
    <i r="2">
      <x v="71"/>
    </i>
    <i r="2">
      <x v="38"/>
    </i>
    <i r="2">
      <x v="100"/>
    </i>
    <i r="1">
      <x v="2"/>
      <x v="54"/>
    </i>
    <i r="2">
      <x v="13"/>
    </i>
    <i r="2">
      <x v="71"/>
    </i>
    <i r="2">
      <x v="38"/>
    </i>
    <i r="2">
      <x v="100"/>
    </i>
    <i r="1">
      <x v="3"/>
      <x v="54"/>
    </i>
    <i r="2">
      <x v="13"/>
    </i>
    <i r="2">
      <x v="71"/>
    </i>
    <i r="2">
      <x v="38"/>
    </i>
    <i r="2">
      <x v="100"/>
    </i>
    <i r="1">
      <x v="4"/>
      <x v="54"/>
    </i>
    <i r="2">
      <x v="13"/>
    </i>
    <i r="2">
      <x v="71"/>
    </i>
    <i r="2">
      <x v="38"/>
    </i>
    <i r="2">
      <x v="100"/>
    </i>
    <i r="1">
      <x v="5"/>
      <x v="54"/>
    </i>
    <i r="2">
      <x v="13"/>
    </i>
    <i r="2">
      <x v="71"/>
    </i>
    <i r="2">
      <x v="38"/>
    </i>
    <i r="2">
      <x v="100"/>
    </i>
    <i r="1">
      <x v="6"/>
      <x v="54"/>
    </i>
    <i r="2">
      <x v="13"/>
    </i>
    <i r="2">
      <x v="71"/>
    </i>
    <i r="2">
      <x v="38"/>
    </i>
    <i r="2">
      <x v="100"/>
    </i>
    <i r="1">
      <x v="7"/>
      <x v="54"/>
    </i>
    <i r="2">
      <x v="13"/>
    </i>
    <i r="2">
      <x v="71"/>
    </i>
    <i r="2">
      <x v="38"/>
    </i>
    <i r="2">
      <x v="100"/>
    </i>
    <i r="1">
      <x v="8"/>
      <x v="38"/>
    </i>
    <i r="2">
      <x v="13"/>
    </i>
    <i r="2">
      <x v="54"/>
    </i>
    <i r="1">
      <x v="9"/>
      <x v="13"/>
    </i>
    <i r="2">
      <x v="54"/>
    </i>
    <i r="1">
      <x v="10"/>
      <x v="13"/>
    </i>
    <i r="2">
      <x v="54"/>
    </i>
    <i r="1">
      <x v="11"/>
      <x v="54"/>
    </i>
    <i r="2">
      <x v="13"/>
    </i>
    <i>
      <x v="11"/>
      <x/>
      <x v="38"/>
    </i>
    <i r="2">
      <x v="42"/>
    </i>
    <i r="2">
      <x v="13"/>
    </i>
    <i r="2">
      <x v="51"/>
    </i>
    <i r="2">
      <x v="10"/>
    </i>
    <i r="2">
      <x v="100"/>
    </i>
    <i r="1">
      <x v="1"/>
      <x v="38"/>
    </i>
    <i r="2">
      <x v="10"/>
    </i>
    <i r="2">
      <x v="42"/>
    </i>
    <i r="2">
      <x v="13"/>
    </i>
    <i r="2">
      <x v="51"/>
    </i>
    <i r="1">
      <x v="2"/>
      <x v="38"/>
    </i>
    <i r="2">
      <x v="10"/>
    </i>
    <i r="2">
      <x v="42"/>
    </i>
    <i r="2">
      <x v="13"/>
    </i>
    <i r="2">
      <x v="51"/>
    </i>
    <i r="1">
      <x v="3"/>
      <x v="38"/>
    </i>
    <i r="2">
      <x v="10"/>
    </i>
    <i r="2">
      <x v="42"/>
    </i>
    <i r="2">
      <x v="13"/>
    </i>
    <i r="2">
      <x v="51"/>
    </i>
    <i r="1">
      <x v="4"/>
      <x v="38"/>
    </i>
    <i r="2">
      <x v="10"/>
    </i>
    <i r="2">
      <x v="42"/>
    </i>
    <i r="2">
      <x v="13"/>
    </i>
    <i r="2">
      <x v="51"/>
    </i>
    <i r="1">
      <x v="5"/>
      <x v="38"/>
    </i>
    <i r="2">
      <x v="51"/>
    </i>
    <i r="1">
      <x v="6"/>
      <x v="38"/>
    </i>
    <i r="2">
      <x v="51"/>
    </i>
    <i r="1">
      <x v="7"/>
      <x v="38"/>
    </i>
    <i r="2">
      <x v="51"/>
    </i>
    <i r="1">
      <x v="8"/>
      <x v="38"/>
    </i>
    <i r="2">
      <x v="51"/>
    </i>
    <i r="1">
      <x v="9"/>
      <x v="38"/>
    </i>
    <i r="2">
      <x v="51"/>
    </i>
    <i r="1">
      <x v="10"/>
      <x v="38"/>
    </i>
    <i r="2">
      <x v="51"/>
    </i>
    <i r="1">
      <x v="11"/>
      <x v="38"/>
    </i>
    <i r="2">
      <x v="51"/>
    </i>
    <i r="1">
      <x v="12"/>
      <x v="51"/>
    </i>
    <i>
      <x v="13"/>
      <x/>
      <x v="83"/>
    </i>
    <i r="2">
      <x v="84"/>
    </i>
    <i r="2">
      <x v="13"/>
    </i>
    <i r="2">
      <x v="89"/>
    </i>
    <i r="2">
      <x v="10"/>
    </i>
    <i r="2">
      <x v="95"/>
    </i>
    <i r="2">
      <x v="38"/>
    </i>
    <i r="2">
      <x v="100"/>
    </i>
    <i r="1">
      <x v="1"/>
      <x v="83"/>
    </i>
    <i r="2">
      <x v="84"/>
    </i>
    <i r="2">
      <x v="13"/>
    </i>
    <i r="2">
      <x v="89"/>
    </i>
    <i r="2">
      <x v="10"/>
    </i>
    <i r="2">
      <x v="95"/>
    </i>
    <i r="2">
      <x v="38"/>
    </i>
    <i r="2">
      <x v="100"/>
    </i>
    <i r="1">
      <x v="2"/>
      <x v="83"/>
    </i>
    <i r="2">
      <x v="84"/>
    </i>
    <i r="2">
      <x v="13"/>
    </i>
    <i r="2">
      <x v="89"/>
    </i>
    <i r="2">
      <x v="10"/>
    </i>
    <i r="2">
      <x v="95"/>
    </i>
    <i r="2">
      <x v="38"/>
    </i>
    <i r="2">
      <x v="100"/>
    </i>
    <i r="1">
      <x v="3"/>
      <x v="83"/>
    </i>
    <i r="2">
      <x v="95"/>
    </i>
    <i r="2">
      <x v="89"/>
    </i>
    <i r="2">
      <x v="84"/>
    </i>
    <i r="2">
      <x v="100"/>
    </i>
    <i r="2">
      <x v="13"/>
    </i>
    <i r="2">
      <x v="10"/>
    </i>
    <i r="2">
      <x v="38"/>
    </i>
    <i>
      <x v="14"/>
      <x/>
      <x v="68"/>
    </i>
    <i r="2">
      <x v="71"/>
    </i>
    <i r="2">
      <x v="10"/>
    </i>
    <i r="2">
      <x v="73"/>
    </i>
    <i r="2">
      <x v="14"/>
    </i>
    <i r="2">
      <x v="76"/>
    </i>
    <i r="2">
      <x v="16"/>
    </i>
    <i r="2">
      <x v="89"/>
    </i>
    <i r="2">
      <x v="45"/>
    </i>
    <i r="2">
      <x v="100"/>
    </i>
    <i r="2">
      <x v="13"/>
    </i>
    <i r="2">
      <x v="112"/>
    </i>
    <i r="2">
      <x v="38"/>
    </i>
    <i r="2">
      <x v="119"/>
    </i>
    <i r="2">
      <x v="15"/>
    </i>
    <i r="2">
      <x v="133"/>
    </i>
    <i r="2">
      <x v="4"/>
    </i>
    <i r="2">
      <x v="136"/>
    </i>
    <i r="1">
      <x v="1"/>
      <x v="68"/>
    </i>
    <i r="2">
      <x v="4"/>
    </i>
    <i r="2">
      <x v="71"/>
    </i>
    <i r="2">
      <x v="13"/>
    </i>
    <i r="2">
      <x v="73"/>
    </i>
    <i r="2">
      <x v="15"/>
    </i>
    <i r="2">
      <x v="76"/>
    </i>
    <i r="2">
      <x v="38"/>
    </i>
    <i r="2">
      <x v="89"/>
    </i>
    <i r="2">
      <x v="10"/>
    </i>
    <i r="2">
      <x v="100"/>
    </i>
    <i r="2">
      <x v="16"/>
    </i>
    <i r="2">
      <x v="112"/>
    </i>
    <i r="2">
      <x v="14"/>
    </i>
    <i r="2">
      <x v="119"/>
    </i>
    <i r="2">
      <x v="45"/>
    </i>
    <i r="2">
      <x v="133"/>
    </i>
    <i r="1">
      <x v="2"/>
      <x v="45"/>
    </i>
    <i r="2">
      <x v="68"/>
    </i>
    <i r="2">
      <x v="10"/>
    </i>
    <i r="2">
      <x v="71"/>
    </i>
    <i r="2">
      <x v="14"/>
    </i>
    <i r="2">
      <x v="73"/>
    </i>
    <i r="2">
      <x v="16"/>
    </i>
    <i r="2">
      <x v="76"/>
    </i>
    <i r="2">
      <x v="4"/>
    </i>
    <i r="2">
      <x v="89"/>
    </i>
    <i r="2">
      <x v="15"/>
    </i>
    <i r="2">
      <x v="100"/>
    </i>
    <i r="2">
      <x v="13"/>
    </i>
    <i r="2">
      <x v="112"/>
    </i>
    <i r="2">
      <x v="38"/>
    </i>
    <i r="2">
      <x v="133"/>
    </i>
    <i r="1">
      <x v="3"/>
      <x v="45"/>
    </i>
    <i r="2">
      <x v="4"/>
    </i>
    <i r="2">
      <x v="68"/>
    </i>
    <i r="2">
      <x v="13"/>
    </i>
    <i r="2">
      <x v="71"/>
    </i>
    <i r="2">
      <x v="15"/>
    </i>
    <i r="2">
      <x v="73"/>
    </i>
    <i r="2">
      <x v="38"/>
    </i>
    <i r="2">
      <x v="89"/>
    </i>
    <i r="2">
      <x v="14"/>
    </i>
    <i r="2">
      <x v="100"/>
    </i>
    <i r="2">
      <x v="10"/>
    </i>
    <i r="2">
      <x v="112"/>
    </i>
    <i r="2">
      <x v="16"/>
    </i>
    <i r="2">
      <x v="133"/>
    </i>
    <i r="1">
      <x v="4"/>
      <x v="38"/>
    </i>
    <i r="2">
      <x v="45"/>
    </i>
    <i r="2">
      <x v="10"/>
    </i>
    <i r="2">
      <x v="68"/>
    </i>
    <i r="2">
      <x v="14"/>
    </i>
    <i r="2">
      <x v="71"/>
    </i>
    <i r="2">
      <x v="16"/>
    </i>
    <i r="2">
      <x v="73"/>
    </i>
    <i r="2">
      <x v="13"/>
    </i>
    <i r="2">
      <x v="89"/>
    </i>
    <i r="2">
      <x v="4"/>
    </i>
    <i r="2">
      <x v="100"/>
    </i>
    <i r="2">
      <x v="15"/>
    </i>
    <i r="2">
      <x v="112"/>
    </i>
    <i r="1">
      <x v="5"/>
      <x v="38"/>
    </i>
    <i r="2">
      <x v="45"/>
    </i>
    <i r="2">
      <x v="10"/>
    </i>
    <i r="2">
      <x v="68"/>
    </i>
    <i r="2">
      <x v="14"/>
    </i>
    <i r="2">
      <x v="71"/>
    </i>
    <i r="2">
      <x v="16"/>
    </i>
    <i r="2">
      <x v="73"/>
    </i>
    <i r="2">
      <x v="13"/>
    </i>
    <i r="2">
      <x v="89"/>
    </i>
    <i r="2">
      <x v="4"/>
    </i>
    <i r="2">
      <x v="100"/>
    </i>
    <i r="2">
      <x v="15"/>
    </i>
    <i r="2">
      <x v="112"/>
    </i>
    <i>
      <x v="15"/>
      <x/>
      <x v="13"/>
    </i>
    <i r="2">
      <x v="38"/>
    </i>
    <i r="2">
      <x v="7"/>
    </i>
    <i r="2">
      <x v="42"/>
    </i>
    <i r="2">
      <x v="5"/>
    </i>
    <i r="2">
      <x v="100"/>
    </i>
    <i r="2">
      <x v="10"/>
    </i>
    <i r="2">
      <x v="124"/>
    </i>
    <i r="1">
      <x v="1"/>
      <x v="38"/>
    </i>
    <i r="2">
      <x v="5"/>
    </i>
    <i r="2">
      <x v="42"/>
    </i>
    <i r="2">
      <x v="10"/>
    </i>
    <i r="2">
      <x v="45"/>
    </i>
    <i r="2">
      <x v="7"/>
    </i>
    <i r="2">
      <x v="100"/>
    </i>
    <i r="2">
      <x v="13"/>
    </i>
    <i r="2">
      <x v="124"/>
    </i>
    <i r="1">
      <x v="2"/>
      <x v="38"/>
    </i>
    <i r="2">
      <x v="5"/>
    </i>
    <i r="2">
      <x v="42"/>
    </i>
    <i r="2">
      <x v="10"/>
    </i>
    <i r="2">
      <x v="45"/>
    </i>
    <i r="2">
      <x v="7"/>
    </i>
    <i r="2">
      <x v="100"/>
    </i>
    <i r="2">
      <x v="13"/>
    </i>
    <i r="2">
      <x v="124"/>
    </i>
    <i r="1">
      <x v="3"/>
      <x v="38"/>
    </i>
    <i r="2">
      <x v="5"/>
    </i>
    <i r="2">
      <x v="42"/>
    </i>
    <i r="2">
      <x v="10"/>
    </i>
    <i r="2">
      <x v="45"/>
    </i>
    <i r="2">
      <x v="7"/>
    </i>
    <i r="2">
      <x v="100"/>
    </i>
    <i r="2">
      <x v="13"/>
    </i>
    <i r="2">
      <x v="124"/>
    </i>
    <i r="1">
      <x v="4"/>
      <x v="38"/>
    </i>
    <i r="2">
      <x v="5"/>
    </i>
    <i r="2">
      <x v="42"/>
    </i>
    <i r="2">
      <x v="10"/>
    </i>
    <i r="2">
      <x v="45"/>
    </i>
    <i r="2">
      <x v="7"/>
    </i>
    <i r="2">
      <x v="100"/>
    </i>
    <i r="2">
      <x v="13"/>
    </i>
    <i r="2">
      <x v="124"/>
    </i>
    <i r="1">
      <x v="5"/>
      <x v="38"/>
    </i>
    <i r="2">
      <x v="5"/>
    </i>
    <i r="2">
      <x v="42"/>
    </i>
    <i r="2">
      <x v="10"/>
    </i>
    <i r="2">
      <x v="45"/>
    </i>
    <i r="2">
      <x v="7"/>
    </i>
    <i r="2">
      <x v="100"/>
    </i>
    <i r="2">
      <x v="13"/>
    </i>
    <i r="2">
      <x v="124"/>
    </i>
    <i r="1">
      <x v="6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7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8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9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10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11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12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13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14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15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16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17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18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19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20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>
      <x v="16"/>
      <x/>
      <x v="38"/>
    </i>
    <i r="1">
      <x v="1"/>
      <x v="38"/>
    </i>
    <i r="1">
      <x v="2"/>
      <x v="38"/>
    </i>
    <i r="1">
      <x v="3"/>
      <x v="38"/>
    </i>
    <i r="1">
      <x v="4"/>
      <x v="38"/>
    </i>
    <i r="1">
      <x v="5"/>
      <x v="38"/>
    </i>
    <i r="1">
      <x v="6"/>
      <x v="38"/>
    </i>
    <i r="1">
      <x v="7"/>
      <x v="38"/>
    </i>
    <i>
      <x v="17"/>
      <x/>
      <x v="38"/>
    </i>
    <i r="2">
      <x v="123"/>
    </i>
    <i r="1">
      <x v="1"/>
      <x v="38"/>
    </i>
    <i r="2">
      <x v="123"/>
    </i>
    <i r="1">
      <x v="2"/>
      <x v="38"/>
    </i>
    <i r="1">
      <x v="3"/>
      <x v="38"/>
    </i>
    <i r="1">
      <x v="4"/>
      <x v="38"/>
    </i>
    <i>
      <x v="18"/>
      <x/>
      <x v="38"/>
    </i>
    <i r="2">
      <x v="3"/>
    </i>
    <i r="2">
      <x v="42"/>
    </i>
    <i r="2">
      <x v="23"/>
    </i>
    <i r="2">
      <x v="77"/>
    </i>
    <i>
      <x v="19"/>
      <x/>
      <x v="38"/>
    </i>
    <i r="1">
      <x v="1"/>
      <x v="38"/>
    </i>
    <i r="1">
      <x v="2"/>
      <x v="38"/>
    </i>
    <i r="1">
      <x v="3"/>
      <x v="38"/>
    </i>
    <i r="1">
      <x v="4"/>
      <x v="38"/>
    </i>
    <i r="1">
      <x v="5"/>
      <x v="38"/>
    </i>
    <i r="1">
      <x v="6"/>
      <x v="38"/>
    </i>
    <i r="1">
      <x v="7"/>
      <x v="38"/>
    </i>
    <i r="1">
      <x v="8"/>
      <x v="38"/>
    </i>
    <i>
      <x v="20"/>
      <x/>
      <x v="13"/>
    </i>
    <i r="2">
      <x v="38"/>
    </i>
    <i r="2">
      <x v="10"/>
    </i>
    <i r="2">
      <x v="86"/>
    </i>
    <i r="1">
      <x v="1"/>
      <x v="13"/>
    </i>
    <i r="2">
      <x v="38"/>
    </i>
    <i r="2">
      <x v="10"/>
    </i>
    <i r="2">
      <x v="86"/>
    </i>
    <i r="1">
      <x v="2"/>
      <x v="13"/>
    </i>
    <i r="2">
      <x v="38"/>
    </i>
    <i r="2">
      <x v="10"/>
    </i>
    <i r="2">
      <x v="86"/>
    </i>
    <i r="1">
      <x v="3"/>
      <x v="13"/>
    </i>
    <i r="2">
      <x v="38"/>
    </i>
    <i r="2">
      <x v="10"/>
    </i>
    <i r="2">
      <x v="86"/>
    </i>
    <i r="1">
      <x v="4"/>
      <x v="13"/>
    </i>
    <i r="2">
      <x v="38"/>
    </i>
    <i r="2">
      <x v="10"/>
    </i>
    <i r="2">
      <x v="86"/>
    </i>
    <i r="1">
      <x v="5"/>
      <x v="13"/>
    </i>
    <i r="2">
      <x v="38"/>
    </i>
    <i r="2">
      <x v="10"/>
    </i>
    <i r="2">
      <x v="86"/>
    </i>
    <i r="1">
      <x v="6"/>
      <x v="13"/>
    </i>
    <i r="2">
      <x v="38"/>
    </i>
    <i r="2">
      <x v="10"/>
    </i>
    <i r="2">
      <x v="86"/>
    </i>
    <i r="1">
      <x v="7"/>
      <x v="13"/>
    </i>
    <i r="2">
      <x v="38"/>
    </i>
    <i r="2">
      <x v="10"/>
    </i>
    <i r="2">
      <x v="86"/>
    </i>
    <i r="1">
      <x v="8"/>
      <x v="13"/>
    </i>
    <i r="2">
      <x v="38"/>
    </i>
    <i r="2">
      <x v="10"/>
    </i>
    <i r="2">
      <x v="86"/>
    </i>
    <i r="1">
      <x v="9"/>
      <x v="13"/>
    </i>
    <i r="2">
      <x v="38"/>
    </i>
    <i r="2">
      <x v="10"/>
    </i>
    <i r="2">
      <x v="86"/>
    </i>
    <i r="1">
      <x v="10"/>
      <x v="13"/>
    </i>
    <i r="2">
      <x v="38"/>
    </i>
    <i r="2">
      <x v="10"/>
    </i>
    <i r="2">
      <x v="86"/>
    </i>
    <i r="1">
      <x v="11"/>
      <x v="13"/>
    </i>
    <i r="2">
      <x v="38"/>
    </i>
    <i r="2">
      <x v="10"/>
    </i>
    <i r="2">
      <x v="86"/>
    </i>
    <i>
      <x v="21"/>
      <x/>
      <x v="24"/>
    </i>
    <i r="2">
      <x v="38"/>
    </i>
    <i r="2">
      <x v="18"/>
    </i>
    <i r="2">
      <x v="67"/>
    </i>
    <i r="2">
      <x v="10"/>
    </i>
    <i r="2">
      <x v="100"/>
    </i>
    <i>
      <x v="22"/>
      <x v="3"/>
      <x v="58"/>
    </i>
    <i r="2">
      <x v="1"/>
    </i>
    <i r="2">
      <x v="59"/>
    </i>
    <i r="2">
      <x v="10"/>
    </i>
    <i r="2">
      <x v="60"/>
    </i>
    <i r="2">
      <x v="21"/>
    </i>
    <i r="2">
      <x v="109"/>
    </i>
    <i r="2">
      <x v="3"/>
    </i>
    <i r="2">
      <x v="122"/>
    </i>
    <i r="2">
      <x v="38"/>
    </i>
    <i r="2">
      <x v="126"/>
    </i>
    <i r="2">
      <x v="12"/>
    </i>
    <i r="2">
      <x v="127"/>
    </i>
    <i r="1">
      <x v="4"/>
      <x v="58"/>
    </i>
    <i r="2">
      <x v="1"/>
    </i>
    <i r="2">
      <x v="59"/>
    </i>
    <i r="2">
      <x v="10"/>
    </i>
    <i r="2">
      <x v="60"/>
    </i>
    <i r="2">
      <x v="21"/>
    </i>
    <i r="2">
      <x v="109"/>
    </i>
    <i r="2">
      <x v="3"/>
    </i>
    <i r="2">
      <x v="122"/>
    </i>
    <i r="2">
      <x v="38"/>
    </i>
    <i r="2">
      <x v="126"/>
    </i>
    <i r="2">
      <x v="12"/>
    </i>
    <i r="2">
      <x v="127"/>
    </i>
    <i r="1">
      <x v="5"/>
      <x v="58"/>
    </i>
    <i r="2">
      <x v="1"/>
    </i>
    <i r="2">
      <x v="59"/>
    </i>
    <i r="2">
      <x v="10"/>
    </i>
    <i r="2">
      <x v="60"/>
    </i>
    <i r="2">
      <x v="21"/>
    </i>
    <i r="2">
      <x v="109"/>
    </i>
    <i r="2">
      <x v="3"/>
    </i>
    <i r="2">
      <x v="122"/>
    </i>
    <i r="2">
      <x v="38"/>
    </i>
    <i r="2">
      <x v="126"/>
    </i>
    <i r="2">
      <x v="12"/>
    </i>
    <i r="2">
      <x v="127"/>
    </i>
    <i r="1">
      <x v="6"/>
      <x v="58"/>
    </i>
    <i r="2">
      <x v="1"/>
    </i>
    <i r="2">
      <x v="59"/>
    </i>
    <i r="2">
      <x v="10"/>
    </i>
    <i r="2">
      <x v="60"/>
    </i>
    <i r="2">
      <x v="21"/>
    </i>
    <i r="2">
      <x v="109"/>
    </i>
    <i r="2">
      <x v="3"/>
    </i>
    <i r="2">
      <x v="122"/>
    </i>
    <i r="2">
      <x v="38"/>
    </i>
    <i r="2">
      <x v="126"/>
    </i>
    <i r="2">
      <x v="12"/>
    </i>
    <i r="2">
      <x v="127"/>
    </i>
    <i r="1">
      <x v="7"/>
      <x v="58"/>
    </i>
    <i r="2">
      <x v="1"/>
    </i>
    <i r="2">
      <x v="59"/>
    </i>
    <i r="2">
      <x v="10"/>
    </i>
    <i r="2">
      <x v="60"/>
    </i>
    <i r="2">
      <x v="21"/>
    </i>
    <i r="2">
      <x v="109"/>
    </i>
    <i r="2">
      <x v="3"/>
    </i>
    <i r="2">
      <x v="122"/>
    </i>
    <i r="2">
      <x v="38"/>
    </i>
    <i r="2">
      <x v="126"/>
    </i>
    <i r="2">
      <x v="12"/>
    </i>
    <i r="2">
      <x v="127"/>
    </i>
    <i r="1">
      <x v="8"/>
      <x v="58"/>
    </i>
    <i r="2">
      <x v="1"/>
    </i>
    <i r="2">
      <x v="59"/>
    </i>
    <i r="2">
      <x v="10"/>
    </i>
    <i r="2">
      <x v="60"/>
    </i>
    <i r="2">
      <x v="21"/>
    </i>
    <i r="2">
      <x v="109"/>
    </i>
    <i r="2">
      <x v="3"/>
    </i>
    <i r="2">
      <x v="122"/>
    </i>
    <i r="2">
      <x v="38"/>
    </i>
    <i r="2">
      <x v="126"/>
    </i>
    <i r="2">
      <x v="12"/>
    </i>
    <i r="2">
      <x v="127"/>
    </i>
    <i r="1">
      <x v="9"/>
      <x v="58"/>
    </i>
    <i r="2">
      <x v="1"/>
    </i>
    <i r="2">
      <x v="59"/>
    </i>
    <i r="2">
      <x v="10"/>
    </i>
    <i r="2">
      <x v="60"/>
    </i>
    <i r="2">
      <x v="21"/>
    </i>
    <i r="2">
      <x v="109"/>
    </i>
    <i r="2">
      <x v="3"/>
    </i>
    <i r="2">
      <x v="122"/>
    </i>
    <i r="2">
      <x v="38"/>
    </i>
    <i r="2">
      <x v="126"/>
    </i>
    <i r="2">
      <x v="12"/>
    </i>
    <i r="2">
      <x v="127"/>
    </i>
    <i r="1">
      <x v="10"/>
      <x v="58"/>
    </i>
    <i r="2">
      <x v="1"/>
    </i>
    <i r="2">
      <x v="59"/>
    </i>
    <i r="2">
      <x v="10"/>
    </i>
    <i r="2">
      <x v="60"/>
    </i>
    <i r="2">
      <x v="21"/>
    </i>
    <i r="2">
      <x v="109"/>
    </i>
    <i r="2">
      <x v="3"/>
    </i>
    <i r="2">
      <x v="122"/>
    </i>
    <i r="2">
      <x v="38"/>
    </i>
    <i r="2">
      <x v="126"/>
    </i>
    <i r="2">
      <x v="12"/>
    </i>
    <i r="2">
      <x v="127"/>
    </i>
    <i r="1">
      <x v="11"/>
      <x v="58"/>
    </i>
    <i r="2">
      <x v="1"/>
    </i>
    <i r="2">
      <x v="59"/>
    </i>
    <i r="2">
      <x v="10"/>
    </i>
    <i r="2">
      <x v="60"/>
    </i>
    <i r="2">
      <x v="21"/>
    </i>
    <i r="2">
      <x v="109"/>
    </i>
    <i r="2">
      <x v="3"/>
    </i>
    <i r="2">
      <x v="122"/>
    </i>
    <i r="2">
      <x v="38"/>
    </i>
    <i r="2">
      <x v="126"/>
    </i>
    <i r="2">
      <x v="12"/>
    </i>
    <i r="2">
      <x v="127"/>
    </i>
    <i r="1">
      <x v="12"/>
      <x v="38"/>
    </i>
    <i r="2">
      <x v="58"/>
    </i>
    <i r="2">
      <x v="3"/>
    </i>
    <i r="2">
      <x v="59"/>
    </i>
    <i r="2">
      <x v="12"/>
    </i>
    <i r="2">
      <x v="109"/>
    </i>
    <i r="2">
      <x v="1"/>
    </i>
    <i r="2">
      <x v="122"/>
    </i>
    <i r="2">
      <x v="21"/>
    </i>
    <i r="2">
      <x v="126"/>
    </i>
    <i r="2">
      <x v="10"/>
    </i>
    <i r="2">
      <x v="127"/>
    </i>
    <i r="1">
      <x v="13"/>
      <x v="38"/>
    </i>
    <i r="2">
      <x v="58"/>
    </i>
    <i r="2">
      <x v="3"/>
    </i>
    <i r="2">
      <x v="59"/>
    </i>
    <i r="2">
      <x v="12"/>
    </i>
    <i r="2">
      <x v="109"/>
    </i>
    <i r="2">
      <x v="1"/>
    </i>
    <i r="2">
      <x v="122"/>
    </i>
    <i r="2">
      <x v="21"/>
    </i>
    <i r="2">
      <x v="126"/>
    </i>
    <i r="2">
      <x v="10"/>
    </i>
    <i r="2">
      <x v="127"/>
    </i>
    <i r="1">
      <x v="14"/>
      <x v="38"/>
    </i>
    <i r="2">
      <x v="58"/>
    </i>
    <i r="2">
      <x v="3"/>
    </i>
    <i r="2">
      <x v="59"/>
    </i>
    <i r="2">
      <x v="12"/>
    </i>
    <i r="2">
      <x v="109"/>
    </i>
    <i r="2">
      <x v="1"/>
    </i>
    <i r="2">
      <x v="122"/>
    </i>
    <i r="2">
      <x v="21"/>
    </i>
    <i r="2">
      <x v="126"/>
    </i>
    <i r="2">
      <x v="10"/>
    </i>
    <i r="2">
      <x v="127"/>
    </i>
    <i r="1">
      <x v="15"/>
      <x v="38"/>
    </i>
    <i r="2">
      <x v="58"/>
    </i>
    <i r="2">
      <x v="3"/>
    </i>
    <i r="2">
      <x v="59"/>
    </i>
    <i r="2">
      <x v="12"/>
    </i>
    <i r="2">
      <x v="109"/>
    </i>
    <i r="2">
      <x v="1"/>
    </i>
    <i r="2">
      <x v="122"/>
    </i>
    <i r="2">
      <x v="21"/>
    </i>
    <i r="2">
      <x v="126"/>
    </i>
    <i r="2">
      <x v="10"/>
    </i>
    <i r="2">
      <x v="127"/>
    </i>
    <i>
      <x v="23"/>
      <x/>
      <x v="38"/>
    </i>
    <i r="1">
      <x v="1"/>
      <x v="38"/>
    </i>
    <i r="1">
      <x v="2"/>
      <x v="38"/>
    </i>
    <i r="1">
      <x v="3"/>
      <x v="38"/>
    </i>
    <i r="1">
      <x v="4"/>
      <x v="38"/>
    </i>
    <i r="1">
      <x v="5"/>
      <x v="38"/>
    </i>
    <i r="1">
      <x v="6"/>
      <x v="38"/>
    </i>
    <i r="1">
      <x v="7"/>
      <x v="38"/>
    </i>
    <i r="1">
      <x v="8"/>
      <x v="38"/>
    </i>
    <i r="1">
      <x v="9"/>
      <x v="38"/>
    </i>
    <i r="1">
      <x v="10"/>
      <x v="38"/>
    </i>
    <i r="1">
      <x v="11"/>
      <x v="38"/>
    </i>
    <i>
      <x v="24"/>
      <x/>
      <x v="42"/>
    </i>
    <i r="2">
      <x v="100"/>
    </i>
    <i r="2">
      <x v="38"/>
    </i>
    <i r="2">
      <x v="121"/>
    </i>
    <i r="2">
      <x v="13"/>
    </i>
    <i r="2">
      <x v="123"/>
    </i>
    <i r="1">
      <x v="1"/>
      <x v="42"/>
    </i>
    <i r="2">
      <x v="100"/>
    </i>
    <i r="2">
      <x v="38"/>
    </i>
    <i r="2">
      <x v="121"/>
    </i>
    <i r="2">
      <x v="13"/>
    </i>
    <i r="2">
      <x v="123"/>
    </i>
    <i r="1">
      <x v="2"/>
      <x v="42"/>
    </i>
    <i r="2">
      <x v="100"/>
    </i>
    <i r="2">
      <x v="38"/>
    </i>
    <i r="2">
      <x v="121"/>
    </i>
    <i r="2">
      <x v="13"/>
    </i>
    <i r="2">
      <x v="123"/>
    </i>
    <i r="1">
      <x v="3"/>
      <x v="42"/>
    </i>
    <i r="2">
      <x v="100"/>
    </i>
    <i r="2">
      <x v="38"/>
    </i>
    <i r="2">
      <x v="121"/>
    </i>
    <i r="2">
      <x v="13"/>
    </i>
    <i r="2">
      <x v="123"/>
    </i>
    <i r="1">
      <x v="4"/>
      <x v="42"/>
    </i>
    <i r="2">
      <x v="100"/>
    </i>
    <i r="2">
      <x v="38"/>
    </i>
    <i r="2">
      <x v="121"/>
    </i>
    <i r="2">
      <x v="13"/>
    </i>
    <i r="2">
      <x v="123"/>
    </i>
    <i r="1">
      <x v="5"/>
      <x v="42"/>
    </i>
    <i r="2">
      <x v="100"/>
    </i>
    <i r="2">
      <x v="38"/>
    </i>
    <i r="2">
      <x v="121"/>
    </i>
    <i r="2">
      <x v="13"/>
    </i>
    <i r="2">
      <x v="123"/>
    </i>
    <i r="1">
      <x v="6"/>
      <x v="42"/>
    </i>
    <i r="2">
      <x v="100"/>
    </i>
    <i r="2">
      <x v="38"/>
    </i>
    <i r="2">
      <x v="121"/>
    </i>
    <i r="2">
      <x v="13"/>
    </i>
    <i r="2">
      <x v="123"/>
    </i>
    <i r="1">
      <x v="7"/>
      <x v="38"/>
    </i>
    <i r="2">
      <x v="100"/>
    </i>
    <i r="2">
      <x v="13"/>
    </i>
    <i r="2">
      <x v="123"/>
    </i>
    <i r="1">
      <x v="8"/>
      <x v="38"/>
    </i>
    <i r="2">
      <x v="123"/>
    </i>
    <i r="1">
      <x v="9"/>
      <x v="38"/>
    </i>
    <i r="2">
      <x v="123"/>
    </i>
    <i r="1">
      <x v="10"/>
      <x v="38"/>
    </i>
    <i r="2">
      <x v="123"/>
    </i>
    <i r="1">
      <x v="11"/>
      <x v="38"/>
    </i>
    <i r="2">
      <x v="123"/>
    </i>
    <i r="1">
      <x v="12"/>
      <x v="38"/>
    </i>
    <i r="1">
      <x v="13"/>
      <x v="38"/>
    </i>
    <i>
      <x v="25"/>
      <x/>
      <x v="38"/>
    </i>
    <i r="1">
      <x v="1"/>
      <x v="38"/>
    </i>
    <i r="1">
      <x v="2"/>
      <x v="38"/>
    </i>
    <i>
      <x v="26"/>
      <x/>
      <x v="38"/>
    </i>
    <i r="1">
      <x v="1"/>
      <x v="38"/>
    </i>
    <i r="1">
      <x v="2"/>
      <x v="38"/>
    </i>
    <i r="1">
      <x v="3"/>
      <x v="38"/>
    </i>
    <i r="1">
      <x v="4"/>
      <x v="38"/>
    </i>
    <i>
      <x v="27"/>
      <x/>
      <x v="38"/>
    </i>
    <i r="1">
      <x v="1"/>
      <x v="38"/>
    </i>
    <i r="1">
      <x v="2"/>
      <x v="38"/>
    </i>
    <i r="1">
      <x v="3"/>
      <x v="38"/>
    </i>
    <i r="1">
      <x v="4"/>
      <x v="38"/>
    </i>
    <i>
      <x v="28"/>
      <x/>
      <x v="38"/>
    </i>
    <i r="2">
      <x v="10"/>
    </i>
    <i r="2">
      <x v="42"/>
    </i>
    <i r="2">
      <x v="36"/>
    </i>
    <i r="2">
      <x v="84"/>
    </i>
    <i r="2">
      <x v="13"/>
    </i>
    <i r="2">
      <x v="100"/>
    </i>
    <i r="1">
      <x v="1"/>
      <x v="38"/>
    </i>
    <i r="2">
      <x v="10"/>
    </i>
    <i r="2">
      <x v="42"/>
    </i>
    <i r="2">
      <x v="36"/>
    </i>
    <i r="2">
      <x v="84"/>
    </i>
    <i r="2">
      <x v="13"/>
    </i>
    <i r="2">
      <x v="100"/>
    </i>
    <i r="1">
      <x v="2"/>
      <x v="38"/>
    </i>
    <i r="2">
      <x v="10"/>
    </i>
    <i r="2">
      <x v="42"/>
    </i>
    <i r="2">
      <x v="36"/>
    </i>
    <i r="2">
      <x v="84"/>
    </i>
    <i r="2">
      <x v="13"/>
    </i>
    <i r="2">
      <x v="100"/>
    </i>
    <i r="1">
      <x v="3"/>
      <x v="38"/>
    </i>
    <i r="2">
      <x v="10"/>
    </i>
    <i r="2">
      <x v="42"/>
    </i>
    <i r="2">
      <x v="36"/>
    </i>
    <i r="2">
      <x v="84"/>
    </i>
    <i r="2">
      <x v="13"/>
    </i>
    <i r="2">
      <x v="100"/>
    </i>
    <i r="1">
      <x v="4"/>
      <x v="38"/>
    </i>
    <i r="2">
      <x v="10"/>
    </i>
    <i r="2">
      <x v="42"/>
    </i>
    <i r="2">
      <x v="36"/>
    </i>
    <i r="2">
      <x v="84"/>
    </i>
    <i r="2">
      <x v="13"/>
    </i>
    <i r="2">
      <x v="100"/>
    </i>
    <i r="1">
      <x v="5"/>
      <x v="38"/>
    </i>
    <i r="2">
      <x v="10"/>
    </i>
    <i r="2">
      <x v="42"/>
    </i>
    <i r="2">
      <x v="36"/>
    </i>
    <i r="2">
      <x v="84"/>
    </i>
    <i r="2">
      <x v="13"/>
    </i>
    <i r="2">
      <x v="100"/>
    </i>
    <i r="1">
      <x v="6"/>
      <x v="38"/>
    </i>
    <i r="2">
      <x v="42"/>
    </i>
    <i r="2">
      <x v="13"/>
    </i>
    <i r="2">
      <x v="84"/>
    </i>
    <i r="2">
      <x v="10"/>
    </i>
    <i r="2">
      <x v="100"/>
    </i>
    <i r="1">
      <x v="7"/>
      <x v="38"/>
    </i>
    <i r="2">
      <x v="42"/>
    </i>
    <i r="2">
      <x v="13"/>
    </i>
    <i r="2">
      <x v="84"/>
    </i>
    <i r="2">
      <x v="10"/>
    </i>
    <i r="2">
      <x v="100"/>
    </i>
    <i r="1">
      <x v="8"/>
      <x v="38"/>
    </i>
    <i r="2">
      <x v="10"/>
    </i>
    <i r="2">
      <x v="42"/>
    </i>
    <i r="2">
      <x v="13"/>
    </i>
    <i r="2">
      <x v="100"/>
    </i>
    <i r="1">
      <x v="9"/>
      <x v="38"/>
    </i>
    <i r="2">
      <x v="10"/>
    </i>
    <i r="2">
      <x v="42"/>
    </i>
    <i r="2">
      <x v="13"/>
    </i>
    <i r="2">
      <x v="100"/>
    </i>
    <i r="1">
      <x v="10"/>
      <x v="38"/>
    </i>
    <i r="2">
      <x v="10"/>
    </i>
    <i r="2">
      <x v="42"/>
    </i>
    <i r="2">
      <x v="13"/>
    </i>
    <i r="2">
      <x v="100"/>
    </i>
    <i r="1">
      <x v="11"/>
      <x v="13"/>
    </i>
    <i r="2">
      <x v="38"/>
    </i>
    <i r="2">
      <x v="10"/>
    </i>
    <i r="2">
      <x v="100"/>
    </i>
    <i>
      <x v="29"/>
      <x/>
      <x v="38"/>
    </i>
    <i r="1">
      <x v="1"/>
      <x v="38"/>
    </i>
    <i r="1">
      <x v="2"/>
      <x v="38"/>
    </i>
    <i r="1">
      <x v="3"/>
      <x v="38"/>
    </i>
    <i r="1">
      <x v="4"/>
      <x v="38"/>
    </i>
    <i r="1">
      <x v="5"/>
      <x v="38"/>
    </i>
    <i>
      <x v="30"/>
      <x/>
      <x v="38"/>
    </i>
    <i r="1">
      <x v="1"/>
      <x v="38"/>
    </i>
    <i r="1">
      <x v="2"/>
      <x v="38"/>
    </i>
    <i>
      <x v="31"/>
      <x/>
      <x v="38"/>
    </i>
    <i r="2">
      <x v="57"/>
    </i>
    <i r="2">
      <x v="10"/>
    </i>
    <i r="2">
      <x v="78"/>
    </i>
    <i r="2">
      <x v="13"/>
    </i>
    <i r="2">
      <x v="100"/>
    </i>
    <i r="2">
      <x v="12"/>
    </i>
    <i r="2">
      <x v="113"/>
    </i>
    <i r="2">
      <x v="3"/>
    </i>
    <i r="2">
      <x v="141"/>
    </i>
    <i r="1">
      <x v="1"/>
      <x v="38"/>
    </i>
    <i r="2">
      <x v="57"/>
    </i>
    <i r="2">
      <x v="10"/>
    </i>
    <i r="2">
      <x v="78"/>
    </i>
    <i r="2">
      <x v="13"/>
    </i>
    <i r="2">
      <x v="100"/>
    </i>
    <i r="2">
      <x v="12"/>
    </i>
    <i r="2">
      <x v="113"/>
    </i>
    <i r="2">
      <x v="3"/>
    </i>
    <i r="2">
      <x v="141"/>
    </i>
    <i r="1">
      <x v="2"/>
      <x v="38"/>
    </i>
    <i r="2">
      <x v="57"/>
    </i>
    <i r="2">
      <x v="10"/>
    </i>
    <i r="2">
      <x v="78"/>
    </i>
    <i r="2">
      <x v="13"/>
    </i>
    <i r="2">
      <x v="100"/>
    </i>
    <i r="2">
      <x v="12"/>
    </i>
    <i r="2">
      <x v="113"/>
    </i>
    <i r="2">
      <x v="3"/>
    </i>
    <i r="2">
      <x v="141"/>
    </i>
    <i r="1">
      <x v="3"/>
      <x v="38"/>
    </i>
    <i r="2">
      <x v="57"/>
    </i>
    <i r="2">
      <x v="10"/>
    </i>
    <i r="2">
      <x v="78"/>
    </i>
    <i r="2">
      <x v="13"/>
    </i>
    <i r="2">
      <x v="100"/>
    </i>
    <i r="2">
      <x v="12"/>
    </i>
    <i r="2">
      <x v="113"/>
    </i>
    <i r="2">
      <x v="3"/>
    </i>
    <i r="2">
      <x v="141"/>
    </i>
    <i r="1">
      <x v="4"/>
      <x v="38"/>
    </i>
    <i r="2">
      <x v="57"/>
    </i>
    <i r="2">
      <x v="10"/>
    </i>
    <i r="2">
      <x v="78"/>
    </i>
    <i r="2">
      <x v="13"/>
    </i>
    <i r="2">
      <x v="100"/>
    </i>
    <i r="2">
      <x v="12"/>
    </i>
    <i r="2">
      <x v="113"/>
    </i>
    <i r="2">
      <x v="3"/>
    </i>
    <i r="2">
      <x v="141"/>
    </i>
    <i r="1">
      <x v="5"/>
      <x v="38"/>
    </i>
    <i r="2">
      <x v="57"/>
    </i>
    <i r="2">
      <x v="10"/>
    </i>
    <i r="2">
      <x v="78"/>
    </i>
    <i r="2">
      <x v="13"/>
    </i>
    <i r="2">
      <x v="100"/>
    </i>
    <i r="2">
      <x v="12"/>
    </i>
    <i r="2">
      <x v="113"/>
    </i>
    <i r="2">
      <x v="3"/>
    </i>
    <i r="2">
      <x v="141"/>
    </i>
    <i r="1">
      <x v="6"/>
      <x v="38"/>
    </i>
    <i r="2">
      <x v="57"/>
    </i>
    <i r="2">
      <x v="10"/>
    </i>
    <i r="2">
      <x v="78"/>
    </i>
    <i r="2">
      <x v="13"/>
    </i>
    <i r="2">
      <x v="100"/>
    </i>
    <i r="2">
      <x v="12"/>
    </i>
    <i r="2">
      <x v="113"/>
    </i>
    <i r="2">
      <x v="3"/>
    </i>
    <i r="2">
      <x v="141"/>
    </i>
    <i r="1">
      <x v="7"/>
      <x v="38"/>
    </i>
    <i r="2">
      <x v="57"/>
    </i>
    <i r="2">
      <x v="10"/>
    </i>
    <i r="2">
      <x v="78"/>
    </i>
    <i r="2">
      <x v="13"/>
    </i>
    <i r="2">
      <x v="100"/>
    </i>
    <i r="2">
      <x v="12"/>
    </i>
    <i r="2">
      <x v="113"/>
    </i>
    <i r="2">
      <x v="3"/>
    </i>
    <i r="2">
      <x v="141"/>
    </i>
    <i r="1">
      <x v="8"/>
      <x v="38"/>
    </i>
    <i r="2">
      <x v="57"/>
    </i>
    <i r="2">
      <x v="10"/>
    </i>
    <i r="2">
      <x v="78"/>
    </i>
    <i r="2">
      <x v="13"/>
    </i>
    <i r="2">
      <x v="100"/>
    </i>
    <i r="2">
      <x v="12"/>
    </i>
    <i r="2">
      <x v="113"/>
    </i>
    <i r="2">
      <x v="3"/>
    </i>
    <i r="2">
      <x v="141"/>
    </i>
    <i r="1">
      <x v="9"/>
      <x v="38"/>
    </i>
    <i r="2">
      <x v="57"/>
    </i>
    <i r="2">
      <x v="10"/>
    </i>
    <i r="2">
      <x v="78"/>
    </i>
    <i r="2">
      <x v="13"/>
    </i>
    <i r="2">
      <x v="100"/>
    </i>
    <i r="2">
      <x v="12"/>
    </i>
    <i r="2">
      <x v="113"/>
    </i>
    <i r="2">
      <x v="3"/>
    </i>
    <i r="2">
      <x v="141"/>
    </i>
    <i r="1">
      <x v="10"/>
      <x v="38"/>
    </i>
    <i r="2">
      <x v="57"/>
    </i>
    <i r="2">
      <x v="10"/>
    </i>
    <i r="2">
      <x v="78"/>
    </i>
    <i r="2">
      <x v="13"/>
    </i>
    <i r="2">
      <x v="100"/>
    </i>
    <i r="2">
      <x v="12"/>
    </i>
    <i r="2">
      <x v="113"/>
    </i>
    <i r="2">
      <x v="3"/>
    </i>
    <i r="2">
      <x v="141"/>
    </i>
    <i r="1">
      <x v="11"/>
      <x v="38"/>
    </i>
    <i r="2">
      <x v="57"/>
    </i>
    <i r="2">
      <x v="10"/>
    </i>
    <i r="2">
      <x v="78"/>
    </i>
    <i r="2">
      <x v="13"/>
    </i>
    <i r="2">
      <x v="100"/>
    </i>
    <i r="2">
      <x v="12"/>
    </i>
    <i r="2">
      <x v="113"/>
    </i>
    <i r="2">
      <x v="3"/>
    </i>
    <i r="2">
      <x v="141"/>
    </i>
    <i r="1">
      <x v="12"/>
      <x v="38"/>
    </i>
    <i r="2">
      <x v="3"/>
    </i>
    <i r="2">
      <x v="57"/>
    </i>
    <i r="2">
      <x v="12"/>
    </i>
    <i r="2">
      <x v="100"/>
    </i>
    <i r="2">
      <x v="10"/>
    </i>
    <i r="2">
      <x v="113"/>
    </i>
    <i r="2">
      <x v="13"/>
    </i>
    <i r="2">
      <x v="141"/>
    </i>
    <i r="1">
      <x v="13"/>
      <x v="38"/>
    </i>
    <i r="2">
      <x v="3"/>
    </i>
    <i r="2">
      <x v="57"/>
    </i>
    <i r="2">
      <x v="12"/>
    </i>
    <i r="2">
      <x v="100"/>
    </i>
    <i r="2">
      <x v="10"/>
    </i>
    <i r="2">
      <x v="113"/>
    </i>
    <i r="2">
      <x v="13"/>
    </i>
    <i r="2">
      <x v="141"/>
    </i>
    <i r="1">
      <x v="14"/>
      <x v="13"/>
    </i>
    <i r="2">
      <x v="38"/>
    </i>
    <i r="2">
      <x v="10"/>
    </i>
    <i r="2">
      <x v="100"/>
    </i>
    <i r="2">
      <x v="3"/>
    </i>
    <i r="2">
      <x v="113"/>
    </i>
    <i r="2">
      <x v="12"/>
    </i>
    <i r="2">
      <x v="141"/>
    </i>
    <i r="1">
      <x v="15"/>
      <x v="12"/>
    </i>
    <i r="2">
      <x v="13"/>
    </i>
    <i r="2">
      <x v="10"/>
    </i>
    <i r="2">
      <x v="38"/>
    </i>
    <i r="2">
      <x v="3"/>
    </i>
    <i r="2">
      <x v="100"/>
    </i>
    <i r="1">
      <x v="16"/>
      <x v="13"/>
    </i>
    <i r="2">
      <x v="10"/>
    </i>
    <i r="2">
      <x v="38"/>
    </i>
    <i r="2">
      <x v="12"/>
    </i>
    <i r="2">
      <x v="100"/>
    </i>
    <i r="1">
      <x v="17"/>
      <x v="13"/>
    </i>
    <i r="2">
      <x v="38"/>
    </i>
    <i r="2">
      <x v="10"/>
    </i>
    <i r="2">
      <x v="100"/>
    </i>
    <i>
      <x v="32"/>
      <x/>
      <x v="37"/>
    </i>
    <i r="2">
      <x v="11"/>
    </i>
    <i r="2">
      <x v="38"/>
    </i>
    <i r="2">
      <x v="23"/>
    </i>
    <i r="2">
      <x v="58"/>
    </i>
    <i r="1">
      <x v="1"/>
      <x v="37"/>
    </i>
    <i r="2">
      <x v="11"/>
    </i>
    <i r="2">
      <x v="38"/>
    </i>
    <i r="2">
      <x v="23"/>
    </i>
    <i r="2">
      <x v="58"/>
    </i>
    <i>
      <x v="33"/>
      <x/>
      <x v="17"/>
    </i>
    <i r="2">
      <x v="38"/>
    </i>
    <i r="2">
      <x v="6"/>
    </i>
    <i r="2">
      <x v="98"/>
    </i>
    <i r="1">
      <x v="1"/>
      <x v="17"/>
    </i>
    <i r="2">
      <x v="38"/>
    </i>
    <i r="2">
      <x v="6"/>
    </i>
    <i r="2">
      <x v="98"/>
    </i>
    <i r="1">
      <x v="2"/>
      <x v="17"/>
    </i>
    <i r="2">
      <x v="38"/>
    </i>
    <i r="2">
      <x v="6"/>
    </i>
    <i r="2">
      <x v="98"/>
    </i>
    <i>
      <x v="34"/>
      <x v="1"/>
      <x v="38"/>
    </i>
    <i r="2">
      <x v="42"/>
    </i>
    <i r="2">
      <x v="23"/>
    </i>
    <i r="2">
      <x v="89"/>
    </i>
    <i r="2">
      <x v="10"/>
    </i>
    <i r="2">
      <x v="100"/>
    </i>
    <i r="1">
      <x v="2"/>
      <x v="38"/>
    </i>
    <i r="2">
      <x v="42"/>
    </i>
    <i r="2">
      <x v="23"/>
    </i>
    <i r="2">
      <x v="89"/>
    </i>
    <i r="2">
      <x v="10"/>
    </i>
    <i r="2">
      <x v="100"/>
    </i>
    <i r="1">
      <x v="3"/>
      <x v="38"/>
    </i>
    <i r="2">
      <x v="42"/>
    </i>
    <i r="2">
      <x v="23"/>
    </i>
    <i r="2">
      <x v="89"/>
    </i>
    <i r="2">
      <x v="10"/>
    </i>
    <i r="2">
      <x v="100"/>
    </i>
    <i r="1">
      <x v="4"/>
      <x v="38"/>
    </i>
    <i r="2">
      <x v="42"/>
    </i>
    <i r="2">
      <x v="23"/>
    </i>
    <i r="2">
      <x v="89"/>
    </i>
    <i r="2">
      <x v="10"/>
    </i>
    <i r="2">
      <x v="100"/>
    </i>
    <i r="1">
      <x v="5"/>
      <x v="38"/>
    </i>
    <i r="2">
      <x v="42"/>
    </i>
    <i r="2">
      <x v="23"/>
    </i>
    <i r="2">
      <x v="89"/>
    </i>
    <i r="2">
      <x v="10"/>
    </i>
    <i r="2">
      <x v="100"/>
    </i>
    <i r="1">
      <x v="6"/>
      <x v="38"/>
    </i>
    <i r="2">
      <x v="42"/>
    </i>
    <i r="2">
      <x v="23"/>
    </i>
    <i r="2">
      <x v="89"/>
    </i>
    <i r="2">
      <x v="10"/>
    </i>
    <i r="2">
      <x v="100"/>
    </i>
    <i r="1">
      <x v="7"/>
      <x v="38"/>
    </i>
    <i r="2">
      <x v="42"/>
    </i>
    <i r="2">
      <x v="23"/>
    </i>
    <i r="2">
      <x v="89"/>
    </i>
    <i r="2">
      <x v="10"/>
    </i>
    <i r="2">
      <x v="100"/>
    </i>
    <i>
      <x v="35"/>
      <x/>
      <x v="32"/>
    </i>
    <i r="2">
      <x/>
    </i>
    <i r="2">
      <x v="33"/>
    </i>
    <i r="2">
      <x v="13"/>
    </i>
    <i r="2">
      <x v="34"/>
    </i>
    <i r="2">
      <x v="25"/>
    </i>
    <i r="2">
      <x v="35"/>
    </i>
    <i r="2">
      <x v="27"/>
    </i>
    <i r="2">
      <x v="38"/>
    </i>
    <i r="2">
      <x v="29"/>
    </i>
    <i r="2">
      <x v="39"/>
    </i>
    <i r="2">
      <x v="31"/>
    </i>
    <i r="2">
      <x v="41"/>
    </i>
    <i r="2">
      <x v="17"/>
    </i>
    <i r="2">
      <x v="78"/>
    </i>
    <i r="2">
      <x v="28"/>
    </i>
    <i r="2">
      <x v="88"/>
    </i>
    <i r="2">
      <x v="2"/>
    </i>
    <i r="2">
      <x v="97"/>
    </i>
    <i r="2">
      <x v="30"/>
    </i>
    <i r="2">
      <x v="103"/>
    </i>
    <i r="2">
      <x v="26"/>
    </i>
    <i r="2">
      <x v="134"/>
    </i>
    <i r="1">
      <x v="1"/>
      <x v="32"/>
    </i>
    <i r="2">
      <x v="33"/>
    </i>
    <i r="2">
      <x v="2"/>
    </i>
    <i r="2">
      <x v="34"/>
    </i>
    <i r="2">
      <x v="17"/>
    </i>
    <i r="2">
      <x v="35"/>
    </i>
    <i r="2">
      <x v="27"/>
    </i>
    <i r="2">
      <x v="38"/>
    </i>
    <i r="2">
      <x v="29"/>
    </i>
    <i r="2">
      <x v="39"/>
    </i>
    <i r="2">
      <x v="31"/>
    </i>
    <i r="2">
      <x v="41"/>
    </i>
    <i r="2">
      <x v="13"/>
    </i>
    <i r="2">
      <x v="78"/>
    </i>
    <i r="2">
      <x v="28"/>
    </i>
    <i r="2">
      <x v="88"/>
    </i>
    <i r="2">
      <x/>
    </i>
    <i r="2">
      <x v="97"/>
    </i>
    <i r="2">
      <x v="30"/>
    </i>
    <i r="2">
      <x v="103"/>
    </i>
    <i r="2">
      <x v="26"/>
    </i>
    <i r="2">
      <x v="134"/>
    </i>
    <i r="1">
      <x v="2"/>
      <x v="30"/>
    </i>
    <i r="2">
      <x v="31"/>
    </i>
    <i r="2">
      <x v="2"/>
    </i>
    <i r="2">
      <x v="32"/>
    </i>
    <i r="2">
      <x v="13"/>
    </i>
    <i r="2">
      <x v="33"/>
    </i>
    <i r="2">
      <x v="28"/>
    </i>
    <i r="2">
      <x v="34"/>
    </i>
    <i r="2">
      <x/>
    </i>
    <i r="2">
      <x v="35"/>
    </i>
    <i r="2">
      <x v="27"/>
    </i>
    <i r="2">
      <x v="38"/>
    </i>
    <i r="2">
      <x v="8"/>
    </i>
    <i r="2">
      <x v="39"/>
    </i>
    <i r="2">
      <x v="29"/>
    </i>
    <i r="2">
      <x v="88"/>
    </i>
    <i r="1">
      <x v="3"/>
      <x v="13"/>
    </i>
    <i>
      <x v="36"/>
      <x/>
      <x v="38"/>
    </i>
    <i r="1">
      <x v="1"/>
      <x v="38"/>
    </i>
    <i r="1">
      <x v="2"/>
      <x v="38"/>
    </i>
    <i r="1">
      <x v="3"/>
      <x v="38"/>
    </i>
    <i r="1">
      <x v="4"/>
      <x v="38"/>
    </i>
    <i r="1">
      <x v="5"/>
      <x v="38"/>
    </i>
    <i r="1">
      <x v="6"/>
      <x v="38"/>
    </i>
    <i r="1">
      <x v="7"/>
      <x v="38"/>
    </i>
    <i r="1">
      <x v="8"/>
      <x v="38"/>
    </i>
    <i r="1">
      <x v="9"/>
      <x v="38"/>
    </i>
    <i r="1">
      <x v="10"/>
      <x v="38"/>
    </i>
    <i>
      <x v="37"/>
      <x/>
      <x v="65"/>
    </i>
    <i r="2">
      <x v="13"/>
    </i>
    <i r="2">
      <x v="66"/>
    </i>
    <i r="2">
      <x v="51"/>
    </i>
    <i r="2">
      <x v="77"/>
    </i>
    <i r="2">
      <x v="38"/>
    </i>
    <i r="2">
      <x v="100"/>
    </i>
    <i r="1">
      <x v="1"/>
      <x v="51"/>
    </i>
    <i r="2">
      <x v="66"/>
    </i>
    <i r="2">
      <x v="38"/>
    </i>
    <i r="2">
      <x v="77"/>
    </i>
    <i r="2">
      <x v="13"/>
    </i>
    <i r="2">
      <x v="100"/>
    </i>
    <i r="1">
      <x v="2"/>
      <x v="51"/>
    </i>
    <i r="2">
      <x v="66"/>
    </i>
    <i r="2">
      <x v="38"/>
    </i>
    <i r="2">
      <x v="77"/>
    </i>
    <i r="2">
      <x v="13"/>
    </i>
    <i r="2">
      <x v="100"/>
    </i>
    <i r="1">
      <x v="3"/>
      <x v="66"/>
    </i>
    <i r="2">
      <x v="13"/>
    </i>
    <i r="2">
      <x v="77"/>
    </i>
    <i r="2">
      <x v="51"/>
    </i>
    <i r="2">
      <x v="100"/>
    </i>
    <i r="2">
      <x v="38"/>
    </i>
    <i r="2">
      <x v="123"/>
    </i>
    <i r="1">
      <x v="4"/>
      <x v="66"/>
    </i>
    <i r="2">
      <x v="13"/>
    </i>
    <i r="2">
      <x v="77"/>
    </i>
    <i r="2">
      <x v="51"/>
    </i>
    <i r="2">
      <x v="100"/>
    </i>
    <i r="2">
      <x v="38"/>
    </i>
    <i r="2">
      <x v="123"/>
    </i>
    <i r="1">
      <x v="5"/>
      <x v="66"/>
    </i>
    <i r="2">
      <x v="13"/>
    </i>
    <i r="2">
      <x v="77"/>
    </i>
    <i r="2">
      <x v="51"/>
    </i>
    <i r="2">
      <x v="100"/>
    </i>
    <i r="2">
      <x v="38"/>
    </i>
    <i r="2">
      <x v="123"/>
    </i>
    <i r="1">
      <x v="6"/>
      <x v="66"/>
    </i>
    <i r="2">
      <x v="13"/>
    </i>
    <i r="2">
      <x v="77"/>
    </i>
    <i r="2">
      <x v="51"/>
    </i>
    <i r="2">
      <x v="100"/>
    </i>
    <i r="2">
      <x v="38"/>
    </i>
    <i r="2">
      <x v="123"/>
    </i>
    <i r="1">
      <x v="7"/>
      <x v="66"/>
    </i>
    <i r="2">
      <x v="13"/>
    </i>
    <i r="2">
      <x v="77"/>
    </i>
    <i r="2">
      <x v="51"/>
    </i>
    <i r="2">
      <x v="100"/>
    </i>
    <i r="2">
      <x v="38"/>
    </i>
    <i r="2">
      <x v="123"/>
    </i>
    <i r="1">
      <x v="8"/>
      <x v="66"/>
    </i>
    <i r="2">
      <x v="77"/>
    </i>
    <i r="2">
      <x v="38"/>
    </i>
    <i r="2">
      <x v="100"/>
    </i>
    <i r="2">
      <x v="13"/>
    </i>
    <i r="2">
      <x v="123"/>
    </i>
    <i r="1">
      <x v="9"/>
      <x v="66"/>
    </i>
    <i r="2">
      <x v="77"/>
    </i>
    <i r="2">
      <x v="38"/>
    </i>
    <i r="2">
      <x v="100"/>
    </i>
    <i r="2">
      <x v="13"/>
    </i>
    <i r="2">
      <x v="123"/>
    </i>
    <i r="1">
      <x v="10"/>
      <x v="66"/>
    </i>
    <i r="2">
      <x v="77"/>
    </i>
    <i r="2">
      <x v="38"/>
    </i>
    <i r="2">
      <x v="100"/>
    </i>
    <i r="2">
      <x v="13"/>
    </i>
    <i r="2">
      <x v="123"/>
    </i>
    <i r="1">
      <x v="11"/>
      <x v="66"/>
    </i>
    <i r="2">
      <x v="77"/>
    </i>
    <i r="2">
      <x v="38"/>
    </i>
    <i r="2">
      <x v="100"/>
    </i>
    <i r="2">
      <x v="13"/>
    </i>
    <i r="2">
      <x v="123"/>
    </i>
    <i r="1">
      <x v="12"/>
      <x v="66"/>
    </i>
    <i r="2">
      <x v="77"/>
    </i>
    <i r="2">
      <x v="38"/>
    </i>
    <i r="2">
      <x v="100"/>
    </i>
    <i r="2">
      <x v="13"/>
    </i>
    <i r="2">
      <x v="123"/>
    </i>
    <i r="1">
      <x v="13"/>
      <x v="66"/>
    </i>
    <i r="2">
      <x v="77"/>
    </i>
    <i r="2">
      <x v="38"/>
    </i>
    <i r="2">
      <x v="100"/>
    </i>
    <i r="2">
      <x v="13"/>
    </i>
    <i r="2">
      <x v="123"/>
    </i>
    <i r="1">
      <x v="14"/>
      <x v="66"/>
    </i>
    <i r="2">
      <x v="77"/>
    </i>
    <i r="2">
      <x v="38"/>
    </i>
    <i r="2">
      <x v="100"/>
    </i>
    <i r="2">
      <x v="13"/>
    </i>
    <i r="2">
      <x v="123"/>
    </i>
    <i r="1">
      <x v="15"/>
      <x v="66"/>
    </i>
    <i r="2">
      <x v="77"/>
    </i>
    <i r="2">
      <x v="38"/>
    </i>
    <i r="2">
      <x v="100"/>
    </i>
    <i r="2">
      <x v="13"/>
    </i>
    <i r="2">
      <x v="123"/>
    </i>
    <i r="1">
      <x v="16"/>
      <x v="66"/>
    </i>
    <i r="2">
      <x v="77"/>
    </i>
    <i r="2">
      <x v="38"/>
    </i>
    <i r="2">
      <x v="100"/>
    </i>
    <i r="2">
      <x v="13"/>
    </i>
    <i r="2">
      <x v="123"/>
    </i>
    <i r="1">
      <x v="17"/>
      <x v="66"/>
    </i>
    <i r="2">
      <x v="77"/>
    </i>
    <i r="2">
      <x v="38"/>
    </i>
    <i r="2">
      <x v="100"/>
    </i>
    <i r="2">
      <x v="13"/>
    </i>
    <i r="2">
      <x v="123"/>
    </i>
    <i r="1">
      <x v="18"/>
      <x v="66"/>
    </i>
    <i r="2">
      <x v="77"/>
    </i>
    <i r="2">
      <x v="38"/>
    </i>
    <i r="2">
      <x v="100"/>
    </i>
    <i r="2">
      <x v="13"/>
    </i>
    <i r="2">
      <x v="123"/>
    </i>
    <i r="1">
      <x v="19"/>
      <x v="66"/>
    </i>
    <i r="2">
      <x v="77"/>
    </i>
    <i r="2">
      <x v="38"/>
    </i>
    <i r="2">
      <x v="100"/>
    </i>
    <i r="2">
      <x v="13"/>
    </i>
    <i r="2">
      <x v="123"/>
    </i>
    <i r="1">
      <x v="20"/>
      <x v="66"/>
    </i>
    <i r="2">
      <x v="77"/>
    </i>
    <i r="2">
      <x v="38"/>
    </i>
    <i r="2">
      <x v="100"/>
    </i>
    <i r="2">
      <x v="13"/>
    </i>
    <i r="2">
      <x v="123"/>
    </i>
    <i r="1">
      <x v="21"/>
      <x v="66"/>
    </i>
    <i r="2">
      <x v="77"/>
    </i>
    <i r="2">
      <x v="38"/>
    </i>
    <i r="2">
      <x v="100"/>
    </i>
    <i r="2">
      <x v="13"/>
    </i>
    <i r="2">
      <x v="123"/>
    </i>
    <i r="1">
      <x v="22"/>
      <x v="66"/>
    </i>
    <i r="2">
      <x v="77"/>
    </i>
    <i r="2">
      <x v="38"/>
    </i>
    <i r="2">
      <x v="100"/>
    </i>
    <i r="2">
      <x v="13"/>
    </i>
    <i r="2">
      <x v="123"/>
    </i>
    <i r="1">
      <x v="23"/>
      <x v="66"/>
    </i>
    <i r="2">
      <x v="77"/>
    </i>
    <i r="2">
      <x v="38"/>
    </i>
    <i r="2">
      <x v="100"/>
    </i>
    <i r="2">
      <x v="13"/>
    </i>
    <i r="2">
      <x v="123"/>
    </i>
    <i r="1">
      <x v="24"/>
      <x v="66"/>
    </i>
    <i r="2">
      <x v="77"/>
    </i>
    <i r="2">
      <x v="38"/>
    </i>
    <i r="2">
      <x v="100"/>
    </i>
    <i r="2">
      <x v="13"/>
    </i>
    <i r="2">
      <x v="123"/>
    </i>
    <i r="1">
      <x v="25"/>
      <x v="13"/>
    </i>
    <i>
      <x v="38"/>
      <x/>
      <x v="38"/>
    </i>
    <i r="1">
      <x v="1"/>
      <x v="38"/>
    </i>
    <i r="1">
      <x v="2"/>
      <x v="38"/>
    </i>
    <i r="1">
      <x v="3"/>
      <x v="38"/>
    </i>
    <i r="1">
      <x v="4"/>
      <x v="38"/>
    </i>
    <i r="1">
      <x v="5"/>
      <x v="38"/>
    </i>
    <i r="1">
      <x v="6"/>
      <x v="38"/>
    </i>
    <i r="1">
      <x v="7"/>
      <x v="38"/>
    </i>
    <i r="1">
      <x v="8"/>
      <x v="38"/>
    </i>
    <i>
      <x v="39"/>
      <x/>
      <x v="38"/>
    </i>
    <i r="1">
      <x v="1"/>
      <x v="38"/>
    </i>
    <i r="1">
      <x v="2"/>
      <x v="38"/>
    </i>
    <i r="1">
      <x v="3"/>
      <x v="38"/>
    </i>
    <i>
      <x v="40"/>
      <x/>
      <x v="38"/>
    </i>
    <i r="2">
      <x v="66"/>
    </i>
    <i r="2">
      <x v="10"/>
    </i>
    <i r="2">
      <x v="123"/>
    </i>
    <i r="1">
      <x v="1"/>
      <x v="38"/>
    </i>
    <i r="2">
      <x v="66"/>
    </i>
    <i r="2">
      <x v="10"/>
    </i>
    <i r="2">
      <x v="123"/>
    </i>
    <i r="1">
      <x v="2"/>
      <x v="38"/>
    </i>
    <i r="2">
      <x v="66"/>
    </i>
    <i r="2">
      <x v="10"/>
    </i>
    <i r="2">
      <x v="123"/>
    </i>
    <i r="1">
      <x v="3"/>
      <x v="38"/>
    </i>
    <i r="2">
      <x v="66"/>
    </i>
    <i r="2">
      <x v="10"/>
    </i>
    <i r="2">
      <x v="123"/>
    </i>
    <i r="1">
      <x v="4"/>
      <x v="38"/>
    </i>
    <i r="2">
      <x v="66"/>
    </i>
    <i r="2">
      <x v="10"/>
    </i>
    <i r="2">
      <x v="123"/>
    </i>
    <i r="1">
      <x v="5"/>
      <x v="38"/>
    </i>
    <i r="2">
      <x v="66"/>
    </i>
    <i r="2">
      <x v="10"/>
    </i>
    <i r="2">
      <x v="123"/>
    </i>
    <i r="1">
      <x v="6"/>
      <x v="38"/>
    </i>
    <i r="2">
      <x v="66"/>
    </i>
    <i r="2">
      <x v="10"/>
    </i>
    <i r="2">
      <x v="123"/>
    </i>
    <i r="1">
      <x v="7"/>
      <x v="38"/>
    </i>
    <i r="2">
      <x v="66"/>
    </i>
    <i r="2">
      <x v="10"/>
    </i>
    <i r="2">
      <x v="123"/>
    </i>
    <i r="1">
      <x v="8"/>
      <x v="38"/>
    </i>
    <i r="2">
      <x v="66"/>
    </i>
    <i r="2">
      <x v="10"/>
    </i>
    <i r="2">
      <x v="123"/>
    </i>
    <i r="1">
      <x v="9"/>
      <x v="38"/>
    </i>
    <i r="2">
      <x v="66"/>
    </i>
    <i r="2">
      <x v="10"/>
    </i>
    <i r="2">
      <x v="123"/>
    </i>
    <i r="1">
      <x v="10"/>
      <x v="38"/>
    </i>
    <i r="2">
      <x v="66"/>
    </i>
    <i r="2">
      <x v="10"/>
    </i>
    <i r="2">
      <x v="123"/>
    </i>
    <i r="1">
      <x v="11"/>
      <x v="38"/>
    </i>
    <i r="2">
      <x v="66"/>
    </i>
    <i r="2">
      <x v="10"/>
    </i>
    <i r="2">
      <x v="123"/>
    </i>
    <i r="1">
      <x v="12"/>
      <x v="38"/>
    </i>
    <i r="2">
      <x v="66"/>
    </i>
    <i r="2">
      <x v="10"/>
    </i>
    <i r="2">
      <x v="123"/>
    </i>
    <i r="1">
      <x v="13"/>
      <x v="38"/>
    </i>
    <i r="2">
      <x v="66"/>
    </i>
    <i r="2">
      <x v="10"/>
    </i>
    <i r="2">
      <x v="123"/>
    </i>
    <i r="1">
      <x v="14"/>
      <x v="38"/>
    </i>
    <i r="2">
      <x v="66"/>
    </i>
    <i r="2">
      <x v="10"/>
    </i>
    <i r="2">
      <x v="123"/>
    </i>
    <i r="1">
      <x v="15"/>
      <x v="38"/>
    </i>
    <i r="2">
      <x v="66"/>
    </i>
    <i r="2">
      <x v="10"/>
    </i>
    <i r="2">
      <x v="123"/>
    </i>
    <i r="1">
      <x v="16"/>
      <x v="38"/>
    </i>
    <i r="2">
      <x v="66"/>
    </i>
    <i r="2">
      <x v="10"/>
    </i>
    <i r="2">
      <x v="123"/>
    </i>
    <i r="1">
      <x v="17"/>
      <x v="38"/>
    </i>
    <i r="2">
      <x v="66"/>
    </i>
    <i r="2">
      <x v="10"/>
    </i>
    <i r="2">
      <x v="123"/>
    </i>
    <i r="1">
      <x v="18"/>
      <x v="38"/>
    </i>
    <i r="2">
      <x v="66"/>
    </i>
    <i r="2">
      <x v="10"/>
    </i>
    <i r="2">
      <x v="123"/>
    </i>
    <i r="1">
      <x v="19"/>
      <x v="51"/>
    </i>
    <i r="2">
      <x v="10"/>
    </i>
    <i r="2">
      <x v="66"/>
    </i>
    <i r="2">
      <x v="38"/>
    </i>
    <i r="2">
      <x v="123"/>
    </i>
    <i r="1">
      <x v="20"/>
      <x v="51"/>
    </i>
    <i r="2">
      <x v="10"/>
    </i>
    <i r="2">
      <x v="66"/>
    </i>
    <i r="2">
      <x v="38"/>
    </i>
    <i r="2">
      <x v="123"/>
    </i>
    <i r="1">
      <x v="21"/>
      <x v="51"/>
    </i>
    <i r="2">
      <x v="10"/>
    </i>
    <i r="2">
      <x v="66"/>
    </i>
    <i r="2">
      <x v="38"/>
    </i>
    <i r="2">
      <x v="123"/>
    </i>
    <i r="1">
      <x v="22"/>
      <x v="51"/>
    </i>
    <i r="2">
      <x v="10"/>
    </i>
    <i r="2">
      <x v="66"/>
    </i>
    <i r="2">
      <x v="38"/>
    </i>
    <i r="2">
      <x v="123"/>
    </i>
    <i r="1">
      <x v="23"/>
      <x v="51"/>
    </i>
    <i r="2">
      <x v="10"/>
    </i>
    <i r="2">
      <x v="66"/>
    </i>
    <i r="2">
      <x v="38"/>
    </i>
    <i r="2">
      <x v="123"/>
    </i>
    <i r="1">
      <x v="24"/>
      <x v="51"/>
    </i>
    <i r="2">
      <x v="10"/>
    </i>
    <i r="2">
      <x v="66"/>
    </i>
    <i r="2">
      <x v="38"/>
    </i>
    <i r="2">
      <x v="123"/>
    </i>
    <i r="1">
      <x v="25"/>
      <x v="51"/>
    </i>
    <i r="2">
      <x v="10"/>
    </i>
    <i r="2">
      <x v="66"/>
    </i>
    <i r="2">
      <x v="38"/>
    </i>
    <i r="2">
      <x v="123"/>
    </i>
    <i r="1">
      <x v="26"/>
      <x v="51"/>
    </i>
    <i r="2">
      <x v="10"/>
    </i>
    <i r="2">
      <x v="66"/>
    </i>
    <i r="2">
      <x v="38"/>
    </i>
    <i r="2">
      <x v="123"/>
    </i>
    <i r="1">
      <x v="27"/>
      <x v="38"/>
    </i>
    <i r="2">
      <x v="51"/>
    </i>
    <i r="2">
      <x v="10"/>
    </i>
    <i r="2">
      <x v="123"/>
    </i>
    <i r="1">
      <x v="28"/>
      <x v="51"/>
    </i>
    <i r="1">
      <x v="29"/>
      <x v="51"/>
    </i>
    <i r="1">
      <x v="30"/>
      <x v="51"/>
    </i>
    <i>
      <x v="41"/>
      <x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1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2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3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4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5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6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7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8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9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10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11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12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13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14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15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16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17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18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19"/>
      <x v="61"/>
    </i>
    <i r="2">
      <x v="62"/>
    </i>
    <i r="2">
      <x v="10"/>
    </i>
    <i r="2">
      <x v="96"/>
    </i>
    <i r="2">
      <x v="38"/>
    </i>
    <i r="2">
      <x v="100"/>
    </i>
    <i r="2">
      <x v="13"/>
    </i>
    <i r="2">
      <x v="110"/>
    </i>
    <i r="2">
      <x v="9"/>
    </i>
    <i r="2">
      <x v="114"/>
    </i>
    <i r="1">
      <x v="20"/>
      <x v="62"/>
    </i>
    <i r="2">
      <x v="9"/>
    </i>
    <i r="2">
      <x v="96"/>
    </i>
    <i r="2">
      <x v="38"/>
    </i>
    <i r="2">
      <x v="100"/>
    </i>
    <i r="2">
      <x v="13"/>
    </i>
    <i r="2">
      <x v="110"/>
    </i>
    <i r="2">
      <x v="61"/>
    </i>
    <i r="2">
      <x v="114"/>
    </i>
    <i r="1">
      <x v="21"/>
      <x v="62"/>
    </i>
    <i r="2">
      <x v="96"/>
    </i>
    <i r="2">
      <x v="38"/>
    </i>
    <i r="2">
      <x v="100"/>
    </i>
    <i r="2">
      <x v="9"/>
    </i>
    <i r="2">
      <x v="110"/>
    </i>
    <i r="2">
      <x v="61"/>
    </i>
    <i r="2">
      <x v="114"/>
    </i>
    <i r="1">
      <x v="22"/>
      <x v="62"/>
    </i>
    <i r="2">
      <x v="96"/>
    </i>
    <i r="2">
      <x v="38"/>
    </i>
    <i r="2">
      <x v="100"/>
    </i>
    <i r="2">
      <x v="9"/>
    </i>
    <i r="2">
      <x v="110"/>
    </i>
    <i r="2">
      <x v="61"/>
    </i>
    <i r="2">
      <x v="114"/>
    </i>
    <i r="1">
      <x v="23"/>
      <x v="38"/>
    </i>
    <i r="2">
      <x v="100"/>
    </i>
    <i>
      <x v="42"/>
      <x v="1"/>
      <x v="38"/>
    </i>
    <i r="1">
      <x v="2"/>
      <x v="38"/>
    </i>
    <i r="1">
      <x v="3"/>
      <x v="38"/>
    </i>
    <i r="1">
      <x v="4"/>
      <x v="38"/>
    </i>
    <i r="1">
      <x v="5"/>
      <x v="38"/>
    </i>
    <i r="1">
      <x v="6"/>
      <x v="38"/>
    </i>
    <i r="1">
      <x v="7"/>
      <x v="38"/>
    </i>
    <i r="1">
      <x v="8"/>
      <x v="38"/>
    </i>
    <i r="1">
      <x v="9"/>
      <x v="38"/>
    </i>
    <i r="1">
      <x v="10"/>
      <x v="38"/>
    </i>
    <i r="1">
      <x v="11"/>
      <x v="38"/>
    </i>
    <i r="1">
      <x v="12"/>
      <x v="38"/>
    </i>
    <i r="1">
      <x v="13"/>
      <x v="38"/>
    </i>
    <i r="1">
      <x v="14"/>
      <x v="38"/>
    </i>
    <i>
      <x v="43"/>
      <x/>
      <x v="42"/>
    </i>
    <i r="2">
      <x v="10"/>
    </i>
    <i r="2">
      <x v="48"/>
    </i>
    <i r="2">
      <x v="38"/>
    </i>
    <i r="2">
      <x v="123"/>
    </i>
    <i r="1">
      <x v="1"/>
      <x v="42"/>
    </i>
    <i r="2">
      <x v="10"/>
    </i>
    <i r="2">
      <x v="48"/>
    </i>
    <i r="2">
      <x v="38"/>
    </i>
    <i r="2">
      <x v="123"/>
    </i>
    <i r="1">
      <x v="2"/>
      <x v="38"/>
    </i>
    <i r="2">
      <x v="42"/>
    </i>
    <i r="2">
      <x v="10"/>
    </i>
    <i r="2">
      <x v="123"/>
    </i>
    <i r="1">
      <x v="3"/>
      <x v="38"/>
    </i>
    <i r="2">
      <x v="42"/>
    </i>
    <i r="2">
      <x v="10"/>
    </i>
    <i r="2">
      <x v="123"/>
    </i>
    <i r="1">
      <x v="4"/>
      <x v="38"/>
    </i>
    <i r="2">
      <x v="42"/>
    </i>
    <i r="2">
      <x v="10"/>
    </i>
    <i r="2">
      <x v="123"/>
    </i>
    <i r="1">
      <x v="5"/>
      <x v="38"/>
    </i>
    <i r="2">
      <x v="42"/>
    </i>
    <i r="2">
      <x v="10"/>
    </i>
    <i r="2">
      <x v="123"/>
    </i>
    <i r="1">
      <x v="6"/>
      <x v="38"/>
    </i>
    <i r="2">
      <x v="42"/>
    </i>
    <i r="2">
      <x v="10"/>
    </i>
    <i r="2">
      <x v="123"/>
    </i>
    <i r="1">
      <x v="7"/>
      <x v="38"/>
    </i>
    <i r="2">
      <x v="42"/>
    </i>
    <i r="2">
      <x v="10"/>
    </i>
    <i r="2">
      <x v="123"/>
    </i>
    <i r="1">
      <x v="8"/>
      <x v="38"/>
    </i>
    <i r="2">
      <x v="10"/>
    </i>
    <i r="2">
      <x v="123"/>
    </i>
    <i r="1">
      <x v="9"/>
      <x v="38"/>
    </i>
    <i r="2">
      <x v="10"/>
    </i>
    <i r="2">
      <x v="123"/>
    </i>
    <i r="1">
      <x v="10"/>
      <x v="38"/>
    </i>
    <i r="2">
      <x v="10"/>
    </i>
    <i r="2">
      <x v="123"/>
    </i>
    <i r="1">
      <x v="11"/>
      <x v="38"/>
    </i>
    <i>
      <x v="44"/>
      <x/>
      <x v="79"/>
    </i>
    <i r="2">
      <x v="21"/>
    </i>
    <i r="2">
      <x v="115"/>
    </i>
    <i r="2">
      <x v="38"/>
    </i>
    <i r="2">
      <x v="122"/>
    </i>
    <i r="1">
      <x v="1"/>
      <x v="79"/>
    </i>
    <i r="2">
      <x v="21"/>
    </i>
    <i r="2">
      <x v="115"/>
    </i>
    <i r="2">
      <x v="38"/>
    </i>
    <i r="2">
      <x v="122"/>
    </i>
    <i r="1">
      <x v="2"/>
      <x v="79"/>
    </i>
    <i r="2">
      <x v="21"/>
    </i>
    <i r="2">
      <x v="115"/>
    </i>
    <i r="2">
      <x v="38"/>
    </i>
    <i r="2">
      <x v="122"/>
    </i>
    <i r="1">
      <x v="3"/>
      <x v="79"/>
    </i>
    <i r="2">
      <x v="21"/>
    </i>
    <i r="2">
      <x v="115"/>
    </i>
    <i r="2">
      <x v="38"/>
    </i>
    <i r="2">
      <x v="122"/>
    </i>
    <i r="1">
      <x v="4"/>
      <x v="79"/>
    </i>
    <i r="2">
      <x v="21"/>
    </i>
    <i r="2">
      <x v="115"/>
    </i>
    <i r="2">
      <x v="38"/>
    </i>
    <i r="2">
      <x v="122"/>
    </i>
    <i r="1">
      <x v="5"/>
      <x v="79"/>
    </i>
    <i r="2">
      <x v="21"/>
    </i>
    <i r="2">
      <x v="115"/>
    </i>
    <i r="2">
      <x v="38"/>
    </i>
    <i r="2">
      <x v="122"/>
    </i>
    <i r="1">
      <x v="6"/>
      <x v="79"/>
    </i>
    <i r="2">
      <x v="21"/>
    </i>
    <i r="2">
      <x v="115"/>
    </i>
    <i r="2">
      <x v="38"/>
    </i>
    <i r="2">
      <x v="122"/>
    </i>
    <i r="1">
      <x v="7"/>
      <x v="79"/>
    </i>
    <i r="2">
      <x v="21"/>
    </i>
    <i r="2">
      <x v="115"/>
    </i>
    <i r="2">
      <x v="38"/>
    </i>
    <i r="2">
      <x v="122"/>
    </i>
    <i r="1">
      <x v="8"/>
      <x v="38"/>
    </i>
    <i r="2">
      <x v="21"/>
    </i>
    <i r="2">
      <x v="79"/>
    </i>
    <i r="1">
      <x v="9"/>
      <x v="38"/>
    </i>
    <i r="2">
      <x v="21"/>
    </i>
    <i r="2">
      <x v="79"/>
    </i>
    <i>
      <x v="45"/>
      <x/>
      <x v="77"/>
    </i>
    <i r="2">
      <x v="13"/>
    </i>
    <i r="2">
      <x v="100"/>
    </i>
    <i r="2">
      <x v="58"/>
    </i>
    <i r="2">
      <x v="116"/>
    </i>
    <i r="2">
      <x v="63"/>
    </i>
    <i r="2">
      <x v="128"/>
    </i>
    <i r="2">
      <x v="38"/>
    </i>
    <i r="2">
      <x v="129"/>
    </i>
    <i r="2">
      <x v="64"/>
    </i>
    <i r="2">
      <x v="130"/>
    </i>
    <i r="2">
      <x v="59"/>
    </i>
    <i r="2">
      <x v="131"/>
    </i>
    <i r="1">
      <x v="1"/>
      <x v="77"/>
    </i>
    <i r="2">
      <x v="13"/>
    </i>
    <i r="2">
      <x v="100"/>
    </i>
    <i r="2">
      <x v="58"/>
    </i>
    <i r="2">
      <x v="116"/>
    </i>
    <i r="2">
      <x v="63"/>
    </i>
    <i r="2">
      <x v="128"/>
    </i>
    <i r="2">
      <x v="38"/>
    </i>
    <i r="2">
      <x v="129"/>
    </i>
    <i r="2">
      <x v="64"/>
    </i>
    <i r="2">
      <x v="130"/>
    </i>
    <i r="2">
      <x v="59"/>
    </i>
    <i r="2">
      <x v="131"/>
    </i>
    <i r="1">
      <x v="2"/>
      <x v="64"/>
    </i>
    <i r="2">
      <x v="77"/>
    </i>
    <i r="2">
      <x v="38"/>
    </i>
    <i r="2">
      <x v="100"/>
    </i>
    <i r="2">
      <x v="59"/>
    </i>
    <i r="2">
      <x v="116"/>
    </i>
    <i r="2">
      <x v="13"/>
    </i>
    <i r="2">
      <x v="128"/>
    </i>
    <i r="2">
      <x v="63"/>
    </i>
    <i r="2">
      <x v="129"/>
    </i>
    <i r="2">
      <x v="58"/>
    </i>
    <i r="2">
      <x v="130"/>
    </i>
    <i r="1">
      <x v="3"/>
      <x v="64"/>
    </i>
    <i r="2">
      <x v="77"/>
    </i>
    <i r="2">
      <x v="38"/>
    </i>
    <i r="2">
      <x v="100"/>
    </i>
    <i r="2">
      <x v="59"/>
    </i>
    <i r="2">
      <x v="116"/>
    </i>
    <i r="2">
      <x v="13"/>
    </i>
    <i r="2">
      <x v="128"/>
    </i>
    <i r="2">
      <x v="63"/>
    </i>
    <i r="2">
      <x v="129"/>
    </i>
    <i r="2">
      <x v="58"/>
    </i>
    <i r="2">
      <x v="130"/>
    </i>
    <i r="1">
      <x v="4"/>
      <x v="64"/>
    </i>
    <i r="2">
      <x v="77"/>
    </i>
    <i r="2">
      <x v="38"/>
    </i>
    <i r="2">
      <x v="100"/>
    </i>
    <i r="2">
      <x v="59"/>
    </i>
    <i r="2">
      <x v="116"/>
    </i>
    <i r="2">
      <x v="13"/>
    </i>
    <i r="2">
      <x v="128"/>
    </i>
    <i r="2">
      <x v="63"/>
    </i>
    <i r="2">
      <x v="129"/>
    </i>
    <i r="2">
      <x v="58"/>
    </i>
    <i r="2">
      <x v="130"/>
    </i>
    <i r="1">
      <x v="5"/>
      <x v="64"/>
    </i>
    <i r="2">
      <x v="77"/>
    </i>
    <i r="2">
      <x v="38"/>
    </i>
    <i r="2">
      <x v="100"/>
    </i>
    <i r="2">
      <x v="59"/>
    </i>
    <i r="2">
      <x v="116"/>
    </i>
    <i r="2">
      <x v="13"/>
    </i>
    <i r="2">
      <x v="128"/>
    </i>
    <i r="2">
      <x v="63"/>
    </i>
    <i r="2">
      <x v="129"/>
    </i>
    <i r="2">
      <x v="58"/>
    </i>
    <i r="2">
      <x v="130"/>
    </i>
    <i r="1">
      <x v="6"/>
      <x v="64"/>
    </i>
    <i r="2">
      <x v="77"/>
    </i>
    <i r="2">
      <x v="38"/>
    </i>
    <i r="2">
      <x v="100"/>
    </i>
    <i r="2">
      <x v="59"/>
    </i>
    <i r="2">
      <x v="116"/>
    </i>
    <i r="2">
      <x v="13"/>
    </i>
    <i r="2">
      <x v="128"/>
    </i>
    <i r="2">
      <x v="63"/>
    </i>
    <i r="2">
      <x v="129"/>
    </i>
    <i r="2">
      <x v="58"/>
    </i>
    <i r="2">
      <x v="130"/>
    </i>
    <i r="1">
      <x v="7"/>
      <x v="77"/>
    </i>
    <i r="2">
      <x v="13"/>
    </i>
    <i r="2">
      <x v="100"/>
    </i>
    <i r="2">
      <x v="58"/>
    </i>
    <i r="2">
      <x v="116"/>
    </i>
    <i r="2">
      <x v="63"/>
    </i>
    <i r="2">
      <x v="128"/>
    </i>
    <i r="2">
      <x v="59"/>
    </i>
    <i r="2">
      <x v="129"/>
    </i>
    <i r="2">
      <x v="38"/>
    </i>
    <i r="2">
      <x v="130"/>
    </i>
    <i r="1">
      <x v="8"/>
      <x v="63"/>
    </i>
    <i r="2">
      <x v="100"/>
    </i>
    <i r="2">
      <x v="38"/>
    </i>
    <i r="2">
      <x v="116"/>
    </i>
    <i r="2">
      <x v="13"/>
    </i>
    <i r="2">
      <x v="128"/>
    </i>
    <i r="2">
      <x v="59"/>
    </i>
    <i r="2">
      <x v="129"/>
    </i>
    <i r="1">
      <x v="9"/>
      <x v="63"/>
    </i>
    <i r="2">
      <x v="100"/>
    </i>
    <i r="2">
      <x v="38"/>
    </i>
    <i r="2">
      <x v="116"/>
    </i>
    <i r="2">
      <x v="13"/>
    </i>
    <i r="2">
      <x v="128"/>
    </i>
    <i r="2">
      <x v="59"/>
    </i>
    <i r="2">
      <x v="129"/>
    </i>
    <i r="1">
      <x v="10"/>
      <x v="63"/>
    </i>
    <i r="2">
      <x v="100"/>
    </i>
    <i r="2">
      <x v="38"/>
    </i>
    <i r="2">
      <x v="116"/>
    </i>
    <i r="2">
      <x v="13"/>
    </i>
    <i r="2">
      <x v="128"/>
    </i>
    <i r="1">
      <x v="11"/>
      <x v="63"/>
    </i>
    <i r="2">
      <x v="100"/>
    </i>
    <i r="2">
      <x v="38"/>
    </i>
    <i r="2">
      <x v="116"/>
    </i>
    <i r="2">
      <x v="13"/>
    </i>
    <i r="2">
      <x v="128"/>
    </i>
    <i r="1">
      <x v="12"/>
      <x v="38"/>
    </i>
    <i r="2">
      <x v="100"/>
    </i>
    <i r="2">
      <x v="13"/>
    </i>
    <i r="2">
      <x v="116"/>
    </i>
    <i r="1">
      <x v="13"/>
      <x v="38"/>
    </i>
    <i r="2">
      <x v="100"/>
    </i>
    <i r="2">
      <x v="13"/>
    </i>
    <i r="2">
      <x v="116"/>
    </i>
    <i r="1">
      <x v="14"/>
      <x v="38"/>
    </i>
    <i r="2">
      <x v="100"/>
    </i>
    <i r="2">
      <x v="13"/>
    </i>
    <i r="2">
      <x v="116"/>
    </i>
    <i>
      <x v="46"/>
      <x/>
      <x v="38"/>
    </i>
    <i r="2">
      <x v="3"/>
    </i>
    <i r="2">
      <x v="71"/>
    </i>
    <i r="2">
      <x v="10"/>
    </i>
    <i r="2">
      <x v="123"/>
    </i>
    <i r="1">
      <x v="1"/>
      <x v="38"/>
    </i>
    <i r="2">
      <x v="3"/>
    </i>
    <i r="2">
      <x v="71"/>
    </i>
    <i r="2">
      <x v="10"/>
    </i>
    <i r="2">
      <x v="123"/>
    </i>
    <i r="1">
      <x v="2"/>
      <x v="38"/>
    </i>
    <i r="2">
      <x v="3"/>
    </i>
    <i r="2">
      <x v="71"/>
    </i>
    <i r="2">
      <x v="10"/>
    </i>
    <i r="2">
      <x v="123"/>
    </i>
    <i r="1">
      <x v="3"/>
      <x v="38"/>
    </i>
    <i r="2">
      <x v="3"/>
    </i>
    <i r="2">
      <x v="71"/>
    </i>
    <i r="2">
      <x v="10"/>
    </i>
    <i r="2">
      <x v="123"/>
    </i>
    <i r="1">
      <x v="4"/>
      <x v="38"/>
    </i>
    <i r="2">
      <x v="3"/>
    </i>
    <i r="2">
      <x v="123"/>
    </i>
    <i r="1">
      <x v="5"/>
      <x v="38"/>
    </i>
    <i r="2">
      <x v="123"/>
    </i>
    <i>
      <x v="47"/>
      <x/>
      <x v="58"/>
    </i>
    <i r="2">
      <x v="38"/>
    </i>
    <i r="2">
      <x v="98"/>
    </i>
    <i r="1">
      <x v="1"/>
      <x v="58"/>
    </i>
    <i r="2">
      <x v="38"/>
    </i>
    <i r="2">
      <x v="98"/>
    </i>
    <i r="1">
      <x v="2"/>
      <x v="58"/>
    </i>
    <i r="2">
      <x v="38"/>
    </i>
    <i r="2">
      <x v="98"/>
    </i>
    <i r="1">
      <x v="3"/>
      <x v="58"/>
    </i>
    <i r="2">
      <x v="38"/>
    </i>
    <i r="2">
      <x v="98"/>
    </i>
    <i r="1">
      <x v="4"/>
      <x v="58"/>
    </i>
    <i r="2">
      <x v="38"/>
    </i>
    <i r="2">
      <x v="98"/>
    </i>
    <i r="1">
      <x v="5"/>
      <x v="58"/>
    </i>
    <i r="2">
      <x v="38"/>
    </i>
    <i r="2">
      <x v="98"/>
    </i>
    <i r="1">
      <x v="6"/>
      <x v="58"/>
    </i>
    <i r="2">
      <x v="38"/>
    </i>
    <i r="2">
      <x v="98"/>
    </i>
    <i r="1">
      <x v="7"/>
      <x v="58"/>
    </i>
    <i r="2">
      <x v="38"/>
    </i>
    <i r="2">
      <x v="98"/>
    </i>
    <i r="1">
      <x v="8"/>
      <x v="58"/>
    </i>
    <i r="2">
      <x v="38"/>
    </i>
    <i r="2">
      <x v="98"/>
    </i>
    <i r="1">
      <x v="9"/>
      <x v="58"/>
    </i>
    <i r="2">
      <x v="38"/>
    </i>
    <i r="2">
      <x v="98"/>
    </i>
    <i r="1">
      <x v="10"/>
      <x v="58"/>
    </i>
    <i r="2">
      <x v="38"/>
    </i>
    <i r="2">
      <x v="98"/>
    </i>
    <i r="1">
      <x v="11"/>
      <x v="58"/>
    </i>
    <i r="2">
      <x v="38"/>
    </i>
    <i r="2">
      <x v="98"/>
    </i>
    <i r="1">
      <x v="12"/>
      <x v="58"/>
    </i>
    <i r="2">
      <x v="38"/>
    </i>
    <i r="2">
      <x v="98"/>
    </i>
    <i r="1">
      <x v="13"/>
      <x v="58"/>
    </i>
    <i r="2">
      <x v="38"/>
    </i>
    <i r="2">
      <x v="98"/>
    </i>
    <i r="1">
      <x v="14"/>
      <x v="58"/>
    </i>
    <i r="2">
      <x v="38"/>
    </i>
    <i r="2">
      <x v="98"/>
    </i>
    <i r="1">
      <x v="15"/>
      <x v="58"/>
    </i>
    <i r="2">
      <x v="38"/>
    </i>
    <i r="2">
      <x v="98"/>
    </i>
    <i r="1">
      <x v="16"/>
      <x v="58"/>
    </i>
    <i r="2">
      <x v="38"/>
    </i>
    <i r="2">
      <x v="98"/>
    </i>
    <i r="1">
      <x v="17"/>
      <x v="58"/>
    </i>
    <i r="2">
      <x v="38"/>
    </i>
    <i r="2">
      <x v="98"/>
    </i>
    <i r="1">
      <x v="18"/>
      <x v="58"/>
    </i>
    <i r="2">
      <x v="38"/>
    </i>
    <i r="2">
      <x v="98"/>
    </i>
    <i>
      <x v="48"/>
      <x/>
      <x v="38"/>
    </i>
    <i r="1">
      <x v="1"/>
      <x v="38"/>
    </i>
    <i r="1">
      <x v="2"/>
      <x v="38"/>
    </i>
    <i r="1">
      <x v="3"/>
      <x v="38"/>
    </i>
    <i r="1">
      <x v="4"/>
      <x v="38"/>
    </i>
    <i r="1">
      <x v="5"/>
      <x v="38"/>
    </i>
    <i r="1">
      <x v="6"/>
      <x v="38"/>
    </i>
    <i r="1">
      <x v="7"/>
      <x v="38"/>
    </i>
    <i r="1">
      <x v="8"/>
      <x v="38"/>
    </i>
    <i r="1">
      <x v="9"/>
      <x v="38"/>
    </i>
    <i r="1">
      <x v="10"/>
      <x v="38"/>
    </i>
    <i r="1">
      <x v="11"/>
      <x v="38"/>
    </i>
    <i r="1">
      <x v="12"/>
      <x v="38"/>
    </i>
    <i r="1">
      <x v="13"/>
      <x v="38"/>
    </i>
    <i r="1">
      <x v="14"/>
      <x v="38"/>
    </i>
    <i r="1">
      <x v="15"/>
      <x v="38"/>
    </i>
    <i r="1">
      <x v="16"/>
      <x v="38"/>
    </i>
    <i r="1">
      <x v="17"/>
      <x v="38"/>
    </i>
    <i r="1">
      <x v="18"/>
      <x v="38"/>
    </i>
    <i r="1">
      <x v="19"/>
      <x v="38"/>
    </i>
    <i r="1">
      <x v="20"/>
      <x v="38"/>
    </i>
    <i r="1">
      <x v="21"/>
      <x v="38"/>
    </i>
    <i r="1">
      <x v="22"/>
      <x v="38"/>
    </i>
    <i r="1">
      <x v="23"/>
      <x v="38"/>
    </i>
    <i r="1">
      <x v="24"/>
      <x v="38"/>
    </i>
    <i r="1">
      <x v="25"/>
      <x v="38"/>
    </i>
    <i>
      <x v="49"/>
      <x/>
      <x v="38"/>
    </i>
    <i r="1">
      <x v="1"/>
      <x v="38"/>
    </i>
    <i r="1">
      <x v="2"/>
      <x v="38"/>
    </i>
    <i r="1">
      <x v="3"/>
      <x v="38"/>
    </i>
    <i r="1">
      <x v="4"/>
      <x v="38"/>
    </i>
    <i r="1">
      <x v="5"/>
      <x v="38"/>
    </i>
    <i r="1">
      <x v="6"/>
      <x v="38"/>
    </i>
    <i r="1">
      <x v="7"/>
      <x v="38"/>
    </i>
    <i r="1">
      <x v="8"/>
      <x v="38"/>
    </i>
    <i r="1">
      <x v="9"/>
      <x v="38"/>
    </i>
    <i r="1">
      <x v="10"/>
      <x v="38"/>
    </i>
    <i r="1">
      <x v="11"/>
      <x v="38"/>
    </i>
    <i r="1">
      <x v="12"/>
      <x v="38"/>
    </i>
    <i>
      <x v="50"/>
      <x v="2"/>
      <x v="42"/>
    </i>
    <i r="2">
      <x v="10"/>
    </i>
    <i r="2">
      <x v="89"/>
    </i>
    <i r="2">
      <x v="38"/>
    </i>
    <i r="2">
      <x v="92"/>
    </i>
    <i r="2">
      <x v="13"/>
    </i>
    <i r="2">
      <x v="100"/>
    </i>
    <i r="1">
      <x v="3"/>
      <x v="42"/>
    </i>
    <i r="2">
      <x v="10"/>
    </i>
    <i r="2">
      <x v="89"/>
    </i>
    <i r="2">
      <x v="38"/>
    </i>
    <i r="2">
      <x v="92"/>
    </i>
    <i r="2">
      <x v="13"/>
    </i>
    <i r="2">
      <x v="100"/>
    </i>
    <i r="1">
      <x v="4"/>
      <x v="42"/>
    </i>
    <i r="2">
      <x v="10"/>
    </i>
    <i r="2">
      <x v="89"/>
    </i>
    <i r="2">
      <x v="38"/>
    </i>
    <i r="2">
      <x v="92"/>
    </i>
    <i r="2">
      <x v="13"/>
    </i>
    <i r="2">
      <x v="100"/>
    </i>
    <i r="1">
      <x v="5"/>
      <x v="42"/>
    </i>
    <i r="2">
      <x v="10"/>
    </i>
    <i r="2">
      <x v="89"/>
    </i>
    <i r="2">
      <x v="38"/>
    </i>
    <i r="2">
      <x v="92"/>
    </i>
    <i r="2">
      <x v="13"/>
    </i>
    <i r="2">
      <x v="100"/>
    </i>
    <i r="1">
      <x v="6"/>
      <x v="38"/>
    </i>
    <i r="2">
      <x v="10"/>
    </i>
    <i r="2">
      <x v="42"/>
    </i>
    <i r="2">
      <x v="13"/>
    </i>
    <i r="2">
      <x v="100"/>
    </i>
    <i r="1">
      <x v="7"/>
      <x v="38"/>
    </i>
    <i r="2">
      <x v="10"/>
    </i>
    <i r="2">
      <x v="42"/>
    </i>
    <i r="2">
      <x v="13"/>
    </i>
    <i r="2">
      <x v="100"/>
    </i>
    <i r="1">
      <x v="8"/>
      <x v="38"/>
    </i>
    <i r="2">
      <x v="10"/>
    </i>
    <i r="2">
      <x v="42"/>
    </i>
    <i r="2">
      <x v="13"/>
    </i>
    <i r="2">
      <x v="100"/>
    </i>
    <i r="1">
      <x v="9"/>
      <x v="38"/>
    </i>
    <i r="2">
      <x v="10"/>
    </i>
    <i r="2">
      <x v="42"/>
    </i>
    <i r="2">
      <x v="13"/>
    </i>
    <i r="2">
      <x v="100"/>
    </i>
    <i r="1">
      <x v="10"/>
      <x v="38"/>
    </i>
    <i r="2">
      <x v="10"/>
    </i>
    <i r="2">
      <x v="42"/>
    </i>
    <i r="2">
      <x v="13"/>
    </i>
    <i r="2">
      <x v="100"/>
    </i>
    <i r="1">
      <x v="11"/>
      <x v="38"/>
    </i>
    <i r="2">
      <x v="10"/>
    </i>
    <i r="2">
      <x v="42"/>
    </i>
    <i r="2">
      <x v="13"/>
    </i>
    <i r="2">
      <x v="100"/>
    </i>
    <i r="1">
      <x v="12"/>
      <x v="38"/>
    </i>
    <i r="2">
      <x v="10"/>
    </i>
    <i r="2">
      <x v="42"/>
    </i>
    <i r="2">
      <x v="13"/>
    </i>
    <i r="2">
      <x v="100"/>
    </i>
    <i r="1">
      <x v="13"/>
      <x v="13"/>
    </i>
    <i r="2">
      <x v="38"/>
    </i>
    <i r="2">
      <x v="10"/>
    </i>
    <i r="2">
      <x v="100"/>
    </i>
    <i r="1">
      <x v="14"/>
      <x v="10"/>
    </i>
    <i r="1">
      <x v="15"/>
      <x v="10"/>
    </i>
    <i r="1">
      <x v="16"/>
      <x v="10"/>
    </i>
    <i>
      <x v="51"/>
      <x/>
      <x v="13"/>
    </i>
    <i r="2">
      <x v="10"/>
    </i>
    <i r="2">
      <x v="38"/>
    </i>
    <i r="1">
      <x v="1"/>
      <x v="13"/>
    </i>
    <i r="2">
      <x v="38"/>
    </i>
    <i r="2">
      <x v="10"/>
    </i>
    <i r="2">
      <x v="68"/>
    </i>
    <i r="1">
      <x v="2"/>
      <x v="13"/>
    </i>
    <i r="2">
      <x v="38"/>
    </i>
    <i r="2">
      <x v="10"/>
    </i>
    <i r="2">
      <x v="68"/>
    </i>
    <i r="1">
      <x v="3"/>
      <x v="13"/>
    </i>
    <i r="2">
      <x v="38"/>
    </i>
    <i r="2">
      <x v="10"/>
    </i>
    <i r="2">
      <x v="68"/>
    </i>
    <i r="1">
      <x v="4"/>
      <x v="13"/>
    </i>
    <i r="2">
      <x v="38"/>
    </i>
    <i r="2">
      <x v="10"/>
    </i>
    <i r="2">
      <x v="68"/>
    </i>
    <i r="1">
      <x v="5"/>
      <x v="13"/>
    </i>
    <i r="2">
      <x v="38"/>
    </i>
    <i r="2">
      <x v="10"/>
    </i>
    <i r="2">
      <x v="68"/>
    </i>
    <i r="1">
      <x v="6"/>
      <x v="13"/>
    </i>
    <i r="2">
      <x v="38"/>
    </i>
    <i r="2">
      <x v="10"/>
    </i>
    <i r="2">
      <x v="68"/>
    </i>
    <i r="1">
      <x v="7"/>
      <x v="13"/>
    </i>
    <i r="2">
      <x v="38"/>
    </i>
    <i r="2">
      <x v="10"/>
    </i>
    <i r="2">
      <x v="68"/>
    </i>
    <i r="1">
      <x v="8"/>
      <x v="13"/>
    </i>
    <i r="2">
      <x v="38"/>
    </i>
    <i r="2">
      <x v="10"/>
    </i>
    <i r="2">
      <x v="68"/>
    </i>
    <i r="1">
      <x v="9"/>
      <x v="13"/>
    </i>
    <i r="2">
      <x v="38"/>
    </i>
    <i r="2">
      <x v="10"/>
    </i>
    <i r="2">
      <x v="68"/>
    </i>
    <i r="1">
      <x v="10"/>
      <x v="13"/>
    </i>
    <i r="2">
      <x v="38"/>
    </i>
    <i r="2">
      <x v="10"/>
    </i>
    <i r="2">
      <x v="68"/>
    </i>
    <i r="1">
      <x v="11"/>
      <x v="13"/>
    </i>
    <i r="2">
      <x v="38"/>
    </i>
    <i r="2">
      <x v="10"/>
    </i>
    <i r="2">
      <x v="68"/>
    </i>
    <i r="1">
      <x v="12"/>
      <x v="68"/>
    </i>
    <i r="2">
      <x v="10"/>
    </i>
    <i r="2">
      <x v="73"/>
    </i>
    <i r="2">
      <x v="38"/>
    </i>
    <i r="2">
      <x v="100"/>
    </i>
    <i r="2">
      <x v="13"/>
    </i>
    <i r="2">
      <x v="123"/>
    </i>
    <i r="1">
      <x v="13"/>
      <x v="68"/>
    </i>
    <i r="2">
      <x v="10"/>
    </i>
    <i r="2">
      <x v="73"/>
    </i>
    <i r="2">
      <x v="38"/>
    </i>
    <i r="2">
      <x v="100"/>
    </i>
    <i r="2">
      <x v="13"/>
    </i>
    <i r="2">
      <x v="123"/>
    </i>
    <i r="1">
      <x v="14"/>
      <x v="68"/>
    </i>
    <i r="2">
      <x v="10"/>
    </i>
    <i r="2">
      <x v="73"/>
    </i>
    <i r="2">
      <x v="38"/>
    </i>
    <i r="2">
      <x v="100"/>
    </i>
    <i r="2">
      <x v="13"/>
    </i>
    <i r="2">
      <x v="123"/>
    </i>
    <i r="1">
      <x v="15"/>
      <x v="68"/>
    </i>
    <i r="2">
      <x v="10"/>
    </i>
    <i r="2">
      <x v="73"/>
    </i>
    <i r="2">
      <x v="38"/>
    </i>
    <i r="2">
      <x v="100"/>
    </i>
    <i r="2">
      <x v="13"/>
    </i>
    <i r="2">
      <x v="123"/>
    </i>
    <i r="1">
      <x v="16"/>
      <x v="68"/>
    </i>
    <i r="2">
      <x v="10"/>
    </i>
    <i r="2">
      <x v="73"/>
    </i>
    <i r="2">
      <x v="38"/>
    </i>
    <i r="2">
      <x v="100"/>
    </i>
    <i r="2">
      <x v="13"/>
    </i>
    <i r="2">
      <x v="123"/>
    </i>
    <i r="1">
      <x v="17"/>
      <x v="68"/>
    </i>
    <i r="2">
      <x v="10"/>
    </i>
    <i r="2">
      <x v="73"/>
    </i>
    <i r="2">
      <x v="38"/>
    </i>
    <i r="2">
      <x v="100"/>
    </i>
    <i r="2">
      <x v="13"/>
    </i>
    <i r="2">
      <x v="123"/>
    </i>
    <i r="1">
      <x v="18"/>
      <x v="68"/>
    </i>
    <i r="2">
      <x v="10"/>
    </i>
    <i r="2">
      <x v="73"/>
    </i>
    <i r="2">
      <x v="38"/>
    </i>
    <i r="2">
      <x v="100"/>
    </i>
    <i r="2">
      <x v="13"/>
    </i>
    <i r="2">
      <x v="123"/>
    </i>
    <i r="1">
      <x v="19"/>
      <x v="68"/>
    </i>
    <i r="2">
      <x v="10"/>
    </i>
    <i r="2">
      <x v="73"/>
    </i>
    <i r="2">
      <x v="38"/>
    </i>
    <i r="2">
      <x v="100"/>
    </i>
    <i r="2">
      <x v="13"/>
    </i>
    <i r="2">
      <x v="123"/>
    </i>
    <i r="1">
      <x v="20"/>
      <x v="68"/>
    </i>
    <i r="2">
      <x v="10"/>
    </i>
    <i r="2">
      <x v="73"/>
    </i>
    <i r="2">
      <x v="38"/>
    </i>
    <i r="2">
      <x v="100"/>
    </i>
    <i r="2">
      <x v="13"/>
    </i>
    <i r="2">
      <x v="123"/>
    </i>
    <i r="1">
      <x v="21"/>
      <x v="68"/>
    </i>
    <i r="2">
      <x v="10"/>
    </i>
    <i r="2">
      <x v="73"/>
    </i>
    <i r="2">
      <x v="38"/>
    </i>
    <i r="2">
      <x v="100"/>
    </i>
    <i r="2">
      <x v="13"/>
    </i>
    <i r="2">
      <x v="123"/>
    </i>
    <i r="1">
      <x v="22"/>
      <x v="13"/>
    </i>
    <i r="2">
      <x v="38"/>
    </i>
    <i r="2">
      <x v="10"/>
    </i>
    <i r="2">
      <x v="100"/>
    </i>
    <i r="1">
      <x v="23"/>
      <x v="13"/>
    </i>
    <i r="2">
      <x v="38"/>
    </i>
    <i r="2">
      <x v="10"/>
    </i>
    <i r="2">
      <x v="100"/>
    </i>
    <i>
      <x v="52"/>
      <x v="1"/>
      <x v="58"/>
    </i>
    <i r="2">
      <x v="3"/>
    </i>
    <i r="2">
      <x v="100"/>
    </i>
    <i r="2">
      <x v="38"/>
    </i>
    <i r="2">
      <x v="115"/>
    </i>
    <i r="2">
      <x v="13"/>
    </i>
    <i r="2">
      <x v="116"/>
    </i>
    <i r="2">
      <x v="51"/>
    </i>
    <i r="2">
      <x v="123"/>
    </i>
    <i r="1">
      <x v="2"/>
      <x v="58"/>
    </i>
    <i r="2">
      <x v="3"/>
    </i>
    <i r="2">
      <x v="100"/>
    </i>
    <i r="2">
      <x v="38"/>
    </i>
    <i r="2">
      <x v="115"/>
    </i>
    <i r="2">
      <x v="13"/>
    </i>
    <i r="2">
      <x v="116"/>
    </i>
    <i r="2">
      <x v="51"/>
    </i>
    <i r="2">
      <x v="123"/>
    </i>
    <i r="1">
      <x v="3"/>
      <x v="58"/>
    </i>
    <i r="2">
      <x v="3"/>
    </i>
    <i r="2">
      <x v="100"/>
    </i>
    <i r="2">
      <x v="38"/>
    </i>
    <i r="2">
      <x v="115"/>
    </i>
    <i r="2">
      <x v="13"/>
    </i>
    <i r="2">
      <x v="116"/>
    </i>
    <i r="2">
      <x v="51"/>
    </i>
    <i r="2">
      <x v="123"/>
    </i>
    <i r="1">
      <x v="4"/>
      <x v="58"/>
    </i>
    <i r="2">
      <x v="3"/>
    </i>
    <i r="2">
      <x v="100"/>
    </i>
    <i r="2">
      <x v="38"/>
    </i>
    <i r="2">
      <x v="115"/>
    </i>
    <i r="2">
      <x v="13"/>
    </i>
    <i r="2">
      <x v="116"/>
    </i>
    <i r="2">
      <x v="51"/>
    </i>
    <i r="2">
      <x v="123"/>
    </i>
    <i r="1">
      <x v="5"/>
      <x v="58"/>
    </i>
    <i r="2">
      <x v="3"/>
    </i>
    <i r="2">
      <x v="100"/>
    </i>
    <i r="2">
      <x v="38"/>
    </i>
    <i r="2">
      <x v="115"/>
    </i>
    <i r="2">
      <x v="13"/>
    </i>
    <i r="2">
      <x v="116"/>
    </i>
    <i r="2">
      <x v="51"/>
    </i>
    <i r="2">
      <x v="123"/>
    </i>
    <i r="1">
      <x v="6"/>
      <x v="58"/>
    </i>
    <i r="2">
      <x v="3"/>
    </i>
    <i r="2">
      <x v="100"/>
    </i>
    <i r="2">
      <x v="38"/>
    </i>
    <i r="2">
      <x v="115"/>
    </i>
    <i r="2">
      <x v="13"/>
    </i>
    <i r="2">
      <x v="116"/>
    </i>
    <i r="2">
      <x v="51"/>
    </i>
    <i r="2">
      <x v="123"/>
    </i>
    <i r="1">
      <x v="7"/>
      <x v="58"/>
    </i>
    <i r="2">
      <x v="3"/>
    </i>
    <i r="2">
      <x v="100"/>
    </i>
    <i r="2">
      <x v="38"/>
    </i>
    <i r="2">
      <x v="115"/>
    </i>
    <i r="2">
      <x v="13"/>
    </i>
    <i r="2">
      <x v="116"/>
    </i>
    <i r="2">
      <x v="51"/>
    </i>
    <i r="2">
      <x v="123"/>
    </i>
    <i r="1">
      <x v="8"/>
      <x v="58"/>
    </i>
    <i r="2">
      <x v="3"/>
    </i>
    <i r="2">
      <x v="100"/>
    </i>
    <i r="2">
      <x v="38"/>
    </i>
    <i r="2">
      <x v="115"/>
    </i>
    <i r="2">
      <x v="13"/>
    </i>
    <i r="2">
      <x v="116"/>
    </i>
    <i r="2">
      <x v="51"/>
    </i>
    <i r="2">
      <x v="123"/>
    </i>
    <i r="1">
      <x v="9"/>
      <x v="58"/>
    </i>
    <i r="2">
      <x v="3"/>
    </i>
    <i r="2">
      <x v="100"/>
    </i>
    <i r="2">
      <x v="38"/>
    </i>
    <i r="2">
      <x v="115"/>
    </i>
    <i r="2">
      <x v="13"/>
    </i>
    <i r="2">
      <x v="116"/>
    </i>
    <i r="2">
      <x v="51"/>
    </i>
    <i r="2">
      <x v="123"/>
    </i>
    <i r="1">
      <x v="10"/>
      <x v="58"/>
    </i>
    <i r="2">
      <x v="3"/>
    </i>
    <i r="2">
      <x v="100"/>
    </i>
    <i r="2">
      <x v="38"/>
    </i>
    <i r="2">
      <x v="115"/>
    </i>
    <i r="2">
      <x v="13"/>
    </i>
    <i r="2">
      <x v="116"/>
    </i>
    <i r="2">
      <x v="51"/>
    </i>
    <i r="2">
      <x v="123"/>
    </i>
    <i r="1">
      <x v="11"/>
      <x v="58"/>
    </i>
    <i r="2">
      <x v="100"/>
    </i>
    <i r="2">
      <x v="13"/>
    </i>
    <i r="2">
      <x v="115"/>
    </i>
    <i r="2">
      <x v="3"/>
    </i>
    <i r="2">
      <x v="116"/>
    </i>
    <i r="2">
      <x v="38"/>
    </i>
    <i r="2">
      <x v="123"/>
    </i>
    <i r="1">
      <x v="12"/>
      <x v="58"/>
    </i>
    <i r="2">
      <x v="100"/>
    </i>
    <i r="2">
      <x v="13"/>
    </i>
    <i r="2">
      <x v="115"/>
    </i>
    <i r="2">
      <x v="3"/>
    </i>
    <i r="2">
      <x v="116"/>
    </i>
    <i r="2">
      <x v="38"/>
    </i>
    <i r="2">
      <x v="123"/>
    </i>
    <i r="1">
      <x v="13"/>
      <x v="58"/>
    </i>
    <i r="2">
      <x v="100"/>
    </i>
    <i r="2">
      <x v="13"/>
    </i>
    <i r="2">
      <x v="115"/>
    </i>
    <i r="2">
      <x v="3"/>
    </i>
    <i r="2">
      <x v="116"/>
    </i>
    <i r="2">
      <x v="38"/>
    </i>
    <i r="2">
      <x v="123"/>
    </i>
    <i r="1">
      <x v="14"/>
      <x v="58"/>
    </i>
    <i r="2">
      <x v="100"/>
    </i>
    <i r="2">
      <x v="13"/>
    </i>
    <i r="2">
      <x v="115"/>
    </i>
    <i r="2">
      <x v="3"/>
    </i>
    <i r="2">
      <x v="116"/>
    </i>
    <i r="2">
      <x v="38"/>
    </i>
    <i r="2">
      <x v="123"/>
    </i>
    <i r="1">
      <x v="15"/>
      <x v="58"/>
    </i>
    <i r="2">
      <x v="3"/>
    </i>
    <i r="2">
      <x v="100"/>
    </i>
    <i r="2">
      <x v="38"/>
    </i>
    <i r="2">
      <x v="116"/>
    </i>
    <i r="2">
      <x v="13"/>
    </i>
    <i r="2">
      <x v="123"/>
    </i>
    <i r="1">
      <x v="16"/>
      <x v="58"/>
    </i>
    <i r="2">
      <x v="3"/>
    </i>
    <i r="2">
      <x v="100"/>
    </i>
    <i r="2">
      <x v="38"/>
    </i>
    <i r="2">
      <x v="116"/>
    </i>
    <i r="2">
      <x v="13"/>
    </i>
    <i r="2">
      <x v="123"/>
    </i>
    <i r="1">
      <x v="17"/>
      <x v="58"/>
    </i>
    <i r="2">
      <x v="3"/>
    </i>
    <i r="2">
      <x v="100"/>
    </i>
    <i r="2">
      <x v="38"/>
    </i>
    <i r="2">
      <x v="116"/>
    </i>
    <i r="2">
      <x v="13"/>
    </i>
    <i r="2">
      <x v="123"/>
    </i>
    <i r="1">
      <x v="18"/>
      <x v="58"/>
    </i>
    <i r="2">
      <x v="3"/>
    </i>
    <i r="2">
      <x v="116"/>
    </i>
    <i r="2">
      <x v="38"/>
    </i>
    <i r="2">
      <x v="123"/>
    </i>
    <i r="1">
      <x v="19"/>
      <x v="38"/>
    </i>
    <i r="2">
      <x v="58"/>
    </i>
    <i r="2">
      <x v="3"/>
    </i>
    <i r="2">
      <x v="123"/>
    </i>
    <i r="1">
      <x v="20"/>
      <x v="38"/>
    </i>
    <i r="2">
      <x v="58"/>
    </i>
    <i r="2">
      <x v="3"/>
    </i>
    <i r="2">
      <x v="123"/>
    </i>
    <i r="1">
      <x v="21"/>
      <x v="38"/>
    </i>
    <i r="2">
      <x v="3"/>
    </i>
    <i r="2">
      <x v="123"/>
    </i>
    <i r="1">
      <x v="22"/>
      <x v="38"/>
    </i>
    <i r="2">
      <x v="3"/>
    </i>
    <i r="2">
      <x v="123"/>
    </i>
    <i r="1">
      <x v="23"/>
      <x v="38"/>
    </i>
    <i r="2">
      <x v="3"/>
    </i>
    <i r="2">
      <x v="123"/>
    </i>
    <i>
      <x v="53"/>
      <x/>
      <x v="38"/>
    </i>
    <i r="2">
      <x v="42"/>
    </i>
    <i r="2">
      <x v="13"/>
    </i>
    <i r="2">
      <x v="72"/>
    </i>
    <i r="2">
      <x v="10"/>
    </i>
    <i r="2">
      <x v="104"/>
    </i>
    <i r="1">
      <x v="1"/>
      <x v="38"/>
    </i>
    <i r="2">
      <x v="42"/>
    </i>
    <i r="2">
      <x v="13"/>
    </i>
    <i r="2">
      <x v="72"/>
    </i>
    <i r="2">
      <x v="10"/>
    </i>
    <i r="2">
      <x v="104"/>
    </i>
    <i r="1">
      <x v="2"/>
      <x v="38"/>
    </i>
    <i r="2">
      <x v="42"/>
    </i>
    <i r="2">
      <x v="13"/>
    </i>
    <i r="2">
      <x v="72"/>
    </i>
    <i r="2">
      <x v="10"/>
    </i>
    <i r="2">
      <x v="104"/>
    </i>
    <i r="1">
      <x v="3"/>
      <x v="38"/>
    </i>
    <i r="2">
      <x v="42"/>
    </i>
    <i r="2">
      <x v="13"/>
    </i>
    <i r="2">
      <x v="72"/>
    </i>
    <i r="2">
      <x v="10"/>
    </i>
    <i r="2">
      <x v="104"/>
    </i>
    <i r="1">
      <x v="4"/>
      <x v="38"/>
    </i>
    <i r="2">
      <x v="42"/>
    </i>
    <i r="2">
      <x v="13"/>
    </i>
    <i r="2">
      <x v="72"/>
    </i>
    <i r="2">
      <x v="10"/>
    </i>
    <i r="2">
      <x v="104"/>
    </i>
    <i r="1">
      <x v="5"/>
      <x v="38"/>
    </i>
    <i r="2">
      <x v="42"/>
    </i>
    <i r="2">
      <x v="13"/>
    </i>
    <i r="2">
      <x v="72"/>
    </i>
    <i r="2">
      <x v="10"/>
    </i>
    <i r="2">
      <x v="104"/>
    </i>
    <i r="1">
      <x v="6"/>
      <x v="38"/>
    </i>
    <i r="2">
      <x v="42"/>
    </i>
    <i r="2">
      <x v="13"/>
    </i>
    <i r="2">
      <x v="72"/>
    </i>
    <i r="2">
      <x v="10"/>
    </i>
    <i r="2">
      <x v="104"/>
    </i>
    <i r="1">
      <x v="7"/>
      <x v="38"/>
    </i>
    <i r="2">
      <x v="42"/>
    </i>
    <i r="2">
      <x v="13"/>
    </i>
    <i r="2">
      <x v="72"/>
    </i>
    <i r="2">
      <x v="10"/>
    </i>
    <i r="2">
      <x v="104"/>
    </i>
    <i r="1">
      <x v="8"/>
      <x v="38"/>
    </i>
    <i r="2">
      <x v="42"/>
    </i>
    <i r="2">
      <x v="13"/>
    </i>
    <i r="2">
      <x v="72"/>
    </i>
    <i r="2">
      <x v="10"/>
    </i>
    <i r="2">
      <x v="104"/>
    </i>
    <i r="1">
      <x v="9"/>
      <x v="38"/>
    </i>
    <i r="2">
      <x v="42"/>
    </i>
    <i r="2">
      <x v="13"/>
    </i>
    <i r="2">
      <x v="72"/>
    </i>
    <i r="2">
      <x v="10"/>
    </i>
    <i r="2">
      <x v="104"/>
    </i>
    <i r="1">
      <x v="10"/>
      <x v="38"/>
    </i>
    <i r="2">
      <x v="42"/>
    </i>
    <i r="2">
      <x v="13"/>
    </i>
    <i r="2">
      <x v="72"/>
    </i>
    <i r="2">
      <x v="10"/>
    </i>
    <i r="2">
      <x v="104"/>
    </i>
    <i r="1">
      <x v="11"/>
      <x v="38"/>
    </i>
    <i r="2">
      <x v="42"/>
    </i>
    <i r="2">
      <x v="13"/>
    </i>
    <i r="2">
      <x v="72"/>
    </i>
    <i r="2">
      <x v="10"/>
    </i>
    <i r="2">
      <x v="104"/>
    </i>
    <i r="1">
      <x v="12"/>
      <x v="38"/>
    </i>
    <i r="2">
      <x v="42"/>
    </i>
    <i r="2">
      <x v="13"/>
    </i>
    <i r="2">
      <x v="72"/>
    </i>
    <i r="2">
      <x v="10"/>
    </i>
    <i r="2">
      <x v="104"/>
    </i>
    <i r="1">
      <x v="13"/>
      <x v="38"/>
    </i>
    <i r="2">
      <x v="42"/>
    </i>
    <i r="2">
      <x v="13"/>
    </i>
    <i r="2">
      <x v="72"/>
    </i>
    <i r="2">
      <x v="10"/>
    </i>
    <i r="2">
      <x v="104"/>
    </i>
    <i r="1">
      <x v="14"/>
      <x v="38"/>
    </i>
    <i r="2">
      <x v="42"/>
    </i>
    <i r="2">
      <x v="13"/>
    </i>
    <i r="2">
      <x v="72"/>
    </i>
    <i r="2">
      <x v="10"/>
    </i>
    <i r="2">
      <x v="104"/>
    </i>
    <i>
      <x v="54"/>
      <x/>
      <x v="10"/>
    </i>
    <i r="2">
      <x v="38"/>
    </i>
    <i r="2">
      <x v="3"/>
    </i>
    <i r="2">
      <x v="123"/>
    </i>
    <i>
      <x v="55"/>
      <x v="3"/>
      <x v="38"/>
    </i>
    <i r="1">
      <x v="4"/>
      <x v="38"/>
    </i>
    <i r="1">
      <x v="5"/>
      <x v="38"/>
    </i>
    <i>
      <x v="56"/>
      <x v="2"/>
      <x v="71"/>
    </i>
    <i r="2">
      <x v="89"/>
    </i>
    <i r="2">
      <x v="13"/>
    </i>
    <i r="2">
      <x v="92"/>
    </i>
    <i r="2">
      <x v="10"/>
    </i>
    <i r="2">
      <x v="100"/>
    </i>
    <i r="2">
      <x v="38"/>
    </i>
    <i r="2">
      <x v="112"/>
    </i>
    <i r="1">
      <x v="3"/>
      <x v="71"/>
    </i>
    <i r="2">
      <x v="89"/>
    </i>
    <i r="2">
      <x v="13"/>
    </i>
    <i r="2">
      <x v="92"/>
    </i>
    <i r="2">
      <x v="10"/>
    </i>
    <i r="2">
      <x v="100"/>
    </i>
    <i r="2">
      <x v="38"/>
    </i>
    <i r="2">
      <x v="112"/>
    </i>
    <i r="1">
      <x v="4"/>
      <x v="71"/>
    </i>
    <i r="2">
      <x v="89"/>
    </i>
    <i r="2">
      <x v="13"/>
    </i>
    <i r="2">
      <x v="92"/>
    </i>
    <i r="2">
      <x v="10"/>
    </i>
    <i r="2">
      <x v="100"/>
    </i>
    <i r="2">
      <x v="38"/>
    </i>
    <i r="2">
      <x v="112"/>
    </i>
    <i r="1">
      <x v="5"/>
      <x v="71"/>
    </i>
    <i r="2">
      <x v="89"/>
    </i>
    <i r="2">
      <x v="13"/>
    </i>
    <i r="2">
      <x v="92"/>
    </i>
    <i r="2">
      <x v="10"/>
    </i>
    <i r="2">
      <x v="100"/>
    </i>
    <i r="2">
      <x v="38"/>
    </i>
    <i r="2">
      <x v="112"/>
    </i>
    <i r="1">
      <x v="6"/>
      <x v="71"/>
    </i>
    <i r="2">
      <x v="89"/>
    </i>
    <i r="2">
      <x v="13"/>
    </i>
    <i r="2">
      <x v="92"/>
    </i>
    <i r="2">
      <x v="10"/>
    </i>
    <i r="2">
      <x v="100"/>
    </i>
    <i r="2">
      <x v="38"/>
    </i>
    <i r="2">
      <x v="112"/>
    </i>
    <i r="1">
      <x v="7"/>
      <x v="71"/>
    </i>
    <i r="2">
      <x v="89"/>
    </i>
    <i r="2">
      <x v="13"/>
    </i>
    <i r="2">
      <x v="92"/>
    </i>
    <i r="2">
      <x v="10"/>
    </i>
    <i r="2">
      <x v="100"/>
    </i>
    <i r="2">
      <x v="38"/>
    </i>
    <i r="2">
      <x v="112"/>
    </i>
    <i r="1">
      <x v="8"/>
      <x v="71"/>
    </i>
    <i r="2">
      <x v="89"/>
    </i>
    <i r="2">
      <x v="13"/>
    </i>
    <i r="2">
      <x v="92"/>
    </i>
    <i r="2">
      <x v="10"/>
    </i>
    <i r="2">
      <x v="100"/>
    </i>
    <i r="2">
      <x v="38"/>
    </i>
    <i r="2">
      <x v="112"/>
    </i>
    <i r="1">
      <x v="9"/>
      <x v="71"/>
    </i>
    <i r="2">
      <x v="10"/>
    </i>
    <i r="2">
      <x v="92"/>
    </i>
    <i r="2">
      <x v="38"/>
    </i>
    <i r="2">
      <x v="100"/>
    </i>
    <i r="2">
      <x v="13"/>
    </i>
    <i r="2">
      <x v="112"/>
    </i>
    <i r="1">
      <x v="10"/>
      <x v="71"/>
    </i>
    <i r="2">
      <x v="10"/>
    </i>
    <i r="2">
      <x v="92"/>
    </i>
    <i r="2">
      <x v="38"/>
    </i>
    <i r="2">
      <x v="100"/>
    </i>
    <i r="2">
      <x v="13"/>
    </i>
    <i r="2">
      <x v="112"/>
    </i>
    <i r="1">
      <x v="11"/>
      <x v="71"/>
    </i>
    <i r="2">
      <x v="10"/>
    </i>
    <i r="2">
      <x v="92"/>
    </i>
    <i r="2">
      <x v="38"/>
    </i>
    <i r="2">
      <x v="100"/>
    </i>
    <i r="2">
      <x v="13"/>
    </i>
    <i r="2">
      <x v="112"/>
    </i>
    <i r="1">
      <x v="12"/>
      <x v="71"/>
    </i>
    <i r="2">
      <x v="10"/>
    </i>
    <i r="2">
      <x v="92"/>
    </i>
    <i r="2">
      <x v="38"/>
    </i>
    <i r="2">
      <x v="100"/>
    </i>
    <i r="2">
      <x v="13"/>
    </i>
    <i r="2">
      <x v="112"/>
    </i>
    <i r="1">
      <x v="13"/>
      <x v="71"/>
    </i>
    <i r="2">
      <x v="10"/>
    </i>
    <i r="2">
      <x v="92"/>
    </i>
    <i r="2">
      <x v="38"/>
    </i>
    <i r="2">
      <x v="100"/>
    </i>
    <i r="2">
      <x v="13"/>
    </i>
    <i r="2">
      <x v="112"/>
    </i>
    <i r="1">
      <x v="14"/>
      <x v="38"/>
    </i>
    <i r="2">
      <x v="71"/>
    </i>
    <i r="2">
      <x v="13"/>
    </i>
    <i r="2">
      <x v="92"/>
    </i>
    <i r="2">
      <x v="10"/>
    </i>
    <i r="2">
      <x v="100"/>
    </i>
    <i r="1">
      <x v="15"/>
      <x v="38"/>
    </i>
    <i r="2">
      <x v="71"/>
    </i>
    <i r="2">
      <x v="13"/>
    </i>
    <i r="2">
      <x v="92"/>
    </i>
    <i r="2">
      <x v="10"/>
    </i>
    <i r="2">
      <x v="100"/>
    </i>
    <i r="1">
      <x v="16"/>
      <x v="38"/>
    </i>
    <i r="2">
      <x v="10"/>
    </i>
    <i r="2">
      <x v="71"/>
    </i>
    <i r="2">
      <x v="13"/>
    </i>
    <i r="2">
      <x v="100"/>
    </i>
    <i r="1">
      <x v="17"/>
      <x v="38"/>
    </i>
    <i r="2">
      <x v="10"/>
    </i>
    <i r="2">
      <x v="71"/>
    </i>
    <i r="2">
      <x v="13"/>
    </i>
    <i r="2">
      <x v="100"/>
    </i>
    <i r="1">
      <x v="18"/>
      <x v="38"/>
    </i>
    <i r="2">
      <x v="10"/>
    </i>
    <i r="2">
      <x v="71"/>
    </i>
    <i r="2">
      <x v="13"/>
    </i>
    <i r="2">
      <x v="100"/>
    </i>
    <i r="1">
      <x v="19"/>
      <x v="38"/>
    </i>
    <i r="2">
      <x v="10"/>
    </i>
    <i r="2">
      <x v="71"/>
    </i>
    <i r="2">
      <x v="13"/>
    </i>
    <i r="2">
      <x v="100"/>
    </i>
    <i r="1">
      <x v="20"/>
      <x v="38"/>
    </i>
    <i r="2">
      <x v="10"/>
    </i>
    <i r="2">
      <x v="71"/>
    </i>
    <i r="2">
      <x v="13"/>
    </i>
    <i r="2">
      <x v="100"/>
    </i>
    <i r="1">
      <x v="21"/>
      <x v="38"/>
    </i>
    <i r="2">
      <x v="10"/>
    </i>
    <i r="2">
      <x v="71"/>
    </i>
    <i r="2">
      <x v="13"/>
    </i>
    <i r="2">
      <x v="100"/>
    </i>
    <i r="1">
      <x v="22"/>
      <x v="13"/>
    </i>
    <i r="2">
      <x v="38"/>
    </i>
    <i r="2">
      <x v="10"/>
    </i>
    <i r="2">
      <x v="71"/>
    </i>
    <i r="1">
      <x v="23"/>
      <x v="13"/>
    </i>
    <i r="2">
      <x v="38"/>
    </i>
    <i r="2">
      <x v="10"/>
    </i>
    <i r="2">
      <x v="71"/>
    </i>
    <i r="1">
      <x v="24"/>
      <x v="13"/>
    </i>
    <i r="2">
      <x v="38"/>
    </i>
    <i r="2">
      <x v="10"/>
    </i>
    <i r="2">
      <x v="71"/>
    </i>
    <i r="1">
      <x v="25"/>
      <x v="13"/>
    </i>
    <i r="2">
      <x v="38"/>
    </i>
    <i r="2">
      <x v="10"/>
    </i>
    <i r="2">
      <x v="71"/>
    </i>
    <i r="1">
      <x v="26"/>
      <x v="13"/>
    </i>
    <i r="2">
      <x v="10"/>
    </i>
    <i r="2">
      <x v="38"/>
    </i>
    <i>
      <x v="57"/>
      <x v="3"/>
      <x v="42"/>
    </i>
    <i r="2">
      <x v="84"/>
    </i>
    <i r="2">
      <x v="23"/>
    </i>
    <i r="2">
      <x v="89"/>
    </i>
    <i r="2">
      <x v="10"/>
    </i>
    <i r="2">
      <x v="100"/>
    </i>
    <i r="2">
      <x v="38"/>
    </i>
    <i r="2">
      <x v="123"/>
    </i>
    <i r="1">
      <x v="4"/>
      <x v="42"/>
    </i>
    <i r="2">
      <x v="10"/>
    </i>
    <i r="2">
      <x v="89"/>
    </i>
    <i r="2">
      <x v="38"/>
    </i>
    <i r="2">
      <x v="100"/>
    </i>
    <i r="2">
      <x v="23"/>
    </i>
    <i r="2">
      <x v="123"/>
    </i>
    <i r="1">
      <x v="5"/>
      <x v="42"/>
    </i>
    <i r="2">
      <x v="10"/>
    </i>
    <i r="2">
      <x v="89"/>
    </i>
    <i r="2">
      <x v="38"/>
    </i>
    <i r="2">
      <x v="100"/>
    </i>
    <i r="2">
      <x v="23"/>
    </i>
    <i r="2">
      <x v="123"/>
    </i>
    <i r="1">
      <x v="6"/>
      <x v="42"/>
    </i>
    <i r="2">
      <x v="10"/>
    </i>
    <i r="2">
      <x v="89"/>
    </i>
    <i r="2">
      <x v="38"/>
    </i>
    <i r="2">
      <x v="100"/>
    </i>
    <i r="2">
      <x v="23"/>
    </i>
    <i r="2">
      <x v="123"/>
    </i>
    <i r="1">
      <x v="7"/>
      <x v="38"/>
    </i>
    <i r="2">
      <x v="42"/>
    </i>
    <i r="2">
      <x v="23"/>
    </i>
    <i r="2">
      <x v="89"/>
    </i>
    <i r="2">
      <x v="10"/>
    </i>
    <i r="2">
      <x v="100"/>
    </i>
    <i r="1">
      <x v="8"/>
      <x v="38"/>
    </i>
    <i r="2">
      <x v="42"/>
    </i>
    <i r="2">
      <x v="23"/>
    </i>
    <i r="2">
      <x v="89"/>
    </i>
    <i r="2">
      <x v="10"/>
    </i>
    <i r="2">
      <x v="100"/>
    </i>
    <i r="1">
      <x v="9"/>
      <x v="38"/>
    </i>
    <i r="2">
      <x v="42"/>
    </i>
    <i r="2">
      <x v="23"/>
    </i>
    <i r="2">
      <x v="89"/>
    </i>
    <i r="2">
      <x v="10"/>
    </i>
    <i r="2">
      <x v="100"/>
    </i>
    <i r="1">
      <x v="10"/>
      <x v="38"/>
    </i>
    <i r="2">
      <x v="10"/>
    </i>
    <i r="2">
      <x v="42"/>
    </i>
    <i r="2">
      <x v="23"/>
    </i>
    <i r="2">
      <x v="100"/>
    </i>
    <i r="1">
      <x v="11"/>
      <x v="38"/>
    </i>
    <i r="2">
      <x v="10"/>
    </i>
    <i r="2">
      <x v="42"/>
    </i>
    <i r="2">
      <x v="23"/>
    </i>
    <i r="2">
      <x v="100"/>
    </i>
    <i r="1">
      <x v="12"/>
      <x v="23"/>
    </i>
    <i r="2">
      <x v="38"/>
    </i>
    <i r="2">
      <x v="10"/>
    </i>
    <i r="2">
      <x v="100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name="Suma de VALOR" fld="3" baseField="0" baseItem="0" numFmtId="4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77"/>
  <sheetViews>
    <sheetView workbookViewId="0">
      <pane xSplit="1" ySplit="1" topLeftCell="B32" activePane="bottomRight" state="frozen"/>
      <selection pane="topRight" activeCell="B1" sqref="B1"/>
      <selection pane="bottomLeft" activeCell="A2" sqref="A2"/>
      <selection pane="bottomRight" activeCell="C59" sqref="C59"/>
    </sheetView>
  </sheetViews>
  <sheetFormatPr baseColWidth="10" defaultRowHeight="15" x14ac:dyDescent="0.25"/>
  <cols>
    <col min="2" max="2" width="16.7109375" bestFit="1" customWidth="1"/>
    <col min="3" max="3" width="11.85546875" style="19" bestFit="1" customWidth="1"/>
    <col min="4" max="4" width="11.42578125" style="16"/>
    <col min="5" max="5" width="25.85546875" style="20" bestFit="1" customWidth="1"/>
    <col min="6" max="6" width="16.7109375" style="16" bestFit="1" customWidth="1"/>
    <col min="7" max="8" width="16.7109375" style="16" customWidth="1"/>
    <col min="9" max="9" width="16.7109375" customWidth="1"/>
    <col min="10" max="10" width="11.85546875" style="37" bestFit="1" customWidth="1"/>
    <col min="11" max="11" width="13.140625" style="32" bestFit="1" customWidth="1"/>
    <col min="14" max="14" width="15.5703125" bestFit="1" customWidth="1"/>
    <col min="16" max="16" width="11.85546875" bestFit="1" customWidth="1"/>
  </cols>
  <sheetData>
    <row r="1" spans="1:14" x14ac:dyDescent="0.25">
      <c r="A1" t="s">
        <v>184</v>
      </c>
      <c r="B1" t="s">
        <v>298</v>
      </c>
      <c r="C1" s="19" t="s">
        <v>222</v>
      </c>
      <c r="D1" s="16" t="s">
        <v>1</v>
      </c>
      <c r="E1" s="20" t="s">
        <v>299</v>
      </c>
      <c r="F1" s="16" t="s">
        <v>223</v>
      </c>
      <c r="G1" s="16" t="s">
        <v>321</v>
      </c>
      <c r="H1" s="16" t="s">
        <v>320</v>
      </c>
      <c r="J1" s="37" t="s">
        <v>267</v>
      </c>
      <c r="K1" s="32" t="s">
        <v>192</v>
      </c>
      <c r="L1" t="s">
        <v>268</v>
      </c>
      <c r="M1" t="s">
        <v>328</v>
      </c>
      <c r="N1" t="s">
        <v>329</v>
      </c>
    </row>
    <row r="2" spans="1:14" x14ac:dyDescent="0.25">
      <c r="A2">
        <v>1385</v>
      </c>
      <c r="B2" s="20">
        <v>8830060365</v>
      </c>
      <c r="C2" s="19">
        <f t="array" ref="C2">+MAX(IF(DATOS_SIMULACION!$A:$A=A2,DATOS_SIMULACION!$B:$B))</f>
        <v>43586</v>
      </c>
      <c r="D2" s="19">
        <v>43638</v>
      </c>
      <c r="E2" s="20">
        <v>6841700331</v>
      </c>
      <c r="F2" s="21">
        <f t="shared" ref="F2:F33" si="0">MAX(B2-E2,0)</f>
        <v>1988360034</v>
      </c>
      <c r="G2" s="45">
        <f>IFERROR(VLOOKUP(A2,[1]OtroSíes!$A:$J,8,0),0)</f>
        <v>0</v>
      </c>
      <c r="H2" s="23">
        <f>IFERROR(VLOOKUP(A2,[1]OtroSíes!$A:$K,9,0),0)</f>
        <v>0</v>
      </c>
      <c r="J2" s="36">
        <f>VLOOKUP(A2,PERSONAS!B:B,1,0)</f>
        <v>1385</v>
      </c>
      <c r="K2" s="32" t="e">
        <f>VLOOKUP(A2,HONORARIOS!B:B,1,0)</f>
        <v>#N/A</v>
      </c>
      <c r="L2">
        <f>VLOOKUP(A2,DATOS_SIMULACION!A:A,1,0)</f>
        <v>1385</v>
      </c>
      <c r="M2" s="19">
        <f t="shared" ref="M2:M33" si="1">EDATE((MONTH(D2)&amp;"-"&amp;YEAR(D2))*1,H2)</f>
        <v>43617</v>
      </c>
      <c r="N2" s="63">
        <f t="shared" ref="N2:N33" si="2">IF(G2&gt;0,B2,F2)</f>
        <v>1988360034</v>
      </c>
    </row>
    <row r="3" spans="1:14" x14ac:dyDescent="0.25">
      <c r="A3">
        <v>1453</v>
      </c>
      <c r="B3" s="20">
        <v>17699230887.234646</v>
      </c>
      <c r="C3" s="19">
        <f t="array" ref="C3">+MAX(IF(DATOS_SIMULACION!$A:$A=A3,DATOS_SIMULACION!$B:$B))</f>
        <v>43800</v>
      </c>
      <c r="D3" s="19">
        <v>43830</v>
      </c>
      <c r="E3" s="20">
        <v>17516230887.234646</v>
      </c>
      <c r="F3" s="21">
        <f t="shared" si="0"/>
        <v>183000000</v>
      </c>
      <c r="G3" s="45">
        <f>IFERROR(VLOOKUP(A3,[1]OtroSíes!$A:$J,8,0),0)</f>
        <v>0</v>
      </c>
      <c r="H3" s="23">
        <f>IFERROR(VLOOKUP(A3,[1]OtroSíes!$A:$K,9,0),0)</f>
        <v>0</v>
      </c>
      <c r="J3" s="36">
        <f>VLOOKUP(A3,PERSONAS!B:B,1,0)</f>
        <v>1453</v>
      </c>
      <c r="K3" s="32">
        <f>VLOOKUP(A3,HONORARIOS!B:B,1,0)</f>
        <v>1453</v>
      </c>
      <c r="L3">
        <f>VLOOKUP(A3,DATOS_SIMULACION!A:A,1,0)</f>
        <v>1453</v>
      </c>
      <c r="M3" s="19">
        <f t="shared" si="1"/>
        <v>43800</v>
      </c>
      <c r="N3" s="63">
        <f t="shared" si="2"/>
        <v>183000000</v>
      </c>
    </row>
    <row r="4" spans="1:14" x14ac:dyDescent="0.25">
      <c r="A4">
        <v>1507</v>
      </c>
      <c r="B4" s="20">
        <v>4041562599.7321372</v>
      </c>
      <c r="C4" s="19">
        <f t="array" ref="C4">+MAX(IF(DATOS_SIMULACION!$A:$A=A4,DATOS_SIMULACION!$B:$B))</f>
        <v>43617</v>
      </c>
      <c r="D4" s="19">
        <v>43667</v>
      </c>
      <c r="E4" s="20">
        <v>3464562599.7321372</v>
      </c>
      <c r="F4" s="21">
        <f t="shared" si="0"/>
        <v>577000000</v>
      </c>
      <c r="G4" s="45">
        <f>IFERROR(VLOOKUP(A4,[1]OtroSíes!$A:$J,8,0),0)</f>
        <v>0</v>
      </c>
      <c r="H4" s="23">
        <f>IFERROR(VLOOKUP(A4,[1]OtroSíes!$A:$K,9,0),0)</f>
        <v>0</v>
      </c>
      <c r="J4" s="36" t="e">
        <f>VLOOKUP(A4,PERSONAS!B:B,1,0)</f>
        <v>#N/A</v>
      </c>
      <c r="K4" s="32">
        <f>VLOOKUP(A4,HONORARIOS!B:B,1,0)</f>
        <v>1507</v>
      </c>
      <c r="L4">
        <f>VLOOKUP(A4,DATOS_SIMULACION!A:A,1,0)</f>
        <v>1507</v>
      </c>
      <c r="M4" s="19">
        <f t="shared" si="1"/>
        <v>43647</v>
      </c>
      <c r="N4" s="63">
        <f t="shared" si="2"/>
        <v>577000000</v>
      </c>
    </row>
    <row r="5" spans="1:14" x14ac:dyDescent="0.25">
      <c r="A5">
        <v>1577</v>
      </c>
      <c r="B5" s="20">
        <v>4984087145</v>
      </c>
      <c r="C5" s="19">
        <f t="array" ref="C5">+MAX(IF(DATOS_SIMULACION!$A:$A=A5,DATOS_SIMULACION!$B:$B))</f>
        <v>43647</v>
      </c>
      <c r="D5" s="19">
        <v>43678</v>
      </c>
      <c r="E5" s="20">
        <v>3786300658</v>
      </c>
      <c r="F5" s="21">
        <f t="shared" si="0"/>
        <v>1197786487</v>
      </c>
      <c r="G5" s="45">
        <f>IFERROR(VLOOKUP(A5,[1]OtroSíes!$A:$J,8,0),0)</f>
        <v>0</v>
      </c>
      <c r="H5" s="23">
        <f>IFERROR(VLOOKUP(A5,[1]OtroSíes!$A:$K,9,0),0)</f>
        <v>0</v>
      </c>
      <c r="J5" s="36">
        <f>VLOOKUP(A5,PERSONAS!B:B,1,0)</f>
        <v>1577</v>
      </c>
      <c r="K5" s="32">
        <f>VLOOKUP(A5,HONORARIOS!B:B,1,0)</f>
        <v>1577</v>
      </c>
      <c r="L5">
        <f>VLOOKUP(A5,DATOS_SIMULACION!A:A,1,0)</f>
        <v>1577</v>
      </c>
      <c r="M5" s="19">
        <f t="shared" si="1"/>
        <v>43678</v>
      </c>
      <c r="N5" s="63">
        <f t="shared" si="2"/>
        <v>1197786487</v>
      </c>
    </row>
    <row r="6" spans="1:14" x14ac:dyDescent="0.25">
      <c r="A6">
        <v>1580</v>
      </c>
      <c r="B6" s="20">
        <v>2477254514</v>
      </c>
      <c r="C6" s="19">
        <f t="array" ref="C6">+MAX(IF(DATOS_SIMULACION!$A:$A=A6,DATOS_SIMULACION!$B:$B))</f>
        <v>43862</v>
      </c>
      <c r="D6" s="19">
        <v>43889</v>
      </c>
      <c r="E6" s="20">
        <v>1147708914</v>
      </c>
      <c r="F6" s="21">
        <f t="shared" si="0"/>
        <v>1329545600</v>
      </c>
      <c r="G6" s="45">
        <f>IFERROR(VLOOKUP(A6,[1]OtroSíes!$A:$J,8,0),0)</f>
        <v>0</v>
      </c>
      <c r="H6" s="23">
        <f>IFERROR(VLOOKUP(A6,[1]OtroSíes!$A:$K,9,0),0)</f>
        <v>0</v>
      </c>
      <c r="J6" s="36">
        <f>VLOOKUP(A6,PERSONAS!B:B,1,0)</f>
        <v>1580</v>
      </c>
      <c r="K6" s="32">
        <f>VLOOKUP(A6,HONORARIOS!B:B,1,0)</f>
        <v>1580</v>
      </c>
      <c r="L6">
        <f>VLOOKUP(A6,DATOS_SIMULACION!A:A,1,0)</f>
        <v>1580</v>
      </c>
      <c r="M6" s="19">
        <f t="shared" si="1"/>
        <v>43862</v>
      </c>
      <c r="N6" s="63">
        <f t="shared" si="2"/>
        <v>1329545600</v>
      </c>
    </row>
    <row r="7" spans="1:14" x14ac:dyDescent="0.25">
      <c r="A7">
        <v>1588</v>
      </c>
      <c r="B7" s="20">
        <v>2785866588</v>
      </c>
      <c r="C7" s="19">
        <f t="array" ref="C7">+MAX(IF(DATOS_SIMULACION!$A:$A=A7,DATOS_SIMULACION!$B:$B))</f>
        <v>43525</v>
      </c>
      <c r="D7" s="19">
        <v>43585</v>
      </c>
      <c r="E7" s="20">
        <v>2546139440.2405519</v>
      </c>
      <c r="F7" s="21">
        <f t="shared" si="0"/>
        <v>239727147.75944805</v>
      </c>
      <c r="G7" s="45">
        <f>IFERROR(VLOOKUP(A7,[1]OtroSíes!$A:$J,8,0),0)</f>
        <v>1</v>
      </c>
      <c r="H7" s="23">
        <f>IFERROR(VLOOKUP(A7,[1]OtroSíes!$A:$K,9,0),0)</f>
        <v>5</v>
      </c>
      <c r="J7" s="36">
        <f>VLOOKUP(A7,PERSONAS!B:B,1,0)</f>
        <v>1588</v>
      </c>
      <c r="K7" s="32">
        <f>VLOOKUP(A7,HONORARIOS!B:B,1,0)</f>
        <v>1588</v>
      </c>
      <c r="L7">
        <f>VLOOKUP(A7,DATOS_SIMULACION!A:A,1,0)</f>
        <v>1588</v>
      </c>
      <c r="M7" s="19">
        <f t="shared" si="1"/>
        <v>43709</v>
      </c>
      <c r="N7" s="63">
        <f t="shared" si="2"/>
        <v>2785866588</v>
      </c>
    </row>
    <row r="8" spans="1:14" x14ac:dyDescent="0.25">
      <c r="A8">
        <v>1596</v>
      </c>
      <c r="B8" s="20">
        <v>813147253</v>
      </c>
      <c r="C8" s="19">
        <f t="array" ref="C8">+MAX(IF(DATOS_SIMULACION!$A:$A=A8,DATOS_SIMULACION!$B:$B))</f>
        <v>43617</v>
      </c>
      <c r="D8" s="19">
        <v>43676</v>
      </c>
      <c r="E8" s="20">
        <v>513828286</v>
      </c>
      <c r="F8" s="21">
        <f t="shared" si="0"/>
        <v>299318967</v>
      </c>
      <c r="G8" s="45">
        <f>IFERROR(VLOOKUP(A8,[1]OtroSíes!$A:$J,8,0),0)</f>
        <v>0</v>
      </c>
      <c r="H8" s="23">
        <f>IFERROR(VLOOKUP(A8,[1]OtroSíes!$A:$K,9,0),0)</f>
        <v>0</v>
      </c>
      <c r="J8" s="36">
        <f>VLOOKUP(A8,PERSONAS!B:B,1,0)</f>
        <v>1596</v>
      </c>
      <c r="K8" s="32">
        <f>VLOOKUP(A8,HONORARIOS!B:B,1,0)</f>
        <v>1596</v>
      </c>
      <c r="L8">
        <f>VLOOKUP(A8,DATOS_SIMULACION!A:A,1,0)</f>
        <v>1596</v>
      </c>
      <c r="M8" s="19">
        <f t="shared" si="1"/>
        <v>43647</v>
      </c>
      <c r="N8" s="63">
        <f t="shared" si="2"/>
        <v>299318967</v>
      </c>
    </row>
    <row r="9" spans="1:14" x14ac:dyDescent="0.25">
      <c r="A9">
        <v>1618</v>
      </c>
      <c r="B9" s="20">
        <v>2143117379</v>
      </c>
      <c r="C9" s="19">
        <f t="array" ref="C9">+MAX(IF(DATOS_SIMULACION!$A:$A=A9,DATOS_SIMULACION!$B:$B))</f>
        <v>43556</v>
      </c>
      <c r="D9" s="19">
        <v>43524</v>
      </c>
      <c r="E9" s="20">
        <v>1998080758</v>
      </c>
      <c r="F9" s="21">
        <f t="shared" si="0"/>
        <v>145036621</v>
      </c>
      <c r="G9" s="45">
        <f>IFERROR(VLOOKUP(A9,[1]OtroSíes!$A:$J,8,0),0)</f>
        <v>1</v>
      </c>
      <c r="H9" s="23">
        <f>IFERROR(VLOOKUP(A9,[1]OtroSíes!$A:$K,9,0),0)</f>
        <v>2</v>
      </c>
      <c r="J9" s="36">
        <f>VLOOKUP(A9,PERSONAS!B:B,1,0)</f>
        <v>1618</v>
      </c>
      <c r="K9" s="32">
        <f>VLOOKUP(A9,HONORARIOS!B:B,1,0)</f>
        <v>1618</v>
      </c>
      <c r="L9">
        <f>VLOOKUP(A9,DATOS_SIMULACION!A:A,1,0)</f>
        <v>1618</v>
      </c>
      <c r="M9" s="19">
        <f t="shared" si="1"/>
        <v>43556</v>
      </c>
      <c r="N9" s="63">
        <f t="shared" si="2"/>
        <v>2143117379</v>
      </c>
    </row>
    <row r="10" spans="1:14" x14ac:dyDescent="0.25">
      <c r="A10">
        <v>1622</v>
      </c>
      <c r="B10" s="20">
        <v>8830060365</v>
      </c>
      <c r="C10" s="19">
        <f t="array" ref="C10">+MAX(IF(DATOS_SIMULACION!$A:$A=A10,DATOS_SIMULACION!$B:$B))</f>
        <v>44470</v>
      </c>
      <c r="D10" s="19">
        <v>43799</v>
      </c>
      <c r="E10" s="20">
        <v>6841700331</v>
      </c>
      <c r="F10" s="21">
        <f t="shared" si="0"/>
        <v>1988360034</v>
      </c>
      <c r="G10" s="45">
        <f>IFERROR(VLOOKUP(A10,[1]OtroSíes!$A:$J,8,0),0)</f>
        <v>0</v>
      </c>
      <c r="H10" s="23">
        <f>IFERROR(VLOOKUP(A10,[1]OtroSíes!$A:$K,9,0),0)</f>
        <v>0</v>
      </c>
      <c r="J10" s="36">
        <f>VLOOKUP(A10,PERSONAS!B:B,1,0)</f>
        <v>1622</v>
      </c>
      <c r="K10" s="32">
        <f>VLOOKUP(A10,HONORARIOS!B:B,1,0)</f>
        <v>1622</v>
      </c>
      <c r="L10">
        <f>VLOOKUP(A10,DATOS_SIMULACION!A:A,1,0)</f>
        <v>1622</v>
      </c>
      <c r="M10" s="19">
        <f t="shared" si="1"/>
        <v>43770</v>
      </c>
      <c r="N10" s="63">
        <f t="shared" si="2"/>
        <v>1988360034</v>
      </c>
    </row>
    <row r="11" spans="1:14" x14ac:dyDescent="0.25">
      <c r="A11">
        <v>1687</v>
      </c>
      <c r="B11" s="20">
        <v>2625541821</v>
      </c>
      <c r="C11" s="19">
        <f t="array" ref="C11">+MAX(IF(DATOS_SIMULACION!$A:$A=A11,DATOS_SIMULACION!$B:$B))</f>
        <v>43556</v>
      </c>
      <c r="D11" s="19">
        <v>43602</v>
      </c>
      <c r="E11" s="20">
        <v>2438906433</v>
      </c>
      <c r="F11" s="21">
        <f t="shared" si="0"/>
        <v>186635388</v>
      </c>
      <c r="G11" s="45">
        <f>IFERROR(VLOOKUP(A11,[1]OtroSíes!$A:$J,8,0),0)</f>
        <v>0</v>
      </c>
      <c r="H11" s="23">
        <f>IFERROR(VLOOKUP(A11,[1]OtroSíes!$A:$K,9,0),0)</f>
        <v>0</v>
      </c>
      <c r="J11" s="36">
        <f>VLOOKUP(A11,PERSONAS!B:B,1,0)</f>
        <v>1687</v>
      </c>
      <c r="K11" s="32">
        <f>VLOOKUP(A11,HONORARIOS!B:B,1,0)</f>
        <v>1687</v>
      </c>
      <c r="L11">
        <f>VLOOKUP(A11,DATOS_SIMULACION!A:A,1,0)</f>
        <v>1687</v>
      </c>
      <c r="M11" s="19">
        <f t="shared" si="1"/>
        <v>43586</v>
      </c>
      <c r="N11" s="63">
        <f t="shared" si="2"/>
        <v>186635388</v>
      </c>
    </row>
    <row r="12" spans="1:14" x14ac:dyDescent="0.25">
      <c r="A12">
        <v>1689</v>
      </c>
      <c r="B12" s="20">
        <v>1441400751</v>
      </c>
      <c r="C12" s="19">
        <f t="array" ref="C12">+MAX(IF(DATOS_SIMULACION!$A:$A=A12,DATOS_SIMULACION!$B:$B))</f>
        <v>43800</v>
      </c>
      <c r="D12" s="19">
        <v>43830</v>
      </c>
      <c r="E12" s="20">
        <v>1073247947</v>
      </c>
      <c r="F12" s="21">
        <f t="shared" si="0"/>
        <v>368152804</v>
      </c>
      <c r="G12" s="45">
        <f>IFERROR(VLOOKUP(A12,[1]OtroSíes!$A:$J,8,0),0)</f>
        <v>1</v>
      </c>
      <c r="H12" s="23">
        <f>IFERROR(VLOOKUP(A12,[1]OtroSíes!$A:$K,9,0),0)</f>
        <v>9</v>
      </c>
      <c r="J12" s="36">
        <f>VLOOKUP(A12,PERSONAS!B:B,1,0)</f>
        <v>1689</v>
      </c>
      <c r="K12" s="32">
        <f>VLOOKUP(A12,HONORARIOS!B:B,1,0)</f>
        <v>1689</v>
      </c>
      <c r="L12">
        <f>VLOOKUP(A12,DATOS_SIMULACION!A:A,1,0)</f>
        <v>1689</v>
      </c>
      <c r="M12" s="19">
        <f t="shared" si="1"/>
        <v>44075</v>
      </c>
      <c r="N12" s="63">
        <f t="shared" si="2"/>
        <v>1441400751</v>
      </c>
    </row>
    <row r="13" spans="1:14" x14ac:dyDescent="0.25">
      <c r="A13">
        <v>1701</v>
      </c>
      <c r="B13" s="20">
        <v>3071135258</v>
      </c>
      <c r="C13" s="19">
        <f t="array" ref="C13">+MAX(IF(DATOS_SIMULACION!$A:$A=A13,DATOS_SIMULACION!$B:$B))</f>
        <v>43831</v>
      </c>
      <c r="D13" s="19">
        <v>43862</v>
      </c>
      <c r="E13" s="20">
        <v>1309766882</v>
      </c>
      <c r="F13" s="21">
        <f t="shared" si="0"/>
        <v>1761368376</v>
      </c>
      <c r="G13" s="45">
        <f>IFERROR(VLOOKUP(A13,[1]OtroSíes!$A:$J,8,0),0)</f>
        <v>0</v>
      </c>
      <c r="H13" s="23">
        <f>IFERROR(VLOOKUP(A13,[1]OtroSíes!$A:$K,9,0),0)</f>
        <v>0</v>
      </c>
      <c r="J13" s="36">
        <f>VLOOKUP(A13,PERSONAS!B:B,1,0)</f>
        <v>1701</v>
      </c>
      <c r="K13" s="32">
        <f>VLOOKUP(A13,HONORARIOS!B:B,1,0)</f>
        <v>1701</v>
      </c>
      <c r="L13">
        <f>VLOOKUP(A13,DATOS_SIMULACION!A:A,1,0)</f>
        <v>1701</v>
      </c>
      <c r="M13" s="19">
        <f t="shared" si="1"/>
        <v>43862</v>
      </c>
      <c r="N13" s="63">
        <f t="shared" si="2"/>
        <v>1761368376</v>
      </c>
    </row>
    <row r="14" spans="1:14" x14ac:dyDescent="0.25">
      <c r="A14">
        <v>1713</v>
      </c>
      <c r="B14" s="20">
        <v>1383725155.8800001</v>
      </c>
      <c r="C14" s="19">
        <f t="array" ref="C14">+MAX(IF(DATOS_SIMULACION!$A:$A=A14,DATOS_SIMULACION!$B:$B))</f>
        <v>0</v>
      </c>
      <c r="D14" s="19">
        <v>43496</v>
      </c>
      <c r="E14" s="20">
        <v>1695360617.1459999</v>
      </c>
      <c r="F14" s="21">
        <f t="shared" si="0"/>
        <v>0</v>
      </c>
      <c r="G14" s="45">
        <f>IFERROR(VLOOKUP(A14,[1]OtroSíes!$A:$J,8,0),0)</f>
        <v>1</v>
      </c>
      <c r="H14" s="23">
        <f>IFERROR(VLOOKUP(A14,[1]OtroSíes!$A:$K,9,0),0)</f>
        <v>2</v>
      </c>
      <c r="J14" s="36">
        <f>VLOOKUP(A14,PERSONAS!B:B,1,0)</f>
        <v>1713</v>
      </c>
      <c r="K14" s="32">
        <f>VLOOKUP(A14,HONORARIOS!B:B,1,0)</f>
        <v>1713</v>
      </c>
      <c r="L14" t="e">
        <f>VLOOKUP(A14,DATOS_SIMULACION!A:A,1,0)</f>
        <v>#N/A</v>
      </c>
      <c r="M14" s="19">
        <f t="shared" si="1"/>
        <v>43525</v>
      </c>
      <c r="N14" s="63">
        <f t="shared" si="2"/>
        <v>1383725155.8800001</v>
      </c>
    </row>
    <row r="15" spans="1:14" x14ac:dyDescent="0.25">
      <c r="A15">
        <v>1715</v>
      </c>
      <c r="B15" s="20">
        <v>2024665704</v>
      </c>
      <c r="C15" s="19">
        <f t="array" ref="C15">+MAX(IF(DATOS_SIMULACION!$A:$A=A15,DATOS_SIMULACION!$B:$B))</f>
        <v>43556</v>
      </c>
      <c r="D15" s="19">
        <v>43555</v>
      </c>
      <c r="E15" s="20">
        <v>1000000000</v>
      </c>
      <c r="F15" s="21">
        <f t="shared" si="0"/>
        <v>1024665704</v>
      </c>
      <c r="G15" s="45">
        <f>IFERROR(VLOOKUP(A15,[1]OtroSíes!$A:$J,8,0),0)</f>
        <v>1</v>
      </c>
      <c r="H15" s="23">
        <f>IFERROR(VLOOKUP(A15,[1]OtroSíes!$A:$K,9,0),0)</f>
        <v>1</v>
      </c>
      <c r="J15" s="36">
        <f>VLOOKUP(A15,PERSONAS!B:B,1,0)</f>
        <v>1715</v>
      </c>
      <c r="K15" s="32">
        <f>VLOOKUP(A15,HONORARIOS!B:B,1,0)</f>
        <v>1715</v>
      </c>
      <c r="L15">
        <f>VLOOKUP(A15,DATOS_SIMULACION!A:A,1,0)</f>
        <v>1715</v>
      </c>
      <c r="M15" s="19">
        <f t="shared" si="1"/>
        <v>43556</v>
      </c>
      <c r="N15" s="63">
        <f t="shared" si="2"/>
        <v>2024665704</v>
      </c>
    </row>
    <row r="16" spans="1:14" x14ac:dyDescent="0.25">
      <c r="A16">
        <v>1723</v>
      </c>
      <c r="B16" s="20">
        <v>6230684545</v>
      </c>
      <c r="C16" s="19">
        <f t="array" ref="C16">+MAX(IF(DATOS_SIMULACION!$A:$A=A16,DATOS_SIMULACION!$B:$B))</f>
        <v>43617</v>
      </c>
      <c r="D16" s="19">
        <v>43646</v>
      </c>
      <c r="E16" s="20">
        <v>4407321173.5594006</v>
      </c>
      <c r="F16" s="21">
        <f t="shared" si="0"/>
        <v>1823363371.4405994</v>
      </c>
      <c r="G16" s="45">
        <f>IFERROR(VLOOKUP(A16,[1]OtroSíes!$A:$J,8,0),0)</f>
        <v>0</v>
      </c>
      <c r="H16" s="23">
        <f>IFERROR(VLOOKUP(A16,[1]OtroSíes!$A:$K,9,0),0)</f>
        <v>0</v>
      </c>
      <c r="J16" s="36">
        <f>VLOOKUP(A16,PERSONAS!B:B,1,0)</f>
        <v>1723</v>
      </c>
      <c r="K16" s="32">
        <f>VLOOKUP(A16,HONORARIOS!B:B,1,0)</f>
        <v>1723</v>
      </c>
      <c r="L16">
        <f>VLOOKUP(A16,DATOS_SIMULACION!A:A,1,0)</f>
        <v>1723</v>
      </c>
      <c r="M16" s="19">
        <f t="shared" si="1"/>
        <v>43617</v>
      </c>
      <c r="N16" s="63">
        <f t="shared" si="2"/>
        <v>1823363371.4405994</v>
      </c>
    </row>
    <row r="17" spans="1:14" x14ac:dyDescent="0.25">
      <c r="A17">
        <v>1734</v>
      </c>
      <c r="B17" s="20">
        <v>2644534367</v>
      </c>
      <c r="C17" s="19">
        <f t="array" ref="C17">+MAX(IF(DATOS_SIMULACION!$A:$A=A17,DATOS_SIMULACION!$B:$B))</f>
        <v>44075</v>
      </c>
      <c r="D17" s="19">
        <v>44197</v>
      </c>
      <c r="E17" s="20">
        <v>939358411.50621021</v>
      </c>
      <c r="F17" s="21">
        <f t="shared" si="0"/>
        <v>1705175955.4937897</v>
      </c>
      <c r="G17" s="45">
        <f>IFERROR(VLOOKUP(A17,[1]OtroSíes!$A:$J,8,0),0)</f>
        <v>0</v>
      </c>
      <c r="H17" s="23">
        <f>IFERROR(VLOOKUP(A17,[1]OtroSíes!$A:$K,9,0),0)</f>
        <v>0</v>
      </c>
      <c r="J17" s="36">
        <f>VLOOKUP(A17,PERSONAS!B:B,1,0)</f>
        <v>1734</v>
      </c>
      <c r="K17" s="32">
        <f>VLOOKUP(A17,HONORARIOS!B:B,1,0)</f>
        <v>1734</v>
      </c>
      <c r="L17">
        <f>VLOOKUP(A17,DATOS_SIMULACION!A:A,1,0)</f>
        <v>1734</v>
      </c>
      <c r="M17" s="19">
        <f t="shared" si="1"/>
        <v>44197</v>
      </c>
      <c r="N17" s="63">
        <f t="shared" si="2"/>
        <v>1705175955.4937897</v>
      </c>
    </row>
    <row r="18" spans="1:14" x14ac:dyDescent="0.25">
      <c r="A18">
        <v>1744</v>
      </c>
      <c r="B18" s="20">
        <v>1081488368</v>
      </c>
      <c r="C18" s="19">
        <f t="array" ref="C18">+MAX(IF(DATOS_SIMULACION!$A:$A=A18,DATOS_SIMULACION!$B:$B))</f>
        <v>43678</v>
      </c>
      <c r="D18" s="19">
        <v>43708</v>
      </c>
      <c r="E18" s="20">
        <v>784817788</v>
      </c>
      <c r="F18" s="21">
        <f t="shared" si="0"/>
        <v>296670580</v>
      </c>
      <c r="G18" s="45">
        <f>IFERROR(VLOOKUP(A18,[1]OtroSíes!$A:$J,8,0),0)</f>
        <v>0</v>
      </c>
      <c r="H18" s="23">
        <f>IFERROR(VLOOKUP(A18,[1]OtroSíes!$A:$K,9,0),0)</f>
        <v>0</v>
      </c>
      <c r="J18" s="36" t="e">
        <f>VLOOKUP(A18,PERSONAS!B:B,1,0)</f>
        <v>#N/A</v>
      </c>
      <c r="K18" s="32">
        <f>VLOOKUP(A18,HONORARIOS!B:B,1,0)</f>
        <v>1744</v>
      </c>
      <c r="L18">
        <f>VLOOKUP(A18,DATOS_SIMULACION!A:A,1,0)</f>
        <v>1744</v>
      </c>
      <c r="M18" s="19">
        <f t="shared" si="1"/>
        <v>43678</v>
      </c>
      <c r="N18" s="63">
        <f t="shared" si="2"/>
        <v>296670580</v>
      </c>
    </row>
    <row r="19" spans="1:14" x14ac:dyDescent="0.25">
      <c r="A19">
        <v>1751</v>
      </c>
      <c r="B19" s="20">
        <v>805189890</v>
      </c>
      <c r="C19" s="19">
        <f t="array" ref="C19">+MAX(IF(DATOS_SIMULACION!$A:$A=A19,DATOS_SIMULACION!$B:$B))</f>
        <v>43586</v>
      </c>
      <c r="D19" s="19">
        <v>43555</v>
      </c>
      <c r="E19" s="20">
        <v>687034054</v>
      </c>
      <c r="F19" s="21">
        <f t="shared" si="0"/>
        <v>118155836</v>
      </c>
      <c r="G19" s="45">
        <f>IFERROR(VLOOKUP(A19,[1]OtroSíes!$A:$J,8,0),0)</f>
        <v>1</v>
      </c>
      <c r="H19" s="23">
        <f>IFERROR(VLOOKUP(A19,[1]OtroSíes!$A:$K,9,0),0)</f>
        <v>3</v>
      </c>
      <c r="J19" s="36">
        <f>VLOOKUP(A19,PERSONAS!B:B,1,0)</f>
        <v>1751</v>
      </c>
      <c r="K19" s="32">
        <f>VLOOKUP(A19,HONORARIOS!B:B,1,0)</f>
        <v>1751</v>
      </c>
      <c r="L19">
        <f>VLOOKUP(A19,DATOS_SIMULACION!A:A,1,0)</f>
        <v>1751</v>
      </c>
      <c r="M19" s="19">
        <f t="shared" si="1"/>
        <v>43617</v>
      </c>
      <c r="N19" s="63">
        <f t="shared" si="2"/>
        <v>805189890</v>
      </c>
    </row>
    <row r="20" spans="1:14" x14ac:dyDescent="0.25">
      <c r="A20">
        <v>1753</v>
      </c>
      <c r="B20" s="20">
        <v>593540180</v>
      </c>
      <c r="C20" s="19">
        <f t="array" ref="C20">+MAX(IF(DATOS_SIMULACION!$A:$A=A20,DATOS_SIMULACION!$B:$B))</f>
        <v>43466</v>
      </c>
      <c r="D20" s="19">
        <v>43498</v>
      </c>
      <c r="E20" s="20">
        <v>10000000</v>
      </c>
      <c r="F20" s="21">
        <f t="shared" si="0"/>
        <v>583540180</v>
      </c>
      <c r="G20" s="45">
        <f>IFERROR(VLOOKUP(A20,[1]OtroSíes!$A:$J,8,0),0)</f>
        <v>0</v>
      </c>
      <c r="H20" s="23">
        <f>IFERROR(VLOOKUP(A20,[1]OtroSíes!$A:$K,9,0),0)</f>
        <v>0</v>
      </c>
      <c r="J20" s="36">
        <f>VLOOKUP(A20,PERSONAS!B:B,1,0)</f>
        <v>1753</v>
      </c>
      <c r="K20" s="32">
        <f>VLOOKUP(A20,HONORARIOS!B:B,1,0)</f>
        <v>1753</v>
      </c>
      <c r="L20">
        <f>VLOOKUP(A20,DATOS_SIMULACION!A:A,1,0)</f>
        <v>1753</v>
      </c>
      <c r="M20" s="19">
        <f t="shared" si="1"/>
        <v>43497</v>
      </c>
      <c r="N20" s="63">
        <f t="shared" si="2"/>
        <v>583540180</v>
      </c>
    </row>
    <row r="21" spans="1:14" x14ac:dyDescent="0.25">
      <c r="A21">
        <v>1756</v>
      </c>
      <c r="B21" s="20">
        <v>2037175094</v>
      </c>
      <c r="C21" s="19">
        <f t="array" ref="C21">+MAX(IF(DATOS_SIMULACION!$A:$A=A21,DATOS_SIMULACION!$B:$B))</f>
        <v>43709</v>
      </c>
      <c r="D21" s="19">
        <v>43606</v>
      </c>
      <c r="E21" s="20">
        <v>1323007066.5030434</v>
      </c>
      <c r="F21" s="21">
        <f t="shared" si="0"/>
        <v>714168027.49695659</v>
      </c>
      <c r="G21" s="45">
        <f>IFERROR(VLOOKUP(A21,[1]OtroSíes!$A:$J,8,0),0)</f>
        <v>1</v>
      </c>
      <c r="H21" s="23">
        <f>IFERROR(VLOOKUP(A21,[1]OtroSíes!$A:$K,9,0),0)</f>
        <v>4</v>
      </c>
      <c r="J21" s="36" t="e">
        <f>VLOOKUP(A21,PERSONAS!B:B,1,0)</f>
        <v>#N/A</v>
      </c>
      <c r="K21" s="32">
        <f>VLOOKUP(A21,HONORARIOS!B:B,1,0)</f>
        <v>1756</v>
      </c>
      <c r="L21">
        <f>VLOOKUP(A21,DATOS_SIMULACION!A:A,1,0)</f>
        <v>1756</v>
      </c>
      <c r="M21" s="19">
        <f t="shared" si="1"/>
        <v>43709</v>
      </c>
      <c r="N21" s="63">
        <f t="shared" si="2"/>
        <v>2037175094</v>
      </c>
    </row>
    <row r="22" spans="1:14" x14ac:dyDescent="0.25">
      <c r="A22">
        <v>1758</v>
      </c>
      <c r="B22" s="20">
        <v>1347750287</v>
      </c>
      <c r="C22" s="19">
        <f t="array" ref="C22">+MAX(IF(DATOS_SIMULACION!$A:$A=A22,DATOS_SIMULACION!$B:$B))</f>
        <v>43800</v>
      </c>
      <c r="D22" s="19">
        <v>43830</v>
      </c>
      <c r="E22" s="20">
        <v>599362746</v>
      </c>
      <c r="F22" s="21">
        <f t="shared" si="0"/>
        <v>748387541</v>
      </c>
      <c r="G22" s="45">
        <f>IFERROR(VLOOKUP(A22,[1]OtroSíes!$A:$J,8,0),0)</f>
        <v>0</v>
      </c>
      <c r="H22" s="23">
        <f>IFERROR(VLOOKUP(A22,[1]OtroSíes!$A:$K,9,0),0)</f>
        <v>0</v>
      </c>
      <c r="J22" s="36">
        <f>VLOOKUP(A22,PERSONAS!B:B,1,0)</f>
        <v>1758</v>
      </c>
      <c r="K22" s="32">
        <f>VLOOKUP(A22,HONORARIOS!B:B,1,0)</f>
        <v>1758</v>
      </c>
      <c r="L22">
        <f>VLOOKUP(A22,DATOS_SIMULACION!A:A,1,0)</f>
        <v>1758</v>
      </c>
      <c r="M22" s="19">
        <f t="shared" si="1"/>
        <v>43800</v>
      </c>
      <c r="N22" s="63">
        <f t="shared" si="2"/>
        <v>748387541</v>
      </c>
    </row>
    <row r="23" spans="1:14" x14ac:dyDescent="0.25">
      <c r="A23">
        <v>1789</v>
      </c>
      <c r="B23" s="20">
        <v>650428554</v>
      </c>
      <c r="C23" s="19">
        <f t="array" ref="C23">+MAX(IF(DATOS_SIMULACION!$A:$A=A23,DATOS_SIMULACION!$B:$B))</f>
        <v>43466</v>
      </c>
      <c r="D23" s="19">
        <v>43585</v>
      </c>
      <c r="E23" s="20">
        <v>599362746</v>
      </c>
      <c r="F23" s="21">
        <f t="shared" si="0"/>
        <v>51065808</v>
      </c>
      <c r="G23" s="45">
        <f>IFERROR(VLOOKUP(A23,[1]OtroSíes!$A:$J,8,0),0)</f>
        <v>0</v>
      </c>
      <c r="H23" s="23">
        <f>IFERROR(VLOOKUP(A23,[1]OtroSíes!$A:$K,9,0),0)</f>
        <v>0</v>
      </c>
      <c r="J23" s="36">
        <f>VLOOKUP(A23,PERSONAS!B:B,1,0)</f>
        <v>1789</v>
      </c>
      <c r="K23" s="32">
        <f>VLOOKUP(A23,HONORARIOS!B:B,1,0)</f>
        <v>1789</v>
      </c>
      <c r="L23">
        <f>VLOOKUP(A23,DATOS_SIMULACION!A:A,1,0)</f>
        <v>1789</v>
      </c>
      <c r="M23" s="19">
        <f t="shared" si="1"/>
        <v>43556</v>
      </c>
      <c r="N23" s="63">
        <f t="shared" si="2"/>
        <v>51065808</v>
      </c>
    </row>
    <row r="24" spans="1:14" x14ac:dyDescent="0.25">
      <c r="A24">
        <v>1790</v>
      </c>
      <c r="B24" s="20">
        <v>1616177762</v>
      </c>
      <c r="C24" s="19">
        <f t="array" ref="C24">+MAX(IF(DATOS_SIMULACION!$A:$A=A24,DATOS_SIMULACION!$B:$B))</f>
        <v>43922</v>
      </c>
      <c r="D24" s="19">
        <v>44355</v>
      </c>
      <c r="E24" s="20">
        <v>517851358</v>
      </c>
      <c r="F24" s="21">
        <f t="shared" si="0"/>
        <v>1098326404</v>
      </c>
      <c r="G24" s="45">
        <f>IFERROR(VLOOKUP(A24,[1]OtroSíes!$A:$J,8,0),0)</f>
        <v>0</v>
      </c>
      <c r="H24" s="23">
        <f>IFERROR(VLOOKUP(A24,[1]OtroSíes!$A:$K,9,0),0)</f>
        <v>0</v>
      </c>
      <c r="J24" s="36">
        <f>VLOOKUP(A24,PERSONAS!B:B,1,0)</f>
        <v>1790</v>
      </c>
      <c r="K24" s="32">
        <f>VLOOKUP(A24,HONORARIOS!B:B,1,0)</f>
        <v>1790</v>
      </c>
      <c r="L24">
        <f>VLOOKUP(A24,DATOS_SIMULACION!A:A,1,0)</f>
        <v>1790</v>
      </c>
      <c r="M24" s="19">
        <f t="shared" si="1"/>
        <v>44348</v>
      </c>
      <c r="N24" s="63">
        <f t="shared" si="2"/>
        <v>1098326404</v>
      </c>
    </row>
    <row r="25" spans="1:14" x14ac:dyDescent="0.25">
      <c r="A25">
        <v>1791</v>
      </c>
      <c r="B25" s="20">
        <v>1759240490.7563026</v>
      </c>
      <c r="C25" s="19">
        <f t="array" ref="C25">+MAX(IF(DATOS_SIMULACION!$A:$A=A25,DATOS_SIMULACION!$B:$B))</f>
        <v>43800</v>
      </c>
      <c r="D25" s="19">
        <v>44188</v>
      </c>
      <c r="E25" s="20">
        <v>502640140.1880402</v>
      </c>
      <c r="F25" s="21">
        <f t="shared" si="0"/>
        <v>1256600350.5682623</v>
      </c>
      <c r="G25" s="45">
        <f>IFERROR(VLOOKUP(A25,[1]OtroSíes!$A:$J,8,0),0)</f>
        <v>0</v>
      </c>
      <c r="H25" s="23">
        <f>IFERROR(VLOOKUP(A25,[1]OtroSíes!$A:$K,9,0),0)</f>
        <v>0</v>
      </c>
      <c r="J25" s="36" t="e">
        <f>VLOOKUP(A25,PERSONAS!B:B,1,0)</f>
        <v>#N/A</v>
      </c>
      <c r="K25" s="32">
        <f>VLOOKUP(A25,HONORARIOS!B:B,1,0)</f>
        <v>1791</v>
      </c>
      <c r="L25">
        <f>VLOOKUP(A25,DATOS_SIMULACION!A:A,1,0)</f>
        <v>1791</v>
      </c>
      <c r="M25" s="19">
        <f t="shared" si="1"/>
        <v>44166</v>
      </c>
      <c r="N25" s="63">
        <f t="shared" si="2"/>
        <v>1256600350.5682623</v>
      </c>
    </row>
    <row r="26" spans="1:14" x14ac:dyDescent="0.25">
      <c r="A26">
        <v>1802</v>
      </c>
      <c r="B26" s="20">
        <v>1580363869</v>
      </c>
      <c r="C26" s="19">
        <f t="array" ref="C26">+MAX(IF(DATOS_SIMULACION!$A:$A=A26,DATOS_SIMULACION!$B:$B))</f>
        <v>43862</v>
      </c>
      <c r="D26" s="19">
        <v>43891</v>
      </c>
      <c r="E26" s="20">
        <v>10000000</v>
      </c>
      <c r="F26" s="21">
        <f t="shared" si="0"/>
        <v>1570363869</v>
      </c>
      <c r="G26" s="45">
        <f>IFERROR(VLOOKUP(A26,[1]OtroSíes!$A:$J,8,0),0)</f>
        <v>0</v>
      </c>
      <c r="H26" s="23">
        <f>IFERROR(VLOOKUP(A26,[1]OtroSíes!$A:$K,9,0),0)</f>
        <v>0</v>
      </c>
      <c r="J26" s="36">
        <f>VLOOKUP(A26,PERSONAS!B:B,1,0)</f>
        <v>1802</v>
      </c>
      <c r="K26" s="32">
        <f>VLOOKUP(A26,HONORARIOS!B:B,1,0)</f>
        <v>1802</v>
      </c>
      <c r="L26">
        <f>VLOOKUP(A26,DATOS_SIMULACION!A:A,1,0)</f>
        <v>1802</v>
      </c>
      <c r="M26" s="19">
        <f t="shared" si="1"/>
        <v>43891</v>
      </c>
      <c r="N26" s="63">
        <f t="shared" si="2"/>
        <v>1570363869</v>
      </c>
    </row>
    <row r="27" spans="1:14" x14ac:dyDescent="0.25">
      <c r="A27">
        <v>1804</v>
      </c>
      <c r="B27" s="20">
        <v>447208046.21848744</v>
      </c>
      <c r="C27" s="19">
        <f t="array" ref="C27">+MAX(IF(DATOS_SIMULACION!$A:$A=A27,DATOS_SIMULACION!$B:$B))</f>
        <v>43525</v>
      </c>
      <c r="D27" s="19">
        <v>43521</v>
      </c>
      <c r="E27" s="20">
        <v>327952570</v>
      </c>
      <c r="F27" s="21">
        <f t="shared" si="0"/>
        <v>119255476.21848744</v>
      </c>
      <c r="G27" s="45">
        <f>IFERROR(VLOOKUP(A27,[1]OtroSíes!$A:$J,8,0),0)</f>
        <v>1</v>
      </c>
      <c r="H27" s="23">
        <f>IFERROR(VLOOKUP(A27,[1]OtroSíes!$A:$K,9,0),0)</f>
        <v>7</v>
      </c>
      <c r="J27" s="36" t="e">
        <f>VLOOKUP(A27,PERSONAS!B:B,1,0)</f>
        <v>#N/A</v>
      </c>
      <c r="K27" s="32">
        <f>VLOOKUP(A27,HONORARIOS!B:B,1,0)</f>
        <v>1804</v>
      </c>
      <c r="L27">
        <f>VLOOKUP(A27,DATOS_SIMULACION!A:A,1,0)</f>
        <v>1804</v>
      </c>
      <c r="M27" s="19">
        <f t="shared" si="1"/>
        <v>43709</v>
      </c>
      <c r="N27" s="63">
        <f t="shared" si="2"/>
        <v>447208046.21848744</v>
      </c>
    </row>
    <row r="28" spans="1:14" x14ac:dyDescent="0.25">
      <c r="A28">
        <v>1806</v>
      </c>
      <c r="B28" s="20">
        <v>1348018423</v>
      </c>
      <c r="C28" s="19">
        <f t="array" ref="C28">+MAX(IF(DATOS_SIMULACION!$A:$A=A28,DATOS_SIMULACION!$B:$B))</f>
        <v>43586</v>
      </c>
      <c r="D28" s="19">
        <v>43586</v>
      </c>
      <c r="E28" s="20">
        <v>1059310643</v>
      </c>
      <c r="F28" s="21">
        <f t="shared" si="0"/>
        <v>288707780</v>
      </c>
      <c r="G28" s="45">
        <f>IFERROR(VLOOKUP(A28,[1]OtroSíes!$A:$J,8,0),0)</f>
        <v>0</v>
      </c>
      <c r="H28" s="23">
        <f>IFERROR(VLOOKUP(A28,[1]OtroSíes!$A:$K,9,0),0)</f>
        <v>0</v>
      </c>
      <c r="J28" s="36" t="e">
        <f>VLOOKUP(A28,PERSONAS!B:B,1,0)</f>
        <v>#N/A</v>
      </c>
      <c r="K28" s="32">
        <f>VLOOKUP(A28,HONORARIOS!B:B,1,0)</f>
        <v>1806</v>
      </c>
      <c r="L28">
        <f>VLOOKUP(A28,DATOS_SIMULACION!A:A,1,0)</f>
        <v>1806</v>
      </c>
      <c r="M28" s="19">
        <f t="shared" si="1"/>
        <v>43586</v>
      </c>
      <c r="N28" s="63">
        <f t="shared" si="2"/>
        <v>288707780</v>
      </c>
    </row>
    <row r="29" spans="1:14" x14ac:dyDescent="0.25">
      <c r="A29">
        <v>1813</v>
      </c>
      <c r="B29" s="20">
        <v>2092685622.3099999</v>
      </c>
      <c r="C29" s="19">
        <f t="array" ref="C29">+MAX(IF(DATOS_SIMULACION!$A:$A=A29,DATOS_SIMULACION!$B:$B))</f>
        <v>43586</v>
      </c>
      <c r="D29" s="19">
        <v>43615</v>
      </c>
      <c r="E29" s="20">
        <v>1394577430</v>
      </c>
      <c r="F29" s="21">
        <f t="shared" si="0"/>
        <v>698108192.30999994</v>
      </c>
      <c r="G29" s="45">
        <f>IFERROR(VLOOKUP(A29,[1]OtroSíes!$A:$J,8,0),0)</f>
        <v>1</v>
      </c>
      <c r="H29" s="23">
        <f>IFERROR(VLOOKUP(A29,[1]OtroSíes!$A:$K,9,0),0)</f>
        <v>3</v>
      </c>
      <c r="J29" s="36" t="e">
        <f>VLOOKUP(A29,PERSONAS!B:B,1,0)</f>
        <v>#N/A</v>
      </c>
      <c r="K29" s="32">
        <f>VLOOKUP(A29,HONORARIOS!B:B,1,0)</f>
        <v>1813</v>
      </c>
      <c r="L29">
        <f>VLOOKUP(A29,DATOS_SIMULACION!A:A,1,0)</f>
        <v>1813</v>
      </c>
      <c r="M29" s="19">
        <f t="shared" si="1"/>
        <v>43678</v>
      </c>
      <c r="N29" s="63">
        <f t="shared" si="2"/>
        <v>2092685622.3099999</v>
      </c>
    </row>
    <row r="30" spans="1:14" x14ac:dyDescent="0.25">
      <c r="A30">
        <v>1818</v>
      </c>
      <c r="B30" s="20">
        <v>558936893</v>
      </c>
      <c r="C30" s="19">
        <f t="array" ref="C30">+MAX(IF(DATOS_SIMULACION!$A:$A=A30,DATOS_SIMULACION!$B:$B))</f>
        <v>43800</v>
      </c>
      <c r="D30" s="19">
        <v>43831</v>
      </c>
      <c r="E30" s="20">
        <v>121913999</v>
      </c>
      <c r="F30" s="21">
        <f t="shared" si="0"/>
        <v>437022894</v>
      </c>
      <c r="G30" s="45">
        <f>IFERROR(VLOOKUP(A30,[1]OtroSíes!$A:$J,8,0),0)</f>
        <v>0</v>
      </c>
      <c r="H30" s="23">
        <f>IFERROR(VLOOKUP(A30,[1]OtroSíes!$A:$K,9,0),0)</f>
        <v>0</v>
      </c>
      <c r="J30" s="36">
        <f>VLOOKUP(A30,PERSONAS!B:B,1,0)</f>
        <v>1818</v>
      </c>
      <c r="K30" s="32">
        <f>VLOOKUP(A30,HONORARIOS!B:B,1,0)</f>
        <v>1818</v>
      </c>
      <c r="L30">
        <f>VLOOKUP(A30,DATOS_SIMULACION!A:A,1,0)</f>
        <v>1818</v>
      </c>
      <c r="M30" s="19">
        <f t="shared" si="1"/>
        <v>43831</v>
      </c>
      <c r="N30" s="63">
        <f t="shared" si="2"/>
        <v>437022894</v>
      </c>
    </row>
    <row r="31" spans="1:14" x14ac:dyDescent="0.25">
      <c r="A31">
        <v>1824</v>
      </c>
      <c r="B31" s="20">
        <v>1146170852.9411767</v>
      </c>
      <c r="C31" s="19">
        <f t="array" ref="C31">+MAX(IF(DATOS_SIMULACION!$A:$A=A31,DATOS_SIMULACION!$B:$B))</f>
        <v>43617</v>
      </c>
      <c r="D31" s="19">
        <v>43586</v>
      </c>
      <c r="E31" s="20">
        <v>392855292</v>
      </c>
      <c r="F31" s="21">
        <f t="shared" si="0"/>
        <v>753315560.94117665</v>
      </c>
      <c r="G31" s="45">
        <f>IFERROR(VLOOKUP(A31,[1]OtroSíes!$A:$J,8,0),0)</f>
        <v>0</v>
      </c>
      <c r="H31" s="23">
        <f>IFERROR(VLOOKUP(A31,[1]OtroSíes!$A:$K,9,0),0)</f>
        <v>0</v>
      </c>
      <c r="J31" s="36" t="e">
        <f>VLOOKUP(A31,PERSONAS!B:B,1,0)</f>
        <v>#N/A</v>
      </c>
      <c r="K31" s="32">
        <f>VLOOKUP(A31,HONORARIOS!B:B,1,0)</f>
        <v>1824</v>
      </c>
      <c r="L31">
        <f>VLOOKUP(A31,DATOS_SIMULACION!A:A,1,0)</f>
        <v>1824</v>
      </c>
      <c r="M31" s="19">
        <f t="shared" si="1"/>
        <v>43586</v>
      </c>
      <c r="N31" s="63">
        <f t="shared" si="2"/>
        <v>753315560.94117665</v>
      </c>
    </row>
    <row r="32" spans="1:14" x14ac:dyDescent="0.25">
      <c r="A32">
        <v>1826</v>
      </c>
      <c r="B32" s="20">
        <v>273943751</v>
      </c>
      <c r="C32" s="19">
        <f t="array" ref="C32">+MAX(IF(DATOS_SIMULACION!$A:$A=A32,DATOS_SIMULACION!$B:$B))</f>
        <v>43525</v>
      </c>
      <c r="D32" s="19">
        <v>43656</v>
      </c>
      <c r="E32" s="20">
        <v>104615541</v>
      </c>
      <c r="F32" s="21">
        <f t="shared" si="0"/>
        <v>169328210</v>
      </c>
      <c r="G32" s="45">
        <f>IFERROR(VLOOKUP(A32,[1]OtroSíes!$A:$J,8,0),0)</f>
        <v>0</v>
      </c>
      <c r="H32" s="23">
        <f>IFERROR(VLOOKUP(A32,[1]OtroSíes!$A:$K,9,0),0)</f>
        <v>0</v>
      </c>
      <c r="J32" s="36" t="e">
        <f>VLOOKUP(A32,PERSONAS!B:B,1,0)</f>
        <v>#N/A</v>
      </c>
      <c r="K32" s="32">
        <f>VLOOKUP(A32,HONORARIOS!B:B,1,0)</f>
        <v>1826</v>
      </c>
      <c r="L32">
        <f>VLOOKUP(A32,DATOS_SIMULACION!A:A,1,0)</f>
        <v>1826</v>
      </c>
      <c r="M32" s="19">
        <f t="shared" si="1"/>
        <v>43647</v>
      </c>
      <c r="N32" s="63">
        <f t="shared" si="2"/>
        <v>169328210</v>
      </c>
    </row>
    <row r="33" spans="1:14" x14ac:dyDescent="0.25">
      <c r="A33">
        <v>1829</v>
      </c>
      <c r="B33" s="20">
        <v>2079522106</v>
      </c>
      <c r="C33" s="19">
        <f t="array" ref="C33">+MAX(IF(DATOS_SIMULACION!$A:$A=A33,DATOS_SIMULACION!$B:$B))</f>
        <v>43983</v>
      </c>
      <c r="D33" s="19">
        <v>44207</v>
      </c>
      <c r="E33" s="20">
        <v>386757773.352</v>
      </c>
      <c r="F33" s="21">
        <f t="shared" si="0"/>
        <v>1692764332.648</v>
      </c>
      <c r="G33" s="45">
        <f>IFERROR(VLOOKUP(A33,[1]OtroSíes!$A:$J,8,0),0)</f>
        <v>0</v>
      </c>
      <c r="H33" s="23">
        <f>IFERROR(VLOOKUP(A33,[1]OtroSíes!$A:$K,9,0),0)</f>
        <v>0</v>
      </c>
      <c r="J33" s="36">
        <f>VLOOKUP(A33,PERSONAS!B:B,1,0)</f>
        <v>1829</v>
      </c>
      <c r="K33" s="32">
        <f>VLOOKUP(A33,HONORARIOS!B:B,1,0)</f>
        <v>1829</v>
      </c>
      <c r="L33">
        <f>VLOOKUP(A33,DATOS_SIMULACION!A:A,1,0)</f>
        <v>1829</v>
      </c>
      <c r="M33" s="19">
        <f t="shared" si="1"/>
        <v>44197</v>
      </c>
      <c r="N33" s="63">
        <f t="shared" si="2"/>
        <v>1692764332.648</v>
      </c>
    </row>
    <row r="34" spans="1:14" x14ac:dyDescent="0.25">
      <c r="A34">
        <v>1837</v>
      </c>
      <c r="B34" s="20">
        <v>200000000</v>
      </c>
      <c r="C34" s="19">
        <f t="array" ref="C34">+MAX(IF(DATOS_SIMULACION!$A:$A=A34,DATOS_SIMULACION!$B:$B))</f>
        <v>43617</v>
      </c>
      <c r="D34" s="19">
        <v>43646</v>
      </c>
      <c r="E34" s="20">
        <v>53214000</v>
      </c>
      <c r="F34" s="21">
        <f t="shared" ref="F34:F59" si="3">MAX(B34-E34,0)</f>
        <v>146786000</v>
      </c>
      <c r="G34" s="45">
        <f>IFERROR(VLOOKUP(A34,[1]OtroSíes!$A:$J,8,0),0)</f>
        <v>1</v>
      </c>
      <c r="H34" s="23">
        <f>IFERROR(VLOOKUP(A34,[1]OtroSíes!$A:$K,9,0),0)</f>
        <v>5</v>
      </c>
      <c r="J34" s="36">
        <f>VLOOKUP(A34,PERSONAS!B:B,1,0)</f>
        <v>1837</v>
      </c>
      <c r="K34" s="32">
        <f>VLOOKUP(A34,HONORARIOS!B:B,1,0)</f>
        <v>1837</v>
      </c>
      <c r="L34">
        <f>VLOOKUP(A34,DATOS_SIMULACION!A:A,1,0)</f>
        <v>1837</v>
      </c>
      <c r="M34" s="19">
        <f t="shared" ref="M34:M59" si="4">EDATE((MONTH(D34)&amp;"-"&amp;YEAR(D34))*1,H34)</f>
        <v>43770</v>
      </c>
      <c r="N34" s="63">
        <f t="shared" ref="N34:N59" si="5">IF(G34&gt;0,B34,F34)</f>
        <v>200000000</v>
      </c>
    </row>
    <row r="35" spans="1:14" x14ac:dyDescent="0.25">
      <c r="A35">
        <v>1838</v>
      </c>
      <c r="B35" s="20">
        <v>177763960</v>
      </c>
      <c r="C35" s="19">
        <f t="array" ref="C35">+MAX(IF(DATOS_SIMULACION!$A:$A=A35,DATOS_SIMULACION!$B:$B))</f>
        <v>43525</v>
      </c>
      <c r="D35" s="19">
        <v>43554</v>
      </c>
      <c r="E35" s="20">
        <v>10000000</v>
      </c>
      <c r="F35" s="21">
        <f t="shared" si="3"/>
        <v>167763960</v>
      </c>
      <c r="G35" s="45">
        <f>IFERROR(VLOOKUP(A35,[1]OtroSíes!$A:$J,8,0),0)</f>
        <v>0</v>
      </c>
      <c r="H35" s="23">
        <f>IFERROR(VLOOKUP(A35,[1]OtroSíes!$A:$K,9,0),0)</f>
        <v>0</v>
      </c>
      <c r="J35" s="36">
        <f>VLOOKUP(A35,PERSONAS!B:B,1,0)</f>
        <v>1838</v>
      </c>
      <c r="K35" s="32">
        <f>VLOOKUP(A35,HONORARIOS!B:B,1,0)</f>
        <v>1838</v>
      </c>
      <c r="L35">
        <f>VLOOKUP(A35,DATOS_SIMULACION!A:A,1,0)</f>
        <v>1838</v>
      </c>
      <c r="M35" s="19">
        <f t="shared" si="4"/>
        <v>43525</v>
      </c>
      <c r="N35" s="63">
        <f t="shared" si="5"/>
        <v>167763960</v>
      </c>
    </row>
    <row r="36" spans="1:14" x14ac:dyDescent="0.25">
      <c r="A36">
        <v>1845</v>
      </c>
      <c r="B36" s="20">
        <v>436274412.0986504</v>
      </c>
      <c r="C36" s="19">
        <f t="array" ref="C36">+MAX(IF(DATOS_SIMULACION!$A:$A=A36,DATOS_SIMULACION!$B:$B))</f>
        <v>43678</v>
      </c>
      <c r="D36" s="19">
        <v>43465</v>
      </c>
      <c r="E36" s="20">
        <v>98687609</v>
      </c>
      <c r="F36" s="21">
        <f t="shared" si="3"/>
        <v>337586803.0986504</v>
      </c>
      <c r="G36" s="45">
        <f>IFERROR(VLOOKUP(A36,[1]OtroSíes!$A:$J,8,0),0)</f>
        <v>0</v>
      </c>
      <c r="H36" s="23">
        <f>IFERROR(VLOOKUP(A36,[1]OtroSíes!$A:$K,9,0),0)</f>
        <v>0</v>
      </c>
      <c r="J36" s="36">
        <f>VLOOKUP(A36,PERSONAS!B:B,1,0)</f>
        <v>1845</v>
      </c>
      <c r="K36" s="32">
        <f>VLOOKUP(A36,HONORARIOS!B:B,1,0)</f>
        <v>1845</v>
      </c>
      <c r="L36">
        <f>VLOOKUP(A36,DATOS_SIMULACION!A:A,1,0)</f>
        <v>1845</v>
      </c>
      <c r="M36" s="19">
        <f t="shared" si="4"/>
        <v>43435</v>
      </c>
      <c r="N36" s="63">
        <f t="shared" si="5"/>
        <v>337586803.0986504</v>
      </c>
    </row>
    <row r="37" spans="1:14" x14ac:dyDescent="0.25">
      <c r="A37">
        <v>1846</v>
      </c>
      <c r="B37" s="20">
        <v>497023779</v>
      </c>
      <c r="C37" s="19">
        <f t="array" ref="C37">+MAX(IF(DATOS_SIMULACION!$A:$A=A37,DATOS_SIMULACION!$B:$B))</f>
        <v>43556</v>
      </c>
      <c r="D37" s="19">
        <v>43539</v>
      </c>
      <c r="E37" s="20">
        <v>56315340</v>
      </c>
      <c r="F37" s="21">
        <f t="shared" si="3"/>
        <v>440708439</v>
      </c>
      <c r="G37" s="45">
        <f>IFERROR(VLOOKUP(A37,[1]OtroSíes!$A:$J,8,0),0)</f>
        <v>0</v>
      </c>
      <c r="H37" s="23">
        <f>IFERROR(VLOOKUP(A37,[1]OtroSíes!$A:$K,9,0),0)</f>
        <v>0</v>
      </c>
      <c r="J37" s="36">
        <f>VLOOKUP(A37,PERSONAS!B:B,1,0)</f>
        <v>1846</v>
      </c>
      <c r="K37" s="32">
        <f>VLOOKUP(A37,HONORARIOS!B:B,1,0)</f>
        <v>1846</v>
      </c>
      <c r="L37">
        <f>VLOOKUP(A37,DATOS_SIMULACION!A:A,1,0)</f>
        <v>1846</v>
      </c>
      <c r="M37" s="19">
        <f t="shared" si="4"/>
        <v>43525</v>
      </c>
      <c r="N37" s="63">
        <f t="shared" si="5"/>
        <v>440708439</v>
      </c>
    </row>
    <row r="38" spans="1:14" x14ac:dyDescent="0.25">
      <c r="A38">
        <v>1848</v>
      </c>
      <c r="B38" s="20">
        <v>294376980</v>
      </c>
      <c r="C38" s="19">
        <f t="array" ref="C38">+MAX(IF(DATOS_SIMULACION!$A:$A=A38,DATOS_SIMULACION!$B:$B))</f>
        <v>43770</v>
      </c>
      <c r="D38" s="19">
        <v>43807</v>
      </c>
      <c r="E38" s="20">
        <v>104615541</v>
      </c>
      <c r="F38" s="21">
        <f t="shared" si="3"/>
        <v>189761439</v>
      </c>
      <c r="G38" s="45">
        <f>IFERROR(VLOOKUP(A38,[1]OtroSíes!$A:$J,8,0),0)</f>
        <v>0</v>
      </c>
      <c r="H38" s="23">
        <f>IFERROR(VLOOKUP(A38,[1]OtroSíes!$A:$K,9,0),0)</f>
        <v>0</v>
      </c>
      <c r="J38" s="36" t="e">
        <f>VLOOKUP(A38,PERSONAS!B:B,1,0)</f>
        <v>#N/A</v>
      </c>
      <c r="K38" s="32">
        <f>VLOOKUP(A38,HONORARIOS!B:B,1,0)</f>
        <v>1848</v>
      </c>
      <c r="L38">
        <f>VLOOKUP(A38,DATOS_SIMULACION!A:A,1,0)</f>
        <v>1848</v>
      </c>
      <c r="M38" s="19">
        <f t="shared" si="4"/>
        <v>43800</v>
      </c>
      <c r="N38" s="63">
        <f t="shared" si="5"/>
        <v>189761439</v>
      </c>
    </row>
    <row r="39" spans="1:14" x14ac:dyDescent="0.25">
      <c r="A39">
        <v>1856</v>
      </c>
      <c r="B39" s="20">
        <v>1537145968</v>
      </c>
      <c r="C39" s="19">
        <f t="array" ref="C39">+MAX(IF(DATOS_SIMULACION!$A:$A=A39,DATOS_SIMULACION!$B:$B))</f>
        <v>44228</v>
      </c>
      <c r="D39" s="19">
        <v>44255</v>
      </c>
      <c r="E39" s="20">
        <v>133079117</v>
      </c>
      <c r="F39" s="21">
        <f t="shared" si="3"/>
        <v>1404066851</v>
      </c>
      <c r="G39" s="45">
        <f>IFERROR(VLOOKUP(A39,[1]OtroSíes!$A:$J,8,0),0)</f>
        <v>0</v>
      </c>
      <c r="H39" s="23">
        <f>IFERROR(VLOOKUP(A39,[1]OtroSíes!$A:$K,9,0),0)</f>
        <v>0</v>
      </c>
      <c r="J39" s="36">
        <f>VLOOKUP(A39,PERSONAS!B:B,1,0)</f>
        <v>1856</v>
      </c>
      <c r="K39" s="32">
        <f>VLOOKUP(A39,HONORARIOS!B:B,1,0)</f>
        <v>1856</v>
      </c>
      <c r="L39">
        <f>VLOOKUP(A39,DATOS_SIMULACION!A:A,1,0)</f>
        <v>1856</v>
      </c>
      <c r="M39" s="19">
        <f t="shared" si="4"/>
        <v>44228</v>
      </c>
      <c r="N39" s="63">
        <f t="shared" si="5"/>
        <v>1404066851</v>
      </c>
    </row>
    <row r="40" spans="1:14" x14ac:dyDescent="0.25">
      <c r="A40">
        <v>1857</v>
      </c>
      <c r="B40" s="20">
        <v>147000000</v>
      </c>
      <c r="C40" s="19">
        <f t="array" ref="C40">+MAX(IF(DATOS_SIMULACION!$A:$A=A40,DATOS_SIMULACION!$B:$B))</f>
        <v>43709</v>
      </c>
      <c r="D40" s="19">
        <v>43753</v>
      </c>
      <c r="E40" s="20">
        <v>53214000</v>
      </c>
      <c r="F40" s="21">
        <f t="shared" si="3"/>
        <v>93786000</v>
      </c>
      <c r="G40" s="45">
        <f>IFERROR(VLOOKUP(A40,[1]OtroSíes!$A:$J,8,0),0)</f>
        <v>0</v>
      </c>
      <c r="H40" s="23">
        <f>IFERROR(VLOOKUP(A40,[1]OtroSíes!$A:$K,9,0),0)</f>
        <v>0</v>
      </c>
      <c r="J40" s="36" t="e">
        <f>VLOOKUP(A40,PERSONAS!B:B,1,0)</f>
        <v>#N/A</v>
      </c>
      <c r="K40" s="32">
        <f>VLOOKUP(A40,HONORARIOS!B:B,1,0)</f>
        <v>1857</v>
      </c>
      <c r="L40">
        <f>VLOOKUP(A40,DATOS_SIMULACION!A:A,1,0)</f>
        <v>1857</v>
      </c>
      <c r="M40" s="19">
        <f t="shared" si="4"/>
        <v>43739</v>
      </c>
      <c r="N40" s="63">
        <f t="shared" si="5"/>
        <v>93786000</v>
      </c>
    </row>
    <row r="41" spans="1:14" x14ac:dyDescent="0.25">
      <c r="A41">
        <v>1858</v>
      </c>
      <c r="B41" s="20">
        <v>1317799735</v>
      </c>
      <c r="C41" s="19">
        <f t="array" ref="C41">+MAX(IF(DATOS_SIMULACION!$A:$A=A41,DATOS_SIMULACION!$B:$B))</f>
        <v>43556</v>
      </c>
      <c r="D41" s="19">
        <v>43738</v>
      </c>
      <c r="E41" s="20">
        <v>611214917</v>
      </c>
      <c r="F41" s="21">
        <f t="shared" si="3"/>
        <v>706584818</v>
      </c>
      <c r="G41" s="45">
        <f>IFERROR(VLOOKUP(A41,[1]OtroSíes!$A:$J,8,0),0)</f>
        <v>0</v>
      </c>
      <c r="H41" s="23">
        <f>IFERROR(VLOOKUP(A41,[1]OtroSíes!$A:$K,9,0),0)</f>
        <v>0</v>
      </c>
      <c r="J41" s="36" t="e">
        <f>VLOOKUP(A41,PERSONAS!B:B,1,0)</f>
        <v>#N/A</v>
      </c>
      <c r="K41" s="32">
        <f>VLOOKUP(A41,HONORARIOS!B:B,1,0)</f>
        <v>1858</v>
      </c>
      <c r="L41">
        <f>VLOOKUP(A41,DATOS_SIMULACION!A:A,1,0)</f>
        <v>1858</v>
      </c>
      <c r="M41" s="19">
        <f t="shared" si="4"/>
        <v>43709</v>
      </c>
      <c r="N41" s="63">
        <f t="shared" si="5"/>
        <v>706584818</v>
      </c>
    </row>
    <row r="42" spans="1:14" x14ac:dyDescent="0.25">
      <c r="A42">
        <v>1860</v>
      </c>
      <c r="B42" s="20">
        <v>714738871</v>
      </c>
      <c r="C42" s="19">
        <f t="array" ref="C42">+MAX(IF(DATOS_SIMULACION!$A:$A=A42,DATOS_SIMULACION!$B:$B))</f>
        <v>44378</v>
      </c>
      <c r="D42" s="19">
        <v>44318</v>
      </c>
      <c r="E42" s="20">
        <v>98687609</v>
      </c>
      <c r="F42" s="21">
        <f t="shared" si="3"/>
        <v>616051262</v>
      </c>
      <c r="G42" s="45">
        <f>IFERROR(VLOOKUP(A42,[1]OtroSíes!$A:$J,8,0),0)</f>
        <v>0</v>
      </c>
      <c r="H42" s="23">
        <f>IFERROR(VLOOKUP(A42,[1]OtroSíes!$A:$K,9,0),0)</f>
        <v>0</v>
      </c>
      <c r="J42" s="36">
        <f>VLOOKUP(A42,PERSONAS!B:B,1,0)</f>
        <v>1860</v>
      </c>
      <c r="K42" s="32">
        <f>VLOOKUP(A42,HONORARIOS!B:B,1,0)</f>
        <v>1860</v>
      </c>
      <c r="L42">
        <f>VLOOKUP(A42,DATOS_SIMULACION!A:A,1,0)</f>
        <v>1860</v>
      </c>
      <c r="M42" s="19">
        <f t="shared" si="4"/>
        <v>44317</v>
      </c>
      <c r="N42" s="63">
        <f t="shared" si="5"/>
        <v>616051262</v>
      </c>
    </row>
    <row r="43" spans="1:14" x14ac:dyDescent="0.25">
      <c r="A43">
        <v>1861</v>
      </c>
      <c r="B43" s="20">
        <v>3627537015</v>
      </c>
      <c r="C43" s="19">
        <f t="array" ref="C43">+MAX(IF(DATOS_SIMULACION!$A:$A=A43,DATOS_SIMULACION!$B:$B))</f>
        <v>44166</v>
      </c>
      <c r="D43" s="19">
        <v>44192</v>
      </c>
      <c r="E43" s="20">
        <v>56315340</v>
      </c>
      <c r="F43" s="21">
        <f t="shared" si="3"/>
        <v>3571221675</v>
      </c>
      <c r="G43" s="45">
        <f>IFERROR(VLOOKUP(A43,[1]OtroSíes!$A:$J,8,0),0)</f>
        <v>0</v>
      </c>
      <c r="H43" s="23">
        <f>IFERROR(VLOOKUP(A43,[1]OtroSíes!$A:$K,9,0),0)</f>
        <v>0</v>
      </c>
      <c r="J43" s="36">
        <f>VLOOKUP(A43,PERSONAS!B:B,1,0)</f>
        <v>1861</v>
      </c>
      <c r="K43" s="32">
        <f>VLOOKUP(A43,HONORARIOS!B:B,1,0)</f>
        <v>1861</v>
      </c>
      <c r="L43">
        <f>VLOOKUP(A43,DATOS_SIMULACION!A:A,1,0)</f>
        <v>1861</v>
      </c>
      <c r="M43" s="19">
        <f t="shared" si="4"/>
        <v>44166</v>
      </c>
      <c r="N43" s="63">
        <f t="shared" si="5"/>
        <v>3571221675</v>
      </c>
    </row>
    <row r="44" spans="1:14" x14ac:dyDescent="0.25">
      <c r="A44">
        <v>1866</v>
      </c>
      <c r="B44" s="20">
        <v>137200000</v>
      </c>
      <c r="C44" s="19">
        <f t="array" ref="C44">+MAX(IF(DATOS_SIMULACION!$A:$A=A44,DATOS_SIMULACION!$B:$B))</f>
        <v>43891</v>
      </c>
      <c r="D44" s="19">
        <v>43923</v>
      </c>
      <c r="E44" s="20">
        <v>0</v>
      </c>
      <c r="F44" s="21">
        <f t="shared" si="3"/>
        <v>137200000</v>
      </c>
      <c r="G44" s="45">
        <f>IFERROR(VLOOKUP(A44,[1]OtroSíes!$A:$J,8,0),0)</f>
        <v>0</v>
      </c>
      <c r="H44" s="23">
        <f>IFERROR(VLOOKUP(A44,[1]OtroSíes!$A:$K,9,0),0)</f>
        <v>0</v>
      </c>
      <c r="J44" s="36" t="e">
        <f>VLOOKUP(A44,PERSONAS!B:B,1,0)</f>
        <v>#N/A</v>
      </c>
      <c r="K44" s="32">
        <f>VLOOKUP(A44,HONORARIOS!B:B,1,0)</f>
        <v>1866</v>
      </c>
      <c r="L44">
        <f>VLOOKUP(A44,DATOS_SIMULACION!A:A,1,0)</f>
        <v>1866</v>
      </c>
      <c r="M44" s="19">
        <f t="shared" si="4"/>
        <v>43922</v>
      </c>
      <c r="N44" s="63">
        <f t="shared" si="5"/>
        <v>137200000</v>
      </c>
    </row>
    <row r="45" spans="1:14" x14ac:dyDescent="0.25">
      <c r="A45">
        <v>1873</v>
      </c>
      <c r="B45" s="20">
        <v>335861272</v>
      </c>
      <c r="C45" s="19">
        <f t="array" ref="C45">+MAX(IF(DATOS_SIMULACION!$A:$A=A45,DATOS_SIMULACION!$B:$B))</f>
        <v>43800</v>
      </c>
      <c r="D45" s="19">
        <v>43839</v>
      </c>
      <c r="E45" s="20">
        <v>71091110</v>
      </c>
      <c r="F45" s="21">
        <f t="shared" si="3"/>
        <v>264770162</v>
      </c>
      <c r="G45" s="45">
        <f>IFERROR(VLOOKUP(A45,[1]OtroSíes!$A:$J,8,0),0)</f>
        <v>0</v>
      </c>
      <c r="H45" s="23">
        <f>IFERROR(VLOOKUP(A45,[1]OtroSíes!$A:$K,9,0),0)</f>
        <v>0</v>
      </c>
      <c r="J45" s="36">
        <f>VLOOKUP(A45,PERSONAS!B:B,1,0)</f>
        <v>1873</v>
      </c>
      <c r="K45" s="32">
        <f>VLOOKUP(A45,HONORARIOS!B:B,1,0)</f>
        <v>1873</v>
      </c>
      <c r="L45">
        <f>VLOOKUP(A45,DATOS_SIMULACION!A:A,1,0)</f>
        <v>1873</v>
      </c>
      <c r="M45" s="19">
        <f t="shared" si="4"/>
        <v>43831</v>
      </c>
      <c r="N45" s="63">
        <f t="shared" si="5"/>
        <v>264770162</v>
      </c>
    </row>
    <row r="46" spans="1:14" x14ac:dyDescent="0.25">
      <c r="A46">
        <v>1874</v>
      </c>
      <c r="B46" s="20">
        <v>600682540</v>
      </c>
      <c r="C46" s="19">
        <f t="array" ref="C46">+MAX(IF(DATOS_SIMULACION!$A:$A=A46,DATOS_SIMULACION!$B:$B))</f>
        <v>43739</v>
      </c>
      <c r="D46" s="19">
        <v>43774</v>
      </c>
      <c r="E46" s="20">
        <v>127287057</v>
      </c>
      <c r="F46" s="21">
        <f t="shared" si="3"/>
        <v>473395483</v>
      </c>
      <c r="G46" s="45">
        <f>IFERROR(VLOOKUP(A46,[1]OtroSíes!$A:$J,8,0),0)</f>
        <v>0</v>
      </c>
      <c r="H46" s="23">
        <f>IFERROR(VLOOKUP(A46,[1]OtroSíes!$A:$K,9,0),0)</f>
        <v>0</v>
      </c>
      <c r="J46" s="36">
        <f>VLOOKUP(A46,PERSONAS!B:B,1,0)</f>
        <v>1874</v>
      </c>
      <c r="K46" s="32">
        <f>VLOOKUP(A46,HONORARIOS!B:B,1,0)</f>
        <v>1874</v>
      </c>
      <c r="L46">
        <f>VLOOKUP(A46,DATOS_SIMULACION!A:A,1,0)</f>
        <v>1874</v>
      </c>
      <c r="M46" s="19">
        <f t="shared" si="4"/>
        <v>43770</v>
      </c>
      <c r="N46" s="63">
        <f t="shared" si="5"/>
        <v>473395483</v>
      </c>
    </row>
    <row r="47" spans="1:14" x14ac:dyDescent="0.25">
      <c r="A47">
        <v>1877</v>
      </c>
      <c r="B47" s="20">
        <v>1474523167</v>
      </c>
      <c r="C47" s="19">
        <f t="array" ref="C47">+MAX(IF(DATOS_SIMULACION!$A:$A=A47,DATOS_SIMULACION!$B:$B))</f>
        <v>43891</v>
      </c>
      <c r="D47" s="19">
        <v>43888</v>
      </c>
      <c r="E47" s="20">
        <v>28318301</v>
      </c>
      <c r="F47" s="21">
        <f t="shared" si="3"/>
        <v>1446204866</v>
      </c>
      <c r="G47" s="45">
        <f>IFERROR(VLOOKUP(A47,[1]OtroSíes!$A:$J,8,0),0)</f>
        <v>0</v>
      </c>
      <c r="H47" s="23">
        <f>IFERROR(VLOOKUP(A47,[1]OtroSíes!$A:$K,9,0),0)</f>
        <v>0</v>
      </c>
      <c r="J47" s="36">
        <f>VLOOKUP(A47,PERSONAS!B:B,1,0)</f>
        <v>1877</v>
      </c>
      <c r="K47" s="32">
        <f>VLOOKUP(A47,HONORARIOS!B:B,1,0)</f>
        <v>1877</v>
      </c>
      <c r="L47">
        <f>VLOOKUP(A47,DATOS_SIMULACION!A:A,1,0)</f>
        <v>1877</v>
      </c>
      <c r="M47" s="19">
        <f t="shared" si="4"/>
        <v>43862</v>
      </c>
      <c r="N47" s="63">
        <f t="shared" si="5"/>
        <v>1446204866</v>
      </c>
    </row>
    <row r="48" spans="1:14" x14ac:dyDescent="0.25">
      <c r="A48">
        <v>1880</v>
      </c>
      <c r="B48" s="20">
        <v>218417446</v>
      </c>
      <c r="C48" s="19">
        <f t="array" ref="C48">+MAX(IF(DATOS_SIMULACION!$A:$A=A48,DATOS_SIMULACION!$B:$B))</f>
        <v>43617</v>
      </c>
      <c r="D48" s="19">
        <v>43647</v>
      </c>
      <c r="E48" s="20">
        <v>70965554</v>
      </c>
      <c r="F48" s="21">
        <f t="shared" si="3"/>
        <v>147451892</v>
      </c>
      <c r="G48" s="45">
        <f>IFERROR(VLOOKUP(A48,[1]OtroSíes!$A:$J,8,0),0)</f>
        <v>0</v>
      </c>
      <c r="H48" s="23">
        <f>IFERROR(VLOOKUP(A48,[1]OtroSíes!$A:$K,9,0),0)</f>
        <v>0</v>
      </c>
      <c r="J48" s="36">
        <f>VLOOKUP(A48,PERSONAS!B:B,1,0)</f>
        <v>1880</v>
      </c>
      <c r="K48" s="32">
        <f>VLOOKUP(A48,HONORARIOS!B:B,1,0)</f>
        <v>1880</v>
      </c>
      <c r="L48">
        <f>VLOOKUP(A48,DATOS_SIMULACION!A:A,1,0)</f>
        <v>1880</v>
      </c>
      <c r="M48" s="19">
        <f t="shared" si="4"/>
        <v>43647</v>
      </c>
      <c r="N48" s="63">
        <f t="shared" si="5"/>
        <v>147451892</v>
      </c>
    </row>
    <row r="49" spans="1:14" x14ac:dyDescent="0.25">
      <c r="A49">
        <v>1881</v>
      </c>
      <c r="B49" s="20">
        <v>415493821</v>
      </c>
      <c r="C49" s="19">
        <f t="array" ref="C49">+MAX(IF(DATOS_SIMULACION!$A:$A=A49,DATOS_SIMULACION!$B:$B))</f>
        <v>44013</v>
      </c>
      <c r="D49" s="19">
        <v>44076</v>
      </c>
      <c r="E49" s="20">
        <v>50055590</v>
      </c>
      <c r="F49" s="21">
        <f t="shared" si="3"/>
        <v>365438231</v>
      </c>
      <c r="G49" s="45">
        <f>IFERROR(VLOOKUP(A49,[1]OtroSíes!$A:$J,8,0),0)</f>
        <v>0</v>
      </c>
      <c r="H49" s="23">
        <f>IFERROR(VLOOKUP(A49,[1]OtroSíes!$A:$K,9,0),0)</f>
        <v>0</v>
      </c>
      <c r="J49" s="36">
        <f>VLOOKUP(A49,PERSONAS!B:B,1,0)</f>
        <v>1881</v>
      </c>
      <c r="K49" s="32">
        <f>VLOOKUP(A49,HONORARIOS!B:B,1,0)</f>
        <v>1881</v>
      </c>
      <c r="L49">
        <f>VLOOKUP(A49,DATOS_SIMULACION!A:A,1,0)</f>
        <v>1881</v>
      </c>
      <c r="M49" s="19">
        <f t="shared" si="4"/>
        <v>44075</v>
      </c>
      <c r="N49" s="63">
        <f t="shared" si="5"/>
        <v>365438231</v>
      </c>
    </row>
    <row r="50" spans="1:14" x14ac:dyDescent="0.25">
      <c r="A50">
        <v>1883</v>
      </c>
      <c r="B50" s="20">
        <v>330870570</v>
      </c>
      <c r="C50" s="19">
        <f t="array" ref="C50">+MAX(IF(DATOS_SIMULACION!$A:$A=A50,DATOS_SIMULACION!$B:$B))</f>
        <v>44228</v>
      </c>
      <c r="D50" s="19">
        <v>44195</v>
      </c>
      <c r="E50" s="20">
        <v>10000000</v>
      </c>
      <c r="F50" s="21">
        <f t="shared" si="3"/>
        <v>320870570</v>
      </c>
      <c r="G50" s="45">
        <f>IFERROR(VLOOKUP(A50,[1]OtroSíes!$A:$J,8,0),0)</f>
        <v>0</v>
      </c>
      <c r="H50" s="23">
        <f>IFERROR(VLOOKUP(A50,[1]OtroSíes!$A:$K,9,0),0)</f>
        <v>0</v>
      </c>
      <c r="J50" s="36" t="e">
        <f>VLOOKUP(A50,PERSONAS!B:B,1,0)</f>
        <v>#N/A</v>
      </c>
      <c r="K50" s="32">
        <f>VLOOKUP(A50,HONORARIOS!B:B,1,0)</f>
        <v>1883</v>
      </c>
      <c r="L50">
        <f>VLOOKUP(A50,DATOS_SIMULACION!A:A,1,0)</f>
        <v>1883</v>
      </c>
      <c r="M50" s="19">
        <f t="shared" si="4"/>
        <v>44166</v>
      </c>
      <c r="N50" s="63">
        <f t="shared" si="5"/>
        <v>320870570</v>
      </c>
    </row>
    <row r="51" spans="1:14" x14ac:dyDescent="0.25">
      <c r="A51">
        <v>1884</v>
      </c>
      <c r="B51" s="20">
        <v>185647599</v>
      </c>
      <c r="C51" s="19">
        <f t="array" ref="C51">+MAX(IF(DATOS_SIMULACION!$A:$A=A51,DATOS_SIMULACION!$B:$B))</f>
        <v>43831</v>
      </c>
      <c r="D51" s="19">
        <v>43738</v>
      </c>
      <c r="E51" s="20">
        <v>10000000</v>
      </c>
      <c r="F51" s="21">
        <f t="shared" si="3"/>
        <v>175647599</v>
      </c>
      <c r="G51" s="45">
        <f>IFERROR(VLOOKUP(A51,[1]OtroSíes!$A:$J,8,0),0)</f>
        <v>0</v>
      </c>
      <c r="H51" s="23">
        <f>IFERROR(VLOOKUP(A51,[1]OtroSíes!$A:$K,9,0),0)</f>
        <v>0</v>
      </c>
      <c r="J51" s="36" t="e">
        <f>VLOOKUP(A51,PERSONAS!B:B,1,0)</f>
        <v>#N/A</v>
      </c>
      <c r="K51" s="32">
        <f>VLOOKUP(A51,HONORARIOS!B:B,1,0)</f>
        <v>1884</v>
      </c>
      <c r="L51">
        <f>VLOOKUP(A51,DATOS_SIMULACION!A:A,1,0)</f>
        <v>1884</v>
      </c>
      <c r="M51" s="19">
        <f t="shared" si="4"/>
        <v>43709</v>
      </c>
      <c r="N51" s="63">
        <f t="shared" si="5"/>
        <v>175647599</v>
      </c>
    </row>
    <row r="52" spans="1:14" x14ac:dyDescent="0.25">
      <c r="A52">
        <v>1888</v>
      </c>
      <c r="B52" s="20">
        <v>528680443</v>
      </c>
      <c r="C52" s="19">
        <f t="array" ref="C52">+MAX(IF(DATOS_SIMULACION!$A:$A=A52,DATOS_SIMULACION!$B:$B))</f>
        <v>43952</v>
      </c>
      <c r="D52" s="19">
        <v>43891</v>
      </c>
      <c r="E52" s="20">
        <v>0</v>
      </c>
      <c r="F52" s="21">
        <f t="shared" si="3"/>
        <v>528680443</v>
      </c>
      <c r="G52" s="45">
        <f>IFERROR(VLOOKUP(A52,[1]OtroSíes!$A:$J,8,0),0)</f>
        <v>0</v>
      </c>
      <c r="H52" s="23">
        <f>IFERROR(VLOOKUP(A52,[1]OtroSíes!$A:$K,9,0),0)</f>
        <v>0</v>
      </c>
      <c r="J52" s="36">
        <f>VLOOKUP(A52,PERSONAS!B:B,1,0)</f>
        <v>1888</v>
      </c>
      <c r="K52" s="32">
        <f>VLOOKUP(A52,HONORARIOS!B:B,1,0)</f>
        <v>1888</v>
      </c>
      <c r="L52">
        <f>VLOOKUP(A52,DATOS_SIMULACION!A:A,1,0)</f>
        <v>1888</v>
      </c>
      <c r="M52" s="19">
        <f t="shared" si="4"/>
        <v>43891</v>
      </c>
      <c r="N52" s="63">
        <f t="shared" si="5"/>
        <v>528680443</v>
      </c>
    </row>
    <row r="53" spans="1:14" x14ac:dyDescent="0.25">
      <c r="A53">
        <v>1890</v>
      </c>
      <c r="B53" s="20">
        <v>860247406</v>
      </c>
      <c r="C53" s="19">
        <f t="array" ref="C53">+MAX(IF(DATOS_SIMULACION!$A:$A=A53,DATOS_SIMULACION!$B:$B))</f>
        <v>44166</v>
      </c>
      <c r="D53" s="19">
        <v>44180</v>
      </c>
      <c r="E53" s="20">
        <v>0</v>
      </c>
      <c r="F53" s="21">
        <f t="shared" si="3"/>
        <v>860247406</v>
      </c>
      <c r="G53" s="45">
        <f>IFERROR(VLOOKUP(A53,[1]OtroSíes!$A:$J,8,0),0)</f>
        <v>0</v>
      </c>
      <c r="H53" s="23">
        <f>IFERROR(VLOOKUP(A53,[1]OtroSíes!$A:$K,9,0),0)</f>
        <v>0</v>
      </c>
      <c r="J53" s="36">
        <f>VLOOKUP(A53,PERSONAS!B:B,1,0)</f>
        <v>1890</v>
      </c>
      <c r="K53" s="32">
        <f>VLOOKUP(A53,HONORARIOS!B:B,1,0)</f>
        <v>1890</v>
      </c>
      <c r="L53">
        <f>VLOOKUP(A53,DATOS_SIMULACION!A:A,1,0)</f>
        <v>1890</v>
      </c>
      <c r="M53" s="19">
        <f t="shared" si="4"/>
        <v>44166</v>
      </c>
      <c r="N53" s="63">
        <f t="shared" si="5"/>
        <v>860247406</v>
      </c>
    </row>
    <row r="54" spans="1:14" x14ac:dyDescent="0.25">
      <c r="A54">
        <v>1891</v>
      </c>
      <c r="B54" s="20">
        <v>1409324741</v>
      </c>
      <c r="C54" s="19">
        <f t="array" ref="C54">+MAX(IF(DATOS_SIMULACION!$A:$A=A54,DATOS_SIMULACION!$B:$B))</f>
        <v>44166</v>
      </c>
      <c r="D54" s="19">
        <v>44256</v>
      </c>
      <c r="E54" s="20">
        <v>0</v>
      </c>
      <c r="F54" s="21">
        <f t="shared" si="3"/>
        <v>1409324741</v>
      </c>
      <c r="G54" s="45">
        <f>IFERROR(VLOOKUP(A54,[1]OtroSíes!$A:$J,8,0),0)</f>
        <v>0</v>
      </c>
      <c r="H54" s="23">
        <f>IFERROR(VLOOKUP(A54,[1]OtroSíes!$A:$K,9,0),0)</f>
        <v>0</v>
      </c>
      <c r="J54" s="36">
        <f>VLOOKUP(A54,PERSONAS!B:B,1,0)</f>
        <v>1891</v>
      </c>
      <c r="K54" s="32">
        <f>VLOOKUP(A54,HONORARIOS!B:B,1,0)</f>
        <v>1891</v>
      </c>
      <c r="L54">
        <f>VLOOKUP(A54,DATOS_SIMULACION!A:A,1,0)</f>
        <v>1891</v>
      </c>
      <c r="M54" s="19">
        <f t="shared" si="4"/>
        <v>44256</v>
      </c>
      <c r="N54" s="63">
        <f t="shared" si="5"/>
        <v>1409324741</v>
      </c>
    </row>
    <row r="55" spans="1:14" x14ac:dyDescent="0.25">
      <c r="A55">
        <v>1893</v>
      </c>
      <c r="B55" s="20">
        <v>574165219</v>
      </c>
      <c r="C55" s="19">
        <f t="array" ref="C55">+MAX(IF(DATOS_SIMULACION!$A:$A=A55,DATOS_SIMULACION!$B:$B))</f>
        <v>43891</v>
      </c>
      <c r="D55" s="19">
        <v>43916</v>
      </c>
      <c r="E55" s="20">
        <v>0</v>
      </c>
      <c r="F55" s="21">
        <f t="shared" si="3"/>
        <v>574165219</v>
      </c>
      <c r="G55" s="45">
        <f>IFERROR(VLOOKUP(A55,[1]OtroSíes!$A:$J,8,0),0)</f>
        <v>0</v>
      </c>
      <c r="H55" s="23">
        <f>IFERROR(VLOOKUP(A55,[1]OtroSíes!$A:$K,9,0),0)</f>
        <v>0</v>
      </c>
      <c r="J55" s="36">
        <f>VLOOKUP(A55,PERSONAS!B:B,1,0)</f>
        <v>1893</v>
      </c>
      <c r="K55" s="32">
        <f>VLOOKUP(A55,HONORARIOS!B:B,1,0)</f>
        <v>1893</v>
      </c>
      <c r="L55">
        <f>VLOOKUP(A55,DATOS_SIMULACION!A:A,1,0)</f>
        <v>1893</v>
      </c>
      <c r="M55" s="19">
        <f t="shared" si="4"/>
        <v>43891</v>
      </c>
      <c r="N55" s="63">
        <f t="shared" si="5"/>
        <v>574165219</v>
      </c>
    </row>
    <row r="56" spans="1:14" x14ac:dyDescent="0.25">
      <c r="A56">
        <v>1895</v>
      </c>
      <c r="B56" s="20">
        <v>44399969</v>
      </c>
      <c r="C56" s="19">
        <f t="array" ref="C56">+MAX(IF(DATOS_SIMULACION!$A:$A=A56,DATOS_SIMULACION!$B:$B))</f>
        <v>43466</v>
      </c>
      <c r="D56" s="19">
        <v>43526</v>
      </c>
      <c r="E56" s="20">
        <v>11440910</v>
      </c>
      <c r="F56" s="21">
        <f t="shared" si="3"/>
        <v>32959059</v>
      </c>
      <c r="G56" s="45">
        <f>IFERROR(VLOOKUP(A56,[1]OtroSíes!$A:$J,8,0),0)</f>
        <v>0</v>
      </c>
      <c r="H56" s="23">
        <f>IFERROR(VLOOKUP(A56,[1]OtroSíes!$A:$K,9,0),0)</f>
        <v>0</v>
      </c>
      <c r="J56" s="36">
        <f>VLOOKUP(A56,PERSONAS!B:B,1,0)</f>
        <v>1895</v>
      </c>
      <c r="K56" s="32">
        <f>VLOOKUP(A56,HONORARIOS!B:B,1,0)</f>
        <v>1895</v>
      </c>
      <c r="L56">
        <f>VLOOKUP(A56,DATOS_SIMULACION!A:A,1,0)</f>
        <v>1895</v>
      </c>
      <c r="M56" s="19">
        <f t="shared" si="4"/>
        <v>43525</v>
      </c>
      <c r="N56" s="63">
        <f t="shared" si="5"/>
        <v>32959059</v>
      </c>
    </row>
    <row r="57" spans="1:14" x14ac:dyDescent="0.25">
      <c r="A57">
        <v>1898</v>
      </c>
      <c r="B57" s="20">
        <v>30000000</v>
      </c>
      <c r="C57" s="19">
        <f t="array" ref="C57">+MAX(IF(DATOS_SIMULACION!$A:$A=A57,DATOS_SIMULACION!$B:$B))</f>
        <v>43617</v>
      </c>
      <c r="D57" s="19">
        <v>43586</v>
      </c>
      <c r="E57" s="20">
        <v>0</v>
      </c>
      <c r="F57" s="21">
        <f t="shared" si="3"/>
        <v>30000000</v>
      </c>
      <c r="G57" s="45">
        <f>IFERROR(VLOOKUP(A57,[1]OtroSíes!$A:$J,8,0),0)</f>
        <v>0</v>
      </c>
      <c r="H57" s="23">
        <f>IFERROR(VLOOKUP(A57,[1]OtroSíes!$A:$K,9,0),0)</f>
        <v>0</v>
      </c>
      <c r="J57" s="36" t="e">
        <f>VLOOKUP(A57,PERSONAS!B:B,1,0)</f>
        <v>#N/A</v>
      </c>
      <c r="K57" s="32">
        <f>VLOOKUP(A57,HONORARIOS!B:B,1,0)</f>
        <v>1898</v>
      </c>
      <c r="L57">
        <f>VLOOKUP(A57,DATOS_SIMULACION!A:A,1,0)</f>
        <v>1898</v>
      </c>
      <c r="M57" s="19">
        <f t="shared" si="4"/>
        <v>43586</v>
      </c>
      <c r="N57" s="63">
        <f t="shared" si="5"/>
        <v>30000000</v>
      </c>
    </row>
    <row r="58" spans="1:14" x14ac:dyDescent="0.25">
      <c r="A58">
        <v>1899</v>
      </c>
      <c r="B58" s="20">
        <v>1417661272</v>
      </c>
      <c r="C58" s="19">
        <f t="array" ref="C58">+MAX(IF(DATOS_SIMULACION!$A:$A=A58,DATOS_SIMULACION!$B:$B))</f>
        <v>44256</v>
      </c>
      <c r="D58" s="19">
        <v>44256</v>
      </c>
      <c r="E58" s="20">
        <v>0</v>
      </c>
      <c r="F58" s="21">
        <f t="shared" si="3"/>
        <v>1417661272</v>
      </c>
      <c r="G58" s="45">
        <f>IFERROR(VLOOKUP(A58,[1]OtroSíes!$A:$J,8,0),0)</f>
        <v>0</v>
      </c>
      <c r="H58" s="23">
        <f>IFERROR(VLOOKUP(A58,[1]OtroSíes!$A:$K,9,0),0)</f>
        <v>0</v>
      </c>
      <c r="J58" s="36">
        <f>VLOOKUP(A58,PERSONAS!B:B,1,0)</f>
        <v>1899</v>
      </c>
      <c r="K58" s="32">
        <f>VLOOKUP(A58,HONORARIOS!B:B,1,0)</f>
        <v>1899</v>
      </c>
      <c r="L58">
        <f>VLOOKUP(A58,DATOS_SIMULACION!A:A,1,0)</f>
        <v>1899</v>
      </c>
      <c r="M58" s="19">
        <f t="shared" si="4"/>
        <v>44256</v>
      </c>
      <c r="N58" s="63">
        <f t="shared" si="5"/>
        <v>1417661272</v>
      </c>
    </row>
    <row r="59" spans="1:14" x14ac:dyDescent="0.25">
      <c r="A59">
        <v>1900</v>
      </c>
      <c r="B59" s="20">
        <v>525619602</v>
      </c>
      <c r="C59" s="19">
        <f t="array" ref="C59">+MAX(IF(DATOS_SIMULACION!$A:$A=A59,DATOS_SIMULACION!$B:$B))</f>
        <v>43831</v>
      </c>
      <c r="D59" s="19">
        <v>43862</v>
      </c>
      <c r="E59" s="20">
        <v>0</v>
      </c>
      <c r="F59" s="21">
        <f t="shared" si="3"/>
        <v>525619602</v>
      </c>
      <c r="G59" s="45">
        <f>IFERROR(VLOOKUP(A59,[1]OtroSíes!$A:$J,8,0),0)</f>
        <v>0</v>
      </c>
      <c r="H59" s="23">
        <f>IFERROR(VLOOKUP(A59,[1]OtroSíes!$A:$K,9,0),0)</f>
        <v>0</v>
      </c>
      <c r="J59" s="36">
        <f>VLOOKUP(A59,PERSONAS!B:B,1,0)</f>
        <v>1900</v>
      </c>
      <c r="K59" s="32">
        <f>VLOOKUP(A59,HONORARIOS!B:B,1,0)</f>
        <v>1900</v>
      </c>
      <c r="L59">
        <f>VLOOKUP(A59,DATOS_SIMULACION!A:A,1,0)</f>
        <v>1900</v>
      </c>
      <c r="M59" s="19">
        <f t="shared" si="4"/>
        <v>43862</v>
      </c>
      <c r="N59" s="63">
        <f t="shared" si="5"/>
        <v>525619602</v>
      </c>
    </row>
    <row r="60" spans="1:14" x14ac:dyDescent="0.25">
      <c r="B60" s="20"/>
      <c r="D60" s="19"/>
      <c r="F60" s="21"/>
      <c r="G60" s="21"/>
      <c r="H60" s="21"/>
      <c r="J60" s="36"/>
      <c r="M60" s="19"/>
    </row>
    <row r="61" spans="1:14" x14ac:dyDescent="0.25">
      <c r="B61" s="20"/>
      <c r="D61" s="19"/>
      <c r="F61" s="21"/>
      <c r="G61" s="21"/>
      <c r="H61" s="21"/>
      <c r="J61" s="36"/>
      <c r="M61" s="19"/>
    </row>
    <row r="62" spans="1:14" x14ac:dyDescent="0.25">
      <c r="B62" s="20"/>
      <c r="D62" s="19"/>
      <c r="F62" s="21"/>
      <c r="G62" s="21"/>
      <c r="H62" s="21"/>
      <c r="J62" s="36"/>
      <c r="M62" s="19"/>
    </row>
    <row r="63" spans="1:14" x14ac:dyDescent="0.25">
      <c r="B63" s="20"/>
      <c r="D63" s="19"/>
      <c r="F63" s="21"/>
      <c r="G63" s="21"/>
      <c r="H63" s="21"/>
      <c r="J63" s="36"/>
      <c r="M63" s="19"/>
    </row>
    <row r="64" spans="1:14" x14ac:dyDescent="0.25">
      <c r="B64" s="20"/>
      <c r="D64" s="19"/>
      <c r="F64" s="21"/>
      <c r="G64" s="21"/>
      <c r="H64" s="21"/>
      <c r="J64" s="36"/>
      <c r="M64" s="19"/>
    </row>
    <row r="65" spans="2:13" x14ac:dyDescent="0.25">
      <c r="B65" s="20"/>
      <c r="D65" s="19"/>
      <c r="F65" s="21"/>
      <c r="G65" s="21"/>
      <c r="H65" s="21"/>
      <c r="J65" s="36"/>
      <c r="M65" s="19"/>
    </row>
    <row r="66" spans="2:13" x14ac:dyDescent="0.25">
      <c r="B66" s="20"/>
      <c r="D66" s="19"/>
      <c r="F66" s="21"/>
      <c r="G66" s="21"/>
      <c r="H66" s="21"/>
      <c r="J66" s="36"/>
      <c r="M66" s="19"/>
    </row>
    <row r="67" spans="2:13" x14ac:dyDescent="0.25">
      <c r="B67" s="20"/>
      <c r="D67" s="19"/>
      <c r="F67" s="21"/>
      <c r="G67" s="21"/>
      <c r="H67" s="21"/>
      <c r="J67" s="36"/>
      <c r="M67" s="19"/>
    </row>
    <row r="68" spans="2:13" x14ac:dyDescent="0.25">
      <c r="B68" s="20"/>
      <c r="D68" s="19"/>
      <c r="F68" s="21"/>
      <c r="G68" s="21"/>
      <c r="H68" s="21"/>
      <c r="J68" s="36"/>
      <c r="M68" s="19"/>
    </row>
    <row r="69" spans="2:13" x14ac:dyDescent="0.25">
      <c r="B69" s="20"/>
      <c r="D69" s="19"/>
      <c r="F69" s="21"/>
      <c r="G69" s="21"/>
      <c r="H69" s="21"/>
      <c r="J69" s="36"/>
      <c r="M69" s="19"/>
    </row>
    <row r="70" spans="2:13" x14ac:dyDescent="0.25">
      <c r="B70" s="20"/>
      <c r="D70" s="19"/>
      <c r="F70" s="21"/>
      <c r="G70" s="21"/>
      <c r="H70" s="21"/>
      <c r="J70" s="36"/>
      <c r="M70" s="19"/>
    </row>
    <row r="71" spans="2:13" x14ac:dyDescent="0.25">
      <c r="B71" s="20"/>
      <c r="D71" s="19"/>
      <c r="F71" s="21"/>
      <c r="G71" s="21"/>
      <c r="H71" s="21"/>
      <c r="J71" s="36"/>
      <c r="M71" s="19"/>
    </row>
    <row r="72" spans="2:13" x14ac:dyDescent="0.25">
      <c r="B72" s="20"/>
      <c r="D72" s="19"/>
      <c r="F72" s="21"/>
      <c r="G72" s="21"/>
      <c r="H72" s="21"/>
      <c r="J72" s="36"/>
      <c r="M72" s="19"/>
    </row>
    <row r="73" spans="2:13" x14ac:dyDescent="0.25">
      <c r="B73" s="20"/>
      <c r="D73" s="19"/>
      <c r="F73" s="21"/>
      <c r="G73" s="21"/>
      <c r="H73" s="21"/>
      <c r="J73" s="36"/>
      <c r="M73" s="19"/>
    </row>
    <row r="74" spans="2:13" x14ac:dyDescent="0.25">
      <c r="B74" s="20"/>
      <c r="D74" s="19"/>
      <c r="F74" s="21"/>
      <c r="G74" s="21"/>
      <c r="H74" s="21"/>
      <c r="J74" s="36"/>
      <c r="M74" s="19"/>
    </row>
    <row r="75" spans="2:13" x14ac:dyDescent="0.25">
      <c r="B75" s="20"/>
      <c r="D75" s="19"/>
      <c r="F75" s="21"/>
      <c r="G75" s="21"/>
      <c r="H75" s="21"/>
      <c r="J75" s="36"/>
      <c r="M75" s="19"/>
    </row>
    <row r="76" spans="2:13" x14ac:dyDescent="0.25">
      <c r="B76" s="20"/>
      <c r="D76" s="19"/>
      <c r="F76" s="21"/>
      <c r="G76" s="21"/>
      <c r="H76" s="21"/>
      <c r="J76" s="36"/>
      <c r="M76" s="19"/>
    </row>
    <row r="77" spans="2:13" x14ac:dyDescent="0.25">
      <c r="B77" s="20"/>
      <c r="D77" s="19"/>
      <c r="F77" s="21"/>
      <c r="G77" s="21"/>
      <c r="H77" s="21"/>
      <c r="J77" s="36"/>
      <c r="M77" s="19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Q472"/>
  <sheetViews>
    <sheetView workbookViewId="0">
      <pane xSplit="2" ySplit="1" topLeftCell="C394" activePane="bottomRight" state="frozen"/>
      <selection activeCell="B6" sqref="B6"/>
      <selection pane="topRight" activeCell="B6" sqref="B6"/>
      <selection pane="bottomLeft" activeCell="B6" sqref="B6"/>
      <selection pane="bottomRight" activeCell="A407" sqref="A407"/>
    </sheetView>
  </sheetViews>
  <sheetFormatPr baseColWidth="10" defaultColWidth="4.85546875" defaultRowHeight="15" x14ac:dyDescent="0.25"/>
  <cols>
    <col min="2" max="2" width="8.140625" bestFit="1" customWidth="1"/>
    <col min="3" max="3" width="34.28515625" customWidth="1"/>
    <col min="4" max="4" width="11.5703125" style="23" bestFit="1" customWidth="1"/>
    <col min="5" max="5" width="8.5703125" bestFit="1" customWidth="1"/>
    <col min="6" max="6" width="12.140625" bestFit="1" customWidth="1"/>
    <col min="7" max="7" width="14.140625" bestFit="1" customWidth="1"/>
    <col min="8" max="8" width="15.5703125" customWidth="1"/>
    <col min="9" max="9" width="12.85546875" bestFit="1" customWidth="1"/>
    <col min="10" max="10" width="15.140625" bestFit="1" customWidth="1"/>
    <col min="11" max="11" width="15.85546875" bestFit="1" customWidth="1"/>
    <col min="12" max="12" width="40.7109375" customWidth="1"/>
    <col min="13" max="13" width="9.7109375" bestFit="1" customWidth="1"/>
    <col min="14" max="14" width="11.28515625" bestFit="1" customWidth="1"/>
    <col min="15" max="15" width="7.5703125" bestFit="1" customWidth="1"/>
    <col min="16" max="16" width="9.7109375" bestFit="1" customWidth="1"/>
    <col min="17" max="17" width="11.42578125" style="23" bestFit="1" customWidth="1"/>
    <col min="18" max="18" width="6.5703125" bestFit="1" customWidth="1"/>
  </cols>
  <sheetData>
    <row r="1" spans="2:17" ht="30" x14ac:dyDescent="0.25">
      <c r="B1" s="1" t="s">
        <v>0</v>
      </c>
      <c r="C1" s="1" t="s">
        <v>2</v>
      </c>
      <c r="D1" s="28" t="s">
        <v>3</v>
      </c>
      <c r="E1" s="6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46" t="s">
        <v>322</v>
      </c>
      <c r="N1" s="46" t="s">
        <v>1</v>
      </c>
      <c r="O1" s="46" t="s">
        <v>323</v>
      </c>
      <c r="P1" s="46" t="s">
        <v>222</v>
      </c>
      <c r="Q1" s="47" t="s">
        <v>324</v>
      </c>
    </row>
    <row r="2" spans="2:17" x14ac:dyDescent="0.25">
      <c r="B2" s="5">
        <v>1580</v>
      </c>
      <c r="C2" s="3" t="s">
        <v>19</v>
      </c>
      <c r="D2" s="29">
        <v>10334969</v>
      </c>
      <c r="E2" s="7">
        <v>2018</v>
      </c>
      <c r="F2" s="8">
        <v>0.3</v>
      </c>
      <c r="G2" s="12">
        <v>0.62</v>
      </c>
      <c r="H2" s="8">
        <v>1</v>
      </c>
      <c r="I2" s="9">
        <v>43404</v>
      </c>
      <c r="J2" s="9">
        <v>43404</v>
      </c>
      <c r="K2" s="10">
        <v>17</v>
      </c>
      <c r="L2" s="3" t="s">
        <v>278</v>
      </c>
      <c r="M2" s="9">
        <f>(MONTH(I2)&amp;"-"&amp;YEAR(I2))*1</f>
        <v>43374</v>
      </c>
      <c r="N2" s="9">
        <f>EDATE(M2,K2)</f>
        <v>43891</v>
      </c>
      <c r="O2" s="29">
        <f>VLOOKUP(B2,PROYECTO!A:H,8,0)</f>
        <v>0</v>
      </c>
      <c r="P2" s="9">
        <f t="array" ref="P2">MAX(MAX(IF($B:$B=B2,$N:$N)),MAX(IF(B2=HONORARIOS!B:B,HONORARIOS!M:M)))</f>
        <v>43891</v>
      </c>
      <c r="Q2" s="29">
        <f>IF(P2=N2,K2+O2,K2)</f>
        <v>17</v>
      </c>
    </row>
    <row r="3" spans="2:17" x14ac:dyDescent="0.25">
      <c r="B3" s="5">
        <v>1580</v>
      </c>
      <c r="C3" s="3" t="s">
        <v>12</v>
      </c>
      <c r="D3" s="29">
        <v>4942597</v>
      </c>
      <c r="E3" s="7">
        <v>2018</v>
      </c>
      <c r="F3" s="8">
        <v>1</v>
      </c>
      <c r="G3" s="8">
        <v>0.5</v>
      </c>
      <c r="H3" s="8">
        <v>1</v>
      </c>
      <c r="I3" s="9">
        <v>43404</v>
      </c>
      <c r="J3" s="9">
        <v>43404</v>
      </c>
      <c r="K3" s="10">
        <v>17</v>
      </c>
      <c r="L3" s="3" t="s">
        <v>278</v>
      </c>
      <c r="M3" s="9">
        <f t="shared" ref="M3:M16" si="0">(MONTH(I3)&amp;"-"&amp;YEAR(I3))*1</f>
        <v>43374</v>
      </c>
      <c r="N3" s="9">
        <f t="shared" ref="N3:N66" si="1">EDATE(M3,K3)</f>
        <v>43891</v>
      </c>
      <c r="O3" s="29">
        <f>VLOOKUP(B3,PROYECTO!A:H,8,0)</f>
        <v>0</v>
      </c>
      <c r="P3" s="9">
        <f t="array" ref="P3">MAX(MAX(IF($B:$B=B3,$N:$N)),MAX(IF(B3=HONORARIOS!B:B,HONORARIOS!M:M)))</f>
        <v>43891</v>
      </c>
      <c r="Q3" s="29">
        <f t="shared" ref="Q3:Q66" si="2">IF(P3=N3,K3+O3,K3)</f>
        <v>17</v>
      </c>
    </row>
    <row r="4" spans="2:17" x14ac:dyDescent="0.25">
      <c r="B4" s="5">
        <v>1580</v>
      </c>
      <c r="C4" s="3" t="s">
        <v>13</v>
      </c>
      <c r="D4" s="29">
        <v>4137987</v>
      </c>
      <c r="E4" s="7">
        <v>2018</v>
      </c>
      <c r="F4" s="8">
        <v>1</v>
      </c>
      <c r="G4" s="8">
        <v>0.5</v>
      </c>
      <c r="H4" s="8">
        <v>1</v>
      </c>
      <c r="I4" s="9">
        <v>43404</v>
      </c>
      <c r="J4" s="9">
        <v>43404</v>
      </c>
      <c r="K4" s="10">
        <v>16</v>
      </c>
      <c r="L4" s="3" t="s">
        <v>278</v>
      </c>
      <c r="M4" s="9">
        <f t="shared" si="0"/>
        <v>43374</v>
      </c>
      <c r="N4" s="9">
        <f t="shared" si="1"/>
        <v>43862</v>
      </c>
      <c r="O4" s="29">
        <f>VLOOKUP(B4,PROYECTO!A:H,8,0)</f>
        <v>0</v>
      </c>
      <c r="P4" s="9">
        <f t="array" ref="P4">MAX(MAX(IF($B:$B=B4,$N:$N)),MAX(IF(B4=HONORARIOS!B:B,HONORARIOS!M:M)))</f>
        <v>43891</v>
      </c>
      <c r="Q4" s="29">
        <f t="shared" si="2"/>
        <v>16</v>
      </c>
    </row>
    <row r="5" spans="2:17" x14ac:dyDescent="0.25">
      <c r="B5" s="5">
        <v>1580</v>
      </c>
      <c r="C5" s="3" t="s">
        <v>14</v>
      </c>
      <c r="D5" s="29">
        <v>4947263.56738324</v>
      </c>
      <c r="E5" s="7">
        <v>2018</v>
      </c>
      <c r="F5" s="8">
        <v>1</v>
      </c>
      <c r="G5" s="8">
        <v>0.5</v>
      </c>
      <c r="H5" s="8">
        <v>1</v>
      </c>
      <c r="I5" s="9">
        <v>43404</v>
      </c>
      <c r="J5" s="9">
        <v>43404</v>
      </c>
      <c r="K5" s="10">
        <v>17</v>
      </c>
      <c r="L5" s="3" t="s">
        <v>278</v>
      </c>
      <c r="M5" s="9">
        <f t="shared" si="0"/>
        <v>43374</v>
      </c>
      <c r="N5" s="9">
        <f t="shared" si="1"/>
        <v>43891</v>
      </c>
      <c r="O5" s="29">
        <f>VLOOKUP(B5,PROYECTO!A:H,8,0)</f>
        <v>0</v>
      </c>
      <c r="P5" s="9">
        <f t="array" ref="P5">MAX(MAX(IF($B:$B=B5,$N:$N)),MAX(IF(B5=HONORARIOS!B:B,HONORARIOS!M:M)))</f>
        <v>43891</v>
      </c>
      <c r="Q5" s="29">
        <f t="shared" si="2"/>
        <v>17</v>
      </c>
    </row>
    <row r="6" spans="2:17" x14ac:dyDescent="0.25">
      <c r="B6" s="5">
        <v>1580</v>
      </c>
      <c r="C6" s="3" t="s">
        <v>15</v>
      </c>
      <c r="D6" s="29">
        <v>2873602.8539999998</v>
      </c>
      <c r="E6" s="7">
        <v>2018</v>
      </c>
      <c r="F6" s="8">
        <v>1</v>
      </c>
      <c r="G6" s="8">
        <v>0.5</v>
      </c>
      <c r="H6" s="8">
        <v>1</v>
      </c>
      <c r="I6" s="9">
        <v>43404</v>
      </c>
      <c r="J6" s="9">
        <v>43404</v>
      </c>
      <c r="K6" s="10">
        <v>17</v>
      </c>
      <c r="L6" s="3" t="s">
        <v>278</v>
      </c>
      <c r="M6" s="9">
        <f t="shared" si="0"/>
        <v>43374</v>
      </c>
      <c r="N6" s="9">
        <f t="shared" si="1"/>
        <v>43891</v>
      </c>
      <c r="O6" s="29">
        <f>VLOOKUP(B6,PROYECTO!A:H,8,0)</f>
        <v>0</v>
      </c>
      <c r="P6" s="9">
        <f t="array" ref="P6">MAX(MAX(IF($B:$B=B6,$N:$N)),MAX(IF(B6=HONORARIOS!B:B,HONORARIOS!M:M)))</f>
        <v>43891</v>
      </c>
      <c r="Q6" s="29">
        <f t="shared" si="2"/>
        <v>17</v>
      </c>
    </row>
    <row r="7" spans="2:17" x14ac:dyDescent="0.25">
      <c r="B7" s="5">
        <v>1580</v>
      </c>
      <c r="C7" s="3" t="s">
        <v>16</v>
      </c>
      <c r="D7" s="29">
        <v>3046018.6439999999</v>
      </c>
      <c r="E7" s="7">
        <v>2018</v>
      </c>
      <c r="F7" s="8">
        <v>1</v>
      </c>
      <c r="G7" s="8">
        <v>0.5</v>
      </c>
      <c r="H7" s="8">
        <v>1</v>
      </c>
      <c r="I7" s="9">
        <v>43404</v>
      </c>
      <c r="J7" s="9">
        <v>43404</v>
      </c>
      <c r="K7" s="10">
        <v>12</v>
      </c>
      <c r="L7" s="3" t="s">
        <v>278</v>
      </c>
      <c r="M7" s="9">
        <f t="shared" si="0"/>
        <v>43374</v>
      </c>
      <c r="N7" s="9">
        <f t="shared" si="1"/>
        <v>43739</v>
      </c>
      <c r="O7" s="29">
        <f>VLOOKUP(B7,PROYECTO!A:H,8,0)</f>
        <v>0</v>
      </c>
      <c r="P7" s="9">
        <f t="array" ref="P7">MAX(MAX(IF($B:$B=B7,$N:$N)),MAX(IF(B7=HONORARIOS!B:B,HONORARIOS!M:M)))</f>
        <v>43891</v>
      </c>
      <c r="Q7" s="29">
        <f t="shared" si="2"/>
        <v>12</v>
      </c>
    </row>
    <row r="8" spans="2:17" x14ac:dyDescent="0.25">
      <c r="B8" s="5">
        <v>1580</v>
      </c>
      <c r="C8" s="3" t="s">
        <v>17</v>
      </c>
      <c r="D8" s="29">
        <v>2410407</v>
      </c>
      <c r="E8" s="7">
        <v>2018</v>
      </c>
      <c r="F8" s="8">
        <v>1</v>
      </c>
      <c r="G8" s="8">
        <v>0.59</v>
      </c>
      <c r="H8" s="8">
        <v>1</v>
      </c>
      <c r="I8" s="9">
        <v>43404</v>
      </c>
      <c r="J8" s="9">
        <v>43404</v>
      </c>
      <c r="K8" s="10">
        <v>16</v>
      </c>
      <c r="L8" s="3" t="s">
        <v>278</v>
      </c>
      <c r="M8" s="9">
        <f t="shared" si="0"/>
        <v>43374</v>
      </c>
      <c r="N8" s="9">
        <f t="shared" si="1"/>
        <v>43862</v>
      </c>
      <c r="O8" s="29">
        <f>VLOOKUP(B8,PROYECTO!A:H,8,0)</f>
        <v>0</v>
      </c>
      <c r="P8" s="9">
        <f t="array" ref="P8">MAX(MAX(IF($B:$B=B8,$N:$N)),MAX(IF(B8=HONORARIOS!B:B,HONORARIOS!M:M)))</f>
        <v>43891</v>
      </c>
      <c r="Q8" s="29">
        <f t="shared" si="2"/>
        <v>16</v>
      </c>
    </row>
    <row r="9" spans="2:17" x14ac:dyDescent="0.25">
      <c r="B9" s="5">
        <v>1580</v>
      </c>
      <c r="C9" s="3" t="s">
        <v>18</v>
      </c>
      <c r="D9" s="29">
        <v>2393312</v>
      </c>
      <c r="E9" s="7">
        <v>2018</v>
      </c>
      <c r="F9" s="8">
        <v>1</v>
      </c>
      <c r="G9" s="8">
        <v>0.59</v>
      </c>
      <c r="H9" s="8">
        <v>1</v>
      </c>
      <c r="I9" s="9">
        <v>43556</v>
      </c>
      <c r="J9" s="9">
        <v>43404</v>
      </c>
      <c r="K9" s="10">
        <v>9</v>
      </c>
      <c r="L9" s="3" t="s">
        <v>278</v>
      </c>
      <c r="M9" s="9">
        <f t="shared" si="0"/>
        <v>43556</v>
      </c>
      <c r="N9" s="9">
        <f t="shared" si="1"/>
        <v>43831</v>
      </c>
      <c r="O9" s="29">
        <f>VLOOKUP(B9,PROYECTO!A:H,8,0)</f>
        <v>0</v>
      </c>
      <c r="P9" s="9">
        <f t="array" ref="P9">MAX(MAX(IF($B:$B=B9,$N:$N)),MAX(IF(B9=HONORARIOS!B:B,HONORARIOS!M:M)))</f>
        <v>43891</v>
      </c>
      <c r="Q9" s="29">
        <f t="shared" si="2"/>
        <v>9</v>
      </c>
    </row>
    <row r="10" spans="2:17" x14ac:dyDescent="0.25">
      <c r="B10" s="5">
        <v>1588</v>
      </c>
      <c r="C10" s="3" t="s">
        <v>12</v>
      </c>
      <c r="D10" s="29">
        <v>6425980.2299999995</v>
      </c>
      <c r="E10" s="7">
        <v>2018</v>
      </c>
      <c r="F10" s="8">
        <v>1</v>
      </c>
      <c r="G10" s="8">
        <v>0.5</v>
      </c>
      <c r="H10" s="8">
        <v>1</v>
      </c>
      <c r="I10" s="9">
        <v>43405</v>
      </c>
      <c r="J10" s="9"/>
      <c r="K10" s="10">
        <v>6</v>
      </c>
      <c r="L10" s="3" t="s">
        <v>20</v>
      </c>
      <c r="M10" s="9">
        <f t="shared" si="0"/>
        <v>43405</v>
      </c>
      <c r="N10" s="9">
        <f t="shared" si="1"/>
        <v>43586</v>
      </c>
      <c r="O10" s="29">
        <f>VLOOKUP(B10,PROYECTO!A:H,8,0)</f>
        <v>5</v>
      </c>
      <c r="P10" s="9">
        <f t="array" ref="P10">MAX(MAX(IF($B:$B=B10,$N:$N)),MAX(IF(B10=HONORARIOS!B:B,HONORARIOS!M:M)))</f>
        <v>43586</v>
      </c>
      <c r="Q10" s="29">
        <f t="shared" si="2"/>
        <v>11</v>
      </c>
    </row>
    <row r="11" spans="2:17" x14ac:dyDescent="0.25">
      <c r="B11" s="5">
        <v>1588</v>
      </c>
      <c r="C11" s="3" t="s">
        <v>21</v>
      </c>
      <c r="D11" s="29">
        <v>2303653.29</v>
      </c>
      <c r="E11" s="7">
        <v>2018</v>
      </c>
      <c r="F11" s="8">
        <v>1</v>
      </c>
      <c r="G11" s="8">
        <v>0.59</v>
      </c>
      <c r="H11" s="8">
        <v>1</v>
      </c>
      <c r="I11" s="9">
        <v>43405</v>
      </c>
      <c r="J11" s="9"/>
      <c r="K11" s="10">
        <v>6</v>
      </c>
      <c r="L11" s="3" t="s">
        <v>20</v>
      </c>
      <c r="M11" s="9">
        <f t="shared" si="0"/>
        <v>43405</v>
      </c>
      <c r="N11" s="9">
        <f t="shared" si="1"/>
        <v>43586</v>
      </c>
      <c r="O11" s="29">
        <f>VLOOKUP(B11,PROYECTO!A:H,8,0)</f>
        <v>5</v>
      </c>
      <c r="P11" s="9">
        <f t="array" ref="P11">MAX(MAX(IF($B:$B=B11,$N:$N)),MAX(IF(B11=HONORARIOS!B:B,HONORARIOS!M:M)))</f>
        <v>43586</v>
      </c>
      <c r="Q11" s="29">
        <f t="shared" si="2"/>
        <v>11</v>
      </c>
    </row>
    <row r="12" spans="2:17" x14ac:dyDescent="0.25">
      <c r="B12" s="5">
        <v>1588</v>
      </c>
      <c r="C12" s="3" t="s">
        <v>22</v>
      </c>
      <c r="D12" s="29">
        <v>2303653.29</v>
      </c>
      <c r="E12" s="7">
        <v>2018</v>
      </c>
      <c r="F12" s="8">
        <v>1</v>
      </c>
      <c r="G12" s="8">
        <v>0.59</v>
      </c>
      <c r="H12" s="8">
        <v>1</v>
      </c>
      <c r="I12" s="9">
        <v>43405</v>
      </c>
      <c r="J12" s="9"/>
      <c r="K12" s="10">
        <v>6</v>
      </c>
      <c r="L12" s="3" t="s">
        <v>20</v>
      </c>
      <c r="M12" s="9">
        <f t="shared" si="0"/>
        <v>43405</v>
      </c>
      <c r="N12" s="9">
        <f t="shared" si="1"/>
        <v>43586</v>
      </c>
      <c r="O12" s="29">
        <f>VLOOKUP(B12,PROYECTO!A:H,8,0)</f>
        <v>5</v>
      </c>
      <c r="P12" s="9">
        <f t="array" ref="P12">MAX(MAX(IF($B:$B=B12,$N:$N)),MAX(IF(B12=HONORARIOS!B:B,HONORARIOS!M:M)))</f>
        <v>43586</v>
      </c>
      <c r="Q12" s="29">
        <f t="shared" si="2"/>
        <v>11</v>
      </c>
    </row>
    <row r="13" spans="2:17" x14ac:dyDescent="0.25">
      <c r="B13" s="5">
        <v>1588</v>
      </c>
      <c r="C13" s="3" t="s">
        <v>23</v>
      </c>
      <c r="D13" s="29">
        <v>2546143.11</v>
      </c>
      <c r="E13" s="7">
        <v>2018</v>
      </c>
      <c r="F13" s="8">
        <v>1</v>
      </c>
      <c r="G13" s="8">
        <v>0.59</v>
      </c>
      <c r="H13" s="8">
        <v>1</v>
      </c>
      <c r="I13" s="9">
        <v>43405</v>
      </c>
      <c r="J13" s="9"/>
      <c r="K13" s="10">
        <v>6</v>
      </c>
      <c r="L13" s="3" t="s">
        <v>20</v>
      </c>
      <c r="M13" s="9">
        <f t="shared" si="0"/>
        <v>43405</v>
      </c>
      <c r="N13" s="9">
        <f t="shared" si="1"/>
        <v>43586</v>
      </c>
      <c r="O13" s="29">
        <f>VLOOKUP(B13,PROYECTO!A:H,8,0)</f>
        <v>5</v>
      </c>
      <c r="P13" s="9">
        <f t="array" ref="P13">MAX(MAX(IF($B:$B=B13,$N:$N)),MAX(IF(B13=HONORARIOS!B:B,HONORARIOS!M:M)))</f>
        <v>43586</v>
      </c>
      <c r="Q13" s="29">
        <f t="shared" si="2"/>
        <v>11</v>
      </c>
    </row>
    <row r="14" spans="2:17" x14ac:dyDescent="0.25">
      <c r="B14" s="5">
        <v>1588</v>
      </c>
      <c r="C14" s="3" t="s">
        <v>24</v>
      </c>
      <c r="D14" s="29">
        <v>2182408.38</v>
      </c>
      <c r="E14" s="7">
        <v>2018</v>
      </c>
      <c r="F14" s="8">
        <v>1</v>
      </c>
      <c r="G14" s="8">
        <v>0.59</v>
      </c>
      <c r="H14" s="8">
        <v>1</v>
      </c>
      <c r="I14" s="9">
        <v>43405</v>
      </c>
      <c r="J14" s="9"/>
      <c r="K14" s="10">
        <v>6</v>
      </c>
      <c r="L14" s="3" t="s">
        <v>20</v>
      </c>
      <c r="M14" s="9">
        <f t="shared" si="0"/>
        <v>43405</v>
      </c>
      <c r="N14" s="9">
        <f t="shared" si="1"/>
        <v>43586</v>
      </c>
      <c r="O14" s="29">
        <f>VLOOKUP(B14,PROYECTO!A:H,8,0)</f>
        <v>5</v>
      </c>
      <c r="P14" s="9">
        <f t="array" ref="P14">MAX(MAX(IF($B:$B=B14,$N:$N)),MAX(IF(B14=HONORARIOS!B:B,HONORARIOS!M:M)))</f>
        <v>43586</v>
      </c>
      <c r="Q14" s="29">
        <f t="shared" si="2"/>
        <v>11</v>
      </c>
    </row>
    <row r="15" spans="2:17" x14ac:dyDescent="0.25">
      <c r="B15" s="5">
        <v>1588</v>
      </c>
      <c r="C15" s="3" t="s">
        <v>25</v>
      </c>
      <c r="D15" s="29">
        <v>3152367.6599999997</v>
      </c>
      <c r="E15" s="7">
        <v>2018</v>
      </c>
      <c r="F15" s="8">
        <v>1</v>
      </c>
      <c r="G15" s="8">
        <v>0.5</v>
      </c>
      <c r="H15" s="8">
        <v>1</v>
      </c>
      <c r="I15" s="9">
        <v>43405</v>
      </c>
      <c r="J15" s="9"/>
      <c r="K15" s="10">
        <v>6</v>
      </c>
      <c r="L15" s="3" t="s">
        <v>20</v>
      </c>
      <c r="M15" s="9">
        <f t="shared" si="0"/>
        <v>43405</v>
      </c>
      <c r="N15" s="9">
        <f t="shared" si="1"/>
        <v>43586</v>
      </c>
      <c r="O15" s="29">
        <f>VLOOKUP(B15,PROYECTO!A:H,8,0)</f>
        <v>5</v>
      </c>
      <c r="P15" s="9">
        <f t="array" ref="P15">MAX(MAX(IF($B:$B=B15,$N:$N)),MAX(IF(B15=HONORARIOS!B:B,HONORARIOS!M:M)))</f>
        <v>43586</v>
      </c>
      <c r="Q15" s="29">
        <f t="shared" si="2"/>
        <v>11</v>
      </c>
    </row>
    <row r="16" spans="2:17" x14ac:dyDescent="0.25">
      <c r="B16" s="5">
        <v>1588</v>
      </c>
      <c r="C16" s="3" t="s">
        <v>14</v>
      </c>
      <c r="D16" s="29">
        <v>5456020.9500000002</v>
      </c>
      <c r="E16" s="7">
        <v>2018</v>
      </c>
      <c r="F16" s="8">
        <v>1</v>
      </c>
      <c r="G16" s="8">
        <v>0.5</v>
      </c>
      <c r="H16" s="8">
        <v>1</v>
      </c>
      <c r="I16" s="9">
        <v>43405</v>
      </c>
      <c r="J16" s="9"/>
      <c r="K16" s="10">
        <v>6</v>
      </c>
      <c r="L16" s="3" t="s">
        <v>20</v>
      </c>
      <c r="M16" s="9">
        <f t="shared" si="0"/>
        <v>43405</v>
      </c>
      <c r="N16" s="9">
        <f t="shared" si="1"/>
        <v>43586</v>
      </c>
      <c r="O16" s="29">
        <f>VLOOKUP(B16,PROYECTO!A:H,8,0)</f>
        <v>5</v>
      </c>
      <c r="P16" s="9">
        <f t="array" ref="P16">MAX(MAX(IF($B:$B=B16,$N:$N)),MAX(IF(B16=HONORARIOS!B:B,HONORARIOS!M:M)))</f>
        <v>43586</v>
      </c>
      <c r="Q16" s="29">
        <f t="shared" si="2"/>
        <v>11</v>
      </c>
    </row>
    <row r="17" spans="2:17" x14ac:dyDescent="0.25">
      <c r="B17" s="5">
        <v>1588</v>
      </c>
      <c r="C17" s="3" t="s">
        <v>26</v>
      </c>
      <c r="D17" s="29">
        <v>3879837.1199999996</v>
      </c>
      <c r="E17" s="7">
        <v>2018</v>
      </c>
      <c r="F17" s="8">
        <v>1</v>
      </c>
      <c r="G17" s="8">
        <v>0.5</v>
      </c>
      <c r="H17" s="8">
        <v>1</v>
      </c>
      <c r="I17" s="9">
        <v>43405</v>
      </c>
      <c r="J17" s="9"/>
      <c r="K17" s="10">
        <v>6</v>
      </c>
      <c r="L17" s="3" t="s">
        <v>20</v>
      </c>
      <c r="M17" s="9">
        <f t="shared" ref="M17:M80" si="3">(MONTH(I17)&amp;"-"&amp;YEAR(I17))*1</f>
        <v>43405</v>
      </c>
      <c r="N17" s="9">
        <f t="shared" si="1"/>
        <v>43586</v>
      </c>
      <c r="O17" s="29">
        <f>VLOOKUP(B17,PROYECTO!A:H,8,0)</f>
        <v>5</v>
      </c>
      <c r="P17" s="9">
        <f t="array" ref="P17">MAX(MAX(IF($B:$B=B17,$N:$N)),MAX(IF(B17=HONORARIOS!B:B,HONORARIOS!M:M)))</f>
        <v>43586</v>
      </c>
      <c r="Q17" s="29">
        <f t="shared" si="2"/>
        <v>11</v>
      </c>
    </row>
    <row r="18" spans="2:17" x14ac:dyDescent="0.25">
      <c r="B18" s="5">
        <v>1596</v>
      </c>
      <c r="C18" s="3" t="s">
        <v>19</v>
      </c>
      <c r="D18" s="29">
        <v>7500000</v>
      </c>
      <c r="E18" s="7">
        <v>2017</v>
      </c>
      <c r="F18" s="8">
        <v>0.2</v>
      </c>
      <c r="G18" s="8">
        <v>0.62</v>
      </c>
      <c r="H18" s="8">
        <v>1</v>
      </c>
      <c r="I18" s="9">
        <v>43077</v>
      </c>
      <c r="J18" s="9">
        <v>43077</v>
      </c>
      <c r="K18" s="10">
        <v>19</v>
      </c>
      <c r="L18" s="3" t="s">
        <v>37</v>
      </c>
      <c r="M18" s="9">
        <f t="shared" si="3"/>
        <v>43070</v>
      </c>
      <c r="N18" s="9">
        <f t="shared" si="1"/>
        <v>43647</v>
      </c>
      <c r="O18" s="29">
        <f>VLOOKUP(B18,PROYECTO!A:H,8,0)</f>
        <v>0</v>
      </c>
      <c r="P18" s="9">
        <f t="array" ref="P18">MAX(MAX(IF($B:$B=B18,$N:$N)),MAX(IF(B18=HONORARIOS!B:B,HONORARIOS!M:M)))</f>
        <v>43654</v>
      </c>
      <c r="Q18" s="29">
        <f t="shared" si="2"/>
        <v>19</v>
      </c>
    </row>
    <row r="19" spans="2:17" x14ac:dyDescent="0.25">
      <c r="B19" s="5">
        <v>1596</v>
      </c>
      <c r="C19" s="3" t="s">
        <v>12</v>
      </c>
      <c r="D19" s="29">
        <v>5600000</v>
      </c>
      <c r="E19" s="7">
        <v>2017</v>
      </c>
      <c r="F19" s="8">
        <v>1</v>
      </c>
      <c r="G19" s="8">
        <v>0.57999999999999996</v>
      </c>
      <c r="H19" s="8">
        <v>1</v>
      </c>
      <c r="I19" s="9">
        <v>43077</v>
      </c>
      <c r="J19" s="9">
        <v>43077</v>
      </c>
      <c r="K19" s="10">
        <v>19</v>
      </c>
      <c r="L19" s="3" t="s">
        <v>37</v>
      </c>
      <c r="M19" s="9">
        <f t="shared" si="3"/>
        <v>43070</v>
      </c>
      <c r="N19" s="9">
        <f t="shared" si="1"/>
        <v>43647</v>
      </c>
      <c r="O19" s="29">
        <f>VLOOKUP(B19,PROYECTO!A:H,8,0)</f>
        <v>0</v>
      </c>
      <c r="P19" s="9">
        <f t="array" ref="P19">MAX(MAX(IF($B:$B=B19,$N:$N)),MAX(IF(B19=HONORARIOS!B:B,HONORARIOS!M:M)))</f>
        <v>43654</v>
      </c>
      <c r="Q19" s="29">
        <f t="shared" si="2"/>
        <v>19</v>
      </c>
    </row>
    <row r="20" spans="2:17" x14ac:dyDescent="0.25">
      <c r="B20" s="5">
        <v>1596</v>
      </c>
      <c r="C20" s="3" t="s">
        <v>38</v>
      </c>
      <c r="D20" s="29">
        <v>2390000</v>
      </c>
      <c r="E20" s="7">
        <v>2017</v>
      </c>
      <c r="F20" s="8">
        <v>1</v>
      </c>
      <c r="G20" s="8">
        <v>0.57999999999999996</v>
      </c>
      <c r="H20" s="8">
        <v>1</v>
      </c>
      <c r="I20" s="9">
        <v>43077</v>
      </c>
      <c r="J20" s="9">
        <v>43087</v>
      </c>
      <c r="K20" s="10">
        <v>17</v>
      </c>
      <c r="L20" s="3" t="s">
        <v>37</v>
      </c>
      <c r="M20" s="9">
        <f t="shared" si="3"/>
        <v>43070</v>
      </c>
      <c r="N20" s="9">
        <f t="shared" si="1"/>
        <v>43586</v>
      </c>
      <c r="O20" s="29">
        <f>VLOOKUP(B20,PROYECTO!A:H,8,0)</f>
        <v>0</v>
      </c>
      <c r="P20" s="9">
        <f t="array" ref="P20">MAX(MAX(IF($B:$B=B20,$N:$N)),MAX(IF(B20=HONORARIOS!B:B,HONORARIOS!M:M)))</f>
        <v>43654</v>
      </c>
      <c r="Q20" s="29">
        <f t="shared" si="2"/>
        <v>17</v>
      </c>
    </row>
    <row r="21" spans="2:17" x14ac:dyDescent="0.25">
      <c r="B21" s="5">
        <v>1596</v>
      </c>
      <c r="C21" s="3" t="s">
        <v>16</v>
      </c>
      <c r="D21" s="29">
        <v>2330000</v>
      </c>
      <c r="E21" s="7">
        <v>2017</v>
      </c>
      <c r="F21" s="8">
        <v>0.5</v>
      </c>
      <c r="G21" s="8">
        <v>0.51849999999999996</v>
      </c>
      <c r="H21" s="8">
        <v>1</v>
      </c>
      <c r="I21" s="9">
        <v>43077</v>
      </c>
      <c r="J21" s="9">
        <v>43077</v>
      </c>
      <c r="K21" s="10">
        <v>17</v>
      </c>
      <c r="L21" s="3" t="s">
        <v>37</v>
      </c>
      <c r="M21" s="9">
        <f t="shared" si="3"/>
        <v>43070</v>
      </c>
      <c r="N21" s="9">
        <f t="shared" si="1"/>
        <v>43586</v>
      </c>
      <c r="O21" s="29">
        <f>VLOOKUP(B21,PROYECTO!A:H,8,0)</f>
        <v>0</v>
      </c>
      <c r="P21" s="9">
        <f t="array" ref="P21">MAX(MAX(IF($B:$B=B21,$N:$N)),MAX(IF(B21=HONORARIOS!B:B,HONORARIOS!M:M)))</f>
        <v>43654</v>
      </c>
      <c r="Q21" s="29">
        <f t="shared" si="2"/>
        <v>17</v>
      </c>
    </row>
    <row r="22" spans="2:17" x14ac:dyDescent="0.25">
      <c r="B22" s="5">
        <v>1596</v>
      </c>
      <c r="C22" s="3" t="s">
        <v>39</v>
      </c>
      <c r="D22" s="29">
        <v>3170000</v>
      </c>
      <c r="E22" s="7">
        <v>2017</v>
      </c>
      <c r="F22" s="8">
        <v>1</v>
      </c>
      <c r="G22" s="8">
        <v>0.57999999999999996</v>
      </c>
      <c r="H22" s="8">
        <v>1</v>
      </c>
      <c r="I22" s="9">
        <v>43077</v>
      </c>
      <c r="J22" s="9">
        <v>43160</v>
      </c>
      <c r="K22" s="10">
        <v>16</v>
      </c>
      <c r="L22" s="3" t="s">
        <v>37</v>
      </c>
      <c r="M22" s="9">
        <f t="shared" si="3"/>
        <v>43070</v>
      </c>
      <c r="N22" s="9">
        <f t="shared" si="1"/>
        <v>43556</v>
      </c>
      <c r="O22" s="29">
        <f>VLOOKUP(B22,PROYECTO!A:H,8,0)</f>
        <v>0</v>
      </c>
      <c r="P22" s="9">
        <f t="array" ref="P22">MAX(MAX(IF($B:$B=B22,$N:$N)),MAX(IF(B22=HONORARIOS!B:B,HONORARIOS!M:M)))</f>
        <v>43654</v>
      </c>
      <c r="Q22" s="29">
        <f t="shared" si="2"/>
        <v>16</v>
      </c>
    </row>
    <row r="23" spans="2:17" x14ac:dyDescent="0.25">
      <c r="B23" s="5">
        <v>1618</v>
      </c>
      <c r="C23" s="3" t="s">
        <v>19</v>
      </c>
      <c r="D23" s="29">
        <v>10336138</v>
      </c>
      <c r="E23" s="7">
        <v>2015</v>
      </c>
      <c r="F23" s="8">
        <v>0.3</v>
      </c>
      <c r="G23" s="8">
        <v>0.59</v>
      </c>
      <c r="H23" s="8">
        <v>1</v>
      </c>
      <c r="I23" s="9">
        <v>42129</v>
      </c>
      <c r="J23" s="9">
        <v>42283</v>
      </c>
      <c r="K23" s="10">
        <v>27</v>
      </c>
      <c r="L23" s="3" t="s">
        <v>40</v>
      </c>
      <c r="M23" s="9">
        <f t="shared" si="3"/>
        <v>42125</v>
      </c>
      <c r="N23" s="9">
        <f t="shared" si="1"/>
        <v>42948</v>
      </c>
      <c r="O23" s="29">
        <f>VLOOKUP(B23,PROYECTO!A:H,8,0)</f>
        <v>2</v>
      </c>
      <c r="P23" s="9">
        <f t="array" ref="P23">MAX(MAX(IF($B:$B=B23,$N:$N)),MAX(IF(B23=HONORARIOS!B:B,HONORARIOS!M:M)))</f>
        <v>43525</v>
      </c>
      <c r="Q23" s="29">
        <f t="shared" si="2"/>
        <v>27</v>
      </c>
    </row>
    <row r="24" spans="2:17" x14ac:dyDescent="0.25">
      <c r="B24" s="5">
        <v>1618</v>
      </c>
      <c r="C24" s="3" t="s">
        <v>12</v>
      </c>
      <c r="D24" s="29">
        <v>5769809</v>
      </c>
      <c r="E24" s="7">
        <v>2015</v>
      </c>
      <c r="F24" s="8">
        <v>1</v>
      </c>
      <c r="G24" s="8">
        <v>0.48</v>
      </c>
      <c r="H24" s="8">
        <v>1</v>
      </c>
      <c r="I24" s="9">
        <v>42129</v>
      </c>
      <c r="J24" s="9">
        <v>42292</v>
      </c>
      <c r="K24" s="10">
        <v>23</v>
      </c>
      <c r="L24" s="3" t="s">
        <v>40</v>
      </c>
      <c r="M24" s="9">
        <f t="shared" si="3"/>
        <v>42125</v>
      </c>
      <c r="N24" s="9">
        <f t="shared" si="1"/>
        <v>42826</v>
      </c>
      <c r="O24" s="29">
        <f>VLOOKUP(B24,PROYECTO!A:H,8,0)</f>
        <v>2</v>
      </c>
      <c r="P24" s="9">
        <f t="array" ref="P24">MAX(MAX(IF($B:$B=B24,$N:$N)),MAX(IF(B24=HONORARIOS!B:B,HONORARIOS!M:M)))</f>
        <v>43525</v>
      </c>
      <c r="Q24" s="29">
        <f t="shared" si="2"/>
        <v>23</v>
      </c>
    </row>
    <row r="25" spans="2:17" x14ac:dyDescent="0.25">
      <c r="B25" s="5">
        <v>1618</v>
      </c>
      <c r="C25" s="3" t="s">
        <v>41</v>
      </c>
      <c r="D25" s="29">
        <v>4454601</v>
      </c>
      <c r="E25" s="7">
        <v>2015</v>
      </c>
      <c r="F25" s="8">
        <v>1.35</v>
      </c>
      <c r="G25" s="8">
        <v>0.48</v>
      </c>
      <c r="H25" s="8">
        <v>1</v>
      </c>
      <c r="I25" s="9">
        <v>42129</v>
      </c>
      <c r="J25" s="9">
        <v>42514</v>
      </c>
      <c r="K25" s="10">
        <v>19</v>
      </c>
      <c r="L25" s="3" t="s">
        <v>40</v>
      </c>
      <c r="M25" s="9">
        <f t="shared" si="3"/>
        <v>42125</v>
      </c>
      <c r="N25" s="9">
        <f t="shared" si="1"/>
        <v>42705</v>
      </c>
      <c r="O25" s="29">
        <f>VLOOKUP(B25,PROYECTO!A:H,8,0)</f>
        <v>2</v>
      </c>
      <c r="P25" s="9">
        <f t="array" ref="P25">MAX(MAX(IF($B:$B=B25,$N:$N)),MAX(IF(B25=HONORARIOS!B:B,HONORARIOS!M:M)))</f>
        <v>43525</v>
      </c>
      <c r="Q25" s="29">
        <f t="shared" si="2"/>
        <v>19</v>
      </c>
    </row>
    <row r="26" spans="2:17" x14ac:dyDescent="0.25">
      <c r="B26" s="5">
        <v>1618</v>
      </c>
      <c r="C26" s="3" t="s">
        <v>14</v>
      </c>
      <c r="D26" s="29">
        <v>5341169</v>
      </c>
      <c r="E26" s="7">
        <v>2015</v>
      </c>
      <c r="F26" s="8">
        <v>0.3</v>
      </c>
      <c r="G26" s="8">
        <v>0.48</v>
      </c>
      <c r="H26" s="8">
        <v>1</v>
      </c>
      <c r="I26" s="9">
        <v>42129</v>
      </c>
      <c r="J26" s="9"/>
      <c r="K26" s="10">
        <v>16</v>
      </c>
      <c r="L26" s="3" t="s">
        <v>42</v>
      </c>
      <c r="M26" s="9">
        <f t="shared" si="3"/>
        <v>42125</v>
      </c>
      <c r="N26" s="9">
        <f t="shared" si="1"/>
        <v>42614</v>
      </c>
      <c r="O26" s="29">
        <f>VLOOKUP(B26,PROYECTO!A:H,8,0)</f>
        <v>2</v>
      </c>
      <c r="P26" s="9">
        <f t="array" ref="P26">MAX(MAX(IF($B:$B=B26,$N:$N)),MAX(IF(B26=HONORARIOS!B:B,HONORARIOS!M:M)))</f>
        <v>43525</v>
      </c>
      <c r="Q26" s="29">
        <f t="shared" si="2"/>
        <v>16</v>
      </c>
    </row>
    <row r="27" spans="2:17" x14ac:dyDescent="0.25">
      <c r="B27" s="5">
        <v>1618</v>
      </c>
      <c r="C27" s="3" t="s">
        <v>29</v>
      </c>
      <c r="D27" s="29">
        <v>3040995</v>
      </c>
      <c r="E27" s="7">
        <v>2015</v>
      </c>
      <c r="F27" s="8">
        <v>0.5</v>
      </c>
      <c r="G27" s="8">
        <v>0.48</v>
      </c>
      <c r="H27" s="8">
        <v>1</v>
      </c>
      <c r="I27" s="9">
        <v>42129</v>
      </c>
      <c r="J27" s="9">
        <v>42283</v>
      </c>
      <c r="K27" s="10">
        <v>21</v>
      </c>
      <c r="L27" s="3" t="s">
        <v>40</v>
      </c>
      <c r="M27" s="9">
        <f t="shared" si="3"/>
        <v>42125</v>
      </c>
      <c r="N27" s="9">
        <f t="shared" si="1"/>
        <v>42767</v>
      </c>
      <c r="O27" s="29">
        <f>VLOOKUP(B27,PROYECTO!A:H,8,0)</f>
        <v>2</v>
      </c>
      <c r="P27" s="9">
        <f t="array" ref="P27">MAX(MAX(IF($B:$B=B27,$N:$N)),MAX(IF(B27=HONORARIOS!B:B,HONORARIOS!M:M)))</f>
        <v>43525</v>
      </c>
      <c r="Q27" s="29">
        <f t="shared" si="2"/>
        <v>21</v>
      </c>
    </row>
    <row r="28" spans="2:17" x14ac:dyDescent="0.25">
      <c r="B28" s="5">
        <v>1618</v>
      </c>
      <c r="C28" s="3" t="s">
        <v>39</v>
      </c>
      <c r="D28" s="29">
        <v>3835402</v>
      </c>
      <c r="E28" s="7">
        <v>2015</v>
      </c>
      <c r="F28" s="8">
        <v>1</v>
      </c>
      <c r="G28" s="8">
        <v>0.48</v>
      </c>
      <c r="H28" s="8">
        <v>1</v>
      </c>
      <c r="I28" s="9">
        <v>42129</v>
      </c>
      <c r="J28" s="9">
        <v>42298</v>
      </c>
      <c r="K28" s="10">
        <v>27</v>
      </c>
      <c r="L28" s="3" t="s">
        <v>40</v>
      </c>
      <c r="M28" s="9">
        <f t="shared" si="3"/>
        <v>42125</v>
      </c>
      <c r="N28" s="9">
        <f t="shared" si="1"/>
        <v>42948</v>
      </c>
      <c r="O28" s="29">
        <f>VLOOKUP(B28,PROYECTO!A:H,8,0)</f>
        <v>2</v>
      </c>
      <c r="P28" s="9">
        <f t="array" ref="P28">MAX(MAX(IF($B:$B=B28,$N:$N)),MAX(IF(B28=HONORARIOS!B:B,HONORARIOS!M:M)))</f>
        <v>43525</v>
      </c>
      <c r="Q28" s="29">
        <f t="shared" si="2"/>
        <v>27</v>
      </c>
    </row>
    <row r="29" spans="2:17" x14ac:dyDescent="0.25">
      <c r="B29" s="5">
        <v>1618</v>
      </c>
      <c r="C29" s="3" t="s">
        <v>38</v>
      </c>
      <c r="D29" s="29">
        <v>2283309</v>
      </c>
      <c r="E29" s="7">
        <v>2015</v>
      </c>
      <c r="F29" s="8">
        <v>1</v>
      </c>
      <c r="G29" s="8">
        <v>0.5</v>
      </c>
      <c r="H29" s="8">
        <v>1</v>
      </c>
      <c r="I29" s="9">
        <v>42129</v>
      </c>
      <c r="J29" s="9">
        <v>42370</v>
      </c>
      <c r="K29" s="10">
        <v>18</v>
      </c>
      <c r="L29" s="3" t="s">
        <v>43</v>
      </c>
      <c r="M29" s="9">
        <f t="shared" si="3"/>
        <v>42125</v>
      </c>
      <c r="N29" s="9">
        <f t="shared" si="1"/>
        <v>42675</v>
      </c>
      <c r="O29" s="29">
        <f>VLOOKUP(B29,PROYECTO!A:H,8,0)</f>
        <v>2</v>
      </c>
      <c r="P29" s="9">
        <f t="array" ref="P29">MAX(MAX(IF($B:$B=B29,$N:$N)),MAX(IF(B29=HONORARIOS!B:B,HONORARIOS!M:M)))</f>
        <v>43525</v>
      </c>
      <c r="Q29" s="29">
        <f t="shared" si="2"/>
        <v>18</v>
      </c>
    </row>
    <row r="30" spans="2:17" x14ac:dyDescent="0.25">
      <c r="B30" s="5">
        <v>1687</v>
      </c>
      <c r="C30" s="3" t="s">
        <v>19</v>
      </c>
      <c r="D30" s="29">
        <v>11743193</v>
      </c>
      <c r="E30" s="7">
        <v>2019</v>
      </c>
      <c r="F30" s="8">
        <v>0.2</v>
      </c>
      <c r="G30" s="8">
        <v>0.62</v>
      </c>
      <c r="H30" s="8">
        <v>1</v>
      </c>
      <c r="I30" s="9">
        <v>42556</v>
      </c>
      <c r="J30" s="9">
        <v>42556</v>
      </c>
      <c r="K30" s="10">
        <v>34</v>
      </c>
      <c r="L30" s="3" t="s">
        <v>66</v>
      </c>
      <c r="M30" s="9">
        <f t="shared" si="3"/>
        <v>42552</v>
      </c>
      <c r="N30" s="9">
        <f t="shared" si="1"/>
        <v>43586</v>
      </c>
      <c r="O30" s="29">
        <f>VLOOKUP(B30,PROYECTO!A:H,8,0)</f>
        <v>0</v>
      </c>
      <c r="P30" s="9">
        <f t="array" ref="P30">MAX(MAX(IF($B:$B=B30,$N:$N)),MAX(IF(B30=HONORARIOS!B:B,HONORARIOS!M:M)))</f>
        <v>43586</v>
      </c>
      <c r="Q30" s="29">
        <f t="shared" si="2"/>
        <v>34</v>
      </c>
    </row>
    <row r="31" spans="2:17" x14ac:dyDescent="0.25">
      <c r="B31" s="5">
        <v>1687</v>
      </c>
      <c r="C31" s="3" t="s">
        <v>29</v>
      </c>
      <c r="D31" s="29">
        <v>3747827</v>
      </c>
      <c r="E31" s="7">
        <v>2019</v>
      </c>
      <c r="F31" s="8">
        <v>1</v>
      </c>
      <c r="G31" s="8">
        <v>0.5</v>
      </c>
      <c r="H31" s="8">
        <v>1</v>
      </c>
      <c r="I31" s="9">
        <v>42556</v>
      </c>
      <c r="J31" s="9">
        <v>42556</v>
      </c>
      <c r="K31" s="10">
        <v>24</v>
      </c>
      <c r="L31" s="3" t="s">
        <v>66</v>
      </c>
      <c r="M31" s="9">
        <f t="shared" si="3"/>
        <v>42552</v>
      </c>
      <c r="N31" s="9">
        <f t="shared" si="1"/>
        <v>43282</v>
      </c>
      <c r="O31" s="29">
        <f>VLOOKUP(B31,PROYECTO!A:H,8,0)</f>
        <v>0</v>
      </c>
      <c r="P31" s="9">
        <f t="array" ref="P31">MAX(MAX(IF($B:$B=B31,$N:$N)),MAX(IF(B31=HONORARIOS!B:B,HONORARIOS!M:M)))</f>
        <v>43586</v>
      </c>
      <c r="Q31" s="29">
        <f t="shared" si="2"/>
        <v>24</v>
      </c>
    </row>
    <row r="32" spans="2:17" x14ac:dyDescent="0.25">
      <c r="B32" s="5">
        <v>1687</v>
      </c>
      <c r="C32" s="3" t="s">
        <v>12</v>
      </c>
      <c r="D32" s="29">
        <v>7245800</v>
      </c>
      <c r="E32" s="7">
        <v>2019</v>
      </c>
      <c r="F32" s="8">
        <v>1</v>
      </c>
      <c r="G32" s="8">
        <v>0.5</v>
      </c>
      <c r="H32" s="8">
        <v>1</v>
      </c>
      <c r="I32" s="9">
        <v>42556</v>
      </c>
      <c r="J32" s="9">
        <v>42556</v>
      </c>
      <c r="K32" s="10">
        <v>34</v>
      </c>
      <c r="L32" s="3" t="s">
        <v>66</v>
      </c>
      <c r="M32" s="9">
        <f t="shared" si="3"/>
        <v>42552</v>
      </c>
      <c r="N32" s="9">
        <f t="shared" si="1"/>
        <v>43586</v>
      </c>
      <c r="O32" s="29">
        <f>VLOOKUP(B32,PROYECTO!A:H,8,0)</f>
        <v>0</v>
      </c>
      <c r="P32" s="9">
        <f t="array" ref="P32">MAX(MAX(IF($B:$B=B32,$N:$N)),MAX(IF(B32=HONORARIOS!B:B,HONORARIOS!M:M)))</f>
        <v>43586</v>
      </c>
      <c r="Q32" s="29">
        <f t="shared" si="2"/>
        <v>34</v>
      </c>
    </row>
    <row r="33" spans="2:17" x14ac:dyDescent="0.25">
      <c r="B33" s="5">
        <v>1687</v>
      </c>
      <c r="C33" s="3" t="s">
        <v>38</v>
      </c>
      <c r="D33" s="29">
        <v>2265136</v>
      </c>
      <c r="E33" s="7">
        <v>2019</v>
      </c>
      <c r="F33" s="8">
        <v>1</v>
      </c>
      <c r="G33" s="8">
        <v>0.59</v>
      </c>
      <c r="H33" s="8">
        <v>1</v>
      </c>
      <c r="I33" s="9">
        <v>42556</v>
      </c>
      <c r="J33" s="9">
        <v>42562</v>
      </c>
      <c r="K33" s="10">
        <v>34</v>
      </c>
      <c r="L33" s="3" t="s">
        <v>66</v>
      </c>
      <c r="M33" s="9">
        <f t="shared" si="3"/>
        <v>42552</v>
      </c>
      <c r="N33" s="9">
        <f t="shared" si="1"/>
        <v>43586</v>
      </c>
      <c r="O33" s="29">
        <f>VLOOKUP(B33,PROYECTO!A:H,8,0)</f>
        <v>0</v>
      </c>
      <c r="P33" s="9">
        <f t="array" ref="P33">MAX(MAX(IF($B:$B=B33,$N:$N)),MAX(IF(B33=HONORARIOS!B:B,HONORARIOS!M:M)))</f>
        <v>43586</v>
      </c>
      <c r="Q33" s="29">
        <f t="shared" si="2"/>
        <v>34</v>
      </c>
    </row>
    <row r="34" spans="2:17" x14ac:dyDescent="0.25">
      <c r="B34" s="5">
        <v>1687</v>
      </c>
      <c r="C34" s="3" t="s">
        <v>67</v>
      </c>
      <c r="D34" s="29">
        <v>3497972</v>
      </c>
      <c r="E34" s="7">
        <v>2019</v>
      </c>
      <c r="F34" s="8">
        <v>1</v>
      </c>
      <c r="G34" s="8">
        <v>0.5</v>
      </c>
      <c r="H34" s="8">
        <v>1</v>
      </c>
      <c r="I34" s="9">
        <v>42556</v>
      </c>
      <c r="J34" s="9">
        <v>43055</v>
      </c>
      <c r="K34" s="10">
        <v>34</v>
      </c>
      <c r="L34" s="3" t="s">
        <v>66</v>
      </c>
      <c r="M34" s="9">
        <f t="shared" si="3"/>
        <v>42552</v>
      </c>
      <c r="N34" s="9">
        <f t="shared" si="1"/>
        <v>43586</v>
      </c>
      <c r="O34" s="29">
        <f>VLOOKUP(B34,PROYECTO!A:H,8,0)</f>
        <v>0</v>
      </c>
      <c r="P34" s="9">
        <f t="array" ref="P34">MAX(MAX(IF($B:$B=B34,$N:$N)),MAX(IF(B34=HONORARIOS!B:B,HONORARIOS!M:M)))</f>
        <v>43586</v>
      </c>
      <c r="Q34" s="29">
        <f t="shared" si="2"/>
        <v>34</v>
      </c>
    </row>
    <row r="35" spans="2:17" x14ac:dyDescent="0.25">
      <c r="B35" s="5">
        <v>1687</v>
      </c>
      <c r="C35" s="3" t="s">
        <v>39</v>
      </c>
      <c r="D35" s="29">
        <v>3029798</v>
      </c>
      <c r="E35" s="7">
        <v>2019</v>
      </c>
      <c r="F35" s="8">
        <v>1</v>
      </c>
      <c r="G35" s="8">
        <v>0.5</v>
      </c>
      <c r="H35" s="8">
        <v>1</v>
      </c>
      <c r="I35" s="9">
        <v>42556</v>
      </c>
      <c r="J35" s="9">
        <v>42556</v>
      </c>
      <c r="K35" s="10">
        <v>34</v>
      </c>
      <c r="L35" s="3" t="s">
        <v>66</v>
      </c>
      <c r="M35" s="9">
        <f t="shared" si="3"/>
        <v>42552</v>
      </c>
      <c r="N35" s="9">
        <f t="shared" si="1"/>
        <v>43586</v>
      </c>
      <c r="O35" s="29">
        <f>VLOOKUP(B35,PROYECTO!A:H,8,0)</f>
        <v>0</v>
      </c>
      <c r="P35" s="9">
        <f t="array" ref="P35">MAX(MAX(IF($B:$B=B35,$N:$N)),MAX(IF(B35=HONORARIOS!B:B,HONORARIOS!M:M)))</f>
        <v>43586</v>
      </c>
      <c r="Q35" s="29">
        <f t="shared" si="2"/>
        <v>34</v>
      </c>
    </row>
    <row r="36" spans="2:17" x14ac:dyDescent="0.25">
      <c r="B36" s="5">
        <v>1687</v>
      </c>
      <c r="C36" s="3" t="s">
        <v>68</v>
      </c>
      <c r="D36" s="29">
        <v>4872176</v>
      </c>
      <c r="E36" s="7">
        <v>2019</v>
      </c>
      <c r="F36" s="8">
        <v>1</v>
      </c>
      <c r="G36" s="8">
        <v>0.5</v>
      </c>
      <c r="H36" s="8">
        <v>1</v>
      </c>
      <c r="I36" s="9">
        <v>42556</v>
      </c>
      <c r="J36" s="9">
        <v>42810</v>
      </c>
      <c r="K36" s="10">
        <v>34</v>
      </c>
      <c r="L36" s="3" t="s">
        <v>66</v>
      </c>
      <c r="M36" s="9">
        <f t="shared" si="3"/>
        <v>42552</v>
      </c>
      <c r="N36" s="9">
        <f t="shared" si="1"/>
        <v>43586</v>
      </c>
      <c r="O36" s="29">
        <f>VLOOKUP(B36,PROYECTO!A:H,8,0)</f>
        <v>0</v>
      </c>
      <c r="P36" s="9">
        <f t="array" ref="P36">MAX(MAX(IF($B:$B=B36,$N:$N)),MAX(IF(B36=HONORARIOS!B:B,HONORARIOS!M:M)))</f>
        <v>43586</v>
      </c>
      <c r="Q36" s="29">
        <f t="shared" si="2"/>
        <v>34</v>
      </c>
    </row>
    <row r="37" spans="2:17" x14ac:dyDescent="0.25">
      <c r="B37" s="5">
        <v>1687</v>
      </c>
      <c r="C37" s="3" t="s">
        <v>69</v>
      </c>
      <c r="D37" s="29">
        <v>2659591</v>
      </c>
      <c r="E37" s="7">
        <v>2019</v>
      </c>
      <c r="F37" s="8">
        <v>1</v>
      </c>
      <c r="G37" s="8">
        <v>0.5</v>
      </c>
      <c r="H37" s="8">
        <v>1</v>
      </c>
      <c r="I37" s="9">
        <v>42556</v>
      </c>
      <c r="J37" s="9">
        <v>42800</v>
      </c>
      <c r="K37" s="10">
        <v>33</v>
      </c>
      <c r="L37" s="3" t="s">
        <v>66</v>
      </c>
      <c r="M37" s="9">
        <f t="shared" si="3"/>
        <v>42552</v>
      </c>
      <c r="N37" s="9">
        <f t="shared" si="1"/>
        <v>43556</v>
      </c>
      <c r="O37" s="29">
        <f>VLOOKUP(B37,PROYECTO!A:H,8,0)</f>
        <v>0</v>
      </c>
      <c r="P37" s="9">
        <f t="array" ref="P37">MAX(MAX(IF($B:$B=B37,$N:$N)),MAX(IF(B37=HONORARIOS!B:B,HONORARIOS!M:M)))</f>
        <v>43586</v>
      </c>
      <c r="Q37" s="29">
        <f t="shared" si="2"/>
        <v>33</v>
      </c>
    </row>
    <row r="38" spans="2:17" x14ac:dyDescent="0.25">
      <c r="B38" s="5">
        <v>1689</v>
      </c>
      <c r="C38" s="3" t="s">
        <v>12</v>
      </c>
      <c r="D38" s="29">
        <v>5600000</v>
      </c>
      <c r="E38" s="7">
        <v>2016</v>
      </c>
      <c r="F38" s="8">
        <v>1</v>
      </c>
      <c r="G38" s="8">
        <v>0.5</v>
      </c>
      <c r="H38" s="8">
        <v>1</v>
      </c>
      <c r="I38" s="9">
        <v>42601</v>
      </c>
      <c r="J38" s="9">
        <v>42601</v>
      </c>
      <c r="K38" s="10">
        <v>40</v>
      </c>
      <c r="L38" s="3" t="s">
        <v>72</v>
      </c>
      <c r="M38" s="9">
        <f t="shared" si="3"/>
        <v>42583</v>
      </c>
      <c r="N38" s="9">
        <f t="shared" si="1"/>
        <v>43800</v>
      </c>
      <c r="O38" s="29">
        <f>VLOOKUP(B38,PROYECTO!A:H,8,0)</f>
        <v>9</v>
      </c>
      <c r="P38" s="9">
        <f t="array" ref="P38">MAX(MAX(IF($B:$B=B38,$N:$N)),MAX(IF(B38=HONORARIOS!B:B,HONORARIOS!M:M)))</f>
        <v>43800</v>
      </c>
      <c r="Q38" s="29">
        <f t="shared" si="2"/>
        <v>49</v>
      </c>
    </row>
    <row r="39" spans="2:17" x14ac:dyDescent="0.25">
      <c r="B39" s="5">
        <v>1689</v>
      </c>
      <c r="C39" s="3" t="s">
        <v>36</v>
      </c>
      <c r="D39" s="29">
        <v>1920000</v>
      </c>
      <c r="E39" s="7">
        <v>2016</v>
      </c>
      <c r="F39" s="8">
        <v>1</v>
      </c>
      <c r="G39" s="8">
        <v>0.59</v>
      </c>
      <c r="H39" s="8">
        <v>1</v>
      </c>
      <c r="I39" s="9">
        <v>42601</v>
      </c>
      <c r="J39" s="9">
        <v>42601</v>
      </c>
      <c r="K39" s="10">
        <v>40</v>
      </c>
      <c r="L39" s="3" t="s">
        <v>72</v>
      </c>
      <c r="M39" s="9">
        <f t="shared" si="3"/>
        <v>42583</v>
      </c>
      <c r="N39" s="9">
        <f t="shared" si="1"/>
        <v>43800</v>
      </c>
      <c r="O39" s="29">
        <f>VLOOKUP(B39,PROYECTO!A:H,8,0)</f>
        <v>9</v>
      </c>
      <c r="P39" s="9">
        <f t="array" ref="P39">MAX(MAX(IF($B:$B=B39,$N:$N)),MAX(IF(B39=HONORARIOS!B:B,HONORARIOS!M:M)))</f>
        <v>43800</v>
      </c>
      <c r="Q39" s="29">
        <f t="shared" si="2"/>
        <v>49</v>
      </c>
    </row>
    <row r="40" spans="2:17" x14ac:dyDescent="0.25">
      <c r="B40" s="5">
        <v>1689</v>
      </c>
      <c r="C40" s="3" t="s">
        <v>35</v>
      </c>
      <c r="D40" s="29">
        <v>2120000</v>
      </c>
      <c r="E40" s="7">
        <v>2016</v>
      </c>
      <c r="F40" s="8">
        <v>1</v>
      </c>
      <c r="G40" s="8">
        <v>0.59</v>
      </c>
      <c r="H40" s="8">
        <v>1</v>
      </c>
      <c r="I40" s="9">
        <v>42601</v>
      </c>
      <c r="J40" s="9">
        <v>42990</v>
      </c>
      <c r="K40" s="10">
        <v>37</v>
      </c>
      <c r="L40" s="3" t="s">
        <v>72</v>
      </c>
      <c r="M40" s="9">
        <f t="shared" si="3"/>
        <v>42583</v>
      </c>
      <c r="N40" s="9">
        <f t="shared" si="1"/>
        <v>43709</v>
      </c>
      <c r="O40" s="29">
        <f>VLOOKUP(B40,PROYECTO!A:H,8,0)</f>
        <v>9</v>
      </c>
      <c r="P40" s="9">
        <f t="array" ref="P40">MAX(MAX(IF($B:$B=B40,$N:$N)),MAX(IF(B40=HONORARIOS!B:B,HONORARIOS!M:M)))</f>
        <v>43800</v>
      </c>
      <c r="Q40" s="29">
        <f t="shared" si="2"/>
        <v>37</v>
      </c>
    </row>
    <row r="41" spans="2:17" x14ac:dyDescent="0.25">
      <c r="B41" s="5">
        <v>1689</v>
      </c>
      <c r="C41" s="3" t="s">
        <v>39</v>
      </c>
      <c r="D41" s="29">
        <v>2300000</v>
      </c>
      <c r="E41" s="7">
        <v>2016</v>
      </c>
      <c r="F41" s="8">
        <v>1</v>
      </c>
      <c r="G41" s="8">
        <v>0.5</v>
      </c>
      <c r="H41" s="8">
        <v>1</v>
      </c>
      <c r="I41" s="9">
        <v>42601</v>
      </c>
      <c r="J41" s="9">
        <v>42601</v>
      </c>
      <c r="K41" s="10">
        <v>37</v>
      </c>
      <c r="L41" s="3" t="s">
        <v>72</v>
      </c>
      <c r="M41" s="9">
        <f t="shared" si="3"/>
        <v>42583</v>
      </c>
      <c r="N41" s="9">
        <f t="shared" si="1"/>
        <v>43709</v>
      </c>
      <c r="O41" s="29">
        <f>VLOOKUP(B41,PROYECTO!A:H,8,0)</f>
        <v>9</v>
      </c>
      <c r="P41" s="9">
        <f t="array" ref="P41">MAX(MAX(IF($B:$B=B41,$N:$N)),MAX(IF(B41=HONORARIOS!B:B,HONORARIOS!M:M)))</f>
        <v>43800</v>
      </c>
      <c r="Q41" s="29">
        <f t="shared" si="2"/>
        <v>37</v>
      </c>
    </row>
    <row r="42" spans="2:17" x14ac:dyDescent="0.25">
      <c r="B42" s="5">
        <v>1689</v>
      </c>
      <c r="C42" s="3" t="s">
        <v>26</v>
      </c>
      <c r="D42" s="29">
        <v>3300000</v>
      </c>
      <c r="E42" s="7">
        <v>2016</v>
      </c>
      <c r="F42" s="8">
        <v>1</v>
      </c>
      <c r="G42" s="8">
        <v>0.5</v>
      </c>
      <c r="H42" s="8">
        <v>1</v>
      </c>
      <c r="I42" s="9">
        <v>42601</v>
      </c>
      <c r="J42" s="9"/>
      <c r="K42" s="10">
        <v>25</v>
      </c>
      <c r="L42" s="3" t="s">
        <v>73</v>
      </c>
      <c r="M42" s="9">
        <f t="shared" si="3"/>
        <v>42583</v>
      </c>
      <c r="N42" s="9">
        <f t="shared" si="1"/>
        <v>43344</v>
      </c>
      <c r="O42" s="29">
        <f>VLOOKUP(B42,PROYECTO!A:H,8,0)</f>
        <v>9</v>
      </c>
      <c r="P42" s="9">
        <f t="array" ref="P42">MAX(MAX(IF($B:$B=B42,$N:$N)),MAX(IF(B42=HONORARIOS!B:B,HONORARIOS!M:M)))</f>
        <v>43800</v>
      </c>
      <c r="Q42" s="29">
        <f t="shared" si="2"/>
        <v>25</v>
      </c>
    </row>
    <row r="43" spans="2:17" x14ac:dyDescent="0.25">
      <c r="B43" s="5">
        <v>1701</v>
      </c>
      <c r="C43" s="3" t="s">
        <v>19</v>
      </c>
      <c r="D43" s="29">
        <v>7800000</v>
      </c>
      <c r="E43" s="7">
        <v>2016</v>
      </c>
      <c r="F43" s="8">
        <v>0.3</v>
      </c>
      <c r="G43" s="8">
        <v>0.62</v>
      </c>
      <c r="H43" s="8">
        <v>1</v>
      </c>
      <c r="I43" s="9">
        <v>42614</v>
      </c>
      <c r="J43" s="9">
        <v>42614</v>
      </c>
      <c r="K43" s="10">
        <v>33</v>
      </c>
      <c r="L43" s="3" t="s">
        <v>75</v>
      </c>
      <c r="M43" s="9">
        <f t="shared" si="3"/>
        <v>42614</v>
      </c>
      <c r="N43" s="9">
        <f t="shared" si="1"/>
        <v>43617</v>
      </c>
      <c r="O43" s="29">
        <f>VLOOKUP(B43,PROYECTO!A:H,8,0)</f>
        <v>0</v>
      </c>
      <c r="P43" s="9">
        <f t="array" ref="P43">MAX(MAX(IF($B:$B=B43,$N:$N)),MAX(IF(B43=HONORARIOS!B:B,HONORARIOS!M:M)))</f>
        <v>43862</v>
      </c>
      <c r="Q43" s="29">
        <f t="shared" si="2"/>
        <v>33</v>
      </c>
    </row>
    <row r="44" spans="2:17" x14ac:dyDescent="0.25">
      <c r="B44" s="5">
        <v>1701</v>
      </c>
      <c r="C44" s="3" t="s">
        <v>12</v>
      </c>
      <c r="D44" s="29">
        <v>5000000</v>
      </c>
      <c r="E44" s="7">
        <v>2016</v>
      </c>
      <c r="F44" s="8">
        <v>1</v>
      </c>
      <c r="G44" s="8">
        <v>0.5</v>
      </c>
      <c r="H44" s="8">
        <v>1</v>
      </c>
      <c r="I44" s="9">
        <v>42614</v>
      </c>
      <c r="J44" s="9">
        <v>42614</v>
      </c>
      <c r="K44" s="10">
        <v>33</v>
      </c>
      <c r="L44" s="3" t="s">
        <v>75</v>
      </c>
      <c r="M44" s="9">
        <f t="shared" si="3"/>
        <v>42614</v>
      </c>
      <c r="N44" s="9">
        <f t="shared" si="1"/>
        <v>43617</v>
      </c>
      <c r="O44" s="29">
        <f>VLOOKUP(B44,PROYECTO!A:H,8,0)</f>
        <v>0</v>
      </c>
      <c r="P44" s="9">
        <f t="array" ref="P44">MAX(MAX(IF($B:$B=B44,$N:$N)),MAX(IF(B44=HONORARIOS!B:B,HONORARIOS!M:M)))</f>
        <v>43862</v>
      </c>
      <c r="Q44" s="29">
        <f t="shared" si="2"/>
        <v>33</v>
      </c>
    </row>
    <row r="45" spans="2:17" x14ac:dyDescent="0.25">
      <c r="B45" s="5">
        <v>1701</v>
      </c>
      <c r="C45" s="3" t="s">
        <v>38</v>
      </c>
      <c r="D45" s="29">
        <v>2100000</v>
      </c>
      <c r="E45" s="7">
        <v>2016</v>
      </c>
      <c r="F45" s="8">
        <v>1</v>
      </c>
      <c r="G45" s="8">
        <v>0.59</v>
      </c>
      <c r="H45" s="8">
        <v>1</v>
      </c>
      <c r="I45" s="9">
        <v>42736</v>
      </c>
      <c r="J45" s="9">
        <v>42982</v>
      </c>
      <c r="K45" s="10">
        <v>29</v>
      </c>
      <c r="L45" s="3" t="s">
        <v>75</v>
      </c>
      <c r="M45" s="9">
        <f t="shared" si="3"/>
        <v>42736</v>
      </c>
      <c r="N45" s="9">
        <f t="shared" si="1"/>
        <v>43617</v>
      </c>
      <c r="O45" s="29">
        <f>VLOOKUP(B45,PROYECTO!A:H,8,0)</f>
        <v>0</v>
      </c>
      <c r="P45" s="9">
        <f t="array" ref="P45">MAX(MAX(IF($B:$B=B45,$N:$N)),MAX(IF(B45=HONORARIOS!B:B,HONORARIOS!M:M)))</f>
        <v>43862</v>
      </c>
      <c r="Q45" s="29">
        <f t="shared" si="2"/>
        <v>29</v>
      </c>
    </row>
    <row r="46" spans="2:17" x14ac:dyDescent="0.25">
      <c r="B46" s="5">
        <v>1701</v>
      </c>
      <c r="C46" s="3" t="s">
        <v>76</v>
      </c>
      <c r="D46" s="29">
        <v>1900000</v>
      </c>
      <c r="E46" s="7">
        <v>2016</v>
      </c>
      <c r="F46" s="8">
        <v>1</v>
      </c>
      <c r="G46" s="8">
        <v>0.59</v>
      </c>
      <c r="H46" s="8">
        <v>1</v>
      </c>
      <c r="I46" s="9">
        <v>43466</v>
      </c>
      <c r="J46" s="9"/>
      <c r="K46" s="10">
        <v>13</v>
      </c>
      <c r="L46" s="3" t="s">
        <v>75</v>
      </c>
      <c r="M46" s="9">
        <f t="shared" si="3"/>
        <v>43466</v>
      </c>
      <c r="N46" s="9">
        <f t="shared" si="1"/>
        <v>43862</v>
      </c>
      <c r="O46" s="29">
        <f>VLOOKUP(B46,PROYECTO!A:H,8,0)</f>
        <v>0</v>
      </c>
      <c r="P46" s="9">
        <f t="array" ref="P46">MAX(MAX(IF($B:$B=B46,$N:$N)),MAX(IF(B46=HONORARIOS!B:B,HONORARIOS!M:M)))</f>
        <v>43862</v>
      </c>
      <c r="Q46" s="29">
        <f t="shared" si="2"/>
        <v>13</v>
      </c>
    </row>
    <row r="47" spans="2:17" x14ac:dyDescent="0.25">
      <c r="B47" s="5">
        <v>1701</v>
      </c>
      <c r="C47" s="3" t="s">
        <v>16</v>
      </c>
      <c r="D47" s="29">
        <v>2400000</v>
      </c>
      <c r="E47" s="7">
        <v>2016</v>
      </c>
      <c r="F47" s="8">
        <v>1</v>
      </c>
      <c r="G47" s="8">
        <v>0.5</v>
      </c>
      <c r="H47" s="8">
        <v>1</v>
      </c>
      <c r="I47" s="9">
        <v>42614</v>
      </c>
      <c r="J47" s="9">
        <v>42614</v>
      </c>
      <c r="K47" s="10">
        <v>21</v>
      </c>
      <c r="L47" s="3" t="s">
        <v>75</v>
      </c>
      <c r="M47" s="9">
        <f t="shared" si="3"/>
        <v>42614</v>
      </c>
      <c r="N47" s="9">
        <f t="shared" si="1"/>
        <v>43252</v>
      </c>
      <c r="O47" s="29">
        <f>VLOOKUP(B47,PROYECTO!A:H,8,0)</f>
        <v>0</v>
      </c>
      <c r="P47" s="9">
        <f t="array" ref="P47">MAX(MAX(IF($B:$B=B47,$N:$N)),MAX(IF(B47=HONORARIOS!B:B,HONORARIOS!M:M)))</f>
        <v>43862</v>
      </c>
      <c r="Q47" s="29">
        <f t="shared" si="2"/>
        <v>21</v>
      </c>
    </row>
    <row r="48" spans="2:17" x14ac:dyDescent="0.25">
      <c r="B48" s="5">
        <v>1701</v>
      </c>
      <c r="C48" s="3" t="s">
        <v>39</v>
      </c>
      <c r="D48" s="29">
        <v>2100000</v>
      </c>
      <c r="E48" s="7">
        <v>2016</v>
      </c>
      <c r="F48" s="8">
        <v>1</v>
      </c>
      <c r="G48" s="8">
        <v>0.5</v>
      </c>
      <c r="H48" s="8">
        <v>1</v>
      </c>
      <c r="I48" s="9">
        <v>42614</v>
      </c>
      <c r="J48" s="9">
        <v>42999</v>
      </c>
      <c r="K48" s="10">
        <v>29</v>
      </c>
      <c r="L48" s="3" t="s">
        <v>75</v>
      </c>
      <c r="M48" s="9">
        <f t="shared" si="3"/>
        <v>42614</v>
      </c>
      <c r="N48" s="9">
        <f t="shared" si="1"/>
        <v>43497</v>
      </c>
      <c r="O48" s="29">
        <f>VLOOKUP(B48,PROYECTO!A:H,8,0)</f>
        <v>0</v>
      </c>
      <c r="P48" s="9">
        <f t="array" ref="P48">MAX(MAX(IF($B:$B=B48,$N:$N)),MAX(IF(B48=HONORARIOS!B:B,HONORARIOS!M:M)))</f>
        <v>43862</v>
      </c>
      <c r="Q48" s="29">
        <f t="shared" si="2"/>
        <v>29</v>
      </c>
    </row>
    <row r="49" spans="2:17" x14ac:dyDescent="0.25">
      <c r="B49" s="5">
        <v>1701</v>
      </c>
      <c r="C49" s="3" t="s">
        <v>14</v>
      </c>
      <c r="D49" s="29">
        <v>3800000</v>
      </c>
      <c r="E49" s="7">
        <v>2016</v>
      </c>
      <c r="F49" s="8">
        <v>1</v>
      </c>
      <c r="G49" s="8">
        <v>0.5</v>
      </c>
      <c r="H49" s="8">
        <v>1</v>
      </c>
      <c r="I49" s="9">
        <v>42614</v>
      </c>
      <c r="J49" s="9">
        <v>43313</v>
      </c>
      <c r="K49" s="10">
        <v>20</v>
      </c>
      <c r="L49" s="3" t="s">
        <v>75</v>
      </c>
      <c r="M49" s="9">
        <f t="shared" si="3"/>
        <v>42614</v>
      </c>
      <c r="N49" s="9">
        <f t="shared" si="1"/>
        <v>43221</v>
      </c>
      <c r="O49" s="29">
        <f>VLOOKUP(B49,PROYECTO!A:H,8,0)</f>
        <v>0</v>
      </c>
      <c r="P49" s="9">
        <f t="array" ref="P49">MAX(MAX(IF($B:$B=B49,$N:$N)),MAX(IF(B49=HONORARIOS!B:B,HONORARIOS!M:M)))</f>
        <v>43862</v>
      </c>
      <c r="Q49" s="29">
        <f t="shared" si="2"/>
        <v>20</v>
      </c>
    </row>
    <row r="50" spans="2:17" x14ac:dyDescent="0.25">
      <c r="B50" s="5">
        <v>1713</v>
      </c>
      <c r="C50" s="3" t="s">
        <v>19</v>
      </c>
      <c r="D50" s="29">
        <v>10000000</v>
      </c>
      <c r="E50" s="7">
        <v>2016</v>
      </c>
      <c r="F50" s="8">
        <v>0.2</v>
      </c>
      <c r="G50" s="8">
        <v>0.62</v>
      </c>
      <c r="H50" s="8">
        <v>1</v>
      </c>
      <c r="I50" s="9">
        <v>42614</v>
      </c>
      <c r="J50" s="9">
        <v>42615</v>
      </c>
      <c r="K50" s="10">
        <v>1</v>
      </c>
      <c r="L50" s="3" t="s">
        <v>80</v>
      </c>
      <c r="M50" s="9">
        <f t="shared" si="3"/>
        <v>42614</v>
      </c>
      <c r="N50" s="9">
        <f t="shared" si="1"/>
        <v>42644</v>
      </c>
      <c r="O50" s="29">
        <f>VLOOKUP(B50,PROYECTO!A:H,8,0)</f>
        <v>2</v>
      </c>
      <c r="P50" s="9">
        <f t="array" ref="P50">MAX(MAX(IF($B:$B=B50,$N:$N)),MAX(IF(B50=HONORARIOS!B:B,HONORARIOS!M:M)))</f>
        <v>43497</v>
      </c>
      <c r="Q50" s="29">
        <f t="shared" si="2"/>
        <v>1</v>
      </c>
    </row>
    <row r="51" spans="2:17" x14ac:dyDescent="0.25">
      <c r="B51" s="5">
        <v>1713</v>
      </c>
      <c r="C51" s="3" t="s">
        <v>81</v>
      </c>
      <c r="D51" s="29">
        <v>2900000</v>
      </c>
      <c r="E51" s="7">
        <v>2016</v>
      </c>
      <c r="F51" s="8">
        <v>1</v>
      </c>
      <c r="G51" s="8">
        <v>0.5</v>
      </c>
      <c r="H51" s="8">
        <v>1</v>
      </c>
      <c r="I51" s="9">
        <v>42614</v>
      </c>
      <c r="J51" s="9">
        <v>42615</v>
      </c>
      <c r="K51" s="10">
        <v>1</v>
      </c>
      <c r="L51" s="3" t="s">
        <v>80</v>
      </c>
      <c r="M51" s="9">
        <f t="shared" si="3"/>
        <v>42614</v>
      </c>
      <c r="N51" s="9">
        <f t="shared" si="1"/>
        <v>42644</v>
      </c>
      <c r="O51" s="29">
        <f>VLOOKUP(B51,PROYECTO!A:H,8,0)</f>
        <v>2</v>
      </c>
      <c r="P51" s="9">
        <f t="array" ref="P51">MAX(MAX(IF($B:$B=B51,$N:$N)),MAX(IF(B51=HONORARIOS!B:B,HONORARIOS!M:M)))</f>
        <v>43497</v>
      </c>
      <c r="Q51" s="29">
        <f t="shared" si="2"/>
        <v>1</v>
      </c>
    </row>
    <row r="52" spans="2:17" x14ac:dyDescent="0.25">
      <c r="B52" s="5">
        <v>1713</v>
      </c>
      <c r="C52" s="3" t="s">
        <v>19</v>
      </c>
      <c r="D52" s="29">
        <v>8300000</v>
      </c>
      <c r="E52" s="7">
        <v>2016</v>
      </c>
      <c r="F52" s="8">
        <v>0.2</v>
      </c>
      <c r="G52" s="8">
        <v>0.62</v>
      </c>
      <c r="H52" s="8">
        <v>1</v>
      </c>
      <c r="I52" s="9">
        <v>42644</v>
      </c>
      <c r="J52" s="9">
        <v>42646</v>
      </c>
      <c r="K52" s="10">
        <v>19</v>
      </c>
      <c r="L52" s="3" t="s">
        <v>82</v>
      </c>
      <c r="M52" s="9">
        <f t="shared" si="3"/>
        <v>42644</v>
      </c>
      <c r="N52" s="9">
        <f t="shared" si="1"/>
        <v>43221</v>
      </c>
      <c r="O52" s="29">
        <f>VLOOKUP(B52,PROYECTO!A:H,8,0)</f>
        <v>2</v>
      </c>
      <c r="P52" s="9">
        <f t="array" ref="P52">MAX(MAX(IF($B:$B=B52,$N:$N)),MAX(IF(B52=HONORARIOS!B:B,HONORARIOS!M:M)))</f>
        <v>43497</v>
      </c>
      <c r="Q52" s="29">
        <f t="shared" si="2"/>
        <v>19</v>
      </c>
    </row>
    <row r="53" spans="2:17" x14ac:dyDescent="0.25">
      <c r="B53" s="5">
        <v>1713</v>
      </c>
      <c r="C53" s="3" t="s">
        <v>83</v>
      </c>
      <c r="D53" s="29">
        <v>6100000</v>
      </c>
      <c r="E53" s="7">
        <v>2016</v>
      </c>
      <c r="F53" s="8">
        <v>1</v>
      </c>
      <c r="G53" s="8">
        <v>0.5</v>
      </c>
      <c r="H53" s="8">
        <v>1</v>
      </c>
      <c r="I53" s="9">
        <v>42644</v>
      </c>
      <c r="J53" s="9">
        <v>42668</v>
      </c>
      <c r="K53" s="10">
        <v>19</v>
      </c>
      <c r="L53" s="3" t="s">
        <v>82</v>
      </c>
      <c r="M53" s="9">
        <f t="shared" si="3"/>
        <v>42644</v>
      </c>
      <c r="N53" s="9">
        <f t="shared" si="1"/>
        <v>43221</v>
      </c>
      <c r="O53" s="29">
        <f>VLOOKUP(B53,PROYECTO!A:H,8,0)</f>
        <v>2</v>
      </c>
      <c r="P53" s="9">
        <f t="array" ref="P53">MAX(MAX(IF($B:$B=B53,$N:$N)),MAX(IF(B53=HONORARIOS!B:B,HONORARIOS!M:M)))</f>
        <v>43497</v>
      </c>
      <c r="Q53" s="29">
        <f t="shared" si="2"/>
        <v>19</v>
      </c>
    </row>
    <row r="54" spans="2:17" x14ac:dyDescent="0.25">
      <c r="B54" s="5">
        <v>1713</v>
      </c>
      <c r="C54" s="3" t="s">
        <v>84</v>
      </c>
      <c r="D54" s="29">
        <v>4250000</v>
      </c>
      <c r="E54" s="7">
        <v>2016</v>
      </c>
      <c r="F54" s="8">
        <v>1</v>
      </c>
      <c r="G54" s="8">
        <v>0.5</v>
      </c>
      <c r="H54" s="8">
        <v>1</v>
      </c>
      <c r="I54" s="9">
        <v>42644</v>
      </c>
      <c r="J54" s="9"/>
      <c r="K54" s="10">
        <v>9</v>
      </c>
      <c r="L54" s="3" t="s">
        <v>85</v>
      </c>
      <c r="M54" s="9">
        <f t="shared" si="3"/>
        <v>42644</v>
      </c>
      <c r="N54" s="9">
        <f t="shared" si="1"/>
        <v>42917</v>
      </c>
      <c r="O54" s="29">
        <f>VLOOKUP(B54,PROYECTO!A:H,8,0)</f>
        <v>2</v>
      </c>
      <c r="P54" s="9">
        <f t="array" ref="P54">MAX(MAX(IF($B:$B=B54,$N:$N)),MAX(IF(B54=HONORARIOS!B:B,HONORARIOS!M:M)))</f>
        <v>43497</v>
      </c>
      <c r="Q54" s="29">
        <f t="shared" si="2"/>
        <v>9</v>
      </c>
    </row>
    <row r="55" spans="2:17" x14ac:dyDescent="0.25">
      <c r="B55" s="5">
        <v>1713</v>
      </c>
      <c r="C55" s="3" t="s">
        <v>86</v>
      </c>
      <c r="D55" s="29">
        <v>3950000</v>
      </c>
      <c r="E55" s="7">
        <v>2016</v>
      </c>
      <c r="F55" s="8">
        <v>1</v>
      </c>
      <c r="G55" s="8">
        <v>0.5</v>
      </c>
      <c r="H55" s="8">
        <v>1</v>
      </c>
      <c r="I55" s="9">
        <v>42644</v>
      </c>
      <c r="J55" s="9">
        <v>42646</v>
      </c>
      <c r="K55" s="10">
        <v>15</v>
      </c>
      <c r="L55" s="3" t="s">
        <v>82</v>
      </c>
      <c r="M55" s="9">
        <f t="shared" si="3"/>
        <v>42644</v>
      </c>
      <c r="N55" s="9">
        <f t="shared" si="1"/>
        <v>43101</v>
      </c>
      <c r="O55" s="29">
        <f>VLOOKUP(B55,PROYECTO!A:H,8,0)</f>
        <v>2</v>
      </c>
      <c r="P55" s="9">
        <f t="array" ref="P55">MAX(MAX(IF($B:$B=B55,$N:$N)),MAX(IF(B55=HONORARIOS!B:B,HONORARIOS!M:M)))</f>
        <v>43497</v>
      </c>
      <c r="Q55" s="29">
        <f t="shared" si="2"/>
        <v>15</v>
      </c>
    </row>
    <row r="56" spans="2:17" x14ac:dyDescent="0.25">
      <c r="B56" s="5">
        <v>1713</v>
      </c>
      <c r="C56" s="3" t="s">
        <v>87</v>
      </c>
      <c r="D56" s="29">
        <v>3100000</v>
      </c>
      <c r="E56" s="7">
        <v>2016</v>
      </c>
      <c r="F56" s="8">
        <v>1</v>
      </c>
      <c r="G56" s="8">
        <v>0.5</v>
      </c>
      <c r="H56" s="8">
        <v>1</v>
      </c>
      <c r="I56" s="9">
        <v>42644</v>
      </c>
      <c r="J56" s="9">
        <v>42689</v>
      </c>
      <c r="K56" s="10">
        <v>18</v>
      </c>
      <c r="L56" s="3" t="s">
        <v>82</v>
      </c>
      <c r="M56" s="9">
        <f t="shared" si="3"/>
        <v>42644</v>
      </c>
      <c r="N56" s="9">
        <f t="shared" si="1"/>
        <v>43191</v>
      </c>
      <c r="O56" s="29">
        <f>VLOOKUP(B56,PROYECTO!A:H,8,0)</f>
        <v>2</v>
      </c>
      <c r="P56" s="9">
        <f t="array" ref="P56">MAX(MAX(IF($B:$B=B56,$N:$N)),MAX(IF(B56=HONORARIOS!B:B,HONORARIOS!M:M)))</f>
        <v>43497</v>
      </c>
      <c r="Q56" s="29">
        <f t="shared" si="2"/>
        <v>18</v>
      </c>
    </row>
    <row r="57" spans="2:17" x14ac:dyDescent="0.25">
      <c r="B57" s="5">
        <v>1713</v>
      </c>
      <c r="C57" s="3" t="s">
        <v>88</v>
      </c>
      <c r="D57" s="29">
        <v>2900000</v>
      </c>
      <c r="E57" s="7">
        <v>2016</v>
      </c>
      <c r="F57" s="8">
        <v>1</v>
      </c>
      <c r="G57" s="8">
        <v>0.5</v>
      </c>
      <c r="H57" s="8">
        <v>1</v>
      </c>
      <c r="I57" s="9">
        <v>42644</v>
      </c>
      <c r="J57" s="9"/>
      <c r="K57" s="10">
        <v>15</v>
      </c>
      <c r="L57" s="3" t="s">
        <v>82</v>
      </c>
      <c r="M57" s="9">
        <f t="shared" si="3"/>
        <v>42644</v>
      </c>
      <c r="N57" s="9">
        <f t="shared" si="1"/>
        <v>43101</v>
      </c>
      <c r="O57" s="29">
        <f>VLOOKUP(B57,PROYECTO!A:H,8,0)</f>
        <v>2</v>
      </c>
      <c r="P57" s="9">
        <f t="array" ref="P57">MAX(MAX(IF($B:$B=B57,$N:$N)),MAX(IF(B57=HONORARIOS!B:B,HONORARIOS!M:M)))</f>
        <v>43497</v>
      </c>
      <c r="Q57" s="29">
        <f t="shared" si="2"/>
        <v>15</v>
      </c>
    </row>
    <row r="58" spans="2:17" x14ac:dyDescent="0.25">
      <c r="B58" s="5">
        <v>1713</v>
      </c>
      <c r="C58" s="3" t="s">
        <v>35</v>
      </c>
      <c r="D58" s="29">
        <v>2020000</v>
      </c>
      <c r="E58" s="7">
        <v>2016</v>
      </c>
      <c r="F58" s="8">
        <v>1</v>
      </c>
      <c r="G58" s="8">
        <v>0.59</v>
      </c>
      <c r="H58" s="8">
        <v>1</v>
      </c>
      <c r="I58" s="9">
        <v>42644</v>
      </c>
      <c r="J58" s="9">
        <v>42667</v>
      </c>
      <c r="K58" s="10">
        <v>18</v>
      </c>
      <c r="L58" s="3" t="s">
        <v>82</v>
      </c>
      <c r="M58" s="9">
        <f t="shared" si="3"/>
        <v>42644</v>
      </c>
      <c r="N58" s="9">
        <f t="shared" si="1"/>
        <v>43191</v>
      </c>
      <c r="O58" s="29">
        <f>VLOOKUP(B58,PROYECTO!A:H,8,0)</f>
        <v>2</v>
      </c>
      <c r="P58" s="9">
        <f t="array" ref="P58">MAX(MAX(IF($B:$B=B58,$N:$N)),MAX(IF(B58=HONORARIOS!B:B,HONORARIOS!M:M)))</f>
        <v>43497</v>
      </c>
      <c r="Q58" s="29">
        <f t="shared" si="2"/>
        <v>18</v>
      </c>
    </row>
    <row r="59" spans="2:17" x14ac:dyDescent="0.25">
      <c r="B59" s="5">
        <v>1751</v>
      </c>
      <c r="C59" s="3" t="s">
        <v>39</v>
      </c>
      <c r="D59" s="29">
        <v>2387000</v>
      </c>
      <c r="E59" s="7">
        <v>2017</v>
      </c>
      <c r="F59" s="8">
        <v>1</v>
      </c>
      <c r="G59" s="8">
        <v>0.5</v>
      </c>
      <c r="H59" s="8">
        <v>1</v>
      </c>
      <c r="I59" s="9">
        <v>42797</v>
      </c>
      <c r="J59" s="9">
        <v>42896</v>
      </c>
      <c r="K59" s="10">
        <v>18</v>
      </c>
      <c r="L59" s="3" t="s">
        <v>121</v>
      </c>
      <c r="M59" s="9">
        <f t="shared" si="3"/>
        <v>42795</v>
      </c>
      <c r="N59" s="9">
        <f t="shared" si="1"/>
        <v>43344</v>
      </c>
      <c r="O59" s="29">
        <f>VLOOKUP(B59,PROYECTO!A:H,8,0)</f>
        <v>3</v>
      </c>
      <c r="P59" s="9">
        <f t="array" ref="P59">MAX(MAX(IF($B:$B=B59,$N:$N)),MAX(IF(B59=HONORARIOS!B:B,HONORARIOS!M:M)))</f>
        <v>43545</v>
      </c>
      <c r="Q59" s="29">
        <f t="shared" si="2"/>
        <v>18</v>
      </c>
    </row>
    <row r="60" spans="2:17" x14ac:dyDescent="0.25">
      <c r="B60" s="5">
        <v>1751</v>
      </c>
      <c r="C60" s="3" t="s">
        <v>26</v>
      </c>
      <c r="D60" s="29">
        <v>5058375</v>
      </c>
      <c r="E60" s="7">
        <v>2017</v>
      </c>
      <c r="F60" s="8">
        <v>1</v>
      </c>
      <c r="G60" s="8">
        <v>0.5</v>
      </c>
      <c r="H60" s="8">
        <v>1</v>
      </c>
      <c r="I60" s="9">
        <v>42797</v>
      </c>
      <c r="J60" s="9">
        <v>42815</v>
      </c>
      <c r="K60" s="10">
        <v>24</v>
      </c>
      <c r="L60" s="3" t="s">
        <v>121</v>
      </c>
      <c r="M60" s="9">
        <f t="shared" si="3"/>
        <v>42795</v>
      </c>
      <c r="N60" s="9">
        <f t="shared" si="1"/>
        <v>43525</v>
      </c>
      <c r="O60" s="29">
        <f>VLOOKUP(B60,PROYECTO!A:H,8,0)</f>
        <v>3</v>
      </c>
      <c r="P60" s="9">
        <f t="array" ref="P60">MAX(MAX(IF($B:$B=B60,$N:$N)),MAX(IF(B60=HONORARIOS!B:B,HONORARIOS!M:M)))</f>
        <v>43545</v>
      </c>
      <c r="Q60" s="29">
        <f t="shared" si="2"/>
        <v>24</v>
      </c>
    </row>
    <row r="61" spans="2:17" x14ac:dyDescent="0.25">
      <c r="B61" s="5">
        <v>1758</v>
      </c>
      <c r="C61" s="3" t="s">
        <v>19</v>
      </c>
      <c r="D61" s="29">
        <v>10748850</v>
      </c>
      <c r="E61" s="7">
        <v>2017</v>
      </c>
      <c r="F61" s="8">
        <v>0.2</v>
      </c>
      <c r="G61" s="8">
        <v>0.62</v>
      </c>
      <c r="H61" s="8">
        <v>1</v>
      </c>
      <c r="I61" s="9">
        <v>43009</v>
      </c>
      <c r="J61" s="9">
        <v>43009</v>
      </c>
      <c r="K61" s="10">
        <v>27</v>
      </c>
      <c r="L61" s="3" t="s">
        <v>124</v>
      </c>
      <c r="M61" s="9">
        <f t="shared" si="3"/>
        <v>43009</v>
      </c>
      <c r="N61" s="9">
        <f t="shared" si="1"/>
        <v>43831</v>
      </c>
      <c r="O61" s="29">
        <f>VLOOKUP(B61,PROYECTO!A:H,8,0)</f>
        <v>0</v>
      </c>
      <c r="P61" s="9">
        <f t="array" ref="P61">MAX(MAX(IF($B:$B=B61,$N:$N)),MAX(IF(B61=HONORARIOS!B:B,HONORARIOS!M:M)))</f>
        <v>43831</v>
      </c>
      <c r="Q61" s="29">
        <f t="shared" si="2"/>
        <v>27</v>
      </c>
    </row>
    <row r="62" spans="2:17" x14ac:dyDescent="0.25">
      <c r="B62" s="5">
        <v>1758</v>
      </c>
      <c r="C62" s="3" t="s">
        <v>12</v>
      </c>
      <c r="D62" s="29">
        <v>7618535</v>
      </c>
      <c r="E62" s="7">
        <v>2017</v>
      </c>
      <c r="F62" s="8">
        <v>1</v>
      </c>
      <c r="G62" s="8">
        <v>0.5</v>
      </c>
      <c r="H62" s="8">
        <v>1</v>
      </c>
      <c r="I62" s="9">
        <v>43009</v>
      </c>
      <c r="J62" s="9">
        <v>43009</v>
      </c>
      <c r="K62" s="10">
        <v>27</v>
      </c>
      <c r="L62" s="3" t="s">
        <v>124</v>
      </c>
      <c r="M62" s="9">
        <f t="shared" si="3"/>
        <v>43009</v>
      </c>
      <c r="N62" s="9">
        <f t="shared" si="1"/>
        <v>43831</v>
      </c>
      <c r="O62" s="29">
        <f>VLOOKUP(B62,PROYECTO!A:H,8,0)</f>
        <v>0</v>
      </c>
      <c r="P62" s="9">
        <f t="array" ref="P62">MAX(MAX(IF($B:$B=B62,$N:$N)),MAX(IF(B62=HONORARIOS!B:B,HONORARIOS!M:M)))</f>
        <v>43831</v>
      </c>
      <c r="Q62" s="29">
        <f t="shared" si="2"/>
        <v>27</v>
      </c>
    </row>
    <row r="63" spans="2:17" x14ac:dyDescent="0.25">
      <c r="B63" s="5">
        <v>1758</v>
      </c>
      <c r="C63" s="3" t="s">
        <v>125</v>
      </c>
      <c r="D63" s="29">
        <v>4236000</v>
      </c>
      <c r="E63" s="7">
        <v>2017</v>
      </c>
      <c r="F63" s="8">
        <v>1</v>
      </c>
      <c r="G63" s="8">
        <v>0.5</v>
      </c>
      <c r="H63" s="8">
        <v>1</v>
      </c>
      <c r="I63" s="9">
        <v>43009</v>
      </c>
      <c r="J63" s="9">
        <v>43009</v>
      </c>
      <c r="K63" s="10">
        <v>27</v>
      </c>
      <c r="L63" s="3" t="s">
        <v>124</v>
      </c>
      <c r="M63" s="9">
        <f t="shared" si="3"/>
        <v>43009</v>
      </c>
      <c r="N63" s="9">
        <f t="shared" si="1"/>
        <v>43831</v>
      </c>
      <c r="O63" s="29">
        <f>VLOOKUP(B63,PROYECTO!A:H,8,0)</f>
        <v>0</v>
      </c>
      <c r="P63" s="9">
        <f t="array" ref="P63">MAX(MAX(IF($B:$B=B63,$N:$N)),MAX(IF(B63=HONORARIOS!B:B,HONORARIOS!M:M)))</f>
        <v>43831</v>
      </c>
      <c r="Q63" s="29">
        <f t="shared" si="2"/>
        <v>27</v>
      </c>
    </row>
    <row r="64" spans="2:17" x14ac:dyDescent="0.25">
      <c r="B64" s="5">
        <v>1789</v>
      </c>
      <c r="C64" s="3" t="s">
        <v>19</v>
      </c>
      <c r="D64" s="29">
        <v>8419050</v>
      </c>
      <c r="E64" s="7">
        <v>2019</v>
      </c>
      <c r="F64" s="8">
        <v>0.2</v>
      </c>
      <c r="G64" s="8">
        <v>0.62</v>
      </c>
      <c r="H64" s="8">
        <v>1</v>
      </c>
      <c r="I64" s="9">
        <v>43011</v>
      </c>
      <c r="J64" s="9">
        <v>43011</v>
      </c>
      <c r="K64" s="10">
        <v>19</v>
      </c>
      <c r="L64" s="3" t="s">
        <v>288</v>
      </c>
      <c r="M64" s="9">
        <f t="shared" si="3"/>
        <v>43009</v>
      </c>
      <c r="N64" s="9">
        <f t="shared" si="1"/>
        <v>43586</v>
      </c>
      <c r="O64" s="29">
        <f>VLOOKUP(B64,PROYECTO!A:H,8,0)</f>
        <v>0</v>
      </c>
      <c r="P64" s="9">
        <f t="array" ref="P64">MAX(MAX(IF($B:$B=B64,$N:$N)),MAX(IF(B64=HONORARIOS!B:B,HONORARIOS!M:M)))</f>
        <v>43588</v>
      </c>
      <c r="Q64" s="29">
        <f t="shared" si="2"/>
        <v>19</v>
      </c>
    </row>
    <row r="65" spans="2:17" x14ac:dyDescent="0.25">
      <c r="B65" s="5">
        <v>1789</v>
      </c>
      <c r="C65" s="3" t="s">
        <v>126</v>
      </c>
      <c r="D65" s="29">
        <v>5680052</v>
      </c>
      <c r="E65" s="7">
        <v>2019</v>
      </c>
      <c r="F65" s="8">
        <v>1</v>
      </c>
      <c r="G65" s="8">
        <v>0.5</v>
      </c>
      <c r="H65" s="8">
        <v>1</v>
      </c>
      <c r="I65" s="9">
        <v>43011</v>
      </c>
      <c r="J65" s="9">
        <v>43011</v>
      </c>
      <c r="K65" s="10">
        <v>19</v>
      </c>
      <c r="L65" s="3" t="s">
        <v>288</v>
      </c>
      <c r="M65" s="9">
        <f t="shared" si="3"/>
        <v>43009</v>
      </c>
      <c r="N65" s="9">
        <f t="shared" si="1"/>
        <v>43586</v>
      </c>
      <c r="O65" s="29">
        <f>VLOOKUP(B65,PROYECTO!A:H,8,0)</f>
        <v>0</v>
      </c>
      <c r="P65" s="9">
        <f t="array" ref="P65">MAX(MAX(IF($B:$B=B65,$N:$N)),MAX(IF(B65=HONORARIOS!B:B,HONORARIOS!M:M)))</f>
        <v>43588</v>
      </c>
      <c r="Q65" s="29">
        <f t="shared" si="2"/>
        <v>19</v>
      </c>
    </row>
    <row r="66" spans="2:17" x14ac:dyDescent="0.25">
      <c r="B66" s="5">
        <v>1789</v>
      </c>
      <c r="C66" s="3" t="s">
        <v>127</v>
      </c>
      <c r="D66" s="29">
        <v>5680052</v>
      </c>
      <c r="E66" s="7">
        <v>2019</v>
      </c>
      <c r="F66" s="8">
        <v>1</v>
      </c>
      <c r="G66" s="8">
        <v>0.5</v>
      </c>
      <c r="H66" s="8">
        <v>1</v>
      </c>
      <c r="I66" s="9">
        <v>43011</v>
      </c>
      <c r="J66" s="9">
        <v>43011</v>
      </c>
      <c r="K66" s="10">
        <v>19</v>
      </c>
      <c r="L66" s="3" t="s">
        <v>288</v>
      </c>
      <c r="M66" s="9">
        <f t="shared" si="3"/>
        <v>43009</v>
      </c>
      <c r="N66" s="9">
        <f t="shared" si="1"/>
        <v>43586</v>
      </c>
      <c r="O66" s="29">
        <f>VLOOKUP(B66,PROYECTO!A:H,8,0)</f>
        <v>0</v>
      </c>
      <c r="P66" s="9">
        <f t="array" ref="P66">MAX(MAX(IF($B:$B=B66,$N:$N)),MAX(IF(B66=HONORARIOS!B:B,HONORARIOS!M:M)))</f>
        <v>43588</v>
      </c>
      <c r="Q66" s="29">
        <f t="shared" si="2"/>
        <v>19</v>
      </c>
    </row>
    <row r="67" spans="2:17" x14ac:dyDescent="0.25">
      <c r="B67" s="5">
        <v>1789</v>
      </c>
      <c r="C67" s="3" t="s">
        <v>128</v>
      </c>
      <c r="D67" s="29">
        <v>2806350</v>
      </c>
      <c r="E67" s="7">
        <v>2019</v>
      </c>
      <c r="F67" s="8">
        <v>1</v>
      </c>
      <c r="G67" s="8">
        <v>0.59</v>
      </c>
      <c r="H67" s="8">
        <v>1</v>
      </c>
      <c r="I67" s="9">
        <v>43011</v>
      </c>
      <c r="J67" s="9">
        <v>43011</v>
      </c>
      <c r="K67" s="10">
        <v>19</v>
      </c>
      <c r="L67" s="3" t="s">
        <v>288</v>
      </c>
      <c r="M67" s="9">
        <f t="shared" si="3"/>
        <v>43009</v>
      </c>
      <c r="N67" s="9">
        <f t="shared" ref="N67:N130" si="4">EDATE(M67,K67)</f>
        <v>43586</v>
      </c>
      <c r="O67" s="29">
        <f>VLOOKUP(B67,PROYECTO!A:H,8,0)</f>
        <v>0</v>
      </c>
      <c r="P67" s="9">
        <f t="array" ref="P67">MAX(MAX(IF($B:$B=B67,$N:$N)),MAX(IF(B67=HONORARIOS!B:B,HONORARIOS!M:M)))</f>
        <v>43588</v>
      </c>
      <c r="Q67" s="29">
        <f t="shared" ref="Q67:Q130" si="5">IF(P67=N67,K67+O67,K67)</f>
        <v>19</v>
      </c>
    </row>
    <row r="68" spans="2:17" x14ac:dyDescent="0.25">
      <c r="B68" s="5">
        <v>1789</v>
      </c>
      <c r="C68" s="3" t="s">
        <v>39</v>
      </c>
      <c r="D68" s="29">
        <v>2581842</v>
      </c>
      <c r="E68" s="7">
        <v>2019</v>
      </c>
      <c r="F68" s="8">
        <v>1</v>
      </c>
      <c r="G68" s="8">
        <v>0.5</v>
      </c>
      <c r="H68" s="8">
        <v>1</v>
      </c>
      <c r="I68" s="9">
        <v>43011</v>
      </c>
      <c r="J68" s="9">
        <v>43011</v>
      </c>
      <c r="K68" s="10">
        <v>19</v>
      </c>
      <c r="L68" s="3" t="s">
        <v>288</v>
      </c>
      <c r="M68" s="9">
        <f t="shared" si="3"/>
        <v>43009</v>
      </c>
      <c r="N68" s="9">
        <f t="shared" si="4"/>
        <v>43586</v>
      </c>
      <c r="O68" s="29">
        <f>VLOOKUP(B68,PROYECTO!A:H,8,0)</f>
        <v>0</v>
      </c>
      <c r="P68" s="9">
        <f t="array" ref="P68">MAX(MAX(IF($B:$B=B68,$N:$N)),MAX(IF(B68=HONORARIOS!B:B,HONORARIOS!M:M)))</f>
        <v>43588</v>
      </c>
      <c r="Q68" s="29">
        <f t="shared" si="5"/>
        <v>19</v>
      </c>
    </row>
    <row r="69" spans="2:17" x14ac:dyDescent="0.25">
      <c r="B69" s="5">
        <v>1802</v>
      </c>
      <c r="C69" s="3" t="s">
        <v>12</v>
      </c>
      <c r="D69" s="29">
        <v>7087680</v>
      </c>
      <c r="E69" s="7">
        <v>2017</v>
      </c>
      <c r="F69" s="8">
        <v>1</v>
      </c>
      <c r="G69" s="8">
        <v>0.5</v>
      </c>
      <c r="H69" s="8">
        <v>1</v>
      </c>
      <c r="I69" s="9">
        <v>43070</v>
      </c>
      <c r="J69" s="9">
        <v>43070</v>
      </c>
      <c r="K69" s="10">
        <v>21</v>
      </c>
      <c r="L69" s="3" t="s">
        <v>37</v>
      </c>
      <c r="M69" s="9">
        <f t="shared" si="3"/>
        <v>43070</v>
      </c>
      <c r="N69" s="9">
        <f t="shared" si="4"/>
        <v>43709</v>
      </c>
      <c r="O69" s="29">
        <f>VLOOKUP(B69,PROYECTO!A:H,8,0)</f>
        <v>0</v>
      </c>
      <c r="P69" s="9">
        <f t="array" ref="P69">MAX(MAX(IF($B:$B=B69,$N:$N)),MAX(IF(B69=HONORARIOS!B:B,HONORARIOS!M:M)))</f>
        <v>43891</v>
      </c>
      <c r="Q69" s="29">
        <f t="shared" si="5"/>
        <v>21</v>
      </c>
    </row>
    <row r="70" spans="2:17" x14ac:dyDescent="0.25">
      <c r="B70" s="5">
        <v>1802</v>
      </c>
      <c r="C70" s="3" t="s">
        <v>38</v>
      </c>
      <c r="D70" s="29">
        <v>2173810</v>
      </c>
      <c r="E70" s="7">
        <v>2017</v>
      </c>
      <c r="F70" s="8">
        <v>1</v>
      </c>
      <c r="G70" s="8">
        <v>0.59</v>
      </c>
      <c r="H70" s="8">
        <v>1</v>
      </c>
      <c r="I70" s="9">
        <v>43070</v>
      </c>
      <c r="J70" s="9">
        <v>43070</v>
      </c>
      <c r="K70" s="10">
        <v>20</v>
      </c>
      <c r="L70" s="3" t="s">
        <v>37</v>
      </c>
      <c r="M70" s="9">
        <f t="shared" si="3"/>
        <v>43070</v>
      </c>
      <c r="N70" s="9">
        <f t="shared" si="4"/>
        <v>43678</v>
      </c>
      <c r="O70" s="29">
        <f>VLOOKUP(B70,PROYECTO!A:H,8,0)</f>
        <v>0</v>
      </c>
      <c r="P70" s="9">
        <f t="array" ref="P70">MAX(MAX(IF($B:$B=B70,$N:$N)),MAX(IF(B70=HONORARIOS!B:B,HONORARIOS!M:M)))</f>
        <v>43891</v>
      </c>
      <c r="Q70" s="29">
        <f t="shared" si="5"/>
        <v>20</v>
      </c>
    </row>
    <row r="71" spans="2:17" x14ac:dyDescent="0.25">
      <c r="B71" s="5">
        <v>1802</v>
      </c>
      <c r="C71" s="3" t="s">
        <v>39</v>
      </c>
      <c r="D71" s="29">
        <v>3205720</v>
      </c>
      <c r="E71" s="7">
        <v>2017</v>
      </c>
      <c r="F71" s="8">
        <v>1</v>
      </c>
      <c r="G71" s="8">
        <v>0.5</v>
      </c>
      <c r="H71" s="8">
        <v>1</v>
      </c>
      <c r="I71" s="9">
        <v>43070</v>
      </c>
      <c r="J71" s="9">
        <v>43070</v>
      </c>
      <c r="K71" s="10">
        <v>21</v>
      </c>
      <c r="L71" s="3" t="s">
        <v>37</v>
      </c>
      <c r="M71" s="9">
        <f t="shared" si="3"/>
        <v>43070</v>
      </c>
      <c r="N71" s="9">
        <f t="shared" si="4"/>
        <v>43709</v>
      </c>
      <c r="O71" s="29">
        <f>VLOOKUP(B71,PROYECTO!A:H,8,0)</f>
        <v>0</v>
      </c>
      <c r="P71" s="9">
        <f t="array" ref="P71">MAX(MAX(IF($B:$B=B71,$N:$N)),MAX(IF(B71=HONORARIOS!B:B,HONORARIOS!M:M)))</f>
        <v>43891</v>
      </c>
      <c r="Q71" s="29">
        <f t="shared" si="5"/>
        <v>21</v>
      </c>
    </row>
    <row r="72" spans="2:17" x14ac:dyDescent="0.25">
      <c r="B72" s="5">
        <v>1802</v>
      </c>
      <c r="C72" s="3" t="s">
        <v>69</v>
      </c>
      <c r="D72" s="29">
        <v>2889000</v>
      </c>
      <c r="E72" s="7">
        <v>2017</v>
      </c>
      <c r="F72" s="8">
        <v>1</v>
      </c>
      <c r="G72" s="8">
        <v>0.5</v>
      </c>
      <c r="H72" s="8">
        <v>1</v>
      </c>
      <c r="I72" s="9">
        <v>43070</v>
      </c>
      <c r="J72" s="9">
        <v>43070</v>
      </c>
      <c r="K72" s="10">
        <v>20</v>
      </c>
      <c r="L72" s="3" t="s">
        <v>37</v>
      </c>
      <c r="M72" s="9">
        <f t="shared" si="3"/>
        <v>43070</v>
      </c>
      <c r="N72" s="9">
        <f t="shared" si="4"/>
        <v>43678</v>
      </c>
      <c r="O72" s="29">
        <f>VLOOKUP(B72,PROYECTO!A:H,8,0)</f>
        <v>0</v>
      </c>
      <c r="P72" s="9">
        <f t="array" ref="P72">MAX(MAX(IF($B:$B=B72,$N:$N)),MAX(IF(B72=HONORARIOS!B:B,HONORARIOS!M:M)))</f>
        <v>43891</v>
      </c>
      <c r="Q72" s="29">
        <f t="shared" si="5"/>
        <v>20</v>
      </c>
    </row>
    <row r="73" spans="2:17" x14ac:dyDescent="0.25">
      <c r="B73" s="5">
        <v>1802</v>
      </c>
      <c r="C73" s="3" t="s">
        <v>26</v>
      </c>
      <c r="D73" s="29">
        <v>4387000</v>
      </c>
      <c r="E73" s="7">
        <v>2017</v>
      </c>
      <c r="F73" s="8">
        <v>1</v>
      </c>
      <c r="G73" s="8">
        <v>0.5</v>
      </c>
      <c r="H73" s="8">
        <v>1</v>
      </c>
      <c r="I73" s="9">
        <v>43070</v>
      </c>
      <c r="J73" s="9">
        <v>43070</v>
      </c>
      <c r="K73" s="10">
        <v>25</v>
      </c>
      <c r="L73" s="3" t="s">
        <v>37</v>
      </c>
      <c r="M73" s="9">
        <f t="shared" si="3"/>
        <v>43070</v>
      </c>
      <c r="N73" s="9">
        <f t="shared" si="4"/>
        <v>43831</v>
      </c>
      <c r="O73" s="29">
        <f>VLOOKUP(B73,PROYECTO!A:H,8,0)</f>
        <v>0</v>
      </c>
      <c r="P73" s="9">
        <f t="array" ref="P73">MAX(MAX(IF($B:$B=B73,$N:$N)),MAX(IF(B73=HONORARIOS!B:B,HONORARIOS!M:M)))</f>
        <v>43891</v>
      </c>
      <c r="Q73" s="29">
        <f t="shared" si="5"/>
        <v>25</v>
      </c>
    </row>
    <row r="74" spans="2:17" x14ac:dyDescent="0.25">
      <c r="B74" s="5">
        <v>1818</v>
      </c>
      <c r="C74" s="3" t="s">
        <v>19</v>
      </c>
      <c r="D74" s="29">
        <v>8780000</v>
      </c>
      <c r="E74" s="7">
        <v>2017</v>
      </c>
      <c r="F74" s="8">
        <v>0.2</v>
      </c>
      <c r="G74" s="8">
        <v>0.62</v>
      </c>
      <c r="H74" s="8">
        <v>1</v>
      </c>
      <c r="I74" s="9">
        <v>43282</v>
      </c>
      <c r="J74" s="9">
        <v>43282</v>
      </c>
      <c r="K74" s="10">
        <v>6</v>
      </c>
      <c r="L74" s="3" t="s">
        <v>130</v>
      </c>
      <c r="M74" s="9">
        <f t="shared" si="3"/>
        <v>43282</v>
      </c>
      <c r="N74" s="9">
        <f t="shared" si="4"/>
        <v>43466</v>
      </c>
      <c r="O74" s="29">
        <f>VLOOKUP(B74,PROYECTO!A:H,8,0)</f>
        <v>0</v>
      </c>
      <c r="P74" s="9">
        <f t="array" ref="P74">MAX(MAX(IF($B:$B=B74,$N:$N)),MAX(IF(B74=HONORARIOS!B:B,HONORARIOS!M:M)))</f>
        <v>43831</v>
      </c>
      <c r="Q74" s="29">
        <f t="shared" si="5"/>
        <v>6</v>
      </c>
    </row>
    <row r="75" spans="2:17" x14ac:dyDescent="0.25">
      <c r="B75" s="5">
        <v>1818</v>
      </c>
      <c r="C75" s="3" t="s">
        <v>19</v>
      </c>
      <c r="D75" s="29">
        <v>8780000</v>
      </c>
      <c r="E75" s="7">
        <v>2017</v>
      </c>
      <c r="F75" s="8">
        <v>0.3</v>
      </c>
      <c r="G75" s="8">
        <v>0.62</v>
      </c>
      <c r="H75" s="8">
        <v>1</v>
      </c>
      <c r="I75" s="9">
        <v>43466</v>
      </c>
      <c r="J75" s="9"/>
      <c r="K75" s="10">
        <v>12</v>
      </c>
      <c r="L75" s="3" t="s">
        <v>131</v>
      </c>
      <c r="M75" s="9">
        <f t="shared" si="3"/>
        <v>43466</v>
      </c>
      <c r="N75" s="9">
        <f t="shared" si="4"/>
        <v>43831</v>
      </c>
      <c r="O75" s="29">
        <f>VLOOKUP(B75,PROYECTO!A:H,8,0)</f>
        <v>0</v>
      </c>
      <c r="P75" s="9">
        <f t="array" ref="P75">MAX(MAX(IF($B:$B=B75,$N:$N)),MAX(IF(B75=HONORARIOS!B:B,HONORARIOS!M:M)))</f>
        <v>43831</v>
      </c>
      <c r="Q75" s="29">
        <f t="shared" si="5"/>
        <v>12</v>
      </c>
    </row>
    <row r="76" spans="2:17" x14ac:dyDescent="0.25">
      <c r="B76" s="5">
        <v>1818</v>
      </c>
      <c r="C76" s="3" t="s">
        <v>12</v>
      </c>
      <c r="D76" s="29">
        <v>5050000</v>
      </c>
      <c r="E76" s="7">
        <v>2017</v>
      </c>
      <c r="F76" s="8">
        <v>1</v>
      </c>
      <c r="G76" s="8">
        <v>0.5</v>
      </c>
      <c r="H76" s="8">
        <v>1</v>
      </c>
      <c r="I76" s="9">
        <v>43466</v>
      </c>
      <c r="J76" s="9"/>
      <c r="K76" s="10">
        <v>12</v>
      </c>
      <c r="L76" s="3" t="s">
        <v>131</v>
      </c>
      <c r="M76" s="9">
        <f t="shared" si="3"/>
        <v>43466</v>
      </c>
      <c r="N76" s="9">
        <f t="shared" si="4"/>
        <v>43831</v>
      </c>
      <c r="O76" s="29">
        <f>VLOOKUP(B76,PROYECTO!A:H,8,0)</f>
        <v>0</v>
      </c>
      <c r="P76" s="9">
        <f t="array" ref="P76">MAX(MAX(IF($B:$B=B76,$N:$N)),MAX(IF(B76=HONORARIOS!B:B,HONORARIOS!M:M)))</f>
        <v>43831</v>
      </c>
      <c r="Q76" s="29">
        <f t="shared" si="5"/>
        <v>12</v>
      </c>
    </row>
    <row r="77" spans="2:17" x14ac:dyDescent="0.25">
      <c r="B77" s="5">
        <v>1818</v>
      </c>
      <c r="C77" s="3" t="s">
        <v>132</v>
      </c>
      <c r="D77" s="29">
        <v>4750000</v>
      </c>
      <c r="E77" s="7">
        <v>2017</v>
      </c>
      <c r="F77" s="8">
        <v>0.3</v>
      </c>
      <c r="G77" s="8">
        <v>0.5</v>
      </c>
      <c r="H77" s="8">
        <v>1</v>
      </c>
      <c r="I77" s="9">
        <v>43466</v>
      </c>
      <c r="J77" s="9"/>
      <c r="K77" s="10">
        <v>6</v>
      </c>
      <c r="L77" s="3" t="s">
        <v>131</v>
      </c>
      <c r="M77" s="9">
        <f t="shared" si="3"/>
        <v>43466</v>
      </c>
      <c r="N77" s="9">
        <f t="shared" si="4"/>
        <v>43647</v>
      </c>
      <c r="O77" s="29">
        <f>VLOOKUP(B77,PROYECTO!A:H,8,0)</f>
        <v>0</v>
      </c>
      <c r="P77" s="9">
        <f t="array" ref="P77">MAX(MAX(IF($B:$B=B77,$N:$N)),MAX(IF(B77=HONORARIOS!B:B,HONORARIOS!M:M)))</f>
        <v>43831</v>
      </c>
      <c r="Q77" s="29">
        <f t="shared" si="5"/>
        <v>6</v>
      </c>
    </row>
    <row r="78" spans="2:17" x14ac:dyDescent="0.25">
      <c r="B78" s="5">
        <v>1818</v>
      </c>
      <c r="C78" s="3" t="s">
        <v>38</v>
      </c>
      <c r="D78" s="29">
        <v>2160000</v>
      </c>
      <c r="E78" s="7">
        <v>2017</v>
      </c>
      <c r="F78" s="8">
        <v>1</v>
      </c>
      <c r="G78" s="8">
        <v>0.59</v>
      </c>
      <c r="H78" s="8">
        <v>1</v>
      </c>
      <c r="I78" s="9">
        <v>43466</v>
      </c>
      <c r="J78" s="9"/>
      <c r="K78" s="10">
        <v>11</v>
      </c>
      <c r="L78" s="3" t="s">
        <v>131</v>
      </c>
      <c r="M78" s="9">
        <f t="shared" si="3"/>
        <v>43466</v>
      </c>
      <c r="N78" s="9">
        <f t="shared" si="4"/>
        <v>43800</v>
      </c>
      <c r="O78" s="29">
        <f>VLOOKUP(B78,PROYECTO!A:H,8,0)</f>
        <v>0</v>
      </c>
      <c r="P78" s="9">
        <f t="array" ref="P78">MAX(MAX(IF($B:$B=B78,$N:$N)),MAX(IF(B78=HONORARIOS!B:B,HONORARIOS!M:M)))</f>
        <v>43831</v>
      </c>
      <c r="Q78" s="29">
        <f t="shared" si="5"/>
        <v>11</v>
      </c>
    </row>
    <row r="79" spans="2:17" x14ac:dyDescent="0.25">
      <c r="B79" s="5">
        <v>1818</v>
      </c>
      <c r="C79" s="3" t="s">
        <v>16</v>
      </c>
      <c r="D79" s="29">
        <v>2330000</v>
      </c>
      <c r="E79" s="7">
        <v>2017</v>
      </c>
      <c r="F79" s="8">
        <v>0.5</v>
      </c>
      <c r="G79" s="8">
        <v>0.5</v>
      </c>
      <c r="H79" s="8">
        <v>1</v>
      </c>
      <c r="I79" s="9">
        <v>43282</v>
      </c>
      <c r="J79" s="9"/>
      <c r="K79" s="10">
        <v>3</v>
      </c>
      <c r="L79" s="3" t="s">
        <v>133</v>
      </c>
      <c r="M79" s="9">
        <f t="shared" si="3"/>
        <v>43282</v>
      </c>
      <c r="N79" s="9">
        <f t="shared" si="4"/>
        <v>43374</v>
      </c>
      <c r="O79" s="29">
        <f>VLOOKUP(B79,PROYECTO!A:H,8,0)</f>
        <v>0</v>
      </c>
      <c r="P79" s="9">
        <f t="array" ref="P79">MAX(MAX(IF($B:$B=B79,$N:$N)),MAX(IF(B79=HONORARIOS!B:B,HONORARIOS!M:M)))</f>
        <v>43831</v>
      </c>
      <c r="Q79" s="29">
        <f t="shared" si="5"/>
        <v>3</v>
      </c>
    </row>
    <row r="80" spans="2:17" x14ac:dyDescent="0.25">
      <c r="B80" s="5">
        <v>1818</v>
      </c>
      <c r="C80" s="3" t="s">
        <v>125</v>
      </c>
      <c r="D80" s="29">
        <v>3100000</v>
      </c>
      <c r="E80" s="7">
        <v>2017</v>
      </c>
      <c r="F80" s="8">
        <v>1</v>
      </c>
      <c r="G80" s="8">
        <v>0.5</v>
      </c>
      <c r="H80" s="8">
        <v>1</v>
      </c>
      <c r="I80" s="9">
        <v>43282</v>
      </c>
      <c r="J80" s="9">
        <v>43290</v>
      </c>
      <c r="K80" s="10">
        <v>6</v>
      </c>
      <c r="L80" s="3" t="s">
        <v>130</v>
      </c>
      <c r="M80" s="9">
        <f t="shared" si="3"/>
        <v>43282</v>
      </c>
      <c r="N80" s="9">
        <f t="shared" si="4"/>
        <v>43466</v>
      </c>
      <c r="O80" s="29">
        <f>VLOOKUP(B80,PROYECTO!A:H,8,0)</f>
        <v>0</v>
      </c>
      <c r="P80" s="9">
        <f t="array" ref="P80">MAX(MAX(IF($B:$B=B80,$N:$N)),MAX(IF(B80=HONORARIOS!B:B,HONORARIOS!M:M)))</f>
        <v>43831</v>
      </c>
      <c r="Q80" s="29">
        <f t="shared" si="5"/>
        <v>6</v>
      </c>
    </row>
    <row r="81" spans="2:17" x14ac:dyDescent="0.25">
      <c r="B81" s="5">
        <v>1818</v>
      </c>
      <c r="C81" s="3" t="s">
        <v>39</v>
      </c>
      <c r="D81" s="29">
        <v>2330000</v>
      </c>
      <c r="E81" s="7">
        <v>2017</v>
      </c>
      <c r="F81" s="8">
        <v>1</v>
      </c>
      <c r="G81" s="8">
        <v>0.5</v>
      </c>
      <c r="H81" s="8">
        <v>1</v>
      </c>
      <c r="I81" s="9">
        <v>43466</v>
      </c>
      <c r="J81" s="9"/>
      <c r="K81" s="10">
        <v>12</v>
      </c>
      <c r="L81" s="3" t="s">
        <v>131</v>
      </c>
      <c r="M81" s="9">
        <f t="shared" ref="M81:M144" si="6">(MONTH(I81)&amp;"-"&amp;YEAR(I81))*1</f>
        <v>43466</v>
      </c>
      <c r="N81" s="9">
        <f t="shared" si="4"/>
        <v>43831</v>
      </c>
      <c r="O81" s="29">
        <f>VLOOKUP(B81,PROYECTO!A:H,8,0)</f>
        <v>0</v>
      </c>
      <c r="P81" s="9">
        <f t="array" ref="P81">MAX(MAX(IF($B:$B=B81,$N:$N)),MAX(IF(B81=HONORARIOS!B:B,HONORARIOS!M:M)))</f>
        <v>43831</v>
      </c>
      <c r="Q81" s="29">
        <f t="shared" si="5"/>
        <v>12</v>
      </c>
    </row>
    <row r="82" spans="2:17" x14ac:dyDescent="0.25">
      <c r="B82" s="5">
        <v>1829</v>
      </c>
      <c r="C82" s="3" t="s">
        <v>19</v>
      </c>
      <c r="D82" s="29">
        <v>11204220</v>
      </c>
      <c r="E82" s="7">
        <v>2018</v>
      </c>
      <c r="F82" s="8">
        <v>0.2</v>
      </c>
      <c r="G82" s="8">
        <v>0.62</v>
      </c>
      <c r="H82" s="8">
        <v>1</v>
      </c>
      <c r="I82" s="9">
        <v>43168</v>
      </c>
      <c r="J82" s="9">
        <v>43168</v>
      </c>
      <c r="K82" s="10">
        <v>28</v>
      </c>
      <c r="L82" s="3" t="s">
        <v>138</v>
      </c>
      <c r="M82" s="9">
        <f t="shared" si="6"/>
        <v>43160</v>
      </c>
      <c r="N82" s="9">
        <f t="shared" si="4"/>
        <v>44013</v>
      </c>
      <c r="O82" s="29">
        <f>VLOOKUP(B82,PROYECTO!A:H,8,0)</f>
        <v>0</v>
      </c>
      <c r="P82" s="9">
        <f t="array" ref="P82">MAX(MAX(IF($B:$B=B82,$N:$N)),MAX(IF(B82=HONORARIOS!B:B,HONORARIOS!M:M)))</f>
        <v>44021</v>
      </c>
      <c r="Q82" s="29">
        <f t="shared" si="5"/>
        <v>28</v>
      </c>
    </row>
    <row r="83" spans="2:17" x14ac:dyDescent="0.25">
      <c r="B83" s="5">
        <v>1829</v>
      </c>
      <c r="C83" s="3" t="s">
        <v>139</v>
      </c>
      <c r="D83" s="29">
        <v>4765500</v>
      </c>
      <c r="E83" s="7">
        <v>2018</v>
      </c>
      <c r="F83" s="8">
        <v>1</v>
      </c>
      <c r="G83" s="8">
        <v>0.5</v>
      </c>
      <c r="H83" s="8">
        <v>1</v>
      </c>
      <c r="I83" s="9">
        <v>43168</v>
      </c>
      <c r="J83" s="9">
        <v>43256</v>
      </c>
      <c r="K83" s="10">
        <v>27</v>
      </c>
      <c r="L83" s="3" t="s">
        <v>138</v>
      </c>
      <c r="M83" s="9">
        <f t="shared" si="6"/>
        <v>43160</v>
      </c>
      <c r="N83" s="9">
        <f t="shared" si="4"/>
        <v>43983</v>
      </c>
      <c r="O83" s="29">
        <f>VLOOKUP(B83,PROYECTO!A:H,8,0)</f>
        <v>0</v>
      </c>
      <c r="P83" s="9">
        <f t="array" ref="P83">MAX(MAX(IF($B:$B=B83,$N:$N)),MAX(IF(B83=HONORARIOS!B:B,HONORARIOS!M:M)))</f>
        <v>44021</v>
      </c>
      <c r="Q83" s="29">
        <f t="shared" si="5"/>
        <v>27</v>
      </c>
    </row>
    <row r="84" spans="2:17" x14ac:dyDescent="0.25">
      <c r="B84" s="5">
        <v>1829</v>
      </c>
      <c r="C84" s="3" t="s">
        <v>12</v>
      </c>
      <c r="D84" s="29">
        <v>10865340</v>
      </c>
      <c r="E84" s="7">
        <v>2018</v>
      </c>
      <c r="F84" s="8">
        <v>1</v>
      </c>
      <c r="G84" s="8">
        <v>0.5</v>
      </c>
      <c r="H84" s="8">
        <v>1</v>
      </c>
      <c r="I84" s="9">
        <v>43168</v>
      </c>
      <c r="J84" s="9">
        <v>43208</v>
      </c>
      <c r="K84" s="10">
        <v>28</v>
      </c>
      <c r="L84" s="3" t="s">
        <v>138</v>
      </c>
      <c r="M84" s="9">
        <f t="shared" si="6"/>
        <v>43160</v>
      </c>
      <c r="N84" s="9">
        <f t="shared" si="4"/>
        <v>44013</v>
      </c>
      <c r="O84" s="29">
        <f>VLOOKUP(B84,PROYECTO!A:H,8,0)</f>
        <v>0</v>
      </c>
      <c r="P84" s="9">
        <f t="array" ref="P84">MAX(MAX(IF($B:$B=B84,$N:$N)),MAX(IF(B84=HONORARIOS!B:B,HONORARIOS!M:M)))</f>
        <v>44021</v>
      </c>
      <c r="Q84" s="29">
        <f t="shared" si="5"/>
        <v>28</v>
      </c>
    </row>
    <row r="85" spans="2:17" x14ac:dyDescent="0.25">
      <c r="B85" s="5">
        <v>1829</v>
      </c>
      <c r="C85" s="3" t="s">
        <v>140</v>
      </c>
      <c r="D85" s="29">
        <v>3695910</v>
      </c>
      <c r="E85" s="7">
        <v>2018</v>
      </c>
      <c r="F85" s="8">
        <v>1</v>
      </c>
      <c r="G85" s="8">
        <v>0.5</v>
      </c>
      <c r="H85" s="8">
        <v>1</v>
      </c>
      <c r="I85" s="9">
        <v>43168</v>
      </c>
      <c r="J85" s="9">
        <v>43423</v>
      </c>
      <c r="K85" s="10">
        <v>22</v>
      </c>
      <c r="L85" s="3" t="s">
        <v>141</v>
      </c>
      <c r="M85" s="9">
        <f t="shared" si="6"/>
        <v>43160</v>
      </c>
      <c r="N85" s="9">
        <f t="shared" si="4"/>
        <v>43831</v>
      </c>
      <c r="O85" s="29">
        <f>VLOOKUP(B85,PROYECTO!A:H,8,0)</f>
        <v>0</v>
      </c>
      <c r="P85" s="9">
        <f t="array" ref="P85">MAX(MAX(IF($B:$B=B85,$N:$N)),MAX(IF(B85=HONORARIOS!B:B,HONORARIOS!M:M)))</f>
        <v>44021</v>
      </c>
      <c r="Q85" s="29">
        <f t="shared" si="5"/>
        <v>22</v>
      </c>
    </row>
    <row r="86" spans="2:17" x14ac:dyDescent="0.25">
      <c r="B86" s="5">
        <v>1829</v>
      </c>
      <c r="C86" s="3" t="s">
        <v>142</v>
      </c>
      <c r="D86" s="29">
        <v>2488650</v>
      </c>
      <c r="E86" s="7">
        <v>2018</v>
      </c>
      <c r="F86" s="8">
        <v>1</v>
      </c>
      <c r="G86" s="8">
        <v>0.59</v>
      </c>
      <c r="H86" s="8">
        <v>1</v>
      </c>
      <c r="I86" s="9">
        <v>43168</v>
      </c>
      <c r="J86" s="9">
        <v>43276</v>
      </c>
      <c r="K86" s="10">
        <v>24</v>
      </c>
      <c r="L86" s="3" t="s">
        <v>138</v>
      </c>
      <c r="M86" s="9">
        <f t="shared" si="6"/>
        <v>43160</v>
      </c>
      <c r="N86" s="9">
        <f t="shared" si="4"/>
        <v>43891</v>
      </c>
      <c r="O86" s="29">
        <f>VLOOKUP(B86,PROYECTO!A:H,8,0)</f>
        <v>0</v>
      </c>
      <c r="P86" s="9">
        <f t="array" ref="P86">MAX(MAX(IF($B:$B=B86,$N:$N)),MAX(IF(B86=HONORARIOS!B:B,HONORARIOS!M:M)))</f>
        <v>44021</v>
      </c>
      <c r="Q86" s="29">
        <f t="shared" si="5"/>
        <v>24</v>
      </c>
    </row>
    <row r="87" spans="2:17" x14ac:dyDescent="0.25">
      <c r="B87" s="5">
        <v>1829</v>
      </c>
      <c r="C87" s="3" t="s">
        <v>59</v>
      </c>
      <c r="D87" s="29">
        <v>1059000</v>
      </c>
      <c r="E87" s="7">
        <v>2018</v>
      </c>
      <c r="F87" s="8">
        <v>1</v>
      </c>
      <c r="G87" s="8">
        <v>0.5</v>
      </c>
      <c r="H87" s="8">
        <v>1</v>
      </c>
      <c r="I87" s="9">
        <v>43168</v>
      </c>
      <c r="J87" s="9">
        <v>43405</v>
      </c>
      <c r="K87" s="10">
        <v>26</v>
      </c>
      <c r="L87" s="3" t="s">
        <v>138</v>
      </c>
      <c r="M87" s="9">
        <f t="shared" si="6"/>
        <v>43160</v>
      </c>
      <c r="N87" s="9">
        <f t="shared" si="4"/>
        <v>43952</v>
      </c>
      <c r="O87" s="29">
        <f>VLOOKUP(B87,PROYECTO!A:H,8,0)</f>
        <v>0</v>
      </c>
      <c r="P87" s="9">
        <f t="array" ref="P87">MAX(MAX(IF($B:$B=B87,$N:$N)),MAX(IF(B87=HONORARIOS!B:B,HONORARIOS!M:M)))</f>
        <v>44021</v>
      </c>
      <c r="Q87" s="29">
        <f t="shared" si="5"/>
        <v>26</v>
      </c>
    </row>
    <row r="88" spans="2:17" x14ac:dyDescent="0.25">
      <c r="B88" s="5">
        <v>1829</v>
      </c>
      <c r="C88" s="3" t="s">
        <v>39</v>
      </c>
      <c r="D88" s="29">
        <v>2467470</v>
      </c>
      <c r="E88" s="7">
        <v>2018</v>
      </c>
      <c r="F88" s="8">
        <v>1</v>
      </c>
      <c r="G88" s="8">
        <v>0.5</v>
      </c>
      <c r="H88" s="8">
        <v>1</v>
      </c>
      <c r="I88" s="9">
        <v>43168</v>
      </c>
      <c r="J88" s="9">
        <v>43241</v>
      </c>
      <c r="K88" s="10">
        <v>28</v>
      </c>
      <c r="L88" s="3" t="s">
        <v>138</v>
      </c>
      <c r="M88" s="9">
        <f t="shared" si="6"/>
        <v>43160</v>
      </c>
      <c r="N88" s="9">
        <f t="shared" si="4"/>
        <v>44013</v>
      </c>
      <c r="O88" s="29">
        <f>VLOOKUP(B88,PROYECTO!A:H,8,0)</f>
        <v>0</v>
      </c>
      <c r="P88" s="9">
        <f t="array" ref="P88">MAX(MAX(IF($B:$B=B88,$N:$N)),MAX(IF(B88=HONORARIOS!B:B,HONORARIOS!M:M)))</f>
        <v>44021</v>
      </c>
      <c r="Q88" s="29">
        <f t="shared" si="5"/>
        <v>28</v>
      </c>
    </row>
    <row r="89" spans="2:17" x14ac:dyDescent="0.25">
      <c r="B89" s="5">
        <v>1829</v>
      </c>
      <c r="C89" s="3" t="s">
        <v>136</v>
      </c>
      <c r="D89" s="29">
        <v>3812400</v>
      </c>
      <c r="E89" s="7">
        <v>2018</v>
      </c>
      <c r="F89" s="8">
        <v>1</v>
      </c>
      <c r="G89" s="8">
        <v>0.5</v>
      </c>
      <c r="H89" s="8">
        <v>1</v>
      </c>
      <c r="I89" s="9">
        <v>43168</v>
      </c>
      <c r="J89" s="9">
        <v>43235</v>
      </c>
      <c r="K89" s="10">
        <v>25</v>
      </c>
      <c r="L89" s="3" t="s">
        <v>138</v>
      </c>
      <c r="M89" s="9">
        <f t="shared" si="6"/>
        <v>43160</v>
      </c>
      <c r="N89" s="9">
        <f t="shared" si="4"/>
        <v>43922</v>
      </c>
      <c r="O89" s="29">
        <f>VLOOKUP(B89,PROYECTO!A:H,8,0)</f>
        <v>0</v>
      </c>
      <c r="P89" s="9">
        <f t="array" ref="P89">MAX(MAX(IF($B:$B=B89,$N:$N)),MAX(IF(B89=HONORARIOS!B:B,HONORARIOS!M:M)))</f>
        <v>44021</v>
      </c>
      <c r="Q89" s="29">
        <f t="shared" si="5"/>
        <v>25</v>
      </c>
    </row>
    <row r="90" spans="2:17" x14ac:dyDescent="0.25">
      <c r="B90" s="5">
        <v>1838</v>
      </c>
      <c r="C90" s="3" t="s">
        <v>144</v>
      </c>
      <c r="D90" s="29">
        <v>1560000</v>
      </c>
      <c r="E90" s="7">
        <v>2017</v>
      </c>
      <c r="F90" s="8">
        <v>0.5</v>
      </c>
      <c r="G90" s="8">
        <v>0.5</v>
      </c>
      <c r="H90" s="8">
        <v>1</v>
      </c>
      <c r="I90" s="9">
        <v>43405</v>
      </c>
      <c r="J90" s="9"/>
      <c r="K90" s="10">
        <v>5</v>
      </c>
      <c r="L90" s="3"/>
      <c r="M90" s="9">
        <f t="shared" si="6"/>
        <v>43405</v>
      </c>
      <c r="N90" s="9">
        <f t="shared" si="4"/>
        <v>43556</v>
      </c>
      <c r="O90" s="29">
        <f>VLOOKUP(B90,PROYECTO!A:H,8,0)</f>
        <v>0</v>
      </c>
      <c r="P90" s="9">
        <f t="array" ref="P90">MAX(MAX(IF($B:$B=B90,$N:$N)),MAX(IF(B90=HONORARIOS!B:B,HONORARIOS!M:M)))</f>
        <v>43556</v>
      </c>
      <c r="Q90" s="29">
        <f t="shared" si="5"/>
        <v>5</v>
      </c>
    </row>
    <row r="91" spans="2:17" x14ac:dyDescent="0.25">
      <c r="B91" s="5">
        <v>1838</v>
      </c>
      <c r="C91" s="3" t="s">
        <v>83</v>
      </c>
      <c r="D91" s="29">
        <v>6830000</v>
      </c>
      <c r="E91" s="7">
        <v>2017</v>
      </c>
      <c r="F91" s="8">
        <v>0.1</v>
      </c>
      <c r="G91" s="8">
        <v>0.5</v>
      </c>
      <c r="H91" s="8">
        <v>1</v>
      </c>
      <c r="I91" s="9">
        <v>43405</v>
      </c>
      <c r="J91" s="9"/>
      <c r="K91" s="10">
        <v>5</v>
      </c>
      <c r="L91" s="3"/>
      <c r="M91" s="9">
        <f t="shared" si="6"/>
        <v>43405</v>
      </c>
      <c r="N91" s="9">
        <f t="shared" si="4"/>
        <v>43556</v>
      </c>
      <c r="O91" s="29">
        <f>VLOOKUP(B91,PROYECTO!A:H,8,0)</f>
        <v>0</v>
      </c>
      <c r="P91" s="9">
        <f t="array" ref="P91">MAX(MAX(IF($B:$B=B91,$N:$N)),MAX(IF(B91=HONORARIOS!B:B,HONORARIOS!M:M)))</f>
        <v>43556</v>
      </c>
      <c r="Q91" s="29">
        <f t="shared" si="5"/>
        <v>5</v>
      </c>
    </row>
    <row r="92" spans="2:17" x14ac:dyDescent="0.25">
      <c r="B92" s="5">
        <v>1838</v>
      </c>
      <c r="C92" s="3" t="s">
        <v>119</v>
      </c>
      <c r="D92" s="29">
        <v>4600000</v>
      </c>
      <c r="E92" s="7">
        <v>2017</v>
      </c>
      <c r="F92" s="8">
        <v>1</v>
      </c>
      <c r="G92" s="8">
        <v>0.5</v>
      </c>
      <c r="H92" s="8">
        <v>1</v>
      </c>
      <c r="I92" s="9">
        <v>43405</v>
      </c>
      <c r="J92" s="9"/>
      <c r="K92" s="10">
        <v>5</v>
      </c>
      <c r="L92" s="3"/>
      <c r="M92" s="9">
        <f t="shared" si="6"/>
        <v>43405</v>
      </c>
      <c r="N92" s="9">
        <f t="shared" si="4"/>
        <v>43556</v>
      </c>
      <c r="O92" s="29">
        <f>VLOOKUP(B92,PROYECTO!A:H,8,0)</f>
        <v>0</v>
      </c>
      <c r="P92" s="9">
        <f t="array" ref="P92">MAX(MAX(IF($B:$B=B92,$N:$N)),MAX(IF(B92=HONORARIOS!B:B,HONORARIOS!M:M)))</f>
        <v>43556</v>
      </c>
      <c r="Q92" s="29">
        <f t="shared" si="5"/>
        <v>5</v>
      </c>
    </row>
    <row r="93" spans="2:17" x14ac:dyDescent="0.25">
      <c r="B93" s="5">
        <v>1846</v>
      </c>
      <c r="C93" s="3" t="s">
        <v>145</v>
      </c>
      <c r="D93" s="29">
        <v>2400000</v>
      </c>
      <c r="E93" s="7">
        <v>2018</v>
      </c>
      <c r="F93" s="8">
        <v>1</v>
      </c>
      <c r="G93" s="8">
        <v>0.5</v>
      </c>
      <c r="H93" s="8">
        <v>1</v>
      </c>
      <c r="I93" s="9">
        <v>43466</v>
      </c>
      <c r="J93" s="9"/>
      <c r="K93" s="10">
        <v>3</v>
      </c>
      <c r="L93" s="3" t="s">
        <v>279</v>
      </c>
      <c r="M93" s="9">
        <f t="shared" si="6"/>
        <v>43466</v>
      </c>
      <c r="N93" s="9">
        <f t="shared" si="4"/>
        <v>43556</v>
      </c>
      <c r="O93" s="29">
        <f>VLOOKUP(B93,PROYECTO!A:H,8,0)</f>
        <v>0</v>
      </c>
      <c r="P93" s="9">
        <f t="array" ref="P93">MAX(MAX(IF($B:$B=B93,$N:$N)),MAX(IF(B93=HONORARIOS!B:B,HONORARIOS!M:M)))</f>
        <v>43617</v>
      </c>
      <c r="Q93" s="29">
        <f t="shared" si="5"/>
        <v>3</v>
      </c>
    </row>
    <row r="94" spans="2:17" x14ac:dyDescent="0.25">
      <c r="B94" s="5">
        <v>1846</v>
      </c>
      <c r="C94" s="3" t="s">
        <v>146</v>
      </c>
      <c r="D94" s="29">
        <v>3450000</v>
      </c>
      <c r="E94" s="7">
        <v>2018</v>
      </c>
      <c r="F94" s="8">
        <v>1</v>
      </c>
      <c r="G94" s="8">
        <v>0.62</v>
      </c>
      <c r="H94" s="8">
        <v>1</v>
      </c>
      <c r="I94" s="9">
        <v>43466</v>
      </c>
      <c r="J94" s="9"/>
      <c r="K94" s="10">
        <v>3</v>
      </c>
      <c r="L94" s="3" t="s">
        <v>279</v>
      </c>
      <c r="M94" s="9">
        <f t="shared" si="6"/>
        <v>43466</v>
      </c>
      <c r="N94" s="9">
        <f t="shared" si="4"/>
        <v>43556</v>
      </c>
      <c r="O94" s="29">
        <f>VLOOKUP(B94,PROYECTO!A:H,8,0)</f>
        <v>0</v>
      </c>
      <c r="P94" s="9">
        <f t="array" ref="P94">MAX(MAX(IF($B:$B=B94,$N:$N)),MAX(IF(B94=HONORARIOS!B:B,HONORARIOS!M:M)))</f>
        <v>43617</v>
      </c>
      <c r="Q94" s="29">
        <f t="shared" si="5"/>
        <v>3</v>
      </c>
    </row>
    <row r="95" spans="2:17" x14ac:dyDescent="0.25">
      <c r="B95" s="5">
        <v>1846</v>
      </c>
      <c r="C95" s="3" t="s">
        <v>147</v>
      </c>
      <c r="D95" s="29">
        <v>975000</v>
      </c>
      <c r="E95" s="7">
        <v>2018</v>
      </c>
      <c r="F95" s="8">
        <v>1</v>
      </c>
      <c r="G95" s="8">
        <v>0.5</v>
      </c>
      <c r="H95" s="8">
        <v>1</v>
      </c>
      <c r="I95" s="9">
        <v>43525</v>
      </c>
      <c r="J95" s="9"/>
      <c r="K95" s="10">
        <v>1</v>
      </c>
      <c r="L95" s="3" t="s">
        <v>279</v>
      </c>
      <c r="M95" s="9">
        <f t="shared" si="6"/>
        <v>43525</v>
      </c>
      <c r="N95" s="9">
        <f t="shared" si="4"/>
        <v>43556</v>
      </c>
      <c r="O95" s="29">
        <f>VLOOKUP(B95,PROYECTO!A:H,8,0)</f>
        <v>0</v>
      </c>
      <c r="P95" s="9">
        <f t="array" ref="P95">MAX(MAX(IF($B:$B=B95,$N:$N)),MAX(IF(B95=HONORARIOS!B:B,HONORARIOS!M:M)))</f>
        <v>43617</v>
      </c>
      <c r="Q95" s="29">
        <f t="shared" si="5"/>
        <v>1</v>
      </c>
    </row>
    <row r="96" spans="2:17" x14ac:dyDescent="0.25">
      <c r="B96" s="5">
        <v>1846</v>
      </c>
      <c r="C96" s="3" t="s">
        <v>83</v>
      </c>
      <c r="D96" s="29">
        <v>11500000</v>
      </c>
      <c r="E96" s="7">
        <v>2018</v>
      </c>
      <c r="F96" s="8">
        <v>1</v>
      </c>
      <c r="G96" s="8">
        <v>0.62</v>
      </c>
      <c r="H96" s="8">
        <v>1</v>
      </c>
      <c r="I96" s="9">
        <v>43466</v>
      </c>
      <c r="J96" s="9"/>
      <c r="K96" s="10">
        <v>2</v>
      </c>
      <c r="L96" s="3" t="s">
        <v>279</v>
      </c>
      <c r="M96" s="9">
        <f t="shared" si="6"/>
        <v>43466</v>
      </c>
      <c r="N96" s="9">
        <f t="shared" si="4"/>
        <v>43525</v>
      </c>
      <c r="O96" s="29">
        <f>VLOOKUP(B96,PROYECTO!A:H,8,0)</f>
        <v>0</v>
      </c>
      <c r="P96" s="9">
        <f t="array" ref="P96">MAX(MAX(IF($B:$B=B96,$N:$N)),MAX(IF(B96=HONORARIOS!B:B,HONORARIOS!M:M)))</f>
        <v>43617</v>
      </c>
      <c r="Q96" s="29">
        <f t="shared" si="5"/>
        <v>2</v>
      </c>
    </row>
    <row r="97" spans="2:17" x14ac:dyDescent="0.25">
      <c r="B97" s="5">
        <v>1846</v>
      </c>
      <c r="C97" s="3" t="s">
        <v>148</v>
      </c>
      <c r="D97" s="29">
        <v>1800580</v>
      </c>
      <c r="E97" s="7">
        <v>2018</v>
      </c>
      <c r="F97" s="8">
        <v>1</v>
      </c>
      <c r="G97" s="8">
        <v>0.5</v>
      </c>
      <c r="H97" s="8">
        <v>1</v>
      </c>
      <c r="I97" s="9">
        <v>43466</v>
      </c>
      <c r="J97" s="9"/>
      <c r="K97" s="10">
        <v>2</v>
      </c>
      <c r="L97" s="3" t="s">
        <v>279</v>
      </c>
      <c r="M97" s="9">
        <f t="shared" si="6"/>
        <v>43466</v>
      </c>
      <c r="N97" s="9">
        <f t="shared" si="4"/>
        <v>43525</v>
      </c>
      <c r="O97" s="29">
        <f>VLOOKUP(B97,PROYECTO!A:H,8,0)</f>
        <v>0</v>
      </c>
      <c r="P97" s="9">
        <f t="array" ref="P97">MAX(MAX(IF($B:$B=B97,$N:$N)),MAX(IF(B97=HONORARIOS!B:B,HONORARIOS!M:M)))</f>
        <v>43617</v>
      </c>
      <c r="Q97" s="29">
        <f t="shared" si="5"/>
        <v>2</v>
      </c>
    </row>
    <row r="98" spans="2:17" x14ac:dyDescent="0.25">
      <c r="B98" s="5">
        <v>1846</v>
      </c>
      <c r="C98" s="3" t="s">
        <v>149</v>
      </c>
      <c r="D98" s="29">
        <v>3450000</v>
      </c>
      <c r="E98" s="7">
        <v>2018</v>
      </c>
      <c r="F98" s="8">
        <v>1</v>
      </c>
      <c r="G98" s="8">
        <v>0.62</v>
      </c>
      <c r="H98" s="8">
        <v>1</v>
      </c>
      <c r="I98" s="9">
        <v>43466</v>
      </c>
      <c r="J98" s="9"/>
      <c r="K98" s="10">
        <v>3</v>
      </c>
      <c r="L98" s="3" t="s">
        <v>279</v>
      </c>
      <c r="M98" s="9">
        <f t="shared" si="6"/>
        <v>43466</v>
      </c>
      <c r="N98" s="9">
        <f t="shared" si="4"/>
        <v>43556</v>
      </c>
      <c r="O98" s="29">
        <f>VLOOKUP(B98,PROYECTO!A:H,8,0)</f>
        <v>0</v>
      </c>
      <c r="P98" s="9">
        <f t="array" ref="P98">MAX(MAX(IF($B:$B=B98,$N:$N)),MAX(IF(B98=HONORARIOS!B:B,HONORARIOS!M:M)))</f>
        <v>43617</v>
      </c>
      <c r="Q98" s="29">
        <f t="shared" si="5"/>
        <v>3</v>
      </c>
    </row>
    <row r="99" spans="2:17" x14ac:dyDescent="0.25">
      <c r="B99" s="5">
        <v>1846</v>
      </c>
      <c r="C99" s="3" t="s">
        <v>150</v>
      </c>
      <c r="D99" s="29">
        <v>1607224</v>
      </c>
      <c r="E99" s="7">
        <v>2018</v>
      </c>
      <c r="F99" s="8">
        <v>1</v>
      </c>
      <c r="G99" s="8">
        <v>0.5</v>
      </c>
      <c r="H99" s="8">
        <v>1</v>
      </c>
      <c r="I99" s="9">
        <v>43466</v>
      </c>
      <c r="J99" s="9"/>
      <c r="K99" s="10">
        <v>3</v>
      </c>
      <c r="L99" s="3" t="s">
        <v>279</v>
      </c>
      <c r="M99" s="9">
        <f t="shared" si="6"/>
        <v>43466</v>
      </c>
      <c r="N99" s="9">
        <f t="shared" si="4"/>
        <v>43556</v>
      </c>
      <c r="O99" s="29">
        <f>VLOOKUP(B99,PROYECTO!A:H,8,0)</f>
        <v>0</v>
      </c>
      <c r="P99" s="9">
        <f t="array" ref="P99">MAX(MAX(IF($B:$B=B99,$N:$N)),MAX(IF(B99=HONORARIOS!B:B,HONORARIOS!M:M)))</f>
        <v>43617</v>
      </c>
      <c r="Q99" s="29">
        <f t="shared" si="5"/>
        <v>3</v>
      </c>
    </row>
    <row r="100" spans="2:17" x14ac:dyDescent="0.25">
      <c r="B100" s="5">
        <v>1846</v>
      </c>
      <c r="C100" s="3" t="s">
        <v>151</v>
      </c>
      <c r="D100" s="29">
        <v>2400000</v>
      </c>
      <c r="E100" s="7">
        <v>2018</v>
      </c>
      <c r="F100" s="8">
        <v>1</v>
      </c>
      <c r="G100" s="8">
        <v>0.5</v>
      </c>
      <c r="H100" s="8">
        <v>1</v>
      </c>
      <c r="I100" s="9">
        <v>43466</v>
      </c>
      <c r="J100" s="9"/>
      <c r="K100" s="10">
        <v>3</v>
      </c>
      <c r="L100" s="3" t="s">
        <v>279</v>
      </c>
      <c r="M100" s="9">
        <f t="shared" si="6"/>
        <v>43466</v>
      </c>
      <c r="N100" s="9">
        <f t="shared" si="4"/>
        <v>43556</v>
      </c>
      <c r="O100" s="29">
        <f>VLOOKUP(B100,PROYECTO!A:H,8,0)</f>
        <v>0</v>
      </c>
      <c r="P100" s="9">
        <f t="array" ref="P100">MAX(MAX(IF($B:$B=B100,$N:$N)),MAX(IF(B100=HONORARIOS!B:B,HONORARIOS!M:M)))</f>
        <v>43617</v>
      </c>
      <c r="Q100" s="29">
        <f t="shared" si="5"/>
        <v>3</v>
      </c>
    </row>
    <row r="101" spans="2:17" x14ac:dyDescent="0.25">
      <c r="B101" s="5">
        <v>1846</v>
      </c>
      <c r="C101" s="3" t="s">
        <v>152</v>
      </c>
      <c r="D101" s="29">
        <v>1380000</v>
      </c>
      <c r="E101" s="7">
        <v>2018</v>
      </c>
      <c r="F101" s="8">
        <v>1</v>
      </c>
      <c r="G101" s="8">
        <v>0.5</v>
      </c>
      <c r="H101" s="8">
        <v>1</v>
      </c>
      <c r="I101" s="9">
        <v>43466</v>
      </c>
      <c r="J101" s="9"/>
      <c r="K101" s="10">
        <v>3</v>
      </c>
      <c r="L101" s="3" t="s">
        <v>279</v>
      </c>
      <c r="M101" s="9">
        <f t="shared" si="6"/>
        <v>43466</v>
      </c>
      <c r="N101" s="9">
        <f t="shared" si="4"/>
        <v>43556</v>
      </c>
      <c r="O101" s="29">
        <f>VLOOKUP(B101,PROYECTO!A:H,8,0)</f>
        <v>0</v>
      </c>
      <c r="P101" s="9">
        <f t="array" ref="P101">MAX(MAX(IF($B:$B=B101,$N:$N)),MAX(IF(B101=HONORARIOS!B:B,HONORARIOS!M:M)))</f>
        <v>43617</v>
      </c>
      <c r="Q101" s="29">
        <f t="shared" si="5"/>
        <v>3</v>
      </c>
    </row>
    <row r="102" spans="2:17" x14ac:dyDescent="0.25">
      <c r="B102" s="5">
        <v>1846</v>
      </c>
      <c r="C102" s="3" t="s">
        <v>153</v>
      </c>
      <c r="D102" s="29">
        <v>3467000</v>
      </c>
      <c r="E102" s="7">
        <v>2018</v>
      </c>
      <c r="F102" s="8">
        <v>1</v>
      </c>
      <c r="G102" s="8">
        <v>0.5</v>
      </c>
      <c r="H102" s="8">
        <v>1</v>
      </c>
      <c r="I102" s="9">
        <v>43466</v>
      </c>
      <c r="J102" s="9"/>
      <c r="K102" s="10">
        <v>3</v>
      </c>
      <c r="L102" s="3" t="s">
        <v>279</v>
      </c>
      <c r="M102" s="9">
        <f t="shared" si="6"/>
        <v>43466</v>
      </c>
      <c r="N102" s="9">
        <f t="shared" si="4"/>
        <v>43556</v>
      </c>
      <c r="O102" s="29">
        <f>VLOOKUP(B102,PROYECTO!A:H,8,0)</f>
        <v>0</v>
      </c>
      <c r="P102" s="9">
        <f t="array" ref="P102">MAX(MAX(IF($B:$B=B102,$N:$N)),MAX(IF(B102=HONORARIOS!B:B,HONORARIOS!M:M)))</f>
        <v>43617</v>
      </c>
      <c r="Q102" s="29">
        <f t="shared" si="5"/>
        <v>3</v>
      </c>
    </row>
    <row r="103" spans="2:17" x14ac:dyDescent="0.25">
      <c r="B103" s="5">
        <v>1846</v>
      </c>
      <c r="C103" s="3" t="s">
        <v>154</v>
      </c>
      <c r="D103" s="29">
        <v>2040000</v>
      </c>
      <c r="E103" s="7">
        <v>2018</v>
      </c>
      <c r="F103" s="8">
        <v>1</v>
      </c>
      <c r="G103" s="8">
        <v>0.5</v>
      </c>
      <c r="H103" s="8">
        <v>1</v>
      </c>
      <c r="I103" s="9">
        <v>43466</v>
      </c>
      <c r="J103" s="9"/>
      <c r="K103" s="10">
        <v>3</v>
      </c>
      <c r="L103" s="3" t="s">
        <v>279</v>
      </c>
      <c r="M103" s="9">
        <f t="shared" si="6"/>
        <v>43466</v>
      </c>
      <c r="N103" s="9">
        <f t="shared" si="4"/>
        <v>43556</v>
      </c>
      <c r="O103" s="29">
        <f>VLOOKUP(B103,PROYECTO!A:H,8,0)</f>
        <v>0</v>
      </c>
      <c r="P103" s="9">
        <f t="array" ref="P103">MAX(MAX(IF($B:$B=B103,$N:$N)),MAX(IF(B103=HONORARIOS!B:B,HONORARIOS!M:M)))</f>
        <v>43617</v>
      </c>
      <c r="Q103" s="29">
        <f t="shared" si="5"/>
        <v>3</v>
      </c>
    </row>
    <row r="104" spans="2:17" x14ac:dyDescent="0.25">
      <c r="B104" s="5">
        <v>1846</v>
      </c>
      <c r="C104" s="3" t="s">
        <v>155</v>
      </c>
      <c r="D104" s="29">
        <v>1380000</v>
      </c>
      <c r="E104" s="7">
        <v>2018</v>
      </c>
      <c r="F104" s="8">
        <v>1</v>
      </c>
      <c r="G104" s="8">
        <v>0.5</v>
      </c>
      <c r="H104" s="8">
        <v>1</v>
      </c>
      <c r="I104" s="9">
        <v>43466</v>
      </c>
      <c r="J104" s="9"/>
      <c r="K104" s="10">
        <v>3</v>
      </c>
      <c r="L104" s="3" t="s">
        <v>279</v>
      </c>
      <c r="M104" s="9">
        <f t="shared" si="6"/>
        <v>43466</v>
      </c>
      <c r="N104" s="9">
        <f t="shared" si="4"/>
        <v>43556</v>
      </c>
      <c r="O104" s="29">
        <f>VLOOKUP(B104,PROYECTO!A:H,8,0)</f>
        <v>0</v>
      </c>
      <c r="P104" s="9">
        <f t="array" ref="P104">MAX(MAX(IF($B:$B=B104,$N:$N)),MAX(IF(B104=HONORARIOS!B:B,HONORARIOS!M:M)))</f>
        <v>43617</v>
      </c>
      <c r="Q104" s="29">
        <f t="shared" si="5"/>
        <v>3</v>
      </c>
    </row>
    <row r="105" spans="2:17" x14ac:dyDescent="0.25">
      <c r="B105" s="5">
        <v>1846</v>
      </c>
      <c r="C105" s="3" t="s">
        <v>156</v>
      </c>
      <c r="D105" s="29">
        <v>2400000</v>
      </c>
      <c r="E105" s="7">
        <v>2018</v>
      </c>
      <c r="F105" s="8">
        <v>1</v>
      </c>
      <c r="G105" s="8">
        <v>0.5</v>
      </c>
      <c r="H105" s="8">
        <v>1</v>
      </c>
      <c r="I105" s="9">
        <v>43466</v>
      </c>
      <c r="J105" s="9"/>
      <c r="K105" s="10">
        <v>3</v>
      </c>
      <c r="L105" s="3" t="s">
        <v>279</v>
      </c>
      <c r="M105" s="9">
        <f t="shared" si="6"/>
        <v>43466</v>
      </c>
      <c r="N105" s="9">
        <f t="shared" si="4"/>
        <v>43556</v>
      </c>
      <c r="O105" s="29">
        <f>VLOOKUP(B105,PROYECTO!A:H,8,0)</f>
        <v>0</v>
      </c>
      <c r="P105" s="9">
        <f t="array" ref="P105">MAX(MAX(IF($B:$B=B105,$N:$N)),MAX(IF(B105=HONORARIOS!B:B,HONORARIOS!M:M)))</f>
        <v>43617</v>
      </c>
      <c r="Q105" s="29">
        <f t="shared" si="5"/>
        <v>3</v>
      </c>
    </row>
    <row r="106" spans="2:17" x14ac:dyDescent="0.25">
      <c r="B106" s="5">
        <v>1846</v>
      </c>
      <c r="C106" s="3" t="s">
        <v>157</v>
      </c>
      <c r="D106" s="29">
        <v>1200000</v>
      </c>
      <c r="E106" s="7">
        <v>2018</v>
      </c>
      <c r="F106" s="8">
        <v>1</v>
      </c>
      <c r="G106" s="8">
        <v>0.5</v>
      </c>
      <c r="H106" s="8">
        <v>1</v>
      </c>
      <c r="I106" s="9">
        <v>43466</v>
      </c>
      <c r="J106" s="9"/>
      <c r="K106" s="10">
        <v>3</v>
      </c>
      <c r="L106" s="3" t="s">
        <v>279</v>
      </c>
      <c r="M106" s="9">
        <f t="shared" si="6"/>
        <v>43466</v>
      </c>
      <c r="N106" s="9">
        <f t="shared" si="4"/>
        <v>43556</v>
      </c>
      <c r="O106" s="29">
        <f>VLOOKUP(B106,PROYECTO!A:H,8,0)</f>
        <v>0</v>
      </c>
      <c r="P106" s="9">
        <f t="array" ref="P106">MAX(MAX(IF($B:$B=B106,$N:$N)),MAX(IF(B106=HONORARIOS!B:B,HONORARIOS!M:M)))</f>
        <v>43617</v>
      </c>
      <c r="Q106" s="29">
        <f t="shared" si="5"/>
        <v>3</v>
      </c>
    </row>
    <row r="107" spans="2:17" x14ac:dyDescent="0.25">
      <c r="B107" s="5">
        <v>1846</v>
      </c>
      <c r="C107" s="3" t="s">
        <v>158</v>
      </c>
      <c r="D107" s="29">
        <v>803612</v>
      </c>
      <c r="E107" s="7">
        <v>2018</v>
      </c>
      <c r="F107" s="8">
        <v>1</v>
      </c>
      <c r="G107" s="8">
        <v>0.5</v>
      </c>
      <c r="H107" s="8">
        <v>1</v>
      </c>
      <c r="I107" s="9">
        <v>43466</v>
      </c>
      <c r="J107" s="9"/>
      <c r="K107" s="10">
        <v>3</v>
      </c>
      <c r="L107" s="3" t="s">
        <v>279</v>
      </c>
      <c r="M107" s="9">
        <f t="shared" si="6"/>
        <v>43466</v>
      </c>
      <c r="N107" s="9">
        <f t="shared" si="4"/>
        <v>43556</v>
      </c>
      <c r="O107" s="29">
        <f>VLOOKUP(B107,PROYECTO!A:H,8,0)</f>
        <v>0</v>
      </c>
      <c r="P107" s="9">
        <f t="array" ref="P107">MAX(MAX(IF($B:$B=B107,$N:$N)),MAX(IF(B107=HONORARIOS!B:B,HONORARIOS!M:M)))</f>
        <v>43617</v>
      </c>
      <c r="Q107" s="29">
        <f t="shared" si="5"/>
        <v>3</v>
      </c>
    </row>
    <row r="108" spans="2:17" x14ac:dyDescent="0.25">
      <c r="B108" s="5">
        <v>1846</v>
      </c>
      <c r="C108" s="3" t="s">
        <v>159</v>
      </c>
      <c r="D108" s="29">
        <v>3700000</v>
      </c>
      <c r="E108" s="7">
        <v>2018</v>
      </c>
      <c r="F108" s="8">
        <v>1</v>
      </c>
      <c r="G108" s="8">
        <v>0.5</v>
      </c>
      <c r="H108" s="8">
        <v>1</v>
      </c>
      <c r="I108" s="9">
        <v>43435</v>
      </c>
      <c r="J108" s="9"/>
      <c r="K108" s="10">
        <v>4</v>
      </c>
      <c r="L108" s="3" t="s">
        <v>279</v>
      </c>
      <c r="M108" s="9">
        <f t="shared" si="6"/>
        <v>43435</v>
      </c>
      <c r="N108" s="9">
        <f t="shared" si="4"/>
        <v>43556</v>
      </c>
      <c r="O108" s="29">
        <f>VLOOKUP(B108,PROYECTO!A:H,8,0)</f>
        <v>0</v>
      </c>
      <c r="P108" s="9">
        <f t="array" ref="P108">MAX(MAX(IF($B:$B=B108,$N:$N)),MAX(IF(B108=HONORARIOS!B:B,HONORARIOS!M:M)))</f>
        <v>43617</v>
      </c>
      <c r="Q108" s="29">
        <f t="shared" si="5"/>
        <v>4</v>
      </c>
    </row>
    <row r="109" spans="2:17" x14ac:dyDescent="0.25">
      <c r="B109" s="5">
        <v>1846</v>
      </c>
      <c r="C109" s="3" t="s">
        <v>160</v>
      </c>
      <c r="D109" s="29">
        <v>3250000</v>
      </c>
      <c r="E109" s="7">
        <v>2018</v>
      </c>
      <c r="F109" s="8">
        <v>0.2</v>
      </c>
      <c r="G109" s="8">
        <v>0.5</v>
      </c>
      <c r="H109" s="8">
        <v>1</v>
      </c>
      <c r="I109" s="9">
        <v>43405</v>
      </c>
      <c r="J109" s="9"/>
      <c r="K109" s="10">
        <v>2</v>
      </c>
      <c r="L109" s="3" t="s">
        <v>279</v>
      </c>
      <c r="M109" s="9">
        <f t="shared" si="6"/>
        <v>43405</v>
      </c>
      <c r="N109" s="9">
        <f t="shared" si="4"/>
        <v>43466</v>
      </c>
      <c r="O109" s="29">
        <f>VLOOKUP(B109,PROYECTO!A:H,8,0)</f>
        <v>0</v>
      </c>
      <c r="P109" s="9">
        <f t="array" ref="P109">MAX(MAX(IF($B:$B=B109,$N:$N)),MAX(IF(B109=HONORARIOS!B:B,HONORARIOS!M:M)))</f>
        <v>43617</v>
      </c>
      <c r="Q109" s="29">
        <f t="shared" si="5"/>
        <v>2</v>
      </c>
    </row>
    <row r="110" spans="2:17" x14ac:dyDescent="0.25">
      <c r="B110" s="5">
        <v>1846</v>
      </c>
      <c r="C110" s="3" t="s">
        <v>160</v>
      </c>
      <c r="D110" s="29">
        <v>3250000</v>
      </c>
      <c r="E110" s="7">
        <v>2018</v>
      </c>
      <c r="F110" s="8">
        <v>1</v>
      </c>
      <c r="G110" s="8">
        <v>0.5</v>
      </c>
      <c r="H110" s="8">
        <v>1</v>
      </c>
      <c r="I110" s="9">
        <v>43466</v>
      </c>
      <c r="J110" s="9"/>
      <c r="K110" s="10">
        <v>2</v>
      </c>
      <c r="L110" s="3" t="s">
        <v>279</v>
      </c>
      <c r="M110" s="9">
        <f t="shared" si="6"/>
        <v>43466</v>
      </c>
      <c r="N110" s="9">
        <f t="shared" si="4"/>
        <v>43525</v>
      </c>
      <c r="O110" s="29">
        <f>VLOOKUP(B110,PROYECTO!A:H,8,0)</f>
        <v>0</v>
      </c>
      <c r="P110" s="9">
        <f t="array" ref="P110">MAX(MAX(IF($B:$B=B110,$N:$N)),MAX(IF(B110=HONORARIOS!B:B,HONORARIOS!M:M)))</f>
        <v>43617</v>
      </c>
      <c r="Q110" s="29">
        <f t="shared" si="5"/>
        <v>2</v>
      </c>
    </row>
    <row r="111" spans="2:17" x14ac:dyDescent="0.25">
      <c r="B111" s="5">
        <v>1846</v>
      </c>
      <c r="C111" s="3" t="s">
        <v>88</v>
      </c>
      <c r="D111" s="29">
        <v>4600000</v>
      </c>
      <c r="E111" s="7">
        <v>2018</v>
      </c>
      <c r="F111" s="8">
        <v>1</v>
      </c>
      <c r="G111" s="8">
        <v>0.5</v>
      </c>
      <c r="H111" s="8">
        <v>1</v>
      </c>
      <c r="I111" s="9">
        <v>43466</v>
      </c>
      <c r="J111" s="9"/>
      <c r="K111" s="10">
        <v>2</v>
      </c>
      <c r="L111" s="3" t="s">
        <v>279</v>
      </c>
      <c r="M111" s="9">
        <f t="shared" si="6"/>
        <v>43466</v>
      </c>
      <c r="N111" s="9">
        <f t="shared" si="4"/>
        <v>43525</v>
      </c>
      <c r="O111" s="29">
        <f>VLOOKUP(B111,PROYECTO!A:H,8,0)</f>
        <v>0</v>
      </c>
      <c r="P111" s="9">
        <f t="array" ref="P111">MAX(MAX(IF($B:$B=B111,$N:$N)),MAX(IF(B111=HONORARIOS!B:B,HONORARIOS!M:M)))</f>
        <v>43617</v>
      </c>
      <c r="Q111" s="29">
        <f t="shared" si="5"/>
        <v>2</v>
      </c>
    </row>
    <row r="112" spans="2:17" x14ac:dyDescent="0.25">
      <c r="B112" s="5">
        <v>1846</v>
      </c>
      <c r="C112" s="3" t="s">
        <v>161</v>
      </c>
      <c r="D112" s="29">
        <v>3250000</v>
      </c>
      <c r="E112" s="7">
        <v>2018</v>
      </c>
      <c r="F112" s="8">
        <v>1</v>
      </c>
      <c r="G112" s="8">
        <v>0.5</v>
      </c>
      <c r="H112" s="8">
        <v>1</v>
      </c>
      <c r="I112" s="9">
        <v>43466</v>
      </c>
      <c r="J112" s="9"/>
      <c r="K112" s="10">
        <v>2</v>
      </c>
      <c r="L112" s="3" t="s">
        <v>279</v>
      </c>
      <c r="M112" s="9">
        <f t="shared" si="6"/>
        <v>43466</v>
      </c>
      <c r="N112" s="9">
        <f t="shared" si="4"/>
        <v>43525</v>
      </c>
      <c r="O112" s="29">
        <f>VLOOKUP(B112,PROYECTO!A:H,8,0)</f>
        <v>0</v>
      </c>
      <c r="P112" s="9">
        <f t="array" ref="P112">MAX(MAX(IF($B:$B=B112,$N:$N)),MAX(IF(B112=HONORARIOS!B:B,HONORARIOS!M:M)))</f>
        <v>43617</v>
      </c>
      <c r="Q112" s="29">
        <f t="shared" si="5"/>
        <v>2</v>
      </c>
    </row>
    <row r="113" spans="2:17" x14ac:dyDescent="0.25">
      <c r="B113" s="5">
        <v>1856</v>
      </c>
      <c r="C113" s="3" t="s">
        <v>12</v>
      </c>
      <c r="D113" s="29">
        <v>6292066</v>
      </c>
      <c r="E113" s="7">
        <v>2018</v>
      </c>
      <c r="F113" s="8">
        <v>1</v>
      </c>
      <c r="G113" s="8">
        <v>0.5</v>
      </c>
      <c r="H113" s="8">
        <v>1</v>
      </c>
      <c r="I113" s="9">
        <v>43282</v>
      </c>
      <c r="J113" s="9">
        <v>43346</v>
      </c>
      <c r="K113" s="10">
        <v>32</v>
      </c>
      <c r="L113" s="3" t="s">
        <v>280</v>
      </c>
      <c r="M113" s="9">
        <f t="shared" si="6"/>
        <v>43282</v>
      </c>
      <c r="N113" s="9">
        <f t="shared" si="4"/>
        <v>44256</v>
      </c>
      <c r="O113" s="29">
        <f>VLOOKUP(B113,PROYECTO!A:H,8,0)</f>
        <v>0</v>
      </c>
      <c r="P113" s="9">
        <f t="array" ref="P113">MAX(MAX(IF($B:$B=B113,$N:$N)),MAX(IF(B113=HONORARIOS!B:B,HONORARIOS!M:M)))</f>
        <v>44256</v>
      </c>
      <c r="Q113" s="29">
        <f t="shared" si="5"/>
        <v>32</v>
      </c>
    </row>
    <row r="114" spans="2:17" x14ac:dyDescent="0.25">
      <c r="B114" s="5">
        <v>1856</v>
      </c>
      <c r="C114" s="3" t="s">
        <v>162</v>
      </c>
      <c r="D114" s="29">
        <v>3006658</v>
      </c>
      <c r="E114" s="7">
        <v>2018</v>
      </c>
      <c r="F114" s="8">
        <v>1</v>
      </c>
      <c r="G114" s="8">
        <v>0.59</v>
      </c>
      <c r="H114" s="8">
        <v>1</v>
      </c>
      <c r="I114" s="9">
        <v>43282</v>
      </c>
      <c r="J114" s="9">
        <v>43389</v>
      </c>
      <c r="K114" s="10">
        <v>31</v>
      </c>
      <c r="L114" s="3" t="s">
        <v>280</v>
      </c>
      <c r="M114" s="9">
        <f t="shared" si="6"/>
        <v>43282</v>
      </c>
      <c r="N114" s="9">
        <f t="shared" si="4"/>
        <v>44228</v>
      </c>
      <c r="O114" s="29">
        <f>VLOOKUP(B114,PROYECTO!A:H,8,0)</f>
        <v>0</v>
      </c>
      <c r="P114" s="9">
        <f t="array" ref="P114">MAX(MAX(IF($B:$B=B114,$N:$N)),MAX(IF(B114=HONORARIOS!B:B,HONORARIOS!M:M)))</f>
        <v>44256</v>
      </c>
      <c r="Q114" s="29">
        <f t="shared" si="5"/>
        <v>31</v>
      </c>
    </row>
    <row r="115" spans="2:17" x14ac:dyDescent="0.25">
      <c r="B115" s="5">
        <v>1856</v>
      </c>
      <c r="C115" s="3" t="s">
        <v>76</v>
      </c>
      <c r="D115" s="29">
        <v>2552100</v>
      </c>
      <c r="E115" s="7">
        <v>2018</v>
      </c>
      <c r="F115" s="8">
        <v>1</v>
      </c>
      <c r="G115" s="8">
        <v>0.59</v>
      </c>
      <c r="H115" s="8">
        <v>1</v>
      </c>
      <c r="I115" s="9">
        <v>43282</v>
      </c>
      <c r="J115" s="9">
        <v>43282</v>
      </c>
      <c r="K115" s="10">
        <v>14</v>
      </c>
      <c r="L115" s="3" t="s">
        <v>280</v>
      </c>
      <c r="M115" s="9">
        <f t="shared" si="6"/>
        <v>43282</v>
      </c>
      <c r="N115" s="9">
        <f t="shared" si="4"/>
        <v>43709</v>
      </c>
      <c r="O115" s="29">
        <f>VLOOKUP(B115,PROYECTO!A:H,8,0)</f>
        <v>0</v>
      </c>
      <c r="P115" s="9">
        <f t="array" ref="P115">MAX(MAX(IF($B:$B=B115,$N:$N)),MAX(IF(B115=HONORARIOS!B:B,HONORARIOS!M:M)))</f>
        <v>44256</v>
      </c>
      <c r="Q115" s="29">
        <f t="shared" si="5"/>
        <v>14</v>
      </c>
    </row>
    <row r="116" spans="2:17" x14ac:dyDescent="0.25">
      <c r="B116" s="5">
        <v>1856</v>
      </c>
      <c r="C116" s="3" t="s">
        <v>163</v>
      </c>
      <c r="D116" s="29">
        <v>2386505</v>
      </c>
      <c r="E116" s="7">
        <v>2018</v>
      </c>
      <c r="F116" s="8">
        <v>1</v>
      </c>
      <c r="G116" s="8">
        <v>0.59</v>
      </c>
      <c r="H116" s="8">
        <v>1</v>
      </c>
      <c r="I116" s="9">
        <v>43282</v>
      </c>
      <c r="J116" s="9">
        <v>43282</v>
      </c>
      <c r="K116" s="10">
        <v>7</v>
      </c>
      <c r="L116" s="3" t="s">
        <v>280</v>
      </c>
      <c r="M116" s="9">
        <f t="shared" si="6"/>
        <v>43282</v>
      </c>
      <c r="N116" s="9">
        <f t="shared" si="4"/>
        <v>43497</v>
      </c>
      <c r="O116" s="29">
        <f>VLOOKUP(B116,PROYECTO!A:H,8,0)</f>
        <v>0</v>
      </c>
      <c r="P116" s="9">
        <f t="array" ref="P116">MAX(MAX(IF($B:$B=B116,$N:$N)),MAX(IF(B116=HONORARIOS!B:B,HONORARIOS!M:M)))</f>
        <v>44256</v>
      </c>
      <c r="Q116" s="29">
        <f t="shared" si="5"/>
        <v>7</v>
      </c>
    </row>
    <row r="117" spans="2:17" x14ac:dyDescent="0.25">
      <c r="B117" s="5">
        <v>1856</v>
      </c>
      <c r="C117" s="3" t="s">
        <v>39</v>
      </c>
      <c r="D117" s="29">
        <v>2670341</v>
      </c>
      <c r="E117" s="7">
        <v>2018</v>
      </c>
      <c r="F117" s="8">
        <v>1</v>
      </c>
      <c r="G117" s="8">
        <v>0.5</v>
      </c>
      <c r="H117" s="8">
        <v>1</v>
      </c>
      <c r="I117" s="9">
        <v>43405</v>
      </c>
      <c r="J117" s="9">
        <v>43410</v>
      </c>
      <c r="K117" s="10">
        <v>27</v>
      </c>
      <c r="L117" s="3" t="s">
        <v>280</v>
      </c>
      <c r="M117" s="9">
        <f t="shared" si="6"/>
        <v>43405</v>
      </c>
      <c r="N117" s="9">
        <f t="shared" si="4"/>
        <v>44228</v>
      </c>
      <c r="O117" s="29">
        <f>VLOOKUP(B117,PROYECTO!A:H,8,0)</f>
        <v>0</v>
      </c>
      <c r="P117" s="9">
        <f t="array" ref="P117">MAX(MAX(IF($B:$B=B117,$N:$N)),MAX(IF(B117=HONORARIOS!B:B,HONORARIOS!M:M)))</f>
        <v>44256</v>
      </c>
      <c r="Q117" s="29">
        <f t="shared" si="5"/>
        <v>27</v>
      </c>
    </row>
    <row r="118" spans="2:17" x14ac:dyDescent="0.25">
      <c r="B118" s="5">
        <v>1856</v>
      </c>
      <c r="C118" s="3" t="s">
        <v>26</v>
      </c>
      <c r="D118" s="29">
        <v>4091853</v>
      </c>
      <c r="E118" s="7">
        <v>2018</v>
      </c>
      <c r="F118" s="8">
        <v>1</v>
      </c>
      <c r="G118" s="8">
        <v>0.5</v>
      </c>
      <c r="H118" s="8">
        <v>1</v>
      </c>
      <c r="I118" s="9">
        <v>43556</v>
      </c>
      <c r="J118" s="9">
        <v>43282</v>
      </c>
      <c r="K118" s="10">
        <v>22</v>
      </c>
      <c r="L118" s="3" t="s">
        <v>280</v>
      </c>
      <c r="M118" s="9">
        <f t="shared" si="6"/>
        <v>43556</v>
      </c>
      <c r="N118" s="9">
        <f t="shared" si="4"/>
        <v>44228</v>
      </c>
      <c r="O118" s="29">
        <f>VLOOKUP(B118,PROYECTO!A:H,8,0)</f>
        <v>0</v>
      </c>
      <c r="P118" s="9">
        <f t="array" ref="P118">MAX(MAX(IF($B:$B=B118,$N:$N)),MAX(IF(B118=HONORARIOS!B:B,HONORARIOS!M:M)))</f>
        <v>44256</v>
      </c>
      <c r="Q118" s="29">
        <f t="shared" si="5"/>
        <v>22</v>
      </c>
    </row>
    <row r="119" spans="2:17" x14ac:dyDescent="0.25">
      <c r="B119" s="5">
        <v>1860</v>
      </c>
      <c r="C119" s="3" t="s">
        <v>19</v>
      </c>
      <c r="D119" s="29">
        <v>11200000</v>
      </c>
      <c r="E119" s="7">
        <v>2018</v>
      </c>
      <c r="F119" s="8">
        <v>0.1</v>
      </c>
      <c r="G119" s="8">
        <v>0.62</v>
      </c>
      <c r="H119" s="8">
        <v>1</v>
      </c>
      <c r="I119" s="9">
        <v>43313</v>
      </c>
      <c r="J119" s="9">
        <v>43320</v>
      </c>
      <c r="K119" s="10">
        <v>33</v>
      </c>
      <c r="L119" s="3"/>
      <c r="M119" s="9">
        <f t="shared" si="6"/>
        <v>43313</v>
      </c>
      <c r="N119" s="9">
        <f t="shared" si="4"/>
        <v>44317</v>
      </c>
      <c r="O119" s="29">
        <f>VLOOKUP(B119,PROYECTO!A:H,8,0)</f>
        <v>0</v>
      </c>
      <c r="P119" s="9">
        <f t="array" ref="P119">MAX(MAX(IF($B:$B=B119,$N:$N)),MAX(IF(B119=HONORARIOS!B:B,HONORARIOS!M:M)))</f>
        <v>44409</v>
      </c>
      <c r="Q119" s="29">
        <f t="shared" si="5"/>
        <v>33</v>
      </c>
    </row>
    <row r="120" spans="2:17" x14ac:dyDescent="0.25">
      <c r="B120" s="5">
        <v>1860</v>
      </c>
      <c r="C120" s="3" t="s">
        <v>76</v>
      </c>
      <c r="D120" s="29">
        <v>2350000</v>
      </c>
      <c r="E120" s="7">
        <v>2018</v>
      </c>
      <c r="F120" s="8">
        <v>1</v>
      </c>
      <c r="G120" s="8">
        <v>0.59</v>
      </c>
      <c r="H120" s="8">
        <v>1</v>
      </c>
      <c r="I120" s="9">
        <v>44044</v>
      </c>
      <c r="J120" s="9">
        <v>43320</v>
      </c>
      <c r="K120" s="10">
        <v>12</v>
      </c>
      <c r="L120" s="3"/>
      <c r="M120" s="9">
        <f t="shared" si="6"/>
        <v>44044</v>
      </c>
      <c r="N120" s="9">
        <f t="shared" si="4"/>
        <v>44409</v>
      </c>
      <c r="O120" s="29">
        <f>VLOOKUP(B120,PROYECTO!A:H,8,0)</f>
        <v>0</v>
      </c>
      <c r="P120" s="9">
        <f t="array" ref="P120">MAX(MAX(IF($B:$B=B120,$N:$N)),MAX(IF(B120=HONORARIOS!B:B,HONORARIOS!M:M)))</f>
        <v>44409</v>
      </c>
      <c r="Q120" s="29">
        <f t="shared" si="5"/>
        <v>12</v>
      </c>
    </row>
    <row r="121" spans="2:17" x14ac:dyDescent="0.25">
      <c r="B121" s="5">
        <v>1860</v>
      </c>
      <c r="C121" s="3" t="s">
        <v>162</v>
      </c>
      <c r="D121" s="29">
        <v>2850000</v>
      </c>
      <c r="E121" s="7">
        <v>2018</v>
      </c>
      <c r="F121" s="8">
        <v>1</v>
      </c>
      <c r="G121" s="8">
        <v>0.59</v>
      </c>
      <c r="H121" s="8">
        <v>1</v>
      </c>
      <c r="I121" s="9">
        <v>43344</v>
      </c>
      <c r="J121" s="9">
        <v>43320</v>
      </c>
      <c r="K121" s="10">
        <v>31</v>
      </c>
      <c r="L121" s="3"/>
      <c r="M121" s="9">
        <f t="shared" si="6"/>
        <v>43344</v>
      </c>
      <c r="N121" s="9">
        <f t="shared" si="4"/>
        <v>44287</v>
      </c>
      <c r="O121" s="29">
        <f>VLOOKUP(B121,PROYECTO!A:H,8,0)</f>
        <v>0</v>
      </c>
      <c r="P121" s="9">
        <f t="array" ref="P121">MAX(MAX(IF($B:$B=B121,$N:$N)),MAX(IF(B121=HONORARIOS!B:B,HONORARIOS!M:M)))</f>
        <v>44409</v>
      </c>
      <c r="Q121" s="29">
        <f t="shared" si="5"/>
        <v>31</v>
      </c>
    </row>
    <row r="122" spans="2:17" x14ac:dyDescent="0.25">
      <c r="B122" s="5">
        <v>1860</v>
      </c>
      <c r="C122" s="3" t="s">
        <v>26</v>
      </c>
      <c r="D122" s="29">
        <v>3800000</v>
      </c>
      <c r="E122" s="7">
        <v>2018</v>
      </c>
      <c r="F122" s="8">
        <v>1</v>
      </c>
      <c r="G122" s="8">
        <v>0.5</v>
      </c>
      <c r="H122" s="8">
        <v>1</v>
      </c>
      <c r="I122" s="9">
        <v>43313</v>
      </c>
      <c r="J122" s="9">
        <v>43320</v>
      </c>
      <c r="K122" s="10">
        <v>33</v>
      </c>
      <c r="L122" s="3"/>
      <c r="M122" s="9">
        <f t="shared" si="6"/>
        <v>43313</v>
      </c>
      <c r="N122" s="9">
        <f t="shared" si="4"/>
        <v>44317</v>
      </c>
      <c r="O122" s="29">
        <f>VLOOKUP(B122,PROYECTO!A:H,8,0)</f>
        <v>0</v>
      </c>
      <c r="P122" s="9">
        <f t="array" ref="P122">MAX(MAX(IF($B:$B=B122,$N:$N)),MAX(IF(B122=HONORARIOS!B:B,HONORARIOS!M:M)))</f>
        <v>44409</v>
      </c>
      <c r="Q122" s="29">
        <f t="shared" si="5"/>
        <v>33</v>
      </c>
    </row>
    <row r="123" spans="2:17" x14ac:dyDescent="0.25">
      <c r="B123" s="5">
        <v>1861</v>
      </c>
      <c r="C123" s="3" t="s">
        <v>137</v>
      </c>
      <c r="D123" s="29">
        <v>5565000</v>
      </c>
      <c r="E123" s="7">
        <v>2019</v>
      </c>
      <c r="F123" s="8">
        <v>0.1</v>
      </c>
      <c r="G123" s="8">
        <v>0.5</v>
      </c>
      <c r="H123" s="8">
        <v>1</v>
      </c>
      <c r="I123" s="9">
        <v>43400</v>
      </c>
      <c r="J123" s="9">
        <v>43400</v>
      </c>
      <c r="K123" s="10">
        <v>2</v>
      </c>
      <c r="L123" s="3" t="s">
        <v>281</v>
      </c>
      <c r="M123" s="9">
        <f t="shared" si="6"/>
        <v>43374</v>
      </c>
      <c r="N123" s="9">
        <f t="shared" si="4"/>
        <v>43435</v>
      </c>
      <c r="O123" s="29">
        <f>VLOOKUP(B123,PROYECTO!A:H,8,0)</f>
        <v>0</v>
      </c>
      <c r="P123" s="9">
        <f t="array" ref="P123">MAX(MAX(IF($B:$B=B123,$N:$N)),MAX(IF(B123=HONORARIOS!B:B,HONORARIOS!M:M)))</f>
        <v>44197</v>
      </c>
      <c r="Q123" s="29">
        <f t="shared" si="5"/>
        <v>2</v>
      </c>
    </row>
    <row r="124" spans="2:17" x14ac:dyDescent="0.25">
      <c r="B124" s="5">
        <v>1861</v>
      </c>
      <c r="C124" s="3" t="s">
        <v>31</v>
      </c>
      <c r="D124" s="29">
        <v>5460000</v>
      </c>
      <c r="E124" s="7">
        <v>2019</v>
      </c>
      <c r="F124" s="8">
        <v>0.1</v>
      </c>
      <c r="G124" s="8">
        <v>0.5</v>
      </c>
      <c r="H124" s="8">
        <v>1</v>
      </c>
      <c r="I124" s="9">
        <v>43370</v>
      </c>
      <c r="J124" s="9">
        <v>43370</v>
      </c>
      <c r="K124" s="10">
        <v>2</v>
      </c>
      <c r="L124" s="3" t="s">
        <v>281</v>
      </c>
      <c r="M124" s="9">
        <f t="shared" si="6"/>
        <v>43344</v>
      </c>
      <c r="N124" s="9">
        <f t="shared" si="4"/>
        <v>43405</v>
      </c>
      <c r="O124" s="29">
        <f>VLOOKUP(B124,PROYECTO!A:H,8,0)</f>
        <v>0</v>
      </c>
      <c r="P124" s="9">
        <f t="array" ref="P124">MAX(MAX(IF($B:$B=B124,$N:$N)),MAX(IF(B124=HONORARIOS!B:B,HONORARIOS!M:M)))</f>
        <v>44197</v>
      </c>
      <c r="Q124" s="29">
        <f t="shared" si="5"/>
        <v>2</v>
      </c>
    </row>
    <row r="125" spans="2:17" x14ac:dyDescent="0.25">
      <c r="B125" s="5">
        <v>1861</v>
      </c>
      <c r="C125" s="3" t="s">
        <v>32</v>
      </c>
      <c r="D125" s="29">
        <v>5061000</v>
      </c>
      <c r="E125" s="7">
        <v>2019</v>
      </c>
      <c r="F125" s="8">
        <v>0.1</v>
      </c>
      <c r="G125" s="8">
        <v>0.5</v>
      </c>
      <c r="H125" s="8">
        <v>1</v>
      </c>
      <c r="I125" s="9">
        <v>43370</v>
      </c>
      <c r="J125" s="9">
        <v>43370</v>
      </c>
      <c r="K125" s="10">
        <v>2</v>
      </c>
      <c r="L125" s="3" t="s">
        <v>281</v>
      </c>
      <c r="M125" s="9">
        <f t="shared" si="6"/>
        <v>43344</v>
      </c>
      <c r="N125" s="9">
        <f t="shared" si="4"/>
        <v>43405</v>
      </c>
      <c r="O125" s="29">
        <f>VLOOKUP(B125,PROYECTO!A:H,8,0)</f>
        <v>0</v>
      </c>
      <c r="P125" s="9">
        <f t="array" ref="P125">MAX(MAX(IF($B:$B=B125,$N:$N)),MAX(IF(B125=HONORARIOS!B:B,HONORARIOS!M:M)))</f>
        <v>44197</v>
      </c>
      <c r="Q125" s="29">
        <f t="shared" si="5"/>
        <v>2</v>
      </c>
    </row>
    <row r="126" spans="2:17" x14ac:dyDescent="0.25">
      <c r="B126" s="5">
        <v>1861</v>
      </c>
      <c r="C126" s="3" t="s">
        <v>165</v>
      </c>
      <c r="D126" s="29">
        <v>2625000</v>
      </c>
      <c r="E126" s="7">
        <v>2019</v>
      </c>
      <c r="F126" s="8">
        <v>1</v>
      </c>
      <c r="G126" s="8">
        <v>0.5</v>
      </c>
      <c r="H126" s="8">
        <v>1</v>
      </c>
      <c r="I126" s="9">
        <v>43370</v>
      </c>
      <c r="J126" s="9">
        <v>43370</v>
      </c>
      <c r="K126" s="10">
        <v>2</v>
      </c>
      <c r="L126" s="3" t="s">
        <v>281</v>
      </c>
      <c r="M126" s="9">
        <f t="shared" si="6"/>
        <v>43344</v>
      </c>
      <c r="N126" s="9">
        <f t="shared" si="4"/>
        <v>43405</v>
      </c>
      <c r="O126" s="29">
        <f>VLOOKUP(B126,PROYECTO!A:H,8,0)</f>
        <v>0</v>
      </c>
      <c r="P126" s="9">
        <f t="array" ref="P126">MAX(MAX(IF($B:$B=B126,$N:$N)),MAX(IF(B126=HONORARIOS!B:B,HONORARIOS!M:M)))</f>
        <v>44197</v>
      </c>
      <c r="Q126" s="29">
        <f t="shared" si="5"/>
        <v>2</v>
      </c>
    </row>
    <row r="127" spans="2:17" x14ac:dyDescent="0.25">
      <c r="B127" s="5">
        <v>1861</v>
      </c>
      <c r="C127" s="3" t="s">
        <v>19</v>
      </c>
      <c r="D127" s="29">
        <v>12316500</v>
      </c>
      <c r="E127" s="7">
        <v>2019</v>
      </c>
      <c r="F127" s="8">
        <v>0.3</v>
      </c>
      <c r="G127" s="8">
        <v>0.62</v>
      </c>
      <c r="H127" s="8">
        <v>1</v>
      </c>
      <c r="I127" s="9">
        <v>43370</v>
      </c>
      <c r="J127" s="9">
        <v>43370</v>
      </c>
      <c r="K127" s="10">
        <v>2</v>
      </c>
      <c r="L127" s="3" t="s">
        <v>281</v>
      </c>
      <c r="M127" s="9">
        <f t="shared" si="6"/>
        <v>43344</v>
      </c>
      <c r="N127" s="9">
        <f t="shared" si="4"/>
        <v>43405</v>
      </c>
      <c r="O127" s="29">
        <f>VLOOKUP(B127,PROYECTO!A:H,8,0)</f>
        <v>0</v>
      </c>
      <c r="P127" s="9">
        <f t="array" ref="P127">MAX(MAX(IF($B:$B=B127,$N:$N)),MAX(IF(B127=HONORARIOS!B:B,HONORARIOS!M:M)))</f>
        <v>44197</v>
      </c>
      <c r="Q127" s="29">
        <f t="shared" si="5"/>
        <v>2</v>
      </c>
    </row>
    <row r="128" spans="2:17" x14ac:dyDescent="0.25">
      <c r="B128" s="5">
        <v>1861</v>
      </c>
      <c r="C128" s="3" t="s">
        <v>166</v>
      </c>
      <c r="D128" s="29">
        <v>3845352</v>
      </c>
      <c r="E128" s="7">
        <v>2019</v>
      </c>
      <c r="F128" s="8">
        <v>1</v>
      </c>
      <c r="G128" s="8">
        <v>0.5</v>
      </c>
      <c r="H128" s="8">
        <v>1</v>
      </c>
      <c r="I128" s="9">
        <v>43435</v>
      </c>
      <c r="J128" s="9">
        <v>43435</v>
      </c>
      <c r="K128" s="10">
        <v>24</v>
      </c>
      <c r="L128" s="3" t="s">
        <v>282</v>
      </c>
      <c r="M128" s="9">
        <f t="shared" si="6"/>
        <v>43435</v>
      </c>
      <c r="N128" s="9">
        <f t="shared" si="4"/>
        <v>44166</v>
      </c>
      <c r="O128" s="29">
        <f>VLOOKUP(B128,PROYECTO!A:H,8,0)</f>
        <v>0</v>
      </c>
      <c r="P128" s="9">
        <f t="array" ref="P128">MAX(MAX(IF($B:$B=B128,$N:$N)),MAX(IF(B128=HONORARIOS!B:B,HONORARIOS!M:M)))</f>
        <v>44197</v>
      </c>
      <c r="Q128" s="29">
        <f t="shared" si="5"/>
        <v>24</v>
      </c>
    </row>
    <row r="129" spans="2:17" x14ac:dyDescent="0.25">
      <c r="B129" s="5">
        <v>1861</v>
      </c>
      <c r="C129" s="3" t="s">
        <v>166</v>
      </c>
      <c r="D129" s="29">
        <v>3902134.95</v>
      </c>
      <c r="E129" s="7">
        <v>2019</v>
      </c>
      <c r="F129" s="8">
        <v>1</v>
      </c>
      <c r="G129" s="8">
        <v>0.5</v>
      </c>
      <c r="H129" s="8">
        <v>1</v>
      </c>
      <c r="I129" s="9">
        <v>43435</v>
      </c>
      <c r="J129" s="9">
        <v>43435</v>
      </c>
      <c r="K129" s="10">
        <v>18</v>
      </c>
      <c r="L129" s="3" t="s">
        <v>282</v>
      </c>
      <c r="M129" s="9">
        <f t="shared" si="6"/>
        <v>43435</v>
      </c>
      <c r="N129" s="9">
        <f t="shared" si="4"/>
        <v>43983</v>
      </c>
      <c r="O129" s="29">
        <f>VLOOKUP(B129,PROYECTO!A:H,8,0)</f>
        <v>0</v>
      </c>
      <c r="P129" s="9">
        <f t="array" ref="P129">MAX(MAX(IF($B:$B=B129,$N:$N)),MAX(IF(B129=HONORARIOS!B:B,HONORARIOS!M:M)))</f>
        <v>44197</v>
      </c>
      <c r="Q129" s="29">
        <f t="shared" si="5"/>
        <v>18</v>
      </c>
    </row>
    <row r="130" spans="2:17" x14ac:dyDescent="0.25">
      <c r="B130" s="5">
        <v>1861</v>
      </c>
      <c r="C130" s="3" t="s">
        <v>12</v>
      </c>
      <c r="D130" s="29">
        <v>7520034.9000000004</v>
      </c>
      <c r="E130" s="7">
        <v>2019</v>
      </c>
      <c r="F130" s="8">
        <v>1</v>
      </c>
      <c r="G130" s="8">
        <v>0.5</v>
      </c>
      <c r="H130" s="8">
        <v>1</v>
      </c>
      <c r="I130" s="9">
        <v>43370</v>
      </c>
      <c r="J130" s="9">
        <v>43435</v>
      </c>
      <c r="K130" s="10">
        <v>25</v>
      </c>
      <c r="L130" s="3" t="s">
        <v>283</v>
      </c>
      <c r="M130" s="9">
        <f t="shared" si="6"/>
        <v>43344</v>
      </c>
      <c r="N130" s="9">
        <f t="shared" si="4"/>
        <v>44105</v>
      </c>
      <c r="O130" s="29">
        <f>VLOOKUP(B130,PROYECTO!A:H,8,0)</f>
        <v>0</v>
      </c>
      <c r="P130" s="9">
        <f t="array" ref="P130">MAX(MAX(IF($B:$B=B130,$N:$N)),MAX(IF(B130=HONORARIOS!B:B,HONORARIOS!M:M)))</f>
        <v>44197</v>
      </c>
      <c r="Q130" s="29">
        <f t="shared" si="5"/>
        <v>25</v>
      </c>
    </row>
    <row r="131" spans="2:17" x14ac:dyDescent="0.25">
      <c r="B131" s="5">
        <v>1861</v>
      </c>
      <c r="C131" s="3" t="s">
        <v>167</v>
      </c>
      <c r="D131" s="29">
        <v>2997219.75</v>
      </c>
      <c r="E131" s="7">
        <v>2019</v>
      </c>
      <c r="F131" s="8">
        <v>1</v>
      </c>
      <c r="G131" s="8">
        <v>0.59</v>
      </c>
      <c r="H131" s="8">
        <v>1</v>
      </c>
      <c r="I131" s="9">
        <v>43435</v>
      </c>
      <c r="J131" s="9">
        <v>43435</v>
      </c>
      <c r="K131" s="10">
        <v>24</v>
      </c>
      <c r="L131" s="3" t="s">
        <v>283</v>
      </c>
      <c r="M131" s="9">
        <f t="shared" si="6"/>
        <v>43435</v>
      </c>
      <c r="N131" s="9">
        <f t="shared" ref="N131:N194" si="7">EDATE(M131,K131)</f>
        <v>44166</v>
      </c>
      <c r="O131" s="29">
        <f>VLOOKUP(B131,PROYECTO!A:H,8,0)</f>
        <v>0</v>
      </c>
      <c r="P131" s="9">
        <f t="array" ref="P131">MAX(MAX(IF($B:$B=B131,$N:$N)),MAX(IF(B131=HONORARIOS!B:B,HONORARIOS!M:M)))</f>
        <v>44197</v>
      </c>
      <c r="Q131" s="29">
        <f t="shared" ref="Q131:Q194" si="8">IF(P131=N131,K131+O131,K131)</f>
        <v>24</v>
      </c>
    </row>
    <row r="132" spans="2:17" x14ac:dyDescent="0.25">
      <c r="B132" s="5">
        <v>1861</v>
      </c>
      <c r="C132" s="3" t="s">
        <v>167</v>
      </c>
      <c r="D132" s="29">
        <v>3902134.95</v>
      </c>
      <c r="E132" s="7">
        <v>2019</v>
      </c>
      <c r="F132" s="8">
        <v>1</v>
      </c>
      <c r="G132" s="8">
        <v>0.59</v>
      </c>
      <c r="H132" s="8">
        <v>1</v>
      </c>
      <c r="I132" s="9">
        <v>43435</v>
      </c>
      <c r="J132" s="9">
        <v>43435</v>
      </c>
      <c r="K132" s="10">
        <v>18</v>
      </c>
      <c r="L132" s="3" t="s">
        <v>282</v>
      </c>
      <c r="M132" s="9">
        <f t="shared" si="6"/>
        <v>43435</v>
      </c>
      <c r="N132" s="9">
        <f t="shared" si="7"/>
        <v>43983</v>
      </c>
      <c r="O132" s="29">
        <f>VLOOKUP(B132,PROYECTO!A:H,8,0)</f>
        <v>0</v>
      </c>
      <c r="P132" s="9">
        <f t="array" ref="P132">MAX(MAX(IF($B:$B=B132,$N:$N)),MAX(IF(B132=HONORARIOS!B:B,HONORARIOS!M:M)))</f>
        <v>44197</v>
      </c>
      <c r="Q132" s="29">
        <f t="shared" si="8"/>
        <v>18</v>
      </c>
    </row>
    <row r="133" spans="2:17" x14ac:dyDescent="0.25">
      <c r="B133" s="5">
        <v>1861</v>
      </c>
      <c r="C133" s="3" t="s">
        <v>168</v>
      </c>
      <c r="D133" s="29">
        <v>2713719.75</v>
      </c>
      <c r="E133" s="7">
        <v>2019</v>
      </c>
      <c r="F133" s="8">
        <v>1</v>
      </c>
      <c r="G133" s="8">
        <v>0.59</v>
      </c>
      <c r="H133" s="8">
        <v>1</v>
      </c>
      <c r="I133" s="9">
        <v>43435</v>
      </c>
      <c r="J133" s="9">
        <v>43435</v>
      </c>
      <c r="K133" s="10">
        <v>24</v>
      </c>
      <c r="L133" s="3" t="s">
        <v>282</v>
      </c>
      <c r="M133" s="9">
        <f t="shared" si="6"/>
        <v>43435</v>
      </c>
      <c r="N133" s="9">
        <f t="shared" si="7"/>
        <v>44166</v>
      </c>
      <c r="O133" s="29">
        <f>VLOOKUP(B133,PROYECTO!A:H,8,0)</f>
        <v>0</v>
      </c>
      <c r="P133" s="9">
        <f t="array" ref="P133">MAX(MAX(IF($B:$B=B133,$N:$N)),MAX(IF(B133=HONORARIOS!B:B,HONORARIOS!M:M)))</f>
        <v>44197</v>
      </c>
      <c r="Q133" s="29">
        <f t="shared" si="8"/>
        <v>24</v>
      </c>
    </row>
    <row r="134" spans="2:17" x14ac:dyDescent="0.25">
      <c r="B134" s="5">
        <v>1861</v>
      </c>
      <c r="C134" s="3" t="s">
        <v>168</v>
      </c>
      <c r="D134" s="29">
        <v>2744122.5</v>
      </c>
      <c r="E134" s="7">
        <v>2019</v>
      </c>
      <c r="F134" s="8">
        <v>1</v>
      </c>
      <c r="G134" s="8">
        <v>0.59</v>
      </c>
      <c r="H134" s="8">
        <v>1</v>
      </c>
      <c r="I134" s="9">
        <v>43435</v>
      </c>
      <c r="J134" s="9">
        <v>43435</v>
      </c>
      <c r="K134" s="10">
        <v>13</v>
      </c>
      <c r="L134" s="3" t="s">
        <v>282</v>
      </c>
      <c r="M134" s="9">
        <f t="shared" si="6"/>
        <v>43435</v>
      </c>
      <c r="N134" s="9">
        <f t="shared" si="7"/>
        <v>43831</v>
      </c>
      <c r="O134" s="29">
        <f>VLOOKUP(B134,PROYECTO!A:H,8,0)</f>
        <v>0</v>
      </c>
      <c r="P134" s="9">
        <f t="array" ref="P134">MAX(MAX(IF($B:$B=B134,$N:$N)),MAX(IF(B134=HONORARIOS!B:B,HONORARIOS!M:M)))</f>
        <v>44197</v>
      </c>
      <c r="Q134" s="29">
        <f t="shared" si="8"/>
        <v>13</v>
      </c>
    </row>
    <row r="135" spans="2:17" x14ac:dyDescent="0.25">
      <c r="B135" s="5">
        <v>1861</v>
      </c>
      <c r="C135" s="3" t="s">
        <v>29</v>
      </c>
      <c r="D135" s="29">
        <v>3654000</v>
      </c>
      <c r="E135" s="7">
        <v>2019</v>
      </c>
      <c r="F135" s="8">
        <v>0.5</v>
      </c>
      <c r="G135" s="8">
        <v>0.5</v>
      </c>
      <c r="H135" s="8">
        <v>1</v>
      </c>
      <c r="I135" s="9">
        <v>43370</v>
      </c>
      <c r="J135" s="9">
        <v>43370</v>
      </c>
      <c r="K135" s="10">
        <v>2</v>
      </c>
      <c r="L135" s="3" t="s">
        <v>281</v>
      </c>
      <c r="M135" s="9">
        <f t="shared" si="6"/>
        <v>43344</v>
      </c>
      <c r="N135" s="9">
        <f t="shared" si="7"/>
        <v>43405</v>
      </c>
      <c r="O135" s="29">
        <f>VLOOKUP(B135,PROYECTO!A:H,8,0)</f>
        <v>0</v>
      </c>
      <c r="P135" s="9">
        <f t="array" ref="P135">MAX(MAX(IF($B:$B=B135,$N:$N)),MAX(IF(B135=HONORARIOS!B:B,HONORARIOS!M:M)))</f>
        <v>44197</v>
      </c>
      <c r="Q135" s="29">
        <f t="shared" si="8"/>
        <v>2</v>
      </c>
    </row>
    <row r="136" spans="2:17" x14ac:dyDescent="0.25">
      <c r="B136" s="5">
        <v>1861</v>
      </c>
      <c r="C136" s="3" t="s">
        <v>29</v>
      </c>
      <c r="D136" s="29">
        <v>3820713.75</v>
      </c>
      <c r="E136" s="7">
        <v>2019</v>
      </c>
      <c r="F136" s="8">
        <v>1</v>
      </c>
      <c r="G136" s="8">
        <v>0.5</v>
      </c>
      <c r="H136" s="8">
        <v>1</v>
      </c>
      <c r="I136" s="9">
        <v>43435</v>
      </c>
      <c r="J136" s="9">
        <v>43435</v>
      </c>
      <c r="K136" s="10">
        <v>20</v>
      </c>
      <c r="L136" s="3" t="s">
        <v>282</v>
      </c>
      <c r="M136" s="9">
        <f t="shared" si="6"/>
        <v>43435</v>
      </c>
      <c r="N136" s="9">
        <f t="shared" si="7"/>
        <v>44044</v>
      </c>
      <c r="O136" s="29">
        <f>VLOOKUP(B136,PROYECTO!A:H,8,0)</f>
        <v>0</v>
      </c>
      <c r="P136" s="9">
        <f t="array" ref="P136">MAX(MAX(IF($B:$B=B136,$N:$N)),MAX(IF(B136=HONORARIOS!B:B,HONORARIOS!M:M)))</f>
        <v>44197</v>
      </c>
      <c r="Q136" s="29">
        <f t="shared" si="8"/>
        <v>20</v>
      </c>
    </row>
    <row r="137" spans="2:17" x14ac:dyDescent="0.25">
      <c r="B137" s="5">
        <v>1861</v>
      </c>
      <c r="C137" s="3" t="s">
        <v>169</v>
      </c>
      <c r="D137" s="29">
        <v>4788000</v>
      </c>
      <c r="E137" s="7">
        <v>2019</v>
      </c>
      <c r="F137" s="8">
        <v>1</v>
      </c>
      <c r="G137" s="8">
        <v>0.5</v>
      </c>
      <c r="H137" s="8">
        <v>1</v>
      </c>
      <c r="I137" s="9">
        <v>43370</v>
      </c>
      <c r="J137" s="9">
        <v>43370</v>
      </c>
      <c r="K137" s="10">
        <v>2</v>
      </c>
      <c r="L137" s="3" t="s">
        <v>281</v>
      </c>
      <c r="M137" s="9">
        <f t="shared" si="6"/>
        <v>43344</v>
      </c>
      <c r="N137" s="9">
        <f t="shared" si="7"/>
        <v>43405</v>
      </c>
      <c r="O137" s="29">
        <f>VLOOKUP(B137,PROYECTO!A:H,8,0)</f>
        <v>0</v>
      </c>
      <c r="P137" s="9">
        <f t="array" ref="P137">MAX(MAX(IF($B:$B=B137,$N:$N)),MAX(IF(B137=HONORARIOS!B:B,HONORARIOS!M:M)))</f>
        <v>44197</v>
      </c>
      <c r="Q137" s="29">
        <f t="shared" si="8"/>
        <v>2</v>
      </c>
    </row>
    <row r="138" spans="2:17" x14ac:dyDescent="0.25">
      <c r="B138" s="5">
        <v>1861</v>
      </c>
      <c r="C138" s="3" t="s">
        <v>98</v>
      </c>
      <c r="D138" s="29">
        <v>3654000</v>
      </c>
      <c r="E138" s="7">
        <v>2019</v>
      </c>
      <c r="F138" s="8">
        <v>0.5</v>
      </c>
      <c r="G138" s="8">
        <v>0.5</v>
      </c>
      <c r="H138" s="8">
        <v>1</v>
      </c>
      <c r="I138" s="9">
        <v>43370</v>
      </c>
      <c r="J138" s="9">
        <v>43370</v>
      </c>
      <c r="K138" s="10">
        <v>2</v>
      </c>
      <c r="L138" s="3" t="s">
        <v>281</v>
      </c>
      <c r="M138" s="9">
        <f t="shared" si="6"/>
        <v>43344</v>
      </c>
      <c r="N138" s="9">
        <f t="shared" si="7"/>
        <v>43405</v>
      </c>
      <c r="O138" s="29">
        <f>VLOOKUP(B138,PROYECTO!A:H,8,0)</f>
        <v>0</v>
      </c>
      <c r="P138" s="9">
        <f t="array" ref="P138">MAX(MAX(IF($B:$B=B138,$N:$N)),MAX(IF(B138=HONORARIOS!B:B,HONORARIOS!M:M)))</f>
        <v>44197</v>
      </c>
      <c r="Q138" s="29">
        <f t="shared" si="8"/>
        <v>2</v>
      </c>
    </row>
    <row r="139" spans="2:17" x14ac:dyDescent="0.25">
      <c r="B139" s="5">
        <v>1861</v>
      </c>
      <c r="C139" s="3" t="s">
        <v>170</v>
      </c>
      <c r="D139" s="29">
        <v>3823378.6500000004</v>
      </c>
      <c r="E139" s="7">
        <v>2019</v>
      </c>
      <c r="F139" s="8">
        <v>1</v>
      </c>
      <c r="G139" s="8">
        <v>0.5</v>
      </c>
      <c r="H139" s="8">
        <v>1</v>
      </c>
      <c r="I139" s="9">
        <v>43435</v>
      </c>
      <c r="J139" s="9">
        <v>43435</v>
      </c>
      <c r="K139" s="10">
        <v>24</v>
      </c>
      <c r="L139" s="3" t="s">
        <v>282</v>
      </c>
      <c r="M139" s="9">
        <f t="shared" si="6"/>
        <v>43435</v>
      </c>
      <c r="N139" s="9">
        <f t="shared" si="7"/>
        <v>44166</v>
      </c>
      <c r="O139" s="29">
        <f>VLOOKUP(B139,PROYECTO!A:H,8,0)</f>
        <v>0</v>
      </c>
      <c r="P139" s="9">
        <f t="array" ref="P139">MAX(MAX(IF($B:$B=B139,$N:$N)),MAX(IF(B139=HONORARIOS!B:B,HONORARIOS!M:M)))</f>
        <v>44197</v>
      </c>
      <c r="Q139" s="29">
        <f t="shared" si="8"/>
        <v>24</v>
      </c>
    </row>
    <row r="140" spans="2:17" x14ac:dyDescent="0.25">
      <c r="B140" s="5">
        <v>1861</v>
      </c>
      <c r="C140" s="3" t="s">
        <v>39</v>
      </c>
      <c r="D140" s="29">
        <v>3688450.5</v>
      </c>
      <c r="E140" s="7">
        <v>2019</v>
      </c>
      <c r="F140" s="8">
        <v>1</v>
      </c>
      <c r="G140" s="8">
        <v>0.5</v>
      </c>
      <c r="H140" s="8">
        <v>1</v>
      </c>
      <c r="I140" s="9">
        <v>43435</v>
      </c>
      <c r="J140" s="9">
        <v>43435</v>
      </c>
      <c r="K140" s="10">
        <v>25</v>
      </c>
      <c r="L140" s="3" t="s">
        <v>282</v>
      </c>
      <c r="M140" s="9">
        <f t="shared" si="6"/>
        <v>43435</v>
      </c>
      <c r="N140" s="9">
        <f t="shared" si="7"/>
        <v>44197</v>
      </c>
      <c r="O140" s="29">
        <f>VLOOKUP(B140,PROYECTO!A:H,8,0)</f>
        <v>0</v>
      </c>
      <c r="P140" s="9">
        <f t="array" ref="P140">MAX(MAX(IF($B:$B=B140,$N:$N)),MAX(IF(B140=HONORARIOS!B:B,HONORARIOS!M:M)))</f>
        <v>44197</v>
      </c>
      <c r="Q140" s="29">
        <f t="shared" si="8"/>
        <v>25</v>
      </c>
    </row>
    <row r="141" spans="2:17" x14ac:dyDescent="0.25">
      <c r="B141" s="5">
        <v>1861</v>
      </c>
      <c r="C141" s="3" t="s">
        <v>171</v>
      </c>
      <c r="D141" s="29">
        <v>4318753.95</v>
      </c>
      <c r="E141" s="7">
        <v>2019</v>
      </c>
      <c r="F141" s="8">
        <v>1</v>
      </c>
      <c r="G141" s="8">
        <v>0.5</v>
      </c>
      <c r="H141" s="8">
        <v>1</v>
      </c>
      <c r="I141" s="9">
        <v>43435</v>
      </c>
      <c r="J141" s="9">
        <v>43435</v>
      </c>
      <c r="K141" s="10">
        <v>24</v>
      </c>
      <c r="L141" s="3" t="s">
        <v>282</v>
      </c>
      <c r="M141" s="9">
        <f t="shared" si="6"/>
        <v>43435</v>
      </c>
      <c r="N141" s="9">
        <f t="shared" si="7"/>
        <v>44166</v>
      </c>
      <c r="O141" s="29">
        <f>VLOOKUP(B141,PROYECTO!A:H,8,0)</f>
        <v>0</v>
      </c>
      <c r="P141" s="9">
        <f t="array" ref="P141">MAX(MAX(IF($B:$B=B141,$N:$N)),MAX(IF(B141=HONORARIOS!B:B,HONORARIOS!M:M)))</f>
        <v>44197</v>
      </c>
      <c r="Q141" s="29">
        <f t="shared" si="8"/>
        <v>24</v>
      </c>
    </row>
    <row r="142" spans="2:17" x14ac:dyDescent="0.25">
      <c r="B142" s="5">
        <v>1861</v>
      </c>
      <c r="C142" s="3" t="s">
        <v>171</v>
      </c>
      <c r="D142" s="29">
        <v>4318753.95</v>
      </c>
      <c r="E142" s="7">
        <v>2019</v>
      </c>
      <c r="F142" s="8">
        <v>1</v>
      </c>
      <c r="G142" s="8">
        <v>0.5</v>
      </c>
      <c r="H142" s="8">
        <v>1</v>
      </c>
      <c r="I142" s="9">
        <v>43435</v>
      </c>
      <c r="J142" s="9">
        <v>43435</v>
      </c>
      <c r="K142" s="10">
        <v>24</v>
      </c>
      <c r="L142" s="3" t="s">
        <v>282</v>
      </c>
      <c r="M142" s="9">
        <f t="shared" si="6"/>
        <v>43435</v>
      </c>
      <c r="N142" s="9">
        <f t="shared" si="7"/>
        <v>44166</v>
      </c>
      <c r="O142" s="29">
        <f>VLOOKUP(B142,PROYECTO!A:H,8,0)</f>
        <v>0</v>
      </c>
      <c r="P142" s="9">
        <f t="array" ref="P142">MAX(MAX(IF($B:$B=B142,$N:$N)),MAX(IF(B142=HONORARIOS!B:B,HONORARIOS!M:M)))</f>
        <v>44197</v>
      </c>
      <c r="Q142" s="29">
        <f t="shared" si="8"/>
        <v>24</v>
      </c>
    </row>
    <row r="143" spans="2:17" x14ac:dyDescent="0.25">
      <c r="B143" s="5">
        <v>1873</v>
      </c>
      <c r="C143" s="3" t="s">
        <v>19</v>
      </c>
      <c r="D143" s="29">
        <v>11000000</v>
      </c>
      <c r="E143" s="7">
        <v>2018</v>
      </c>
      <c r="F143" s="8">
        <v>0.15</v>
      </c>
      <c r="G143" s="8">
        <v>0.62</v>
      </c>
      <c r="H143" s="8">
        <v>1</v>
      </c>
      <c r="I143" s="9">
        <v>43290</v>
      </c>
      <c r="J143" s="9">
        <v>43353</v>
      </c>
      <c r="K143" s="10">
        <v>17</v>
      </c>
      <c r="L143" s="3"/>
      <c r="M143" s="9">
        <f t="shared" si="6"/>
        <v>43282</v>
      </c>
      <c r="N143" s="9">
        <f t="shared" si="7"/>
        <v>43800</v>
      </c>
      <c r="O143" s="29">
        <f>VLOOKUP(B143,PROYECTO!A:H,8,0)</f>
        <v>0</v>
      </c>
      <c r="P143" s="9">
        <f t="array" ref="P143">MAX(MAX(IF($B:$B=B143,$N:$N)),MAX(IF(B143=HONORARIOS!B:B,HONORARIOS!M:M)))</f>
        <v>43839</v>
      </c>
      <c r="Q143" s="29">
        <f t="shared" si="8"/>
        <v>17</v>
      </c>
    </row>
    <row r="144" spans="2:17" x14ac:dyDescent="0.25">
      <c r="B144" s="5">
        <v>1873</v>
      </c>
      <c r="C144" s="3" t="s">
        <v>26</v>
      </c>
      <c r="D144" s="29">
        <v>3400000</v>
      </c>
      <c r="E144" s="7">
        <v>2018</v>
      </c>
      <c r="F144" s="8">
        <v>1</v>
      </c>
      <c r="G144" s="8">
        <v>0.5</v>
      </c>
      <c r="H144" s="8">
        <v>1</v>
      </c>
      <c r="I144" s="9">
        <v>43290</v>
      </c>
      <c r="J144" s="9">
        <v>43353</v>
      </c>
      <c r="K144" s="10">
        <v>17</v>
      </c>
      <c r="L144" s="3"/>
      <c r="M144" s="9">
        <f t="shared" si="6"/>
        <v>43282</v>
      </c>
      <c r="N144" s="9">
        <f t="shared" si="7"/>
        <v>43800</v>
      </c>
      <c r="O144" s="29">
        <f>VLOOKUP(B144,PROYECTO!A:H,8,0)</f>
        <v>0</v>
      </c>
      <c r="P144" s="9">
        <f t="array" ref="P144">MAX(MAX(IF($B:$B=B144,$N:$N)),MAX(IF(B144=HONORARIOS!B:B,HONORARIOS!M:M)))</f>
        <v>43839</v>
      </c>
      <c r="Q144" s="29">
        <f t="shared" si="8"/>
        <v>17</v>
      </c>
    </row>
    <row r="145" spans="2:17" x14ac:dyDescent="0.25">
      <c r="B145" s="5">
        <v>1873</v>
      </c>
      <c r="C145" s="3" t="s">
        <v>38</v>
      </c>
      <c r="D145" s="29">
        <v>2470000</v>
      </c>
      <c r="E145" s="7">
        <v>2018</v>
      </c>
      <c r="F145" s="8">
        <v>1</v>
      </c>
      <c r="G145" s="8">
        <v>0.59</v>
      </c>
      <c r="H145" s="8">
        <v>1</v>
      </c>
      <c r="I145" s="9">
        <v>43321</v>
      </c>
      <c r="J145" s="9">
        <v>43353</v>
      </c>
      <c r="K145" s="10">
        <v>13</v>
      </c>
      <c r="L145" s="3"/>
      <c r="M145" s="9">
        <f t="shared" ref="M145:M208" si="9">(MONTH(I145)&amp;"-"&amp;YEAR(I145))*1</f>
        <v>43313</v>
      </c>
      <c r="N145" s="9">
        <f t="shared" si="7"/>
        <v>43709</v>
      </c>
      <c r="O145" s="29">
        <f>VLOOKUP(B145,PROYECTO!A:H,8,0)</f>
        <v>0</v>
      </c>
      <c r="P145" s="9">
        <f t="array" ref="P145">MAX(MAX(IF($B:$B=B145,$N:$N)),MAX(IF(B145=HONORARIOS!B:B,HONORARIOS!M:M)))</f>
        <v>43839</v>
      </c>
      <c r="Q145" s="29">
        <f t="shared" si="8"/>
        <v>13</v>
      </c>
    </row>
    <row r="146" spans="2:17" x14ac:dyDescent="0.25">
      <c r="B146" s="5">
        <v>1873</v>
      </c>
      <c r="C146" s="3" t="s">
        <v>172</v>
      </c>
      <c r="D146" s="29">
        <v>2470001</v>
      </c>
      <c r="E146" s="7">
        <v>2018</v>
      </c>
      <c r="F146" s="8">
        <v>1</v>
      </c>
      <c r="G146" s="8">
        <v>0.59</v>
      </c>
      <c r="H146" s="8">
        <v>1</v>
      </c>
      <c r="I146" s="9">
        <v>43321</v>
      </c>
      <c r="J146" s="9"/>
      <c r="K146" s="10">
        <v>7</v>
      </c>
      <c r="L146" s="3"/>
      <c r="M146" s="9">
        <f t="shared" si="9"/>
        <v>43313</v>
      </c>
      <c r="N146" s="9">
        <f t="shared" si="7"/>
        <v>43525</v>
      </c>
      <c r="O146" s="29">
        <f>VLOOKUP(B146,PROYECTO!A:H,8,0)</f>
        <v>0</v>
      </c>
      <c r="P146" s="9">
        <f t="array" ref="P146">MAX(MAX(IF($B:$B=B146,$N:$N)),MAX(IF(B146=HONORARIOS!B:B,HONORARIOS!M:M)))</f>
        <v>43839</v>
      </c>
      <c r="Q146" s="29">
        <f t="shared" si="8"/>
        <v>7</v>
      </c>
    </row>
    <row r="147" spans="2:17" x14ac:dyDescent="0.25">
      <c r="B147" s="5">
        <v>1874</v>
      </c>
      <c r="C147" s="3" t="s">
        <v>173</v>
      </c>
      <c r="D147" s="29">
        <v>6613333</v>
      </c>
      <c r="E147" s="7">
        <v>2018</v>
      </c>
      <c r="F147" s="8">
        <v>1</v>
      </c>
      <c r="G147" s="8">
        <v>0.5</v>
      </c>
      <c r="H147" s="8">
        <v>1</v>
      </c>
      <c r="I147" s="9">
        <v>43348</v>
      </c>
      <c r="J147" s="9">
        <v>43360</v>
      </c>
      <c r="K147" s="10">
        <v>14</v>
      </c>
      <c r="L147" s="3"/>
      <c r="M147" s="9">
        <f t="shared" si="9"/>
        <v>43344</v>
      </c>
      <c r="N147" s="9">
        <f t="shared" si="7"/>
        <v>43770</v>
      </c>
      <c r="O147" s="29">
        <f>VLOOKUP(B147,PROYECTO!A:H,8,0)</f>
        <v>0</v>
      </c>
      <c r="P147" s="9">
        <f t="array" ref="P147">MAX(MAX(IF($B:$B=B147,$N:$N)),MAX(IF(B147=HONORARIOS!B:B,HONORARIOS!M:M)))</f>
        <v>43774</v>
      </c>
      <c r="Q147" s="29">
        <f t="shared" si="8"/>
        <v>14</v>
      </c>
    </row>
    <row r="148" spans="2:17" x14ac:dyDescent="0.25">
      <c r="B148" s="5">
        <v>1874</v>
      </c>
      <c r="C148" s="3" t="s">
        <v>123</v>
      </c>
      <c r="D148" s="29">
        <v>4576000</v>
      </c>
      <c r="E148" s="7">
        <v>2018</v>
      </c>
      <c r="F148" s="8">
        <v>1</v>
      </c>
      <c r="G148" s="8">
        <v>0.5</v>
      </c>
      <c r="H148" s="8">
        <v>1</v>
      </c>
      <c r="I148" s="9">
        <v>43348</v>
      </c>
      <c r="J148" s="9"/>
      <c r="K148" s="10">
        <v>12</v>
      </c>
      <c r="L148" s="3"/>
      <c r="M148" s="9">
        <f t="shared" si="9"/>
        <v>43344</v>
      </c>
      <c r="N148" s="9">
        <f t="shared" si="7"/>
        <v>43709</v>
      </c>
      <c r="O148" s="29">
        <f>VLOOKUP(B148,PROYECTO!A:H,8,0)</f>
        <v>0</v>
      </c>
      <c r="P148" s="9">
        <f t="array" ref="P148">MAX(MAX(IF($B:$B=B148,$N:$N)),MAX(IF(B148=HONORARIOS!B:B,HONORARIOS!M:M)))</f>
        <v>43774</v>
      </c>
      <c r="Q148" s="29">
        <f t="shared" si="8"/>
        <v>12</v>
      </c>
    </row>
    <row r="149" spans="2:17" x14ac:dyDescent="0.25">
      <c r="B149" s="5">
        <v>1874</v>
      </c>
      <c r="C149" s="3" t="s">
        <v>174</v>
      </c>
      <c r="D149" s="29">
        <v>3090000</v>
      </c>
      <c r="E149" s="7">
        <v>2018</v>
      </c>
      <c r="F149" s="8">
        <v>1</v>
      </c>
      <c r="G149" s="8">
        <v>0.5</v>
      </c>
      <c r="H149" s="8">
        <v>1</v>
      </c>
      <c r="I149" s="9">
        <v>43348</v>
      </c>
      <c r="J149" s="9">
        <v>43382</v>
      </c>
      <c r="K149" s="10">
        <v>12</v>
      </c>
      <c r="L149" s="3"/>
      <c r="M149" s="9">
        <f t="shared" si="9"/>
        <v>43344</v>
      </c>
      <c r="N149" s="9">
        <f t="shared" si="7"/>
        <v>43709</v>
      </c>
      <c r="O149" s="29">
        <f>VLOOKUP(B149,PROYECTO!A:H,8,0)</f>
        <v>0</v>
      </c>
      <c r="P149" s="9">
        <f t="array" ref="P149">MAX(MAX(IF($B:$B=B149,$N:$N)),MAX(IF(B149=HONORARIOS!B:B,HONORARIOS!M:M)))</f>
        <v>43774</v>
      </c>
      <c r="Q149" s="29">
        <f t="shared" si="8"/>
        <v>12</v>
      </c>
    </row>
    <row r="150" spans="2:17" x14ac:dyDescent="0.25">
      <c r="B150" s="5">
        <v>1874</v>
      </c>
      <c r="C150" s="3" t="s">
        <v>175</v>
      </c>
      <c r="D150" s="29">
        <v>2345667</v>
      </c>
      <c r="E150" s="7">
        <v>2018</v>
      </c>
      <c r="F150" s="8">
        <v>1</v>
      </c>
      <c r="G150" s="8">
        <v>0.59</v>
      </c>
      <c r="H150" s="8">
        <v>1</v>
      </c>
      <c r="I150" s="9">
        <v>43348</v>
      </c>
      <c r="J150" s="9">
        <v>43353</v>
      </c>
      <c r="K150" s="10">
        <v>14</v>
      </c>
      <c r="L150" s="3"/>
      <c r="M150" s="9">
        <f t="shared" si="9"/>
        <v>43344</v>
      </c>
      <c r="N150" s="9">
        <f t="shared" si="7"/>
        <v>43770</v>
      </c>
      <c r="O150" s="29">
        <f>VLOOKUP(B150,PROYECTO!A:H,8,0)</f>
        <v>0</v>
      </c>
      <c r="P150" s="9">
        <f t="array" ref="P150">MAX(MAX(IF($B:$B=B150,$N:$N)),MAX(IF(B150=HONORARIOS!B:B,HONORARIOS!M:M)))</f>
        <v>43774</v>
      </c>
      <c r="Q150" s="29">
        <f t="shared" si="8"/>
        <v>14</v>
      </c>
    </row>
    <row r="151" spans="2:17" x14ac:dyDescent="0.25">
      <c r="B151" s="5">
        <v>1861</v>
      </c>
      <c r="C151" s="3" t="s">
        <v>19</v>
      </c>
      <c r="D151" s="29">
        <v>12887420.700000001</v>
      </c>
      <c r="E151" s="7">
        <v>2019</v>
      </c>
      <c r="F151" s="8">
        <v>0.3</v>
      </c>
      <c r="G151" s="8">
        <v>0.62</v>
      </c>
      <c r="H151" s="8">
        <v>1</v>
      </c>
      <c r="I151" s="9">
        <v>43370</v>
      </c>
      <c r="J151" s="9">
        <v>43370</v>
      </c>
      <c r="K151" s="10">
        <v>24</v>
      </c>
      <c r="L151" s="3" t="s">
        <v>283</v>
      </c>
      <c r="M151" s="9">
        <f t="shared" si="9"/>
        <v>43344</v>
      </c>
      <c r="N151" s="9">
        <f t="shared" si="7"/>
        <v>44075</v>
      </c>
      <c r="O151" s="29">
        <f>VLOOKUP(B151,PROYECTO!A:H,8,0)</f>
        <v>0</v>
      </c>
      <c r="P151" s="9">
        <f t="array" ref="P151">MAX(MAX(IF($B:$B=B151,$N:$N)),MAX(IF(B151=HONORARIOS!B:B,HONORARIOS!M:M)))</f>
        <v>44197</v>
      </c>
      <c r="Q151" s="29">
        <f t="shared" si="8"/>
        <v>24</v>
      </c>
    </row>
    <row r="152" spans="2:17" x14ac:dyDescent="0.25">
      <c r="B152" s="5">
        <v>1861</v>
      </c>
      <c r="C152" s="3" t="s">
        <v>165</v>
      </c>
      <c r="D152" s="29">
        <v>2746679.25</v>
      </c>
      <c r="E152" s="7">
        <v>2019</v>
      </c>
      <c r="F152" s="8">
        <v>1</v>
      </c>
      <c r="G152" s="8">
        <v>0.5</v>
      </c>
      <c r="H152" s="8">
        <v>1</v>
      </c>
      <c r="I152" s="9">
        <v>43435</v>
      </c>
      <c r="J152" s="9">
        <v>43435</v>
      </c>
      <c r="K152" s="10">
        <v>24</v>
      </c>
      <c r="L152" s="3" t="s">
        <v>282</v>
      </c>
      <c r="M152" s="9">
        <f t="shared" si="9"/>
        <v>43435</v>
      </c>
      <c r="N152" s="9">
        <f t="shared" si="7"/>
        <v>44166</v>
      </c>
      <c r="O152" s="29">
        <f>VLOOKUP(B152,PROYECTO!A:H,8,0)</f>
        <v>0</v>
      </c>
      <c r="P152" s="9">
        <f t="array" ref="P152">MAX(MAX(IF($B:$B=B152,$N:$N)),MAX(IF(B152=HONORARIOS!B:B,HONORARIOS!M:M)))</f>
        <v>44197</v>
      </c>
      <c r="Q152" s="29">
        <f t="shared" si="8"/>
        <v>24</v>
      </c>
    </row>
    <row r="153" spans="2:17" x14ac:dyDescent="0.25">
      <c r="B153" s="5">
        <v>1881</v>
      </c>
      <c r="C153" s="3" t="s">
        <v>119</v>
      </c>
      <c r="D153" s="29">
        <v>4158663</v>
      </c>
      <c r="E153" s="7">
        <v>2018</v>
      </c>
      <c r="F153" s="8">
        <v>1</v>
      </c>
      <c r="G153" s="8">
        <v>0.5</v>
      </c>
      <c r="H153" s="8">
        <v>1</v>
      </c>
      <c r="I153" s="9">
        <v>43370</v>
      </c>
      <c r="J153" s="9">
        <v>43375</v>
      </c>
      <c r="K153" s="10">
        <v>23</v>
      </c>
      <c r="L153" s="3"/>
      <c r="M153" s="9">
        <f t="shared" si="9"/>
        <v>43344</v>
      </c>
      <c r="N153" s="9">
        <f t="shared" si="7"/>
        <v>44044</v>
      </c>
      <c r="O153" s="29">
        <f>VLOOKUP(B153,PROYECTO!A:H,8,0)</f>
        <v>0</v>
      </c>
      <c r="P153" s="9">
        <f t="array" ref="P153">MAX(MAX(IF($B:$B=B153,$N:$N)),MAX(IF(B153=HONORARIOS!B:B,HONORARIOS!M:M)))</f>
        <v>44070</v>
      </c>
      <c r="Q153" s="29">
        <f t="shared" si="8"/>
        <v>23</v>
      </c>
    </row>
    <row r="154" spans="2:17" x14ac:dyDescent="0.25">
      <c r="B154" s="5">
        <v>1881</v>
      </c>
      <c r="C154" s="3" t="s">
        <v>135</v>
      </c>
      <c r="D154" s="29">
        <v>2384790</v>
      </c>
      <c r="E154" s="7">
        <v>2018</v>
      </c>
      <c r="F154" s="8">
        <v>1</v>
      </c>
      <c r="G154" s="8">
        <v>0.59</v>
      </c>
      <c r="H154" s="8">
        <v>1</v>
      </c>
      <c r="I154" s="9">
        <v>43370</v>
      </c>
      <c r="J154" s="9">
        <v>43382</v>
      </c>
      <c r="K154" s="10">
        <v>23</v>
      </c>
      <c r="L154" s="3"/>
      <c r="M154" s="9">
        <f t="shared" si="9"/>
        <v>43344</v>
      </c>
      <c r="N154" s="9">
        <f t="shared" si="7"/>
        <v>44044</v>
      </c>
      <c r="O154" s="29">
        <f>VLOOKUP(B154,PROYECTO!A:H,8,0)</f>
        <v>0</v>
      </c>
      <c r="P154" s="9">
        <f t="array" ref="P154">MAX(MAX(IF($B:$B=B154,$N:$N)),MAX(IF(B154=HONORARIOS!B:B,HONORARIOS!M:M)))</f>
        <v>44070</v>
      </c>
      <c r="Q154" s="29">
        <f t="shared" si="8"/>
        <v>23</v>
      </c>
    </row>
    <row r="155" spans="2:17" x14ac:dyDescent="0.25">
      <c r="B155" s="5">
        <v>1880</v>
      </c>
      <c r="C155" s="3" t="s">
        <v>19</v>
      </c>
      <c r="D155" s="29">
        <v>10537284</v>
      </c>
      <c r="E155" s="7">
        <v>2017</v>
      </c>
      <c r="F155" s="8">
        <v>0.15</v>
      </c>
      <c r="G155" s="8">
        <v>0.62</v>
      </c>
      <c r="H155" s="8">
        <v>1</v>
      </c>
      <c r="I155" s="9">
        <v>43374</v>
      </c>
      <c r="J155" s="9">
        <v>43374</v>
      </c>
      <c r="K155" s="10">
        <v>7</v>
      </c>
      <c r="L155" s="3"/>
      <c r="M155" s="9">
        <f t="shared" si="9"/>
        <v>43374</v>
      </c>
      <c r="N155" s="9">
        <f t="shared" si="7"/>
        <v>43586</v>
      </c>
      <c r="O155" s="29">
        <f>VLOOKUP(B155,PROYECTO!A:H,8,0)</f>
        <v>0</v>
      </c>
      <c r="P155" s="9">
        <f t="array" ref="P155">MAX(MAX(IF($B:$B=B155,$N:$N)),MAX(IF(B155=HONORARIOS!B:B,HONORARIOS!M:M)))</f>
        <v>43647</v>
      </c>
      <c r="Q155" s="29">
        <f t="shared" si="8"/>
        <v>7</v>
      </c>
    </row>
    <row r="156" spans="2:17" x14ac:dyDescent="0.25">
      <c r="B156" s="5">
        <v>1880</v>
      </c>
      <c r="C156" s="3" t="s">
        <v>26</v>
      </c>
      <c r="D156" s="29">
        <v>3681600</v>
      </c>
      <c r="E156" s="7">
        <v>2017</v>
      </c>
      <c r="F156" s="8">
        <v>1</v>
      </c>
      <c r="G156" s="8">
        <v>0.5</v>
      </c>
      <c r="H156" s="8">
        <v>1</v>
      </c>
      <c r="I156" s="9">
        <v>43374</v>
      </c>
      <c r="J156" s="9">
        <v>43374</v>
      </c>
      <c r="K156" s="10">
        <v>9</v>
      </c>
      <c r="L156" s="3"/>
      <c r="M156" s="9">
        <f t="shared" si="9"/>
        <v>43374</v>
      </c>
      <c r="N156" s="9">
        <f t="shared" si="7"/>
        <v>43647</v>
      </c>
      <c r="O156" s="29">
        <f>VLOOKUP(B156,PROYECTO!A:H,8,0)</f>
        <v>0</v>
      </c>
      <c r="P156" s="9">
        <f t="array" ref="P156">MAX(MAX(IF($B:$B=B156,$N:$N)),MAX(IF(B156=HONORARIOS!B:B,HONORARIOS!M:M)))</f>
        <v>43647</v>
      </c>
      <c r="Q156" s="29">
        <f t="shared" si="8"/>
        <v>9</v>
      </c>
    </row>
    <row r="157" spans="2:17" x14ac:dyDescent="0.25">
      <c r="B157" s="5">
        <v>1880</v>
      </c>
      <c r="C157" s="3" t="s">
        <v>59</v>
      </c>
      <c r="D157" s="29">
        <v>2397632.4303360004</v>
      </c>
      <c r="E157" s="7">
        <v>2017</v>
      </c>
      <c r="F157" s="8">
        <v>1</v>
      </c>
      <c r="G157" s="8">
        <v>0.5</v>
      </c>
      <c r="H157" s="8">
        <v>1</v>
      </c>
      <c r="I157" s="9">
        <v>43374</v>
      </c>
      <c r="J157" s="9">
        <v>43381</v>
      </c>
      <c r="K157" s="10">
        <v>8</v>
      </c>
      <c r="L157" s="3"/>
      <c r="M157" s="9">
        <f t="shared" si="9"/>
        <v>43374</v>
      </c>
      <c r="N157" s="9">
        <f t="shared" si="7"/>
        <v>43617</v>
      </c>
      <c r="O157" s="29">
        <f>VLOOKUP(B157,PROYECTO!A:H,8,0)</f>
        <v>0</v>
      </c>
      <c r="P157" s="9">
        <f t="array" ref="P157">MAX(MAX(IF($B:$B=B157,$N:$N)),MAX(IF(B157=HONORARIOS!B:B,HONORARIOS!M:M)))</f>
        <v>43647</v>
      </c>
      <c r="Q157" s="29">
        <f t="shared" si="8"/>
        <v>8</v>
      </c>
    </row>
    <row r="158" spans="2:17" x14ac:dyDescent="0.25">
      <c r="B158" s="5">
        <v>1880</v>
      </c>
      <c r="C158" s="3" t="s">
        <v>35</v>
      </c>
      <c r="D158" s="29">
        <v>1824659</v>
      </c>
      <c r="E158" s="7">
        <v>2017</v>
      </c>
      <c r="F158" s="8">
        <v>1</v>
      </c>
      <c r="G158" s="8">
        <v>0.59</v>
      </c>
      <c r="H158" s="8">
        <v>1</v>
      </c>
      <c r="I158" s="9">
        <v>43374</v>
      </c>
      <c r="J158" s="9">
        <v>43374</v>
      </c>
      <c r="K158" s="10">
        <v>7</v>
      </c>
      <c r="L158" s="3"/>
      <c r="M158" s="9">
        <f t="shared" si="9"/>
        <v>43374</v>
      </c>
      <c r="N158" s="9">
        <f t="shared" si="7"/>
        <v>43586</v>
      </c>
      <c r="O158" s="29">
        <f>VLOOKUP(B158,PROYECTO!A:H,8,0)</f>
        <v>0</v>
      </c>
      <c r="P158" s="9">
        <f t="array" ref="P158">MAX(MAX(IF($B:$B=B158,$N:$N)),MAX(IF(B158=HONORARIOS!B:B,HONORARIOS!M:M)))</f>
        <v>43647</v>
      </c>
      <c r="Q158" s="29">
        <f t="shared" si="8"/>
        <v>7</v>
      </c>
    </row>
    <row r="159" spans="2:17" x14ac:dyDescent="0.25">
      <c r="B159" s="5">
        <v>1880</v>
      </c>
      <c r="C159" s="3" t="s">
        <v>35</v>
      </c>
      <c r="D159" s="29">
        <v>1954992</v>
      </c>
      <c r="E159" s="7">
        <v>2017</v>
      </c>
      <c r="F159" s="8">
        <v>1</v>
      </c>
      <c r="G159" s="8">
        <v>0.59</v>
      </c>
      <c r="H159" s="8">
        <v>1</v>
      </c>
      <c r="I159" s="9">
        <v>43374</v>
      </c>
      <c r="J159" s="9"/>
      <c r="K159" s="10">
        <v>5</v>
      </c>
      <c r="L159" s="3"/>
      <c r="M159" s="9">
        <f t="shared" si="9"/>
        <v>43374</v>
      </c>
      <c r="N159" s="9">
        <f t="shared" si="7"/>
        <v>43525</v>
      </c>
      <c r="O159" s="29">
        <f>VLOOKUP(B159,PROYECTO!A:H,8,0)</f>
        <v>0</v>
      </c>
      <c r="P159" s="9">
        <f t="array" ref="P159">MAX(MAX(IF($B:$B=B159,$N:$N)),MAX(IF(B159=HONORARIOS!B:B,HONORARIOS!M:M)))</f>
        <v>43647</v>
      </c>
      <c r="Q159" s="29">
        <f t="shared" si="8"/>
        <v>5</v>
      </c>
    </row>
    <row r="160" spans="2:17" x14ac:dyDescent="0.25">
      <c r="B160" s="5">
        <v>1877</v>
      </c>
      <c r="C160" s="3" t="s">
        <v>12</v>
      </c>
      <c r="D160" s="29">
        <v>7087680</v>
      </c>
      <c r="E160" s="7">
        <v>2018</v>
      </c>
      <c r="F160" s="8">
        <v>1</v>
      </c>
      <c r="G160" s="8">
        <v>0.5</v>
      </c>
      <c r="H160" s="8">
        <v>1</v>
      </c>
      <c r="I160" s="9">
        <v>43381</v>
      </c>
      <c r="J160" s="9"/>
      <c r="K160" s="10">
        <v>18</v>
      </c>
      <c r="L160" s="3"/>
      <c r="M160" s="9">
        <f t="shared" si="9"/>
        <v>43374</v>
      </c>
      <c r="N160" s="9">
        <f t="shared" si="7"/>
        <v>43922</v>
      </c>
      <c r="O160" s="29">
        <f>VLOOKUP(B160,PROYECTO!A:H,8,0)</f>
        <v>0</v>
      </c>
      <c r="P160" s="9">
        <f t="array" ref="P160">MAX(MAX(IF($B:$B=B160,$N:$N)),MAX(IF(B160=HONORARIOS!B:B,HONORARIOS!M:M)))</f>
        <v>43929</v>
      </c>
      <c r="Q160" s="29">
        <f t="shared" si="8"/>
        <v>18</v>
      </c>
    </row>
    <row r="161" spans="2:17" x14ac:dyDescent="0.25">
      <c r="B161" s="5">
        <v>1877</v>
      </c>
      <c r="C161" s="3" t="s">
        <v>176</v>
      </c>
      <c r="D161" s="29">
        <v>4387000</v>
      </c>
      <c r="E161" s="7">
        <v>2018</v>
      </c>
      <c r="F161" s="8">
        <v>1</v>
      </c>
      <c r="G161" s="8">
        <v>0.5</v>
      </c>
      <c r="H161" s="8">
        <v>1</v>
      </c>
      <c r="I161" s="9">
        <v>43381</v>
      </c>
      <c r="J161" s="9"/>
      <c r="K161" s="10">
        <v>15</v>
      </c>
      <c r="L161" s="3"/>
      <c r="M161" s="9">
        <f t="shared" si="9"/>
        <v>43374</v>
      </c>
      <c r="N161" s="9">
        <f t="shared" si="7"/>
        <v>43831</v>
      </c>
      <c r="O161" s="29">
        <f>VLOOKUP(B161,PROYECTO!A:H,8,0)</f>
        <v>0</v>
      </c>
      <c r="P161" s="9">
        <f t="array" ref="P161">MAX(MAX(IF($B:$B=B161,$N:$N)),MAX(IF(B161=HONORARIOS!B:B,HONORARIOS!M:M)))</f>
        <v>43929</v>
      </c>
      <c r="Q161" s="29">
        <f t="shared" si="8"/>
        <v>15</v>
      </c>
    </row>
    <row r="162" spans="2:17" x14ac:dyDescent="0.25">
      <c r="B162" s="5">
        <v>1877</v>
      </c>
      <c r="C162" s="3" t="s">
        <v>177</v>
      </c>
      <c r="D162" s="29">
        <v>4387000</v>
      </c>
      <c r="E162" s="7">
        <v>2018</v>
      </c>
      <c r="F162" s="8">
        <v>1</v>
      </c>
      <c r="G162" s="8">
        <v>0.5</v>
      </c>
      <c r="H162" s="8">
        <v>1</v>
      </c>
      <c r="I162" s="9">
        <v>43381</v>
      </c>
      <c r="J162" s="9"/>
      <c r="K162" s="10">
        <v>13</v>
      </c>
      <c r="L162" s="3"/>
      <c r="M162" s="9">
        <f t="shared" si="9"/>
        <v>43374</v>
      </c>
      <c r="N162" s="9">
        <f t="shared" si="7"/>
        <v>43770</v>
      </c>
      <c r="O162" s="29">
        <f>VLOOKUP(B162,PROYECTO!A:H,8,0)</f>
        <v>0</v>
      </c>
      <c r="P162" s="9">
        <f t="array" ref="P162">MAX(MAX(IF($B:$B=B162,$N:$N)),MAX(IF(B162=HONORARIOS!B:B,HONORARIOS!M:M)))</f>
        <v>43929</v>
      </c>
      <c r="Q162" s="29">
        <f t="shared" si="8"/>
        <v>13</v>
      </c>
    </row>
    <row r="163" spans="2:17" x14ac:dyDescent="0.25">
      <c r="B163" s="5">
        <v>1877</v>
      </c>
      <c r="C163" s="3" t="s">
        <v>39</v>
      </c>
      <c r="D163" s="29">
        <v>3205720</v>
      </c>
      <c r="E163" s="7">
        <v>2018</v>
      </c>
      <c r="F163" s="8">
        <v>1</v>
      </c>
      <c r="G163" s="8">
        <v>0.5</v>
      </c>
      <c r="H163" s="8">
        <v>1</v>
      </c>
      <c r="I163" s="9">
        <v>43381</v>
      </c>
      <c r="J163" s="9"/>
      <c r="K163" s="10">
        <v>18</v>
      </c>
      <c r="L163" s="3"/>
      <c r="M163" s="9">
        <f t="shared" si="9"/>
        <v>43374</v>
      </c>
      <c r="N163" s="9">
        <f t="shared" si="7"/>
        <v>43922</v>
      </c>
      <c r="O163" s="29">
        <f>VLOOKUP(B163,PROYECTO!A:H,8,0)</f>
        <v>0</v>
      </c>
      <c r="P163" s="9">
        <f t="array" ref="P163">MAX(MAX(IF($B:$B=B163,$N:$N)),MAX(IF(B163=HONORARIOS!B:B,HONORARIOS!M:M)))</f>
        <v>43929</v>
      </c>
      <c r="Q163" s="29">
        <f t="shared" si="8"/>
        <v>18</v>
      </c>
    </row>
    <row r="164" spans="2:17" x14ac:dyDescent="0.25">
      <c r="B164" s="5">
        <v>1877</v>
      </c>
      <c r="C164" s="3" t="s">
        <v>178</v>
      </c>
      <c r="D164" s="29">
        <v>2889000</v>
      </c>
      <c r="E164" s="7">
        <v>2018</v>
      </c>
      <c r="F164" s="8">
        <v>1</v>
      </c>
      <c r="G164" s="8">
        <v>0.5</v>
      </c>
      <c r="H164" s="8">
        <v>1</v>
      </c>
      <c r="I164" s="9">
        <v>43381</v>
      </c>
      <c r="J164" s="9"/>
      <c r="K164" s="10">
        <v>18</v>
      </c>
      <c r="L164" s="3"/>
      <c r="M164" s="9">
        <f t="shared" si="9"/>
        <v>43374</v>
      </c>
      <c r="N164" s="9">
        <f t="shared" si="7"/>
        <v>43922</v>
      </c>
      <c r="O164" s="29">
        <f>VLOOKUP(B164,PROYECTO!A:H,8,0)</f>
        <v>0</v>
      </c>
      <c r="P164" s="9">
        <f t="array" ref="P164">MAX(MAX(IF($B:$B=B164,$N:$N)),MAX(IF(B164=HONORARIOS!B:B,HONORARIOS!M:M)))</f>
        <v>43929</v>
      </c>
      <c r="Q164" s="29">
        <f t="shared" si="8"/>
        <v>18</v>
      </c>
    </row>
    <row r="165" spans="2:17" x14ac:dyDescent="0.25">
      <c r="B165" s="5">
        <v>1877</v>
      </c>
      <c r="C165" s="3" t="s">
        <v>41</v>
      </c>
      <c r="D165" s="29">
        <v>4387000</v>
      </c>
      <c r="E165" s="7">
        <v>2018</v>
      </c>
      <c r="F165" s="8">
        <v>1.35</v>
      </c>
      <c r="G165" s="8">
        <v>0.5</v>
      </c>
      <c r="H165" s="8">
        <v>1</v>
      </c>
      <c r="I165" s="9">
        <v>43381</v>
      </c>
      <c r="J165" s="9"/>
      <c r="K165" s="10">
        <v>11</v>
      </c>
      <c r="L165" s="3"/>
      <c r="M165" s="9">
        <f t="shared" si="9"/>
        <v>43374</v>
      </c>
      <c r="N165" s="9">
        <f t="shared" si="7"/>
        <v>43709</v>
      </c>
      <c r="O165" s="29">
        <f>VLOOKUP(B165,PROYECTO!A:H,8,0)</f>
        <v>0</v>
      </c>
      <c r="P165" s="9">
        <f t="array" ref="P165">MAX(MAX(IF($B:$B=B165,$N:$N)),MAX(IF(B165=HONORARIOS!B:B,HONORARIOS!M:M)))</f>
        <v>43929</v>
      </c>
      <c r="Q165" s="29">
        <f t="shared" si="8"/>
        <v>11</v>
      </c>
    </row>
    <row r="166" spans="2:17" x14ac:dyDescent="0.25">
      <c r="B166" s="5">
        <v>1877</v>
      </c>
      <c r="C166" s="3" t="s">
        <v>179</v>
      </c>
      <c r="D166" s="29">
        <v>4387000</v>
      </c>
      <c r="E166" s="7">
        <v>2018</v>
      </c>
      <c r="F166" s="8">
        <v>1.35</v>
      </c>
      <c r="G166" s="8">
        <v>0.5</v>
      </c>
      <c r="H166" s="8">
        <v>1</v>
      </c>
      <c r="I166" s="9">
        <v>43381</v>
      </c>
      <c r="J166" s="9"/>
      <c r="K166" s="10">
        <v>5</v>
      </c>
      <c r="L166" s="3"/>
      <c r="M166" s="9">
        <f t="shared" si="9"/>
        <v>43374</v>
      </c>
      <c r="N166" s="9">
        <f t="shared" si="7"/>
        <v>43525</v>
      </c>
      <c r="O166" s="29">
        <f>VLOOKUP(B166,PROYECTO!A:H,8,0)</f>
        <v>0</v>
      </c>
      <c r="P166" s="9">
        <f t="array" ref="P166">MAX(MAX(IF($B:$B=B166,$N:$N)),MAX(IF(B166=HONORARIOS!B:B,HONORARIOS!M:M)))</f>
        <v>43929</v>
      </c>
      <c r="Q166" s="29">
        <f t="shared" si="8"/>
        <v>5</v>
      </c>
    </row>
    <row r="167" spans="2:17" x14ac:dyDescent="0.25">
      <c r="B167" s="5">
        <v>1877</v>
      </c>
      <c r="C167" s="3" t="s">
        <v>180</v>
      </c>
      <c r="D167" s="29">
        <v>2173810</v>
      </c>
      <c r="E167" s="7">
        <v>2018</v>
      </c>
      <c r="F167" s="8">
        <v>1.35</v>
      </c>
      <c r="G167" s="8">
        <v>0.59</v>
      </c>
      <c r="H167" s="8">
        <v>1</v>
      </c>
      <c r="I167" s="9">
        <v>43381</v>
      </c>
      <c r="J167" s="9"/>
      <c r="K167" s="10">
        <v>15</v>
      </c>
      <c r="L167" s="3"/>
      <c r="M167" s="9">
        <f t="shared" si="9"/>
        <v>43374</v>
      </c>
      <c r="N167" s="9">
        <f t="shared" si="7"/>
        <v>43831</v>
      </c>
      <c r="O167" s="29">
        <f>VLOOKUP(B167,PROYECTO!A:H,8,0)</f>
        <v>0</v>
      </c>
      <c r="P167" s="9">
        <f t="array" ref="P167">MAX(MAX(IF($B:$B=B167,$N:$N)),MAX(IF(B167=HONORARIOS!B:B,HONORARIOS!M:M)))</f>
        <v>43929</v>
      </c>
      <c r="Q167" s="29">
        <f t="shared" si="8"/>
        <v>15</v>
      </c>
    </row>
    <row r="168" spans="2:17" x14ac:dyDescent="0.25">
      <c r="B168" s="5">
        <v>1877</v>
      </c>
      <c r="C168" s="3" t="s">
        <v>181</v>
      </c>
      <c r="D168" s="29">
        <v>2173810</v>
      </c>
      <c r="E168" s="7">
        <v>2018</v>
      </c>
      <c r="F168" s="8">
        <v>1.35</v>
      </c>
      <c r="G168" s="8">
        <v>0.59</v>
      </c>
      <c r="H168" s="8">
        <v>1</v>
      </c>
      <c r="I168" s="9">
        <v>43381</v>
      </c>
      <c r="J168" s="9"/>
      <c r="K168" s="10">
        <v>10</v>
      </c>
      <c r="L168" s="3"/>
      <c r="M168" s="9">
        <f t="shared" si="9"/>
        <v>43374</v>
      </c>
      <c r="N168" s="9">
        <f t="shared" si="7"/>
        <v>43678</v>
      </c>
      <c r="O168" s="29">
        <f>VLOOKUP(B168,PROYECTO!A:H,8,0)</f>
        <v>0</v>
      </c>
      <c r="P168" s="9">
        <f t="array" ref="P168">MAX(MAX(IF($B:$B=B168,$N:$N)),MAX(IF(B168=HONORARIOS!B:B,HONORARIOS!M:M)))</f>
        <v>43929</v>
      </c>
      <c r="Q168" s="29">
        <f t="shared" si="8"/>
        <v>10</v>
      </c>
    </row>
    <row r="169" spans="2:17" x14ac:dyDescent="0.25">
      <c r="B169" s="5">
        <v>1877</v>
      </c>
      <c r="C169" s="3" t="s">
        <v>135</v>
      </c>
      <c r="D169" s="29">
        <v>2173810</v>
      </c>
      <c r="E169" s="7">
        <v>2018</v>
      </c>
      <c r="F169" s="8">
        <v>1</v>
      </c>
      <c r="G169" s="8">
        <v>0.59</v>
      </c>
      <c r="H169" s="8">
        <v>1</v>
      </c>
      <c r="I169" s="9">
        <v>43381</v>
      </c>
      <c r="J169" s="9"/>
      <c r="K169" s="10">
        <v>11</v>
      </c>
      <c r="L169" s="3"/>
      <c r="M169" s="9">
        <f t="shared" si="9"/>
        <v>43374</v>
      </c>
      <c r="N169" s="9">
        <f t="shared" si="7"/>
        <v>43709</v>
      </c>
      <c r="O169" s="29">
        <f>VLOOKUP(B169,PROYECTO!A:H,8,0)</f>
        <v>0</v>
      </c>
      <c r="P169" s="9">
        <f t="array" ref="P169">MAX(MAX(IF($B:$B=B169,$N:$N)),MAX(IF(B169=HONORARIOS!B:B,HONORARIOS!M:M)))</f>
        <v>43929</v>
      </c>
      <c r="Q169" s="29">
        <f t="shared" si="8"/>
        <v>11</v>
      </c>
    </row>
    <row r="170" spans="2:17" x14ac:dyDescent="0.25">
      <c r="B170" s="5">
        <v>1877</v>
      </c>
      <c r="C170" s="3" t="s">
        <v>182</v>
      </c>
      <c r="D170" s="29">
        <v>2173810</v>
      </c>
      <c r="E170" s="7">
        <v>2018</v>
      </c>
      <c r="F170" s="8">
        <v>1</v>
      </c>
      <c r="G170" s="8">
        <v>0.61692499999999995</v>
      </c>
      <c r="H170" s="8">
        <v>1</v>
      </c>
      <c r="I170" s="9">
        <v>43381</v>
      </c>
      <c r="J170" s="9"/>
      <c r="K170" s="10">
        <v>13</v>
      </c>
      <c r="L170" s="3" t="s">
        <v>183</v>
      </c>
      <c r="M170" s="9">
        <f t="shared" si="9"/>
        <v>43374</v>
      </c>
      <c r="N170" s="9">
        <f t="shared" si="7"/>
        <v>43770</v>
      </c>
      <c r="O170" s="29">
        <f>VLOOKUP(B170,PROYECTO!A:H,8,0)</f>
        <v>0</v>
      </c>
      <c r="P170" s="9">
        <f t="array" ref="P170">MAX(MAX(IF($B:$B=B170,$N:$N)),MAX(IF(B170=HONORARIOS!B:B,HONORARIOS!M:M)))</f>
        <v>43929</v>
      </c>
      <c r="Q170" s="29">
        <f t="shared" si="8"/>
        <v>13</v>
      </c>
    </row>
    <row r="171" spans="2:17" x14ac:dyDescent="0.25">
      <c r="B171" s="5">
        <v>1877</v>
      </c>
      <c r="C171" s="3" t="s">
        <v>24</v>
      </c>
      <c r="D171" s="29">
        <v>2190000</v>
      </c>
      <c r="E171" s="7">
        <v>2018</v>
      </c>
      <c r="F171" s="8">
        <v>1.35</v>
      </c>
      <c r="G171" s="8">
        <v>0.59</v>
      </c>
      <c r="H171" s="8">
        <v>1</v>
      </c>
      <c r="I171" s="9">
        <v>43381</v>
      </c>
      <c r="J171" s="9"/>
      <c r="K171" s="10">
        <v>11</v>
      </c>
      <c r="L171" s="3"/>
      <c r="M171" s="9">
        <f t="shared" si="9"/>
        <v>43374</v>
      </c>
      <c r="N171" s="9">
        <f t="shared" si="7"/>
        <v>43709</v>
      </c>
      <c r="O171" s="29">
        <f>VLOOKUP(B171,PROYECTO!A:H,8,0)</f>
        <v>0</v>
      </c>
      <c r="P171" s="9">
        <f t="array" ref="P171">MAX(MAX(IF($B:$B=B171,$N:$N)),MAX(IF(B171=HONORARIOS!B:B,HONORARIOS!M:M)))</f>
        <v>43929</v>
      </c>
      <c r="Q171" s="29">
        <f t="shared" si="8"/>
        <v>11</v>
      </c>
    </row>
    <row r="172" spans="2:17" x14ac:dyDescent="0.25">
      <c r="B172" s="5">
        <v>1856</v>
      </c>
      <c r="C172" s="3" t="s">
        <v>154</v>
      </c>
      <c r="D172" s="29">
        <v>5850000</v>
      </c>
      <c r="E172" s="7">
        <v>2018</v>
      </c>
      <c r="F172" s="8">
        <v>0.2</v>
      </c>
      <c r="G172" s="8">
        <v>0.5</v>
      </c>
      <c r="H172" s="8">
        <v>1</v>
      </c>
      <c r="I172" s="9">
        <v>43282</v>
      </c>
      <c r="J172" s="9">
        <v>43282</v>
      </c>
      <c r="K172" s="10">
        <v>1</v>
      </c>
      <c r="L172" s="3" t="s">
        <v>280</v>
      </c>
      <c r="M172" s="9">
        <f t="shared" si="9"/>
        <v>43282</v>
      </c>
      <c r="N172" s="9">
        <f t="shared" si="7"/>
        <v>43313</v>
      </c>
      <c r="O172" s="29">
        <f>VLOOKUP(B172,PROYECTO!A:H,8,0)</f>
        <v>0</v>
      </c>
      <c r="P172" s="9">
        <f t="array" ref="P172">MAX(MAX(IF($B:$B=B172,$N:$N)),MAX(IF(B172=HONORARIOS!B:B,HONORARIOS!M:M)))</f>
        <v>44256</v>
      </c>
      <c r="Q172" s="29">
        <f t="shared" si="8"/>
        <v>1</v>
      </c>
    </row>
    <row r="173" spans="2:17" x14ac:dyDescent="0.25">
      <c r="B173" s="5">
        <v>1856</v>
      </c>
      <c r="C173" s="3" t="s">
        <v>150</v>
      </c>
      <c r="D173" s="29">
        <v>6100000</v>
      </c>
      <c r="E173" s="7">
        <v>2018</v>
      </c>
      <c r="F173" s="8">
        <v>0.2</v>
      </c>
      <c r="G173" s="8">
        <v>0.5</v>
      </c>
      <c r="H173" s="8">
        <v>1</v>
      </c>
      <c r="I173" s="9">
        <v>43282</v>
      </c>
      <c r="J173" s="9">
        <v>43282</v>
      </c>
      <c r="K173" s="10">
        <v>1</v>
      </c>
      <c r="L173" s="3" t="s">
        <v>280</v>
      </c>
      <c r="M173" s="9">
        <f t="shared" si="9"/>
        <v>43282</v>
      </c>
      <c r="N173" s="9">
        <f t="shared" si="7"/>
        <v>43313</v>
      </c>
      <c r="O173" s="29">
        <f>VLOOKUP(B173,PROYECTO!A:H,8,0)</f>
        <v>0</v>
      </c>
      <c r="P173" s="9">
        <f t="array" ref="P173">MAX(MAX(IF($B:$B=B173,$N:$N)),MAX(IF(B173=HONORARIOS!B:B,HONORARIOS!M:M)))</f>
        <v>44256</v>
      </c>
      <c r="Q173" s="29">
        <f t="shared" si="8"/>
        <v>1</v>
      </c>
    </row>
    <row r="174" spans="2:17" x14ac:dyDescent="0.25">
      <c r="B174" s="5">
        <v>1856</v>
      </c>
      <c r="C174" s="3" t="s">
        <v>157</v>
      </c>
      <c r="D174" s="29">
        <v>5600000</v>
      </c>
      <c r="E174" s="7">
        <v>2018</v>
      </c>
      <c r="F174" s="8">
        <v>0.2</v>
      </c>
      <c r="G174" s="8">
        <v>0.5</v>
      </c>
      <c r="H174" s="8">
        <v>1</v>
      </c>
      <c r="I174" s="9">
        <v>43282</v>
      </c>
      <c r="J174" s="9">
        <v>43282</v>
      </c>
      <c r="K174" s="10">
        <v>1</v>
      </c>
      <c r="L174" s="3" t="s">
        <v>280</v>
      </c>
      <c r="M174" s="9">
        <f t="shared" si="9"/>
        <v>43282</v>
      </c>
      <c r="N174" s="9">
        <f t="shared" si="7"/>
        <v>43313</v>
      </c>
      <c r="O174" s="29">
        <f>VLOOKUP(B174,PROYECTO!A:H,8,0)</f>
        <v>0</v>
      </c>
      <c r="P174" s="9">
        <f t="array" ref="P174">MAX(MAX(IF($B:$B=B174,$N:$N)),MAX(IF(B174=HONORARIOS!B:B,HONORARIOS!M:M)))</f>
        <v>44256</v>
      </c>
      <c r="Q174" s="29">
        <f t="shared" si="8"/>
        <v>1</v>
      </c>
    </row>
    <row r="175" spans="2:17" x14ac:dyDescent="0.25">
      <c r="B175" s="5">
        <v>1856</v>
      </c>
      <c r="C175" s="3" t="s">
        <v>164</v>
      </c>
      <c r="D175" s="29">
        <v>5850000</v>
      </c>
      <c r="E175" s="7">
        <v>2018</v>
      </c>
      <c r="F175" s="8">
        <v>0.2</v>
      </c>
      <c r="G175" s="8">
        <v>0.5</v>
      </c>
      <c r="H175" s="8">
        <v>1</v>
      </c>
      <c r="I175" s="9">
        <v>43282</v>
      </c>
      <c r="J175" s="9">
        <v>43282</v>
      </c>
      <c r="K175" s="10">
        <v>1</v>
      </c>
      <c r="L175" s="3" t="s">
        <v>280</v>
      </c>
      <c r="M175" s="9">
        <f t="shared" si="9"/>
        <v>43282</v>
      </c>
      <c r="N175" s="9">
        <f t="shared" si="7"/>
        <v>43313</v>
      </c>
      <c r="O175" s="29">
        <f>VLOOKUP(B175,PROYECTO!A:H,8,0)</f>
        <v>0</v>
      </c>
      <c r="P175" s="9">
        <f t="array" ref="P175">MAX(MAX(IF($B:$B=B175,$N:$N)),MAX(IF(B175=HONORARIOS!B:B,HONORARIOS!M:M)))</f>
        <v>44256</v>
      </c>
      <c r="Q175" s="29">
        <f t="shared" si="8"/>
        <v>1</v>
      </c>
    </row>
    <row r="176" spans="2:17" x14ac:dyDescent="0.25">
      <c r="B176" s="5">
        <v>1856</v>
      </c>
      <c r="C176" s="3" t="s">
        <v>24</v>
      </c>
      <c r="D176" s="29">
        <v>2259223</v>
      </c>
      <c r="E176" s="7">
        <v>2018</v>
      </c>
      <c r="F176" s="8">
        <v>1</v>
      </c>
      <c r="G176" s="8">
        <v>0.59</v>
      </c>
      <c r="H176" s="8">
        <v>1</v>
      </c>
      <c r="I176" s="9">
        <v>43282</v>
      </c>
      <c r="J176" s="9">
        <v>43282</v>
      </c>
      <c r="K176" s="10">
        <v>31</v>
      </c>
      <c r="L176" s="3" t="s">
        <v>280</v>
      </c>
      <c r="M176" s="9">
        <f t="shared" si="9"/>
        <v>43282</v>
      </c>
      <c r="N176" s="9">
        <f t="shared" si="7"/>
        <v>44228</v>
      </c>
      <c r="O176" s="29">
        <f>VLOOKUP(B176,PROYECTO!A:H,8,0)</f>
        <v>0</v>
      </c>
      <c r="P176" s="9">
        <f t="array" ref="P176">MAX(MAX(IF($B:$B=B176,$N:$N)),MAX(IF(B176=HONORARIOS!B:B,HONORARIOS!M:M)))</f>
        <v>44256</v>
      </c>
      <c r="Q176" s="29">
        <f t="shared" si="8"/>
        <v>31</v>
      </c>
    </row>
    <row r="177" spans="2:17" x14ac:dyDescent="0.25">
      <c r="B177" s="5">
        <v>1829</v>
      </c>
      <c r="C177" s="3" t="s">
        <v>143</v>
      </c>
      <c r="D177" s="29">
        <v>3812400</v>
      </c>
      <c r="E177" s="7">
        <v>2018</v>
      </c>
      <c r="F177" s="8">
        <v>1</v>
      </c>
      <c r="G177" s="8">
        <v>0.5</v>
      </c>
      <c r="H177" s="8">
        <v>1</v>
      </c>
      <c r="I177" s="9">
        <v>43168</v>
      </c>
      <c r="J177" s="9">
        <v>43277</v>
      </c>
      <c r="K177" s="10">
        <v>25</v>
      </c>
      <c r="L177" s="3" t="s">
        <v>138</v>
      </c>
      <c r="M177" s="9">
        <f t="shared" si="9"/>
        <v>43160</v>
      </c>
      <c r="N177" s="9">
        <f t="shared" si="7"/>
        <v>43922</v>
      </c>
      <c r="O177" s="29">
        <f>VLOOKUP(B177,PROYECTO!A:H,8,0)</f>
        <v>0</v>
      </c>
      <c r="P177" s="9">
        <f t="array" ref="P177">MAX(MAX(IF($B:$B=B177,$N:$N)),MAX(IF(B177=HONORARIOS!B:B,HONORARIOS!M:M)))</f>
        <v>44021</v>
      </c>
      <c r="Q177" s="29">
        <f t="shared" si="8"/>
        <v>25</v>
      </c>
    </row>
    <row r="178" spans="2:17" x14ac:dyDescent="0.25">
      <c r="B178" s="5">
        <v>1818</v>
      </c>
      <c r="C178" s="3" t="s">
        <v>90</v>
      </c>
      <c r="D178" s="29">
        <v>6790000</v>
      </c>
      <c r="E178" s="7">
        <v>2017</v>
      </c>
      <c r="F178" s="8">
        <v>0.04</v>
      </c>
      <c r="G178" s="8">
        <v>0.5</v>
      </c>
      <c r="H178" s="8">
        <v>1</v>
      </c>
      <c r="I178" s="9">
        <v>43282</v>
      </c>
      <c r="J178" s="9"/>
      <c r="K178" s="10">
        <v>3</v>
      </c>
      <c r="L178" s="3" t="s">
        <v>133</v>
      </c>
      <c r="M178" s="9">
        <f t="shared" si="9"/>
        <v>43282</v>
      </c>
      <c r="N178" s="9">
        <f t="shared" si="7"/>
        <v>43374</v>
      </c>
      <c r="O178" s="29">
        <f>VLOOKUP(B178,PROYECTO!A:H,8,0)</f>
        <v>0</v>
      </c>
      <c r="P178" s="9">
        <f t="array" ref="P178">MAX(MAX(IF($B:$B=B178,$N:$N)),MAX(IF(B178=HONORARIOS!B:B,HONORARIOS!M:M)))</f>
        <v>43831</v>
      </c>
      <c r="Q178" s="29">
        <f t="shared" si="8"/>
        <v>3</v>
      </c>
    </row>
    <row r="179" spans="2:17" x14ac:dyDescent="0.25">
      <c r="B179" s="5">
        <v>1818</v>
      </c>
      <c r="C179" s="3" t="s">
        <v>132</v>
      </c>
      <c r="D179" s="29">
        <v>4750000</v>
      </c>
      <c r="E179" s="7">
        <v>2017</v>
      </c>
      <c r="F179" s="8">
        <v>0.2</v>
      </c>
      <c r="G179" s="8">
        <v>0.5</v>
      </c>
      <c r="H179" s="8">
        <v>1</v>
      </c>
      <c r="I179" s="9">
        <v>43282</v>
      </c>
      <c r="J179" s="9"/>
      <c r="K179" s="10">
        <v>3</v>
      </c>
      <c r="L179" s="3" t="s">
        <v>133</v>
      </c>
      <c r="M179" s="9">
        <f t="shared" si="9"/>
        <v>43282</v>
      </c>
      <c r="N179" s="9">
        <f t="shared" si="7"/>
        <v>43374</v>
      </c>
      <c r="O179" s="29">
        <f>VLOOKUP(B179,PROYECTO!A:H,8,0)</f>
        <v>0</v>
      </c>
      <c r="P179" s="9">
        <f t="array" ref="P179">MAX(MAX(IF($B:$B=B179,$N:$N)),MAX(IF(B179=HONORARIOS!B:B,HONORARIOS!M:M)))</f>
        <v>43831</v>
      </c>
      <c r="Q179" s="29">
        <f t="shared" si="8"/>
        <v>3</v>
      </c>
    </row>
    <row r="180" spans="2:17" x14ac:dyDescent="0.25">
      <c r="B180" s="5">
        <v>1818</v>
      </c>
      <c r="C180" s="3" t="s">
        <v>16</v>
      </c>
      <c r="D180" s="29">
        <v>230000</v>
      </c>
      <c r="E180" s="7">
        <v>2017</v>
      </c>
      <c r="F180" s="8">
        <v>1</v>
      </c>
      <c r="G180" s="8">
        <v>0.5</v>
      </c>
      <c r="H180" s="8">
        <v>1</v>
      </c>
      <c r="I180" s="9">
        <v>43466</v>
      </c>
      <c r="J180" s="9"/>
      <c r="K180" s="10">
        <v>8</v>
      </c>
      <c r="L180" s="3" t="s">
        <v>131</v>
      </c>
      <c r="M180" s="9">
        <f t="shared" si="9"/>
        <v>43466</v>
      </c>
      <c r="N180" s="9">
        <f t="shared" si="7"/>
        <v>43709</v>
      </c>
      <c r="O180" s="29">
        <f>VLOOKUP(B180,PROYECTO!A:H,8,0)</f>
        <v>0</v>
      </c>
      <c r="P180" s="9">
        <f t="array" ref="P180">MAX(MAX(IF($B:$B=B180,$N:$N)),MAX(IF(B180=HONORARIOS!B:B,HONORARIOS!M:M)))</f>
        <v>43831</v>
      </c>
      <c r="Q180" s="29">
        <f t="shared" si="8"/>
        <v>8</v>
      </c>
    </row>
    <row r="181" spans="2:17" x14ac:dyDescent="0.25">
      <c r="B181" s="5">
        <v>1753</v>
      </c>
      <c r="C181" s="3" t="s">
        <v>122</v>
      </c>
      <c r="D181" s="29">
        <v>4650220</v>
      </c>
      <c r="E181" s="7">
        <v>2018</v>
      </c>
      <c r="F181" s="8">
        <v>1</v>
      </c>
      <c r="G181" s="8">
        <v>0.5</v>
      </c>
      <c r="H181" s="8">
        <v>1</v>
      </c>
      <c r="I181" s="9">
        <v>43283</v>
      </c>
      <c r="J181" s="9">
        <v>43254</v>
      </c>
      <c r="K181" s="10">
        <v>7</v>
      </c>
      <c r="L181" s="3"/>
      <c r="M181" s="9">
        <f t="shared" si="9"/>
        <v>43282</v>
      </c>
      <c r="N181" s="9">
        <f t="shared" si="7"/>
        <v>43497</v>
      </c>
      <c r="O181" s="29">
        <f>VLOOKUP(B181,PROYECTO!A:H,8,0)</f>
        <v>0</v>
      </c>
      <c r="P181" s="9">
        <f t="array" ref="P181">MAX(MAX(IF($B:$B=B181,$N:$N)),MAX(IF(B181=HONORARIOS!B:B,HONORARIOS!M:M)))</f>
        <v>43497</v>
      </c>
      <c r="Q181" s="29">
        <f t="shared" si="8"/>
        <v>7</v>
      </c>
    </row>
    <row r="182" spans="2:17" x14ac:dyDescent="0.25">
      <c r="B182" s="5">
        <v>1753</v>
      </c>
      <c r="C182" s="3" t="s">
        <v>59</v>
      </c>
      <c r="D182" s="29">
        <v>1590000</v>
      </c>
      <c r="E182" s="7">
        <v>2018</v>
      </c>
      <c r="F182" s="8">
        <v>1</v>
      </c>
      <c r="G182" s="8">
        <v>0.5</v>
      </c>
      <c r="H182" s="8">
        <v>1</v>
      </c>
      <c r="I182" s="9">
        <v>43283</v>
      </c>
      <c r="J182" s="9">
        <v>43254</v>
      </c>
      <c r="K182" s="10">
        <v>7</v>
      </c>
      <c r="L182" s="3"/>
      <c r="M182" s="9">
        <f t="shared" si="9"/>
        <v>43282</v>
      </c>
      <c r="N182" s="9">
        <f t="shared" si="7"/>
        <v>43497</v>
      </c>
      <c r="O182" s="29">
        <f>VLOOKUP(B182,PROYECTO!A:H,8,0)</f>
        <v>0</v>
      </c>
      <c r="P182" s="9">
        <f t="array" ref="P182">MAX(MAX(IF($B:$B=B182,$N:$N)),MAX(IF(B182=HONORARIOS!B:B,HONORARIOS!M:M)))</f>
        <v>43497</v>
      </c>
      <c r="Q182" s="29">
        <f t="shared" si="8"/>
        <v>7</v>
      </c>
    </row>
    <row r="183" spans="2:17" x14ac:dyDescent="0.25">
      <c r="B183" s="5">
        <v>1753</v>
      </c>
      <c r="C183" s="3" t="s">
        <v>24</v>
      </c>
      <c r="D183" s="29">
        <v>2495240</v>
      </c>
      <c r="E183" s="7">
        <v>2018</v>
      </c>
      <c r="F183" s="8">
        <v>1</v>
      </c>
      <c r="G183" s="8">
        <v>0.59</v>
      </c>
      <c r="H183" s="8">
        <v>1</v>
      </c>
      <c r="I183" s="9">
        <v>43283</v>
      </c>
      <c r="J183" s="9">
        <v>43254</v>
      </c>
      <c r="K183" s="10">
        <v>7</v>
      </c>
      <c r="L183" s="3"/>
      <c r="M183" s="9">
        <f t="shared" si="9"/>
        <v>43282</v>
      </c>
      <c r="N183" s="9">
        <f t="shared" si="7"/>
        <v>43497</v>
      </c>
      <c r="O183" s="29">
        <f>VLOOKUP(B183,PROYECTO!A:H,8,0)</f>
        <v>0</v>
      </c>
      <c r="P183" s="9">
        <f t="array" ref="P183">MAX(MAX(IF($B:$B=B183,$N:$N)),MAX(IF(B183=HONORARIOS!B:B,HONORARIOS!M:M)))</f>
        <v>43497</v>
      </c>
      <c r="Q183" s="29">
        <f t="shared" si="8"/>
        <v>7</v>
      </c>
    </row>
    <row r="184" spans="2:17" x14ac:dyDescent="0.25">
      <c r="B184" s="5">
        <v>1753</v>
      </c>
      <c r="C184" s="3" t="s">
        <v>38</v>
      </c>
      <c r="D184" s="29">
        <v>2495240</v>
      </c>
      <c r="E184" s="7">
        <v>2018</v>
      </c>
      <c r="F184" s="8">
        <v>1</v>
      </c>
      <c r="G184" s="8">
        <v>0.59</v>
      </c>
      <c r="H184" s="8">
        <v>1</v>
      </c>
      <c r="I184" s="9">
        <v>43283</v>
      </c>
      <c r="J184" s="9">
        <v>43254</v>
      </c>
      <c r="K184" s="10">
        <v>7</v>
      </c>
      <c r="L184" s="3"/>
      <c r="M184" s="9">
        <f t="shared" si="9"/>
        <v>43282</v>
      </c>
      <c r="N184" s="9">
        <f t="shared" si="7"/>
        <v>43497</v>
      </c>
      <c r="O184" s="29">
        <f>VLOOKUP(B184,PROYECTO!A:H,8,0)</f>
        <v>0</v>
      </c>
      <c r="P184" s="9">
        <f t="array" ref="P184">MAX(MAX(IF($B:$B=B184,$N:$N)),MAX(IF(B184=HONORARIOS!B:B,HONORARIOS!M:M)))</f>
        <v>43497</v>
      </c>
      <c r="Q184" s="29">
        <f t="shared" si="8"/>
        <v>7</v>
      </c>
    </row>
    <row r="185" spans="2:17" x14ac:dyDescent="0.25">
      <c r="B185" s="5">
        <v>1751</v>
      </c>
      <c r="C185" s="3" t="s">
        <v>34</v>
      </c>
      <c r="D185" s="29">
        <v>2998558</v>
      </c>
      <c r="E185" s="7">
        <v>2017</v>
      </c>
      <c r="F185" s="8">
        <v>1</v>
      </c>
      <c r="G185" s="8">
        <v>0.5</v>
      </c>
      <c r="H185" s="8">
        <v>1</v>
      </c>
      <c r="I185" s="9">
        <v>42797</v>
      </c>
      <c r="J185" s="9">
        <v>43206</v>
      </c>
      <c r="K185" s="10">
        <v>13</v>
      </c>
      <c r="L185" s="3" t="s">
        <v>121</v>
      </c>
      <c r="M185" s="9">
        <f t="shared" si="9"/>
        <v>42795</v>
      </c>
      <c r="N185" s="9">
        <f t="shared" si="7"/>
        <v>43191</v>
      </c>
      <c r="O185" s="29">
        <f>VLOOKUP(B185,PROYECTO!A:H,8,0)</f>
        <v>3</v>
      </c>
      <c r="P185" s="9">
        <f t="array" ref="P185">MAX(MAX(IF($B:$B=B185,$N:$N)),MAX(IF(B185=HONORARIOS!B:B,HONORARIOS!M:M)))</f>
        <v>43545</v>
      </c>
      <c r="Q185" s="29">
        <f t="shared" si="8"/>
        <v>13</v>
      </c>
    </row>
    <row r="186" spans="2:17" x14ac:dyDescent="0.25">
      <c r="B186" s="5">
        <v>1751</v>
      </c>
      <c r="C186" s="3" t="s">
        <v>38</v>
      </c>
      <c r="D186" s="29">
        <v>2362500</v>
      </c>
      <c r="E186" s="7">
        <v>2017</v>
      </c>
      <c r="F186" s="8">
        <v>1</v>
      </c>
      <c r="G186" s="8">
        <v>0.59</v>
      </c>
      <c r="H186" s="8">
        <v>1</v>
      </c>
      <c r="I186" s="9">
        <v>42797</v>
      </c>
      <c r="J186" s="9">
        <v>42828</v>
      </c>
      <c r="K186" s="10">
        <v>22</v>
      </c>
      <c r="L186" s="3" t="s">
        <v>121</v>
      </c>
      <c r="M186" s="9">
        <f t="shared" si="9"/>
        <v>42795</v>
      </c>
      <c r="N186" s="9">
        <f t="shared" si="7"/>
        <v>43466</v>
      </c>
      <c r="O186" s="29">
        <f>VLOOKUP(B186,PROYECTO!A:H,8,0)</f>
        <v>3</v>
      </c>
      <c r="P186" s="9">
        <f t="array" ref="P186">MAX(MAX(IF($B:$B=B186,$N:$N)),MAX(IF(B186=HONORARIOS!B:B,HONORARIOS!M:M)))</f>
        <v>43545</v>
      </c>
      <c r="Q186" s="29">
        <f t="shared" si="8"/>
        <v>22</v>
      </c>
    </row>
    <row r="187" spans="2:17" x14ac:dyDescent="0.25">
      <c r="B187" s="5">
        <v>1751</v>
      </c>
      <c r="C187" s="3" t="s">
        <v>23</v>
      </c>
      <c r="D187" s="29">
        <v>2202577</v>
      </c>
      <c r="E187" s="7">
        <v>2017</v>
      </c>
      <c r="F187" s="8">
        <v>1</v>
      </c>
      <c r="G187" s="8">
        <v>0.59</v>
      </c>
      <c r="H187" s="8">
        <v>1</v>
      </c>
      <c r="I187" s="9">
        <v>42797</v>
      </c>
      <c r="J187" s="9">
        <v>43269</v>
      </c>
      <c r="K187" s="10">
        <v>13</v>
      </c>
      <c r="L187" s="3" t="s">
        <v>121</v>
      </c>
      <c r="M187" s="9">
        <f t="shared" si="9"/>
        <v>42795</v>
      </c>
      <c r="N187" s="9">
        <f t="shared" si="7"/>
        <v>43191</v>
      </c>
      <c r="O187" s="29">
        <f>VLOOKUP(B187,PROYECTO!A:H,8,0)</f>
        <v>3</v>
      </c>
      <c r="P187" s="9">
        <f t="array" ref="P187">MAX(MAX(IF($B:$B=B187,$N:$N)),MAX(IF(B187=HONORARIOS!B:B,HONORARIOS!M:M)))</f>
        <v>43545</v>
      </c>
      <c r="Q187" s="29">
        <f t="shared" si="8"/>
        <v>13</v>
      </c>
    </row>
    <row r="188" spans="2:17" x14ac:dyDescent="0.25">
      <c r="B188" s="5">
        <v>1713</v>
      </c>
      <c r="C188" s="3" t="s">
        <v>19</v>
      </c>
      <c r="D188" s="29">
        <v>9969277.7399999984</v>
      </c>
      <c r="E188" s="7">
        <v>2019</v>
      </c>
      <c r="F188" s="8">
        <v>0.2</v>
      </c>
      <c r="G188" s="8">
        <v>0.62</v>
      </c>
      <c r="H188" s="8">
        <v>1</v>
      </c>
      <c r="I188" s="9">
        <v>43224</v>
      </c>
      <c r="J188" s="9">
        <v>42646</v>
      </c>
      <c r="K188" s="10">
        <v>9</v>
      </c>
      <c r="L188" s="3" t="s">
        <v>89</v>
      </c>
      <c r="M188" s="9">
        <f t="shared" si="9"/>
        <v>43221</v>
      </c>
      <c r="N188" s="9">
        <f t="shared" si="7"/>
        <v>43497</v>
      </c>
      <c r="O188" s="29">
        <f>VLOOKUP(B188,PROYECTO!A:H,8,0)</f>
        <v>2</v>
      </c>
      <c r="P188" s="9">
        <f t="array" ref="P188">MAX(MAX(IF($B:$B=B188,$N:$N)),MAX(IF(B188=HONORARIOS!B:B,HONORARIOS!M:M)))</f>
        <v>43497</v>
      </c>
      <c r="Q188" s="29">
        <f t="shared" si="8"/>
        <v>11</v>
      </c>
    </row>
    <row r="189" spans="2:17" x14ac:dyDescent="0.25">
      <c r="B189" s="5">
        <v>1713</v>
      </c>
      <c r="C189" s="3" t="s">
        <v>83</v>
      </c>
      <c r="D189" s="29">
        <v>7326818.5800000001</v>
      </c>
      <c r="E189" s="7">
        <v>2019</v>
      </c>
      <c r="F189" s="8">
        <v>1</v>
      </c>
      <c r="G189" s="8">
        <v>0.5</v>
      </c>
      <c r="H189" s="8">
        <v>1</v>
      </c>
      <c r="I189" s="9">
        <v>43224</v>
      </c>
      <c r="J189" s="9">
        <v>42668</v>
      </c>
      <c r="K189" s="10">
        <v>9</v>
      </c>
      <c r="L189" s="3" t="s">
        <v>89</v>
      </c>
      <c r="M189" s="9">
        <f t="shared" si="9"/>
        <v>43221</v>
      </c>
      <c r="N189" s="9">
        <f t="shared" si="7"/>
        <v>43497</v>
      </c>
      <c r="O189" s="29">
        <f>VLOOKUP(B189,PROYECTO!A:H,8,0)</f>
        <v>2</v>
      </c>
      <c r="P189" s="9">
        <f t="array" ref="P189">MAX(MAX(IF($B:$B=B189,$N:$N)),MAX(IF(B189=HONORARIOS!B:B,HONORARIOS!M:M)))</f>
        <v>43497</v>
      </c>
      <c r="Q189" s="29">
        <f t="shared" si="8"/>
        <v>11</v>
      </c>
    </row>
    <row r="190" spans="2:17" x14ac:dyDescent="0.25">
      <c r="B190" s="5">
        <v>1713</v>
      </c>
      <c r="C190" s="3" t="s">
        <v>86</v>
      </c>
      <c r="D190" s="29">
        <v>4744415.3099999996</v>
      </c>
      <c r="E190" s="7">
        <v>2019</v>
      </c>
      <c r="F190" s="8">
        <v>1</v>
      </c>
      <c r="G190" s="8">
        <v>0.5</v>
      </c>
      <c r="H190" s="8">
        <v>1</v>
      </c>
      <c r="I190" s="9">
        <v>43224</v>
      </c>
      <c r="J190" s="9">
        <v>42646</v>
      </c>
      <c r="K190" s="10">
        <v>9</v>
      </c>
      <c r="L190" s="3" t="s">
        <v>89</v>
      </c>
      <c r="M190" s="9">
        <f t="shared" si="9"/>
        <v>43221</v>
      </c>
      <c r="N190" s="9">
        <f t="shared" si="7"/>
        <v>43497</v>
      </c>
      <c r="O190" s="29">
        <f>VLOOKUP(B190,PROYECTO!A:H,8,0)</f>
        <v>2</v>
      </c>
      <c r="P190" s="9">
        <f t="array" ref="P190">MAX(MAX(IF($B:$B=B190,$N:$N)),MAX(IF(B190=HONORARIOS!B:B,HONORARIOS!M:M)))</f>
        <v>43497</v>
      </c>
      <c r="Q190" s="29">
        <f t="shared" si="8"/>
        <v>11</v>
      </c>
    </row>
    <row r="191" spans="2:17" x14ac:dyDescent="0.25">
      <c r="B191" s="5">
        <v>1713</v>
      </c>
      <c r="C191" s="3" t="s">
        <v>87</v>
      </c>
      <c r="D191" s="29">
        <v>3723465.18</v>
      </c>
      <c r="E191" s="7">
        <v>2019</v>
      </c>
      <c r="F191" s="8">
        <v>1</v>
      </c>
      <c r="G191" s="8">
        <v>0.5</v>
      </c>
      <c r="H191" s="8">
        <v>1</v>
      </c>
      <c r="I191" s="9">
        <v>43224</v>
      </c>
      <c r="J191" s="9">
        <v>42689</v>
      </c>
      <c r="K191" s="10">
        <v>3</v>
      </c>
      <c r="L191" s="3" t="s">
        <v>89</v>
      </c>
      <c r="M191" s="9">
        <f t="shared" si="9"/>
        <v>43221</v>
      </c>
      <c r="N191" s="9">
        <f t="shared" si="7"/>
        <v>43313</v>
      </c>
      <c r="O191" s="29">
        <f>VLOOKUP(B191,PROYECTO!A:H,8,0)</f>
        <v>2</v>
      </c>
      <c r="P191" s="9">
        <f t="array" ref="P191">MAX(MAX(IF($B:$B=B191,$N:$N)),MAX(IF(B191=HONORARIOS!B:B,HONORARIOS!M:M)))</f>
        <v>43497</v>
      </c>
      <c r="Q191" s="29">
        <f t="shared" si="8"/>
        <v>3</v>
      </c>
    </row>
    <row r="192" spans="2:17" x14ac:dyDescent="0.25">
      <c r="B192" s="5">
        <v>1713</v>
      </c>
      <c r="C192" s="3" t="s">
        <v>35</v>
      </c>
      <c r="D192" s="29">
        <v>2426257.9560000002</v>
      </c>
      <c r="E192" s="7">
        <v>2019</v>
      </c>
      <c r="F192" s="8">
        <v>1</v>
      </c>
      <c r="G192" s="8">
        <v>0.59</v>
      </c>
      <c r="H192" s="8">
        <v>1</v>
      </c>
      <c r="I192" s="9">
        <v>43224</v>
      </c>
      <c r="J192" s="9">
        <v>42667</v>
      </c>
      <c r="K192" s="10">
        <v>9</v>
      </c>
      <c r="L192" s="3" t="s">
        <v>89</v>
      </c>
      <c r="M192" s="9">
        <f t="shared" si="9"/>
        <v>43221</v>
      </c>
      <c r="N192" s="9">
        <f t="shared" si="7"/>
        <v>43497</v>
      </c>
      <c r="O192" s="29">
        <f>VLOOKUP(B192,PROYECTO!A:H,8,0)</f>
        <v>2</v>
      </c>
      <c r="P192" s="9">
        <f t="array" ref="P192">MAX(MAX(IF($B:$B=B192,$N:$N)),MAX(IF(B192=HONORARIOS!B:B,HONORARIOS!M:M)))</f>
        <v>43497</v>
      </c>
      <c r="Q192" s="29">
        <f t="shared" si="8"/>
        <v>11</v>
      </c>
    </row>
    <row r="193" spans="2:17" x14ac:dyDescent="0.25">
      <c r="B193" s="5">
        <v>1701</v>
      </c>
      <c r="C193" s="3" t="s">
        <v>78</v>
      </c>
      <c r="D193" s="29">
        <v>2400000</v>
      </c>
      <c r="E193" s="7">
        <v>2016</v>
      </c>
      <c r="F193" s="8">
        <v>0.5</v>
      </c>
      <c r="G193" s="8">
        <v>0.5</v>
      </c>
      <c r="H193" s="8">
        <v>1</v>
      </c>
      <c r="I193" s="9">
        <v>42614</v>
      </c>
      <c r="J193" s="9"/>
      <c r="K193" s="10">
        <v>6</v>
      </c>
      <c r="L193" s="3" t="s">
        <v>77</v>
      </c>
      <c r="M193" s="9">
        <f t="shared" si="9"/>
        <v>42614</v>
      </c>
      <c r="N193" s="9">
        <f t="shared" si="7"/>
        <v>42795</v>
      </c>
      <c r="O193" s="29">
        <f>VLOOKUP(B193,PROYECTO!A:H,8,0)</f>
        <v>0</v>
      </c>
      <c r="P193" s="9">
        <f t="array" ref="P193">MAX(MAX(IF($B:$B=B193,$N:$N)),MAX(IF(B193=HONORARIOS!B:B,HONORARIOS!M:M)))</f>
        <v>43862</v>
      </c>
      <c r="Q193" s="29">
        <f t="shared" si="8"/>
        <v>6</v>
      </c>
    </row>
    <row r="194" spans="2:17" x14ac:dyDescent="0.25">
      <c r="B194" s="5">
        <v>1689</v>
      </c>
      <c r="C194" s="3" t="s">
        <v>74</v>
      </c>
      <c r="D194" s="29">
        <v>1920000</v>
      </c>
      <c r="E194" s="7">
        <v>2016</v>
      </c>
      <c r="F194" s="8">
        <v>1</v>
      </c>
      <c r="G194" s="8">
        <v>0.59</v>
      </c>
      <c r="H194" s="8">
        <v>1</v>
      </c>
      <c r="I194" s="9">
        <v>42601</v>
      </c>
      <c r="J194" s="9"/>
      <c r="K194" s="10">
        <v>11</v>
      </c>
      <c r="L194" s="3" t="s">
        <v>73</v>
      </c>
      <c r="M194" s="9">
        <f t="shared" si="9"/>
        <v>42583</v>
      </c>
      <c r="N194" s="9">
        <f t="shared" si="7"/>
        <v>42917</v>
      </c>
      <c r="O194" s="29">
        <f>VLOOKUP(B194,PROYECTO!A:H,8,0)</f>
        <v>9</v>
      </c>
      <c r="P194" s="9">
        <f t="array" ref="P194">MAX(MAX(IF($B:$B=B194,$N:$N)),MAX(IF(B194=HONORARIOS!B:B,HONORARIOS!M:M)))</f>
        <v>43800</v>
      </c>
      <c r="Q194" s="29">
        <f t="shared" si="8"/>
        <v>11</v>
      </c>
    </row>
    <row r="195" spans="2:17" x14ac:dyDescent="0.25">
      <c r="B195" s="5">
        <v>1687</v>
      </c>
      <c r="C195" s="3" t="s">
        <v>70</v>
      </c>
      <c r="D195" s="29">
        <v>4342748</v>
      </c>
      <c r="E195" s="7">
        <v>2019</v>
      </c>
      <c r="F195" s="8">
        <v>1</v>
      </c>
      <c r="G195" s="8">
        <v>0.5</v>
      </c>
      <c r="H195" s="8">
        <v>1</v>
      </c>
      <c r="I195" s="9">
        <v>42556</v>
      </c>
      <c r="J195" s="9">
        <v>42913</v>
      </c>
      <c r="K195" s="10">
        <v>5</v>
      </c>
      <c r="L195" s="3" t="s">
        <v>66</v>
      </c>
      <c r="M195" s="9">
        <f t="shared" si="9"/>
        <v>42552</v>
      </c>
      <c r="N195" s="9">
        <f t="shared" ref="N195:N258" si="10">EDATE(M195,K195)</f>
        <v>42705</v>
      </c>
      <c r="O195" s="29">
        <f>VLOOKUP(B195,PROYECTO!A:H,8,0)</f>
        <v>0</v>
      </c>
      <c r="P195" s="9">
        <f t="array" ref="P195">MAX(MAX(IF($B:$B=B195,$N:$N)),MAX(IF(B195=HONORARIOS!B:B,HONORARIOS!M:M)))</f>
        <v>43586</v>
      </c>
      <c r="Q195" s="29">
        <f t="shared" ref="Q195:Q258" si="11">IF(P195=N195,K195+O195,K195)</f>
        <v>5</v>
      </c>
    </row>
    <row r="196" spans="2:17" x14ac:dyDescent="0.25">
      <c r="B196" s="5">
        <v>1687</v>
      </c>
      <c r="C196" s="3" t="s">
        <v>71</v>
      </c>
      <c r="D196" s="29">
        <v>5410353</v>
      </c>
      <c r="E196" s="7">
        <v>2019</v>
      </c>
      <c r="F196" s="8">
        <v>1</v>
      </c>
      <c r="G196" s="8">
        <v>0.5</v>
      </c>
      <c r="H196" s="8">
        <v>1</v>
      </c>
      <c r="I196" s="9">
        <v>42556</v>
      </c>
      <c r="J196" s="9">
        <v>42590</v>
      </c>
      <c r="K196" s="10">
        <v>23</v>
      </c>
      <c r="L196" s="3" t="s">
        <v>66</v>
      </c>
      <c r="M196" s="9">
        <f t="shared" si="9"/>
        <v>42552</v>
      </c>
      <c r="N196" s="9">
        <f t="shared" si="10"/>
        <v>43252</v>
      </c>
      <c r="O196" s="29">
        <f>VLOOKUP(B196,PROYECTO!A:H,8,0)</f>
        <v>0</v>
      </c>
      <c r="P196" s="9">
        <f t="array" ref="P196">MAX(MAX(IF($B:$B=B196,$N:$N)),MAX(IF(B196=HONORARIOS!B:B,HONORARIOS!M:M)))</f>
        <v>43586</v>
      </c>
      <c r="Q196" s="29">
        <f t="shared" si="11"/>
        <v>23</v>
      </c>
    </row>
    <row r="197" spans="2:17" x14ac:dyDescent="0.25">
      <c r="B197" s="5">
        <v>1618</v>
      </c>
      <c r="C197" s="3" t="s">
        <v>44</v>
      </c>
      <c r="D197" s="29">
        <v>1780670</v>
      </c>
      <c r="E197" s="7">
        <v>2015</v>
      </c>
      <c r="F197" s="8">
        <v>1.35</v>
      </c>
      <c r="G197" s="8">
        <v>0.5</v>
      </c>
      <c r="H197" s="8">
        <v>1</v>
      </c>
      <c r="I197" s="9">
        <v>42129</v>
      </c>
      <c r="J197" s="9">
        <v>42283</v>
      </c>
      <c r="K197" s="10">
        <v>12</v>
      </c>
      <c r="L197" s="3" t="s">
        <v>40</v>
      </c>
      <c r="M197" s="9">
        <f t="shared" si="9"/>
        <v>42125</v>
      </c>
      <c r="N197" s="9">
        <f t="shared" si="10"/>
        <v>42491</v>
      </c>
      <c r="O197" s="29">
        <f>VLOOKUP(B197,PROYECTO!A:H,8,0)</f>
        <v>2</v>
      </c>
      <c r="P197" s="9">
        <f t="array" ref="P197">MAX(MAX(IF($B:$B=B197,$N:$N)),MAX(IF(B197=HONORARIOS!B:B,HONORARIOS!M:M)))</f>
        <v>43525</v>
      </c>
      <c r="Q197" s="29">
        <f t="shared" si="11"/>
        <v>12</v>
      </c>
    </row>
    <row r="198" spans="2:17" x14ac:dyDescent="0.25">
      <c r="B198" s="5">
        <v>1723</v>
      </c>
      <c r="C198" s="3" t="s">
        <v>19</v>
      </c>
      <c r="D198" s="29">
        <v>10816397</v>
      </c>
      <c r="E198" s="7">
        <v>2016</v>
      </c>
      <c r="F198" s="8">
        <v>0.3</v>
      </c>
      <c r="G198" s="8">
        <v>0.62</v>
      </c>
      <c r="H198" s="8">
        <v>1</v>
      </c>
      <c r="I198" s="9">
        <v>42632</v>
      </c>
      <c r="J198" s="9">
        <v>42632</v>
      </c>
      <c r="K198" s="10">
        <v>34</v>
      </c>
      <c r="L198" s="3" t="s">
        <v>92</v>
      </c>
      <c r="M198" s="9">
        <f t="shared" si="9"/>
        <v>42614</v>
      </c>
      <c r="N198" s="9">
        <f t="shared" si="10"/>
        <v>43647</v>
      </c>
      <c r="O198" s="29">
        <f>VLOOKUP(B198,PROYECTO!A:H,8,0)</f>
        <v>0</v>
      </c>
      <c r="P198" s="9">
        <f t="array" ref="P198">MAX(MAX(IF($B:$B=B198,$N:$N)),MAX(IF(B198=HONORARIOS!B:B,HONORARIOS!M:M)))</f>
        <v>43665</v>
      </c>
      <c r="Q198" s="29">
        <f t="shared" si="11"/>
        <v>34</v>
      </c>
    </row>
    <row r="199" spans="2:17" x14ac:dyDescent="0.25">
      <c r="B199" s="5">
        <v>1723</v>
      </c>
      <c r="C199" s="3" t="s">
        <v>12</v>
      </c>
      <c r="D199" s="29">
        <v>6489838</v>
      </c>
      <c r="E199" s="7">
        <v>2016</v>
      </c>
      <c r="F199" s="8">
        <v>1</v>
      </c>
      <c r="G199" s="8">
        <v>0.5</v>
      </c>
      <c r="H199" s="8">
        <v>1</v>
      </c>
      <c r="I199" s="9">
        <v>42632</v>
      </c>
      <c r="J199" s="9">
        <v>42632</v>
      </c>
      <c r="K199" s="10">
        <v>34</v>
      </c>
      <c r="L199" s="3" t="s">
        <v>92</v>
      </c>
      <c r="M199" s="9">
        <f t="shared" si="9"/>
        <v>42614</v>
      </c>
      <c r="N199" s="9">
        <f t="shared" si="10"/>
        <v>43647</v>
      </c>
      <c r="O199" s="29">
        <f>VLOOKUP(B199,PROYECTO!A:H,8,0)</f>
        <v>0</v>
      </c>
      <c r="P199" s="9">
        <f t="array" ref="P199">MAX(MAX(IF($B:$B=B199,$N:$N)),MAX(IF(B199=HONORARIOS!B:B,HONORARIOS!M:M)))</f>
        <v>43665</v>
      </c>
      <c r="Q199" s="29">
        <f t="shared" si="11"/>
        <v>34</v>
      </c>
    </row>
    <row r="200" spans="2:17" x14ac:dyDescent="0.25">
      <c r="B200" s="5">
        <v>1723</v>
      </c>
      <c r="C200" s="3" t="s">
        <v>93</v>
      </c>
      <c r="D200" s="29">
        <v>6911678</v>
      </c>
      <c r="E200" s="7">
        <v>2016</v>
      </c>
      <c r="F200" s="8">
        <v>0.08</v>
      </c>
      <c r="G200" s="8">
        <v>0.5</v>
      </c>
      <c r="H200" s="8">
        <v>1</v>
      </c>
      <c r="I200" s="9">
        <v>42632</v>
      </c>
      <c r="J200" s="9">
        <v>42632</v>
      </c>
      <c r="K200" s="10">
        <v>34</v>
      </c>
      <c r="L200" s="3" t="s">
        <v>92</v>
      </c>
      <c r="M200" s="9">
        <f t="shared" si="9"/>
        <v>42614</v>
      </c>
      <c r="N200" s="9">
        <f t="shared" si="10"/>
        <v>43647</v>
      </c>
      <c r="O200" s="29">
        <f>VLOOKUP(B200,PROYECTO!A:H,8,0)</f>
        <v>0</v>
      </c>
      <c r="P200" s="9">
        <f t="array" ref="P200">MAX(MAX(IF($B:$B=B200,$N:$N)),MAX(IF(B200=HONORARIOS!B:B,HONORARIOS!M:M)))</f>
        <v>43665</v>
      </c>
      <c r="Q200" s="29">
        <f t="shared" si="11"/>
        <v>34</v>
      </c>
    </row>
    <row r="201" spans="2:17" x14ac:dyDescent="0.25">
      <c r="B201" s="5">
        <v>1802</v>
      </c>
      <c r="C201" s="3" t="s">
        <v>12</v>
      </c>
      <c r="D201" s="29">
        <v>8153549</v>
      </c>
      <c r="E201" s="7">
        <v>2017</v>
      </c>
      <c r="F201" s="8">
        <v>1</v>
      </c>
      <c r="G201" s="8">
        <v>0.5</v>
      </c>
      <c r="H201" s="8">
        <v>1</v>
      </c>
      <c r="I201" s="9">
        <v>43132</v>
      </c>
      <c r="J201" s="9">
        <v>43132</v>
      </c>
      <c r="K201" s="10">
        <v>6</v>
      </c>
      <c r="L201" s="3" t="s">
        <v>129</v>
      </c>
      <c r="M201" s="9">
        <f t="shared" si="9"/>
        <v>43132</v>
      </c>
      <c r="N201" s="9">
        <f t="shared" si="10"/>
        <v>43313</v>
      </c>
      <c r="O201" s="29">
        <f>VLOOKUP(B201,PROYECTO!A:H,8,0)</f>
        <v>0</v>
      </c>
      <c r="P201" s="9">
        <f t="array" ref="P201">MAX(MAX(IF($B:$B=B201,$N:$N)),MAX(IF(B201=HONORARIOS!B:B,HONORARIOS!M:M)))</f>
        <v>43891</v>
      </c>
      <c r="Q201" s="29">
        <f t="shared" si="11"/>
        <v>6</v>
      </c>
    </row>
    <row r="202" spans="2:17" x14ac:dyDescent="0.25">
      <c r="B202" s="5">
        <v>1802</v>
      </c>
      <c r="C202" s="3" t="s">
        <v>38</v>
      </c>
      <c r="D202" s="29">
        <v>2468579</v>
      </c>
      <c r="E202" s="7">
        <v>2017</v>
      </c>
      <c r="F202" s="8">
        <v>1</v>
      </c>
      <c r="G202" s="8">
        <v>0.59</v>
      </c>
      <c r="H202" s="8">
        <v>1</v>
      </c>
      <c r="I202" s="9">
        <v>43132</v>
      </c>
      <c r="J202" s="9">
        <v>43132</v>
      </c>
      <c r="K202" s="10">
        <v>5</v>
      </c>
      <c r="L202" s="3" t="s">
        <v>129</v>
      </c>
      <c r="M202" s="9">
        <f t="shared" si="9"/>
        <v>43132</v>
      </c>
      <c r="N202" s="9">
        <f t="shared" si="10"/>
        <v>43282</v>
      </c>
      <c r="O202" s="29">
        <f>VLOOKUP(B202,PROYECTO!A:H,8,0)</f>
        <v>0</v>
      </c>
      <c r="P202" s="9">
        <f t="array" ref="P202">MAX(MAX(IF($B:$B=B202,$N:$N)),MAX(IF(B202=HONORARIOS!B:B,HONORARIOS!M:M)))</f>
        <v>43891</v>
      </c>
      <c r="Q202" s="29">
        <f t="shared" si="11"/>
        <v>5</v>
      </c>
    </row>
    <row r="203" spans="2:17" x14ac:dyDescent="0.25">
      <c r="B203" s="5">
        <v>1802</v>
      </c>
      <c r="C203" s="3" t="s">
        <v>39</v>
      </c>
      <c r="D203" s="29">
        <v>3687807</v>
      </c>
      <c r="E203" s="7">
        <v>2017</v>
      </c>
      <c r="F203" s="8">
        <v>1</v>
      </c>
      <c r="G203" s="8">
        <v>0.5</v>
      </c>
      <c r="H203" s="8">
        <v>1</v>
      </c>
      <c r="I203" s="9">
        <v>43132</v>
      </c>
      <c r="J203" s="9">
        <v>43132</v>
      </c>
      <c r="K203" s="10">
        <v>6</v>
      </c>
      <c r="L203" s="3" t="s">
        <v>129</v>
      </c>
      <c r="M203" s="9">
        <f t="shared" si="9"/>
        <v>43132</v>
      </c>
      <c r="N203" s="9">
        <f t="shared" si="10"/>
        <v>43313</v>
      </c>
      <c r="O203" s="29">
        <f>VLOOKUP(B203,PROYECTO!A:H,8,0)</f>
        <v>0</v>
      </c>
      <c r="P203" s="9">
        <f t="array" ref="P203">MAX(MAX(IF($B:$B=B203,$N:$N)),MAX(IF(B203=HONORARIOS!B:B,HONORARIOS!M:M)))</f>
        <v>43891</v>
      </c>
      <c r="Q203" s="29">
        <f t="shared" si="11"/>
        <v>6</v>
      </c>
    </row>
    <row r="204" spans="2:17" x14ac:dyDescent="0.25">
      <c r="B204" s="5">
        <v>1802</v>
      </c>
      <c r="C204" s="3" t="s">
        <v>69</v>
      </c>
      <c r="D204" s="29">
        <v>3280748</v>
      </c>
      <c r="E204" s="7">
        <v>2017</v>
      </c>
      <c r="F204" s="8">
        <v>1</v>
      </c>
      <c r="G204" s="8">
        <v>0.5</v>
      </c>
      <c r="H204" s="8">
        <v>1</v>
      </c>
      <c r="I204" s="9">
        <v>43132</v>
      </c>
      <c r="J204" s="9">
        <v>43132</v>
      </c>
      <c r="K204" s="10">
        <v>5</v>
      </c>
      <c r="L204" s="3" t="s">
        <v>129</v>
      </c>
      <c r="M204" s="9">
        <f t="shared" si="9"/>
        <v>43132</v>
      </c>
      <c r="N204" s="9">
        <f t="shared" si="10"/>
        <v>43282</v>
      </c>
      <c r="O204" s="29">
        <f>VLOOKUP(B204,PROYECTO!A:H,8,0)</f>
        <v>0</v>
      </c>
      <c r="P204" s="9">
        <f t="array" ref="P204">MAX(MAX(IF($B:$B=B204,$N:$N)),MAX(IF(B204=HONORARIOS!B:B,HONORARIOS!M:M)))</f>
        <v>43891</v>
      </c>
      <c r="Q204" s="29">
        <f t="shared" si="11"/>
        <v>5</v>
      </c>
    </row>
    <row r="205" spans="2:17" x14ac:dyDescent="0.25">
      <c r="B205" s="5">
        <v>1802</v>
      </c>
      <c r="C205" s="3" t="s">
        <v>26</v>
      </c>
      <c r="D205" s="29">
        <v>4981877</v>
      </c>
      <c r="E205" s="7">
        <v>2017</v>
      </c>
      <c r="F205" s="8">
        <v>1</v>
      </c>
      <c r="G205" s="8">
        <v>0.5</v>
      </c>
      <c r="H205" s="8">
        <v>1</v>
      </c>
      <c r="I205" s="9">
        <v>43132</v>
      </c>
      <c r="J205" s="9">
        <v>43132</v>
      </c>
      <c r="K205" s="10">
        <v>5</v>
      </c>
      <c r="L205" s="3" t="s">
        <v>129</v>
      </c>
      <c r="M205" s="9">
        <f t="shared" si="9"/>
        <v>43132</v>
      </c>
      <c r="N205" s="9">
        <f t="shared" si="10"/>
        <v>43282</v>
      </c>
      <c r="O205" s="29">
        <f>VLOOKUP(B205,PROYECTO!A:H,8,0)</f>
        <v>0</v>
      </c>
      <c r="P205" s="9">
        <f t="array" ref="P205">MAX(MAX(IF($B:$B=B205,$N:$N)),MAX(IF(B205=HONORARIOS!B:B,HONORARIOS!M:M)))</f>
        <v>43891</v>
      </c>
      <c r="Q205" s="29">
        <f t="shared" si="11"/>
        <v>5</v>
      </c>
    </row>
    <row r="206" spans="2:17" x14ac:dyDescent="0.25">
      <c r="B206" s="5">
        <v>1453</v>
      </c>
      <c r="C206" s="3" t="s">
        <v>136</v>
      </c>
      <c r="D206" s="29">
        <v>5698440</v>
      </c>
      <c r="E206" s="7">
        <v>2018</v>
      </c>
      <c r="F206" s="8">
        <v>1</v>
      </c>
      <c r="G206" s="8"/>
      <c r="H206" s="8">
        <v>1</v>
      </c>
      <c r="I206" s="9">
        <v>43216</v>
      </c>
      <c r="J206" s="9">
        <v>43368</v>
      </c>
      <c r="K206" s="10">
        <v>5</v>
      </c>
      <c r="L206" s="3" t="s">
        <v>232</v>
      </c>
      <c r="M206" s="9">
        <f t="shared" si="9"/>
        <v>43191</v>
      </c>
      <c r="N206" s="9">
        <f t="shared" si="10"/>
        <v>43344</v>
      </c>
      <c r="O206" s="29">
        <f>VLOOKUP(B206,PROYECTO!A:H,8,0)</f>
        <v>0</v>
      </c>
      <c r="P206" s="9">
        <f t="array" ref="P206">MAX(MAX(IF($B:$B=B206,$N:$N)),MAX(IF(B206=HONORARIOS!B:B,HONORARIOS!M:M)))</f>
        <v>43831</v>
      </c>
      <c r="Q206" s="29">
        <f t="shared" si="11"/>
        <v>5</v>
      </c>
    </row>
    <row r="207" spans="2:17" x14ac:dyDescent="0.25">
      <c r="B207" s="5">
        <v>1453</v>
      </c>
      <c r="C207" s="3" t="s">
        <v>38</v>
      </c>
      <c r="D207" s="29">
        <v>3116707</v>
      </c>
      <c r="E207" s="7">
        <v>2018</v>
      </c>
      <c r="F207" s="8">
        <v>1</v>
      </c>
      <c r="G207" s="8"/>
      <c r="H207" s="8">
        <v>1</v>
      </c>
      <c r="I207" s="9">
        <v>43216</v>
      </c>
      <c r="J207" s="9">
        <v>43368</v>
      </c>
      <c r="K207" s="10">
        <v>5</v>
      </c>
      <c r="L207" s="3" t="s">
        <v>232</v>
      </c>
      <c r="M207" s="9">
        <f t="shared" si="9"/>
        <v>43191</v>
      </c>
      <c r="N207" s="9">
        <f t="shared" si="10"/>
        <v>43344</v>
      </c>
      <c r="O207" s="29">
        <f>VLOOKUP(B207,PROYECTO!A:H,8,0)</f>
        <v>0</v>
      </c>
      <c r="P207" s="9">
        <f t="array" ref="P207">MAX(MAX(IF($B:$B=B207,$N:$N)),MAX(IF(B207=HONORARIOS!B:B,HONORARIOS!M:M)))</f>
        <v>43831</v>
      </c>
      <c r="Q207" s="29">
        <f t="shared" si="11"/>
        <v>5</v>
      </c>
    </row>
    <row r="208" spans="2:17" x14ac:dyDescent="0.25">
      <c r="B208" s="5">
        <v>1577</v>
      </c>
      <c r="C208" s="3" t="s">
        <v>12</v>
      </c>
      <c r="D208" s="29">
        <v>6157000</v>
      </c>
      <c r="E208" s="7">
        <v>2014</v>
      </c>
      <c r="F208" s="8">
        <v>1</v>
      </c>
      <c r="G208" s="8">
        <v>0.5</v>
      </c>
      <c r="H208" s="8">
        <v>1</v>
      </c>
      <c r="I208" s="9">
        <v>41883</v>
      </c>
      <c r="J208" s="9">
        <v>41974</v>
      </c>
      <c r="K208" s="10">
        <v>7</v>
      </c>
      <c r="L208" s="3" t="s">
        <v>233</v>
      </c>
      <c r="M208" s="9">
        <f t="shared" si="9"/>
        <v>41883</v>
      </c>
      <c r="N208" s="9">
        <f t="shared" si="10"/>
        <v>42095</v>
      </c>
      <c r="O208" s="29">
        <f>VLOOKUP(B208,PROYECTO!A:H,8,0)</f>
        <v>0</v>
      </c>
      <c r="P208" s="9">
        <f t="array" ref="P208">MAX(MAX(IF($B:$B=B208,$N:$N)),MAX(IF(B208=HONORARIOS!B:B,HONORARIOS!M:M)))</f>
        <v>43678</v>
      </c>
      <c r="Q208" s="29">
        <f t="shared" si="11"/>
        <v>7</v>
      </c>
    </row>
    <row r="209" spans="2:17" x14ac:dyDescent="0.25">
      <c r="B209" s="5">
        <v>1577</v>
      </c>
      <c r="C209" s="3" t="s">
        <v>39</v>
      </c>
      <c r="D209" s="29">
        <v>1471500</v>
      </c>
      <c r="E209" s="7">
        <v>2014</v>
      </c>
      <c r="F209" s="8">
        <v>0.5</v>
      </c>
      <c r="G209" s="8">
        <v>0.5</v>
      </c>
      <c r="H209" s="8">
        <v>1</v>
      </c>
      <c r="I209" s="9">
        <v>41883</v>
      </c>
      <c r="J209" s="9">
        <v>41852</v>
      </c>
      <c r="K209" s="10">
        <v>7</v>
      </c>
      <c r="L209" s="3" t="s">
        <v>233</v>
      </c>
      <c r="M209" s="9">
        <f t="shared" ref="M209:M272" si="12">(MONTH(I209)&amp;"-"&amp;YEAR(I209))*1</f>
        <v>41883</v>
      </c>
      <c r="N209" s="9">
        <f t="shared" si="10"/>
        <v>42095</v>
      </c>
      <c r="O209" s="29">
        <f>VLOOKUP(B209,PROYECTO!A:H,8,0)</f>
        <v>0</v>
      </c>
      <c r="P209" s="9">
        <f t="array" ref="P209">MAX(MAX(IF($B:$B=B209,$N:$N)),MAX(IF(B209=HONORARIOS!B:B,HONORARIOS!M:M)))</f>
        <v>43678</v>
      </c>
      <c r="Q209" s="29">
        <f t="shared" si="11"/>
        <v>7</v>
      </c>
    </row>
    <row r="210" spans="2:17" x14ac:dyDescent="0.25">
      <c r="B210" s="5">
        <v>1577</v>
      </c>
      <c r="C210" s="3" t="s">
        <v>234</v>
      </c>
      <c r="D210" s="29">
        <v>1986000</v>
      </c>
      <c r="E210" s="7">
        <v>2014</v>
      </c>
      <c r="F210" s="8">
        <v>1</v>
      </c>
      <c r="G210" s="8">
        <v>0.59</v>
      </c>
      <c r="H210" s="8">
        <v>1</v>
      </c>
      <c r="I210" s="9">
        <v>41883</v>
      </c>
      <c r="J210" s="9">
        <v>42005</v>
      </c>
      <c r="K210" s="10">
        <v>7</v>
      </c>
      <c r="L210" s="3" t="s">
        <v>233</v>
      </c>
      <c r="M210" s="9">
        <f t="shared" si="12"/>
        <v>41883</v>
      </c>
      <c r="N210" s="9">
        <f t="shared" si="10"/>
        <v>42095</v>
      </c>
      <c r="O210" s="29">
        <f>VLOOKUP(B210,PROYECTO!A:H,8,0)</f>
        <v>0</v>
      </c>
      <c r="P210" s="9">
        <f t="array" ref="P210">MAX(MAX(IF($B:$B=B210,$N:$N)),MAX(IF(B210=HONORARIOS!B:B,HONORARIOS!M:M)))</f>
        <v>43678</v>
      </c>
      <c r="Q210" s="29">
        <f t="shared" si="11"/>
        <v>7</v>
      </c>
    </row>
    <row r="211" spans="2:17" x14ac:dyDescent="0.25">
      <c r="B211" s="5">
        <v>1577</v>
      </c>
      <c r="C211" s="3" t="s">
        <v>19</v>
      </c>
      <c r="D211" s="29">
        <v>8913000</v>
      </c>
      <c r="E211" s="7">
        <v>2014</v>
      </c>
      <c r="F211" s="8">
        <v>0.2</v>
      </c>
      <c r="G211" s="8">
        <v>0.62</v>
      </c>
      <c r="H211" s="8">
        <v>1</v>
      </c>
      <c r="I211" s="9">
        <v>42095</v>
      </c>
      <c r="J211" s="9">
        <v>41944</v>
      </c>
      <c r="K211" s="10">
        <v>52</v>
      </c>
      <c r="L211" s="3" t="s">
        <v>235</v>
      </c>
      <c r="M211" s="9">
        <f t="shared" si="12"/>
        <v>42095</v>
      </c>
      <c r="N211" s="9">
        <f t="shared" si="10"/>
        <v>43678</v>
      </c>
      <c r="O211" s="29">
        <f>VLOOKUP(B211,PROYECTO!A:H,8,0)</f>
        <v>0</v>
      </c>
      <c r="P211" s="9">
        <f t="array" ref="P211">MAX(MAX(IF($B:$B=B211,$N:$N)),MAX(IF(B211=HONORARIOS!B:B,HONORARIOS!M:M)))</f>
        <v>43678</v>
      </c>
      <c r="Q211" s="29">
        <f t="shared" si="11"/>
        <v>52</v>
      </c>
    </row>
    <row r="212" spans="2:17" x14ac:dyDescent="0.25">
      <c r="B212" s="5">
        <v>1577</v>
      </c>
      <c r="C212" s="3" t="s">
        <v>12</v>
      </c>
      <c r="D212" s="29">
        <v>6157000</v>
      </c>
      <c r="E212" s="7">
        <v>2014</v>
      </c>
      <c r="F212" s="8">
        <v>1</v>
      </c>
      <c r="G212" s="8">
        <v>0.5</v>
      </c>
      <c r="H212" s="8">
        <v>1</v>
      </c>
      <c r="I212" s="9">
        <v>42095</v>
      </c>
      <c r="J212" s="9">
        <v>41974</v>
      </c>
      <c r="K212" s="10">
        <v>52</v>
      </c>
      <c r="L212" s="3" t="s">
        <v>235</v>
      </c>
      <c r="M212" s="9">
        <f t="shared" si="12"/>
        <v>42095</v>
      </c>
      <c r="N212" s="9">
        <f t="shared" si="10"/>
        <v>43678</v>
      </c>
      <c r="O212" s="29">
        <f>VLOOKUP(B212,PROYECTO!A:H,8,0)</f>
        <v>0</v>
      </c>
      <c r="P212" s="9">
        <f t="array" ref="P212">MAX(MAX(IF($B:$B=B212,$N:$N)),MAX(IF(B212=HONORARIOS!B:B,HONORARIOS!M:M)))</f>
        <v>43678</v>
      </c>
      <c r="Q212" s="29">
        <f t="shared" si="11"/>
        <v>52</v>
      </c>
    </row>
    <row r="213" spans="2:17" x14ac:dyDescent="0.25">
      <c r="B213" s="5">
        <v>1577</v>
      </c>
      <c r="C213" s="3" t="s">
        <v>14</v>
      </c>
      <c r="D213" s="29">
        <v>5117000</v>
      </c>
      <c r="E213" s="7">
        <v>2014</v>
      </c>
      <c r="F213" s="8">
        <v>1</v>
      </c>
      <c r="G213" s="8">
        <v>0.5</v>
      </c>
      <c r="H213" s="8">
        <v>1</v>
      </c>
      <c r="I213" s="9">
        <v>43070</v>
      </c>
      <c r="J213" s="9">
        <v>43040</v>
      </c>
      <c r="K213" s="10">
        <v>18</v>
      </c>
      <c r="L213" s="3" t="s">
        <v>235</v>
      </c>
      <c r="M213" s="9">
        <f t="shared" si="12"/>
        <v>43070</v>
      </c>
      <c r="N213" s="9">
        <f t="shared" si="10"/>
        <v>43617</v>
      </c>
      <c r="O213" s="29">
        <f>VLOOKUP(B213,PROYECTO!A:H,8,0)</f>
        <v>0</v>
      </c>
      <c r="P213" s="9">
        <f t="array" ref="P213">MAX(MAX(IF($B:$B=B213,$N:$N)),MAX(IF(B213=HONORARIOS!B:B,HONORARIOS!M:M)))</f>
        <v>43678</v>
      </c>
      <c r="Q213" s="29">
        <f t="shared" si="11"/>
        <v>18</v>
      </c>
    </row>
    <row r="214" spans="2:17" x14ac:dyDescent="0.25">
      <c r="B214" s="5">
        <v>1577</v>
      </c>
      <c r="C214" s="3" t="s">
        <v>236</v>
      </c>
      <c r="D214" s="29">
        <v>4254000</v>
      </c>
      <c r="E214" s="7">
        <v>2014</v>
      </c>
      <c r="F214" s="8">
        <v>1</v>
      </c>
      <c r="G214" s="8">
        <v>0.5</v>
      </c>
      <c r="H214" s="8">
        <v>1</v>
      </c>
      <c r="I214" s="9">
        <v>41913</v>
      </c>
      <c r="J214" s="9">
        <v>42067</v>
      </c>
      <c r="K214" s="10">
        <v>35</v>
      </c>
      <c r="L214" s="3" t="s">
        <v>235</v>
      </c>
      <c r="M214" s="9">
        <f t="shared" si="12"/>
        <v>41913</v>
      </c>
      <c r="N214" s="9">
        <f t="shared" si="10"/>
        <v>42979</v>
      </c>
      <c r="O214" s="29">
        <f>VLOOKUP(B214,PROYECTO!A:H,8,0)</f>
        <v>0</v>
      </c>
      <c r="P214" s="9">
        <f t="array" ref="P214">MAX(MAX(IF($B:$B=B214,$N:$N)),MAX(IF(B214=HONORARIOS!B:B,HONORARIOS!M:M)))</f>
        <v>43678</v>
      </c>
      <c r="Q214" s="29">
        <f t="shared" si="11"/>
        <v>35</v>
      </c>
    </row>
    <row r="215" spans="2:17" x14ac:dyDescent="0.25">
      <c r="B215" s="5">
        <v>1577</v>
      </c>
      <c r="C215" s="3" t="s">
        <v>237</v>
      </c>
      <c r="D215" s="29">
        <v>4254000</v>
      </c>
      <c r="E215" s="7">
        <v>2014</v>
      </c>
      <c r="F215" s="8">
        <v>1</v>
      </c>
      <c r="G215" s="8">
        <v>0.5</v>
      </c>
      <c r="H215" s="8">
        <v>1</v>
      </c>
      <c r="I215" s="9">
        <v>42826</v>
      </c>
      <c r="J215" s="9">
        <v>42971</v>
      </c>
      <c r="K215" s="10">
        <v>22</v>
      </c>
      <c r="L215" s="3" t="s">
        <v>235</v>
      </c>
      <c r="M215" s="9">
        <f t="shared" si="12"/>
        <v>42826</v>
      </c>
      <c r="N215" s="9">
        <f t="shared" si="10"/>
        <v>43497</v>
      </c>
      <c r="O215" s="29">
        <f>VLOOKUP(B215,PROYECTO!A:H,8,0)</f>
        <v>0</v>
      </c>
      <c r="P215" s="9">
        <f t="array" ref="P215">MAX(MAX(IF($B:$B=B215,$N:$N)),MAX(IF(B215=HONORARIOS!B:B,HONORARIOS!M:M)))</f>
        <v>43678</v>
      </c>
      <c r="Q215" s="29">
        <f t="shared" si="11"/>
        <v>22</v>
      </c>
    </row>
    <row r="216" spans="2:17" x14ac:dyDescent="0.25">
      <c r="B216" s="5">
        <v>1577</v>
      </c>
      <c r="C216" s="3" t="s">
        <v>230</v>
      </c>
      <c r="D216" s="29">
        <v>4254000</v>
      </c>
      <c r="E216" s="7">
        <v>2014</v>
      </c>
      <c r="F216" s="8">
        <v>1</v>
      </c>
      <c r="G216" s="8">
        <v>0.5</v>
      </c>
      <c r="H216" s="8">
        <v>1</v>
      </c>
      <c r="I216" s="9">
        <v>42948</v>
      </c>
      <c r="J216" s="9">
        <v>42352</v>
      </c>
      <c r="K216" s="10">
        <v>22</v>
      </c>
      <c r="L216" s="3" t="s">
        <v>235</v>
      </c>
      <c r="M216" s="9">
        <f t="shared" si="12"/>
        <v>42948</v>
      </c>
      <c r="N216" s="9">
        <f t="shared" si="10"/>
        <v>43617</v>
      </c>
      <c r="O216" s="29">
        <f>VLOOKUP(B216,PROYECTO!A:H,8,0)</f>
        <v>0</v>
      </c>
      <c r="P216" s="9">
        <f t="array" ref="P216">MAX(MAX(IF($B:$B=B216,$N:$N)),MAX(IF(B216=HONORARIOS!B:B,HONORARIOS!M:M)))</f>
        <v>43678</v>
      </c>
      <c r="Q216" s="29">
        <f t="shared" si="11"/>
        <v>22</v>
      </c>
    </row>
    <row r="217" spans="2:17" x14ac:dyDescent="0.25">
      <c r="B217" s="5">
        <v>1577</v>
      </c>
      <c r="C217" s="3" t="s">
        <v>238</v>
      </c>
      <c r="D217" s="29">
        <v>4254000</v>
      </c>
      <c r="E217" s="7">
        <v>2014</v>
      </c>
      <c r="F217" s="8">
        <v>1</v>
      </c>
      <c r="G217" s="8">
        <v>0.5</v>
      </c>
      <c r="H217" s="8">
        <v>1</v>
      </c>
      <c r="I217" s="9">
        <v>42917</v>
      </c>
      <c r="J217" s="9">
        <v>42663</v>
      </c>
      <c r="K217" s="10">
        <v>13</v>
      </c>
      <c r="L217" s="3" t="s">
        <v>235</v>
      </c>
      <c r="M217" s="9">
        <f t="shared" si="12"/>
        <v>42917</v>
      </c>
      <c r="N217" s="9">
        <f t="shared" si="10"/>
        <v>43313</v>
      </c>
      <c r="O217" s="29">
        <f>VLOOKUP(B217,PROYECTO!A:H,8,0)</f>
        <v>0</v>
      </c>
      <c r="P217" s="9">
        <f t="array" ref="P217">MAX(MAX(IF($B:$B=B217,$N:$N)),MAX(IF(B217=HONORARIOS!B:B,HONORARIOS!M:M)))</f>
        <v>43678</v>
      </c>
      <c r="Q217" s="29">
        <f t="shared" si="11"/>
        <v>13</v>
      </c>
    </row>
    <row r="218" spans="2:17" x14ac:dyDescent="0.25">
      <c r="B218" s="5">
        <v>1577</v>
      </c>
      <c r="C218" s="3" t="s">
        <v>239</v>
      </c>
      <c r="D218" s="29">
        <v>3600000</v>
      </c>
      <c r="E218" s="7">
        <v>2014</v>
      </c>
      <c r="F218" s="8">
        <v>1</v>
      </c>
      <c r="G218" s="8">
        <v>0.5</v>
      </c>
      <c r="H218" s="8">
        <v>1</v>
      </c>
      <c r="I218" s="9">
        <v>43435</v>
      </c>
      <c r="J218" s="9">
        <v>3</v>
      </c>
      <c r="K218" s="10">
        <v>6</v>
      </c>
      <c r="L218" s="3" t="s">
        <v>240</v>
      </c>
      <c r="M218" s="9">
        <f t="shared" si="12"/>
        <v>43435</v>
      </c>
      <c r="N218" s="9">
        <f t="shared" si="10"/>
        <v>43617</v>
      </c>
      <c r="O218" s="29">
        <f>VLOOKUP(B218,PROYECTO!A:H,8,0)</f>
        <v>0</v>
      </c>
      <c r="P218" s="9">
        <f t="array" ref="P218">MAX(MAX(IF($B:$B=B218,$N:$N)),MAX(IF(B218=HONORARIOS!B:B,HONORARIOS!M:M)))</f>
        <v>43678</v>
      </c>
      <c r="Q218" s="29">
        <f t="shared" si="11"/>
        <v>6</v>
      </c>
    </row>
    <row r="219" spans="2:17" x14ac:dyDescent="0.25">
      <c r="B219" s="5">
        <v>1577</v>
      </c>
      <c r="C219" s="3" t="s">
        <v>39</v>
      </c>
      <c r="D219" s="29">
        <v>2943000</v>
      </c>
      <c r="E219" s="7">
        <v>2014</v>
      </c>
      <c r="F219" s="8">
        <v>1</v>
      </c>
      <c r="G219" s="8">
        <v>0.5</v>
      </c>
      <c r="H219" s="8">
        <v>1</v>
      </c>
      <c r="I219" s="9">
        <v>41852</v>
      </c>
      <c r="J219" s="9">
        <v>42598</v>
      </c>
      <c r="K219" s="10">
        <v>53</v>
      </c>
      <c r="L219" s="3" t="s">
        <v>240</v>
      </c>
      <c r="M219" s="9">
        <f t="shared" si="12"/>
        <v>41852</v>
      </c>
      <c r="N219" s="9">
        <f t="shared" si="10"/>
        <v>43466</v>
      </c>
      <c r="O219" s="29">
        <f>VLOOKUP(B219,PROYECTO!A:H,8,0)</f>
        <v>0</v>
      </c>
      <c r="P219" s="9">
        <f t="array" ref="P219">MAX(MAX(IF($B:$B=B219,$N:$N)),MAX(IF(B219=HONORARIOS!B:B,HONORARIOS!M:M)))</f>
        <v>43678</v>
      </c>
      <c r="Q219" s="29">
        <f t="shared" si="11"/>
        <v>53</v>
      </c>
    </row>
    <row r="220" spans="2:17" x14ac:dyDescent="0.25">
      <c r="B220" s="5">
        <v>1577</v>
      </c>
      <c r="C220" s="3" t="s">
        <v>59</v>
      </c>
      <c r="D220" s="29">
        <v>2028000</v>
      </c>
      <c r="E220" s="7">
        <v>2014</v>
      </c>
      <c r="F220" s="8">
        <v>1</v>
      </c>
      <c r="G220" s="8">
        <v>0.5</v>
      </c>
      <c r="H220" s="8">
        <v>1</v>
      </c>
      <c r="I220" s="9">
        <v>42826</v>
      </c>
      <c r="J220" s="9">
        <v>42331</v>
      </c>
      <c r="K220" s="10">
        <v>28</v>
      </c>
      <c r="L220" s="3" t="s">
        <v>240</v>
      </c>
      <c r="M220" s="9">
        <f t="shared" si="12"/>
        <v>42826</v>
      </c>
      <c r="N220" s="9">
        <f t="shared" si="10"/>
        <v>43678</v>
      </c>
      <c r="O220" s="29">
        <f>VLOOKUP(B220,PROYECTO!A:H,8,0)</f>
        <v>0</v>
      </c>
      <c r="P220" s="9">
        <f t="array" ref="P220">MAX(MAX(IF($B:$B=B220,$N:$N)),MAX(IF(B220=HONORARIOS!B:B,HONORARIOS!M:M)))</f>
        <v>43678</v>
      </c>
      <c r="Q220" s="29">
        <f t="shared" si="11"/>
        <v>28</v>
      </c>
    </row>
    <row r="221" spans="2:17" x14ac:dyDescent="0.25">
      <c r="B221" s="5">
        <v>1577</v>
      </c>
      <c r="C221" s="3" t="s">
        <v>59</v>
      </c>
      <c r="D221" s="29">
        <v>2028000</v>
      </c>
      <c r="E221" s="7">
        <v>2014</v>
      </c>
      <c r="F221" s="8">
        <v>1</v>
      </c>
      <c r="G221" s="8">
        <v>0.5</v>
      </c>
      <c r="H221" s="8">
        <v>1</v>
      </c>
      <c r="I221" s="9">
        <v>42826</v>
      </c>
      <c r="J221" s="9">
        <v>42920</v>
      </c>
      <c r="K221" s="10">
        <v>28</v>
      </c>
      <c r="L221" s="3" t="s">
        <v>240</v>
      </c>
      <c r="M221" s="9">
        <f t="shared" si="12"/>
        <v>42826</v>
      </c>
      <c r="N221" s="9">
        <f t="shared" si="10"/>
        <v>43678</v>
      </c>
      <c r="O221" s="29">
        <f>VLOOKUP(B221,PROYECTO!A:H,8,0)</f>
        <v>0</v>
      </c>
      <c r="P221" s="9">
        <f t="array" ref="P221">MAX(MAX(IF($B:$B=B221,$N:$N)),MAX(IF(B221=HONORARIOS!B:B,HONORARIOS!M:M)))</f>
        <v>43678</v>
      </c>
      <c r="Q221" s="29">
        <f t="shared" si="11"/>
        <v>28</v>
      </c>
    </row>
    <row r="222" spans="2:17" x14ac:dyDescent="0.25">
      <c r="B222" s="5">
        <v>1577</v>
      </c>
      <c r="C222" s="3" t="s">
        <v>241</v>
      </c>
      <c r="D222" s="29">
        <v>1986000</v>
      </c>
      <c r="E222" s="7">
        <v>2014</v>
      </c>
      <c r="F222" s="8">
        <v>1</v>
      </c>
      <c r="G222" s="8">
        <v>0.5</v>
      </c>
      <c r="H222" s="8">
        <v>1</v>
      </c>
      <c r="I222" s="9">
        <v>41852</v>
      </c>
      <c r="J222" s="9">
        <v>42920</v>
      </c>
      <c r="K222" s="10">
        <v>43</v>
      </c>
      <c r="L222" s="3" t="s">
        <v>240</v>
      </c>
      <c r="M222" s="9">
        <f t="shared" si="12"/>
        <v>41852</v>
      </c>
      <c r="N222" s="9">
        <f t="shared" si="10"/>
        <v>43160</v>
      </c>
      <c r="O222" s="29">
        <f>VLOOKUP(B222,PROYECTO!A:H,8,0)</f>
        <v>0</v>
      </c>
      <c r="P222" s="9">
        <f t="array" ref="P222">MAX(MAX(IF($B:$B=B222,$N:$N)),MAX(IF(B222=HONORARIOS!B:B,HONORARIOS!M:M)))</f>
        <v>43678</v>
      </c>
      <c r="Q222" s="29">
        <f t="shared" si="11"/>
        <v>43</v>
      </c>
    </row>
    <row r="223" spans="2:17" x14ac:dyDescent="0.25">
      <c r="B223" s="5">
        <v>1577</v>
      </c>
      <c r="C223" s="3" t="s">
        <v>241</v>
      </c>
      <c r="D223" s="29">
        <v>1986000</v>
      </c>
      <c r="E223" s="7">
        <v>2014</v>
      </c>
      <c r="F223" s="8">
        <v>1</v>
      </c>
      <c r="G223" s="8">
        <v>0.5</v>
      </c>
      <c r="H223" s="8">
        <v>1</v>
      </c>
      <c r="I223" s="9">
        <v>42064</v>
      </c>
      <c r="J223" s="9"/>
      <c r="K223" s="10">
        <v>43</v>
      </c>
      <c r="L223" s="3" t="s">
        <v>240</v>
      </c>
      <c r="M223" s="9">
        <f t="shared" si="12"/>
        <v>42064</v>
      </c>
      <c r="N223" s="9">
        <f t="shared" si="10"/>
        <v>43374</v>
      </c>
      <c r="O223" s="29">
        <f>VLOOKUP(B223,PROYECTO!A:H,8,0)</f>
        <v>0</v>
      </c>
      <c r="P223" s="9">
        <f t="array" ref="P223">MAX(MAX(IF($B:$B=B223,$N:$N)),MAX(IF(B223=HONORARIOS!B:B,HONORARIOS!M:M)))</f>
        <v>43678</v>
      </c>
      <c r="Q223" s="29">
        <f t="shared" si="11"/>
        <v>43</v>
      </c>
    </row>
    <row r="224" spans="2:17" x14ac:dyDescent="0.25">
      <c r="B224" s="5">
        <v>1577</v>
      </c>
      <c r="C224" s="3" t="s">
        <v>242</v>
      </c>
      <c r="D224" s="29">
        <v>1986000</v>
      </c>
      <c r="E224" s="7">
        <v>2014</v>
      </c>
      <c r="F224" s="8">
        <v>1</v>
      </c>
      <c r="G224" s="8">
        <v>0.5</v>
      </c>
      <c r="H224" s="8">
        <v>1</v>
      </c>
      <c r="I224" s="9">
        <v>42826</v>
      </c>
      <c r="J224" s="9">
        <v>42920</v>
      </c>
      <c r="K224" s="10">
        <v>22</v>
      </c>
      <c r="L224" s="3" t="s">
        <v>240</v>
      </c>
      <c r="M224" s="9">
        <f t="shared" si="12"/>
        <v>42826</v>
      </c>
      <c r="N224" s="9">
        <f t="shared" si="10"/>
        <v>43497</v>
      </c>
      <c r="O224" s="29">
        <f>VLOOKUP(B224,PROYECTO!A:H,8,0)</f>
        <v>0</v>
      </c>
      <c r="P224" s="9">
        <f t="array" ref="P224">MAX(MAX(IF($B:$B=B224,$N:$N)),MAX(IF(B224=HONORARIOS!B:B,HONORARIOS!M:M)))</f>
        <v>43678</v>
      </c>
      <c r="Q224" s="29">
        <f t="shared" si="11"/>
        <v>22</v>
      </c>
    </row>
    <row r="225" spans="2:17" x14ac:dyDescent="0.25">
      <c r="B225" s="5">
        <v>1577</v>
      </c>
      <c r="C225" s="3" t="s">
        <v>243</v>
      </c>
      <c r="D225" s="29">
        <v>1986000</v>
      </c>
      <c r="E225" s="7">
        <v>2014</v>
      </c>
      <c r="F225" s="8">
        <v>1</v>
      </c>
      <c r="G225" s="8">
        <v>0.5</v>
      </c>
      <c r="H225" s="8">
        <v>1</v>
      </c>
      <c r="I225" s="9">
        <v>42826</v>
      </c>
      <c r="J225" s="9"/>
      <c r="K225" s="10">
        <v>13</v>
      </c>
      <c r="L225" s="3" t="s">
        <v>240</v>
      </c>
      <c r="M225" s="9">
        <f t="shared" si="12"/>
        <v>42826</v>
      </c>
      <c r="N225" s="9">
        <f t="shared" si="10"/>
        <v>43221</v>
      </c>
      <c r="O225" s="29">
        <f>VLOOKUP(B225,PROYECTO!A:H,8,0)</f>
        <v>0</v>
      </c>
      <c r="P225" s="9">
        <f t="array" ref="P225">MAX(MAX(IF($B:$B=B225,$N:$N)),MAX(IF(B225=HONORARIOS!B:B,HONORARIOS!M:M)))</f>
        <v>43678</v>
      </c>
      <c r="Q225" s="29">
        <f t="shared" si="11"/>
        <v>13</v>
      </c>
    </row>
    <row r="226" spans="2:17" x14ac:dyDescent="0.25">
      <c r="B226" s="5">
        <v>1577</v>
      </c>
      <c r="C226" s="3" t="s">
        <v>244</v>
      </c>
      <c r="D226" s="29">
        <v>1986000</v>
      </c>
      <c r="E226" s="7">
        <v>2014</v>
      </c>
      <c r="F226" s="8">
        <v>1</v>
      </c>
      <c r="G226" s="8">
        <v>0.5</v>
      </c>
      <c r="H226" s="8">
        <v>1</v>
      </c>
      <c r="I226" s="9">
        <v>43132</v>
      </c>
      <c r="J226" s="9"/>
      <c r="K226" s="10">
        <v>12</v>
      </c>
      <c r="L226" s="3" t="s">
        <v>240</v>
      </c>
      <c r="M226" s="9">
        <f t="shared" si="12"/>
        <v>43132</v>
      </c>
      <c r="N226" s="9">
        <f t="shared" si="10"/>
        <v>43497</v>
      </c>
      <c r="O226" s="29">
        <f>VLOOKUP(B226,PROYECTO!A:H,8,0)</f>
        <v>0</v>
      </c>
      <c r="P226" s="9">
        <f t="array" ref="P226">MAX(MAX(IF($B:$B=B226,$N:$N)),MAX(IF(B226=HONORARIOS!B:B,HONORARIOS!M:M)))</f>
        <v>43678</v>
      </c>
      <c r="Q226" s="29">
        <f t="shared" si="11"/>
        <v>12</v>
      </c>
    </row>
    <row r="227" spans="2:17" x14ac:dyDescent="0.25">
      <c r="B227" s="5">
        <v>1577</v>
      </c>
      <c r="C227" s="3" t="s">
        <v>245</v>
      </c>
      <c r="D227" s="29">
        <v>3536000</v>
      </c>
      <c r="E227" s="7">
        <v>2014</v>
      </c>
      <c r="F227" s="8">
        <v>1</v>
      </c>
      <c r="G227" s="8">
        <v>0.5</v>
      </c>
      <c r="H227" s="8">
        <v>1</v>
      </c>
      <c r="I227" s="9">
        <v>43009</v>
      </c>
      <c r="J227" s="9"/>
      <c r="K227" s="10">
        <v>18</v>
      </c>
      <c r="L227" s="3" t="s">
        <v>240</v>
      </c>
      <c r="M227" s="9">
        <f t="shared" si="12"/>
        <v>43009</v>
      </c>
      <c r="N227" s="9">
        <f t="shared" si="10"/>
        <v>43556</v>
      </c>
      <c r="O227" s="29">
        <f>VLOOKUP(B227,PROYECTO!A:H,8,0)</f>
        <v>0</v>
      </c>
      <c r="P227" s="9">
        <f t="array" ref="P227">MAX(MAX(IF($B:$B=B227,$N:$N)),MAX(IF(B227=HONORARIOS!B:B,HONORARIOS!M:M)))</f>
        <v>43678</v>
      </c>
      <c r="Q227" s="29">
        <f t="shared" si="11"/>
        <v>18</v>
      </c>
    </row>
    <row r="228" spans="2:17" x14ac:dyDescent="0.25">
      <c r="B228" s="5">
        <v>1577</v>
      </c>
      <c r="C228" s="3" t="s">
        <v>246</v>
      </c>
      <c r="D228" s="29">
        <v>1986000</v>
      </c>
      <c r="E228" s="7">
        <v>2014</v>
      </c>
      <c r="F228" s="8">
        <v>1</v>
      </c>
      <c r="G228" s="8">
        <v>0.5</v>
      </c>
      <c r="H228" s="8">
        <v>1</v>
      </c>
      <c r="I228" s="9">
        <v>42948</v>
      </c>
      <c r="J228" s="9">
        <v>42017</v>
      </c>
      <c r="K228" s="10">
        <v>22</v>
      </c>
      <c r="L228" s="3" t="s">
        <v>240</v>
      </c>
      <c r="M228" s="9">
        <f t="shared" si="12"/>
        <v>42948</v>
      </c>
      <c r="N228" s="9">
        <f t="shared" si="10"/>
        <v>43617</v>
      </c>
      <c r="O228" s="29">
        <f>VLOOKUP(B228,PROYECTO!A:H,8,0)</f>
        <v>0</v>
      </c>
      <c r="P228" s="9">
        <f t="array" ref="P228">MAX(MAX(IF($B:$B=B228,$N:$N)),MAX(IF(B228=HONORARIOS!B:B,HONORARIOS!M:M)))</f>
        <v>43678</v>
      </c>
      <c r="Q228" s="29">
        <f t="shared" si="11"/>
        <v>22</v>
      </c>
    </row>
    <row r="229" spans="2:17" x14ac:dyDescent="0.25">
      <c r="B229" s="5">
        <v>1577</v>
      </c>
      <c r="C229" s="3" t="s">
        <v>247</v>
      </c>
      <c r="D229" s="29">
        <v>1986000</v>
      </c>
      <c r="E229" s="7">
        <v>2014</v>
      </c>
      <c r="F229" s="8">
        <v>1</v>
      </c>
      <c r="G229" s="8">
        <v>0.5</v>
      </c>
      <c r="H229" s="8">
        <v>1</v>
      </c>
      <c r="I229" s="9">
        <v>42948</v>
      </c>
      <c r="J229" s="9">
        <v>42263</v>
      </c>
      <c r="K229" s="10">
        <v>17</v>
      </c>
      <c r="L229" s="3" t="s">
        <v>240</v>
      </c>
      <c r="M229" s="9">
        <f t="shared" si="12"/>
        <v>42948</v>
      </c>
      <c r="N229" s="9">
        <f t="shared" si="10"/>
        <v>43466</v>
      </c>
      <c r="O229" s="29">
        <f>VLOOKUP(B229,PROYECTO!A:H,8,0)</f>
        <v>0</v>
      </c>
      <c r="P229" s="9">
        <f t="array" ref="P229">MAX(MAX(IF($B:$B=B229,$N:$N)),MAX(IF(B229=HONORARIOS!B:B,HONORARIOS!M:M)))</f>
        <v>43678</v>
      </c>
      <c r="Q229" s="29">
        <f t="shared" si="11"/>
        <v>17</v>
      </c>
    </row>
    <row r="230" spans="2:17" x14ac:dyDescent="0.25">
      <c r="B230" s="5">
        <v>1577</v>
      </c>
      <c r="C230" s="3" t="s">
        <v>248</v>
      </c>
      <c r="D230" s="29">
        <v>1986000</v>
      </c>
      <c r="E230" s="7">
        <v>2014</v>
      </c>
      <c r="F230" s="8">
        <v>1</v>
      </c>
      <c r="G230" s="8">
        <v>0.5</v>
      </c>
      <c r="H230" s="8">
        <v>1</v>
      </c>
      <c r="I230" s="9">
        <v>43313</v>
      </c>
      <c r="J230" s="9"/>
      <c r="K230" s="10">
        <v>10</v>
      </c>
      <c r="L230" s="3" t="s">
        <v>240</v>
      </c>
      <c r="M230" s="9">
        <f t="shared" si="12"/>
        <v>43313</v>
      </c>
      <c r="N230" s="9">
        <f t="shared" si="10"/>
        <v>43617</v>
      </c>
      <c r="O230" s="29">
        <f>VLOOKUP(B230,PROYECTO!A:H,8,0)</f>
        <v>0</v>
      </c>
      <c r="P230" s="9">
        <f t="array" ref="P230">MAX(MAX(IF($B:$B=B230,$N:$N)),MAX(IF(B230=HONORARIOS!B:B,HONORARIOS!M:M)))</f>
        <v>43678</v>
      </c>
      <c r="Q230" s="29">
        <f t="shared" si="11"/>
        <v>10</v>
      </c>
    </row>
    <row r="231" spans="2:17" x14ac:dyDescent="0.25">
      <c r="B231" s="5">
        <v>1577</v>
      </c>
      <c r="C231" s="3" t="s">
        <v>249</v>
      </c>
      <c r="D231" s="29">
        <v>1986000</v>
      </c>
      <c r="E231" s="7">
        <v>2014</v>
      </c>
      <c r="F231" s="8">
        <v>1</v>
      </c>
      <c r="G231" s="8">
        <v>0.5</v>
      </c>
      <c r="H231" s="8">
        <v>1</v>
      </c>
      <c r="I231" s="9">
        <v>42917</v>
      </c>
      <c r="J231" s="9">
        <v>42654</v>
      </c>
      <c r="K231" s="10">
        <v>13</v>
      </c>
      <c r="L231" s="3" t="s">
        <v>240</v>
      </c>
      <c r="M231" s="9">
        <f t="shared" si="12"/>
        <v>42917</v>
      </c>
      <c r="N231" s="9">
        <f t="shared" si="10"/>
        <v>43313</v>
      </c>
      <c r="O231" s="29">
        <f>VLOOKUP(B231,PROYECTO!A:H,8,0)</f>
        <v>0</v>
      </c>
      <c r="P231" s="9">
        <f t="array" ref="P231">MAX(MAX(IF($B:$B=B231,$N:$N)),MAX(IF(B231=HONORARIOS!B:B,HONORARIOS!M:M)))</f>
        <v>43678</v>
      </c>
      <c r="Q231" s="29">
        <f t="shared" si="11"/>
        <v>13</v>
      </c>
    </row>
    <row r="232" spans="2:17" x14ac:dyDescent="0.25">
      <c r="B232" s="5">
        <v>1577</v>
      </c>
      <c r="C232" s="3" t="s">
        <v>231</v>
      </c>
      <c r="D232" s="29">
        <v>3600000</v>
      </c>
      <c r="E232" s="7">
        <v>2014</v>
      </c>
      <c r="F232" s="8">
        <v>1</v>
      </c>
      <c r="G232" s="8">
        <v>0.5</v>
      </c>
      <c r="H232" s="8">
        <v>1</v>
      </c>
      <c r="I232" s="9">
        <v>42522</v>
      </c>
      <c r="J232" s="9">
        <v>42758</v>
      </c>
      <c r="K232" s="10">
        <v>36</v>
      </c>
      <c r="L232" s="3" t="s">
        <v>240</v>
      </c>
      <c r="M232" s="9">
        <f t="shared" si="12"/>
        <v>42522</v>
      </c>
      <c r="N232" s="9">
        <f t="shared" si="10"/>
        <v>43617</v>
      </c>
      <c r="O232" s="29">
        <f>VLOOKUP(B232,PROYECTO!A:H,8,0)</f>
        <v>0</v>
      </c>
      <c r="P232" s="9">
        <f t="array" ref="P232">MAX(MAX(IF($B:$B=B232,$N:$N)),MAX(IF(B232=HONORARIOS!B:B,HONORARIOS!M:M)))</f>
        <v>43678</v>
      </c>
      <c r="Q232" s="29">
        <f t="shared" si="11"/>
        <v>36</v>
      </c>
    </row>
    <row r="233" spans="2:17" x14ac:dyDescent="0.25">
      <c r="B233" s="5">
        <v>1577</v>
      </c>
      <c r="C233" s="3" t="s">
        <v>106</v>
      </c>
      <c r="D233" s="29">
        <v>1986000</v>
      </c>
      <c r="E233" s="7">
        <v>2014</v>
      </c>
      <c r="F233" s="8">
        <v>1</v>
      </c>
      <c r="G233" s="8">
        <v>0.5</v>
      </c>
      <c r="H233" s="8">
        <v>1</v>
      </c>
      <c r="I233" s="9">
        <v>42522</v>
      </c>
      <c r="J233" s="9">
        <v>42786</v>
      </c>
      <c r="K233" s="10">
        <v>36</v>
      </c>
      <c r="L233" s="3" t="s">
        <v>240</v>
      </c>
      <c r="M233" s="9">
        <f t="shared" si="12"/>
        <v>42522</v>
      </c>
      <c r="N233" s="9">
        <f t="shared" si="10"/>
        <v>43617</v>
      </c>
      <c r="O233" s="29">
        <f>VLOOKUP(B233,PROYECTO!A:H,8,0)</f>
        <v>0</v>
      </c>
      <c r="P233" s="9">
        <f t="array" ref="P233">MAX(MAX(IF($B:$B=B233,$N:$N)),MAX(IF(B233=HONORARIOS!B:B,HONORARIOS!M:M)))</f>
        <v>43678</v>
      </c>
      <c r="Q233" s="29">
        <f t="shared" si="11"/>
        <v>36</v>
      </c>
    </row>
    <row r="234" spans="2:17" x14ac:dyDescent="0.25">
      <c r="B234" s="5">
        <v>1622</v>
      </c>
      <c r="C234" s="3" t="s">
        <v>45</v>
      </c>
      <c r="D234" s="29">
        <v>10129433</v>
      </c>
      <c r="E234" s="7"/>
      <c r="F234" s="8">
        <v>0.25</v>
      </c>
      <c r="G234" s="8">
        <v>0.62</v>
      </c>
      <c r="H234" s="8">
        <v>1</v>
      </c>
      <c r="I234" s="9">
        <v>43427</v>
      </c>
      <c r="J234" s="9"/>
      <c r="K234" s="10">
        <v>0.09</v>
      </c>
      <c r="L234" s="3"/>
      <c r="M234" s="9">
        <f t="shared" si="12"/>
        <v>43405</v>
      </c>
      <c r="N234" s="9">
        <f t="shared" si="10"/>
        <v>43405</v>
      </c>
      <c r="O234" s="29">
        <f>VLOOKUP(B234,PROYECTO!A:H,8,0)</f>
        <v>0</v>
      </c>
      <c r="P234" s="9">
        <f t="array" ref="P234">MAX(MAX(IF($B:$B=B234,$N:$N)),MAX(IF(B234=HONORARIOS!B:B,HONORARIOS!M:M)))</f>
        <v>44501</v>
      </c>
      <c r="Q234" s="29">
        <f t="shared" si="11"/>
        <v>0.09</v>
      </c>
    </row>
    <row r="235" spans="2:17" x14ac:dyDescent="0.25">
      <c r="B235" s="5">
        <v>1622</v>
      </c>
      <c r="C235" s="3" t="s">
        <v>46</v>
      </c>
      <c r="D235" s="29">
        <v>28056646</v>
      </c>
      <c r="E235" s="7"/>
      <c r="F235" s="8">
        <v>0.04</v>
      </c>
      <c r="G235" s="8">
        <v>0</v>
      </c>
      <c r="H235" s="8">
        <v>1</v>
      </c>
      <c r="I235" s="9">
        <v>43427</v>
      </c>
      <c r="J235" s="9"/>
      <c r="K235" s="10">
        <v>0.04</v>
      </c>
      <c r="L235" s="3" t="s">
        <v>47</v>
      </c>
      <c r="M235" s="9">
        <f t="shared" si="12"/>
        <v>43405</v>
      </c>
      <c r="N235" s="9">
        <f t="shared" si="10"/>
        <v>43405</v>
      </c>
      <c r="O235" s="29">
        <f>VLOOKUP(B235,PROYECTO!A:H,8,0)</f>
        <v>0</v>
      </c>
      <c r="P235" s="9">
        <f t="array" ref="P235">MAX(MAX(IF($B:$B=B235,$N:$N)),MAX(IF(B235=HONORARIOS!B:B,HONORARIOS!M:M)))</f>
        <v>44501</v>
      </c>
      <c r="Q235" s="29">
        <f t="shared" si="11"/>
        <v>0.04</v>
      </c>
    </row>
    <row r="236" spans="2:17" x14ac:dyDescent="0.25">
      <c r="B236" s="5">
        <v>1622</v>
      </c>
      <c r="C236" s="3" t="s">
        <v>48</v>
      </c>
      <c r="D236" s="29">
        <v>17807655</v>
      </c>
      <c r="E236" s="7"/>
      <c r="F236" s="8">
        <v>0.25</v>
      </c>
      <c r="G236" s="8">
        <v>0</v>
      </c>
      <c r="H236" s="8">
        <v>1</v>
      </c>
      <c r="I236" s="9">
        <v>43427</v>
      </c>
      <c r="J236" s="9"/>
      <c r="K236" s="10">
        <v>0.79</v>
      </c>
      <c r="L236" s="3" t="s">
        <v>47</v>
      </c>
      <c r="M236" s="9">
        <f t="shared" si="12"/>
        <v>43405</v>
      </c>
      <c r="N236" s="9">
        <f t="shared" si="10"/>
        <v>43405</v>
      </c>
      <c r="O236" s="29">
        <f>VLOOKUP(B236,PROYECTO!A:H,8,0)</f>
        <v>0</v>
      </c>
      <c r="P236" s="9">
        <f t="array" ref="P236">MAX(MAX(IF($B:$B=B236,$N:$N)),MAX(IF(B236=HONORARIOS!B:B,HONORARIOS!M:M)))</f>
        <v>44501</v>
      </c>
      <c r="Q236" s="29">
        <f t="shared" si="11"/>
        <v>0.79</v>
      </c>
    </row>
    <row r="237" spans="2:17" x14ac:dyDescent="0.25">
      <c r="B237" s="5">
        <v>1622</v>
      </c>
      <c r="C237" s="3" t="s">
        <v>49</v>
      </c>
      <c r="D237" s="29">
        <v>26786251</v>
      </c>
      <c r="E237" s="7"/>
      <c r="F237" s="8">
        <v>1</v>
      </c>
      <c r="G237" s="8">
        <v>0</v>
      </c>
      <c r="H237" s="8">
        <v>1</v>
      </c>
      <c r="I237" s="9">
        <v>43427</v>
      </c>
      <c r="J237" s="9"/>
      <c r="K237" s="10">
        <v>5.92</v>
      </c>
      <c r="L237" s="3" t="s">
        <v>47</v>
      </c>
      <c r="M237" s="9">
        <f t="shared" si="12"/>
        <v>43405</v>
      </c>
      <c r="N237" s="9">
        <f t="shared" si="10"/>
        <v>43556</v>
      </c>
      <c r="O237" s="29">
        <f>VLOOKUP(B237,PROYECTO!A:H,8,0)</f>
        <v>0</v>
      </c>
      <c r="P237" s="9">
        <f t="array" ref="P237">MAX(MAX(IF($B:$B=B237,$N:$N)),MAX(IF(B237=HONORARIOS!B:B,HONORARIOS!M:M)))</f>
        <v>44501</v>
      </c>
      <c r="Q237" s="29">
        <f t="shared" si="11"/>
        <v>5.92</v>
      </c>
    </row>
    <row r="238" spans="2:17" x14ac:dyDescent="0.25">
      <c r="B238" s="5">
        <v>1622</v>
      </c>
      <c r="C238" s="3" t="s">
        <v>50</v>
      </c>
      <c r="D238" s="29">
        <v>10145489</v>
      </c>
      <c r="E238" s="7"/>
      <c r="F238" s="8">
        <v>1</v>
      </c>
      <c r="G238" s="8">
        <v>0.5</v>
      </c>
      <c r="H238" s="8">
        <v>1</v>
      </c>
      <c r="I238" s="9">
        <v>43427</v>
      </c>
      <c r="J238" s="9"/>
      <c r="K238" s="10">
        <v>3.97</v>
      </c>
      <c r="L238" s="3" t="s">
        <v>47</v>
      </c>
      <c r="M238" s="9">
        <f t="shared" si="12"/>
        <v>43405</v>
      </c>
      <c r="N238" s="9">
        <f t="shared" si="10"/>
        <v>43497</v>
      </c>
      <c r="O238" s="29">
        <f>VLOOKUP(B238,PROYECTO!A:H,8,0)</f>
        <v>0</v>
      </c>
      <c r="P238" s="9">
        <f t="array" ref="P238">MAX(MAX(IF($B:$B=B238,$N:$N)),MAX(IF(B238=HONORARIOS!B:B,HONORARIOS!M:M)))</f>
        <v>44501</v>
      </c>
      <c r="Q238" s="29">
        <f t="shared" si="11"/>
        <v>3.97</v>
      </c>
    </row>
    <row r="239" spans="2:17" x14ac:dyDescent="0.25">
      <c r="B239" s="5">
        <v>1622</v>
      </c>
      <c r="C239" s="3" t="s">
        <v>51</v>
      </c>
      <c r="D239" s="29">
        <v>4010308</v>
      </c>
      <c r="E239" s="7"/>
      <c r="F239" s="8">
        <v>1</v>
      </c>
      <c r="G239" s="8">
        <v>0.5</v>
      </c>
      <c r="H239" s="8">
        <v>1</v>
      </c>
      <c r="I239" s="9">
        <v>43427</v>
      </c>
      <c r="J239" s="9"/>
      <c r="K239" s="10">
        <v>3.28</v>
      </c>
      <c r="L239" s="3" t="s">
        <v>47</v>
      </c>
      <c r="M239" s="9">
        <f t="shared" si="12"/>
        <v>43405</v>
      </c>
      <c r="N239" s="9">
        <f t="shared" si="10"/>
        <v>43497</v>
      </c>
      <c r="O239" s="29">
        <f>VLOOKUP(B239,PROYECTO!A:H,8,0)</f>
        <v>0</v>
      </c>
      <c r="P239" s="9">
        <f t="array" ref="P239">MAX(MAX(IF($B:$B=B239,$N:$N)),MAX(IF(B239=HONORARIOS!B:B,HONORARIOS!M:M)))</f>
        <v>44501</v>
      </c>
      <c r="Q239" s="29">
        <f t="shared" si="11"/>
        <v>3.28</v>
      </c>
    </row>
    <row r="240" spans="2:17" x14ac:dyDescent="0.25">
      <c r="B240" s="5">
        <v>1622</v>
      </c>
      <c r="C240" s="3" t="s">
        <v>52</v>
      </c>
      <c r="D240" s="29">
        <v>4258109</v>
      </c>
      <c r="E240" s="7"/>
      <c r="F240" s="8">
        <v>1</v>
      </c>
      <c r="G240" s="8">
        <v>0.5</v>
      </c>
      <c r="H240" s="8">
        <v>1</v>
      </c>
      <c r="I240" s="9">
        <v>43427</v>
      </c>
      <c r="J240" s="9"/>
      <c r="K240" s="10">
        <v>7.0000000000000007E-2</v>
      </c>
      <c r="L240" s="3" t="s">
        <v>47</v>
      </c>
      <c r="M240" s="9">
        <f t="shared" si="12"/>
        <v>43405</v>
      </c>
      <c r="N240" s="9">
        <f t="shared" si="10"/>
        <v>43405</v>
      </c>
      <c r="O240" s="29">
        <f>VLOOKUP(B240,PROYECTO!A:H,8,0)</f>
        <v>0</v>
      </c>
      <c r="P240" s="9">
        <f t="array" ref="P240">MAX(MAX(IF($B:$B=B240,$N:$N)),MAX(IF(B240=HONORARIOS!B:B,HONORARIOS!M:M)))</f>
        <v>44501</v>
      </c>
      <c r="Q240" s="29">
        <f t="shared" si="11"/>
        <v>7.0000000000000007E-2</v>
      </c>
    </row>
    <row r="241" spans="2:17" x14ac:dyDescent="0.25">
      <c r="B241" s="5">
        <v>1622</v>
      </c>
      <c r="C241" s="3" t="s">
        <v>53</v>
      </c>
      <c r="D241" s="29">
        <v>3171334</v>
      </c>
      <c r="E241" s="7"/>
      <c r="F241" s="8">
        <v>1</v>
      </c>
      <c r="G241" s="8">
        <v>0.5</v>
      </c>
      <c r="H241" s="8">
        <v>1</v>
      </c>
      <c r="I241" s="9">
        <v>43427</v>
      </c>
      <c r="J241" s="9"/>
      <c r="K241" s="10">
        <v>36.200000000000003</v>
      </c>
      <c r="L241" s="3" t="s">
        <v>47</v>
      </c>
      <c r="M241" s="9">
        <f t="shared" si="12"/>
        <v>43405</v>
      </c>
      <c r="N241" s="9">
        <f t="shared" si="10"/>
        <v>44501</v>
      </c>
      <c r="O241" s="29">
        <f>VLOOKUP(B241,PROYECTO!A:H,8,0)</f>
        <v>0</v>
      </c>
      <c r="P241" s="9">
        <f t="array" ref="P241">MAX(MAX(IF($B:$B=B241,$N:$N)),MAX(IF(B241=HONORARIOS!B:B,HONORARIOS!M:M)))</f>
        <v>44501</v>
      </c>
      <c r="Q241" s="29">
        <f t="shared" si="11"/>
        <v>36.200000000000003</v>
      </c>
    </row>
    <row r="242" spans="2:17" x14ac:dyDescent="0.25">
      <c r="B242" s="5">
        <v>1622</v>
      </c>
      <c r="C242" s="3" t="s">
        <v>54</v>
      </c>
      <c r="D242" s="29">
        <v>4133030</v>
      </c>
      <c r="E242" s="7"/>
      <c r="F242" s="8">
        <v>1</v>
      </c>
      <c r="G242" s="8">
        <v>0.5</v>
      </c>
      <c r="H242" s="8">
        <v>1</v>
      </c>
      <c r="I242" s="9">
        <v>43427</v>
      </c>
      <c r="J242" s="9"/>
      <c r="K242" s="10">
        <v>36.369999999999997</v>
      </c>
      <c r="L242" s="3" t="s">
        <v>47</v>
      </c>
      <c r="M242" s="9">
        <f t="shared" si="12"/>
        <v>43405</v>
      </c>
      <c r="N242" s="9">
        <f t="shared" si="10"/>
        <v>44501</v>
      </c>
      <c r="O242" s="29">
        <f>VLOOKUP(B242,PROYECTO!A:H,8,0)</f>
        <v>0</v>
      </c>
      <c r="P242" s="9">
        <f t="array" ref="P242">MAX(MAX(IF($B:$B=B242,$N:$N)),MAX(IF(B242=HONORARIOS!B:B,HONORARIOS!M:M)))</f>
        <v>44501</v>
      </c>
      <c r="Q242" s="29">
        <f t="shared" si="11"/>
        <v>36.369999999999997</v>
      </c>
    </row>
    <row r="243" spans="2:17" x14ac:dyDescent="0.25">
      <c r="B243" s="5">
        <v>1622</v>
      </c>
      <c r="C243" s="3" t="s">
        <v>55</v>
      </c>
      <c r="D243" s="29">
        <v>4159932</v>
      </c>
      <c r="E243" s="7"/>
      <c r="F243" s="8">
        <v>1</v>
      </c>
      <c r="G243" s="8">
        <v>0.5</v>
      </c>
      <c r="H243" s="8">
        <v>1</v>
      </c>
      <c r="I243" s="9">
        <v>43427</v>
      </c>
      <c r="J243" s="9"/>
      <c r="K243" s="10">
        <v>10.71</v>
      </c>
      <c r="L243" s="3" t="s">
        <v>47</v>
      </c>
      <c r="M243" s="9">
        <f t="shared" si="12"/>
        <v>43405</v>
      </c>
      <c r="N243" s="9">
        <f t="shared" si="10"/>
        <v>43709</v>
      </c>
      <c r="O243" s="29">
        <f>VLOOKUP(B243,PROYECTO!A:H,8,0)</f>
        <v>0</v>
      </c>
      <c r="P243" s="9">
        <f t="array" ref="P243">MAX(MAX(IF($B:$B=B243,$N:$N)),MAX(IF(B243=HONORARIOS!B:B,HONORARIOS!M:M)))</f>
        <v>44501</v>
      </c>
      <c r="Q243" s="29">
        <f t="shared" si="11"/>
        <v>10.71</v>
      </c>
    </row>
    <row r="244" spans="2:17" x14ac:dyDescent="0.25">
      <c r="B244" s="5">
        <v>1622</v>
      </c>
      <c r="C244" s="3" t="s">
        <v>56</v>
      </c>
      <c r="D244" s="29">
        <v>4968718</v>
      </c>
      <c r="E244" s="7"/>
      <c r="F244" s="8">
        <v>1</v>
      </c>
      <c r="G244" s="8">
        <v>0.5</v>
      </c>
      <c r="H244" s="8">
        <v>1</v>
      </c>
      <c r="I244" s="9">
        <v>43427</v>
      </c>
      <c r="J244" s="9"/>
      <c r="K244" s="10">
        <v>15.65</v>
      </c>
      <c r="L244" s="3" t="s">
        <v>47</v>
      </c>
      <c r="M244" s="9">
        <f t="shared" si="12"/>
        <v>43405</v>
      </c>
      <c r="N244" s="9">
        <f t="shared" si="10"/>
        <v>43862</v>
      </c>
      <c r="O244" s="29">
        <f>VLOOKUP(B244,PROYECTO!A:H,8,0)</f>
        <v>0</v>
      </c>
      <c r="P244" s="9">
        <f t="array" ref="P244">MAX(MAX(IF($B:$B=B244,$N:$N)),MAX(IF(B244=HONORARIOS!B:B,HONORARIOS!M:M)))</f>
        <v>44501</v>
      </c>
      <c r="Q244" s="29">
        <f t="shared" si="11"/>
        <v>15.65</v>
      </c>
    </row>
    <row r="245" spans="2:17" x14ac:dyDescent="0.25">
      <c r="B245" s="5">
        <v>1622</v>
      </c>
      <c r="C245" s="3" t="s">
        <v>57</v>
      </c>
      <c r="D245" s="29">
        <v>4827404</v>
      </c>
      <c r="E245" s="7"/>
      <c r="F245" s="8">
        <v>1</v>
      </c>
      <c r="G245" s="8">
        <v>0.5</v>
      </c>
      <c r="H245" s="8">
        <v>1</v>
      </c>
      <c r="I245" s="9">
        <v>43427</v>
      </c>
      <c r="J245" s="9"/>
      <c r="K245" s="10">
        <v>1.94</v>
      </c>
      <c r="L245" s="3" t="s">
        <v>47</v>
      </c>
      <c r="M245" s="9">
        <f t="shared" si="12"/>
        <v>43405</v>
      </c>
      <c r="N245" s="9">
        <f t="shared" si="10"/>
        <v>43435</v>
      </c>
      <c r="O245" s="29">
        <f>VLOOKUP(B245,PROYECTO!A:H,8,0)</f>
        <v>0</v>
      </c>
      <c r="P245" s="9">
        <f t="array" ref="P245">MAX(MAX(IF($B:$B=B245,$N:$N)),MAX(IF(B245=HONORARIOS!B:B,HONORARIOS!M:M)))</f>
        <v>44501</v>
      </c>
      <c r="Q245" s="29">
        <f t="shared" si="11"/>
        <v>1.94</v>
      </c>
    </row>
    <row r="246" spans="2:17" x14ac:dyDescent="0.25">
      <c r="B246" s="5">
        <v>1622</v>
      </c>
      <c r="C246" s="3" t="s">
        <v>58</v>
      </c>
      <c r="D246" s="29">
        <v>3157973</v>
      </c>
      <c r="E246" s="7"/>
      <c r="F246" s="8">
        <v>1</v>
      </c>
      <c r="G246" s="8">
        <v>0.5</v>
      </c>
      <c r="H246" s="8">
        <v>1</v>
      </c>
      <c r="I246" s="9">
        <v>43427</v>
      </c>
      <c r="J246" s="9"/>
      <c r="K246" s="10">
        <v>1.41</v>
      </c>
      <c r="L246" s="3" t="s">
        <v>47</v>
      </c>
      <c r="M246" s="9">
        <f t="shared" si="12"/>
        <v>43405</v>
      </c>
      <c r="N246" s="9">
        <f t="shared" si="10"/>
        <v>43435</v>
      </c>
      <c r="O246" s="29">
        <f>VLOOKUP(B246,PROYECTO!A:H,8,0)</f>
        <v>0</v>
      </c>
      <c r="P246" s="9">
        <f t="array" ref="P246">MAX(MAX(IF($B:$B=B246,$N:$N)),MAX(IF(B246=HONORARIOS!B:B,HONORARIOS!M:M)))</f>
        <v>44501</v>
      </c>
      <c r="Q246" s="29">
        <f t="shared" si="11"/>
        <v>1.41</v>
      </c>
    </row>
    <row r="247" spans="2:17" x14ac:dyDescent="0.25">
      <c r="B247" s="5">
        <v>1622</v>
      </c>
      <c r="C247" s="3" t="s">
        <v>59</v>
      </c>
      <c r="D247" s="29">
        <v>1014913</v>
      </c>
      <c r="E247" s="7"/>
      <c r="F247" s="8">
        <v>1</v>
      </c>
      <c r="G247" s="8">
        <v>0.5</v>
      </c>
      <c r="H247" s="8">
        <v>1</v>
      </c>
      <c r="I247" s="9">
        <v>43427</v>
      </c>
      <c r="J247" s="9"/>
      <c r="K247" s="10">
        <v>0.99</v>
      </c>
      <c r="L247" s="3" t="s">
        <v>47</v>
      </c>
      <c r="M247" s="9">
        <f t="shared" si="12"/>
        <v>43405</v>
      </c>
      <c r="N247" s="9">
        <f t="shared" si="10"/>
        <v>43405</v>
      </c>
      <c r="O247" s="29">
        <f>VLOOKUP(B247,PROYECTO!A:H,8,0)</f>
        <v>0</v>
      </c>
      <c r="P247" s="9">
        <f t="array" ref="P247">MAX(MAX(IF($B:$B=B247,$N:$N)),MAX(IF(B247=HONORARIOS!B:B,HONORARIOS!M:M)))</f>
        <v>44501</v>
      </c>
      <c r="Q247" s="29">
        <f t="shared" si="11"/>
        <v>0.99</v>
      </c>
    </row>
    <row r="248" spans="2:17" x14ac:dyDescent="0.25">
      <c r="B248" s="5">
        <v>1622</v>
      </c>
      <c r="C248" s="3" t="s">
        <v>35</v>
      </c>
      <c r="D248" s="29">
        <v>2251875</v>
      </c>
      <c r="E248" s="7"/>
      <c r="F248" s="8">
        <v>1</v>
      </c>
      <c r="G248" s="8">
        <v>0.59</v>
      </c>
      <c r="H248" s="8">
        <v>1</v>
      </c>
      <c r="I248" s="9">
        <v>43427</v>
      </c>
      <c r="J248" s="9"/>
      <c r="K248" s="10">
        <v>4.08</v>
      </c>
      <c r="L248" s="3" t="s">
        <v>47</v>
      </c>
      <c r="M248" s="9">
        <f t="shared" si="12"/>
        <v>43405</v>
      </c>
      <c r="N248" s="9">
        <f t="shared" si="10"/>
        <v>43525</v>
      </c>
      <c r="O248" s="29">
        <f>VLOOKUP(B248,PROYECTO!A:H,8,0)</f>
        <v>0</v>
      </c>
      <c r="P248" s="9">
        <f t="array" ref="P248">MAX(MAX(IF($B:$B=B248,$N:$N)),MAX(IF(B248=HONORARIOS!B:B,HONORARIOS!M:M)))</f>
        <v>44501</v>
      </c>
      <c r="Q248" s="29">
        <f t="shared" si="11"/>
        <v>4.08</v>
      </c>
    </row>
    <row r="249" spans="2:17" x14ac:dyDescent="0.25">
      <c r="B249" s="5">
        <v>1622</v>
      </c>
      <c r="C249" s="3" t="s">
        <v>60</v>
      </c>
      <c r="D249" s="29">
        <v>2159477</v>
      </c>
      <c r="E249" s="7"/>
      <c r="F249" s="8">
        <v>1</v>
      </c>
      <c r="G249" s="8">
        <v>0.59</v>
      </c>
      <c r="H249" s="8">
        <v>1</v>
      </c>
      <c r="I249" s="9">
        <v>43427</v>
      </c>
      <c r="J249" s="9"/>
      <c r="K249" s="10">
        <v>0.66</v>
      </c>
      <c r="L249" s="3" t="s">
        <v>47</v>
      </c>
      <c r="M249" s="9">
        <f t="shared" si="12"/>
        <v>43405</v>
      </c>
      <c r="N249" s="9">
        <f t="shared" si="10"/>
        <v>43405</v>
      </c>
      <c r="O249" s="29">
        <f>VLOOKUP(B249,PROYECTO!A:H,8,0)</f>
        <v>0</v>
      </c>
      <c r="P249" s="9">
        <f t="array" ref="P249">MAX(MAX(IF($B:$B=B249,$N:$N)),MAX(IF(B249=HONORARIOS!B:B,HONORARIOS!M:M)))</f>
        <v>44501</v>
      </c>
      <c r="Q249" s="29">
        <f t="shared" si="11"/>
        <v>0.66</v>
      </c>
    </row>
    <row r="250" spans="2:17" x14ac:dyDescent="0.25">
      <c r="B250" s="5">
        <v>1622</v>
      </c>
      <c r="C250" s="3" t="s">
        <v>61</v>
      </c>
      <c r="D250" s="29">
        <v>2318950</v>
      </c>
      <c r="E250" s="7"/>
      <c r="F250" s="8">
        <v>1</v>
      </c>
      <c r="G250" s="8">
        <v>0.59</v>
      </c>
      <c r="H250" s="8">
        <v>1</v>
      </c>
      <c r="I250" s="9">
        <v>43427</v>
      </c>
      <c r="J250" s="9"/>
      <c r="K250" s="10">
        <v>6.11</v>
      </c>
      <c r="L250" s="3" t="s">
        <v>47</v>
      </c>
      <c r="M250" s="9">
        <f t="shared" si="12"/>
        <v>43405</v>
      </c>
      <c r="N250" s="9">
        <f t="shared" si="10"/>
        <v>43586</v>
      </c>
      <c r="O250" s="29">
        <f>VLOOKUP(B250,PROYECTO!A:H,8,0)</f>
        <v>0</v>
      </c>
      <c r="P250" s="9">
        <f t="array" ref="P250">MAX(MAX(IF($B:$B=B250,$N:$N)),MAX(IF(B250=HONORARIOS!B:B,HONORARIOS!M:M)))</f>
        <v>44501</v>
      </c>
      <c r="Q250" s="29">
        <f t="shared" si="11"/>
        <v>6.11</v>
      </c>
    </row>
    <row r="251" spans="2:17" x14ac:dyDescent="0.25">
      <c r="B251" s="5">
        <v>1622</v>
      </c>
      <c r="C251" s="3" t="s">
        <v>62</v>
      </c>
      <c r="D251" s="29">
        <v>2817430</v>
      </c>
      <c r="E251" s="7"/>
      <c r="F251" s="8">
        <v>1</v>
      </c>
      <c r="G251" s="8">
        <v>0.59</v>
      </c>
      <c r="H251" s="8">
        <v>1</v>
      </c>
      <c r="I251" s="9">
        <v>43427</v>
      </c>
      <c r="J251" s="9"/>
      <c r="K251" s="10">
        <v>12.49</v>
      </c>
      <c r="L251" s="3" t="s">
        <v>47</v>
      </c>
      <c r="M251" s="9">
        <f t="shared" si="12"/>
        <v>43405</v>
      </c>
      <c r="N251" s="9">
        <f t="shared" si="10"/>
        <v>43770</v>
      </c>
      <c r="O251" s="29">
        <f>VLOOKUP(B251,PROYECTO!A:H,8,0)</f>
        <v>0</v>
      </c>
      <c r="P251" s="9">
        <f t="array" ref="P251">MAX(MAX(IF($B:$B=B251,$N:$N)),MAX(IF(B251=HONORARIOS!B:B,HONORARIOS!M:M)))</f>
        <v>44501</v>
      </c>
      <c r="Q251" s="29">
        <f t="shared" si="11"/>
        <v>12.49</v>
      </c>
    </row>
    <row r="252" spans="2:17" x14ac:dyDescent="0.25">
      <c r="B252" s="5">
        <v>1622</v>
      </c>
      <c r="C252" s="3" t="s">
        <v>63</v>
      </c>
      <c r="D252" s="29">
        <v>2822223</v>
      </c>
      <c r="E252" s="7"/>
      <c r="F252" s="8">
        <v>1</v>
      </c>
      <c r="G252" s="8">
        <v>0.59</v>
      </c>
      <c r="H252" s="8">
        <v>1</v>
      </c>
      <c r="I252" s="9">
        <v>43427</v>
      </c>
      <c r="J252" s="9"/>
      <c r="K252" s="10">
        <v>4.3</v>
      </c>
      <c r="L252" s="3" t="s">
        <v>47</v>
      </c>
      <c r="M252" s="9">
        <f t="shared" si="12"/>
        <v>43405</v>
      </c>
      <c r="N252" s="9">
        <f t="shared" si="10"/>
        <v>43525</v>
      </c>
      <c r="O252" s="29">
        <f>VLOOKUP(B252,PROYECTO!A:H,8,0)</f>
        <v>0</v>
      </c>
      <c r="P252" s="9">
        <f t="array" ref="P252">MAX(MAX(IF($B:$B=B252,$N:$N)),MAX(IF(B252=HONORARIOS!B:B,HONORARIOS!M:M)))</f>
        <v>44501</v>
      </c>
      <c r="Q252" s="29">
        <f t="shared" si="11"/>
        <v>4.3</v>
      </c>
    </row>
    <row r="253" spans="2:17" x14ac:dyDescent="0.25">
      <c r="B253" s="5">
        <v>1622</v>
      </c>
      <c r="C253" s="3" t="s">
        <v>21</v>
      </c>
      <c r="D253" s="29">
        <v>2271360</v>
      </c>
      <c r="E253" s="7"/>
      <c r="F253" s="8">
        <v>1</v>
      </c>
      <c r="G253" s="8">
        <v>0.59</v>
      </c>
      <c r="H253" s="8">
        <v>1</v>
      </c>
      <c r="I253" s="9">
        <v>43427</v>
      </c>
      <c r="J253" s="9"/>
      <c r="K253" s="10">
        <v>6.4</v>
      </c>
      <c r="L253" s="3" t="s">
        <v>47</v>
      </c>
      <c r="M253" s="9">
        <f t="shared" si="12"/>
        <v>43405</v>
      </c>
      <c r="N253" s="9">
        <f t="shared" si="10"/>
        <v>43586</v>
      </c>
      <c r="O253" s="29">
        <f>VLOOKUP(B253,PROYECTO!A:H,8,0)</f>
        <v>0</v>
      </c>
      <c r="P253" s="9">
        <f t="array" ref="P253">MAX(MAX(IF($B:$B=B253,$N:$N)),MAX(IF(B253=HONORARIOS!B:B,HONORARIOS!M:M)))</f>
        <v>44501</v>
      </c>
      <c r="Q253" s="29">
        <f t="shared" si="11"/>
        <v>6.4</v>
      </c>
    </row>
    <row r="254" spans="2:17" x14ac:dyDescent="0.25">
      <c r="B254" s="5">
        <v>1622</v>
      </c>
      <c r="C254" s="3" t="s">
        <v>64</v>
      </c>
      <c r="D254" s="29">
        <v>2369567</v>
      </c>
      <c r="E254" s="7"/>
      <c r="F254" s="8">
        <v>1</v>
      </c>
      <c r="G254" s="8">
        <v>0.59</v>
      </c>
      <c r="H254" s="8">
        <v>1</v>
      </c>
      <c r="I254" s="9">
        <v>43427</v>
      </c>
      <c r="J254" s="9"/>
      <c r="K254" s="10">
        <v>4.5</v>
      </c>
      <c r="L254" s="3" t="s">
        <v>47</v>
      </c>
      <c r="M254" s="9">
        <f t="shared" si="12"/>
        <v>43405</v>
      </c>
      <c r="N254" s="9">
        <f t="shared" si="10"/>
        <v>43525</v>
      </c>
      <c r="O254" s="29">
        <f>VLOOKUP(B254,PROYECTO!A:H,8,0)</f>
        <v>0</v>
      </c>
      <c r="P254" s="9">
        <f t="array" ref="P254">MAX(MAX(IF($B:$B=B254,$N:$N)),MAX(IF(B254=HONORARIOS!B:B,HONORARIOS!M:M)))</f>
        <v>44501</v>
      </c>
      <c r="Q254" s="29">
        <f t="shared" si="11"/>
        <v>4.5</v>
      </c>
    </row>
    <row r="255" spans="2:17" x14ac:dyDescent="0.25">
      <c r="B255" s="5">
        <v>1622</v>
      </c>
      <c r="C255" s="3" t="s">
        <v>22</v>
      </c>
      <c r="D255" s="29">
        <v>2369567</v>
      </c>
      <c r="E255" s="7"/>
      <c r="F255" s="8">
        <v>1</v>
      </c>
      <c r="G255" s="8">
        <v>0.59</v>
      </c>
      <c r="H255" s="8">
        <v>1</v>
      </c>
      <c r="I255" s="9">
        <v>43427</v>
      </c>
      <c r="J255" s="9"/>
      <c r="K255" s="10">
        <v>6.34</v>
      </c>
      <c r="L255" s="3" t="s">
        <v>47</v>
      </c>
      <c r="M255" s="9">
        <f t="shared" si="12"/>
        <v>43405</v>
      </c>
      <c r="N255" s="9">
        <f t="shared" si="10"/>
        <v>43586</v>
      </c>
      <c r="O255" s="29">
        <f>VLOOKUP(B255,PROYECTO!A:H,8,0)</f>
        <v>0</v>
      </c>
      <c r="P255" s="9">
        <f t="array" ref="P255">MAX(MAX(IF($B:$B=B255,$N:$N)),MAX(IF(B255=HONORARIOS!B:B,HONORARIOS!M:M)))</f>
        <v>44501</v>
      </c>
      <c r="Q255" s="29">
        <f t="shared" si="11"/>
        <v>6.34</v>
      </c>
    </row>
    <row r="256" spans="2:17" x14ac:dyDescent="0.25">
      <c r="B256" s="5">
        <v>1622</v>
      </c>
      <c r="C256" s="3" t="s">
        <v>45</v>
      </c>
      <c r="D256" s="29">
        <v>11055163</v>
      </c>
      <c r="E256" s="7"/>
      <c r="F256" s="8">
        <v>0.25</v>
      </c>
      <c r="G256" s="8">
        <v>0.62</v>
      </c>
      <c r="H256" s="8">
        <v>1</v>
      </c>
      <c r="I256" s="9">
        <v>43563</v>
      </c>
      <c r="J256" s="9"/>
      <c r="K256" s="10">
        <v>7.73</v>
      </c>
      <c r="L256" s="3" t="s">
        <v>65</v>
      </c>
      <c r="M256" s="9">
        <f t="shared" si="12"/>
        <v>43556</v>
      </c>
      <c r="N256" s="9">
        <f t="shared" si="10"/>
        <v>43770</v>
      </c>
      <c r="O256" s="29">
        <f>VLOOKUP(B256,PROYECTO!A:H,8,0)</f>
        <v>0</v>
      </c>
      <c r="P256" s="9">
        <f t="array" ref="P256">MAX(MAX(IF($B:$B=B256,$N:$N)),MAX(IF(B256=HONORARIOS!B:B,HONORARIOS!M:M)))</f>
        <v>44501</v>
      </c>
      <c r="Q256" s="29">
        <f t="shared" si="11"/>
        <v>7.73</v>
      </c>
    </row>
    <row r="257" spans="2:17" x14ac:dyDescent="0.25">
      <c r="B257" s="5">
        <v>1622</v>
      </c>
      <c r="C257" s="3" t="s">
        <v>46</v>
      </c>
      <c r="D257" s="29">
        <v>30626897</v>
      </c>
      <c r="E257" s="7"/>
      <c r="F257" s="8">
        <v>0.1</v>
      </c>
      <c r="G257" s="8">
        <v>0</v>
      </c>
      <c r="H257" s="8">
        <v>1</v>
      </c>
      <c r="I257" s="9">
        <v>43563</v>
      </c>
      <c r="J257" s="9"/>
      <c r="K257" s="10">
        <v>7.73</v>
      </c>
      <c r="L257" s="3" t="s">
        <v>65</v>
      </c>
      <c r="M257" s="9">
        <f t="shared" si="12"/>
        <v>43556</v>
      </c>
      <c r="N257" s="9">
        <f t="shared" si="10"/>
        <v>43770</v>
      </c>
      <c r="O257" s="29">
        <f>VLOOKUP(B257,PROYECTO!A:H,8,0)</f>
        <v>0</v>
      </c>
      <c r="P257" s="9">
        <f t="array" ref="P257">MAX(MAX(IF($B:$B=B257,$N:$N)),MAX(IF(B257=HONORARIOS!B:B,HONORARIOS!M:M)))</f>
        <v>44501</v>
      </c>
      <c r="Q257" s="29">
        <f t="shared" si="11"/>
        <v>7.73</v>
      </c>
    </row>
    <row r="258" spans="2:17" x14ac:dyDescent="0.25">
      <c r="B258" s="5">
        <v>1622</v>
      </c>
      <c r="C258" s="3" t="s">
        <v>48</v>
      </c>
      <c r="D258" s="29">
        <v>19419652</v>
      </c>
      <c r="E258" s="7"/>
      <c r="F258" s="8">
        <v>0.25</v>
      </c>
      <c r="G258" s="8">
        <v>0</v>
      </c>
      <c r="H258" s="8">
        <v>1</v>
      </c>
      <c r="I258" s="9">
        <v>43563</v>
      </c>
      <c r="J258" s="9"/>
      <c r="K258" s="10">
        <v>7.73</v>
      </c>
      <c r="L258" s="3" t="s">
        <v>65</v>
      </c>
      <c r="M258" s="9">
        <f t="shared" si="12"/>
        <v>43556</v>
      </c>
      <c r="N258" s="9">
        <f t="shared" si="10"/>
        <v>43770</v>
      </c>
      <c r="O258" s="29">
        <f>VLOOKUP(B258,PROYECTO!A:H,8,0)</f>
        <v>0</v>
      </c>
      <c r="P258" s="9">
        <f t="array" ref="P258">MAX(MAX(IF($B:$B=B258,$N:$N)),MAX(IF(B258=HONORARIOS!B:B,HONORARIOS!M:M)))</f>
        <v>44501</v>
      </c>
      <c r="Q258" s="29">
        <f t="shared" si="11"/>
        <v>7.73</v>
      </c>
    </row>
    <row r="259" spans="2:17" x14ac:dyDescent="0.25">
      <c r="B259" s="5">
        <v>1622</v>
      </c>
      <c r="C259" s="3" t="s">
        <v>49</v>
      </c>
      <c r="D259" s="29">
        <v>29161467</v>
      </c>
      <c r="E259" s="7"/>
      <c r="F259" s="8">
        <v>1</v>
      </c>
      <c r="G259" s="8">
        <v>0</v>
      </c>
      <c r="H259" s="8">
        <v>1</v>
      </c>
      <c r="I259" s="9">
        <v>43563</v>
      </c>
      <c r="J259" s="9"/>
      <c r="K259" s="10">
        <v>7.73</v>
      </c>
      <c r="L259" s="3" t="s">
        <v>65</v>
      </c>
      <c r="M259" s="9">
        <f t="shared" si="12"/>
        <v>43556</v>
      </c>
      <c r="N259" s="9">
        <f t="shared" ref="N259:N322" si="13">EDATE(M259,K259)</f>
        <v>43770</v>
      </c>
      <c r="O259" s="29">
        <f>VLOOKUP(B259,PROYECTO!A:H,8,0)</f>
        <v>0</v>
      </c>
      <c r="P259" s="9">
        <f t="array" ref="P259">MAX(MAX(IF($B:$B=B259,$N:$N)),MAX(IF(B259=HONORARIOS!B:B,HONORARIOS!M:M)))</f>
        <v>44501</v>
      </c>
      <c r="Q259" s="29">
        <f t="shared" ref="Q259:Q322" si="14">IF(P259=N259,K259+O259,K259)</f>
        <v>7.73</v>
      </c>
    </row>
    <row r="260" spans="2:17" x14ac:dyDescent="0.25">
      <c r="B260" s="5">
        <v>1622</v>
      </c>
      <c r="C260" s="3" t="s">
        <v>50</v>
      </c>
      <c r="D260" s="29">
        <v>11055163</v>
      </c>
      <c r="E260" s="7"/>
      <c r="F260" s="8">
        <v>1</v>
      </c>
      <c r="G260" s="8">
        <v>0.5</v>
      </c>
      <c r="H260" s="8">
        <v>1</v>
      </c>
      <c r="I260" s="9">
        <v>43563</v>
      </c>
      <c r="J260" s="9"/>
      <c r="K260" s="10">
        <v>7.73</v>
      </c>
      <c r="L260" s="3" t="s">
        <v>65</v>
      </c>
      <c r="M260" s="9">
        <f t="shared" si="12"/>
        <v>43556</v>
      </c>
      <c r="N260" s="9">
        <f t="shared" si="13"/>
        <v>43770</v>
      </c>
      <c r="O260" s="29">
        <f>VLOOKUP(B260,PROYECTO!A:H,8,0)</f>
        <v>0</v>
      </c>
      <c r="P260" s="9">
        <f t="array" ref="P260">MAX(MAX(IF($B:$B=B260,$N:$N)),MAX(IF(B260=HONORARIOS!B:B,HONORARIOS!M:M)))</f>
        <v>44501</v>
      </c>
      <c r="Q260" s="29">
        <f t="shared" si="14"/>
        <v>7.73</v>
      </c>
    </row>
    <row r="261" spans="2:17" x14ac:dyDescent="0.25">
      <c r="B261" s="5">
        <v>1622</v>
      </c>
      <c r="C261" s="3" t="s">
        <v>52</v>
      </c>
      <c r="D261" s="29">
        <v>4422065</v>
      </c>
      <c r="E261" s="7"/>
      <c r="F261" s="8">
        <v>1</v>
      </c>
      <c r="G261" s="8">
        <v>0.5</v>
      </c>
      <c r="H261" s="8">
        <v>1</v>
      </c>
      <c r="I261" s="9">
        <v>43563</v>
      </c>
      <c r="J261" s="9"/>
      <c r="K261" s="10">
        <v>5.73</v>
      </c>
      <c r="L261" s="3" t="s">
        <v>65</v>
      </c>
      <c r="M261" s="9">
        <f t="shared" si="12"/>
        <v>43556</v>
      </c>
      <c r="N261" s="9">
        <f t="shared" si="13"/>
        <v>43709</v>
      </c>
      <c r="O261" s="29">
        <f>VLOOKUP(B261,PROYECTO!A:H,8,0)</f>
        <v>0</v>
      </c>
      <c r="P261" s="9">
        <f t="array" ref="P261">MAX(MAX(IF($B:$B=B261,$N:$N)),MAX(IF(B261=HONORARIOS!B:B,HONORARIOS!M:M)))</f>
        <v>44501</v>
      </c>
      <c r="Q261" s="29">
        <f t="shared" si="14"/>
        <v>5.73</v>
      </c>
    </row>
    <row r="262" spans="2:17" x14ac:dyDescent="0.25">
      <c r="B262" s="5">
        <v>1622</v>
      </c>
      <c r="C262" s="3" t="s">
        <v>53</v>
      </c>
      <c r="D262" s="29">
        <v>3392590</v>
      </c>
      <c r="E262" s="7"/>
      <c r="F262" s="8">
        <v>1</v>
      </c>
      <c r="G262" s="8">
        <v>0.5</v>
      </c>
      <c r="H262" s="8">
        <v>1</v>
      </c>
      <c r="I262" s="9">
        <v>43563</v>
      </c>
      <c r="J262" s="9"/>
      <c r="K262" s="10">
        <v>7.73</v>
      </c>
      <c r="L262" s="3" t="s">
        <v>65</v>
      </c>
      <c r="M262" s="9">
        <f t="shared" si="12"/>
        <v>43556</v>
      </c>
      <c r="N262" s="9">
        <f t="shared" si="13"/>
        <v>43770</v>
      </c>
      <c r="O262" s="29">
        <f>VLOOKUP(B262,PROYECTO!A:H,8,0)</f>
        <v>0</v>
      </c>
      <c r="P262" s="9">
        <f t="array" ref="P262">MAX(MAX(IF($B:$B=B262,$N:$N)),MAX(IF(B262=HONORARIOS!B:B,HONORARIOS!M:M)))</f>
        <v>44501</v>
      </c>
      <c r="Q262" s="29">
        <f t="shared" si="14"/>
        <v>7.73</v>
      </c>
    </row>
    <row r="263" spans="2:17" x14ac:dyDescent="0.25">
      <c r="B263" s="5">
        <v>1622</v>
      </c>
      <c r="C263" s="3" t="s">
        <v>54</v>
      </c>
      <c r="D263" s="29">
        <v>4442065</v>
      </c>
      <c r="E263" s="7"/>
      <c r="F263" s="8">
        <v>1</v>
      </c>
      <c r="G263" s="8">
        <v>0.5</v>
      </c>
      <c r="H263" s="8">
        <v>1</v>
      </c>
      <c r="I263" s="9">
        <v>43563</v>
      </c>
      <c r="J263" s="9"/>
      <c r="K263" s="10">
        <v>7.73</v>
      </c>
      <c r="L263" s="3" t="s">
        <v>65</v>
      </c>
      <c r="M263" s="9">
        <f t="shared" si="12"/>
        <v>43556</v>
      </c>
      <c r="N263" s="9">
        <f t="shared" si="13"/>
        <v>43770</v>
      </c>
      <c r="O263" s="29">
        <f>VLOOKUP(B263,PROYECTO!A:H,8,0)</f>
        <v>0</v>
      </c>
      <c r="P263" s="9">
        <f t="array" ref="P263">MAX(MAX(IF($B:$B=B263,$N:$N)),MAX(IF(B263=HONORARIOS!B:B,HONORARIOS!M:M)))</f>
        <v>44501</v>
      </c>
      <c r="Q263" s="29">
        <f t="shared" si="14"/>
        <v>7.73</v>
      </c>
    </row>
    <row r="264" spans="2:17" x14ac:dyDescent="0.25">
      <c r="B264" s="5">
        <v>1622</v>
      </c>
      <c r="C264" s="3" t="s">
        <v>55</v>
      </c>
      <c r="D264" s="29">
        <v>4442065</v>
      </c>
      <c r="E264" s="7"/>
      <c r="F264" s="8">
        <v>1</v>
      </c>
      <c r="G264" s="8">
        <v>0.5</v>
      </c>
      <c r="H264" s="8">
        <v>1</v>
      </c>
      <c r="I264" s="9">
        <v>43563</v>
      </c>
      <c r="J264" s="9"/>
      <c r="K264" s="10">
        <v>7.73</v>
      </c>
      <c r="L264" s="3" t="s">
        <v>65</v>
      </c>
      <c r="M264" s="9">
        <f t="shared" si="12"/>
        <v>43556</v>
      </c>
      <c r="N264" s="9">
        <f t="shared" si="13"/>
        <v>43770</v>
      </c>
      <c r="O264" s="29">
        <f>VLOOKUP(B264,PROYECTO!A:H,8,0)</f>
        <v>0</v>
      </c>
      <c r="P264" s="9">
        <f t="array" ref="P264">MAX(MAX(IF($B:$B=B264,$N:$N)),MAX(IF(B264=HONORARIOS!B:B,HONORARIOS!M:M)))</f>
        <v>44501</v>
      </c>
      <c r="Q264" s="29">
        <f t="shared" si="14"/>
        <v>7.73</v>
      </c>
    </row>
    <row r="265" spans="2:17" x14ac:dyDescent="0.25">
      <c r="B265" s="5">
        <v>1622</v>
      </c>
      <c r="C265" s="3" t="s">
        <v>56</v>
      </c>
      <c r="D265" s="29">
        <v>5281911</v>
      </c>
      <c r="E265" s="7"/>
      <c r="F265" s="8">
        <v>1</v>
      </c>
      <c r="G265" s="8">
        <v>0.5</v>
      </c>
      <c r="H265" s="8">
        <v>1</v>
      </c>
      <c r="I265" s="9">
        <v>43563</v>
      </c>
      <c r="J265" s="9"/>
      <c r="K265" s="10">
        <v>7.73</v>
      </c>
      <c r="L265" s="3" t="s">
        <v>65</v>
      </c>
      <c r="M265" s="9">
        <f t="shared" si="12"/>
        <v>43556</v>
      </c>
      <c r="N265" s="9">
        <f t="shared" si="13"/>
        <v>43770</v>
      </c>
      <c r="O265" s="29">
        <f>VLOOKUP(B265,PROYECTO!A:H,8,0)</f>
        <v>0</v>
      </c>
      <c r="P265" s="9">
        <f t="array" ref="P265">MAX(MAX(IF($B:$B=B265,$N:$N)),MAX(IF(B265=HONORARIOS!B:B,HONORARIOS!M:M)))</f>
        <v>44501</v>
      </c>
      <c r="Q265" s="29">
        <f t="shared" si="14"/>
        <v>7.73</v>
      </c>
    </row>
    <row r="266" spans="2:17" x14ac:dyDescent="0.25">
      <c r="B266" s="5">
        <v>1622</v>
      </c>
      <c r="C266" s="3" t="s">
        <v>57</v>
      </c>
      <c r="D266" s="29">
        <v>5264364</v>
      </c>
      <c r="E266" s="7"/>
      <c r="F266" s="8">
        <v>1</v>
      </c>
      <c r="G266" s="8">
        <v>0.5</v>
      </c>
      <c r="H266" s="8">
        <v>1</v>
      </c>
      <c r="I266" s="9">
        <v>43563</v>
      </c>
      <c r="J266" s="9"/>
      <c r="K266" s="10">
        <v>7.73</v>
      </c>
      <c r="L266" s="3" t="s">
        <v>65</v>
      </c>
      <c r="M266" s="9">
        <f t="shared" si="12"/>
        <v>43556</v>
      </c>
      <c r="N266" s="9">
        <f t="shared" si="13"/>
        <v>43770</v>
      </c>
      <c r="O266" s="29">
        <f>VLOOKUP(B266,PROYECTO!A:H,8,0)</f>
        <v>0</v>
      </c>
      <c r="P266" s="9">
        <f t="array" ref="P266">MAX(MAX(IF($B:$B=B266,$N:$N)),MAX(IF(B266=HONORARIOS!B:B,HONORARIOS!M:M)))</f>
        <v>44501</v>
      </c>
      <c r="Q266" s="29">
        <f t="shared" si="14"/>
        <v>7.73</v>
      </c>
    </row>
    <row r="267" spans="2:17" x14ac:dyDescent="0.25">
      <c r="B267" s="5">
        <v>1622</v>
      </c>
      <c r="C267" s="3" t="s">
        <v>58</v>
      </c>
      <c r="D267" s="29">
        <v>3439384</v>
      </c>
      <c r="E267" s="7"/>
      <c r="F267" s="8">
        <v>1</v>
      </c>
      <c r="G267" s="8">
        <v>0.5</v>
      </c>
      <c r="H267" s="8">
        <v>1</v>
      </c>
      <c r="I267" s="9">
        <v>43563</v>
      </c>
      <c r="J267" s="9"/>
      <c r="K267" s="10">
        <v>7.73</v>
      </c>
      <c r="L267" s="3" t="s">
        <v>65</v>
      </c>
      <c r="M267" s="9">
        <f t="shared" si="12"/>
        <v>43556</v>
      </c>
      <c r="N267" s="9">
        <f t="shared" si="13"/>
        <v>43770</v>
      </c>
      <c r="O267" s="29">
        <f>VLOOKUP(B267,PROYECTO!A:H,8,0)</f>
        <v>0</v>
      </c>
      <c r="P267" s="9">
        <f t="array" ref="P267">MAX(MAX(IF($B:$B=B267,$N:$N)),MAX(IF(B267=HONORARIOS!B:B,HONORARIOS!M:M)))</f>
        <v>44501</v>
      </c>
      <c r="Q267" s="29">
        <f t="shared" si="14"/>
        <v>7.73</v>
      </c>
    </row>
    <row r="268" spans="2:17" x14ac:dyDescent="0.25">
      <c r="B268" s="5">
        <v>1622</v>
      </c>
      <c r="C268" s="3" t="s">
        <v>59</v>
      </c>
      <c r="D268" s="29">
        <v>1105516</v>
      </c>
      <c r="E268" s="7"/>
      <c r="F268" s="8">
        <v>1</v>
      </c>
      <c r="G268" s="8">
        <v>0.5</v>
      </c>
      <c r="H268" s="8">
        <v>1</v>
      </c>
      <c r="I268" s="9">
        <v>43563</v>
      </c>
      <c r="J268" s="9"/>
      <c r="K268" s="10">
        <v>7.73</v>
      </c>
      <c r="L268" s="3" t="s">
        <v>65</v>
      </c>
      <c r="M268" s="9">
        <f t="shared" si="12"/>
        <v>43556</v>
      </c>
      <c r="N268" s="9">
        <f t="shared" si="13"/>
        <v>43770</v>
      </c>
      <c r="O268" s="29">
        <f>VLOOKUP(B268,PROYECTO!A:H,8,0)</f>
        <v>0</v>
      </c>
      <c r="P268" s="9">
        <f t="array" ref="P268">MAX(MAX(IF($B:$B=B268,$N:$N)),MAX(IF(B268=HONORARIOS!B:B,HONORARIOS!M:M)))</f>
        <v>44501</v>
      </c>
      <c r="Q268" s="29">
        <f t="shared" si="14"/>
        <v>7.73</v>
      </c>
    </row>
    <row r="269" spans="2:17" x14ac:dyDescent="0.25">
      <c r="B269" s="5">
        <v>1622</v>
      </c>
      <c r="C269" s="3" t="s">
        <v>35</v>
      </c>
      <c r="D269" s="29">
        <v>2456703</v>
      </c>
      <c r="E269" s="7"/>
      <c r="F269" s="8">
        <v>1</v>
      </c>
      <c r="G269" s="8">
        <v>0.59</v>
      </c>
      <c r="H269" s="8">
        <v>1</v>
      </c>
      <c r="I269" s="9">
        <v>43563</v>
      </c>
      <c r="J269" s="9"/>
      <c r="K269" s="10">
        <v>3.73</v>
      </c>
      <c r="L269" s="3" t="s">
        <v>65</v>
      </c>
      <c r="M269" s="9">
        <f t="shared" si="12"/>
        <v>43556</v>
      </c>
      <c r="N269" s="9">
        <f t="shared" si="13"/>
        <v>43647</v>
      </c>
      <c r="O269" s="29">
        <f>VLOOKUP(B269,PROYECTO!A:H,8,0)</f>
        <v>0</v>
      </c>
      <c r="P269" s="9">
        <f t="array" ref="P269">MAX(MAX(IF($B:$B=B269,$N:$N)),MAX(IF(B269=HONORARIOS!B:B,HONORARIOS!M:M)))</f>
        <v>44501</v>
      </c>
      <c r="Q269" s="29">
        <f t="shared" si="14"/>
        <v>3.73</v>
      </c>
    </row>
    <row r="270" spans="2:17" x14ac:dyDescent="0.25">
      <c r="B270" s="5">
        <v>1622</v>
      </c>
      <c r="C270" s="3" t="s">
        <v>62</v>
      </c>
      <c r="D270" s="29">
        <v>2948044</v>
      </c>
      <c r="E270" s="7"/>
      <c r="F270" s="8">
        <v>1</v>
      </c>
      <c r="G270" s="8">
        <v>0.59</v>
      </c>
      <c r="H270" s="8">
        <v>1</v>
      </c>
      <c r="I270" s="9">
        <v>43563</v>
      </c>
      <c r="J270" s="9"/>
      <c r="K270" s="10">
        <v>1.73</v>
      </c>
      <c r="L270" s="3" t="s">
        <v>65</v>
      </c>
      <c r="M270" s="9">
        <f t="shared" si="12"/>
        <v>43556</v>
      </c>
      <c r="N270" s="9">
        <f t="shared" si="13"/>
        <v>43586</v>
      </c>
      <c r="O270" s="29">
        <f>VLOOKUP(B270,PROYECTO!A:H,8,0)</f>
        <v>0</v>
      </c>
      <c r="P270" s="9">
        <f t="array" ref="P270">MAX(MAX(IF($B:$B=B270,$N:$N)),MAX(IF(B270=HONORARIOS!B:B,HONORARIOS!M:M)))</f>
        <v>44501</v>
      </c>
      <c r="Q270" s="29">
        <f t="shared" si="14"/>
        <v>1.73</v>
      </c>
    </row>
    <row r="271" spans="2:17" x14ac:dyDescent="0.25">
      <c r="B271" s="5">
        <v>1622</v>
      </c>
      <c r="C271" s="3" t="s">
        <v>63</v>
      </c>
      <c r="D271" s="29">
        <v>2948044</v>
      </c>
      <c r="E271" s="7"/>
      <c r="F271" s="8">
        <v>1</v>
      </c>
      <c r="G271" s="8">
        <v>0.59</v>
      </c>
      <c r="H271" s="8">
        <v>1</v>
      </c>
      <c r="I271" s="9">
        <v>43563</v>
      </c>
      <c r="J271" s="9"/>
      <c r="K271" s="10">
        <v>0.73</v>
      </c>
      <c r="L271" s="3" t="s">
        <v>65</v>
      </c>
      <c r="M271" s="9">
        <f t="shared" si="12"/>
        <v>43556</v>
      </c>
      <c r="N271" s="9">
        <f t="shared" si="13"/>
        <v>43556</v>
      </c>
      <c r="O271" s="29">
        <f>VLOOKUP(B271,PROYECTO!A:H,8,0)</f>
        <v>0</v>
      </c>
      <c r="P271" s="9">
        <f t="array" ref="P271">MAX(MAX(IF($B:$B=B271,$N:$N)),MAX(IF(B271=HONORARIOS!B:B,HONORARIOS!M:M)))</f>
        <v>44501</v>
      </c>
      <c r="Q271" s="29">
        <f t="shared" si="14"/>
        <v>0.73</v>
      </c>
    </row>
    <row r="272" spans="2:17" x14ac:dyDescent="0.25">
      <c r="B272" s="5">
        <v>1622</v>
      </c>
      <c r="C272" s="3" t="s">
        <v>64</v>
      </c>
      <c r="D272" s="29">
        <v>2456703</v>
      </c>
      <c r="E272" s="7"/>
      <c r="F272" s="8">
        <v>1</v>
      </c>
      <c r="G272" s="8">
        <v>0.59</v>
      </c>
      <c r="H272" s="8">
        <v>1</v>
      </c>
      <c r="I272" s="9">
        <v>43563</v>
      </c>
      <c r="J272" s="9"/>
      <c r="K272" s="10">
        <v>1.73</v>
      </c>
      <c r="L272" s="3" t="s">
        <v>65</v>
      </c>
      <c r="M272" s="9">
        <f t="shared" si="12"/>
        <v>43556</v>
      </c>
      <c r="N272" s="9">
        <f t="shared" si="13"/>
        <v>43586</v>
      </c>
      <c r="O272" s="29">
        <f>VLOOKUP(B272,PROYECTO!A:H,8,0)</f>
        <v>0</v>
      </c>
      <c r="P272" s="9">
        <f t="array" ref="P272">MAX(MAX(IF($B:$B=B272,$N:$N)),MAX(IF(B272=HONORARIOS!B:B,HONORARIOS!M:M)))</f>
        <v>44501</v>
      </c>
      <c r="Q272" s="29">
        <f t="shared" si="14"/>
        <v>1.73</v>
      </c>
    </row>
    <row r="273" spans="2:17" x14ac:dyDescent="0.25">
      <c r="B273" s="5">
        <v>1622</v>
      </c>
      <c r="C273" s="3" t="s">
        <v>22</v>
      </c>
      <c r="D273" s="29">
        <v>2456703</v>
      </c>
      <c r="E273" s="7"/>
      <c r="F273" s="8">
        <v>1</v>
      </c>
      <c r="G273" s="8">
        <v>0.59</v>
      </c>
      <c r="H273" s="8">
        <v>1</v>
      </c>
      <c r="I273" s="9">
        <v>43563</v>
      </c>
      <c r="J273" s="9"/>
      <c r="K273" s="10">
        <v>7.73</v>
      </c>
      <c r="L273" s="3" t="s">
        <v>65</v>
      </c>
      <c r="M273" s="9">
        <f t="shared" ref="M273:M336" si="15">(MONTH(I273)&amp;"-"&amp;YEAR(I273))*1</f>
        <v>43556</v>
      </c>
      <c r="N273" s="9">
        <f t="shared" si="13"/>
        <v>43770</v>
      </c>
      <c r="O273" s="29">
        <f>VLOOKUP(B273,PROYECTO!A:H,8,0)</f>
        <v>0</v>
      </c>
      <c r="P273" s="9">
        <f t="array" ref="P273">MAX(MAX(IF($B:$B=B273,$N:$N)),MAX(IF(B273=HONORARIOS!B:B,HONORARIOS!M:M)))</f>
        <v>44501</v>
      </c>
      <c r="Q273" s="29">
        <f t="shared" si="14"/>
        <v>7.73</v>
      </c>
    </row>
    <row r="274" spans="2:17" x14ac:dyDescent="0.25">
      <c r="B274" s="5">
        <v>1588</v>
      </c>
      <c r="C274" s="3" t="s">
        <v>19</v>
      </c>
      <c r="D274" s="29">
        <v>7800000</v>
      </c>
      <c r="E274" s="7">
        <v>2015</v>
      </c>
      <c r="F274" s="8">
        <v>0.2</v>
      </c>
      <c r="G274" s="8">
        <v>0.62</v>
      </c>
      <c r="H274" s="8">
        <v>1</v>
      </c>
      <c r="I274" s="9">
        <v>42186</v>
      </c>
      <c r="J274" s="9">
        <v>42125</v>
      </c>
      <c r="K274" s="10">
        <v>9</v>
      </c>
      <c r="L274" s="3" t="s">
        <v>27</v>
      </c>
      <c r="M274" s="9">
        <f t="shared" si="15"/>
        <v>42186</v>
      </c>
      <c r="N274" s="9">
        <f t="shared" si="13"/>
        <v>42461</v>
      </c>
      <c r="O274" s="29">
        <f>VLOOKUP(B274,PROYECTO!A:H,8,0)</f>
        <v>5</v>
      </c>
      <c r="P274" s="9">
        <f t="array" ref="P274">MAX(MAX(IF($B:$B=B274,$N:$N)),MAX(IF(B274=HONORARIOS!B:B,HONORARIOS!M:M)))</f>
        <v>43586</v>
      </c>
      <c r="Q274" s="29">
        <f t="shared" si="14"/>
        <v>9</v>
      </c>
    </row>
    <row r="275" spans="2:17" x14ac:dyDescent="0.25">
      <c r="B275" s="5">
        <v>1588</v>
      </c>
      <c r="C275" s="3" t="s">
        <v>19</v>
      </c>
      <c r="D275" s="29">
        <v>7800000</v>
      </c>
      <c r="E275" s="7">
        <v>2015</v>
      </c>
      <c r="F275" s="8">
        <v>0.1</v>
      </c>
      <c r="G275" s="8">
        <v>0.62</v>
      </c>
      <c r="H275" s="8">
        <v>1</v>
      </c>
      <c r="I275" s="9">
        <v>42186</v>
      </c>
      <c r="J275" s="9">
        <v>42186</v>
      </c>
      <c r="K275" s="10">
        <v>3</v>
      </c>
      <c r="L275" s="3" t="s">
        <v>27</v>
      </c>
      <c r="M275" s="9">
        <f t="shared" si="15"/>
        <v>42186</v>
      </c>
      <c r="N275" s="9">
        <f t="shared" si="13"/>
        <v>42278</v>
      </c>
      <c r="O275" s="29">
        <f>VLOOKUP(B275,PROYECTO!A:H,8,0)</f>
        <v>5</v>
      </c>
      <c r="P275" s="9">
        <f t="array" ref="P275">MAX(MAX(IF($B:$B=B275,$N:$N)),MAX(IF(B275=HONORARIOS!B:B,HONORARIOS!M:M)))</f>
        <v>43586</v>
      </c>
      <c r="Q275" s="29">
        <f t="shared" si="14"/>
        <v>3</v>
      </c>
    </row>
    <row r="276" spans="2:17" x14ac:dyDescent="0.25">
      <c r="B276" s="5">
        <v>1588</v>
      </c>
      <c r="C276" s="3" t="s">
        <v>28</v>
      </c>
      <c r="D276" s="29">
        <v>3200000</v>
      </c>
      <c r="E276" s="7">
        <v>2015</v>
      </c>
      <c r="F276" s="8">
        <v>0.5</v>
      </c>
      <c r="G276" s="8">
        <v>0.5</v>
      </c>
      <c r="H276" s="8">
        <v>1</v>
      </c>
      <c r="I276" s="9">
        <v>42186</v>
      </c>
      <c r="J276" s="9">
        <v>42125</v>
      </c>
      <c r="K276" s="10">
        <v>4</v>
      </c>
      <c r="L276" s="3" t="s">
        <v>27</v>
      </c>
      <c r="M276" s="9">
        <f t="shared" si="15"/>
        <v>42186</v>
      </c>
      <c r="N276" s="9">
        <f t="shared" si="13"/>
        <v>42309</v>
      </c>
      <c r="O276" s="29">
        <f>VLOOKUP(B276,PROYECTO!A:H,8,0)</f>
        <v>5</v>
      </c>
      <c r="P276" s="9">
        <f t="array" ref="P276">MAX(MAX(IF($B:$B=B276,$N:$N)),MAX(IF(B276=HONORARIOS!B:B,HONORARIOS!M:M)))</f>
        <v>43586</v>
      </c>
      <c r="Q276" s="29">
        <f t="shared" si="14"/>
        <v>4</v>
      </c>
    </row>
    <row r="277" spans="2:17" x14ac:dyDescent="0.25">
      <c r="B277" s="5">
        <v>1588</v>
      </c>
      <c r="C277" s="3" t="s">
        <v>28</v>
      </c>
      <c r="D277" s="29">
        <v>3200000</v>
      </c>
      <c r="E277" s="7">
        <v>2015</v>
      </c>
      <c r="F277" s="8">
        <v>1</v>
      </c>
      <c r="G277" s="8">
        <v>0.5</v>
      </c>
      <c r="H277" s="8">
        <v>1</v>
      </c>
      <c r="I277" s="9">
        <v>42186</v>
      </c>
      <c r="J277" s="9">
        <v>42248</v>
      </c>
      <c r="K277" s="10">
        <v>5</v>
      </c>
      <c r="L277" s="3" t="s">
        <v>27</v>
      </c>
      <c r="M277" s="9">
        <f t="shared" si="15"/>
        <v>42186</v>
      </c>
      <c r="N277" s="9">
        <f t="shared" si="13"/>
        <v>42339</v>
      </c>
      <c r="O277" s="29">
        <f>VLOOKUP(B277,PROYECTO!A:H,8,0)</f>
        <v>5</v>
      </c>
      <c r="P277" s="9">
        <f t="array" ref="P277">MAX(MAX(IF($B:$B=B277,$N:$N)),MAX(IF(B277=HONORARIOS!B:B,HONORARIOS!M:M)))</f>
        <v>43586</v>
      </c>
      <c r="Q277" s="29">
        <f t="shared" si="14"/>
        <v>5</v>
      </c>
    </row>
    <row r="278" spans="2:17" x14ac:dyDescent="0.25">
      <c r="B278" s="5">
        <v>1588</v>
      </c>
      <c r="C278" s="3" t="s">
        <v>29</v>
      </c>
      <c r="D278" s="29">
        <v>2800000</v>
      </c>
      <c r="E278" s="7">
        <v>2015</v>
      </c>
      <c r="F278" s="8">
        <v>0.5</v>
      </c>
      <c r="G278" s="8">
        <v>0.5</v>
      </c>
      <c r="H278" s="8">
        <v>1</v>
      </c>
      <c r="I278" s="9">
        <v>42186</v>
      </c>
      <c r="J278" s="9">
        <v>42278</v>
      </c>
      <c r="K278" s="10">
        <v>11</v>
      </c>
      <c r="L278" s="3" t="s">
        <v>27</v>
      </c>
      <c r="M278" s="9">
        <f t="shared" si="15"/>
        <v>42186</v>
      </c>
      <c r="N278" s="9">
        <f t="shared" si="13"/>
        <v>42522</v>
      </c>
      <c r="O278" s="29">
        <f>VLOOKUP(B278,PROYECTO!A:H,8,0)</f>
        <v>5</v>
      </c>
      <c r="P278" s="9">
        <f t="array" ref="P278">MAX(MAX(IF($B:$B=B278,$N:$N)),MAX(IF(B278=HONORARIOS!B:B,HONORARIOS!M:M)))</f>
        <v>43586</v>
      </c>
      <c r="Q278" s="29">
        <f t="shared" si="14"/>
        <v>11</v>
      </c>
    </row>
    <row r="279" spans="2:17" x14ac:dyDescent="0.25">
      <c r="B279" s="5">
        <v>1588</v>
      </c>
      <c r="C279" s="3" t="s">
        <v>30</v>
      </c>
      <c r="D279" s="29">
        <v>3200000</v>
      </c>
      <c r="E279" s="7">
        <v>2015</v>
      </c>
      <c r="F279" s="8">
        <v>1</v>
      </c>
      <c r="G279" s="8">
        <v>0.5</v>
      </c>
      <c r="H279" s="8">
        <v>1</v>
      </c>
      <c r="I279" s="9">
        <v>42186</v>
      </c>
      <c r="J279" s="9">
        <v>42278</v>
      </c>
      <c r="K279" s="10">
        <v>3</v>
      </c>
      <c r="L279" s="3" t="s">
        <v>27</v>
      </c>
      <c r="M279" s="9">
        <f t="shared" si="15"/>
        <v>42186</v>
      </c>
      <c r="N279" s="9">
        <f t="shared" si="13"/>
        <v>42278</v>
      </c>
      <c r="O279" s="29">
        <f>VLOOKUP(B279,PROYECTO!A:H,8,0)</f>
        <v>5</v>
      </c>
      <c r="P279" s="9">
        <f t="array" ref="P279">MAX(MAX(IF($B:$B=B279,$N:$N)),MAX(IF(B279=HONORARIOS!B:B,HONORARIOS!M:M)))</f>
        <v>43586</v>
      </c>
      <c r="Q279" s="29">
        <f t="shared" si="14"/>
        <v>3</v>
      </c>
    </row>
    <row r="280" spans="2:17" x14ac:dyDescent="0.25">
      <c r="B280" s="5">
        <v>1588</v>
      </c>
      <c r="C280" s="3" t="s">
        <v>31</v>
      </c>
      <c r="D280" s="29">
        <v>5100000</v>
      </c>
      <c r="E280" s="7">
        <v>2015</v>
      </c>
      <c r="F280" s="8">
        <v>0.1</v>
      </c>
      <c r="G280" s="8">
        <v>0.5</v>
      </c>
      <c r="H280" s="8">
        <v>1</v>
      </c>
      <c r="I280" s="9">
        <v>42186</v>
      </c>
      <c r="J280" s="9"/>
      <c r="K280" s="10">
        <v>4</v>
      </c>
      <c r="L280" s="3" t="s">
        <v>27</v>
      </c>
      <c r="M280" s="9">
        <f t="shared" si="15"/>
        <v>42186</v>
      </c>
      <c r="N280" s="9">
        <f t="shared" si="13"/>
        <v>42309</v>
      </c>
      <c r="O280" s="29">
        <f>VLOOKUP(B280,PROYECTO!A:H,8,0)</f>
        <v>5</v>
      </c>
      <c r="P280" s="9">
        <f t="array" ref="P280">MAX(MAX(IF($B:$B=B280,$N:$N)),MAX(IF(B280=HONORARIOS!B:B,HONORARIOS!M:M)))</f>
        <v>43586</v>
      </c>
      <c r="Q280" s="29">
        <f t="shared" si="14"/>
        <v>4</v>
      </c>
    </row>
    <row r="281" spans="2:17" x14ac:dyDescent="0.25">
      <c r="B281" s="5">
        <v>1588</v>
      </c>
      <c r="C281" s="3" t="s">
        <v>251</v>
      </c>
      <c r="D281" s="29">
        <v>5100000</v>
      </c>
      <c r="E281" s="7">
        <v>2015</v>
      </c>
      <c r="F281" s="8">
        <v>0.1</v>
      </c>
      <c r="G281" s="8">
        <v>0.5</v>
      </c>
      <c r="H281" s="8">
        <v>1</v>
      </c>
      <c r="I281" s="9">
        <v>42186</v>
      </c>
      <c r="J281" s="9">
        <v>42736</v>
      </c>
      <c r="K281" s="10">
        <v>4</v>
      </c>
      <c r="L281" s="3" t="s">
        <v>27</v>
      </c>
      <c r="M281" s="9">
        <f t="shared" si="15"/>
        <v>42186</v>
      </c>
      <c r="N281" s="9">
        <f t="shared" si="13"/>
        <v>42309</v>
      </c>
      <c r="O281" s="29">
        <f>VLOOKUP(B281,PROYECTO!A:H,8,0)</f>
        <v>5</v>
      </c>
      <c r="P281" s="9">
        <f t="array" ref="P281">MAX(MAX(IF($B:$B=B281,$N:$N)),MAX(IF(B281=HONORARIOS!B:B,HONORARIOS!M:M)))</f>
        <v>43586</v>
      </c>
      <c r="Q281" s="29">
        <f t="shared" si="14"/>
        <v>4</v>
      </c>
    </row>
    <row r="282" spans="2:17" x14ac:dyDescent="0.25">
      <c r="B282" s="5">
        <v>1588</v>
      </c>
      <c r="C282" s="3" t="s">
        <v>250</v>
      </c>
      <c r="D282" s="29">
        <v>5100000</v>
      </c>
      <c r="E282" s="7">
        <v>2015</v>
      </c>
      <c r="F282" s="8">
        <v>0.1</v>
      </c>
      <c r="G282" s="8">
        <v>0.5</v>
      </c>
      <c r="H282" s="8">
        <v>1</v>
      </c>
      <c r="I282" s="9">
        <v>42186</v>
      </c>
      <c r="J282" s="9"/>
      <c r="K282" s="10">
        <v>4</v>
      </c>
      <c r="L282" s="3" t="s">
        <v>27</v>
      </c>
      <c r="M282" s="9">
        <f t="shared" si="15"/>
        <v>42186</v>
      </c>
      <c r="N282" s="9">
        <f t="shared" si="13"/>
        <v>42309</v>
      </c>
      <c r="O282" s="29">
        <f>VLOOKUP(B282,PROYECTO!A:H,8,0)</f>
        <v>5</v>
      </c>
      <c r="P282" s="9">
        <f t="array" ref="P282">MAX(MAX(IF($B:$B=B282,$N:$N)),MAX(IF(B282=HONORARIOS!B:B,HONORARIOS!M:M)))</f>
        <v>43586</v>
      </c>
      <c r="Q282" s="29">
        <f t="shared" si="14"/>
        <v>4</v>
      </c>
    </row>
    <row r="283" spans="2:17" x14ac:dyDescent="0.25">
      <c r="B283" s="5">
        <v>1588</v>
      </c>
      <c r="C283" s="3" t="s">
        <v>32</v>
      </c>
      <c r="D283" s="29">
        <v>5100000</v>
      </c>
      <c r="E283" s="7">
        <v>2015</v>
      </c>
      <c r="F283" s="8">
        <v>0.1</v>
      </c>
      <c r="G283" s="8">
        <v>0.5</v>
      </c>
      <c r="H283" s="8">
        <v>1</v>
      </c>
      <c r="I283" s="9">
        <v>42186</v>
      </c>
      <c r="J283" s="9">
        <v>42736</v>
      </c>
      <c r="K283" s="10">
        <v>3</v>
      </c>
      <c r="L283" s="3" t="s">
        <v>27</v>
      </c>
      <c r="M283" s="9">
        <f t="shared" si="15"/>
        <v>42186</v>
      </c>
      <c r="N283" s="9">
        <f t="shared" si="13"/>
        <v>42278</v>
      </c>
      <c r="O283" s="29">
        <f>VLOOKUP(B283,PROYECTO!A:H,8,0)</f>
        <v>5</v>
      </c>
      <c r="P283" s="9">
        <f t="array" ref="P283">MAX(MAX(IF($B:$B=B283,$N:$N)),MAX(IF(B283=HONORARIOS!B:B,HONORARIOS!M:M)))</f>
        <v>43586</v>
      </c>
      <c r="Q283" s="29">
        <f t="shared" si="14"/>
        <v>3</v>
      </c>
    </row>
    <row r="284" spans="2:17" x14ac:dyDescent="0.25">
      <c r="B284" s="5">
        <v>1588</v>
      </c>
      <c r="C284" s="3" t="s">
        <v>19</v>
      </c>
      <c r="D284" s="29">
        <v>7800000</v>
      </c>
      <c r="E284" s="7">
        <v>2015</v>
      </c>
      <c r="F284" s="8">
        <v>0.2</v>
      </c>
      <c r="G284" s="8">
        <v>0.62</v>
      </c>
      <c r="H284" s="8">
        <v>1</v>
      </c>
      <c r="I284" s="9">
        <v>42339</v>
      </c>
      <c r="J284" s="9">
        <v>42290</v>
      </c>
      <c r="K284" s="10">
        <v>41</v>
      </c>
      <c r="L284" s="3" t="s">
        <v>33</v>
      </c>
      <c r="M284" s="9">
        <f t="shared" si="15"/>
        <v>42339</v>
      </c>
      <c r="N284" s="9">
        <f t="shared" si="13"/>
        <v>43586</v>
      </c>
      <c r="O284" s="29">
        <f>VLOOKUP(B284,PROYECTO!A:H,8,0)</f>
        <v>5</v>
      </c>
      <c r="P284" s="9">
        <f t="array" ref="P284">MAX(MAX(IF($B:$B=B284,$N:$N)),MAX(IF(B284=HONORARIOS!B:B,HONORARIOS!M:M)))</f>
        <v>43586</v>
      </c>
      <c r="Q284" s="29">
        <f t="shared" si="14"/>
        <v>46</v>
      </c>
    </row>
    <row r="285" spans="2:17" x14ac:dyDescent="0.25">
      <c r="B285" s="5">
        <v>1588</v>
      </c>
      <c r="C285" s="3" t="s">
        <v>12</v>
      </c>
      <c r="D285" s="29">
        <v>5300000</v>
      </c>
      <c r="E285" s="7">
        <v>2015</v>
      </c>
      <c r="F285" s="8">
        <v>1</v>
      </c>
      <c r="G285" s="8">
        <v>0.5</v>
      </c>
      <c r="H285" s="8">
        <v>1</v>
      </c>
      <c r="I285" s="9">
        <v>42370</v>
      </c>
      <c r="J285" s="9">
        <v>42373</v>
      </c>
      <c r="K285" s="10">
        <v>28</v>
      </c>
      <c r="L285" s="3" t="s">
        <v>33</v>
      </c>
      <c r="M285" s="9">
        <f t="shared" si="15"/>
        <v>42370</v>
      </c>
      <c r="N285" s="9">
        <f t="shared" si="13"/>
        <v>43221</v>
      </c>
      <c r="O285" s="29">
        <f>VLOOKUP(B285,PROYECTO!A:H,8,0)</f>
        <v>5</v>
      </c>
      <c r="P285" s="9">
        <f t="array" ref="P285">MAX(MAX(IF($B:$B=B285,$N:$N)),MAX(IF(B285=HONORARIOS!B:B,HONORARIOS!M:M)))</f>
        <v>43586</v>
      </c>
      <c r="Q285" s="29">
        <f t="shared" si="14"/>
        <v>28</v>
      </c>
    </row>
    <row r="286" spans="2:17" x14ac:dyDescent="0.25">
      <c r="B286" s="5">
        <v>1588</v>
      </c>
      <c r="C286" s="3" t="s">
        <v>30</v>
      </c>
      <c r="D286" s="29">
        <v>3900000</v>
      </c>
      <c r="E286" s="7">
        <v>2015</v>
      </c>
      <c r="F286" s="8">
        <v>1</v>
      </c>
      <c r="G286" s="8">
        <v>0.5</v>
      </c>
      <c r="H286" s="8">
        <v>1</v>
      </c>
      <c r="I286" s="9">
        <v>42370</v>
      </c>
      <c r="J286" s="9">
        <v>42418</v>
      </c>
      <c r="K286" s="10">
        <v>27</v>
      </c>
      <c r="L286" s="3" t="s">
        <v>33</v>
      </c>
      <c r="M286" s="9">
        <f t="shared" si="15"/>
        <v>42370</v>
      </c>
      <c r="N286" s="9">
        <f t="shared" si="13"/>
        <v>43191</v>
      </c>
      <c r="O286" s="29">
        <f>VLOOKUP(B286,PROYECTO!A:H,8,0)</f>
        <v>5</v>
      </c>
      <c r="P286" s="9">
        <f t="array" ref="P286">MAX(MAX(IF($B:$B=B286,$N:$N)),MAX(IF(B286=HONORARIOS!B:B,HONORARIOS!M:M)))</f>
        <v>43586</v>
      </c>
      <c r="Q286" s="29">
        <f t="shared" si="14"/>
        <v>27</v>
      </c>
    </row>
    <row r="287" spans="2:17" x14ac:dyDescent="0.25">
      <c r="B287" s="5">
        <v>1588</v>
      </c>
      <c r="C287" s="3" t="s">
        <v>14</v>
      </c>
      <c r="D287" s="29">
        <v>4500000</v>
      </c>
      <c r="E287" s="7">
        <v>2015</v>
      </c>
      <c r="F287" s="8">
        <v>0.5</v>
      </c>
      <c r="G287" s="8">
        <v>0.5</v>
      </c>
      <c r="H287" s="8">
        <v>1</v>
      </c>
      <c r="I287" s="9">
        <v>42370</v>
      </c>
      <c r="J287" s="9">
        <v>42780</v>
      </c>
      <c r="K287" s="10">
        <v>12</v>
      </c>
      <c r="L287" s="3" t="s">
        <v>33</v>
      </c>
      <c r="M287" s="9">
        <f t="shared" si="15"/>
        <v>42370</v>
      </c>
      <c r="N287" s="9">
        <f t="shared" si="13"/>
        <v>42736</v>
      </c>
      <c r="O287" s="29">
        <f>VLOOKUP(B287,PROYECTO!A:H,8,0)</f>
        <v>5</v>
      </c>
      <c r="P287" s="9">
        <f t="array" ref="P287">MAX(MAX(IF($B:$B=B287,$N:$N)),MAX(IF(B287=HONORARIOS!B:B,HONORARIOS!M:M)))</f>
        <v>43586</v>
      </c>
      <c r="Q287" s="29">
        <f t="shared" si="14"/>
        <v>12</v>
      </c>
    </row>
    <row r="288" spans="2:17" x14ac:dyDescent="0.25">
      <c r="B288" s="5">
        <v>1588</v>
      </c>
      <c r="C288" s="3" t="s">
        <v>14</v>
      </c>
      <c r="D288" s="29">
        <v>4500000</v>
      </c>
      <c r="E288" s="7">
        <v>2015</v>
      </c>
      <c r="F288" s="8">
        <v>1</v>
      </c>
      <c r="G288" s="8">
        <v>0.5</v>
      </c>
      <c r="H288" s="8">
        <v>1</v>
      </c>
      <c r="I288" s="9">
        <v>42370</v>
      </c>
      <c r="J288" s="9">
        <v>42979</v>
      </c>
      <c r="K288" s="10">
        <v>10</v>
      </c>
      <c r="L288" s="3" t="s">
        <v>33</v>
      </c>
      <c r="M288" s="9">
        <f t="shared" si="15"/>
        <v>42370</v>
      </c>
      <c r="N288" s="9">
        <f t="shared" si="13"/>
        <v>42675</v>
      </c>
      <c r="O288" s="29">
        <f>VLOOKUP(B288,PROYECTO!A:H,8,0)</f>
        <v>5</v>
      </c>
      <c r="P288" s="9">
        <f t="array" ref="P288">MAX(MAX(IF($B:$B=B288,$N:$N)),MAX(IF(B288=HONORARIOS!B:B,HONORARIOS!M:M)))</f>
        <v>43586</v>
      </c>
      <c r="Q288" s="29">
        <f t="shared" si="14"/>
        <v>10</v>
      </c>
    </row>
    <row r="289" spans="2:17" x14ac:dyDescent="0.25">
      <c r="B289" s="5">
        <v>1588</v>
      </c>
      <c r="C289" s="3" t="s">
        <v>25</v>
      </c>
      <c r="D289" s="29">
        <v>2600000</v>
      </c>
      <c r="E289" s="7">
        <v>2015</v>
      </c>
      <c r="F289" s="8">
        <v>1</v>
      </c>
      <c r="G289" s="8">
        <v>0.5</v>
      </c>
      <c r="H289" s="8">
        <v>1</v>
      </c>
      <c r="I289" s="9">
        <v>42370</v>
      </c>
      <c r="J289" s="9">
        <v>42443</v>
      </c>
      <c r="K289" s="10">
        <v>25</v>
      </c>
      <c r="L289" s="3" t="s">
        <v>33</v>
      </c>
      <c r="M289" s="9">
        <f t="shared" si="15"/>
        <v>42370</v>
      </c>
      <c r="N289" s="9">
        <f t="shared" si="13"/>
        <v>43132</v>
      </c>
      <c r="O289" s="29">
        <f>VLOOKUP(B289,PROYECTO!A:H,8,0)</f>
        <v>5</v>
      </c>
      <c r="P289" s="9">
        <f t="array" ref="P289">MAX(MAX(IF($B:$B=B289,$N:$N)),MAX(IF(B289=HONORARIOS!B:B,HONORARIOS!M:M)))</f>
        <v>43586</v>
      </c>
      <c r="Q289" s="29">
        <f t="shared" si="14"/>
        <v>25</v>
      </c>
    </row>
    <row r="290" spans="2:17" x14ac:dyDescent="0.25">
      <c r="B290" s="5">
        <v>1588</v>
      </c>
      <c r="C290" s="3" t="s">
        <v>34</v>
      </c>
      <c r="D290" s="29">
        <v>3200000</v>
      </c>
      <c r="E290" s="7">
        <v>2015</v>
      </c>
      <c r="F290" s="8">
        <v>1</v>
      </c>
      <c r="G290" s="8">
        <v>0.5</v>
      </c>
      <c r="H290" s="8">
        <v>1</v>
      </c>
      <c r="I290" s="9">
        <v>42370</v>
      </c>
      <c r="J290" s="9"/>
      <c r="K290" s="10">
        <v>11</v>
      </c>
      <c r="L290" s="3" t="s">
        <v>33</v>
      </c>
      <c r="M290" s="9">
        <f t="shared" si="15"/>
        <v>42370</v>
      </c>
      <c r="N290" s="9">
        <f t="shared" si="13"/>
        <v>42705</v>
      </c>
      <c r="O290" s="29">
        <f>VLOOKUP(B290,PROYECTO!A:H,8,0)</f>
        <v>5</v>
      </c>
      <c r="P290" s="9">
        <f t="array" ref="P290">MAX(MAX(IF($B:$B=B290,$N:$N)),MAX(IF(B290=HONORARIOS!B:B,HONORARIOS!M:M)))</f>
        <v>43586</v>
      </c>
      <c r="Q290" s="29">
        <f t="shared" si="14"/>
        <v>11</v>
      </c>
    </row>
    <row r="291" spans="2:17" x14ac:dyDescent="0.25">
      <c r="B291" s="5">
        <v>1588</v>
      </c>
      <c r="C291" s="3" t="s">
        <v>35</v>
      </c>
      <c r="D291" s="29">
        <v>1900000</v>
      </c>
      <c r="E291" s="7">
        <v>2015</v>
      </c>
      <c r="F291" s="8">
        <v>1</v>
      </c>
      <c r="G291" s="8">
        <v>0.59</v>
      </c>
      <c r="H291" s="8">
        <v>1</v>
      </c>
      <c r="I291" s="9">
        <v>42370</v>
      </c>
      <c r="J291" s="9">
        <v>42401</v>
      </c>
      <c r="K291" s="10">
        <v>29</v>
      </c>
      <c r="L291" s="3" t="s">
        <v>33</v>
      </c>
      <c r="M291" s="9">
        <f t="shared" si="15"/>
        <v>42370</v>
      </c>
      <c r="N291" s="9">
        <f t="shared" si="13"/>
        <v>43252</v>
      </c>
      <c r="O291" s="29">
        <f>VLOOKUP(B291,PROYECTO!A:H,8,0)</f>
        <v>5</v>
      </c>
      <c r="P291" s="9">
        <f t="array" ref="P291">MAX(MAX(IF($B:$B=B291,$N:$N)),MAX(IF(B291=HONORARIOS!B:B,HONORARIOS!M:M)))</f>
        <v>43586</v>
      </c>
      <c r="Q291" s="29">
        <f t="shared" si="14"/>
        <v>29</v>
      </c>
    </row>
    <row r="292" spans="2:17" x14ac:dyDescent="0.25">
      <c r="B292" s="5">
        <v>1588</v>
      </c>
      <c r="C292" s="3" t="s">
        <v>252</v>
      </c>
      <c r="D292" s="29">
        <v>1900000</v>
      </c>
      <c r="E292" s="7">
        <v>2015</v>
      </c>
      <c r="F292" s="8">
        <v>1</v>
      </c>
      <c r="G292" s="8">
        <v>0.59</v>
      </c>
      <c r="H292" s="8">
        <v>1</v>
      </c>
      <c r="I292" s="9">
        <v>42370</v>
      </c>
      <c r="J292" s="9">
        <v>42653</v>
      </c>
      <c r="K292" s="10">
        <v>10</v>
      </c>
      <c r="L292" s="3" t="s">
        <v>33</v>
      </c>
      <c r="M292" s="9">
        <f t="shared" si="15"/>
        <v>42370</v>
      </c>
      <c r="N292" s="9">
        <f t="shared" si="13"/>
        <v>42675</v>
      </c>
      <c r="O292" s="29">
        <f>VLOOKUP(B292,PROYECTO!A:H,8,0)</f>
        <v>5</v>
      </c>
      <c r="P292" s="9">
        <f t="array" ref="P292">MAX(MAX(IF($B:$B=B292,$N:$N)),MAX(IF(B292=HONORARIOS!B:B,HONORARIOS!M:M)))</f>
        <v>43586</v>
      </c>
      <c r="Q292" s="29">
        <f t="shared" si="14"/>
        <v>10</v>
      </c>
    </row>
    <row r="293" spans="2:17" x14ac:dyDescent="0.25">
      <c r="B293" s="5">
        <v>1588</v>
      </c>
      <c r="C293" s="3" t="s">
        <v>36</v>
      </c>
      <c r="D293" s="29">
        <v>2100000</v>
      </c>
      <c r="E293" s="7">
        <v>2015</v>
      </c>
      <c r="F293" s="8">
        <v>1</v>
      </c>
      <c r="G293" s="8">
        <v>0.59</v>
      </c>
      <c r="H293" s="8">
        <v>1</v>
      </c>
      <c r="I293" s="9">
        <v>42370</v>
      </c>
      <c r="J293" s="9">
        <v>42846</v>
      </c>
      <c r="K293" s="10">
        <v>20</v>
      </c>
      <c r="L293" s="3" t="s">
        <v>33</v>
      </c>
      <c r="M293" s="9">
        <f t="shared" si="15"/>
        <v>42370</v>
      </c>
      <c r="N293" s="9">
        <f t="shared" si="13"/>
        <v>42979</v>
      </c>
      <c r="O293" s="29">
        <f>VLOOKUP(B293,PROYECTO!A:H,8,0)</f>
        <v>5</v>
      </c>
      <c r="P293" s="9">
        <f t="array" ref="P293">MAX(MAX(IF($B:$B=B293,$N:$N)),MAX(IF(B293=HONORARIOS!B:B,HONORARIOS!M:M)))</f>
        <v>43586</v>
      </c>
      <c r="Q293" s="29">
        <f t="shared" si="14"/>
        <v>20</v>
      </c>
    </row>
    <row r="294" spans="2:17" x14ac:dyDescent="0.25">
      <c r="B294" s="5">
        <v>1588</v>
      </c>
      <c r="C294" s="3" t="s">
        <v>21</v>
      </c>
      <c r="D294" s="29">
        <v>1900000</v>
      </c>
      <c r="E294" s="7">
        <v>2015</v>
      </c>
      <c r="F294" s="8">
        <v>1</v>
      </c>
      <c r="G294" s="8">
        <v>0.59</v>
      </c>
      <c r="H294" s="8">
        <v>1</v>
      </c>
      <c r="I294" s="9">
        <v>42370</v>
      </c>
      <c r="J294" s="9">
        <v>42849</v>
      </c>
      <c r="K294" s="10">
        <v>20</v>
      </c>
      <c r="L294" s="3" t="s">
        <v>33</v>
      </c>
      <c r="M294" s="9">
        <f t="shared" si="15"/>
        <v>42370</v>
      </c>
      <c r="N294" s="9">
        <f t="shared" si="13"/>
        <v>42979</v>
      </c>
      <c r="O294" s="29">
        <f>VLOOKUP(B294,PROYECTO!A:H,8,0)</f>
        <v>5</v>
      </c>
      <c r="P294" s="9">
        <f t="array" ref="P294">MAX(MAX(IF($B:$B=B294,$N:$N)),MAX(IF(B294=HONORARIOS!B:B,HONORARIOS!M:M)))</f>
        <v>43586</v>
      </c>
      <c r="Q294" s="29">
        <f t="shared" si="14"/>
        <v>20</v>
      </c>
    </row>
    <row r="295" spans="2:17" x14ac:dyDescent="0.25">
      <c r="B295" s="5">
        <v>1588</v>
      </c>
      <c r="C295" s="3" t="s">
        <v>24</v>
      </c>
      <c r="D295" s="29">
        <v>1800000</v>
      </c>
      <c r="E295" s="7">
        <v>2015</v>
      </c>
      <c r="F295" s="8">
        <v>1</v>
      </c>
      <c r="G295" s="8">
        <v>0.59</v>
      </c>
      <c r="H295" s="8">
        <v>1</v>
      </c>
      <c r="I295" s="9">
        <v>42370</v>
      </c>
      <c r="J295" s="9">
        <v>42401</v>
      </c>
      <c r="K295" s="10">
        <v>29</v>
      </c>
      <c r="L295" s="3" t="s">
        <v>33</v>
      </c>
      <c r="M295" s="9">
        <f t="shared" si="15"/>
        <v>42370</v>
      </c>
      <c r="N295" s="9">
        <f t="shared" si="13"/>
        <v>43252</v>
      </c>
      <c r="O295" s="29">
        <f>VLOOKUP(B295,PROYECTO!A:H,8,0)</f>
        <v>5</v>
      </c>
      <c r="P295" s="9">
        <f t="array" ref="P295">MAX(MAX(IF($B:$B=B295,$N:$N)),MAX(IF(B295=HONORARIOS!B:B,HONORARIOS!M:M)))</f>
        <v>43586</v>
      </c>
      <c r="Q295" s="29">
        <f t="shared" si="14"/>
        <v>29</v>
      </c>
    </row>
    <row r="296" spans="2:17" x14ac:dyDescent="0.25">
      <c r="B296" s="5">
        <v>1723</v>
      </c>
      <c r="C296" s="3" t="s">
        <v>19</v>
      </c>
      <c r="D296" s="29">
        <v>10000000</v>
      </c>
      <c r="E296" s="7">
        <v>2016</v>
      </c>
      <c r="F296" s="8">
        <v>0.3</v>
      </c>
      <c r="G296" s="8">
        <v>0.62</v>
      </c>
      <c r="H296" s="8">
        <v>1</v>
      </c>
      <c r="I296" s="9">
        <v>42614</v>
      </c>
      <c r="J296" s="9">
        <v>42632</v>
      </c>
      <c r="K296" s="10">
        <v>34</v>
      </c>
      <c r="L296" s="3"/>
      <c r="M296" s="9">
        <f t="shared" si="15"/>
        <v>42614</v>
      </c>
      <c r="N296" s="9">
        <f t="shared" si="13"/>
        <v>43647</v>
      </c>
      <c r="O296" s="29">
        <f>VLOOKUP(B296,PROYECTO!A:H,8,0)</f>
        <v>0</v>
      </c>
      <c r="P296" s="9">
        <f t="array" ref="P296">MAX(MAX(IF($B:$B=B296,$N:$N)),MAX(IF(B296=HONORARIOS!B:B,HONORARIOS!M:M)))</f>
        <v>43665</v>
      </c>
      <c r="Q296" s="29">
        <f t="shared" si="14"/>
        <v>34</v>
      </c>
    </row>
    <row r="297" spans="2:17" x14ac:dyDescent="0.25">
      <c r="B297" s="5">
        <v>1723</v>
      </c>
      <c r="C297" s="3" t="s">
        <v>94</v>
      </c>
      <c r="D297" s="29">
        <v>6000000</v>
      </c>
      <c r="E297" s="7">
        <v>2016</v>
      </c>
      <c r="F297" s="8">
        <v>1</v>
      </c>
      <c r="G297" s="8">
        <v>0.5</v>
      </c>
      <c r="H297" s="8">
        <v>1</v>
      </c>
      <c r="I297" s="9">
        <v>42614</v>
      </c>
      <c r="J297" s="9">
        <v>42632</v>
      </c>
      <c r="K297" s="10">
        <v>34</v>
      </c>
      <c r="L297" s="3"/>
      <c r="M297" s="9">
        <f t="shared" si="15"/>
        <v>42614</v>
      </c>
      <c r="N297" s="9">
        <f t="shared" si="13"/>
        <v>43647</v>
      </c>
      <c r="O297" s="29">
        <f>VLOOKUP(B297,PROYECTO!A:H,8,0)</f>
        <v>0</v>
      </c>
      <c r="P297" s="9">
        <f t="array" ref="P297">MAX(MAX(IF($B:$B=B297,$N:$N)),MAX(IF(B297=HONORARIOS!B:B,HONORARIOS!M:M)))</f>
        <v>43665</v>
      </c>
      <c r="Q297" s="29">
        <f t="shared" si="14"/>
        <v>34</v>
      </c>
    </row>
    <row r="298" spans="2:17" x14ac:dyDescent="0.25">
      <c r="B298" s="5">
        <v>1723</v>
      </c>
      <c r="C298" s="3" t="s">
        <v>90</v>
      </c>
      <c r="D298" s="29">
        <v>6390000</v>
      </c>
      <c r="E298" s="7">
        <v>2016</v>
      </c>
      <c r="F298" s="8">
        <v>0.08</v>
      </c>
      <c r="G298" s="8">
        <v>0.5</v>
      </c>
      <c r="H298" s="8">
        <v>1</v>
      </c>
      <c r="I298" s="9">
        <v>42614</v>
      </c>
      <c r="J298" s="9">
        <v>42614</v>
      </c>
      <c r="K298" s="10">
        <v>34</v>
      </c>
      <c r="L298" s="3"/>
      <c r="M298" s="9">
        <f t="shared" si="15"/>
        <v>42614</v>
      </c>
      <c r="N298" s="9">
        <f t="shared" si="13"/>
        <v>43647</v>
      </c>
      <c r="O298" s="29">
        <f>VLOOKUP(B298,PROYECTO!A:H,8,0)</f>
        <v>0</v>
      </c>
      <c r="P298" s="9">
        <f t="array" ref="P298">MAX(MAX(IF($B:$B=B298,$N:$N)),MAX(IF(B298=HONORARIOS!B:B,HONORARIOS!M:M)))</f>
        <v>43665</v>
      </c>
      <c r="Q298" s="29">
        <f t="shared" si="14"/>
        <v>34</v>
      </c>
    </row>
    <row r="299" spans="2:17" x14ac:dyDescent="0.25">
      <c r="B299" s="5">
        <v>1723</v>
      </c>
      <c r="C299" s="3" t="s">
        <v>29</v>
      </c>
      <c r="D299" s="29">
        <v>2600000</v>
      </c>
      <c r="E299" s="7">
        <v>2016</v>
      </c>
      <c r="F299" s="8">
        <v>1</v>
      </c>
      <c r="G299" s="8">
        <v>0.5</v>
      </c>
      <c r="H299" s="8">
        <v>1</v>
      </c>
      <c r="I299" s="9">
        <v>42614</v>
      </c>
      <c r="J299" s="9">
        <v>42614</v>
      </c>
      <c r="K299" s="10">
        <v>34</v>
      </c>
      <c r="L299" s="3"/>
      <c r="M299" s="9">
        <f t="shared" si="15"/>
        <v>42614</v>
      </c>
      <c r="N299" s="9">
        <f t="shared" si="13"/>
        <v>43647</v>
      </c>
      <c r="O299" s="29">
        <f>VLOOKUP(B299,PROYECTO!A:H,8,0)</f>
        <v>0</v>
      </c>
      <c r="P299" s="9">
        <f t="array" ref="P299">MAX(MAX(IF($B:$B=B299,$N:$N)),MAX(IF(B299=HONORARIOS!B:B,HONORARIOS!M:M)))</f>
        <v>43665</v>
      </c>
      <c r="Q299" s="29">
        <f t="shared" si="14"/>
        <v>34</v>
      </c>
    </row>
    <row r="300" spans="2:17" x14ac:dyDescent="0.25">
      <c r="B300" s="5">
        <v>1723</v>
      </c>
      <c r="C300" s="3" t="s">
        <v>95</v>
      </c>
      <c r="D300" s="29">
        <v>4100000</v>
      </c>
      <c r="E300" s="7">
        <v>2016</v>
      </c>
      <c r="F300" s="8">
        <v>1</v>
      </c>
      <c r="G300" s="8">
        <v>0.5</v>
      </c>
      <c r="H300" s="8">
        <v>1</v>
      </c>
      <c r="I300" s="9">
        <v>42614</v>
      </c>
      <c r="J300" s="9">
        <v>42675</v>
      </c>
      <c r="K300" s="10">
        <v>24</v>
      </c>
      <c r="L300" s="3"/>
      <c r="M300" s="9">
        <f t="shared" si="15"/>
        <v>42614</v>
      </c>
      <c r="N300" s="9">
        <f t="shared" si="13"/>
        <v>43344</v>
      </c>
      <c r="O300" s="29">
        <f>VLOOKUP(B300,PROYECTO!A:H,8,0)</f>
        <v>0</v>
      </c>
      <c r="P300" s="9">
        <f t="array" ref="P300">MAX(MAX(IF($B:$B=B300,$N:$N)),MAX(IF(B300=HONORARIOS!B:B,HONORARIOS!M:M)))</f>
        <v>43665</v>
      </c>
      <c r="Q300" s="29">
        <f t="shared" si="14"/>
        <v>24</v>
      </c>
    </row>
    <row r="301" spans="2:17" x14ac:dyDescent="0.25">
      <c r="B301" s="5">
        <v>1723</v>
      </c>
      <c r="C301" s="3" t="s">
        <v>14</v>
      </c>
      <c r="D301" s="29">
        <v>4700000</v>
      </c>
      <c r="E301" s="7">
        <v>2016</v>
      </c>
      <c r="F301" s="8">
        <v>0.3</v>
      </c>
      <c r="G301" s="8">
        <v>0.5</v>
      </c>
      <c r="H301" s="8">
        <v>1</v>
      </c>
      <c r="I301" s="9">
        <v>42767</v>
      </c>
      <c r="J301" s="9">
        <v>42633</v>
      </c>
      <c r="K301" s="10">
        <v>29</v>
      </c>
      <c r="L301" s="3"/>
      <c r="M301" s="9">
        <f t="shared" si="15"/>
        <v>42767</v>
      </c>
      <c r="N301" s="9">
        <f t="shared" si="13"/>
        <v>43647</v>
      </c>
      <c r="O301" s="29">
        <f>VLOOKUP(B301,PROYECTO!A:H,8,0)</f>
        <v>0</v>
      </c>
      <c r="P301" s="9">
        <f t="array" ref="P301">MAX(MAX(IF($B:$B=B301,$N:$N)),MAX(IF(B301=HONORARIOS!B:B,HONORARIOS!M:M)))</f>
        <v>43665</v>
      </c>
      <c r="Q301" s="29">
        <f t="shared" si="14"/>
        <v>29</v>
      </c>
    </row>
    <row r="302" spans="2:17" x14ac:dyDescent="0.25">
      <c r="B302" s="5">
        <v>1723</v>
      </c>
      <c r="C302" s="3" t="s">
        <v>39</v>
      </c>
      <c r="D302" s="29">
        <v>3400000</v>
      </c>
      <c r="E302" s="7">
        <v>2016</v>
      </c>
      <c r="F302" s="8">
        <v>1</v>
      </c>
      <c r="G302" s="8">
        <v>0.5</v>
      </c>
      <c r="H302" s="8">
        <v>1</v>
      </c>
      <c r="I302" s="9">
        <v>42614</v>
      </c>
      <c r="J302" s="9">
        <v>42644</v>
      </c>
      <c r="K302" s="10">
        <v>34</v>
      </c>
      <c r="L302" s="3"/>
      <c r="M302" s="9">
        <f t="shared" si="15"/>
        <v>42614</v>
      </c>
      <c r="N302" s="9">
        <f t="shared" si="13"/>
        <v>43647</v>
      </c>
      <c r="O302" s="29">
        <f>VLOOKUP(B302,PROYECTO!A:H,8,0)</f>
        <v>0</v>
      </c>
      <c r="P302" s="9">
        <f t="array" ref="P302">MAX(MAX(IF($B:$B=B302,$N:$N)),MAX(IF(B302=HONORARIOS!B:B,HONORARIOS!M:M)))</f>
        <v>43665</v>
      </c>
      <c r="Q302" s="29">
        <f t="shared" si="14"/>
        <v>34</v>
      </c>
    </row>
    <row r="303" spans="2:17" x14ac:dyDescent="0.25">
      <c r="B303" s="5">
        <v>1723</v>
      </c>
      <c r="C303" s="3" t="s">
        <v>96</v>
      </c>
      <c r="D303" s="29">
        <v>1500000</v>
      </c>
      <c r="E303" s="7">
        <v>2016</v>
      </c>
      <c r="F303" s="8">
        <v>1</v>
      </c>
      <c r="G303" s="8">
        <v>0.5</v>
      </c>
      <c r="H303" s="8">
        <v>1</v>
      </c>
      <c r="I303" s="9">
        <v>42614</v>
      </c>
      <c r="J303" s="9">
        <v>42689</v>
      </c>
      <c r="K303" s="10">
        <v>34</v>
      </c>
      <c r="L303" s="3"/>
      <c r="M303" s="9">
        <f t="shared" si="15"/>
        <v>42614</v>
      </c>
      <c r="N303" s="9">
        <f t="shared" si="13"/>
        <v>43647</v>
      </c>
      <c r="O303" s="29">
        <f>VLOOKUP(B303,PROYECTO!A:H,8,0)</f>
        <v>0</v>
      </c>
      <c r="P303" s="9">
        <f t="array" ref="P303">MAX(MAX(IF($B:$B=B303,$N:$N)),MAX(IF(B303=HONORARIOS!B:B,HONORARIOS!M:M)))</f>
        <v>43665</v>
      </c>
      <c r="Q303" s="29">
        <f t="shared" si="14"/>
        <v>34</v>
      </c>
    </row>
    <row r="304" spans="2:17" x14ac:dyDescent="0.25">
      <c r="B304" s="5">
        <v>1723</v>
      </c>
      <c r="C304" s="3" t="s">
        <v>35</v>
      </c>
      <c r="D304" s="29">
        <v>2200000</v>
      </c>
      <c r="E304" s="7">
        <v>2016</v>
      </c>
      <c r="F304" s="8">
        <v>1</v>
      </c>
      <c r="G304" s="8">
        <v>0.59</v>
      </c>
      <c r="H304" s="8">
        <v>1</v>
      </c>
      <c r="I304" s="9">
        <v>42614</v>
      </c>
      <c r="J304" s="9">
        <v>42644</v>
      </c>
      <c r="K304" s="10">
        <v>34</v>
      </c>
      <c r="L304" s="3"/>
      <c r="M304" s="9">
        <f t="shared" si="15"/>
        <v>42614</v>
      </c>
      <c r="N304" s="9">
        <f t="shared" si="13"/>
        <v>43647</v>
      </c>
      <c r="O304" s="29">
        <f>VLOOKUP(B304,PROYECTO!A:H,8,0)</f>
        <v>0</v>
      </c>
      <c r="P304" s="9">
        <f t="array" ref="P304">MAX(MAX(IF($B:$B=B304,$N:$N)),MAX(IF(B304=HONORARIOS!B:B,HONORARIOS!M:M)))</f>
        <v>43665</v>
      </c>
      <c r="Q304" s="29">
        <f t="shared" si="14"/>
        <v>34</v>
      </c>
    </row>
    <row r="305" spans="2:17" x14ac:dyDescent="0.25">
      <c r="B305" s="5">
        <v>1723</v>
      </c>
      <c r="C305" s="3" t="s">
        <v>97</v>
      </c>
      <c r="D305" s="29">
        <v>2020000</v>
      </c>
      <c r="E305" s="7">
        <v>2016</v>
      </c>
      <c r="F305" s="8">
        <v>1</v>
      </c>
      <c r="G305" s="8">
        <v>0.59</v>
      </c>
      <c r="H305" s="8">
        <v>1</v>
      </c>
      <c r="I305" s="9">
        <v>42614</v>
      </c>
      <c r="J305" s="9">
        <v>42682</v>
      </c>
      <c r="K305" s="10">
        <v>34</v>
      </c>
      <c r="L305" s="3"/>
      <c r="M305" s="9">
        <f t="shared" si="15"/>
        <v>42614</v>
      </c>
      <c r="N305" s="9">
        <f t="shared" si="13"/>
        <v>43647</v>
      </c>
      <c r="O305" s="29">
        <f>VLOOKUP(B305,PROYECTO!A:H,8,0)</f>
        <v>0</v>
      </c>
      <c r="P305" s="9">
        <f t="array" ref="P305">MAX(MAX(IF($B:$B=B305,$N:$N)),MAX(IF(B305=HONORARIOS!B:B,HONORARIOS!M:M)))</f>
        <v>43665</v>
      </c>
      <c r="Q305" s="29">
        <f t="shared" si="14"/>
        <v>34</v>
      </c>
    </row>
    <row r="306" spans="2:17" x14ac:dyDescent="0.25">
      <c r="B306" s="5">
        <v>1723</v>
      </c>
      <c r="C306" s="3" t="s">
        <v>79</v>
      </c>
      <c r="D306" s="29">
        <v>2020000</v>
      </c>
      <c r="E306" s="7">
        <v>2016</v>
      </c>
      <c r="F306" s="8">
        <v>1</v>
      </c>
      <c r="G306" s="8">
        <v>0.59</v>
      </c>
      <c r="H306" s="8">
        <v>1</v>
      </c>
      <c r="I306" s="9">
        <v>43160</v>
      </c>
      <c r="J306" s="9">
        <v>42851</v>
      </c>
      <c r="K306" s="10">
        <v>16</v>
      </c>
      <c r="L306" s="3"/>
      <c r="M306" s="9">
        <f t="shared" si="15"/>
        <v>43160</v>
      </c>
      <c r="N306" s="9">
        <f t="shared" si="13"/>
        <v>43647</v>
      </c>
      <c r="O306" s="29">
        <f>VLOOKUP(B306,PROYECTO!A:H,8,0)</f>
        <v>0</v>
      </c>
      <c r="P306" s="9">
        <f t="array" ref="P306">MAX(MAX(IF($B:$B=B306,$N:$N)),MAX(IF(B306=HONORARIOS!B:B,HONORARIOS!M:M)))</f>
        <v>43665</v>
      </c>
      <c r="Q306" s="29">
        <f t="shared" si="14"/>
        <v>16</v>
      </c>
    </row>
    <row r="307" spans="2:17" x14ac:dyDescent="0.25">
      <c r="B307" s="5">
        <v>1723</v>
      </c>
      <c r="C307" s="3" t="s">
        <v>23</v>
      </c>
      <c r="D307" s="29">
        <v>2200000</v>
      </c>
      <c r="E307" s="7">
        <v>2016</v>
      </c>
      <c r="F307" s="8">
        <v>1</v>
      </c>
      <c r="G307" s="8">
        <v>0.59</v>
      </c>
      <c r="H307" s="8">
        <v>1</v>
      </c>
      <c r="I307" s="9">
        <v>42767</v>
      </c>
      <c r="J307" s="9">
        <v>42801</v>
      </c>
      <c r="K307" s="10">
        <v>29</v>
      </c>
      <c r="L307" s="3"/>
      <c r="M307" s="9">
        <f t="shared" si="15"/>
        <v>42767</v>
      </c>
      <c r="N307" s="9">
        <f t="shared" si="13"/>
        <v>43647</v>
      </c>
      <c r="O307" s="29">
        <f>VLOOKUP(B307,PROYECTO!A:H,8,0)</f>
        <v>0</v>
      </c>
      <c r="P307" s="9">
        <f t="array" ref="P307">MAX(MAX(IF($B:$B=B307,$N:$N)),MAX(IF(B307=HONORARIOS!B:B,HONORARIOS!M:M)))</f>
        <v>43665</v>
      </c>
      <c r="Q307" s="29">
        <f t="shared" si="14"/>
        <v>29</v>
      </c>
    </row>
    <row r="308" spans="2:17" x14ac:dyDescent="0.25">
      <c r="B308" s="5">
        <v>1723</v>
      </c>
      <c r="C308" s="3" t="s">
        <v>98</v>
      </c>
      <c r="D308" s="29">
        <v>2488650</v>
      </c>
      <c r="E308" s="7">
        <v>2018</v>
      </c>
      <c r="F308" s="8">
        <v>1</v>
      </c>
      <c r="G308" s="8">
        <v>0.5</v>
      </c>
      <c r="H308" s="8">
        <v>1</v>
      </c>
      <c r="I308" s="9">
        <v>43160</v>
      </c>
      <c r="J308" s="9"/>
      <c r="K308" s="10">
        <v>2</v>
      </c>
      <c r="L308" s="3" t="s">
        <v>99</v>
      </c>
      <c r="M308" s="9">
        <f t="shared" si="15"/>
        <v>43160</v>
      </c>
      <c r="N308" s="9">
        <f t="shared" si="13"/>
        <v>43221</v>
      </c>
      <c r="O308" s="29">
        <f>VLOOKUP(B308,PROYECTO!A:H,8,0)</f>
        <v>0</v>
      </c>
      <c r="P308" s="9">
        <f t="array" ref="P308">MAX(MAX(IF($B:$B=B308,$N:$N)),MAX(IF(B308=HONORARIOS!B:B,HONORARIOS!M:M)))</f>
        <v>43665</v>
      </c>
      <c r="Q308" s="29">
        <f t="shared" si="14"/>
        <v>2</v>
      </c>
    </row>
    <row r="309" spans="2:17" x14ac:dyDescent="0.25">
      <c r="B309" s="5">
        <v>1723</v>
      </c>
      <c r="C309" s="3" t="s">
        <v>100</v>
      </c>
      <c r="D309" s="29">
        <v>3812400</v>
      </c>
      <c r="E309" s="7">
        <v>2018</v>
      </c>
      <c r="F309" s="8">
        <v>1</v>
      </c>
      <c r="G309" s="8">
        <v>0.5</v>
      </c>
      <c r="H309" s="8">
        <v>1</v>
      </c>
      <c r="I309" s="9">
        <v>43160</v>
      </c>
      <c r="J309" s="9"/>
      <c r="K309" s="10">
        <v>2</v>
      </c>
      <c r="L309" s="3" t="s">
        <v>99</v>
      </c>
      <c r="M309" s="9">
        <f t="shared" si="15"/>
        <v>43160</v>
      </c>
      <c r="N309" s="9">
        <f t="shared" si="13"/>
        <v>43221</v>
      </c>
      <c r="O309" s="29">
        <f>VLOOKUP(B309,PROYECTO!A:H,8,0)</f>
        <v>0</v>
      </c>
      <c r="P309" s="9">
        <f t="array" ref="P309">MAX(MAX(IF($B:$B=B309,$N:$N)),MAX(IF(B309=HONORARIOS!B:B,HONORARIOS!M:M)))</f>
        <v>43665</v>
      </c>
      <c r="Q309" s="29">
        <f t="shared" si="14"/>
        <v>2</v>
      </c>
    </row>
    <row r="310" spans="2:17" x14ac:dyDescent="0.25">
      <c r="B310" s="5">
        <v>1723</v>
      </c>
      <c r="C310" s="3" t="s">
        <v>101</v>
      </c>
      <c r="D310" s="29">
        <v>3666594</v>
      </c>
      <c r="E310" s="7">
        <v>2018</v>
      </c>
      <c r="F310" s="8">
        <v>1</v>
      </c>
      <c r="G310" s="8">
        <v>0.5</v>
      </c>
      <c r="H310" s="8">
        <v>1</v>
      </c>
      <c r="I310" s="9">
        <v>43160</v>
      </c>
      <c r="J310" s="9"/>
      <c r="K310" s="10">
        <v>10</v>
      </c>
      <c r="L310" s="3" t="s">
        <v>99</v>
      </c>
      <c r="M310" s="9">
        <f t="shared" si="15"/>
        <v>43160</v>
      </c>
      <c r="N310" s="9">
        <f t="shared" si="13"/>
        <v>43466</v>
      </c>
      <c r="O310" s="29">
        <f>VLOOKUP(B310,PROYECTO!A:H,8,0)</f>
        <v>0</v>
      </c>
      <c r="P310" s="9">
        <f t="array" ref="P310">MAX(MAX(IF($B:$B=B310,$N:$N)),MAX(IF(B310=HONORARIOS!B:B,HONORARIOS!M:M)))</f>
        <v>43665</v>
      </c>
      <c r="Q310" s="29">
        <f t="shared" si="14"/>
        <v>10</v>
      </c>
    </row>
    <row r="311" spans="2:17" x14ac:dyDescent="0.25">
      <c r="B311" s="5">
        <v>1723</v>
      </c>
      <c r="C311" s="3" t="s">
        <v>24</v>
      </c>
      <c r="D311" s="29">
        <v>2157698</v>
      </c>
      <c r="E311" s="7">
        <v>2018</v>
      </c>
      <c r="F311" s="8">
        <v>1</v>
      </c>
      <c r="G311" s="8">
        <v>0.59</v>
      </c>
      <c r="H311" s="8">
        <v>1</v>
      </c>
      <c r="I311" s="9">
        <v>43160</v>
      </c>
      <c r="J311" s="9"/>
      <c r="K311" s="10">
        <v>10</v>
      </c>
      <c r="L311" s="3" t="s">
        <v>99</v>
      </c>
      <c r="M311" s="9">
        <f t="shared" si="15"/>
        <v>43160</v>
      </c>
      <c r="N311" s="9">
        <f t="shared" si="13"/>
        <v>43466</v>
      </c>
      <c r="O311" s="29">
        <f>VLOOKUP(B311,PROYECTO!A:H,8,0)</f>
        <v>0</v>
      </c>
      <c r="P311" s="9">
        <f t="array" ref="P311">MAX(MAX(IF($B:$B=B311,$N:$N)),MAX(IF(B311=HONORARIOS!B:B,HONORARIOS!M:M)))</f>
        <v>43665</v>
      </c>
      <c r="Q311" s="29">
        <f t="shared" si="14"/>
        <v>10</v>
      </c>
    </row>
    <row r="312" spans="2:17" x14ac:dyDescent="0.25">
      <c r="B312" s="5">
        <v>1723</v>
      </c>
      <c r="C312" s="3" t="s">
        <v>102</v>
      </c>
      <c r="D312" s="29">
        <v>4479570</v>
      </c>
      <c r="E312" s="7">
        <v>2018</v>
      </c>
      <c r="F312" s="8">
        <v>1</v>
      </c>
      <c r="G312" s="8">
        <v>0.5</v>
      </c>
      <c r="H312" s="8">
        <v>1</v>
      </c>
      <c r="I312" s="9">
        <v>43160</v>
      </c>
      <c r="J312" s="9"/>
      <c r="K312" s="10">
        <v>8</v>
      </c>
      <c r="L312" s="3" t="s">
        <v>99</v>
      </c>
      <c r="M312" s="9">
        <f t="shared" si="15"/>
        <v>43160</v>
      </c>
      <c r="N312" s="9">
        <f t="shared" si="13"/>
        <v>43405</v>
      </c>
      <c r="O312" s="29">
        <f>VLOOKUP(B312,PROYECTO!A:H,8,0)</f>
        <v>0</v>
      </c>
      <c r="P312" s="9">
        <f t="array" ref="P312">MAX(MAX(IF($B:$B=B312,$N:$N)),MAX(IF(B312=HONORARIOS!B:B,HONORARIOS!M:M)))</f>
        <v>43665</v>
      </c>
      <c r="Q312" s="29">
        <f t="shared" si="14"/>
        <v>8</v>
      </c>
    </row>
    <row r="313" spans="2:17" x14ac:dyDescent="0.25">
      <c r="B313" s="5">
        <v>1723</v>
      </c>
      <c r="C313" s="3" t="s">
        <v>103</v>
      </c>
      <c r="D313" s="29">
        <v>3812400</v>
      </c>
      <c r="E313" s="7">
        <v>2018</v>
      </c>
      <c r="F313" s="8">
        <v>1</v>
      </c>
      <c r="G313" s="8">
        <v>0.5</v>
      </c>
      <c r="H313" s="8">
        <v>1</v>
      </c>
      <c r="I313" s="9">
        <v>43191</v>
      </c>
      <c r="J313" s="9"/>
      <c r="K313" s="10">
        <v>9</v>
      </c>
      <c r="L313" s="3" t="s">
        <v>99</v>
      </c>
      <c r="M313" s="9">
        <f t="shared" si="15"/>
        <v>43191</v>
      </c>
      <c r="N313" s="9">
        <f t="shared" si="13"/>
        <v>43466</v>
      </c>
      <c r="O313" s="29">
        <f>VLOOKUP(B313,PROYECTO!A:H,8,0)</f>
        <v>0</v>
      </c>
      <c r="P313" s="9">
        <f t="array" ref="P313">MAX(MAX(IF($B:$B=B313,$N:$N)),MAX(IF(B313=HONORARIOS!B:B,HONORARIOS!M:M)))</f>
        <v>43665</v>
      </c>
      <c r="Q313" s="29">
        <f t="shared" si="14"/>
        <v>9</v>
      </c>
    </row>
    <row r="314" spans="2:17" x14ac:dyDescent="0.25">
      <c r="B314" s="5">
        <v>1723</v>
      </c>
      <c r="C314" s="3" t="s">
        <v>104</v>
      </c>
      <c r="D314" s="29">
        <v>2859300</v>
      </c>
      <c r="E314" s="7">
        <v>2018</v>
      </c>
      <c r="F314" s="8">
        <v>1</v>
      </c>
      <c r="G314" s="8">
        <v>0.59</v>
      </c>
      <c r="H314" s="8">
        <v>1</v>
      </c>
      <c r="I314" s="9">
        <v>43160</v>
      </c>
      <c r="J314" s="9"/>
      <c r="K314" s="10">
        <v>6</v>
      </c>
      <c r="L314" s="3" t="s">
        <v>99</v>
      </c>
      <c r="M314" s="9">
        <f t="shared" si="15"/>
        <v>43160</v>
      </c>
      <c r="N314" s="9">
        <f t="shared" si="13"/>
        <v>43344</v>
      </c>
      <c r="O314" s="29">
        <f>VLOOKUP(B314,PROYECTO!A:H,8,0)</f>
        <v>0</v>
      </c>
      <c r="P314" s="9">
        <f t="array" ref="P314">MAX(MAX(IF($B:$B=B314,$N:$N)),MAX(IF(B314=HONORARIOS!B:B,HONORARIOS!M:M)))</f>
        <v>43665</v>
      </c>
      <c r="Q314" s="29">
        <f t="shared" si="14"/>
        <v>6</v>
      </c>
    </row>
    <row r="315" spans="2:17" x14ac:dyDescent="0.25">
      <c r="B315" s="5">
        <v>1723</v>
      </c>
      <c r="C315" s="3" t="s">
        <v>105</v>
      </c>
      <c r="D315" s="29">
        <v>295313</v>
      </c>
      <c r="E315" s="7">
        <v>2018</v>
      </c>
      <c r="F315" s="8">
        <v>1</v>
      </c>
      <c r="G315" s="8">
        <v>0.59</v>
      </c>
      <c r="H315" s="8">
        <v>1</v>
      </c>
      <c r="I315" s="9">
        <v>43160</v>
      </c>
      <c r="J315" s="9"/>
      <c r="K315" s="10">
        <v>1</v>
      </c>
      <c r="L315" s="3" t="s">
        <v>99</v>
      </c>
      <c r="M315" s="9">
        <f t="shared" si="15"/>
        <v>43160</v>
      </c>
      <c r="N315" s="9">
        <f t="shared" si="13"/>
        <v>43191</v>
      </c>
      <c r="O315" s="29">
        <f>VLOOKUP(B315,PROYECTO!A:H,8,0)</f>
        <v>0</v>
      </c>
      <c r="P315" s="9">
        <f t="array" ref="P315">MAX(MAX(IF($B:$B=B315,$N:$N)),MAX(IF(B315=HONORARIOS!B:B,HONORARIOS!M:M)))</f>
        <v>43665</v>
      </c>
      <c r="Q315" s="29">
        <f t="shared" si="14"/>
        <v>1</v>
      </c>
    </row>
    <row r="316" spans="2:17" x14ac:dyDescent="0.25">
      <c r="B316" s="5">
        <v>1723</v>
      </c>
      <c r="C316" s="3" t="s">
        <v>106</v>
      </c>
      <c r="D316" s="29">
        <v>2467470</v>
      </c>
      <c r="E316" s="7">
        <v>2018</v>
      </c>
      <c r="F316" s="8">
        <v>1</v>
      </c>
      <c r="G316" s="8">
        <v>0.59</v>
      </c>
      <c r="H316" s="8">
        <v>1</v>
      </c>
      <c r="I316" s="9">
        <v>43160</v>
      </c>
      <c r="J316" s="9"/>
      <c r="K316" s="10">
        <v>10</v>
      </c>
      <c r="L316" s="3" t="s">
        <v>99</v>
      </c>
      <c r="M316" s="9">
        <f t="shared" si="15"/>
        <v>43160</v>
      </c>
      <c r="N316" s="9">
        <f t="shared" si="13"/>
        <v>43466</v>
      </c>
      <c r="O316" s="29">
        <f>VLOOKUP(B316,PROYECTO!A:H,8,0)</f>
        <v>0</v>
      </c>
      <c r="P316" s="9">
        <f t="array" ref="P316">MAX(MAX(IF($B:$B=B316,$N:$N)),MAX(IF(B316=HONORARIOS!B:B,HONORARIOS!M:M)))</f>
        <v>43665</v>
      </c>
      <c r="Q316" s="29">
        <f t="shared" si="14"/>
        <v>10</v>
      </c>
    </row>
    <row r="317" spans="2:17" x14ac:dyDescent="0.25">
      <c r="B317" s="5">
        <v>1723</v>
      </c>
      <c r="C317" s="3" t="s">
        <v>24</v>
      </c>
      <c r="D317" s="29">
        <v>2181540</v>
      </c>
      <c r="E317" s="7">
        <v>2018</v>
      </c>
      <c r="F317" s="8">
        <v>1</v>
      </c>
      <c r="G317" s="8">
        <v>0.59</v>
      </c>
      <c r="H317" s="8">
        <v>1</v>
      </c>
      <c r="I317" s="9">
        <v>43160</v>
      </c>
      <c r="J317" s="9"/>
      <c r="K317" s="10">
        <v>10</v>
      </c>
      <c r="L317" s="3" t="s">
        <v>99</v>
      </c>
      <c r="M317" s="9">
        <f t="shared" si="15"/>
        <v>43160</v>
      </c>
      <c r="N317" s="9">
        <f t="shared" si="13"/>
        <v>43466</v>
      </c>
      <c r="O317" s="29">
        <f>VLOOKUP(B317,PROYECTO!A:H,8,0)</f>
        <v>0</v>
      </c>
      <c r="P317" s="9">
        <f t="array" ref="P317">MAX(MAX(IF($B:$B=B317,$N:$N)),MAX(IF(B317=HONORARIOS!B:B,HONORARIOS!M:M)))</f>
        <v>43665</v>
      </c>
      <c r="Q317" s="29">
        <f t="shared" si="14"/>
        <v>10</v>
      </c>
    </row>
    <row r="318" spans="2:17" x14ac:dyDescent="0.25">
      <c r="B318" s="5">
        <v>1723</v>
      </c>
      <c r="C318" s="3" t="s">
        <v>19</v>
      </c>
      <c r="D318" s="29">
        <v>11331300</v>
      </c>
      <c r="E318" s="7">
        <v>2018</v>
      </c>
      <c r="F318" s="8">
        <v>0.7</v>
      </c>
      <c r="G318" s="8">
        <v>0.62</v>
      </c>
      <c r="H318" s="8">
        <v>1</v>
      </c>
      <c r="I318" s="9">
        <v>43160</v>
      </c>
      <c r="J318" s="9"/>
      <c r="K318" s="10">
        <v>10</v>
      </c>
      <c r="L318" s="3" t="s">
        <v>99</v>
      </c>
      <c r="M318" s="9">
        <f t="shared" si="15"/>
        <v>43160</v>
      </c>
      <c r="N318" s="9">
        <f t="shared" si="13"/>
        <v>43466</v>
      </c>
      <c r="O318" s="29">
        <f>VLOOKUP(B318,PROYECTO!A:H,8,0)</f>
        <v>0</v>
      </c>
      <c r="P318" s="9">
        <f t="array" ref="P318">MAX(MAX(IF($B:$B=B318,$N:$N)),MAX(IF(B318=HONORARIOS!B:B,HONORARIOS!M:M)))</f>
        <v>43665</v>
      </c>
      <c r="Q318" s="29">
        <f t="shared" si="14"/>
        <v>10</v>
      </c>
    </row>
    <row r="319" spans="2:17" x14ac:dyDescent="0.25">
      <c r="B319" s="5">
        <v>1723</v>
      </c>
      <c r="C319" s="3" t="s">
        <v>17</v>
      </c>
      <c r="D319" s="29">
        <v>2467470</v>
      </c>
      <c r="E319" s="7">
        <v>2018</v>
      </c>
      <c r="F319" s="8">
        <v>1</v>
      </c>
      <c r="G319" s="8">
        <v>0.59</v>
      </c>
      <c r="H319" s="8">
        <v>1</v>
      </c>
      <c r="I319" s="9">
        <v>43160</v>
      </c>
      <c r="J319" s="9"/>
      <c r="K319" s="10">
        <v>9</v>
      </c>
      <c r="L319" s="3" t="s">
        <v>99</v>
      </c>
      <c r="M319" s="9">
        <f t="shared" si="15"/>
        <v>43160</v>
      </c>
      <c r="N319" s="9">
        <f t="shared" si="13"/>
        <v>43435</v>
      </c>
      <c r="O319" s="29">
        <f>VLOOKUP(B319,PROYECTO!A:H,8,0)</f>
        <v>0</v>
      </c>
      <c r="P319" s="9">
        <f t="array" ref="P319">MAX(MAX(IF($B:$B=B319,$N:$N)),MAX(IF(B319=HONORARIOS!B:B,HONORARIOS!M:M)))</f>
        <v>43665</v>
      </c>
      <c r="Q319" s="29">
        <f t="shared" si="14"/>
        <v>9</v>
      </c>
    </row>
    <row r="320" spans="2:17" x14ac:dyDescent="0.25">
      <c r="B320" s="5">
        <v>1723</v>
      </c>
      <c r="C320" s="3" t="s">
        <v>17</v>
      </c>
      <c r="D320" s="29">
        <v>2467470</v>
      </c>
      <c r="E320" s="7">
        <v>2018</v>
      </c>
      <c r="F320" s="8">
        <v>1</v>
      </c>
      <c r="G320" s="8">
        <v>0.59</v>
      </c>
      <c r="H320" s="8">
        <v>1</v>
      </c>
      <c r="I320" s="9">
        <v>43160</v>
      </c>
      <c r="J320" s="9"/>
      <c r="K320" s="10">
        <v>10</v>
      </c>
      <c r="L320" s="3" t="s">
        <v>99</v>
      </c>
      <c r="M320" s="9">
        <f t="shared" si="15"/>
        <v>43160</v>
      </c>
      <c r="N320" s="9">
        <f t="shared" si="13"/>
        <v>43466</v>
      </c>
      <c r="O320" s="29">
        <f>VLOOKUP(B320,PROYECTO!A:H,8,0)</f>
        <v>0</v>
      </c>
      <c r="P320" s="9">
        <f t="array" ref="P320">MAX(MAX(IF($B:$B=B320,$N:$N)),MAX(IF(B320=HONORARIOS!B:B,HONORARIOS!M:M)))</f>
        <v>43665</v>
      </c>
      <c r="Q320" s="29">
        <f t="shared" si="14"/>
        <v>10</v>
      </c>
    </row>
    <row r="321" spans="2:17" x14ac:dyDescent="0.25">
      <c r="B321" s="5">
        <v>1723</v>
      </c>
      <c r="C321" s="3" t="s">
        <v>107</v>
      </c>
      <c r="D321" s="29">
        <v>3812400</v>
      </c>
      <c r="E321" s="7">
        <v>2018</v>
      </c>
      <c r="F321" s="8">
        <v>1</v>
      </c>
      <c r="G321" s="8">
        <v>0.5</v>
      </c>
      <c r="H321" s="8">
        <v>1</v>
      </c>
      <c r="I321" s="9">
        <v>43191</v>
      </c>
      <c r="J321" s="9"/>
      <c r="K321" s="10">
        <v>9</v>
      </c>
      <c r="L321" s="3" t="s">
        <v>99</v>
      </c>
      <c r="M321" s="9">
        <f t="shared" si="15"/>
        <v>43191</v>
      </c>
      <c r="N321" s="9">
        <f t="shared" si="13"/>
        <v>43466</v>
      </c>
      <c r="O321" s="29">
        <f>VLOOKUP(B321,PROYECTO!A:H,8,0)</f>
        <v>0</v>
      </c>
      <c r="P321" s="9">
        <f t="array" ref="P321">MAX(MAX(IF($B:$B=B321,$N:$N)),MAX(IF(B321=HONORARIOS!B:B,HONORARIOS!M:M)))</f>
        <v>43665</v>
      </c>
      <c r="Q321" s="29">
        <f t="shared" si="14"/>
        <v>9</v>
      </c>
    </row>
    <row r="322" spans="2:17" x14ac:dyDescent="0.25">
      <c r="B322" s="5">
        <v>1723</v>
      </c>
      <c r="C322" s="3" t="s">
        <v>107</v>
      </c>
      <c r="D322" s="29">
        <v>3812400</v>
      </c>
      <c r="E322" s="7">
        <v>2018</v>
      </c>
      <c r="F322" s="8">
        <v>1</v>
      </c>
      <c r="G322" s="8">
        <v>0.5</v>
      </c>
      <c r="H322" s="8">
        <v>1</v>
      </c>
      <c r="I322" s="9">
        <v>43191</v>
      </c>
      <c r="J322" s="9"/>
      <c r="K322" s="10">
        <v>9</v>
      </c>
      <c r="L322" s="3" t="s">
        <v>99</v>
      </c>
      <c r="M322" s="9">
        <f t="shared" si="15"/>
        <v>43191</v>
      </c>
      <c r="N322" s="9">
        <f t="shared" si="13"/>
        <v>43466</v>
      </c>
      <c r="O322" s="29">
        <f>VLOOKUP(B322,PROYECTO!A:H,8,0)</f>
        <v>0</v>
      </c>
      <c r="P322" s="9">
        <f t="array" ref="P322">MAX(MAX(IF($B:$B=B322,$N:$N)),MAX(IF(B322=HONORARIOS!B:B,HONORARIOS!M:M)))</f>
        <v>43665</v>
      </c>
      <c r="Q322" s="29">
        <f t="shared" si="14"/>
        <v>9</v>
      </c>
    </row>
    <row r="323" spans="2:17" x14ac:dyDescent="0.25">
      <c r="B323" s="5">
        <v>1723</v>
      </c>
      <c r="C323" s="3" t="s">
        <v>17</v>
      </c>
      <c r="D323" s="29">
        <v>2467470</v>
      </c>
      <c r="E323" s="7">
        <v>2018</v>
      </c>
      <c r="F323" s="8">
        <v>1</v>
      </c>
      <c r="G323" s="8">
        <v>0.59</v>
      </c>
      <c r="H323" s="8">
        <v>1</v>
      </c>
      <c r="I323" s="9">
        <v>43191</v>
      </c>
      <c r="J323" s="9"/>
      <c r="K323" s="10">
        <v>9</v>
      </c>
      <c r="L323" s="3" t="s">
        <v>99</v>
      </c>
      <c r="M323" s="9">
        <f t="shared" si="15"/>
        <v>43191</v>
      </c>
      <c r="N323" s="9">
        <f t="shared" ref="N323:N386" si="16">EDATE(M323,K323)</f>
        <v>43466</v>
      </c>
      <c r="O323" s="29">
        <f>VLOOKUP(B323,PROYECTO!A:H,8,0)</f>
        <v>0</v>
      </c>
      <c r="P323" s="9">
        <f t="array" ref="P323">MAX(MAX(IF($B:$B=B323,$N:$N)),MAX(IF(B323=HONORARIOS!B:B,HONORARIOS!M:M)))</f>
        <v>43665</v>
      </c>
      <c r="Q323" s="29">
        <f t="shared" ref="Q323:Q386" si="17">IF(P323=N323,K323+O323,K323)</f>
        <v>9</v>
      </c>
    </row>
    <row r="324" spans="2:17" x14ac:dyDescent="0.25">
      <c r="B324" s="5">
        <v>1723</v>
      </c>
      <c r="C324" s="3" t="s">
        <v>17</v>
      </c>
      <c r="D324" s="29">
        <v>2467470</v>
      </c>
      <c r="E324" s="7">
        <v>2018</v>
      </c>
      <c r="F324" s="8">
        <v>1</v>
      </c>
      <c r="G324" s="8">
        <v>0.59</v>
      </c>
      <c r="H324" s="8">
        <v>1</v>
      </c>
      <c r="I324" s="9">
        <v>43160</v>
      </c>
      <c r="J324" s="9"/>
      <c r="K324" s="10">
        <v>10</v>
      </c>
      <c r="L324" s="3" t="s">
        <v>99</v>
      </c>
      <c r="M324" s="9">
        <f t="shared" si="15"/>
        <v>43160</v>
      </c>
      <c r="N324" s="9">
        <f t="shared" si="16"/>
        <v>43466</v>
      </c>
      <c r="O324" s="29">
        <f>VLOOKUP(B324,PROYECTO!A:H,8,0)</f>
        <v>0</v>
      </c>
      <c r="P324" s="9">
        <f t="array" ref="P324">MAX(MAX(IF($B:$B=B324,$N:$N)),MAX(IF(B324=HONORARIOS!B:B,HONORARIOS!M:M)))</f>
        <v>43665</v>
      </c>
      <c r="Q324" s="29">
        <f t="shared" si="17"/>
        <v>10</v>
      </c>
    </row>
    <row r="325" spans="2:17" x14ac:dyDescent="0.25">
      <c r="B325" s="5">
        <v>1723</v>
      </c>
      <c r="C325" s="3" t="s">
        <v>108</v>
      </c>
      <c r="D325" s="29">
        <v>3950000</v>
      </c>
      <c r="E325" s="7">
        <v>2018</v>
      </c>
      <c r="F325" s="8">
        <v>1</v>
      </c>
      <c r="G325" s="8">
        <v>0.5</v>
      </c>
      <c r="H325" s="8">
        <v>1</v>
      </c>
      <c r="I325" s="9">
        <v>43221</v>
      </c>
      <c r="J325" s="9"/>
      <c r="K325" s="10">
        <v>8</v>
      </c>
      <c r="L325" s="3" t="s">
        <v>109</v>
      </c>
      <c r="M325" s="9">
        <f t="shared" si="15"/>
        <v>43221</v>
      </c>
      <c r="N325" s="9">
        <f t="shared" si="16"/>
        <v>43466</v>
      </c>
      <c r="O325" s="29">
        <f>VLOOKUP(B325,PROYECTO!A:H,8,0)</f>
        <v>0</v>
      </c>
      <c r="P325" s="9">
        <f t="array" ref="P325">MAX(MAX(IF($B:$B=B325,$N:$N)),MAX(IF(B325=HONORARIOS!B:B,HONORARIOS!M:M)))</f>
        <v>43665</v>
      </c>
      <c r="Q325" s="29">
        <f t="shared" si="17"/>
        <v>8</v>
      </c>
    </row>
    <row r="326" spans="2:17" x14ac:dyDescent="0.25">
      <c r="B326" s="5">
        <v>1723</v>
      </c>
      <c r="C326" s="3" t="s">
        <v>108</v>
      </c>
      <c r="D326" s="29">
        <v>4147500</v>
      </c>
      <c r="E326" s="7">
        <v>2019</v>
      </c>
      <c r="F326" s="8">
        <v>1</v>
      </c>
      <c r="G326" s="8">
        <v>0.5</v>
      </c>
      <c r="H326" s="8">
        <v>1</v>
      </c>
      <c r="I326" s="9">
        <v>43466</v>
      </c>
      <c r="J326" s="9"/>
      <c r="K326" s="10">
        <v>2</v>
      </c>
      <c r="L326" s="3" t="s">
        <v>109</v>
      </c>
      <c r="M326" s="9">
        <f t="shared" si="15"/>
        <v>43466</v>
      </c>
      <c r="N326" s="9">
        <f t="shared" si="16"/>
        <v>43525</v>
      </c>
      <c r="O326" s="29">
        <f>VLOOKUP(B326,PROYECTO!A:H,8,0)</f>
        <v>0</v>
      </c>
      <c r="P326" s="9">
        <f t="array" ref="P326">MAX(MAX(IF($B:$B=B326,$N:$N)),MAX(IF(B326=HONORARIOS!B:B,HONORARIOS!M:M)))</f>
        <v>43665</v>
      </c>
      <c r="Q326" s="29">
        <f t="shared" si="17"/>
        <v>2</v>
      </c>
    </row>
    <row r="327" spans="2:17" x14ac:dyDescent="0.25">
      <c r="B327" s="5">
        <v>1723</v>
      </c>
      <c r="C327" s="3" t="s">
        <v>110</v>
      </c>
      <c r="D327" s="29">
        <v>3950000</v>
      </c>
      <c r="E327" s="7">
        <v>2018</v>
      </c>
      <c r="F327" s="8">
        <v>1</v>
      </c>
      <c r="G327" s="8">
        <v>0.5</v>
      </c>
      <c r="H327" s="8">
        <v>1</v>
      </c>
      <c r="I327" s="9">
        <v>43221</v>
      </c>
      <c r="J327" s="9"/>
      <c r="K327" s="10">
        <v>8</v>
      </c>
      <c r="L327" s="3" t="s">
        <v>109</v>
      </c>
      <c r="M327" s="9">
        <f t="shared" si="15"/>
        <v>43221</v>
      </c>
      <c r="N327" s="9">
        <f t="shared" si="16"/>
        <v>43466</v>
      </c>
      <c r="O327" s="29">
        <f>VLOOKUP(B327,PROYECTO!A:H,8,0)</f>
        <v>0</v>
      </c>
      <c r="P327" s="9">
        <f t="array" ref="P327">MAX(MAX(IF($B:$B=B327,$N:$N)),MAX(IF(B327=HONORARIOS!B:B,HONORARIOS!M:M)))</f>
        <v>43665</v>
      </c>
      <c r="Q327" s="29">
        <f t="shared" si="17"/>
        <v>8</v>
      </c>
    </row>
    <row r="328" spans="2:17" x14ac:dyDescent="0.25">
      <c r="B328" s="5">
        <v>1723</v>
      </c>
      <c r="C328" s="3" t="s">
        <v>110</v>
      </c>
      <c r="D328" s="29">
        <v>4147500</v>
      </c>
      <c r="E328" s="7">
        <v>2019</v>
      </c>
      <c r="F328" s="8">
        <v>1</v>
      </c>
      <c r="G328" s="8">
        <v>0.5</v>
      </c>
      <c r="H328" s="8">
        <v>1</v>
      </c>
      <c r="I328" s="9">
        <v>43466</v>
      </c>
      <c r="J328" s="9"/>
      <c r="K328" s="10">
        <v>4</v>
      </c>
      <c r="L328" s="3" t="s">
        <v>109</v>
      </c>
      <c r="M328" s="9">
        <f t="shared" si="15"/>
        <v>43466</v>
      </c>
      <c r="N328" s="9">
        <f t="shared" si="16"/>
        <v>43586</v>
      </c>
      <c r="O328" s="29">
        <f>VLOOKUP(B328,PROYECTO!A:H,8,0)</f>
        <v>0</v>
      </c>
      <c r="P328" s="9">
        <f t="array" ref="P328">MAX(MAX(IF($B:$B=B328,$N:$N)),MAX(IF(B328=HONORARIOS!B:B,HONORARIOS!M:M)))</f>
        <v>43665</v>
      </c>
      <c r="Q328" s="29">
        <f t="shared" si="17"/>
        <v>4</v>
      </c>
    </row>
    <row r="329" spans="2:17" x14ac:dyDescent="0.25">
      <c r="B329" s="5">
        <v>1723</v>
      </c>
      <c r="C329" s="3" t="s">
        <v>111</v>
      </c>
      <c r="D329" s="29">
        <v>3950000</v>
      </c>
      <c r="E329" s="7">
        <v>2018</v>
      </c>
      <c r="F329" s="8">
        <v>1</v>
      </c>
      <c r="G329" s="8">
        <v>0.5</v>
      </c>
      <c r="H329" s="8">
        <v>1</v>
      </c>
      <c r="I329" s="9">
        <v>43221</v>
      </c>
      <c r="J329" s="9"/>
      <c r="K329" s="10">
        <v>8</v>
      </c>
      <c r="L329" s="3" t="s">
        <v>109</v>
      </c>
      <c r="M329" s="9">
        <f t="shared" si="15"/>
        <v>43221</v>
      </c>
      <c r="N329" s="9">
        <f t="shared" si="16"/>
        <v>43466</v>
      </c>
      <c r="O329" s="29">
        <f>VLOOKUP(B329,PROYECTO!A:H,8,0)</f>
        <v>0</v>
      </c>
      <c r="P329" s="9">
        <f t="array" ref="P329">MAX(MAX(IF($B:$B=B329,$N:$N)),MAX(IF(B329=HONORARIOS!B:B,HONORARIOS!M:M)))</f>
        <v>43665</v>
      </c>
      <c r="Q329" s="29">
        <f t="shared" si="17"/>
        <v>8</v>
      </c>
    </row>
    <row r="330" spans="2:17" x14ac:dyDescent="0.25">
      <c r="B330" s="5">
        <v>1723</v>
      </c>
      <c r="C330" s="3" t="s">
        <v>111</v>
      </c>
      <c r="D330" s="29">
        <v>4147500</v>
      </c>
      <c r="E330" s="7">
        <v>2019</v>
      </c>
      <c r="F330" s="8">
        <v>1</v>
      </c>
      <c r="G330" s="8">
        <v>0.5</v>
      </c>
      <c r="H330" s="8">
        <v>1</v>
      </c>
      <c r="I330" s="9">
        <v>43466</v>
      </c>
      <c r="J330" s="9"/>
      <c r="K330" s="10">
        <v>1</v>
      </c>
      <c r="L330" s="3" t="s">
        <v>109</v>
      </c>
      <c r="M330" s="9">
        <f t="shared" si="15"/>
        <v>43466</v>
      </c>
      <c r="N330" s="9">
        <f t="shared" si="16"/>
        <v>43497</v>
      </c>
      <c r="O330" s="29">
        <f>VLOOKUP(B330,PROYECTO!A:H,8,0)</f>
        <v>0</v>
      </c>
      <c r="P330" s="9">
        <f t="array" ref="P330">MAX(MAX(IF($B:$B=B330,$N:$N)),MAX(IF(B330=HONORARIOS!B:B,HONORARIOS!M:M)))</f>
        <v>43665</v>
      </c>
      <c r="Q330" s="29">
        <f t="shared" si="17"/>
        <v>1</v>
      </c>
    </row>
    <row r="331" spans="2:17" x14ac:dyDescent="0.25">
      <c r="B331" s="5">
        <v>1723</v>
      </c>
      <c r="C331" s="3" t="s">
        <v>112</v>
      </c>
      <c r="D331" s="29">
        <v>4600000</v>
      </c>
      <c r="E331" s="7">
        <v>2018</v>
      </c>
      <c r="F331" s="8">
        <v>1</v>
      </c>
      <c r="G331" s="8">
        <v>0.5</v>
      </c>
      <c r="H331" s="8">
        <v>1</v>
      </c>
      <c r="I331" s="9">
        <v>43221</v>
      </c>
      <c r="J331" s="9"/>
      <c r="K331" s="10">
        <v>8</v>
      </c>
      <c r="L331" s="3" t="s">
        <v>109</v>
      </c>
      <c r="M331" s="9">
        <f t="shared" si="15"/>
        <v>43221</v>
      </c>
      <c r="N331" s="9">
        <f t="shared" si="16"/>
        <v>43466</v>
      </c>
      <c r="O331" s="29">
        <f>VLOOKUP(B331,PROYECTO!A:H,8,0)</f>
        <v>0</v>
      </c>
      <c r="P331" s="9">
        <f t="array" ref="P331">MAX(MAX(IF($B:$B=B331,$N:$N)),MAX(IF(B331=HONORARIOS!B:B,HONORARIOS!M:M)))</f>
        <v>43665</v>
      </c>
      <c r="Q331" s="29">
        <f t="shared" si="17"/>
        <v>8</v>
      </c>
    </row>
    <row r="332" spans="2:17" x14ac:dyDescent="0.25">
      <c r="B332" s="5">
        <v>1723</v>
      </c>
      <c r="C332" s="3" t="s">
        <v>113</v>
      </c>
      <c r="D332" s="29">
        <v>2470000</v>
      </c>
      <c r="E332" s="7">
        <v>2018</v>
      </c>
      <c r="F332" s="8">
        <v>1</v>
      </c>
      <c r="G332" s="8">
        <v>0.59</v>
      </c>
      <c r="H332" s="8">
        <v>1</v>
      </c>
      <c r="I332" s="9">
        <v>43221</v>
      </c>
      <c r="J332" s="9"/>
      <c r="K332" s="10">
        <v>8</v>
      </c>
      <c r="L332" s="3" t="s">
        <v>109</v>
      </c>
      <c r="M332" s="9">
        <f t="shared" si="15"/>
        <v>43221</v>
      </c>
      <c r="N332" s="9">
        <f t="shared" si="16"/>
        <v>43466</v>
      </c>
      <c r="O332" s="29">
        <f>VLOOKUP(B332,PROYECTO!A:H,8,0)</f>
        <v>0</v>
      </c>
      <c r="P332" s="9">
        <f t="array" ref="P332">MAX(MAX(IF($B:$B=B332,$N:$N)),MAX(IF(B332=HONORARIOS!B:B,HONORARIOS!M:M)))</f>
        <v>43665</v>
      </c>
      <c r="Q332" s="29">
        <f t="shared" si="17"/>
        <v>8</v>
      </c>
    </row>
    <row r="333" spans="2:17" x14ac:dyDescent="0.25">
      <c r="B333" s="5">
        <v>1723</v>
      </c>
      <c r="C333" s="3" t="s">
        <v>113</v>
      </c>
      <c r="D333" s="29">
        <v>2593500</v>
      </c>
      <c r="E333" s="7">
        <v>2019</v>
      </c>
      <c r="F333" s="8">
        <v>1</v>
      </c>
      <c r="G333" s="8">
        <v>0.59</v>
      </c>
      <c r="H333" s="8">
        <v>1</v>
      </c>
      <c r="I333" s="9">
        <v>43466</v>
      </c>
      <c r="J333" s="9"/>
      <c r="K333" s="10">
        <v>3</v>
      </c>
      <c r="L333" s="3" t="s">
        <v>109</v>
      </c>
      <c r="M333" s="9">
        <f t="shared" si="15"/>
        <v>43466</v>
      </c>
      <c r="N333" s="9">
        <f t="shared" si="16"/>
        <v>43556</v>
      </c>
      <c r="O333" s="29">
        <f>VLOOKUP(B333,PROYECTO!A:H,8,0)</f>
        <v>0</v>
      </c>
      <c r="P333" s="9">
        <f t="array" ref="P333">MAX(MAX(IF($B:$B=B333,$N:$N)),MAX(IF(B333=HONORARIOS!B:B,HONORARIOS!M:M)))</f>
        <v>43665</v>
      </c>
      <c r="Q333" s="29">
        <f t="shared" si="17"/>
        <v>3</v>
      </c>
    </row>
    <row r="334" spans="2:17" x14ac:dyDescent="0.25">
      <c r="B334" s="5">
        <v>1723</v>
      </c>
      <c r="C334" s="3" t="s">
        <v>23</v>
      </c>
      <c r="D334" s="29">
        <v>2470000</v>
      </c>
      <c r="E334" s="7">
        <v>2018</v>
      </c>
      <c r="F334" s="8">
        <v>1</v>
      </c>
      <c r="G334" s="8">
        <v>0.59</v>
      </c>
      <c r="H334" s="8">
        <v>1</v>
      </c>
      <c r="I334" s="9">
        <v>43221</v>
      </c>
      <c r="J334" s="9"/>
      <c r="K334" s="10">
        <v>8</v>
      </c>
      <c r="L334" s="3" t="s">
        <v>109</v>
      </c>
      <c r="M334" s="9">
        <f t="shared" si="15"/>
        <v>43221</v>
      </c>
      <c r="N334" s="9">
        <f t="shared" si="16"/>
        <v>43466</v>
      </c>
      <c r="O334" s="29">
        <f>VLOOKUP(B334,PROYECTO!A:H,8,0)</f>
        <v>0</v>
      </c>
      <c r="P334" s="9">
        <f t="array" ref="P334">MAX(MAX(IF($B:$B=B334,$N:$N)),MAX(IF(B334=HONORARIOS!B:B,HONORARIOS!M:M)))</f>
        <v>43665</v>
      </c>
      <c r="Q334" s="29">
        <f t="shared" si="17"/>
        <v>8</v>
      </c>
    </row>
    <row r="335" spans="2:17" x14ac:dyDescent="0.25">
      <c r="B335" s="5">
        <v>1723</v>
      </c>
      <c r="C335" s="3" t="s">
        <v>23</v>
      </c>
      <c r="D335" s="29">
        <v>2593500</v>
      </c>
      <c r="E335" s="7">
        <v>2019</v>
      </c>
      <c r="F335" s="8">
        <v>1</v>
      </c>
      <c r="G335" s="8">
        <v>0.59</v>
      </c>
      <c r="H335" s="8">
        <v>1</v>
      </c>
      <c r="I335" s="9">
        <v>43466</v>
      </c>
      <c r="J335" s="9"/>
      <c r="K335" s="10">
        <v>4</v>
      </c>
      <c r="L335" s="3" t="s">
        <v>109</v>
      </c>
      <c r="M335" s="9">
        <f t="shared" si="15"/>
        <v>43466</v>
      </c>
      <c r="N335" s="9">
        <f t="shared" si="16"/>
        <v>43586</v>
      </c>
      <c r="O335" s="29">
        <f>VLOOKUP(B335,PROYECTO!A:H,8,0)</f>
        <v>0</v>
      </c>
      <c r="P335" s="9">
        <f t="array" ref="P335">MAX(MAX(IF($B:$B=B335,$N:$N)),MAX(IF(B335=HONORARIOS!B:B,HONORARIOS!M:M)))</f>
        <v>43665</v>
      </c>
      <c r="Q335" s="29">
        <f t="shared" si="17"/>
        <v>4</v>
      </c>
    </row>
    <row r="336" spans="2:17" x14ac:dyDescent="0.25">
      <c r="B336" s="5">
        <v>1723</v>
      </c>
      <c r="C336" s="3" t="s">
        <v>114</v>
      </c>
      <c r="D336" s="29">
        <v>2470000</v>
      </c>
      <c r="E336" s="7">
        <v>2018</v>
      </c>
      <c r="F336" s="8">
        <v>1</v>
      </c>
      <c r="G336" s="8">
        <v>0.59</v>
      </c>
      <c r="H336" s="8">
        <v>1</v>
      </c>
      <c r="I336" s="9">
        <v>43221</v>
      </c>
      <c r="J336" s="9"/>
      <c r="K336" s="10">
        <v>8</v>
      </c>
      <c r="L336" s="3" t="s">
        <v>109</v>
      </c>
      <c r="M336" s="9">
        <f t="shared" si="15"/>
        <v>43221</v>
      </c>
      <c r="N336" s="9">
        <f t="shared" si="16"/>
        <v>43466</v>
      </c>
      <c r="O336" s="29">
        <f>VLOOKUP(B336,PROYECTO!A:H,8,0)</f>
        <v>0</v>
      </c>
      <c r="P336" s="9">
        <f t="array" ref="P336">MAX(MAX(IF($B:$B=B336,$N:$N)),MAX(IF(B336=HONORARIOS!B:B,HONORARIOS!M:M)))</f>
        <v>43665</v>
      </c>
      <c r="Q336" s="29">
        <f t="shared" si="17"/>
        <v>8</v>
      </c>
    </row>
    <row r="337" spans="2:17" x14ac:dyDescent="0.25">
      <c r="B337" s="5">
        <v>1723</v>
      </c>
      <c r="C337" s="3" t="s">
        <v>115</v>
      </c>
      <c r="D337" s="29"/>
      <c r="E337" s="7">
        <v>2018</v>
      </c>
      <c r="F337" s="8"/>
      <c r="G337" s="8"/>
      <c r="H337" s="8">
        <v>1</v>
      </c>
      <c r="I337" s="9"/>
      <c r="J337" s="9"/>
      <c r="K337" s="10"/>
      <c r="L337" s="3" t="s">
        <v>116</v>
      </c>
      <c r="M337" s="9">
        <f t="shared" ref="M337:M399" si="18">(MONTH(I337)&amp;"-"&amp;YEAR(I337))*1</f>
        <v>1</v>
      </c>
      <c r="N337" s="9">
        <f t="shared" si="16"/>
        <v>1</v>
      </c>
      <c r="O337" s="29">
        <f>VLOOKUP(B337,PROYECTO!A:H,8,0)</f>
        <v>0</v>
      </c>
      <c r="P337" s="9">
        <f t="array" ref="P337">MAX(MAX(IF($B:$B=B337,$N:$N)),MAX(IF(B337=HONORARIOS!B:B,HONORARIOS!M:M)))</f>
        <v>43665</v>
      </c>
      <c r="Q337" s="29">
        <f t="shared" si="17"/>
        <v>0</v>
      </c>
    </row>
    <row r="338" spans="2:17" x14ac:dyDescent="0.25">
      <c r="B338" s="5">
        <v>1734</v>
      </c>
      <c r="C338" s="3" t="s">
        <v>19</v>
      </c>
      <c r="D338" s="29">
        <v>10000000</v>
      </c>
      <c r="E338" s="7">
        <v>2017</v>
      </c>
      <c r="F338" s="8">
        <v>0.2</v>
      </c>
      <c r="G338" s="8">
        <v>0.62</v>
      </c>
      <c r="H338" s="8">
        <v>1</v>
      </c>
      <c r="I338" s="9">
        <v>42751</v>
      </c>
      <c r="J338" s="9">
        <v>42751</v>
      </c>
      <c r="K338" s="10">
        <v>49</v>
      </c>
      <c r="L338" s="3" t="s">
        <v>120</v>
      </c>
      <c r="M338" s="9">
        <f t="shared" si="18"/>
        <v>42736</v>
      </c>
      <c r="N338" s="9">
        <f t="shared" si="16"/>
        <v>44228</v>
      </c>
      <c r="O338" s="29">
        <f>VLOOKUP(B338,PROYECTO!A:H,8,0)</f>
        <v>0</v>
      </c>
      <c r="P338" s="9">
        <f t="array" ref="P338">MAX(MAX(IF($B:$B=B338,$N:$N)),MAX(IF(B338=HONORARIOS!B:B,HONORARIOS!M:M)))</f>
        <v>44287</v>
      </c>
      <c r="Q338" s="29">
        <f t="shared" si="17"/>
        <v>49</v>
      </c>
    </row>
    <row r="339" spans="2:17" x14ac:dyDescent="0.25">
      <c r="B339" s="5">
        <v>1734</v>
      </c>
      <c r="C339" s="3" t="s">
        <v>12</v>
      </c>
      <c r="D339" s="29">
        <v>6100000</v>
      </c>
      <c r="E339" s="7">
        <v>2017</v>
      </c>
      <c r="F339" s="8">
        <v>1</v>
      </c>
      <c r="G339" s="8">
        <v>0.5</v>
      </c>
      <c r="H339" s="8">
        <v>1</v>
      </c>
      <c r="I339" s="9">
        <v>42751</v>
      </c>
      <c r="J339" s="9">
        <v>42751</v>
      </c>
      <c r="K339" s="10">
        <v>49</v>
      </c>
      <c r="L339" s="3" t="s">
        <v>120</v>
      </c>
      <c r="M339" s="9">
        <f t="shared" si="18"/>
        <v>42736</v>
      </c>
      <c r="N339" s="9">
        <f t="shared" si="16"/>
        <v>44228</v>
      </c>
      <c r="O339" s="29">
        <f>VLOOKUP(B339,PROYECTO!A:H,8,0)</f>
        <v>0</v>
      </c>
      <c r="P339" s="9">
        <f t="array" ref="P339">MAX(MAX(IF($B:$B=B339,$N:$N)),MAX(IF(B339=HONORARIOS!B:B,HONORARIOS!M:M)))</f>
        <v>44287</v>
      </c>
      <c r="Q339" s="29">
        <f t="shared" si="17"/>
        <v>49</v>
      </c>
    </row>
    <row r="340" spans="2:17" x14ac:dyDescent="0.25">
      <c r="B340" s="5">
        <v>1734</v>
      </c>
      <c r="C340" s="3" t="s">
        <v>30</v>
      </c>
      <c r="D340" s="29">
        <v>4821788</v>
      </c>
      <c r="E340" s="7">
        <v>2018</v>
      </c>
      <c r="F340" s="8">
        <v>1</v>
      </c>
      <c r="G340" s="8">
        <v>0.5</v>
      </c>
      <c r="H340" s="8">
        <v>1</v>
      </c>
      <c r="I340" s="9">
        <v>43217</v>
      </c>
      <c r="J340" s="9">
        <v>43217</v>
      </c>
      <c r="K340" s="10">
        <v>34</v>
      </c>
      <c r="L340" s="3" t="s">
        <v>120</v>
      </c>
      <c r="M340" s="9">
        <f t="shared" si="18"/>
        <v>43191</v>
      </c>
      <c r="N340" s="9">
        <f t="shared" si="16"/>
        <v>44228</v>
      </c>
      <c r="O340" s="29">
        <f>VLOOKUP(B340,PROYECTO!A:H,8,0)</f>
        <v>0</v>
      </c>
      <c r="P340" s="9">
        <f t="array" ref="P340">MAX(MAX(IF($B:$B=B340,$N:$N)),MAX(IF(B340=HONORARIOS!B:B,HONORARIOS!M:M)))</f>
        <v>44287</v>
      </c>
      <c r="Q340" s="29">
        <f t="shared" si="17"/>
        <v>34</v>
      </c>
    </row>
    <row r="341" spans="2:17" x14ac:dyDescent="0.25">
      <c r="B341" s="5">
        <v>1734</v>
      </c>
      <c r="C341" s="3" t="s">
        <v>39</v>
      </c>
      <c r="D341" s="29">
        <v>4821788</v>
      </c>
      <c r="E341" s="7">
        <v>2018</v>
      </c>
      <c r="F341" s="8">
        <v>1</v>
      </c>
      <c r="G341" s="8">
        <v>0.5</v>
      </c>
      <c r="H341" s="8">
        <v>1</v>
      </c>
      <c r="I341" s="9">
        <v>43136</v>
      </c>
      <c r="J341" s="9">
        <v>43136</v>
      </c>
      <c r="K341" s="10">
        <v>36</v>
      </c>
      <c r="L341" s="3" t="s">
        <v>120</v>
      </c>
      <c r="M341" s="9">
        <f t="shared" si="18"/>
        <v>43132</v>
      </c>
      <c r="N341" s="9">
        <f t="shared" si="16"/>
        <v>44228</v>
      </c>
      <c r="O341" s="29">
        <f>VLOOKUP(B341,PROYECTO!A:H,8,0)</f>
        <v>0</v>
      </c>
      <c r="P341" s="9">
        <f t="array" ref="P341">MAX(MAX(IF($B:$B=B341,$N:$N)),MAX(IF(B341=HONORARIOS!B:B,HONORARIOS!M:M)))</f>
        <v>44287</v>
      </c>
      <c r="Q341" s="29">
        <f t="shared" si="17"/>
        <v>36</v>
      </c>
    </row>
    <row r="342" spans="2:17" x14ac:dyDescent="0.25">
      <c r="B342" s="5">
        <v>1734</v>
      </c>
      <c r="C342" s="3" t="s">
        <v>34</v>
      </c>
      <c r="D342" s="29">
        <v>4821788</v>
      </c>
      <c r="E342" s="7">
        <v>2018</v>
      </c>
      <c r="F342" s="8">
        <v>1</v>
      </c>
      <c r="G342" s="8">
        <v>0.5</v>
      </c>
      <c r="H342" s="8">
        <v>1</v>
      </c>
      <c r="I342" s="9">
        <v>43647</v>
      </c>
      <c r="J342" s="9">
        <v>43647</v>
      </c>
      <c r="K342" s="10">
        <v>21</v>
      </c>
      <c r="L342" s="3" t="s">
        <v>120</v>
      </c>
      <c r="M342" s="9">
        <f t="shared" si="18"/>
        <v>43647</v>
      </c>
      <c r="N342" s="9">
        <f t="shared" si="16"/>
        <v>44287</v>
      </c>
      <c r="O342" s="29">
        <f>VLOOKUP(B342,PROYECTO!A:H,8,0)</f>
        <v>0</v>
      </c>
      <c r="P342" s="9">
        <f t="array" ref="P342">MAX(MAX(IF($B:$B=B342,$N:$N)),MAX(IF(B342=HONORARIOS!B:B,HONORARIOS!M:M)))</f>
        <v>44287</v>
      </c>
      <c r="Q342" s="29">
        <f t="shared" si="17"/>
        <v>21</v>
      </c>
    </row>
    <row r="343" spans="2:17" x14ac:dyDescent="0.25">
      <c r="B343" s="5">
        <v>1734</v>
      </c>
      <c r="C343" s="3" t="s">
        <v>14</v>
      </c>
      <c r="D343" s="29">
        <v>4449529</v>
      </c>
      <c r="E343" s="7">
        <v>2018</v>
      </c>
      <c r="F343" s="8">
        <v>1</v>
      </c>
      <c r="G343" s="8">
        <v>0.5</v>
      </c>
      <c r="H343" s="8">
        <v>1</v>
      </c>
      <c r="I343" s="9">
        <v>43647</v>
      </c>
      <c r="J343" s="9">
        <v>43647</v>
      </c>
      <c r="K343" s="10">
        <v>20</v>
      </c>
      <c r="L343" s="3" t="s">
        <v>120</v>
      </c>
      <c r="M343" s="9">
        <f t="shared" si="18"/>
        <v>43647</v>
      </c>
      <c r="N343" s="9">
        <f t="shared" si="16"/>
        <v>44256</v>
      </c>
      <c r="O343" s="29">
        <f>VLOOKUP(B343,PROYECTO!A:H,8,0)</f>
        <v>0</v>
      </c>
      <c r="P343" s="9">
        <f t="array" ref="P343">MAX(MAX(IF($B:$B=B343,$N:$N)),MAX(IF(B343=HONORARIOS!B:B,HONORARIOS!M:M)))</f>
        <v>44287</v>
      </c>
      <c r="Q343" s="29">
        <f t="shared" si="17"/>
        <v>20</v>
      </c>
    </row>
    <row r="344" spans="2:17" x14ac:dyDescent="0.25">
      <c r="B344" s="5">
        <v>1734</v>
      </c>
      <c r="C344" s="3" t="s">
        <v>117</v>
      </c>
      <c r="D344" s="29">
        <v>2369159</v>
      </c>
      <c r="E344" s="7">
        <v>2018</v>
      </c>
      <c r="F344" s="8">
        <v>1</v>
      </c>
      <c r="G344" s="8">
        <v>0.5</v>
      </c>
      <c r="H344" s="8">
        <v>1</v>
      </c>
      <c r="I344" s="9">
        <v>43466</v>
      </c>
      <c r="J344" s="9">
        <v>43466</v>
      </c>
      <c r="K344" s="10">
        <v>25</v>
      </c>
      <c r="L344" s="3" t="s">
        <v>120</v>
      </c>
      <c r="M344" s="9">
        <f t="shared" si="18"/>
        <v>43466</v>
      </c>
      <c r="N344" s="9">
        <f t="shared" si="16"/>
        <v>44228</v>
      </c>
      <c r="O344" s="29">
        <f>VLOOKUP(B344,PROYECTO!A:H,8,0)</f>
        <v>0</v>
      </c>
      <c r="P344" s="9">
        <f t="array" ref="P344">MAX(MAX(IF($B:$B=B344,$N:$N)),MAX(IF(B344=HONORARIOS!B:B,HONORARIOS!M:M)))</f>
        <v>44287</v>
      </c>
      <c r="Q344" s="29">
        <f t="shared" si="17"/>
        <v>25</v>
      </c>
    </row>
    <row r="345" spans="2:17" x14ac:dyDescent="0.25">
      <c r="B345" s="5">
        <v>1734</v>
      </c>
      <c r="C345" s="3" t="s">
        <v>118</v>
      </c>
      <c r="D345" s="29">
        <v>2250168</v>
      </c>
      <c r="E345" s="7">
        <v>2018</v>
      </c>
      <c r="F345" s="8">
        <v>1</v>
      </c>
      <c r="G345" s="8">
        <v>0.5</v>
      </c>
      <c r="H345" s="8">
        <v>1</v>
      </c>
      <c r="I345" s="9">
        <v>43382</v>
      </c>
      <c r="J345" s="9">
        <v>43382</v>
      </c>
      <c r="K345" s="10">
        <v>28</v>
      </c>
      <c r="L345" s="3" t="s">
        <v>120</v>
      </c>
      <c r="M345" s="9">
        <f t="shared" si="18"/>
        <v>43374</v>
      </c>
      <c r="N345" s="9">
        <f t="shared" si="16"/>
        <v>44228</v>
      </c>
      <c r="O345" s="29">
        <f>VLOOKUP(B345,PROYECTO!A:H,8,0)</f>
        <v>0</v>
      </c>
      <c r="P345" s="9">
        <f t="array" ref="P345">MAX(MAX(IF($B:$B=B345,$N:$N)),MAX(IF(B345=HONORARIOS!B:B,HONORARIOS!M:M)))</f>
        <v>44287</v>
      </c>
      <c r="Q345" s="29">
        <f t="shared" si="17"/>
        <v>28</v>
      </c>
    </row>
    <row r="346" spans="2:17" x14ac:dyDescent="0.25">
      <c r="B346" s="5">
        <v>1734</v>
      </c>
      <c r="C346" s="3" t="s">
        <v>38</v>
      </c>
      <c r="D346" s="29">
        <v>2893073</v>
      </c>
      <c r="E346" s="7">
        <v>2018</v>
      </c>
      <c r="F346" s="8">
        <v>1</v>
      </c>
      <c r="G346" s="8">
        <v>0.59</v>
      </c>
      <c r="H346" s="8">
        <v>1</v>
      </c>
      <c r="I346" s="9">
        <v>43132</v>
      </c>
      <c r="J346" s="9">
        <v>43132</v>
      </c>
      <c r="K346" s="10">
        <v>36</v>
      </c>
      <c r="L346" s="3" t="s">
        <v>120</v>
      </c>
      <c r="M346" s="9">
        <f t="shared" si="18"/>
        <v>43132</v>
      </c>
      <c r="N346" s="9">
        <f t="shared" si="16"/>
        <v>44228</v>
      </c>
      <c r="O346" s="29">
        <f>VLOOKUP(B346,PROYECTO!A:H,8,0)</f>
        <v>0</v>
      </c>
      <c r="P346" s="9">
        <f t="array" ref="P346">MAX(MAX(IF($B:$B=B346,$N:$N)),MAX(IF(B346=HONORARIOS!B:B,HONORARIOS!M:M)))</f>
        <v>44287</v>
      </c>
      <c r="Q346" s="29">
        <f t="shared" si="17"/>
        <v>36</v>
      </c>
    </row>
    <row r="347" spans="2:17" x14ac:dyDescent="0.25">
      <c r="B347" s="5">
        <v>1734</v>
      </c>
      <c r="C347" s="3" t="s">
        <v>79</v>
      </c>
      <c r="D347" s="29">
        <v>2893073</v>
      </c>
      <c r="E347" s="7">
        <v>2018</v>
      </c>
      <c r="F347" s="8">
        <v>1</v>
      </c>
      <c r="G347" s="8">
        <v>0.59</v>
      </c>
      <c r="H347" s="8">
        <v>1</v>
      </c>
      <c r="I347" s="9">
        <v>43497</v>
      </c>
      <c r="J347" s="9">
        <v>43497</v>
      </c>
      <c r="K347" s="10">
        <v>24</v>
      </c>
      <c r="L347" s="3" t="s">
        <v>120</v>
      </c>
      <c r="M347" s="9">
        <f t="shared" si="18"/>
        <v>43497</v>
      </c>
      <c r="N347" s="9">
        <f t="shared" si="16"/>
        <v>44228</v>
      </c>
      <c r="O347" s="29">
        <f>VLOOKUP(B347,PROYECTO!A:H,8,0)</f>
        <v>0</v>
      </c>
      <c r="P347" s="9">
        <f t="array" ref="P347">MAX(MAX(IF($B:$B=B347,$N:$N)),MAX(IF(B347=HONORARIOS!B:B,HONORARIOS!M:M)))</f>
        <v>44287</v>
      </c>
      <c r="Q347" s="29">
        <f t="shared" si="17"/>
        <v>24</v>
      </c>
    </row>
    <row r="348" spans="2:17" x14ac:dyDescent="0.25">
      <c r="B348" s="5">
        <v>1734</v>
      </c>
      <c r="C348" s="3" t="s">
        <v>23</v>
      </c>
      <c r="D348" s="29">
        <v>2164447</v>
      </c>
      <c r="E348" s="7">
        <v>2018</v>
      </c>
      <c r="F348" s="8">
        <v>1</v>
      </c>
      <c r="G348" s="8">
        <v>0.59</v>
      </c>
      <c r="H348" s="8">
        <v>1</v>
      </c>
      <c r="I348" s="9">
        <v>43671</v>
      </c>
      <c r="J348" s="9">
        <v>43671</v>
      </c>
      <c r="K348" s="10">
        <v>21</v>
      </c>
      <c r="L348" s="3" t="s">
        <v>120</v>
      </c>
      <c r="M348" s="9">
        <f t="shared" si="18"/>
        <v>43647</v>
      </c>
      <c r="N348" s="9">
        <f t="shared" si="16"/>
        <v>44287</v>
      </c>
      <c r="O348" s="29">
        <f>VLOOKUP(B348,PROYECTO!A:H,8,0)</f>
        <v>0</v>
      </c>
      <c r="P348" s="9">
        <f t="array" ref="P348">MAX(MAX(IF($B:$B=B348,$N:$N)),MAX(IF(B348=HONORARIOS!B:B,HONORARIOS!M:M)))</f>
        <v>44287</v>
      </c>
      <c r="Q348" s="29">
        <f t="shared" si="17"/>
        <v>21</v>
      </c>
    </row>
    <row r="349" spans="2:17" x14ac:dyDescent="0.25">
      <c r="B349" s="5">
        <v>1888</v>
      </c>
      <c r="C349" s="3" t="s">
        <v>19</v>
      </c>
      <c r="D349" s="29">
        <v>9320000</v>
      </c>
      <c r="E349" s="7">
        <v>2018</v>
      </c>
      <c r="F349" s="8">
        <v>0.2</v>
      </c>
      <c r="G349" s="8">
        <v>0.62</v>
      </c>
      <c r="H349" s="8">
        <v>1</v>
      </c>
      <c r="I349" s="9">
        <v>43525</v>
      </c>
      <c r="J349" s="9"/>
      <c r="K349" s="10">
        <v>16</v>
      </c>
      <c r="L349" s="3"/>
      <c r="M349" s="9">
        <f t="shared" si="18"/>
        <v>43525</v>
      </c>
      <c r="N349" s="9">
        <f t="shared" si="16"/>
        <v>44013</v>
      </c>
      <c r="O349" s="29">
        <f>VLOOKUP(B349,PROYECTO!A:H,8,0)</f>
        <v>0</v>
      </c>
      <c r="P349" s="9">
        <f t="array" ref="P349">MAX(MAX(IF($B:$B=B349,$N:$N)),MAX(IF(B349=HONORARIOS!B:B,HONORARIOS!M:M)))</f>
        <v>44013</v>
      </c>
      <c r="Q349" s="29">
        <f t="shared" si="17"/>
        <v>16</v>
      </c>
    </row>
    <row r="350" spans="2:17" x14ac:dyDescent="0.25">
      <c r="B350" s="5">
        <v>1888</v>
      </c>
      <c r="C350" s="3" t="s">
        <v>12</v>
      </c>
      <c r="D350" s="29">
        <v>5550000</v>
      </c>
      <c r="E350" s="7">
        <v>2018</v>
      </c>
      <c r="F350" s="8">
        <v>1</v>
      </c>
      <c r="G350" s="8">
        <v>0.5</v>
      </c>
      <c r="H350" s="8">
        <v>1</v>
      </c>
      <c r="I350" s="9">
        <v>43525</v>
      </c>
      <c r="J350" s="9"/>
      <c r="K350" s="10">
        <v>12</v>
      </c>
      <c r="L350" s="3"/>
      <c r="M350" s="9">
        <f t="shared" si="18"/>
        <v>43525</v>
      </c>
      <c r="N350" s="9">
        <f t="shared" si="16"/>
        <v>43891</v>
      </c>
      <c r="O350" s="29">
        <f>VLOOKUP(B350,PROYECTO!A:H,8,0)</f>
        <v>0</v>
      </c>
      <c r="P350" s="9">
        <f t="array" ref="P350">MAX(MAX(IF($B:$B=B350,$N:$N)),MAX(IF(B350=HONORARIOS!B:B,HONORARIOS!M:M)))</f>
        <v>44013</v>
      </c>
      <c r="Q350" s="29">
        <f t="shared" si="17"/>
        <v>12</v>
      </c>
    </row>
    <row r="351" spans="2:17" x14ac:dyDescent="0.25">
      <c r="B351" s="5">
        <v>1888</v>
      </c>
      <c r="C351" s="3" t="s">
        <v>39</v>
      </c>
      <c r="D351" s="29">
        <v>3000000</v>
      </c>
      <c r="E351" s="7">
        <v>2018</v>
      </c>
      <c r="F351" s="8">
        <v>1</v>
      </c>
      <c r="G351" s="8">
        <v>0.5</v>
      </c>
      <c r="H351" s="8">
        <v>1</v>
      </c>
      <c r="I351" s="9">
        <v>43525</v>
      </c>
      <c r="J351" s="9"/>
      <c r="K351" s="10">
        <v>12</v>
      </c>
      <c r="L351" s="3"/>
      <c r="M351" s="9">
        <f t="shared" si="18"/>
        <v>43525</v>
      </c>
      <c r="N351" s="9">
        <f t="shared" si="16"/>
        <v>43891</v>
      </c>
      <c r="O351" s="29">
        <f>VLOOKUP(B351,PROYECTO!A:H,8,0)</f>
        <v>0</v>
      </c>
      <c r="P351" s="9">
        <f t="array" ref="P351">MAX(MAX(IF($B:$B=B351,$N:$N)),MAX(IF(B351=HONORARIOS!B:B,HONORARIOS!M:M)))</f>
        <v>44013</v>
      </c>
      <c r="Q351" s="29">
        <f t="shared" si="17"/>
        <v>12</v>
      </c>
    </row>
    <row r="352" spans="2:17" x14ac:dyDescent="0.25">
      <c r="B352" s="5">
        <v>1888</v>
      </c>
      <c r="C352" s="3" t="s">
        <v>38</v>
      </c>
      <c r="D352" s="29">
        <v>2400000</v>
      </c>
      <c r="E352" s="7">
        <v>2018</v>
      </c>
      <c r="F352" s="8">
        <v>1</v>
      </c>
      <c r="G352" s="8">
        <v>0.59</v>
      </c>
      <c r="H352" s="8">
        <v>1</v>
      </c>
      <c r="I352" s="9">
        <v>43525</v>
      </c>
      <c r="J352" s="9"/>
      <c r="K352" s="10">
        <v>11</v>
      </c>
      <c r="L352" s="3"/>
      <c r="M352" s="9">
        <f t="shared" si="18"/>
        <v>43525</v>
      </c>
      <c r="N352" s="9">
        <f t="shared" si="16"/>
        <v>43862</v>
      </c>
      <c r="O352" s="29">
        <f>VLOOKUP(B352,PROYECTO!A:H,8,0)</f>
        <v>0</v>
      </c>
      <c r="P352" s="9">
        <f t="array" ref="P352">MAX(MAX(IF($B:$B=B352,$N:$N)),MAX(IF(B352=HONORARIOS!B:B,HONORARIOS!M:M)))</f>
        <v>44013</v>
      </c>
      <c r="Q352" s="29">
        <f t="shared" si="17"/>
        <v>11</v>
      </c>
    </row>
    <row r="353" spans="2:17" x14ac:dyDescent="0.25">
      <c r="B353" s="5">
        <v>1888</v>
      </c>
      <c r="C353" s="3" t="s">
        <v>29</v>
      </c>
      <c r="D353" s="29">
        <v>2350000</v>
      </c>
      <c r="E353" s="7">
        <v>2018</v>
      </c>
      <c r="F353" s="8">
        <v>0.5</v>
      </c>
      <c r="G353" s="8">
        <v>0.5</v>
      </c>
      <c r="H353" s="8">
        <v>1</v>
      </c>
      <c r="I353" s="9">
        <v>43525</v>
      </c>
      <c r="J353" s="9"/>
      <c r="K353" s="10">
        <v>4</v>
      </c>
      <c r="L353" s="3"/>
      <c r="M353" s="9">
        <f t="shared" si="18"/>
        <v>43525</v>
      </c>
      <c r="N353" s="9">
        <f t="shared" si="16"/>
        <v>43647</v>
      </c>
      <c r="O353" s="29">
        <f>VLOOKUP(B353,PROYECTO!A:H,8,0)</f>
        <v>0</v>
      </c>
      <c r="P353" s="9">
        <f t="array" ref="P353">MAX(MAX(IF($B:$B=B353,$N:$N)),MAX(IF(B353=HONORARIOS!B:B,HONORARIOS!M:M)))</f>
        <v>44013</v>
      </c>
      <c r="Q353" s="29">
        <f t="shared" si="17"/>
        <v>4</v>
      </c>
    </row>
    <row r="354" spans="2:17" x14ac:dyDescent="0.25">
      <c r="B354" s="5">
        <v>1888</v>
      </c>
      <c r="C354" s="3" t="s">
        <v>169</v>
      </c>
      <c r="D354" s="29">
        <v>3280000</v>
      </c>
      <c r="E354" s="7">
        <v>2018</v>
      </c>
      <c r="F354" s="8">
        <v>0.5</v>
      </c>
      <c r="G354" s="8">
        <v>0.5</v>
      </c>
      <c r="H354" s="8">
        <v>1</v>
      </c>
      <c r="I354" s="9">
        <v>43525</v>
      </c>
      <c r="J354" s="9"/>
      <c r="K354" s="10">
        <v>4</v>
      </c>
      <c r="L354" s="3"/>
      <c r="M354" s="9">
        <f t="shared" si="18"/>
        <v>43525</v>
      </c>
      <c r="N354" s="9">
        <f t="shared" si="16"/>
        <v>43647</v>
      </c>
      <c r="O354" s="29">
        <f>VLOOKUP(B354,PROYECTO!A:H,8,0)</f>
        <v>0</v>
      </c>
      <c r="P354" s="9">
        <f t="array" ref="P354">MAX(MAX(IF($B:$B=B354,$N:$N)),MAX(IF(B354=HONORARIOS!B:B,HONORARIOS!M:M)))</f>
        <v>44013</v>
      </c>
      <c r="Q354" s="29">
        <f t="shared" si="17"/>
        <v>4</v>
      </c>
    </row>
    <row r="355" spans="2:17" x14ac:dyDescent="0.25">
      <c r="B355" s="5">
        <v>1891</v>
      </c>
      <c r="C355" s="3" t="s">
        <v>12</v>
      </c>
      <c r="D355" s="29">
        <v>7704725</v>
      </c>
      <c r="E355" s="7">
        <v>2018</v>
      </c>
      <c r="F355" s="8">
        <v>1</v>
      </c>
      <c r="G355" s="8">
        <v>0.5</v>
      </c>
      <c r="H355" s="8">
        <v>1</v>
      </c>
      <c r="I355" s="9">
        <v>43497</v>
      </c>
      <c r="J355" s="9"/>
      <c r="K355" s="10">
        <v>17</v>
      </c>
      <c r="L355" s="3"/>
      <c r="M355" s="9">
        <f t="shared" si="18"/>
        <v>43497</v>
      </c>
      <c r="N355" s="9">
        <f t="shared" si="16"/>
        <v>44013</v>
      </c>
      <c r="O355" s="29">
        <f>VLOOKUP(B355,PROYECTO!A:H,8,0)</f>
        <v>0</v>
      </c>
      <c r="P355" s="9">
        <f t="array" ref="P355">MAX(MAX(IF($B:$B=B355,$N:$N)),MAX(IF(B355=HONORARIOS!B:B,HONORARIOS!M:M)))</f>
        <v>44256</v>
      </c>
      <c r="Q355" s="29">
        <f t="shared" si="17"/>
        <v>17</v>
      </c>
    </row>
    <row r="356" spans="2:17" x14ac:dyDescent="0.25">
      <c r="B356" s="5">
        <v>1891</v>
      </c>
      <c r="C356" s="3" t="s">
        <v>26</v>
      </c>
      <c r="D356" s="29">
        <v>4702773</v>
      </c>
      <c r="E356" s="7">
        <v>2018</v>
      </c>
      <c r="F356" s="8">
        <v>1</v>
      </c>
      <c r="G356" s="8">
        <v>0.5</v>
      </c>
      <c r="H356" s="8">
        <v>1</v>
      </c>
      <c r="I356" s="9">
        <v>43497</v>
      </c>
      <c r="J356" s="9"/>
      <c r="K356" s="10">
        <v>24</v>
      </c>
      <c r="L356" s="3"/>
      <c r="M356" s="9">
        <f t="shared" si="18"/>
        <v>43497</v>
      </c>
      <c r="N356" s="9">
        <f t="shared" si="16"/>
        <v>44228</v>
      </c>
      <c r="O356" s="29">
        <f>VLOOKUP(B356,PROYECTO!A:H,8,0)</f>
        <v>0</v>
      </c>
      <c r="P356" s="9">
        <f t="array" ref="P356">MAX(MAX(IF($B:$B=B356,$N:$N)),MAX(IF(B356=HONORARIOS!B:B,HONORARIOS!M:M)))</f>
        <v>44256</v>
      </c>
      <c r="Q356" s="29">
        <f t="shared" si="17"/>
        <v>24</v>
      </c>
    </row>
    <row r="357" spans="2:17" x14ac:dyDescent="0.25">
      <c r="B357" s="5">
        <v>1891</v>
      </c>
      <c r="C357" s="3" t="s">
        <v>123</v>
      </c>
      <c r="D357" s="29">
        <v>4787314</v>
      </c>
      <c r="E357" s="7">
        <v>2018</v>
      </c>
      <c r="F357" s="8">
        <v>1</v>
      </c>
      <c r="G357" s="8">
        <v>0.5</v>
      </c>
      <c r="H357" s="8">
        <v>1</v>
      </c>
      <c r="I357" s="9">
        <v>43497</v>
      </c>
      <c r="J357" s="9"/>
      <c r="K357" s="10">
        <v>14</v>
      </c>
      <c r="L357" s="3"/>
      <c r="M357" s="9">
        <f t="shared" si="18"/>
        <v>43497</v>
      </c>
      <c r="N357" s="9">
        <f t="shared" si="16"/>
        <v>43922</v>
      </c>
      <c r="O357" s="29">
        <f>VLOOKUP(B357,PROYECTO!A:H,8,0)</f>
        <v>0</v>
      </c>
      <c r="P357" s="9">
        <f t="array" ref="P357">MAX(MAX(IF($B:$B=B357,$N:$N)),MAX(IF(B357=HONORARIOS!B:B,HONORARIOS!M:M)))</f>
        <v>44256</v>
      </c>
      <c r="Q357" s="29">
        <f t="shared" si="17"/>
        <v>14</v>
      </c>
    </row>
    <row r="358" spans="2:17" x14ac:dyDescent="0.25">
      <c r="B358" s="5">
        <v>1891</v>
      </c>
      <c r="C358" s="3" t="s">
        <v>39</v>
      </c>
      <c r="D358" s="29">
        <v>3484806</v>
      </c>
      <c r="E358" s="7">
        <v>2018</v>
      </c>
      <c r="F358" s="8">
        <v>1</v>
      </c>
      <c r="G358" s="8">
        <v>0.5</v>
      </c>
      <c r="H358" s="8">
        <v>1</v>
      </c>
      <c r="I358" s="9">
        <v>43497</v>
      </c>
      <c r="J358" s="9"/>
      <c r="K358" s="10">
        <v>17</v>
      </c>
      <c r="L358" s="3"/>
      <c r="M358" s="9">
        <f t="shared" si="18"/>
        <v>43497</v>
      </c>
      <c r="N358" s="9">
        <f t="shared" si="16"/>
        <v>44013</v>
      </c>
      <c r="O358" s="29">
        <f>VLOOKUP(B358,PROYECTO!A:H,8,0)</f>
        <v>0</v>
      </c>
      <c r="P358" s="9">
        <f t="array" ref="P358">MAX(MAX(IF($B:$B=B358,$N:$N)),MAX(IF(B358=HONORARIOS!B:B,HONORARIOS!M:M)))</f>
        <v>44256</v>
      </c>
      <c r="Q358" s="29">
        <f t="shared" si="17"/>
        <v>17</v>
      </c>
    </row>
    <row r="359" spans="2:17" x14ac:dyDescent="0.25">
      <c r="B359" s="5">
        <v>1891</v>
      </c>
      <c r="C359" s="3" t="s">
        <v>178</v>
      </c>
      <c r="D359" s="29">
        <v>3126139</v>
      </c>
      <c r="E359" s="7">
        <v>2018</v>
      </c>
      <c r="F359" s="8">
        <v>1</v>
      </c>
      <c r="G359" s="8">
        <v>0.5</v>
      </c>
      <c r="H359" s="8">
        <v>1</v>
      </c>
      <c r="I359" s="9">
        <v>43497</v>
      </c>
      <c r="J359" s="9"/>
      <c r="K359" s="10">
        <v>18</v>
      </c>
      <c r="L359" s="3"/>
      <c r="M359" s="9">
        <f t="shared" si="18"/>
        <v>43497</v>
      </c>
      <c r="N359" s="9">
        <f t="shared" si="16"/>
        <v>44044</v>
      </c>
      <c r="O359" s="29">
        <f>VLOOKUP(B359,PROYECTO!A:H,8,0)</f>
        <v>0</v>
      </c>
      <c r="P359" s="9">
        <f t="array" ref="P359">MAX(MAX(IF($B:$B=B359,$N:$N)),MAX(IF(B359=HONORARIOS!B:B,HONORARIOS!M:M)))</f>
        <v>44256</v>
      </c>
      <c r="Q359" s="29">
        <f t="shared" si="17"/>
        <v>18</v>
      </c>
    </row>
    <row r="360" spans="2:17" x14ac:dyDescent="0.25">
      <c r="B360" s="5">
        <v>1891</v>
      </c>
      <c r="C360" s="3" t="s">
        <v>59</v>
      </c>
      <c r="D360" s="29">
        <v>2045734</v>
      </c>
      <c r="E360" s="7">
        <v>2018</v>
      </c>
      <c r="F360" s="8">
        <v>1</v>
      </c>
      <c r="G360" s="8">
        <v>0.5</v>
      </c>
      <c r="H360" s="8">
        <v>1</v>
      </c>
      <c r="I360" s="9">
        <v>43497</v>
      </c>
      <c r="J360" s="9"/>
      <c r="K360" s="10">
        <v>25</v>
      </c>
      <c r="L360" s="3"/>
      <c r="M360" s="9">
        <f t="shared" si="18"/>
        <v>43497</v>
      </c>
      <c r="N360" s="9">
        <f t="shared" si="16"/>
        <v>44256</v>
      </c>
      <c r="O360" s="29">
        <f>VLOOKUP(B360,PROYECTO!A:H,8,0)</f>
        <v>0</v>
      </c>
      <c r="P360" s="9">
        <f t="array" ref="P360">MAX(MAX(IF($B:$B=B360,$N:$N)),MAX(IF(B360=HONORARIOS!B:B,HONORARIOS!M:M)))</f>
        <v>44256</v>
      </c>
      <c r="Q360" s="29">
        <f t="shared" si="17"/>
        <v>25</v>
      </c>
    </row>
    <row r="361" spans="2:17" x14ac:dyDescent="0.25">
      <c r="B361" s="5">
        <v>1891</v>
      </c>
      <c r="C361" s="3" t="s">
        <v>135</v>
      </c>
      <c r="D361" s="29">
        <v>2317010</v>
      </c>
      <c r="E361" s="7">
        <v>2018</v>
      </c>
      <c r="F361" s="8">
        <v>1</v>
      </c>
      <c r="G361" s="8">
        <v>0.59</v>
      </c>
      <c r="H361" s="8">
        <v>1</v>
      </c>
      <c r="I361" s="9">
        <v>43497</v>
      </c>
      <c r="J361" s="9"/>
      <c r="K361" s="10">
        <v>20</v>
      </c>
      <c r="L361" s="3"/>
      <c r="M361" s="9">
        <f t="shared" si="18"/>
        <v>43497</v>
      </c>
      <c r="N361" s="9">
        <f t="shared" si="16"/>
        <v>44105</v>
      </c>
      <c r="O361" s="29">
        <f>VLOOKUP(B361,PROYECTO!A:H,8,0)</f>
        <v>0</v>
      </c>
      <c r="P361" s="9">
        <f t="array" ref="P361">MAX(MAX(IF($B:$B=B361,$N:$N)),MAX(IF(B361=HONORARIOS!B:B,HONORARIOS!M:M)))</f>
        <v>44256</v>
      </c>
      <c r="Q361" s="29">
        <f t="shared" si="17"/>
        <v>20</v>
      </c>
    </row>
    <row r="362" spans="2:17" x14ac:dyDescent="0.25">
      <c r="B362" s="5">
        <v>1891</v>
      </c>
      <c r="C362" s="3" t="s">
        <v>76</v>
      </c>
      <c r="D362" s="29">
        <v>2396626</v>
      </c>
      <c r="E362" s="7">
        <v>2018</v>
      </c>
      <c r="F362" s="8">
        <v>1</v>
      </c>
      <c r="G362" s="8">
        <v>0.59</v>
      </c>
      <c r="H362" s="8">
        <v>1</v>
      </c>
      <c r="I362" s="9">
        <v>43497</v>
      </c>
      <c r="J362" s="9"/>
      <c r="K362" s="10">
        <v>10</v>
      </c>
      <c r="L362" s="3"/>
      <c r="M362" s="9">
        <f t="shared" si="18"/>
        <v>43497</v>
      </c>
      <c r="N362" s="9">
        <f t="shared" si="16"/>
        <v>43800</v>
      </c>
      <c r="O362" s="29">
        <f>VLOOKUP(B362,PROYECTO!A:H,8,0)</f>
        <v>0</v>
      </c>
      <c r="P362" s="9">
        <f t="array" ref="P362">MAX(MAX(IF($B:$B=B362,$N:$N)),MAX(IF(B362=HONORARIOS!B:B,HONORARIOS!M:M)))</f>
        <v>44256</v>
      </c>
      <c r="Q362" s="29">
        <f t="shared" si="17"/>
        <v>10</v>
      </c>
    </row>
    <row r="363" spans="2:17" x14ac:dyDescent="0.25">
      <c r="B363" s="5">
        <v>1895</v>
      </c>
      <c r="C363" s="3" t="s">
        <v>19</v>
      </c>
      <c r="D363" s="29">
        <v>9495570</v>
      </c>
      <c r="E363" s="7">
        <v>2018</v>
      </c>
      <c r="F363" s="8">
        <v>0.2</v>
      </c>
      <c r="G363" s="8">
        <v>0.62</v>
      </c>
      <c r="H363" s="8">
        <v>1</v>
      </c>
      <c r="I363" s="9">
        <v>43453</v>
      </c>
      <c r="J363" s="9"/>
      <c r="K363" s="10">
        <v>3</v>
      </c>
      <c r="L363" s="3"/>
      <c r="M363" s="9">
        <f t="shared" si="18"/>
        <v>43435</v>
      </c>
      <c r="N363" s="9">
        <f t="shared" si="16"/>
        <v>43525</v>
      </c>
      <c r="O363" s="29">
        <f>VLOOKUP(B363,PROYECTO!A:H,8,0)</f>
        <v>0</v>
      </c>
      <c r="P363" s="9">
        <f t="array" ref="P363">MAX(MAX(IF($B:$B=B363,$N:$N)),MAX(IF(B363=HONORARIOS!B:B,HONORARIOS!M:M)))</f>
        <v>43525</v>
      </c>
      <c r="Q363" s="29">
        <f t="shared" si="17"/>
        <v>3</v>
      </c>
    </row>
    <row r="364" spans="2:17" x14ac:dyDescent="0.25">
      <c r="B364" s="5">
        <v>1895</v>
      </c>
      <c r="C364" s="3" t="s">
        <v>26</v>
      </c>
      <c r="D364" s="29">
        <v>3893400</v>
      </c>
      <c r="E364" s="7">
        <v>2018</v>
      </c>
      <c r="F364" s="8">
        <v>1</v>
      </c>
      <c r="G364" s="8">
        <v>0.5</v>
      </c>
      <c r="H364" s="8">
        <v>1</v>
      </c>
      <c r="I364" s="9">
        <v>43453</v>
      </c>
      <c r="J364" s="9"/>
      <c r="K364" s="10">
        <v>3</v>
      </c>
      <c r="L364" s="3"/>
      <c r="M364" s="9">
        <f t="shared" si="18"/>
        <v>43435</v>
      </c>
      <c r="N364" s="9">
        <f t="shared" si="16"/>
        <v>43525</v>
      </c>
      <c r="O364" s="29">
        <f>VLOOKUP(B364,PROYECTO!A:H,8,0)</f>
        <v>0</v>
      </c>
      <c r="P364" s="9">
        <f t="array" ref="P364">MAX(MAX(IF($B:$B=B364,$N:$N)),MAX(IF(B364=HONORARIOS!B:B,HONORARIOS!M:M)))</f>
        <v>43525</v>
      </c>
      <c r="Q364" s="29">
        <f t="shared" si="17"/>
        <v>3</v>
      </c>
    </row>
    <row r="365" spans="2:17" x14ac:dyDescent="0.25">
      <c r="B365" s="5">
        <v>1895</v>
      </c>
      <c r="C365" s="3" t="s">
        <v>59</v>
      </c>
      <c r="D365" s="29">
        <v>1503285</v>
      </c>
      <c r="E365" s="7">
        <v>2018</v>
      </c>
      <c r="F365" s="8">
        <v>1</v>
      </c>
      <c r="G365" s="8">
        <v>0.5</v>
      </c>
      <c r="H365" s="8">
        <v>1</v>
      </c>
      <c r="I365" s="9">
        <v>43453</v>
      </c>
      <c r="J365" s="9"/>
      <c r="K365" s="10">
        <v>3</v>
      </c>
      <c r="L365" s="3"/>
      <c r="M365" s="9">
        <f t="shared" si="18"/>
        <v>43435</v>
      </c>
      <c r="N365" s="9">
        <f t="shared" si="16"/>
        <v>43525</v>
      </c>
      <c r="O365" s="29">
        <f>VLOOKUP(B365,PROYECTO!A:H,8,0)</f>
        <v>0</v>
      </c>
      <c r="P365" s="9">
        <f t="array" ref="P365">MAX(MAX(IF($B:$B=B365,$N:$N)),MAX(IF(B365=HONORARIOS!B:B,HONORARIOS!M:M)))</f>
        <v>43525</v>
      </c>
      <c r="Q365" s="29">
        <f t="shared" si="17"/>
        <v>3</v>
      </c>
    </row>
    <row r="366" spans="2:17" x14ac:dyDescent="0.25">
      <c r="B366" s="5">
        <v>1846</v>
      </c>
      <c r="C366" s="3" t="s">
        <v>12</v>
      </c>
      <c r="D366" s="29">
        <v>12420000</v>
      </c>
      <c r="E366" s="7">
        <v>2018</v>
      </c>
      <c r="F366" s="8">
        <v>1</v>
      </c>
      <c r="G366" s="8">
        <v>0.5</v>
      </c>
      <c r="H366" s="8">
        <v>1</v>
      </c>
      <c r="I366" s="9">
        <v>43405</v>
      </c>
      <c r="J366" s="9"/>
      <c r="K366" s="10">
        <v>7</v>
      </c>
      <c r="L366" s="3" t="s">
        <v>279</v>
      </c>
      <c r="M366" s="9">
        <f t="shared" si="18"/>
        <v>43405</v>
      </c>
      <c r="N366" s="9">
        <f t="shared" si="16"/>
        <v>43617</v>
      </c>
      <c r="O366" s="29">
        <f>VLOOKUP(B366,PROYECTO!A:H,8,0)</f>
        <v>0</v>
      </c>
      <c r="P366" s="9">
        <f t="array" ref="P366">MAX(MAX(IF($B:$B=B366,$N:$N)),MAX(IF(B366=HONORARIOS!B:B,HONORARIOS!M:M)))</f>
        <v>43617</v>
      </c>
      <c r="Q366" s="29">
        <f t="shared" si="17"/>
        <v>7</v>
      </c>
    </row>
    <row r="367" spans="2:17" x14ac:dyDescent="0.25">
      <c r="B367" s="5">
        <v>1846</v>
      </c>
      <c r="C367" s="3" t="s">
        <v>271</v>
      </c>
      <c r="D367" s="29">
        <v>920000</v>
      </c>
      <c r="E367" s="7">
        <v>2018</v>
      </c>
      <c r="F367" s="8">
        <v>1</v>
      </c>
      <c r="G367" s="8">
        <v>0.5</v>
      </c>
      <c r="H367" s="8">
        <v>1</v>
      </c>
      <c r="I367" s="9">
        <v>43405</v>
      </c>
      <c r="J367" s="9"/>
      <c r="K367" s="10">
        <v>3</v>
      </c>
      <c r="L367" s="3" t="s">
        <v>279</v>
      </c>
      <c r="M367" s="9">
        <f t="shared" si="18"/>
        <v>43405</v>
      </c>
      <c r="N367" s="9">
        <f t="shared" si="16"/>
        <v>43497</v>
      </c>
      <c r="O367" s="29">
        <f>VLOOKUP(B367,PROYECTO!A:H,8,0)</f>
        <v>0</v>
      </c>
      <c r="P367" s="9">
        <f t="array" ref="P367">MAX(MAX(IF($B:$B=B367,$N:$N)),MAX(IF(B367=HONORARIOS!B:B,HONORARIOS!M:M)))</f>
        <v>43617</v>
      </c>
      <c r="Q367" s="29">
        <f t="shared" si="17"/>
        <v>3</v>
      </c>
    </row>
    <row r="368" spans="2:17" x14ac:dyDescent="0.25">
      <c r="B368" s="5">
        <v>1846</v>
      </c>
      <c r="C368" s="3" t="s">
        <v>272</v>
      </c>
      <c r="D368" s="29">
        <v>2400000</v>
      </c>
      <c r="E368" s="7">
        <v>2018</v>
      </c>
      <c r="F368" s="8">
        <v>1</v>
      </c>
      <c r="G368" s="8">
        <v>0.5</v>
      </c>
      <c r="H368" s="8">
        <v>1</v>
      </c>
      <c r="I368" s="9">
        <v>43405</v>
      </c>
      <c r="J368" s="9"/>
      <c r="K368" s="10">
        <v>2</v>
      </c>
      <c r="L368" s="3" t="s">
        <v>279</v>
      </c>
      <c r="M368" s="9">
        <f t="shared" si="18"/>
        <v>43405</v>
      </c>
      <c r="N368" s="9">
        <f t="shared" si="16"/>
        <v>43466</v>
      </c>
      <c r="O368" s="29">
        <f>VLOOKUP(B368,PROYECTO!A:H,8,0)</f>
        <v>0</v>
      </c>
      <c r="P368" s="9">
        <f t="array" ref="P368">MAX(MAX(IF($B:$B=B368,$N:$N)),MAX(IF(B368=HONORARIOS!B:B,HONORARIOS!M:M)))</f>
        <v>43617</v>
      </c>
      <c r="Q368" s="29">
        <f t="shared" si="17"/>
        <v>2</v>
      </c>
    </row>
    <row r="369" spans="2:17" x14ac:dyDescent="0.25">
      <c r="B369" s="5">
        <v>1846</v>
      </c>
      <c r="C369" s="3" t="s">
        <v>273</v>
      </c>
      <c r="D369" s="29">
        <v>5357411</v>
      </c>
      <c r="E369" s="7">
        <v>2018</v>
      </c>
      <c r="F369" s="8">
        <v>1</v>
      </c>
      <c r="G369" s="8">
        <v>0.5</v>
      </c>
      <c r="H369" s="8">
        <v>1</v>
      </c>
      <c r="I369" s="9">
        <v>43466</v>
      </c>
      <c r="J369" s="9"/>
      <c r="K369" s="10">
        <v>2</v>
      </c>
      <c r="L369" s="3" t="s">
        <v>279</v>
      </c>
      <c r="M369" s="9">
        <f t="shared" si="18"/>
        <v>43466</v>
      </c>
      <c r="N369" s="9">
        <f t="shared" si="16"/>
        <v>43525</v>
      </c>
      <c r="O369" s="29">
        <f>VLOOKUP(B369,PROYECTO!A:H,8,0)</f>
        <v>0</v>
      </c>
      <c r="P369" s="9">
        <f t="array" ref="P369">MAX(MAX(IF($B:$B=B369,$N:$N)),MAX(IF(B369=HONORARIOS!B:B,HONORARIOS!M:M)))</f>
        <v>43617</v>
      </c>
      <c r="Q369" s="29">
        <f t="shared" si="17"/>
        <v>2</v>
      </c>
    </row>
    <row r="370" spans="2:17" x14ac:dyDescent="0.25">
      <c r="B370" s="5">
        <v>1846</v>
      </c>
      <c r="C370" s="3" t="s">
        <v>140</v>
      </c>
      <c r="D370" s="29">
        <v>3700000</v>
      </c>
      <c r="E370" s="7">
        <v>2018</v>
      </c>
      <c r="F370" s="8">
        <v>1</v>
      </c>
      <c r="G370" s="8">
        <v>0.59</v>
      </c>
      <c r="H370" s="8">
        <v>1</v>
      </c>
      <c r="I370" s="9">
        <v>43466</v>
      </c>
      <c r="J370" s="9"/>
      <c r="K370" s="10">
        <v>2</v>
      </c>
      <c r="L370" s="3" t="s">
        <v>279</v>
      </c>
      <c r="M370" s="9">
        <f t="shared" si="18"/>
        <v>43466</v>
      </c>
      <c r="N370" s="9">
        <f t="shared" si="16"/>
        <v>43525</v>
      </c>
      <c r="O370" s="29">
        <f>VLOOKUP(B370,PROYECTO!A:H,8,0)</f>
        <v>0</v>
      </c>
      <c r="P370" s="9">
        <f t="array" ref="P370">MAX(MAX(IF($B:$B=B370,$N:$N)),MAX(IF(B370=HONORARIOS!B:B,HONORARIOS!M:M)))</f>
        <v>43617</v>
      </c>
      <c r="Q370" s="29">
        <f t="shared" si="17"/>
        <v>2</v>
      </c>
    </row>
    <row r="371" spans="2:17" x14ac:dyDescent="0.25">
      <c r="B371" s="5">
        <v>1893</v>
      </c>
      <c r="C371" s="3" t="s">
        <v>19</v>
      </c>
      <c r="D371" s="29">
        <v>11502000</v>
      </c>
      <c r="E371" s="7">
        <v>2018</v>
      </c>
      <c r="F371" s="8">
        <v>0.1</v>
      </c>
      <c r="G371" s="8">
        <v>0.62</v>
      </c>
      <c r="H371" s="8">
        <v>1</v>
      </c>
      <c r="I371" s="9">
        <v>43466</v>
      </c>
      <c r="J371" s="9"/>
      <c r="K371" s="10">
        <v>15</v>
      </c>
      <c r="L371" s="3"/>
      <c r="M371" s="9">
        <f t="shared" si="18"/>
        <v>43466</v>
      </c>
      <c r="N371" s="9">
        <f t="shared" si="16"/>
        <v>43922</v>
      </c>
      <c r="O371" s="29">
        <f>VLOOKUP(B371,PROYECTO!A:H,8,0)</f>
        <v>0</v>
      </c>
      <c r="P371" s="9">
        <f t="array" ref="P371">MAX(MAX(IF($B:$B=B371,$N:$N)),MAX(IF(B371=HONORARIOS!B:B,HONORARIOS!M:M)))</f>
        <v>43922</v>
      </c>
      <c r="Q371" s="29">
        <f t="shared" si="17"/>
        <v>15</v>
      </c>
    </row>
    <row r="372" spans="2:17" x14ac:dyDescent="0.25">
      <c r="B372" s="5">
        <v>1893</v>
      </c>
      <c r="C372" s="3" t="s">
        <v>12</v>
      </c>
      <c r="D372" s="29">
        <v>5534000</v>
      </c>
      <c r="E372" s="7">
        <v>2018</v>
      </c>
      <c r="F372" s="8">
        <v>1</v>
      </c>
      <c r="G372" s="8">
        <v>0.5</v>
      </c>
      <c r="H372" s="8">
        <v>1</v>
      </c>
      <c r="I372" s="9">
        <v>43466</v>
      </c>
      <c r="J372" s="9"/>
      <c r="K372" s="10">
        <v>15</v>
      </c>
      <c r="L372" s="3"/>
      <c r="M372" s="9">
        <f t="shared" si="18"/>
        <v>43466</v>
      </c>
      <c r="N372" s="9">
        <f t="shared" si="16"/>
        <v>43922</v>
      </c>
      <c r="O372" s="29">
        <f>VLOOKUP(B372,PROYECTO!A:H,8,0)</f>
        <v>0</v>
      </c>
      <c r="P372" s="9">
        <f t="array" ref="P372">MAX(MAX(IF($B:$B=B372,$N:$N)),MAX(IF(B372=HONORARIOS!B:B,HONORARIOS!M:M)))</f>
        <v>43922</v>
      </c>
      <c r="Q372" s="29">
        <f t="shared" si="17"/>
        <v>15</v>
      </c>
    </row>
    <row r="373" spans="2:17" x14ac:dyDescent="0.25">
      <c r="B373" s="5">
        <v>1893</v>
      </c>
      <c r="C373" s="3" t="s">
        <v>275</v>
      </c>
      <c r="D373" s="29">
        <v>3905000</v>
      </c>
      <c r="E373" s="7">
        <v>2018</v>
      </c>
      <c r="F373" s="8">
        <v>1</v>
      </c>
      <c r="G373" s="8">
        <v>0.5</v>
      </c>
      <c r="H373" s="8">
        <v>1</v>
      </c>
      <c r="I373" s="9">
        <v>43466</v>
      </c>
      <c r="J373" s="9"/>
      <c r="K373" s="10">
        <v>15</v>
      </c>
      <c r="L373" s="3"/>
      <c r="M373" s="9">
        <f t="shared" si="18"/>
        <v>43466</v>
      </c>
      <c r="N373" s="9">
        <f t="shared" si="16"/>
        <v>43922</v>
      </c>
      <c r="O373" s="29">
        <f>VLOOKUP(B373,PROYECTO!A:H,8,0)</f>
        <v>0</v>
      </c>
      <c r="P373" s="9">
        <f t="array" ref="P373">MAX(MAX(IF($B:$B=B373,$N:$N)),MAX(IF(B373=HONORARIOS!B:B,HONORARIOS!M:M)))</f>
        <v>43922</v>
      </c>
      <c r="Q373" s="29">
        <f t="shared" si="17"/>
        <v>15</v>
      </c>
    </row>
    <row r="374" spans="2:17" x14ac:dyDescent="0.25">
      <c r="B374" s="5">
        <v>1893</v>
      </c>
      <c r="C374" s="3" t="s">
        <v>229</v>
      </c>
      <c r="D374" s="29">
        <v>2139180</v>
      </c>
      <c r="E374" s="7">
        <v>2018</v>
      </c>
      <c r="F374" s="8">
        <v>1</v>
      </c>
      <c r="G374" s="8">
        <v>0.5</v>
      </c>
      <c r="H374" s="8">
        <v>1</v>
      </c>
      <c r="I374" s="9">
        <v>43466</v>
      </c>
      <c r="J374" s="9"/>
      <c r="K374" s="10">
        <v>15</v>
      </c>
      <c r="L374" s="3"/>
      <c r="M374" s="9">
        <f t="shared" si="18"/>
        <v>43466</v>
      </c>
      <c r="N374" s="9">
        <f t="shared" si="16"/>
        <v>43922</v>
      </c>
      <c r="O374" s="29">
        <f>VLOOKUP(B374,PROYECTO!A:H,8,0)</f>
        <v>0</v>
      </c>
      <c r="P374" s="9">
        <f t="array" ref="P374">MAX(MAX(IF($B:$B=B374,$N:$N)),MAX(IF(B374=HONORARIOS!B:B,HONORARIOS!M:M)))</f>
        <v>43922</v>
      </c>
      <c r="Q374" s="29">
        <f t="shared" si="17"/>
        <v>15</v>
      </c>
    </row>
    <row r="375" spans="2:17" x14ac:dyDescent="0.25">
      <c r="B375" s="5">
        <v>1893</v>
      </c>
      <c r="C375" s="3" t="s">
        <v>38</v>
      </c>
      <c r="D375" s="29">
        <v>2139180</v>
      </c>
      <c r="E375" s="7">
        <v>2018</v>
      </c>
      <c r="F375" s="8">
        <v>1</v>
      </c>
      <c r="G375" s="8">
        <v>0.59</v>
      </c>
      <c r="H375" s="8">
        <v>1</v>
      </c>
      <c r="I375" s="9">
        <v>43466</v>
      </c>
      <c r="J375" s="9"/>
      <c r="K375" s="10">
        <v>15</v>
      </c>
      <c r="L375" s="3"/>
      <c r="M375" s="9">
        <f t="shared" si="18"/>
        <v>43466</v>
      </c>
      <c r="N375" s="9">
        <f t="shared" si="16"/>
        <v>43922</v>
      </c>
      <c r="O375" s="29">
        <f>VLOOKUP(B375,PROYECTO!A:H,8,0)</f>
        <v>0</v>
      </c>
      <c r="P375" s="9">
        <f t="array" ref="P375">MAX(MAX(IF($B:$B=B375,$N:$N)),MAX(IF(B375=HONORARIOS!B:B,HONORARIOS!M:M)))</f>
        <v>43922</v>
      </c>
      <c r="Q375" s="29">
        <f t="shared" si="17"/>
        <v>15</v>
      </c>
    </row>
    <row r="376" spans="2:17" x14ac:dyDescent="0.25">
      <c r="B376" s="5">
        <v>1890</v>
      </c>
      <c r="C376" s="3" t="s">
        <v>19</v>
      </c>
      <c r="D376" s="29">
        <v>11370000</v>
      </c>
      <c r="E376" s="7">
        <v>2018</v>
      </c>
      <c r="F376" s="8">
        <v>0.2</v>
      </c>
      <c r="G376" s="8">
        <v>0.62</v>
      </c>
      <c r="H376" s="8">
        <v>1</v>
      </c>
      <c r="I376" s="9">
        <v>43466</v>
      </c>
      <c r="J376" s="9"/>
      <c r="K376" s="10">
        <v>24</v>
      </c>
      <c r="L376" s="3"/>
      <c r="M376" s="9">
        <f t="shared" si="18"/>
        <v>43466</v>
      </c>
      <c r="N376" s="9">
        <f t="shared" si="16"/>
        <v>44197</v>
      </c>
      <c r="O376" s="29">
        <f>VLOOKUP(B376,PROYECTO!A:H,8,0)</f>
        <v>0</v>
      </c>
      <c r="P376" s="9">
        <f t="array" ref="P376">MAX(MAX(IF($B:$B=B376,$N:$N)),MAX(IF(B376=HONORARIOS!B:B,HONORARIOS!M:M)))</f>
        <v>44197</v>
      </c>
      <c r="Q376" s="29">
        <f t="shared" si="17"/>
        <v>24</v>
      </c>
    </row>
    <row r="377" spans="2:17" x14ac:dyDescent="0.25">
      <c r="B377" s="5">
        <v>1890</v>
      </c>
      <c r="C377" s="3" t="s">
        <v>12</v>
      </c>
      <c r="D377" s="29">
        <v>6000000</v>
      </c>
      <c r="E377" s="7">
        <v>2018</v>
      </c>
      <c r="F377" s="8">
        <v>1</v>
      </c>
      <c r="G377" s="8">
        <v>0.5</v>
      </c>
      <c r="H377" s="8">
        <v>1</v>
      </c>
      <c r="I377" s="9">
        <v>43466</v>
      </c>
      <c r="J377" s="9"/>
      <c r="K377" s="10">
        <v>24</v>
      </c>
      <c r="L377" s="3"/>
      <c r="M377" s="9">
        <f t="shared" si="18"/>
        <v>43466</v>
      </c>
      <c r="N377" s="9">
        <f t="shared" si="16"/>
        <v>44197</v>
      </c>
      <c r="O377" s="29">
        <f>VLOOKUP(B377,PROYECTO!A:H,8,0)</f>
        <v>0</v>
      </c>
      <c r="P377" s="9">
        <f t="array" ref="P377">MAX(MAX(IF($B:$B=B377,$N:$N)),MAX(IF(B377=HONORARIOS!B:B,HONORARIOS!M:M)))</f>
        <v>44197</v>
      </c>
      <c r="Q377" s="29">
        <f t="shared" si="17"/>
        <v>24</v>
      </c>
    </row>
    <row r="378" spans="2:17" x14ac:dyDescent="0.25">
      <c r="B378" s="5">
        <v>1890</v>
      </c>
      <c r="C378" s="3" t="s">
        <v>26</v>
      </c>
      <c r="D378" s="29">
        <v>3950000</v>
      </c>
      <c r="E378" s="7">
        <v>2018</v>
      </c>
      <c r="F378" s="8">
        <v>1</v>
      </c>
      <c r="G378" s="8">
        <v>0.5</v>
      </c>
      <c r="H378" s="8">
        <v>1</v>
      </c>
      <c r="I378" s="9">
        <v>43831</v>
      </c>
      <c r="J378" s="9"/>
      <c r="K378" s="10">
        <v>10</v>
      </c>
      <c r="L378" s="3"/>
      <c r="M378" s="9">
        <f t="shared" si="18"/>
        <v>43831</v>
      </c>
      <c r="N378" s="9">
        <f t="shared" si="16"/>
        <v>44136</v>
      </c>
      <c r="O378" s="29">
        <f>VLOOKUP(B378,PROYECTO!A:H,8,0)</f>
        <v>0</v>
      </c>
      <c r="P378" s="9">
        <f t="array" ref="P378">MAX(MAX(IF($B:$B=B378,$N:$N)),MAX(IF(B378=HONORARIOS!B:B,HONORARIOS!M:M)))</f>
        <v>44197</v>
      </c>
      <c r="Q378" s="29">
        <f t="shared" si="17"/>
        <v>10</v>
      </c>
    </row>
    <row r="379" spans="2:17" x14ac:dyDescent="0.25">
      <c r="B379" s="5">
        <v>1890</v>
      </c>
      <c r="C379" s="3" t="s">
        <v>39</v>
      </c>
      <c r="D379" s="29">
        <v>2600000</v>
      </c>
      <c r="E379" s="7">
        <v>2018</v>
      </c>
      <c r="F379" s="8">
        <v>1</v>
      </c>
      <c r="G379" s="8">
        <v>0.5</v>
      </c>
      <c r="H379" s="8">
        <v>1</v>
      </c>
      <c r="I379" s="9">
        <v>43831</v>
      </c>
      <c r="J379" s="9"/>
      <c r="K379" s="10">
        <v>12</v>
      </c>
      <c r="L379" s="3"/>
      <c r="M379" s="9">
        <f t="shared" si="18"/>
        <v>43831</v>
      </c>
      <c r="N379" s="9">
        <f t="shared" si="16"/>
        <v>44197</v>
      </c>
      <c r="O379" s="29">
        <f>VLOOKUP(B379,PROYECTO!A:H,8,0)</f>
        <v>0</v>
      </c>
      <c r="P379" s="9">
        <f t="array" ref="P379">MAX(MAX(IF($B:$B=B379,$N:$N)),MAX(IF(B379=HONORARIOS!B:B,HONORARIOS!M:M)))</f>
        <v>44197</v>
      </c>
      <c r="Q379" s="29">
        <f t="shared" si="17"/>
        <v>12</v>
      </c>
    </row>
    <row r="380" spans="2:17" x14ac:dyDescent="0.25">
      <c r="B380" s="5">
        <v>1890</v>
      </c>
      <c r="C380" s="3" t="s">
        <v>97</v>
      </c>
      <c r="D380" s="29">
        <v>2400000</v>
      </c>
      <c r="E380" s="7">
        <v>2018</v>
      </c>
      <c r="F380" s="8">
        <v>1</v>
      </c>
      <c r="G380" s="8">
        <v>0.59</v>
      </c>
      <c r="H380" s="8">
        <v>1</v>
      </c>
      <c r="I380" s="9">
        <v>43497</v>
      </c>
      <c r="J380" s="9"/>
      <c r="K380" s="10">
        <v>21</v>
      </c>
      <c r="L380" s="3"/>
      <c r="M380" s="9">
        <f t="shared" si="18"/>
        <v>43497</v>
      </c>
      <c r="N380" s="9">
        <f t="shared" si="16"/>
        <v>44136</v>
      </c>
      <c r="O380" s="29">
        <f>VLOOKUP(B380,PROYECTO!A:H,8,0)</f>
        <v>0</v>
      </c>
      <c r="P380" s="9">
        <f t="array" ref="P380">MAX(MAX(IF($B:$B=B380,$N:$N)),MAX(IF(B380=HONORARIOS!B:B,HONORARIOS!M:M)))</f>
        <v>44197</v>
      </c>
      <c r="Q380" s="29">
        <f t="shared" si="17"/>
        <v>21</v>
      </c>
    </row>
    <row r="381" spans="2:17" x14ac:dyDescent="0.25">
      <c r="B381" s="5">
        <v>1890</v>
      </c>
      <c r="C381" s="3" t="s">
        <v>23</v>
      </c>
      <c r="D381" s="29">
        <v>2400000</v>
      </c>
      <c r="E381" s="7">
        <v>2018</v>
      </c>
      <c r="F381" s="8">
        <v>1</v>
      </c>
      <c r="G381" s="8">
        <v>0.59</v>
      </c>
      <c r="H381" s="8">
        <v>1</v>
      </c>
      <c r="I381" s="9">
        <v>43831</v>
      </c>
      <c r="J381" s="9"/>
      <c r="K381" s="10">
        <v>10</v>
      </c>
      <c r="L381" s="3"/>
      <c r="M381" s="9">
        <f t="shared" si="18"/>
        <v>43831</v>
      </c>
      <c r="N381" s="9">
        <f t="shared" si="16"/>
        <v>44136</v>
      </c>
      <c r="O381" s="29">
        <f>VLOOKUP(B381,PROYECTO!A:H,8,0)</f>
        <v>0</v>
      </c>
      <c r="P381" s="9">
        <f t="array" ref="P381">MAX(MAX(IF($B:$B=B381,$N:$N)),MAX(IF(B381=HONORARIOS!B:B,HONORARIOS!M:M)))</f>
        <v>44197</v>
      </c>
      <c r="Q381" s="29">
        <f t="shared" si="17"/>
        <v>10</v>
      </c>
    </row>
    <row r="382" spans="2:17" x14ac:dyDescent="0.25">
      <c r="B382" s="5">
        <v>1618</v>
      </c>
      <c r="C382" s="3" t="s">
        <v>19</v>
      </c>
      <c r="D382" s="29">
        <v>3709502.987921691</v>
      </c>
      <c r="E382" s="7">
        <v>2019</v>
      </c>
      <c r="F382" s="8">
        <v>1</v>
      </c>
      <c r="G382" s="8">
        <v>0.59</v>
      </c>
      <c r="H382" s="8">
        <v>1</v>
      </c>
      <c r="I382" s="9">
        <v>43466</v>
      </c>
      <c r="J382" s="9"/>
      <c r="K382" s="10">
        <v>1</v>
      </c>
      <c r="L382" s="3" t="s">
        <v>284</v>
      </c>
      <c r="M382" s="9">
        <f t="shared" si="18"/>
        <v>43466</v>
      </c>
      <c r="N382" s="9">
        <f t="shared" si="16"/>
        <v>43497</v>
      </c>
      <c r="O382" s="29">
        <f>VLOOKUP(B382,PROYECTO!A:H,8,0)</f>
        <v>2</v>
      </c>
      <c r="P382" s="9">
        <f t="array" ref="P382">MAX(MAX(IF($B:$B=B382,$N:$N)),MAX(IF(B382=HONORARIOS!B:B,HONORARIOS!M:M)))</f>
        <v>43525</v>
      </c>
      <c r="Q382" s="29">
        <f t="shared" si="17"/>
        <v>1</v>
      </c>
    </row>
    <row r="383" spans="2:17" x14ac:dyDescent="0.25">
      <c r="B383" s="5">
        <v>1618</v>
      </c>
      <c r="C383" s="3" t="s">
        <v>12</v>
      </c>
      <c r="D383" s="29">
        <v>7144227.4626596533</v>
      </c>
      <c r="E383" s="7">
        <v>2019</v>
      </c>
      <c r="F383" s="8">
        <v>1</v>
      </c>
      <c r="G383" s="8">
        <v>0.48</v>
      </c>
      <c r="H383" s="8">
        <v>1</v>
      </c>
      <c r="I383" s="9">
        <v>43466</v>
      </c>
      <c r="J383" s="9"/>
      <c r="K383" s="10">
        <v>2</v>
      </c>
      <c r="L383" s="3" t="s">
        <v>284</v>
      </c>
      <c r="M383" s="9">
        <f t="shared" si="18"/>
        <v>43466</v>
      </c>
      <c r="N383" s="9">
        <f t="shared" si="16"/>
        <v>43525</v>
      </c>
      <c r="O383" s="29">
        <f>VLOOKUP(B383,PROYECTO!A:H,8,0)</f>
        <v>2</v>
      </c>
      <c r="P383" s="9">
        <f t="array" ref="P383">MAX(MAX(IF($B:$B=B383,$N:$N)),MAX(IF(B383=HONORARIOS!B:B,HONORARIOS!M:M)))</f>
        <v>43525</v>
      </c>
      <c r="Q383" s="29">
        <f t="shared" si="17"/>
        <v>4</v>
      </c>
    </row>
    <row r="384" spans="2:17" x14ac:dyDescent="0.25">
      <c r="B384" s="5">
        <v>1618</v>
      </c>
      <c r="C384" s="3" t="s">
        <v>41</v>
      </c>
      <c r="D384" s="29">
        <v>5689477.4301049411</v>
      </c>
      <c r="E384" s="7">
        <v>2019</v>
      </c>
      <c r="F384" s="8">
        <v>1</v>
      </c>
      <c r="G384" s="8">
        <v>0.48</v>
      </c>
      <c r="H384" s="8">
        <v>1</v>
      </c>
      <c r="I384" s="9">
        <v>43466</v>
      </c>
      <c r="J384" s="9"/>
      <c r="K384" s="10">
        <v>1</v>
      </c>
      <c r="L384" s="3" t="s">
        <v>284</v>
      </c>
      <c r="M384" s="9">
        <f t="shared" si="18"/>
        <v>43466</v>
      </c>
      <c r="N384" s="9">
        <f t="shared" si="16"/>
        <v>43497</v>
      </c>
      <c r="O384" s="29">
        <f>VLOOKUP(B384,PROYECTO!A:H,8,0)</f>
        <v>2</v>
      </c>
      <c r="P384" s="9">
        <f t="array" ref="P384">MAX(MAX(IF($B:$B=B384,$N:$N)),MAX(IF(B384=HONORARIOS!B:B,HONORARIOS!M:M)))</f>
        <v>43525</v>
      </c>
      <c r="Q384" s="29">
        <f t="shared" si="17"/>
        <v>1</v>
      </c>
    </row>
    <row r="385" spans="2:17" x14ac:dyDescent="0.25">
      <c r="B385" s="5">
        <v>1618</v>
      </c>
      <c r="C385" s="3" t="s">
        <v>26</v>
      </c>
      <c r="D385" s="29">
        <v>4032944.9678400001</v>
      </c>
      <c r="E385" s="7">
        <v>2019</v>
      </c>
      <c r="F385" s="8">
        <v>1</v>
      </c>
      <c r="G385" s="8">
        <v>0.48</v>
      </c>
      <c r="H385" s="8">
        <v>1</v>
      </c>
      <c r="I385" s="9">
        <v>43466</v>
      </c>
      <c r="J385" s="9"/>
      <c r="K385" s="10">
        <v>1</v>
      </c>
      <c r="L385" s="3" t="s">
        <v>284</v>
      </c>
      <c r="M385" s="9">
        <f t="shared" si="18"/>
        <v>43466</v>
      </c>
      <c r="N385" s="9">
        <f t="shared" si="16"/>
        <v>43497</v>
      </c>
      <c r="O385" s="29">
        <f>VLOOKUP(B385,PROYECTO!A:H,8,0)</f>
        <v>2</v>
      </c>
      <c r="P385" s="9">
        <f t="array" ref="P385">MAX(MAX(IF($B:$B=B385,$N:$N)),MAX(IF(B385=HONORARIOS!B:B,HONORARIOS!M:M)))</f>
        <v>43525</v>
      </c>
      <c r="Q385" s="29">
        <f t="shared" si="17"/>
        <v>1</v>
      </c>
    </row>
    <row r="386" spans="2:17" x14ac:dyDescent="0.25">
      <c r="B386" s="5">
        <v>1618</v>
      </c>
      <c r="C386" s="3" t="s">
        <v>29</v>
      </c>
      <c r="D386" s="29">
        <v>1820404.372592286</v>
      </c>
      <c r="E386" s="7">
        <v>2019</v>
      </c>
      <c r="F386" s="8">
        <v>1</v>
      </c>
      <c r="G386" s="8">
        <v>0.48</v>
      </c>
      <c r="H386" s="8">
        <v>1</v>
      </c>
      <c r="I386" s="9">
        <v>43466</v>
      </c>
      <c r="J386" s="9"/>
      <c r="K386" s="10">
        <v>2</v>
      </c>
      <c r="L386" s="3" t="s">
        <v>284</v>
      </c>
      <c r="M386" s="9">
        <f t="shared" si="18"/>
        <v>43466</v>
      </c>
      <c r="N386" s="9">
        <f t="shared" si="16"/>
        <v>43525</v>
      </c>
      <c r="O386" s="29">
        <f>VLOOKUP(B386,PROYECTO!A:H,8,0)</f>
        <v>2</v>
      </c>
      <c r="P386" s="9">
        <f t="array" ref="P386">MAX(MAX(IF($B:$B=B386,$N:$N)),MAX(IF(B386=HONORARIOS!B:B,HONORARIOS!M:M)))</f>
        <v>43525</v>
      </c>
      <c r="Q386" s="29">
        <f t="shared" si="17"/>
        <v>4</v>
      </c>
    </row>
    <row r="387" spans="2:17" x14ac:dyDescent="0.25">
      <c r="B387" s="5">
        <v>1715</v>
      </c>
      <c r="C387" s="3" t="s">
        <v>19</v>
      </c>
      <c r="D387" s="29">
        <v>1847475</v>
      </c>
      <c r="E387" s="7">
        <v>2019</v>
      </c>
      <c r="F387" s="8">
        <v>1</v>
      </c>
      <c r="G387" s="8">
        <v>0.62</v>
      </c>
      <c r="H387" s="8">
        <v>1</v>
      </c>
      <c r="I387" s="9">
        <v>43466</v>
      </c>
      <c r="J387" s="9"/>
      <c r="K387" s="10">
        <v>3</v>
      </c>
      <c r="L387" s="3" t="s">
        <v>276</v>
      </c>
      <c r="M387" s="9">
        <f t="shared" si="18"/>
        <v>43466</v>
      </c>
      <c r="N387" s="9">
        <f t="shared" ref="N387:N450" si="19">EDATE(M387,K387)</f>
        <v>43556</v>
      </c>
      <c r="O387" s="29">
        <f>VLOOKUP(B387,PROYECTO!A:H,8,0)</f>
        <v>1</v>
      </c>
      <c r="P387" s="9">
        <f t="array" ref="P387">MAX(MAX(IF($B:$B=B387,$N:$N)),MAX(IF(B387=HONORARIOS!B:B,HONORARIOS!M:M)))</f>
        <v>43556</v>
      </c>
      <c r="Q387" s="29">
        <f t="shared" ref="Q387:Q450" si="20">IF(P387=N387,K387+O387,K387)</f>
        <v>4</v>
      </c>
    </row>
    <row r="388" spans="2:17" x14ac:dyDescent="0.25">
      <c r="B388" s="5">
        <v>1715</v>
      </c>
      <c r="C388" s="3" t="s">
        <v>12</v>
      </c>
      <c r="D388" s="29">
        <v>1890000</v>
      </c>
      <c r="E388" s="7">
        <v>2019</v>
      </c>
      <c r="F388" s="8">
        <v>1</v>
      </c>
      <c r="G388" s="8">
        <v>0.5</v>
      </c>
      <c r="H388" s="8">
        <v>1</v>
      </c>
      <c r="I388" s="9">
        <v>43466</v>
      </c>
      <c r="J388" s="9"/>
      <c r="K388" s="10">
        <v>3</v>
      </c>
      <c r="L388" s="3" t="s">
        <v>276</v>
      </c>
      <c r="M388" s="9">
        <f t="shared" si="18"/>
        <v>43466</v>
      </c>
      <c r="N388" s="9">
        <f t="shared" si="19"/>
        <v>43556</v>
      </c>
      <c r="O388" s="29">
        <f>VLOOKUP(B388,PROYECTO!A:H,8,0)</f>
        <v>1</v>
      </c>
      <c r="P388" s="9">
        <f t="array" ref="P388">MAX(MAX(IF($B:$B=B388,$N:$N)),MAX(IF(B388=HONORARIOS!B:B,HONORARIOS!M:M)))</f>
        <v>43556</v>
      </c>
      <c r="Q388" s="29">
        <f t="shared" si="20"/>
        <v>4</v>
      </c>
    </row>
    <row r="389" spans="2:17" x14ac:dyDescent="0.25">
      <c r="B389" s="5">
        <v>1715</v>
      </c>
      <c r="C389" s="3" t="s">
        <v>39</v>
      </c>
      <c r="D389" s="29">
        <v>819000</v>
      </c>
      <c r="E389" s="7">
        <v>2019</v>
      </c>
      <c r="F389" s="8">
        <v>1</v>
      </c>
      <c r="G389" s="8">
        <v>0.5</v>
      </c>
      <c r="H389" s="8">
        <v>1</v>
      </c>
      <c r="I389" s="9">
        <v>43466</v>
      </c>
      <c r="J389" s="9"/>
      <c r="K389" s="10">
        <v>3</v>
      </c>
      <c r="L389" s="3" t="s">
        <v>276</v>
      </c>
      <c r="M389" s="9">
        <f t="shared" si="18"/>
        <v>43466</v>
      </c>
      <c r="N389" s="9">
        <f t="shared" si="19"/>
        <v>43556</v>
      </c>
      <c r="O389" s="29">
        <f>VLOOKUP(B389,PROYECTO!A:H,8,0)</f>
        <v>1</v>
      </c>
      <c r="P389" s="9">
        <f t="array" ref="P389">MAX(MAX(IF($B:$B=B389,$N:$N)),MAX(IF(B389=HONORARIOS!B:B,HONORARIOS!M:M)))</f>
        <v>43556</v>
      </c>
      <c r="Q389" s="29">
        <f t="shared" si="20"/>
        <v>4</v>
      </c>
    </row>
    <row r="390" spans="2:17" x14ac:dyDescent="0.25">
      <c r="B390" s="5">
        <v>1715</v>
      </c>
      <c r="C390" s="3" t="s">
        <v>16</v>
      </c>
      <c r="D390" s="29">
        <v>787500</v>
      </c>
      <c r="E390" s="7">
        <v>2019</v>
      </c>
      <c r="F390" s="8">
        <v>1</v>
      </c>
      <c r="G390" s="8">
        <v>0.5</v>
      </c>
      <c r="H390" s="8">
        <v>1</v>
      </c>
      <c r="I390" s="9">
        <v>43466</v>
      </c>
      <c r="J390" s="9"/>
      <c r="K390" s="10">
        <v>3</v>
      </c>
      <c r="L390" s="3" t="s">
        <v>276</v>
      </c>
      <c r="M390" s="9">
        <f t="shared" si="18"/>
        <v>43466</v>
      </c>
      <c r="N390" s="9">
        <f t="shared" si="19"/>
        <v>43556</v>
      </c>
      <c r="O390" s="29">
        <f>VLOOKUP(B390,PROYECTO!A:H,8,0)</f>
        <v>1</v>
      </c>
      <c r="P390" s="9">
        <f t="array" ref="P390">MAX(MAX(IF($B:$B=B390,$N:$N)),MAX(IF(B390=HONORARIOS!B:B,HONORARIOS!M:M)))</f>
        <v>43556</v>
      </c>
      <c r="Q390" s="29">
        <f t="shared" si="20"/>
        <v>4</v>
      </c>
    </row>
    <row r="391" spans="2:17" x14ac:dyDescent="0.25">
      <c r="B391" s="5">
        <v>1715</v>
      </c>
      <c r="C391" s="3" t="s">
        <v>19</v>
      </c>
      <c r="D391" s="29">
        <v>1539562.5</v>
      </c>
      <c r="E391" s="7">
        <v>2019</v>
      </c>
      <c r="F391" s="8">
        <v>1</v>
      </c>
      <c r="G391" s="8">
        <v>0.62</v>
      </c>
      <c r="H391" s="8">
        <v>1</v>
      </c>
      <c r="I391" s="9">
        <v>43466</v>
      </c>
      <c r="J391" s="9"/>
      <c r="K391" s="10">
        <v>3</v>
      </c>
      <c r="L391" s="3" t="s">
        <v>276</v>
      </c>
      <c r="M391" s="9">
        <f t="shared" si="18"/>
        <v>43466</v>
      </c>
      <c r="N391" s="9">
        <f t="shared" si="19"/>
        <v>43556</v>
      </c>
      <c r="O391" s="29">
        <f>VLOOKUP(B391,PROYECTO!A:H,8,0)</f>
        <v>1</v>
      </c>
      <c r="P391" s="9">
        <f t="array" ref="P391">MAX(MAX(IF($B:$B=B391,$N:$N)),MAX(IF(B391=HONORARIOS!B:B,HONORARIOS!M:M)))</f>
        <v>43556</v>
      </c>
      <c r="Q391" s="29">
        <f t="shared" si="20"/>
        <v>4</v>
      </c>
    </row>
    <row r="392" spans="2:17" x14ac:dyDescent="0.25">
      <c r="B392" s="5">
        <v>1715</v>
      </c>
      <c r="C392" s="3" t="s">
        <v>12</v>
      </c>
      <c r="D392" s="29">
        <v>1575000</v>
      </c>
      <c r="E392" s="7">
        <v>2019</v>
      </c>
      <c r="F392" s="8">
        <v>1</v>
      </c>
      <c r="G392" s="8">
        <v>0.5</v>
      </c>
      <c r="H392" s="8">
        <v>1</v>
      </c>
      <c r="I392" s="9">
        <v>43466</v>
      </c>
      <c r="J392" s="9"/>
      <c r="K392" s="10">
        <v>3</v>
      </c>
      <c r="L392" s="3" t="s">
        <v>276</v>
      </c>
      <c r="M392" s="9">
        <f t="shared" si="18"/>
        <v>43466</v>
      </c>
      <c r="N392" s="9">
        <f t="shared" si="19"/>
        <v>43556</v>
      </c>
      <c r="O392" s="29">
        <f>VLOOKUP(B392,PROYECTO!A:H,8,0)</f>
        <v>1</v>
      </c>
      <c r="P392" s="9">
        <f t="array" ref="P392">MAX(MAX(IF($B:$B=B392,$N:$N)),MAX(IF(B392=HONORARIOS!B:B,HONORARIOS!M:M)))</f>
        <v>43556</v>
      </c>
      <c r="Q392" s="29">
        <f t="shared" si="20"/>
        <v>4</v>
      </c>
    </row>
    <row r="393" spans="2:17" x14ac:dyDescent="0.25">
      <c r="B393" s="5">
        <v>1715</v>
      </c>
      <c r="C393" s="3" t="s">
        <v>39</v>
      </c>
      <c r="D393" s="29">
        <v>682500</v>
      </c>
      <c r="E393" s="7">
        <v>2019</v>
      </c>
      <c r="F393" s="8">
        <v>1</v>
      </c>
      <c r="G393" s="8">
        <v>0.5</v>
      </c>
      <c r="H393" s="8">
        <v>1</v>
      </c>
      <c r="I393" s="9">
        <v>43466</v>
      </c>
      <c r="J393" s="9"/>
      <c r="K393" s="10">
        <v>3</v>
      </c>
      <c r="L393" s="3" t="s">
        <v>276</v>
      </c>
      <c r="M393" s="9">
        <f t="shared" si="18"/>
        <v>43466</v>
      </c>
      <c r="N393" s="9">
        <f t="shared" si="19"/>
        <v>43556</v>
      </c>
      <c r="O393" s="29">
        <f>VLOOKUP(B393,PROYECTO!A:H,8,0)</f>
        <v>1</v>
      </c>
      <c r="P393" s="9">
        <f t="array" ref="P393">MAX(MAX(IF($B:$B=B393,$N:$N)),MAX(IF(B393=HONORARIOS!B:B,HONORARIOS!M:M)))</f>
        <v>43556</v>
      </c>
      <c r="Q393" s="29">
        <f t="shared" si="20"/>
        <v>4</v>
      </c>
    </row>
    <row r="394" spans="2:17" x14ac:dyDescent="0.25">
      <c r="B394" s="5">
        <v>1715</v>
      </c>
      <c r="C394" s="3" t="s">
        <v>29</v>
      </c>
      <c r="D394" s="29">
        <v>472500</v>
      </c>
      <c r="E394" s="7">
        <v>2019</v>
      </c>
      <c r="F394" s="8">
        <v>1</v>
      </c>
      <c r="G394" s="8">
        <v>0.5</v>
      </c>
      <c r="H394" s="8">
        <v>1</v>
      </c>
      <c r="I394" s="9">
        <v>43466</v>
      </c>
      <c r="J394" s="9"/>
      <c r="K394" s="10">
        <v>3</v>
      </c>
      <c r="L394" s="3" t="s">
        <v>276</v>
      </c>
      <c r="M394" s="9">
        <f t="shared" si="18"/>
        <v>43466</v>
      </c>
      <c r="N394" s="9">
        <f t="shared" si="19"/>
        <v>43556</v>
      </c>
      <c r="O394" s="29">
        <f>VLOOKUP(B394,PROYECTO!A:H,8,0)</f>
        <v>1</v>
      </c>
      <c r="P394" s="9">
        <f t="array" ref="P394">MAX(MAX(IF($B:$B=B394,$N:$N)),MAX(IF(B394=HONORARIOS!B:B,HONORARIOS!M:M)))</f>
        <v>43556</v>
      </c>
      <c r="Q394" s="29">
        <f t="shared" si="20"/>
        <v>4</v>
      </c>
    </row>
    <row r="395" spans="2:17" x14ac:dyDescent="0.25">
      <c r="B395" s="5">
        <v>1715</v>
      </c>
      <c r="C395" s="3" t="s">
        <v>19</v>
      </c>
      <c r="D395" s="29">
        <v>923737.5</v>
      </c>
      <c r="E395" s="7">
        <v>2019</v>
      </c>
      <c r="F395" s="8">
        <v>1</v>
      </c>
      <c r="G395" s="8">
        <v>0.62</v>
      </c>
      <c r="H395" s="8">
        <v>1</v>
      </c>
      <c r="I395" s="9">
        <v>43466</v>
      </c>
      <c r="J395" s="9"/>
      <c r="K395" s="10">
        <v>3</v>
      </c>
      <c r="L395" s="3" t="s">
        <v>276</v>
      </c>
      <c r="M395" s="9">
        <f t="shared" si="18"/>
        <v>43466</v>
      </c>
      <c r="N395" s="9">
        <f t="shared" si="19"/>
        <v>43556</v>
      </c>
      <c r="O395" s="29">
        <f>VLOOKUP(B395,PROYECTO!A:H,8,0)</f>
        <v>1</v>
      </c>
      <c r="P395" s="9">
        <f t="array" ref="P395">MAX(MAX(IF($B:$B=B395,$N:$N)),MAX(IF(B395=HONORARIOS!B:B,HONORARIOS!M:M)))</f>
        <v>43556</v>
      </c>
      <c r="Q395" s="29">
        <f t="shared" si="20"/>
        <v>4</v>
      </c>
    </row>
    <row r="396" spans="2:17" x14ac:dyDescent="0.25">
      <c r="B396" s="5">
        <v>1715</v>
      </c>
      <c r="C396" s="3" t="s">
        <v>12</v>
      </c>
      <c r="D396" s="29">
        <v>630000</v>
      </c>
      <c r="E396" s="7">
        <v>2019</v>
      </c>
      <c r="F396" s="8">
        <v>1</v>
      </c>
      <c r="G396" s="8">
        <v>0.5</v>
      </c>
      <c r="H396" s="8">
        <v>1</v>
      </c>
      <c r="I396" s="9">
        <v>43466</v>
      </c>
      <c r="J396" s="9"/>
      <c r="K396" s="10">
        <v>3</v>
      </c>
      <c r="L396" s="3" t="s">
        <v>276</v>
      </c>
      <c r="M396" s="9">
        <f t="shared" si="18"/>
        <v>43466</v>
      </c>
      <c r="N396" s="9">
        <f t="shared" si="19"/>
        <v>43556</v>
      </c>
      <c r="O396" s="29">
        <f>VLOOKUP(B396,PROYECTO!A:H,8,0)</f>
        <v>1</v>
      </c>
      <c r="P396" s="9">
        <f t="array" ref="P396">MAX(MAX(IF($B:$B=B396,$N:$N)),MAX(IF(B396=HONORARIOS!B:B,HONORARIOS!M:M)))</f>
        <v>43556</v>
      </c>
      <c r="Q396" s="29">
        <f t="shared" si="20"/>
        <v>4</v>
      </c>
    </row>
    <row r="397" spans="2:17" x14ac:dyDescent="0.25">
      <c r="B397" s="5">
        <v>1715</v>
      </c>
      <c r="C397" s="3" t="s">
        <v>39</v>
      </c>
      <c r="D397" s="29">
        <v>273000</v>
      </c>
      <c r="E397" s="7">
        <v>2019</v>
      </c>
      <c r="F397" s="8">
        <v>1</v>
      </c>
      <c r="G397" s="8">
        <v>0.5</v>
      </c>
      <c r="H397" s="8">
        <v>1</v>
      </c>
      <c r="I397" s="9">
        <v>43466</v>
      </c>
      <c r="J397" s="9"/>
      <c r="K397" s="10">
        <v>3</v>
      </c>
      <c r="L397" s="3" t="s">
        <v>276</v>
      </c>
      <c r="M397" s="9">
        <f t="shared" si="18"/>
        <v>43466</v>
      </c>
      <c r="N397" s="9">
        <f t="shared" si="19"/>
        <v>43556</v>
      </c>
      <c r="O397" s="29">
        <f>VLOOKUP(B397,PROYECTO!A:H,8,0)</f>
        <v>1</v>
      </c>
      <c r="P397" s="9">
        <f t="array" ref="P397">MAX(MAX(IF($B:$B=B397,$N:$N)),MAX(IF(B397=HONORARIOS!B:B,HONORARIOS!M:M)))</f>
        <v>43556</v>
      </c>
      <c r="Q397" s="29">
        <f t="shared" si="20"/>
        <v>4</v>
      </c>
    </row>
    <row r="398" spans="2:17" x14ac:dyDescent="0.25">
      <c r="B398" s="5">
        <v>1715</v>
      </c>
      <c r="C398" s="3" t="s">
        <v>277</v>
      </c>
      <c r="D398" s="29">
        <v>157500</v>
      </c>
      <c r="E398" s="7">
        <v>2019</v>
      </c>
      <c r="F398" s="8">
        <v>1</v>
      </c>
      <c r="G398" s="8">
        <v>0.5</v>
      </c>
      <c r="H398" s="8">
        <v>1</v>
      </c>
      <c r="I398" s="9">
        <v>43466</v>
      </c>
      <c r="J398" s="9"/>
      <c r="K398" s="10">
        <v>3</v>
      </c>
      <c r="L398" s="3" t="s">
        <v>276</v>
      </c>
      <c r="M398" s="9">
        <f t="shared" si="18"/>
        <v>43466</v>
      </c>
      <c r="N398" s="9">
        <f t="shared" si="19"/>
        <v>43556</v>
      </c>
      <c r="O398" s="29">
        <f>VLOOKUP(B398,PROYECTO!A:H,8,0)</f>
        <v>1</v>
      </c>
      <c r="P398" s="9">
        <f t="array" ref="P398">MAX(MAX(IF($B:$B=B398,$N:$N)),MAX(IF(B398=HONORARIOS!B:B,HONORARIOS!M:M)))</f>
        <v>43556</v>
      </c>
      <c r="Q398" s="29">
        <f t="shared" si="20"/>
        <v>4</v>
      </c>
    </row>
    <row r="399" spans="2:17" x14ac:dyDescent="0.25">
      <c r="B399" s="5">
        <v>1715</v>
      </c>
      <c r="C399" s="3" t="s">
        <v>19</v>
      </c>
      <c r="D399" s="29">
        <v>923737.5</v>
      </c>
      <c r="E399" s="7">
        <v>2019</v>
      </c>
      <c r="F399" s="8">
        <v>1</v>
      </c>
      <c r="G399" s="8">
        <v>0.62</v>
      </c>
      <c r="H399" s="8">
        <v>1</v>
      </c>
      <c r="I399" s="9">
        <v>43466</v>
      </c>
      <c r="J399" s="9"/>
      <c r="K399" s="10">
        <v>3</v>
      </c>
      <c r="L399" s="3" t="s">
        <v>276</v>
      </c>
      <c r="M399" s="9">
        <f t="shared" si="18"/>
        <v>43466</v>
      </c>
      <c r="N399" s="9">
        <f t="shared" si="19"/>
        <v>43556</v>
      </c>
      <c r="O399" s="29">
        <f>VLOOKUP(B399,PROYECTO!A:H,8,0)</f>
        <v>1</v>
      </c>
      <c r="P399" s="9">
        <f t="array" ref="P399">MAX(MAX(IF($B:$B=B399,$N:$N)),MAX(IF(B399=HONORARIOS!B:B,HONORARIOS!M:M)))</f>
        <v>43556</v>
      </c>
      <c r="Q399" s="29">
        <f t="shared" si="20"/>
        <v>4</v>
      </c>
    </row>
    <row r="400" spans="2:17" x14ac:dyDescent="0.25">
      <c r="B400" s="5">
        <v>1715</v>
      </c>
      <c r="C400" s="3" t="s">
        <v>12</v>
      </c>
      <c r="D400" s="29">
        <v>1260000</v>
      </c>
      <c r="E400" s="7">
        <v>2019</v>
      </c>
      <c r="F400" s="8">
        <v>1</v>
      </c>
      <c r="G400" s="8">
        <v>0.5</v>
      </c>
      <c r="H400" s="8">
        <v>1</v>
      </c>
      <c r="I400" s="9">
        <v>43466</v>
      </c>
      <c r="J400" s="9"/>
      <c r="K400" s="10">
        <v>3</v>
      </c>
      <c r="L400" s="3" t="s">
        <v>276</v>
      </c>
      <c r="M400" s="9">
        <f t="shared" ref="M400:M405" si="21">(MONTH(I400)&amp;"-"&amp;YEAR(I400))*1</f>
        <v>43466</v>
      </c>
      <c r="N400" s="9">
        <f t="shared" si="19"/>
        <v>43556</v>
      </c>
      <c r="O400" s="29">
        <f>VLOOKUP(B400,PROYECTO!A:H,8,0)</f>
        <v>1</v>
      </c>
      <c r="P400" s="9">
        <f t="array" ref="P400">MAX(MAX(IF($B:$B=B400,$N:$N)),MAX(IF(B400=HONORARIOS!B:B,HONORARIOS!M:M)))</f>
        <v>43556</v>
      </c>
      <c r="Q400" s="29">
        <f t="shared" si="20"/>
        <v>4</v>
      </c>
    </row>
    <row r="401" spans="2:17" x14ac:dyDescent="0.25">
      <c r="B401" s="5">
        <v>1715</v>
      </c>
      <c r="C401" s="3" t="s">
        <v>39</v>
      </c>
      <c r="D401" s="29">
        <v>546000</v>
      </c>
      <c r="E401" s="7">
        <v>2019</v>
      </c>
      <c r="F401" s="8">
        <v>1</v>
      </c>
      <c r="G401" s="8">
        <v>0.5</v>
      </c>
      <c r="H401" s="8">
        <v>1</v>
      </c>
      <c r="I401" s="9">
        <v>43466</v>
      </c>
      <c r="J401" s="9"/>
      <c r="K401" s="10">
        <v>3</v>
      </c>
      <c r="L401" s="3" t="s">
        <v>276</v>
      </c>
      <c r="M401" s="9">
        <f t="shared" si="21"/>
        <v>43466</v>
      </c>
      <c r="N401" s="9">
        <f t="shared" si="19"/>
        <v>43556</v>
      </c>
      <c r="O401" s="29">
        <f>VLOOKUP(B401,PROYECTO!A:H,8,0)</f>
        <v>1</v>
      </c>
      <c r="P401" s="9">
        <f t="array" ref="P401">MAX(MAX(IF($B:$B=B401,$N:$N)),MAX(IF(B401=HONORARIOS!B:B,HONORARIOS!M:M)))</f>
        <v>43556</v>
      </c>
      <c r="Q401" s="29">
        <f t="shared" si="20"/>
        <v>4</v>
      </c>
    </row>
    <row r="402" spans="2:17" x14ac:dyDescent="0.25">
      <c r="B402" s="5">
        <v>1715</v>
      </c>
      <c r="C402" s="3" t="s">
        <v>91</v>
      </c>
      <c r="D402" s="29">
        <v>294000</v>
      </c>
      <c r="E402" s="7">
        <v>2019</v>
      </c>
      <c r="F402" s="8">
        <v>1</v>
      </c>
      <c r="G402" s="8">
        <v>0.5</v>
      </c>
      <c r="H402" s="8">
        <v>1</v>
      </c>
      <c r="I402" s="9">
        <v>43466</v>
      </c>
      <c r="J402" s="9"/>
      <c r="K402" s="10">
        <v>3</v>
      </c>
      <c r="L402" s="3" t="s">
        <v>276</v>
      </c>
      <c r="M402" s="9">
        <f t="shared" si="21"/>
        <v>43466</v>
      </c>
      <c r="N402" s="9">
        <f t="shared" si="19"/>
        <v>43556</v>
      </c>
      <c r="O402" s="29">
        <f>VLOOKUP(B402,PROYECTO!A:H,8,0)</f>
        <v>1</v>
      </c>
      <c r="P402" s="9">
        <f t="array" ref="P402">MAX(MAX(IF($B:$B=B402,$N:$N)),MAX(IF(B402=HONORARIOS!B:B,HONORARIOS!M:M)))</f>
        <v>43556</v>
      </c>
      <c r="Q402" s="29">
        <f t="shared" si="20"/>
        <v>4</v>
      </c>
    </row>
    <row r="403" spans="2:17" x14ac:dyDescent="0.25">
      <c r="B403" s="5">
        <v>1715</v>
      </c>
      <c r="C403" s="3" t="s">
        <v>29</v>
      </c>
      <c r="D403" s="29">
        <v>236250</v>
      </c>
      <c r="E403" s="7">
        <v>2019</v>
      </c>
      <c r="F403" s="8">
        <v>1</v>
      </c>
      <c r="G403" s="8">
        <v>0.5</v>
      </c>
      <c r="H403" s="8">
        <v>1</v>
      </c>
      <c r="I403" s="9">
        <v>43466</v>
      </c>
      <c r="J403" s="9"/>
      <c r="K403" s="10">
        <v>3</v>
      </c>
      <c r="L403" s="3" t="s">
        <v>276</v>
      </c>
      <c r="M403" s="9">
        <f t="shared" si="21"/>
        <v>43466</v>
      </c>
      <c r="N403" s="9">
        <f t="shared" si="19"/>
        <v>43556</v>
      </c>
      <c r="O403" s="29">
        <f>VLOOKUP(B403,PROYECTO!A:H,8,0)</f>
        <v>1</v>
      </c>
      <c r="P403" s="9">
        <f t="array" ref="P403">MAX(MAX(IF($B:$B=B403,$N:$N)),MAX(IF(B403=HONORARIOS!B:B,HONORARIOS!M:M)))</f>
        <v>43556</v>
      </c>
      <c r="Q403" s="29">
        <f t="shared" si="20"/>
        <v>4</v>
      </c>
    </row>
    <row r="404" spans="2:17" x14ac:dyDescent="0.25">
      <c r="B404" s="5">
        <v>1715</v>
      </c>
      <c r="C404" s="3" t="s">
        <v>19</v>
      </c>
      <c r="D404" s="29">
        <v>923737.5</v>
      </c>
      <c r="E404" s="7">
        <v>2019</v>
      </c>
      <c r="F404" s="8">
        <v>1</v>
      </c>
      <c r="G404" s="8">
        <v>0.62</v>
      </c>
      <c r="H404" s="8">
        <v>1</v>
      </c>
      <c r="I404" s="9">
        <v>43466</v>
      </c>
      <c r="J404" s="9"/>
      <c r="K404" s="10">
        <v>3</v>
      </c>
      <c r="L404" s="3" t="s">
        <v>276</v>
      </c>
      <c r="M404" s="9">
        <f t="shared" si="21"/>
        <v>43466</v>
      </c>
      <c r="N404" s="9">
        <f t="shared" si="19"/>
        <v>43556</v>
      </c>
      <c r="O404" s="29">
        <f>VLOOKUP(B404,PROYECTO!A:H,8,0)</f>
        <v>1</v>
      </c>
      <c r="P404" s="9">
        <f t="array" ref="P404">MAX(MAX(IF($B:$B=B404,$N:$N)),MAX(IF(B404=HONORARIOS!B:B,HONORARIOS!M:M)))</f>
        <v>43556</v>
      </c>
      <c r="Q404" s="29">
        <f t="shared" si="20"/>
        <v>4</v>
      </c>
    </row>
    <row r="405" spans="2:17" x14ac:dyDescent="0.25">
      <c r="B405" s="5">
        <v>1715</v>
      </c>
      <c r="C405" s="3" t="s">
        <v>12</v>
      </c>
      <c r="D405" s="29">
        <v>945000</v>
      </c>
      <c r="E405" s="7">
        <v>2019</v>
      </c>
      <c r="F405" s="8">
        <v>1</v>
      </c>
      <c r="G405" s="8">
        <v>0.5</v>
      </c>
      <c r="H405" s="8">
        <v>1</v>
      </c>
      <c r="I405" s="9">
        <v>43466</v>
      </c>
      <c r="J405" s="9"/>
      <c r="K405" s="10">
        <v>3</v>
      </c>
      <c r="L405" s="3" t="s">
        <v>276</v>
      </c>
      <c r="M405" s="9">
        <f t="shared" si="21"/>
        <v>43466</v>
      </c>
      <c r="N405" s="9">
        <f t="shared" si="19"/>
        <v>43556</v>
      </c>
      <c r="O405" s="29">
        <f>VLOOKUP(B405,PROYECTO!A:H,8,0)</f>
        <v>1</v>
      </c>
      <c r="P405" s="9">
        <f t="array" ref="P405">MAX(MAX(IF($B:$B=B405,$N:$N)),MAX(IF(B405=HONORARIOS!B:B,HONORARIOS!M:M)))</f>
        <v>43556</v>
      </c>
      <c r="Q405" s="29">
        <f t="shared" si="20"/>
        <v>4</v>
      </c>
    </row>
    <row r="406" spans="2:17" x14ac:dyDescent="0.25">
      <c r="B406" s="5">
        <v>1715</v>
      </c>
      <c r="C406" s="3" t="s">
        <v>39</v>
      </c>
      <c r="D406" s="29">
        <v>409500</v>
      </c>
      <c r="E406" s="7">
        <v>2019</v>
      </c>
      <c r="F406" s="8">
        <v>1</v>
      </c>
      <c r="G406" s="8">
        <v>0.5</v>
      </c>
      <c r="H406" s="8">
        <v>1</v>
      </c>
      <c r="I406" s="9">
        <v>43466</v>
      </c>
      <c r="J406" s="9"/>
      <c r="K406" s="10">
        <v>3</v>
      </c>
      <c r="L406" s="3" t="s">
        <v>276</v>
      </c>
      <c r="M406" s="9">
        <f>(MONTH(I406)&amp;"-"&amp;YEAR(I406))*1</f>
        <v>43466</v>
      </c>
      <c r="N406" s="9">
        <f t="shared" si="19"/>
        <v>43556</v>
      </c>
      <c r="O406" s="29">
        <f>VLOOKUP(B406,PROYECTO!A:H,8,0)</f>
        <v>1</v>
      </c>
      <c r="P406" s="9">
        <f t="array" ref="P406">MAX(MAX(IF($B:$B=B406,$N:$N)),MAX(IF(B406=HONORARIOS!B:B,HONORARIOS!M:M)))</f>
        <v>43556</v>
      </c>
      <c r="Q406" s="29">
        <f t="shared" si="20"/>
        <v>4</v>
      </c>
    </row>
    <row r="407" spans="2:17" x14ac:dyDescent="0.25">
      <c r="B407" s="5">
        <v>1837</v>
      </c>
      <c r="C407" s="3" t="s">
        <v>290</v>
      </c>
      <c r="D407" s="29">
        <v>10455000</v>
      </c>
      <c r="E407" s="7">
        <v>2018</v>
      </c>
      <c r="F407" s="8">
        <v>0.1</v>
      </c>
      <c r="G407" s="8">
        <v>0.62</v>
      </c>
      <c r="H407" s="8">
        <v>1</v>
      </c>
      <c r="I407" s="9">
        <v>43467</v>
      </c>
      <c r="J407" s="9"/>
      <c r="K407" s="10">
        <v>12</v>
      </c>
      <c r="L407" s="3" t="s">
        <v>291</v>
      </c>
      <c r="M407" s="9">
        <f>(MONTH(I407)&amp;"-"&amp;YEAR(I407))*1</f>
        <v>43466</v>
      </c>
      <c r="N407" s="9">
        <f t="shared" si="19"/>
        <v>43831</v>
      </c>
      <c r="O407" s="29">
        <f>VLOOKUP(B407,PROYECTO!A:H,8,0)</f>
        <v>5</v>
      </c>
      <c r="P407" s="9">
        <f t="array" ref="P407">MAX(MAX(IF($B:$B=B407,$N:$N)),MAX(IF(B407=HONORARIOS!B:B,HONORARIOS!M:M)))</f>
        <v>43832</v>
      </c>
      <c r="Q407" s="29">
        <f t="shared" si="20"/>
        <v>12</v>
      </c>
    </row>
    <row r="408" spans="2:17" x14ac:dyDescent="0.25">
      <c r="B408" s="5">
        <v>1837</v>
      </c>
      <c r="C408" s="3" t="s">
        <v>122</v>
      </c>
      <c r="D408" s="29">
        <v>4715000</v>
      </c>
      <c r="E408" s="7">
        <v>2018</v>
      </c>
      <c r="F408" s="8">
        <v>1</v>
      </c>
      <c r="G408" s="8">
        <v>0.5</v>
      </c>
      <c r="H408" s="8">
        <v>1</v>
      </c>
      <c r="I408" s="9">
        <v>43467</v>
      </c>
      <c r="J408" s="9"/>
      <c r="K408" s="10">
        <v>12</v>
      </c>
      <c r="L408" s="3" t="s">
        <v>291</v>
      </c>
      <c r="M408" s="9">
        <f>(MONTH(I408)&amp;"-"&amp;YEAR(I408))*1</f>
        <v>43466</v>
      </c>
      <c r="N408" s="9">
        <f t="shared" si="19"/>
        <v>43831</v>
      </c>
      <c r="O408" s="29">
        <f>VLOOKUP(B408,PROYECTO!A:H,8,0)</f>
        <v>5</v>
      </c>
      <c r="P408" s="9">
        <f t="array" ref="P408">MAX(MAX(IF($B:$B=B408,$N:$N)),MAX(IF(B408=HONORARIOS!B:B,HONORARIOS!M:M)))</f>
        <v>43832</v>
      </c>
      <c r="Q408" s="29">
        <f t="shared" si="20"/>
        <v>12</v>
      </c>
    </row>
    <row r="409" spans="2:17" x14ac:dyDescent="0.25">
      <c r="B409" s="5">
        <v>1837</v>
      </c>
      <c r="C409" s="3" t="s">
        <v>164</v>
      </c>
      <c r="D409" s="29">
        <v>6121250</v>
      </c>
      <c r="E409" s="7">
        <v>2018</v>
      </c>
      <c r="F409" s="8">
        <v>0.1</v>
      </c>
      <c r="G409" s="8">
        <v>0.5</v>
      </c>
      <c r="H409" s="8">
        <v>1</v>
      </c>
      <c r="I409" s="9">
        <v>43467</v>
      </c>
      <c r="J409" s="9"/>
      <c r="K409" s="10">
        <v>3</v>
      </c>
      <c r="L409" s="3" t="s">
        <v>291</v>
      </c>
      <c r="M409" s="9">
        <f>(MONTH(I409)&amp;"-"&amp;YEAR(I409))*1</f>
        <v>43466</v>
      </c>
      <c r="N409" s="9">
        <f t="shared" si="19"/>
        <v>43556</v>
      </c>
      <c r="O409" s="29">
        <f>VLOOKUP(B409,PROYECTO!A:H,8,0)</f>
        <v>5</v>
      </c>
      <c r="P409" s="9">
        <f t="array" ref="P409">MAX(MAX(IF($B:$B=B409,$N:$N)),MAX(IF(B409=HONORARIOS!B:B,HONORARIOS!M:M)))</f>
        <v>43832</v>
      </c>
      <c r="Q409" s="29">
        <f t="shared" si="20"/>
        <v>3</v>
      </c>
    </row>
    <row r="410" spans="2:17" x14ac:dyDescent="0.25">
      <c r="B410" s="5">
        <v>1837</v>
      </c>
      <c r="C410" s="3" t="s">
        <v>135</v>
      </c>
      <c r="D410" s="29">
        <v>2255000</v>
      </c>
      <c r="E410" s="7">
        <v>2018</v>
      </c>
      <c r="F410" s="8">
        <v>1</v>
      </c>
      <c r="G410" s="8">
        <v>0.59</v>
      </c>
      <c r="H410" s="8">
        <v>1</v>
      </c>
      <c r="I410" s="9">
        <v>43467</v>
      </c>
      <c r="J410" s="9"/>
      <c r="K410" s="10">
        <v>12</v>
      </c>
      <c r="L410" s="3" t="s">
        <v>291</v>
      </c>
      <c r="M410" s="9">
        <f t="shared" ref="M410:M436" si="22">(MONTH(I410)&amp;"-"&amp;YEAR(I410))*1</f>
        <v>43466</v>
      </c>
      <c r="N410" s="9">
        <f t="shared" si="19"/>
        <v>43831</v>
      </c>
      <c r="O410" s="29">
        <f>VLOOKUP(B410,PROYECTO!A:H,8,0)</f>
        <v>5</v>
      </c>
      <c r="P410" s="9">
        <f t="array" ref="P410">MAX(MAX(IF($B:$B=B410,$N:$N)),MAX(IF(B410=HONORARIOS!B:B,HONORARIOS!M:M)))</f>
        <v>43832</v>
      </c>
      <c r="Q410" s="29">
        <f t="shared" si="20"/>
        <v>12</v>
      </c>
    </row>
    <row r="411" spans="2:17" x14ac:dyDescent="0.25">
      <c r="B411" s="5">
        <v>1845</v>
      </c>
      <c r="C411" s="3" t="s">
        <v>19</v>
      </c>
      <c r="D411" s="29">
        <v>11786670</v>
      </c>
      <c r="E411" s="7">
        <v>2019</v>
      </c>
      <c r="F411" s="8">
        <v>0.2</v>
      </c>
      <c r="G411" s="8">
        <v>0.62</v>
      </c>
      <c r="H411" s="8">
        <v>1</v>
      </c>
      <c r="I411" s="9">
        <v>43497</v>
      </c>
      <c r="J411" s="9"/>
      <c r="K411" s="10">
        <v>10</v>
      </c>
      <c r="L411" s="3" t="s">
        <v>300</v>
      </c>
      <c r="M411" s="9">
        <f t="shared" si="22"/>
        <v>43497</v>
      </c>
      <c r="N411" s="9">
        <f t="shared" si="19"/>
        <v>43800</v>
      </c>
      <c r="O411" s="29">
        <f>VLOOKUP(B411,PROYECTO!A:H,8,0)</f>
        <v>0</v>
      </c>
      <c r="P411" s="9">
        <f t="array" ref="P411">MAX(MAX(IF($B:$B=B411,$N:$N)),MAX(IF(B411=HONORARIOS!B:B,HONORARIOS!M:M)))</f>
        <v>43800</v>
      </c>
      <c r="Q411" s="29">
        <f t="shared" si="20"/>
        <v>10</v>
      </c>
    </row>
    <row r="412" spans="2:17" x14ac:dyDescent="0.25">
      <c r="B412" s="5">
        <v>1845</v>
      </c>
      <c r="C412" s="3" t="s">
        <v>122</v>
      </c>
      <c r="D412" s="29">
        <v>4500000</v>
      </c>
      <c r="E412" s="7">
        <v>2019</v>
      </c>
      <c r="F412" s="8">
        <v>1</v>
      </c>
      <c r="G412" s="8">
        <v>0.5</v>
      </c>
      <c r="H412" s="8">
        <v>1</v>
      </c>
      <c r="I412" s="9">
        <v>43497</v>
      </c>
      <c r="J412" s="9"/>
      <c r="K412" s="10">
        <v>10</v>
      </c>
      <c r="L412" s="3" t="s">
        <v>300</v>
      </c>
      <c r="M412" s="9">
        <f t="shared" si="22"/>
        <v>43497</v>
      </c>
      <c r="N412" s="9">
        <f t="shared" si="19"/>
        <v>43800</v>
      </c>
      <c r="O412" s="29">
        <f>VLOOKUP(B412,PROYECTO!A:H,8,0)</f>
        <v>0</v>
      </c>
      <c r="P412" s="9">
        <f t="array" ref="P412">MAX(MAX(IF($B:$B=B412,$N:$N)),MAX(IF(B412=HONORARIOS!B:B,HONORARIOS!M:M)))</f>
        <v>43800</v>
      </c>
      <c r="Q412" s="29">
        <f t="shared" si="20"/>
        <v>10</v>
      </c>
    </row>
    <row r="413" spans="2:17" x14ac:dyDescent="0.25">
      <c r="B413" s="5">
        <v>1845</v>
      </c>
      <c r="C413" s="3" t="s">
        <v>29</v>
      </c>
      <c r="D413" s="29">
        <v>2615518.2000000002</v>
      </c>
      <c r="E413" s="7">
        <v>2019</v>
      </c>
      <c r="F413" s="8">
        <v>0.5</v>
      </c>
      <c r="G413" s="8">
        <v>0.5</v>
      </c>
      <c r="H413" s="8">
        <v>1</v>
      </c>
      <c r="I413" s="9">
        <v>43497</v>
      </c>
      <c r="J413" s="9"/>
      <c r="K413" s="10">
        <v>10</v>
      </c>
      <c r="L413" s="3" t="s">
        <v>300</v>
      </c>
      <c r="M413" s="9">
        <f t="shared" si="22"/>
        <v>43497</v>
      </c>
      <c r="N413" s="9">
        <f t="shared" si="19"/>
        <v>43800</v>
      </c>
      <c r="O413" s="29">
        <f>VLOOKUP(B413,PROYECTO!A:H,8,0)</f>
        <v>0</v>
      </c>
      <c r="P413" s="9">
        <f t="array" ref="P413">MAX(MAX(IF($B:$B=B413,$N:$N)),MAX(IF(B413=HONORARIOS!B:B,HONORARIOS!M:M)))</f>
        <v>43800</v>
      </c>
      <c r="Q413" s="29">
        <f t="shared" si="20"/>
        <v>10</v>
      </c>
    </row>
    <row r="414" spans="2:17" x14ac:dyDescent="0.25">
      <c r="B414" s="5">
        <v>1845</v>
      </c>
      <c r="C414" s="3" t="s">
        <v>39</v>
      </c>
      <c r="D414" s="29">
        <v>3514494.3925233632</v>
      </c>
      <c r="E414" s="7">
        <v>2019</v>
      </c>
      <c r="F414" s="8">
        <v>1</v>
      </c>
      <c r="G414" s="8">
        <v>0.5</v>
      </c>
      <c r="H414" s="8">
        <v>1</v>
      </c>
      <c r="I414" s="9">
        <v>43497</v>
      </c>
      <c r="J414" s="9"/>
      <c r="K414" s="10">
        <v>10</v>
      </c>
      <c r="L414" s="3" t="s">
        <v>300</v>
      </c>
      <c r="M414" s="9">
        <f t="shared" si="22"/>
        <v>43497</v>
      </c>
      <c r="N414" s="9">
        <f t="shared" si="19"/>
        <v>43800</v>
      </c>
      <c r="O414" s="29">
        <f>VLOOKUP(B414,PROYECTO!A:H,8,0)</f>
        <v>0</v>
      </c>
      <c r="P414" s="9">
        <f t="array" ref="P414">MAX(MAX(IF($B:$B=B414,$N:$N)),MAX(IF(B414=HONORARIOS!B:B,HONORARIOS!M:M)))</f>
        <v>43800</v>
      </c>
      <c r="Q414" s="29">
        <f t="shared" si="20"/>
        <v>10</v>
      </c>
    </row>
    <row r="415" spans="2:17" x14ac:dyDescent="0.25">
      <c r="B415" s="5">
        <v>1845</v>
      </c>
      <c r="C415" s="3" t="s">
        <v>38</v>
      </c>
      <c r="D415" s="29">
        <v>2424686.4</v>
      </c>
      <c r="E415" s="7">
        <v>2019</v>
      </c>
      <c r="F415" s="8">
        <v>1</v>
      </c>
      <c r="G415" s="8">
        <v>0.59</v>
      </c>
      <c r="H415" s="8">
        <v>1</v>
      </c>
      <c r="I415" s="9">
        <v>43497</v>
      </c>
      <c r="J415" s="9"/>
      <c r="K415" s="10">
        <v>10</v>
      </c>
      <c r="L415" s="3" t="s">
        <v>300</v>
      </c>
      <c r="M415" s="9">
        <f t="shared" si="22"/>
        <v>43497</v>
      </c>
      <c r="N415" s="9">
        <f t="shared" si="19"/>
        <v>43800</v>
      </c>
      <c r="O415" s="29">
        <f>VLOOKUP(B415,PROYECTO!A:H,8,0)</f>
        <v>0</v>
      </c>
      <c r="P415" s="9">
        <f t="array" ref="P415">MAX(MAX(IF($B:$B=B415,$N:$N)),MAX(IF(B415=HONORARIOS!B:B,HONORARIOS!M:M)))</f>
        <v>43800</v>
      </c>
      <c r="Q415" s="29">
        <f t="shared" si="20"/>
        <v>10</v>
      </c>
    </row>
    <row r="416" spans="2:17" x14ac:dyDescent="0.25">
      <c r="B416" s="5">
        <v>1385</v>
      </c>
      <c r="C416" s="3" t="s">
        <v>301</v>
      </c>
      <c r="D416" s="29">
        <v>12298901</v>
      </c>
      <c r="E416" s="7">
        <v>2018</v>
      </c>
      <c r="F416" s="8">
        <v>1</v>
      </c>
      <c r="G416" s="8">
        <v>0</v>
      </c>
      <c r="H416" s="8">
        <v>1</v>
      </c>
      <c r="I416" s="9">
        <v>43122</v>
      </c>
      <c r="J416" s="9"/>
      <c r="K416" s="10">
        <v>17</v>
      </c>
      <c r="L416" s="3" t="s">
        <v>302</v>
      </c>
      <c r="M416" s="9">
        <f t="shared" si="22"/>
        <v>43101</v>
      </c>
      <c r="N416" s="9">
        <f t="shared" si="19"/>
        <v>43617</v>
      </c>
      <c r="O416" s="29">
        <f>VLOOKUP(B416,PROYECTO!A:H,8,0)</f>
        <v>0</v>
      </c>
      <c r="P416" s="9">
        <f t="array" ref="P416">MAX(MAX(IF($B:$B=B416,$N:$N)),MAX(IF(B416=HONORARIOS!B:B,HONORARIOS!M:M)))</f>
        <v>43617</v>
      </c>
      <c r="Q416" s="29">
        <f t="shared" si="20"/>
        <v>17</v>
      </c>
    </row>
    <row r="417" spans="2:17" x14ac:dyDescent="0.25">
      <c r="B417" s="5">
        <v>1385</v>
      </c>
      <c r="C417" s="3" t="s">
        <v>26</v>
      </c>
      <c r="D417" s="29">
        <v>6952928</v>
      </c>
      <c r="E417" s="7">
        <v>2018</v>
      </c>
      <c r="F417" s="8">
        <v>1</v>
      </c>
      <c r="G417" s="8">
        <v>0</v>
      </c>
      <c r="H417" s="8">
        <v>1</v>
      </c>
      <c r="I417" s="9">
        <v>43122</v>
      </c>
      <c r="J417" s="9"/>
      <c r="K417" s="10">
        <v>17</v>
      </c>
      <c r="L417" s="3" t="s">
        <v>302</v>
      </c>
      <c r="M417" s="9">
        <f t="shared" si="22"/>
        <v>43101</v>
      </c>
      <c r="N417" s="9">
        <f t="shared" si="19"/>
        <v>43617</v>
      </c>
      <c r="O417" s="29">
        <f>VLOOKUP(B417,PROYECTO!A:H,8,0)</f>
        <v>0</v>
      </c>
      <c r="P417" s="9">
        <f t="array" ref="P417">MAX(MAX(IF($B:$B=B417,$N:$N)),MAX(IF(B417=HONORARIOS!B:B,HONORARIOS!M:M)))</f>
        <v>43617</v>
      </c>
      <c r="Q417" s="29">
        <f t="shared" si="20"/>
        <v>17</v>
      </c>
    </row>
    <row r="418" spans="2:17" x14ac:dyDescent="0.25">
      <c r="B418" s="5">
        <v>1385</v>
      </c>
      <c r="C418" s="3" t="s">
        <v>26</v>
      </c>
      <c r="D418" s="29">
        <v>6952928</v>
      </c>
      <c r="E418" s="7">
        <v>2018</v>
      </c>
      <c r="F418" s="8">
        <v>1</v>
      </c>
      <c r="G418" s="8">
        <v>0</v>
      </c>
      <c r="H418" s="8">
        <v>1</v>
      </c>
      <c r="I418" s="9">
        <v>43122</v>
      </c>
      <c r="J418" s="9"/>
      <c r="K418" s="10">
        <v>17</v>
      </c>
      <c r="L418" s="3" t="s">
        <v>302</v>
      </c>
      <c r="M418" s="9">
        <f t="shared" si="22"/>
        <v>43101</v>
      </c>
      <c r="N418" s="9">
        <f t="shared" si="19"/>
        <v>43617</v>
      </c>
      <c r="O418" s="29">
        <f>VLOOKUP(B418,PROYECTO!A:H,8,0)</f>
        <v>0</v>
      </c>
      <c r="P418" s="9">
        <f t="array" ref="P418">MAX(MAX(IF($B:$B=B418,$N:$N)),MAX(IF(B418=HONORARIOS!B:B,HONORARIOS!M:M)))</f>
        <v>43617</v>
      </c>
      <c r="Q418" s="29">
        <f t="shared" si="20"/>
        <v>17</v>
      </c>
    </row>
    <row r="419" spans="2:17" x14ac:dyDescent="0.25">
      <c r="B419" s="5">
        <v>1385</v>
      </c>
      <c r="C419" s="3" t="s">
        <v>26</v>
      </c>
      <c r="D419" s="29">
        <v>6952928</v>
      </c>
      <c r="E419" s="7">
        <v>2018</v>
      </c>
      <c r="F419" s="8">
        <v>1</v>
      </c>
      <c r="G419" s="8">
        <v>0</v>
      </c>
      <c r="H419" s="8">
        <v>1</v>
      </c>
      <c r="I419" s="9">
        <v>43122</v>
      </c>
      <c r="J419" s="9"/>
      <c r="K419" s="10">
        <v>17</v>
      </c>
      <c r="L419" s="3" t="s">
        <v>302</v>
      </c>
      <c r="M419" s="9">
        <f t="shared" si="22"/>
        <v>43101</v>
      </c>
      <c r="N419" s="9">
        <f t="shared" si="19"/>
        <v>43617</v>
      </c>
      <c r="O419" s="29">
        <f>VLOOKUP(B419,PROYECTO!A:H,8,0)</f>
        <v>0</v>
      </c>
      <c r="P419" s="9">
        <f t="array" ref="P419">MAX(MAX(IF($B:$B=B419,$N:$N)),MAX(IF(B419=HONORARIOS!B:B,HONORARIOS!M:M)))</f>
        <v>43617</v>
      </c>
      <c r="Q419" s="29">
        <f t="shared" si="20"/>
        <v>17</v>
      </c>
    </row>
    <row r="420" spans="2:17" x14ac:dyDescent="0.25">
      <c r="B420" s="5">
        <v>1385</v>
      </c>
      <c r="C420" s="3" t="s">
        <v>39</v>
      </c>
      <c r="D420" s="29">
        <v>4966377</v>
      </c>
      <c r="E420" s="7">
        <v>2018</v>
      </c>
      <c r="F420" s="8">
        <v>1</v>
      </c>
      <c r="G420" s="8">
        <v>0</v>
      </c>
      <c r="H420" s="8">
        <v>1</v>
      </c>
      <c r="I420" s="9">
        <v>43122</v>
      </c>
      <c r="J420" s="9"/>
      <c r="K420" s="10">
        <v>17</v>
      </c>
      <c r="L420" s="3" t="s">
        <v>302</v>
      </c>
      <c r="M420" s="9">
        <f t="shared" si="22"/>
        <v>43101</v>
      </c>
      <c r="N420" s="9">
        <f t="shared" si="19"/>
        <v>43617</v>
      </c>
      <c r="O420" s="29">
        <f>VLOOKUP(B420,PROYECTO!A:H,8,0)</f>
        <v>0</v>
      </c>
      <c r="P420" s="9">
        <f t="array" ref="P420">MAX(MAX(IF($B:$B=B420,$N:$N)),MAX(IF(B420=HONORARIOS!B:B,HONORARIOS!M:M)))</f>
        <v>43617</v>
      </c>
      <c r="Q420" s="29">
        <f t="shared" si="20"/>
        <v>17</v>
      </c>
    </row>
    <row r="421" spans="2:17" x14ac:dyDescent="0.25">
      <c r="B421" s="5">
        <v>1385</v>
      </c>
      <c r="C421" s="3" t="s">
        <v>57</v>
      </c>
      <c r="D421" s="29">
        <v>4966377</v>
      </c>
      <c r="E421" s="7">
        <v>2018</v>
      </c>
      <c r="F421" s="8">
        <v>1</v>
      </c>
      <c r="G421" s="8">
        <v>0</v>
      </c>
      <c r="H421" s="8">
        <v>1</v>
      </c>
      <c r="I421" s="9">
        <v>43122</v>
      </c>
      <c r="J421" s="9"/>
      <c r="K421" s="10">
        <v>17</v>
      </c>
      <c r="L421" s="3" t="s">
        <v>302</v>
      </c>
      <c r="M421" s="9">
        <f t="shared" si="22"/>
        <v>43101</v>
      </c>
      <c r="N421" s="9">
        <f t="shared" si="19"/>
        <v>43617</v>
      </c>
      <c r="O421" s="29">
        <f>VLOOKUP(B421,PROYECTO!A:H,8,0)</f>
        <v>0</v>
      </c>
      <c r="P421" s="9">
        <f t="array" ref="P421">MAX(MAX(IF($B:$B=B421,$N:$N)),MAX(IF(B421=HONORARIOS!B:B,HONORARIOS!M:M)))</f>
        <v>43617</v>
      </c>
      <c r="Q421" s="29">
        <f t="shared" si="20"/>
        <v>17</v>
      </c>
    </row>
    <row r="422" spans="2:17" x14ac:dyDescent="0.25">
      <c r="B422" s="5">
        <v>1385</v>
      </c>
      <c r="C422" s="3" t="s">
        <v>58</v>
      </c>
      <c r="D422" s="29">
        <v>4897145</v>
      </c>
      <c r="E422" s="7">
        <v>2018</v>
      </c>
      <c r="F422" s="8">
        <v>1</v>
      </c>
      <c r="G422" s="8">
        <v>0</v>
      </c>
      <c r="H422" s="8">
        <v>1</v>
      </c>
      <c r="I422" s="9">
        <v>43122</v>
      </c>
      <c r="J422" s="9"/>
      <c r="K422" s="10">
        <v>17</v>
      </c>
      <c r="L422" s="3" t="s">
        <v>302</v>
      </c>
      <c r="M422" s="9">
        <f t="shared" si="22"/>
        <v>43101</v>
      </c>
      <c r="N422" s="9">
        <f t="shared" si="19"/>
        <v>43617</v>
      </c>
      <c r="O422" s="29">
        <f>VLOOKUP(B422,PROYECTO!A:H,8,0)</f>
        <v>0</v>
      </c>
      <c r="P422" s="9">
        <f t="array" ref="P422">MAX(MAX(IF($B:$B=B422,$N:$N)),MAX(IF(B422=HONORARIOS!B:B,HONORARIOS!M:M)))</f>
        <v>43617</v>
      </c>
      <c r="Q422" s="29">
        <f t="shared" si="20"/>
        <v>17</v>
      </c>
    </row>
    <row r="423" spans="2:17" x14ac:dyDescent="0.25">
      <c r="B423" s="5">
        <v>1385</v>
      </c>
      <c r="C423" s="3" t="s">
        <v>14</v>
      </c>
      <c r="D423" s="29">
        <v>9397914</v>
      </c>
      <c r="E423" s="7">
        <v>2018</v>
      </c>
      <c r="F423" s="8">
        <v>1</v>
      </c>
      <c r="G423" s="8">
        <v>0</v>
      </c>
      <c r="H423" s="8">
        <v>1</v>
      </c>
      <c r="I423" s="9">
        <v>43122</v>
      </c>
      <c r="J423" s="9"/>
      <c r="K423" s="10">
        <v>17</v>
      </c>
      <c r="L423" s="3" t="s">
        <v>302</v>
      </c>
      <c r="M423" s="9">
        <f t="shared" si="22"/>
        <v>43101</v>
      </c>
      <c r="N423" s="9">
        <f t="shared" si="19"/>
        <v>43617</v>
      </c>
      <c r="O423" s="29">
        <f>VLOOKUP(B423,PROYECTO!A:H,8,0)</f>
        <v>0</v>
      </c>
      <c r="P423" s="9">
        <f t="array" ref="P423">MAX(MAX(IF($B:$B=B423,$N:$N)),MAX(IF(B423=HONORARIOS!B:B,HONORARIOS!M:M)))</f>
        <v>43617</v>
      </c>
      <c r="Q423" s="29">
        <f t="shared" si="20"/>
        <v>17</v>
      </c>
    </row>
    <row r="424" spans="2:17" x14ac:dyDescent="0.25">
      <c r="B424" s="5">
        <v>1385</v>
      </c>
      <c r="C424" s="3" t="s">
        <v>117</v>
      </c>
      <c r="D424" s="29">
        <v>3399163</v>
      </c>
      <c r="E424" s="7">
        <v>2018</v>
      </c>
      <c r="F424" s="8">
        <v>1</v>
      </c>
      <c r="G424" s="8">
        <v>0</v>
      </c>
      <c r="H424" s="8">
        <v>1</v>
      </c>
      <c r="I424" s="9">
        <v>43122</v>
      </c>
      <c r="J424" s="9"/>
      <c r="K424" s="10">
        <v>17</v>
      </c>
      <c r="L424" s="3" t="s">
        <v>302</v>
      </c>
      <c r="M424" s="9">
        <f t="shared" si="22"/>
        <v>43101</v>
      </c>
      <c r="N424" s="9">
        <f t="shared" si="19"/>
        <v>43617</v>
      </c>
      <c r="O424" s="29">
        <f>VLOOKUP(B424,PROYECTO!A:H,8,0)</f>
        <v>0</v>
      </c>
      <c r="P424" s="9">
        <f t="array" ref="P424">MAX(MAX(IF($B:$B=B424,$N:$N)),MAX(IF(B424=HONORARIOS!B:B,HONORARIOS!M:M)))</f>
        <v>43617</v>
      </c>
      <c r="Q424" s="29">
        <f t="shared" si="20"/>
        <v>17</v>
      </c>
    </row>
    <row r="425" spans="2:17" x14ac:dyDescent="0.25">
      <c r="B425" s="5">
        <v>1385</v>
      </c>
      <c r="C425" s="3" t="s">
        <v>135</v>
      </c>
      <c r="D425" s="29">
        <v>4038898</v>
      </c>
      <c r="E425" s="7">
        <v>2018</v>
      </c>
      <c r="F425" s="8">
        <v>1</v>
      </c>
      <c r="G425" s="8">
        <v>0</v>
      </c>
      <c r="H425" s="8">
        <v>1</v>
      </c>
      <c r="I425" s="9">
        <v>43122</v>
      </c>
      <c r="J425" s="9"/>
      <c r="K425" s="10">
        <v>17</v>
      </c>
      <c r="L425" s="3" t="s">
        <v>302</v>
      </c>
      <c r="M425" s="9">
        <f t="shared" si="22"/>
        <v>43101</v>
      </c>
      <c r="N425" s="9">
        <f t="shared" si="19"/>
        <v>43617</v>
      </c>
      <c r="O425" s="29">
        <f>VLOOKUP(B425,PROYECTO!A:H,8,0)</f>
        <v>0</v>
      </c>
      <c r="P425" s="9">
        <f t="array" ref="P425">MAX(MAX(IF($B:$B=B425,$N:$N)),MAX(IF(B425=HONORARIOS!B:B,HONORARIOS!M:M)))</f>
        <v>43617</v>
      </c>
      <c r="Q425" s="29">
        <f t="shared" si="20"/>
        <v>17</v>
      </c>
    </row>
    <row r="426" spans="2:17" x14ac:dyDescent="0.25">
      <c r="B426" s="5">
        <v>1385</v>
      </c>
      <c r="C426" s="3" t="s">
        <v>97</v>
      </c>
      <c r="D426" s="29">
        <v>3188604</v>
      </c>
      <c r="E426" s="7">
        <v>2018</v>
      </c>
      <c r="F426" s="8">
        <v>1</v>
      </c>
      <c r="G426" s="8">
        <v>0</v>
      </c>
      <c r="H426" s="8">
        <v>1</v>
      </c>
      <c r="I426" s="9">
        <v>43122</v>
      </c>
      <c r="J426" s="9"/>
      <c r="K426" s="10">
        <v>17</v>
      </c>
      <c r="L426" s="3" t="s">
        <v>302</v>
      </c>
      <c r="M426" s="9">
        <f t="shared" si="22"/>
        <v>43101</v>
      </c>
      <c r="N426" s="9">
        <f t="shared" si="19"/>
        <v>43617</v>
      </c>
      <c r="O426" s="29">
        <f>VLOOKUP(B426,PROYECTO!A:H,8,0)</f>
        <v>0</v>
      </c>
      <c r="P426" s="9">
        <f t="array" ref="P426">MAX(MAX(IF($B:$B=B426,$N:$N)),MAX(IF(B426=HONORARIOS!B:B,HONORARIOS!M:M)))</f>
        <v>43617</v>
      </c>
      <c r="Q426" s="29">
        <f t="shared" si="20"/>
        <v>17</v>
      </c>
    </row>
    <row r="427" spans="2:17" x14ac:dyDescent="0.25">
      <c r="B427" s="5">
        <v>1385</v>
      </c>
      <c r="C427" s="3" t="s">
        <v>303</v>
      </c>
      <c r="D427" s="29">
        <v>3188604</v>
      </c>
      <c r="E427" s="7">
        <v>2018</v>
      </c>
      <c r="F427" s="8">
        <v>1</v>
      </c>
      <c r="G427" s="8">
        <v>0</v>
      </c>
      <c r="H427" s="8">
        <v>1</v>
      </c>
      <c r="I427" s="9">
        <v>43122</v>
      </c>
      <c r="J427" s="9"/>
      <c r="K427" s="10">
        <v>17</v>
      </c>
      <c r="L427" s="3" t="s">
        <v>302</v>
      </c>
      <c r="M427" s="9">
        <f t="shared" si="22"/>
        <v>43101</v>
      </c>
      <c r="N427" s="9">
        <f t="shared" si="19"/>
        <v>43617</v>
      </c>
      <c r="O427" s="29">
        <f>VLOOKUP(B427,PROYECTO!A:H,8,0)</f>
        <v>0</v>
      </c>
      <c r="P427" s="9">
        <f t="array" ref="P427">MAX(MAX(IF($B:$B=B427,$N:$N)),MAX(IF(B427=HONORARIOS!B:B,HONORARIOS!M:M)))</f>
        <v>43617</v>
      </c>
      <c r="Q427" s="29">
        <f t="shared" si="20"/>
        <v>17</v>
      </c>
    </row>
    <row r="428" spans="2:17" x14ac:dyDescent="0.25">
      <c r="B428" s="5">
        <v>1385</v>
      </c>
      <c r="C428" s="3" t="s">
        <v>304</v>
      </c>
      <c r="D428" s="29">
        <v>3188604</v>
      </c>
      <c r="E428" s="7">
        <v>2018</v>
      </c>
      <c r="F428" s="8">
        <v>1</v>
      </c>
      <c r="G428" s="8">
        <v>0</v>
      </c>
      <c r="H428" s="8">
        <v>1</v>
      </c>
      <c r="I428" s="9">
        <v>43122</v>
      </c>
      <c r="J428" s="9"/>
      <c r="K428" s="10">
        <v>17</v>
      </c>
      <c r="L428" s="3" t="s">
        <v>302</v>
      </c>
      <c r="M428" s="9">
        <f t="shared" si="22"/>
        <v>43101</v>
      </c>
      <c r="N428" s="9">
        <f t="shared" si="19"/>
        <v>43617</v>
      </c>
      <c r="O428" s="29">
        <f>VLOOKUP(B428,PROYECTO!A:H,8,0)</f>
        <v>0</v>
      </c>
      <c r="P428" s="9">
        <f t="array" ref="P428">MAX(MAX(IF($B:$B=B428,$N:$N)),MAX(IF(B428=HONORARIOS!B:B,HONORARIOS!M:M)))</f>
        <v>43617</v>
      </c>
      <c r="Q428" s="29">
        <f t="shared" si="20"/>
        <v>17</v>
      </c>
    </row>
    <row r="429" spans="2:17" x14ac:dyDescent="0.25">
      <c r="B429" s="5">
        <v>1385</v>
      </c>
      <c r="C429" s="3" t="s">
        <v>36</v>
      </c>
      <c r="D429" s="29">
        <v>3188604</v>
      </c>
      <c r="E429" s="7">
        <v>2018</v>
      </c>
      <c r="F429" s="8">
        <v>1</v>
      </c>
      <c r="G429" s="8">
        <v>0</v>
      </c>
      <c r="H429" s="8">
        <v>1</v>
      </c>
      <c r="I429" s="9">
        <v>43122</v>
      </c>
      <c r="J429" s="9"/>
      <c r="K429" s="10">
        <v>17</v>
      </c>
      <c r="L429" s="3" t="s">
        <v>302</v>
      </c>
      <c r="M429" s="9">
        <f t="shared" si="22"/>
        <v>43101</v>
      </c>
      <c r="N429" s="9">
        <f t="shared" si="19"/>
        <v>43617</v>
      </c>
      <c r="O429" s="29">
        <f>VLOOKUP(B429,PROYECTO!A:H,8,0)</f>
        <v>0</v>
      </c>
      <c r="P429" s="9">
        <f t="array" ref="P429">MAX(MAX(IF($B:$B=B429,$N:$N)),MAX(IF(B429=HONORARIOS!B:B,HONORARIOS!M:M)))</f>
        <v>43617</v>
      </c>
      <c r="Q429" s="29">
        <f t="shared" si="20"/>
        <v>17</v>
      </c>
    </row>
    <row r="430" spans="2:17" x14ac:dyDescent="0.25">
      <c r="B430" s="5">
        <v>1385</v>
      </c>
      <c r="C430" s="3" t="s">
        <v>305</v>
      </c>
      <c r="D430" s="29">
        <v>3188604</v>
      </c>
      <c r="E430" s="7">
        <v>2018</v>
      </c>
      <c r="F430" s="8">
        <v>1</v>
      </c>
      <c r="G430" s="8">
        <v>0</v>
      </c>
      <c r="H430" s="8">
        <v>1</v>
      </c>
      <c r="I430" s="9">
        <v>43122</v>
      </c>
      <c r="J430" s="9"/>
      <c r="K430" s="10">
        <v>17</v>
      </c>
      <c r="L430" s="3" t="s">
        <v>302</v>
      </c>
      <c r="M430" s="9">
        <f t="shared" si="22"/>
        <v>43101</v>
      </c>
      <c r="N430" s="9">
        <f t="shared" si="19"/>
        <v>43617</v>
      </c>
      <c r="O430" s="29">
        <f>VLOOKUP(B430,PROYECTO!A:H,8,0)</f>
        <v>0</v>
      </c>
      <c r="P430" s="9">
        <f t="array" ref="P430">MAX(MAX(IF($B:$B=B430,$N:$N)),MAX(IF(B430=HONORARIOS!B:B,HONORARIOS!M:M)))</f>
        <v>43617</v>
      </c>
      <c r="Q430" s="29">
        <f t="shared" si="20"/>
        <v>17</v>
      </c>
    </row>
    <row r="431" spans="2:17" x14ac:dyDescent="0.25">
      <c r="B431" s="5">
        <v>1385</v>
      </c>
      <c r="C431" s="3" t="s">
        <v>306</v>
      </c>
      <c r="D431" s="29">
        <v>3188604</v>
      </c>
      <c r="E431" s="7">
        <v>2018</v>
      </c>
      <c r="F431" s="8">
        <v>1</v>
      </c>
      <c r="G431" s="8">
        <v>0</v>
      </c>
      <c r="H431" s="8">
        <v>1</v>
      </c>
      <c r="I431" s="9">
        <v>43122</v>
      </c>
      <c r="J431" s="9"/>
      <c r="K431" s="10">
        <v>17</v>
      </c>
      <c r="L431" s="3" t="s">
        <v>302</v>
      </c>
      <c r="M431" s="9">
        <f t="shared" si="22"/>
        <v>43101</v>
      </c>
      <c r="N431" s="9">
        <f t="shared" si="19"/>
        <v>43617</v>
      </c>
      <c r="O431" s="29">
        <f>VLOOKUP(B431,PROYECTO!A:H,8,0)</f>
        <v>0</v>
      </c>
      <c r="P431" s="9">
        <f t="array" ref="P431">MAX(MAX(IF($B:$B=B431,$N:$N)),MAX(IF(B431=HONORARIOS!B:B,HONORARIOS!M:M)))</f>
        <v>43617</v>
      </c>
      <c r="Q431" s="29">
        <f t="shared" si="20"/>
        <v>17</v>
      </c>
    </row>
    <row r="432" spans="2:17" x14ac:dyDescent="0.25">
      <c r="B432" s="5">
        <v>1385</v>
      </c>
      <c r="C432" s="3" t="s">
        <v>83</v>
      </c>
      <c r="D432" s="29">
        <v>1895173</v>
      </c>
      <c r="E432" s="7">
        <v>2018</v>
      </c>
      <c r="F432" s="8">
        <v>1</v>
      </c>
      <c r="G432" s="8">
        <v>0</v>
      </c>
      <c r="H432" s="8">
        <v>1</v>
      </c>
      <c r="I432" s="9">
        <v>43122</v>
      </c>
      <c r="J432" s="9"/>
      <c r="K432" s="10">
        <v>17</v>
      </c>
      <c r="L432" s="3" t="s">
        <v>302</v>
      </c>
      <c r="M432" s="9">
        <f t="shared" si="22"/>
        <v>43101</v>
      </c>
      <c r="N432" s="9">
        <f t="shared" si="19"/>
        <v>43617</v>
      </c>
      <c r="O432" s="29">
        <f>VLOOKUP(B432,PROYECTO!A:H,8,0)</f>
        <v>0</v>
      </c>
      <c r="P432" s="9">
        <f t="array" ref="P432">MAX(MAX(IF($B:$B=B432,$N:$N)),MAX(IF(B432=HONORARIOS!B:B,HONORARIOS!M:M)))</f>
        <v>43617</v>
      </c>
      <c r="Q432" s="29">
        <f t="shared" si="20"/>
        <v>17</v>
      </c>
    </row>
    <row r="433" spans="2:17" x14ac:dyDescent="0.25">
      <c r="B433" s="5">
        <v>1385</v>
      </c>
      <c r="C433" s="3" t="s">
        <v>29</v>
      </c>
      <c r="D433" s="29">
        <v>6494493</v>
      </c>
      <c r="E433" s="7">
        <v>2018</v>
      </c>
      <c r="F433" s="8">
        <v>1</v>
      </c>
      <c r="G433" s="8">
        <v>0</v>
      </c>
      <c r="H433" s="8">
        <v>1</v>
      </c>
      <c r="I433" s="9">
        <v>43122</v>
      </c>
      <c r="J433" s="9"/>
      <c r="K433" s="10">
        <v>17</v>
      </c>
      <c r="L433" s="3" t="s">
        <v>302</v>
      </c>
      <c r="M433" s="9">
        <f t="shared" si="22"/>
        <v>43101</v>
      </c>
      <c r="N433" s="9">
        <f t="shared" si="19"/>
        <v>43617</v>
      </c>
      <c r="O433" s="29">
        <f>VLOOKUP(B433,PROYECTO!A:H,8,0)</f>
        <v>0</v>
      </c>
      <c r="P433" s="9">
        <f t="array" ref="P433">MAX(MAX(IF($B:$B=B433,$N:$N)),MAX(IF(B433=HONORARIOS!B:B,HONORARIOS!M:M)))</f>
        <v>43617</v>
      </c>
      <c r="Q433" s="29">
        <f t="shared" si="20"/>
        <v>17</v>
      </c>
    </row>
    <row r="434" spans="2:17" x14ac:dyDescent="0.25">
      <c r="B434" s="5">
        <v>1385</v>
      </c>
      <c r="C434" s="3" t="s">
        <v>26</v>
      </c>
      <c r="D434" s="29">
        <v>9359711</v>
      </c>
      <c r="E434" s="7">
        <v>2018</v>
      </c>
      <c r="F434" s="8">
        <v>1</v>
      </c>
      <c r="G434" s="8">
        <v>0</v>
      </c>
      <c r="H434" s="8">
        <v>1</v>
      </c>
      <c r="I434" s="9">
        <v>43122</v>
      </c>
      <c r="J434" s="9"/>
      <c r="K434" s="10">
        <v>17</v>
      </c>
      <c r="L434" s="3" t="s">
        <v>302</v>
      </c>
      <c r="M434" s="9">
        <f t="shared" si="22"/>
        <v>43101</v>
      </c>
      <c r="N434" s="9">
        <f t="shared" si="19"/>
        <v>43617</v>
      </c>
      <c r="O434" s="29">
        <f>VLOOKUP(B434,PROYECTO!A:H,8,0)</f>
        <v>0</v>
      </c>
      <c r="P434" s="9">
        <f t="array" ref="P434">MAX(MAX(IF($B:$B=B434,$N:$N)),MAX(IF(B434=HONORARIOS!B:B,HONORARIOS!M:M)))</f>
        <v>43617</v>
      </c>
      <c r="Q434" s="29">
        <f t="shared" si="20"/>
        <v>17</v>
      </c>
    </row>
    <row r="435" spans="2:17" x14ac:dyDescent="0.25">
      <c r="B435" s="5">
        <v>1385</v>
      </c>
      <c r="C435" s="3" t="s">
        <v>307</v>
      </c>
      <c r="D435" s="29">
        <v>9359711</v>
      </c>
      <c r="E435" s="7">
        <v>2018</v>
      </c>
      <c r="F435" s="8">
        <v>1</v>
      </c>
      <c r="G435" s="8">
        <v>0</v>
      </c>
      <c r="H435" s="8">
        <v>1</v>
      </c>
      <c r="I435" s="9">
        <v>43122</v>
      </c>
      <c r="J435" s="9"/>
      <c r="K435" s="10">
        <v>17</v>
      </c>
      <c r="L435" s="3" t="s">
        <v>302</v>
      </c>
      <c r="M435" s="9">
        <f t="shared" si="22"/>
        <v>43101</v>
      </c>
      <c r="N435" s="9">
        <f t="shared" si="19"/>
        <v>43617</v>
      </c>
      <c r="O435" s="29">
        <f>VLOOKUP(B435,PROYECTO!A:H,8,0)</f>
        <v>0</v>
      </c>
      <c r="P435" s="9">
        <f t="array" ref="P435">MAX(MAX(IF($B:$B=B435,$N:$N)),MAX(IF(B435=HONORARIOS!B:B,HONORARIOS!M:M)))</f>
        <v>43617</v>
      </c>
      <c r="Q435" s="29">
        <f t="shared" si="20"/>
        <v>17</v>
      </c>
    </row>
    <row r="436" spans="2:17" x14ac:dyDescent="0.25">
      <c r="B436" s="5">
        <v>1385</v>
      </c>
      <c r="C436" s="3" t="s">
        <v>307</v>
      </c>
      <c r="D436" s="29">
        <v>9359711</v>
      </c>
      <c r="E436" s="7">
        <v>2018</v>
      </c>
      <c r="F436" s="8">
        <v>1</v>
      </c>
      <c r="G436" s="8">
        <v>0</v>
      </c>
      <c r="H436" s="8">
        <v>1</v>
      </c>
      <c r="I436" s="9">
        <v>43122</v>
      </c>
      <c r="J436" s="9"/>
      <c r="K436" s="10">
        <v>17</v>
      </c>
      <c r="L436" s="3" t="s">
        <v>302</v>
      </c>
      <c r="M436" s="9">
        <f t="shared" si="22"/>
        <v>43101</v>
      </c>
      <c r="N436" s="9">
        <f t="shared" si="19"/>
        <v>43617</v>
      </c>
      <c r="O436" s="29">
        <f>VLOOKUP(B436,PROYECTO!A:H,8,0)</f>
        <v>0</v>
      </c>
      <c r="P436" s="9">
        <f t="array" ref="P436">MAX(MAX(IF($B:$B=B436,$N:$N)),MAX(IF(B436=HONORARIOS!B:B,HONORARIOS!M:M)))</f>
        <v>43617</v>
      </c>
      <c r="Q436" s="29">
        <f t="shared" si="20"/>
        <v>17</v>
      </c>
    </row>
    <row r="437" spans="2:17" ht="15.75" customHeight="1" x14ac:dyDescent="0.25">
      <c r="B437" s="5">
        <v>1385</v>
      </c>
      <c r="C437" s="3" t="s">
        <v>308</v>
      </c>
      <c r="D437" s="29">
        <v>7449566</v>
      </c>
      <c r="E437" s="7">
        <v>2018</v>
      </c>
      <c r="F437" s="8">
        <v>1</v>
      </c>
      <c r="G437" s="8">
        <v>0</v>
      </c>
      <c r="H437" s="8">
        <v>1</v>
      </c>
      <c r="I437" s="9">
        <v>43122</v>
      </c>
      <c r="J437" s="9"/>
      <c r="K437" s="10">
        <v>17</v>
      </c>
      <c r="L437" s="3" t="s">
        <v>302</v>
      </c>
      <c r="M437" s="9">
        <f t="shared" ref="M437:M471" si="23">(MONTH(I437)&amp;"-"&amp;YEAR(I437))*1</f>
        <v>43101</v>
      </c>
      <c r="N437" s="9">
        <f t="shared" si="19"/>
        <v>43617</v>
      </c>
      <c r="O437" s="29">
        <f>VLOOKUP(B437,PROYECTO!A:H,8,0)</f>
        <v>0</v>
      </c>
      <c r="P437" s="9">
        <f t="array" ref="P437">MAX(MAX(IF($B:$B=B437,$N:$N)),MAX(IF(B437=HONORARIOS!B:B,HONORARIOS!M:M)))</f>
        <v>43617</v>
      </c>
      <c r="Q437" s="29">
        <f t="shared" si="20"/>
        <v>17</v>
      </c>
    </row>
    <row r="438" spans="2:17" x14ac:dyDescent="0.25">
      <c r="B438" s="5">
        <v>1899</v>
      </c>
      <c r="C438" s="3" t="s">
        <v>19</v>
      </c>
      <c r="D438" s="29">
        <v>9828320</v>
      </c>
      <c r="E438" s="7">
        <v>2019</v>
      </c>
      <c r="F438" s="8">
        <v>0.2</v>
      </c>
      <c r="G438" s="8">
        <v>0.62</v>
      </c>
      <c r="H438" s="8">
        <v>1</v>
      </c>
      <c r="I438" s="9">
        <v>43525</v>
      </c>
      <c r="J438" s="9"/>
      <c r="K438" s="10">
        <v>5</v>
      </c>
      <c r="L438" s="3" t="s">
        <v>309</v>
      </c>
      <c r="M438" s="9">
        <f t="shared" si="23"/>
        <v>43525</v>
      </c>
      <c r="N438" s="9">
        <f t="shared" si="19"/>
        <v>43678</v>
      </c>
      <c r="O438" s="29">
        <f>VLOOKUP(B438,PROYECTO!A:H,8,0)</f>
        <v>0</v>
      </c>
      <c r="P438" s="9">
        <f t="array" ref="P438">MAX(MAX(IF($B:$B=B438,$N:$N)),MAX(IF(B438=HONORARIOS!B:B,HONORARIOS!M:M)))</f>
        <v>44287</v>
      </c>
      <c r="Q438" s="29">
        <f t="shared" si="20"/>
        <v>5</v>
      </c>
    </row>
    <row r="439" spans="2:17" x14ac:dyDescent="0.25">
      <c r="B439" s="5">
        <v>1899</v>
      </c>
      <c r="C439" s="3" t="s">
        <v>19</v>
      </c>
      <c r="D439" s="29">
        <v>9828320</v>
      </c>
      <c r="E439" s="7">
        <v>2019</v>
      </c>
      <c r="F439" s="8">
        <v>0.3</v>
      </c>
      <c r="G439" s="8">
        <v>0.62</v>
      </c>
      <c r="H439" s="8">
        <v>1</v>
      </c>
      <c r="I439" s="9">
        <v>43678</v>
      </c>
      <c r="J439" s="9"/>
      <c r="K439" s="10">
        <v>20</v>
      </c>
      <c r="L439" s="3" t="s">
        <v>309</v>
      </c>
      <c r="M439" s="9">
        <f t="shared" si="23"/>
        <v>43678</v>
      </c>
      <c r="N439" s="9">
        <f t="shared" si="19"/>
        <v>44287</v>
      </c>
      <c r="O439" s="29">
        <f>VLOOKUP(B439,PROYECTO!A:H,8,0)</f>
        <v>0</v>
      </c>
      <c r="P439" s="9">
        <f t="array" ref="P439">MAX(MAX(IF($B:$B=B439,$N:$N)),MAX(IF(B439=HONORARIOS!B:B,HONORARIOS!M:M)))</f>
        <v>44287</v>
      </c>
      <c r="Q439" s="29">
        <f t="shared" si="20"/>
        <v>20</v>
      </c>
    </row>
    <row r="440" spans="2:17" x14ac:dyDescent="0.25">
      <c r="B440" s="5">
        <v>1899</v>
      </c>
      <c r="C440" s="3" t="s">
        <v>12</v>
      </c>
      <c r="D440" s="29">
        <v>6100000</v>
      </c>
      <c r="E440" s="7">
        <v>2019</v>
      </c>
      <c r="F440" s="8">
        <v>0.75</v>
      </c>
      <c r="G440" s="8">
        <v>0.5</v>
      </c>
      <c r="H440" s="8">
        <v>1</v>
      </c>
      <c r="I440" s="9">
        <v>43525</v>
      </c>
      <c r="J440" s="9"/>
      <c r="K440" s="10">
        <v>5</v>
      </c>
      <c r="L440" s="3" t="s">
        <v>309</v>
      </c>
      <c r="M440" s="9">
        <f t="shared" si="23"/>
        <v>43525</v>
      </c>
      <c r="N440" s="9">
        <f t="shared" si="19"/>
        <v>43678</v>
      </c>
      <c r="O440" s="29">
        <f>VLOOKUP(B440,PROYECTO!A:H,8,0)</f>
        <v>0</v>
      </c>
      <c r="P440" s="9">
        <f t="array" ref="P440">MAX(MAX(IF($B:$B=B440,$N:$N)),MAX(IF(B440=HONORARIOS!B:B,HONORARIOS!M:M)))</f>
        <v>44287</v>
      </c>
      <c r="Q440" s="29">
        <f t="shared" si="20"/>
        <v>5</v>
      </c>
    </row>
    <row r="441" spans="2:17" x14ac:dyDescent="0.25">
      <c r="B441" s="5">
        <v>1899</v>
      </c>
      <c r="C441" s="3" t="s">
        <v>12</v>
      </c>
      <c r="D441" s="29">
        <v>6100000</v>
      </c>
      <c r="E441" s="7">
        <v>2019</v>
      </c>
      <c r="F441" s="8">
        <v>1</v>
      </c>
      <c r="G441" s="8">
        <v>0.5</v>
      </c>
      <c r="H441" s="8">
        <v>1</v>
      </c>
      <c r="I441" s="9">
        <v>43678</v>
      </c>
      <c r="J441" s="9"/>
      <c r="K441" s="10">
        <v>20</v>
      </c>
      <c r="L441" s="3" t="s">
        <v>309</v>
      </c>
      <c r="M441" s="9">
        <f t="shared" si="23"/>
        <v>43678</v>
      </c>
      <c r="N441" s="9">
        <f t="shared" si="19"/>
        <v>44287</v>
      </c>
      <c r="O441" s="29">
        <f>VLOOKUP(B441,PROYECTO!A:H,8,0)</f>
        <v>0</v>
      </c>
      <c r="P441" s="9">
        <f t="array" ref="P441">MAX(MAX(IF($B:$B=B441,$N:$N)),MAX(IF(B441=HONORARIOS!B:B,HONORARIOS!M:M)))</f>
        <v>44287</v>
      </c>
      <c r="Q441" s="29">
        <f t="shared" si="20"/>
        <v>20</v>
      </c>
    </row>
    <row r="442" spans="2:17" x14ac:dyDescent="0.25">
      <c r="B442" s="5">
        <v>1899</v>
      </c>
      <c r="C442" s="3" t="s">
        <v>169</v>
      </c>
      <c r="D442" s="29">
        <v>4000000</v>
      </c>
      <c r="E442" s="7">
        <v>2019</v>
      </c>
      <c r="F442" s="8">
        <v>1</v>
      </c>
      <c r="G442" s="8">
        <v>0.5</v>
      </c>
      <c r="H442" s="8">
        <v>1</v>
      </c>
      <c r="I442" s="9">
        <v>43525</v>
      </c>
      <c r="J442" s="9"/>
      <c r="K442" s="10">
        <v>14</v>
      </c>
      <c r="L442" s="3" t="s">
        <v>309</v>
      </c>
      <c r="M442" s="9">
        <f t="shared" si="23"/>
        <v>43525</v>
      </c>
      <c r="N442" s="9">
        <f t="shared" si="19"/>
        <v>43952</v>
      </c>
      <c r="O442" s="29">
        <f>VLOOKUP(B442,PROYECTO!A:H,8,0)</f>
        <v>0</v>
      </c>
      <c r="P442" s="9">
        <f t="array" ref="P442">MAX(MAX(IF($B:$B=B442,$N:$N)),MAX(IF(B442=HONORARIOS!B:B,HONORARIOS!M:M)))</f>
        <v>44287</v>
      </c>
      <c r="Q442" s="29">
        <f t="shared" si="20"/>
        <v>14</v>
      </c>
    </row>
    <row r="443" spans="2:17" x14ac:dyDescent="0.25">
      <c r="B443" s="5">
        <v>1899</v>
      </c>
      <c r="C443" s="3" t="s">
        <v>14</v>
      </c>
      <c r="D443" s="29">
        <v>4000000</v>
      </c>
      <c r="E443" s="7">
        <v>2019</v>
      </c>
      <c r="F443" s="8">
        <v>1</v>
      </c>
      <c r="G443" s="8">
        <v>0.5</v>
      </c>
      <c r="H443" s="8">
        <v>1</v>
      </c>
      <c r="I443" s="9">
        <v>43525</v>
      </c>
      <c r="J443" s="9"/>
      <c r="K443" s="10">
        <v>12</v>
      </c>
      <c r="L443" s="3" t="s">
        <v>309</v>
      </c>
      <c r="M443" s="9">
        <f t="shared" si="23"/>
        <v>43525</v>
      </c>
      <c r="N443" s="9">
        <f t="shared" si="19"/>
        <v>43891</v>
      </c>
      <c r="O443" s="29">
        <f>VLOOKUP(B443,PROYECTO!A:H,8,0)</f>
        <v>0</v>
      </c>
      <c r="P443" s="9">
        <f t="array" ref="P443">MAX(MAX(IF($B:$B=B443,$N:$N)),MAX(IF(B443=HONORARIOS!B:B,HONORARIOS!M:M)))</f>
        <v>44287</v>
      </c>
      <c r="Q443" s="29">
        <f t="shared" si="20"/>
        <v>12</v>
      </c>
    </row>
    <row r="444" spans="2:17" x14ac:dyDescent="0.25">
      <c r="B444" s="5">
        <v>1899</v>
      </c>
      <c r="C444" s="3" t="s">
        <v>39</v>
      </c>
      <c r="D444" s="29">
        <v>2718900</v>
      </c>
      <c r="E444" s="7">
        <v>2019</v>
      </c>
      <c r="F444" s="8">
        <v>0.75</v>
      </c>
      <c r="G444" s="8">
        <v>0.5</v>
      </c>
      <c r="H444" s="8">
        <v>1</v>
      </c>
      <c r="I444" s="9">
        <v>43525</v>
      </c>
      <c r="J444" s="9"/>
      <c r="K444" s="10">
        <v>3</v>
      </c>
      <c r="L444" s="3" t="s">
        <v>309</v>
      </c>
      <c r="M444" s="9">
        <f t="shared" si="23"/>
        <v>43525</v>
      </c>
      <c r="N444" s="9">
        <f t="shared" si="19"/>
        <v>43617</v>
      </c>
      <c r="O444" s="29">
        <f>VLOOKUP(B444,PROYECTO!A:H,8,0)</f>
        <v>0</v>
      </c>
      <c r="P444" s="9">
        <f t="array" ref="P444">MAX(MAX(IF($B:$B=B444,$N:$N)),MAX(IF(B444=HONORARIOS!B:B,HONORARIOS!M:M)))</f>
        <v>44287</v>
      </c>
      <c r="Q444" s="29">
        <f t="shared" si="20"/>
        <v>3</v>
      </c>
    </row>
    <row r="445" spans="2:17" x14ac:dyDescent="0.25">
      <c r="B445" s="5">
        <v>1899</v>
      </c>
      <c r="C445" s="3" t="s">
        <v>39</v>
      </c>
      <c r="D445" s="29">
        <v>2718900</v>
      </c>
      <c r="E445" s="7">
        <v>2019</v>
      </c>
      <c r="F445" s="8">
        <v>1</v>
      </c>
      <c r="G445" s="8">
        <v>0.5</v>
      </c>
      <c r="H445" s="8">
        <v>1</v>
      </c>
      <c r="I445" s="9">
        <v>43525</v>
      </c>
      <c r="J445" s="9"/>
      <c r="K445" s="10">
        <v>20</v>
      </c>
      <c r="L445" s="3" t="s">
        <v>309</v>
      </c>
      <c r="M445" s="9">
        <f t="shared" si="23"/>
        <v>43525</v>
      </c>
      <c r="N445" s="9">
        <f t="shared" si="19"/>
        <v>44136</v>
      </c>
      <c r="O445" s="29">
        <f>VLOOKUP(B445,PROYECTO!A:H,8,0)</f>
        <v>0</v>
      </c>
      <c r="P445" s="9">
        <f t="array" ref="P445">MAX(MAX(IF($B:$B=B445,$N:$N)),MAX(IF(B445=HONORARIOS!B:B,HONORARIOS!M:M)))</f>
        <v>44287</v>
      </c>
      <c r="Q445" s="29">
        <f t="shared" si="20"/>
        <v>20</v>
      </c>
    </row>
    <row r="446" spans="2:17" x14ac:dyDescent="0.25">
      <c r="B446" s="5">
        <v>1899</v>
      </c>
      <c r="C446" s="3" t="s">
        <v>29</v>
      </c>
      <c r="D446" s="29">
        <v>2615518</v>
      </c>
      <c r="E446" s="7">
        <v>2019</v>
      </c>
      <c r="F446" s="8">
        <v>0.75</v>
      </c>
      <c r="G446" s="8">
        <v>0.5</v>
      </c>
      <c r="H446" s="8">
        <v>1</v>
      </c>
      <c r="I446" s="9">
        <v>43160</v>
      </c>
      <c r="J446" s="9"/>
      <c r="K446" s="10">
        <v>5</v>
      </c>
      <c r="L446" s="3" t="s">
        <v>309</v>
      </c>
      <c r="M446" s="9">
        <f t="shared" si="23"/>
        <v>43160</v>
      </c>
      <c r="N446" s="9">
        <f t="shared" si="19"/>
        <v>43313</v>
      </c>
      <c r="O446" s="29">
        <f>VLOOKUP(B446,PROYECTO!A:H,8,0)</f>
        <v>0</v>
      </c>
      <c r="P446" s="9">
        <f t="array" ref="P446">MAX(MAX(IF($B:$B=B446,$N:$N)),MAX(IF(B446=HONORARIOS!B:B,HONORARIOS!M:M)))</f>
        <v>44287</v>
      </c>
      <c r="Q446" s="29">
        <f t="shared" si="20"/>
        <v>5</v>
      </c>
    </row>
    <row r="447" spans="2:17" x14ac:dyDescent="0.25">
      <c r="B447" s="5">
        <v>1899</v>
      </c>
      <c r="C447" s="3" t="s">
        <v>29</v>
      </c>
      <c r="D447" s="29">
        <v>2615518</v>
      </c>
      <c r="E447" s="7">
        <v>2019</v>
      </c>
      <c r="F447" s="8">
        <v>1</v>
      </c>
      <c r="G447" s="8">
        <v>0.5</v>
      </c>
      <c r="H447" s="8">
        <v>1</v>
      </c>
      <c r="I447" s="9">
        <v>43525</v>
      </c>
      <c r="J447" s="9"/>
      <c r="K447" s="10">
        <v>7</v>
      </c>
      <c r="L447" s="3" t="s">
        <v>309</v>
      </c>
      <c r="M447" s="9">
        <f t="shared" si="23"/>
        <v>43525</v>
      </c>
      <c r="N447" s="9">
        <f t="shared" si="19"/>
        <v>43739</v>
      </c>
      <c r="O447" s="29">
        <f>VLOOKUP(B447,PROYECTO!A:H,8,0)</f>
        <v>0</v>
      </c>
      <c r="P447" s="9">
        <f t="array" ref="P447">MAX(MAX(IF($B:$B=B447,$N:$N)),MAX(IF(B447=HONORARIOS!B:B,HONORARIOS!M:M)))</f>
        <v>44287</v>
      </c>
      <c r="Q447" s="29">
        <f t="shared" si="20"/>
        <v>7</v>
      </c>
    </row>
    <row r="448" spans="2:17" x14ac:dyDescent="0.25">
      <c r="B448" s="5">
        <v>1899</v>
      </c>
      <c r="C448" s="3" t="s">
        <v>35</v>
      </c>
      <c r="D448" s="29">
        <v>2400000</v>
      </c>
      <c r="E448" s="7">
        <v>2019</v>
      </c>
      <c r="F448" s="8">
        <v>1</v>
      </c>
      <c r="G448" s="8">
        <v>0.59</v>
      </c>
      <c r="H448" s="8">
        <v>1</v>
      </c>
      <c r="I448" s="9">
        <v>43525</v>
      </c>
      <c r="J448" s="9"/>
      <c r="K448" s="10">
        <v>24</v>
      </c>
      <c r="L448" s="3" t="s">
        <v>309</v>
      </c>
      <c r="M448" s="9">
        <f t="shared" si="23"/>
        <v>43525</v>
      </c>
      <c r="N448" s="9">
        <f t="shared" si="19"/>
        <v>44256</v>
      </c>
      <c r="O448" s="29">
        <f>VLOOKUP(B448,PROYECTO!A:H,8,0)</f>
        <v>0</v>
      </c>
      <c r="P448" s="9">
        <f t="array" ref="P448">MAX(MAX(IF($B:$B=B448,$N:$N)),MAX(IF(B448=HONORARIOS!B:B,HONORARIOS!M:M)))</f>
        <v>44287</v>
      </c>
      <c r="Q448" s="29">
        <f t="shared" si="20"/>
        <v>24</v>
      </c>
    </row>
    <row r="449" spans="2:17" x14ac:dyDescent="0.25">
      <c r="B449" s="5">
        <v>1900</v>
      </c>
      <c r="C449" s="3" t="s">
        <v>26</v>
      </c>
      <c r="D449" s="29">
        <v>3816000</v>
      </c>
      <c r="E449" s="7">
        <v>2019</v>
      </c>
      <c r="F449" s="8">
        <v>1</v>
      </c>
      <c r="G449" s="8">
        <v>0.5</v>
      </c>
      <c r="H449" s="8">
        <v>1</v>
      </c>
      <c r="I449" s="9">
        <v>43556</v>
      </c>
      <c r="J449" s="9"/>
      <c r="K449" s="10">
        <v>1</v>
      </c>
      <c r="L449" s="3" t="s">
        <v>310</v>
      </c>
      <c r="M449" s="9">
        <f t="shared" si="23"/>
        <v>43556</v>
      </c>
      <c r="N449" s="9">
        <f t="shared" si="19"/>
        <v>43586</v>
      </c>
      <c r="O449" s="29">
        <f>VLOOKUP(B449,PROYECTO!A:H,8,0)</f>
        <v>0</v>
      </c>
      <c r="P449" s="9">
        <f t="array" ref="P449">MAX(MAX(IF($B:$B=B449,$N:$N)),MAX(IF(B449=HONORARIOS!B:B,HONORARIOS!M:M)))</f>
        <v>43862</v>
      </c>
      <c r="Q449" s="29">
        <f t="shared" si="20"/>
        <v>1</v>
      </c>
    </row>
    <row r="450" spans="2:17" x14ac:dyDescent="0.25">
      <c r="B450" s="5">
        <v>1900</v>
      </c>
      <c r="C450" s="3" t="s">
        <v>39</v>
      </c>
      <c r="D450" s="29">
        <v>3514494</v>
      </c>
      <c r="E450" s="7">
        <v>2019</v>
      </c>
      <c r="F450" s="8">
        <v>1</v>
      </c>
      <c r="G450" s="8">
        <v>0.5</v>
      </c>
      <c r="H450" s="8">
        <v>1</v>
      </c>
      <c r="I450" s="9">
        <v>43556</v>
      </c>
      <c r="J450" s="9"/>
      <c r="K450" s="10">
        <v>1</v>
      </c>
      <c r="L450" s="3" t="s">
        <v>310</v>
      </c>
      <c r="M450" s="9">
        <f t="shared" si="23"/>
        <v>43556</v>
      </c>
      <c r="N450" s="9">
        <f t="shared" si="19"/>
        <v>43586</v>
      </c>
      <c r="O450" s="29">
        <f>VLOOKUP(B450,PROYECTO!A:H,8,0)</f>
        <v>0</v>
      </c>
      <c r="P450" s="9">
        <f t="array" ref="P450">MAX(MAX(IF($B:$B=B450,$N:$N)),MAX(IF(B450=HONORARIOS!B:B,HONORARIOS!M:M)))</f>
        <v>43862</v>
      </c>
      <c r="Q450" s="29">
        <f t="shared" si="20"/>
        <v>1</v>
      </c>
    </row>
    <row r="451" spans="2:17" x14ac:dyDescent="0.25">
      <c r="B451" s="5">
        <v>1900</v>
      </c>
      <c r="C451" s="3" t="s">
        <v>16</v>
      </c>
      <c r="D451" s="29">
        <v>2618200</v>
      </c>
      <c r="E451" s="7">
        <v>2019</v>
      </c>
      <c r="F451" s="8">
        <v>0.5</v>
      </c>
      <c r="G451" s="8">
        <v>0.5</v>
      </c>
      <c r="H451" s="8">
        <v>1</v>
      </c>
      <c r="I451" s="9">
        <v>43556</v>
      </c>
      <c r="J451" s="9"/>
      <c r="K451" s="10">
        <v>1</v>
      </c>
      <c r="L451" s="3" t="s">
        <v>310</v>
      </c>
      <c r="M451" s="9">
        <f t="shared" si="23"/>
        <v>43556</v>
      </c>
      <c r="N451" s="9">
        <f t="shared" ref="N451:N472" si="24">EDATE(M451,K451)</f>
        <v>43586</v>
      </c>
      <c r="O451" s="29">
        <f>VLOOKUP(B451,PROYECTO!A:H,8,0)</f>
        <v>0</v>
      </c>
      <c r="P451" s="9">
        <f t="array" ref="P451">MAX(MAX(IF($B:$B=B451,$N:$N)),MAX(IF(B451=HONORARIOS!B:B,HONORARIOS!M:M)))</f>
        <v>43862</v>
      </c>
      <c r="Q451" s="29">
        <f t="shared" ref="Q451:Q472" si="25">IF(P451=N451,K451+O451,K451)</f>
        <v>1</v>
      </c>
    </row>
    <row r="452" spans="2:17" x14ac:dyDescent="0.25">
      <c r="B452" s="5">
        <v>1900</v>
      </c>
      <c r="C452" s="3" t="s">
        <v>19</v>
      </c>
      <c r="D452" s="29">
        <v>9826320</v>
      </c>
      <c r="E452" s="7">
        <v>2019</v>
      </c>
      <c r="F452" s="8">
        <v>0.2</v>
      </c>
      <c r="G452" s="8">
        <v>0.62</v>
      </c>
      <c r="H452" s="8">
        <v>1</v>
      </c>
      <c r="I452" s="9">
        <v>43556</v>
      </c>
      <c r="J452" s="9"/>
      <c r="K452" s="10">
        <v>10</v>
      </c>
      <c r="L452" s="3" t="s">
        <v>311</v>
      </c>
      <c r="M452" s="9">
        <f t="shared" si="23"/>
        <v>43556</v>
      </c>
      <c r="N452" s="9">
        <f t="shared" si="24"/>
        <v>43862</v>
      </c>
      <c r="O452" s="29">
        <f>VLOOKUP(B452,PROYECTO!A:H,8,0)</f>
        <v>0</v>
      </c>
      <c r="P452" s="9">
        <f t="array" ref="P452">MAX(MAX(IF($B:$B=B452,$N:$N)),MAX(IF(B452=HONORARIOS!B:B,HONORARIOS!M:M)))</f>
        <v>43862</v>
      </c>
      <c r="Q452" s="29">
        <f t="shared" si="25"/>
        <v>10</v>
      </c>
    </row>
    <row r="453" spans="2:17" x14ac:dyDescent="0.25">
      <c r="B453" s="5">
        <v>1900</v>
      </c>
      <c r="C453" s="3" t="s">
        <v>122</v>
      </c>
      <c r="D453" s="29">
        <v>4500000</v>
      </c>
      <c r="E453" s="7">
        <v>2019</v>
      </c>
      <c r="F453" s="8">
        <v>1</v>
      </c>
      <c r="G453" s="8">
        <v>0.5</v>
      </c>
      <c r="H453" s="8">
        <v>1</v>
      </c>
      <c r="I453" s="9">
        <v>43556</v>
      </c>
      <c r="J453" s="9"/>
      <c r="K453" s="10">
        <v>10</v>
      </c>
      <c r="L453" s="3" t="s">
        <v>311</v>
      </c>
      <c r="M453" s="9">
        <f t="shared" si="23"/>
        <v>43556</v>
      </c>
      <c r="N453" s="9">
        <f t="shared" si="24"/>
        <v>43862</v>
      </c>
      <c r="O453" s="29">
        <f>VLOOKUP(B453,PROYECTO!A:H,8,0)</f>
        <v>0</v>
      </c>
      <c r="P453" s="9">
        <f t="array" ref="P453">MAX(MAX(IF($B:$B=B453,$N:$N)),MAX(IF(B453=HONORARIOS!B:B,HONORARIOS!M:M)))</f>
        <v>43862</v>
      </c>
      <c r="Q453" s="29">
        <f t="shared" si="25"/>
        <v>10</v>
      </c>
    </row>
    <row r="454" spans="2:17" x14ac:dyDescent="0.25">
      <c r="B454" s="5">
        <v>1900</v>
      </c>
      <c r="C454" s="3" t="s">
        <v>29</v>
      </c>
      <c r="D454" s="29">
        <v>2615518</v>
      </c>
      <c r="E454" s="7">
        <v>2019</v>
      </c>
      <c r="F454" s="8">
        <v>0.5</v>
      </c>
      <c r="G454" s="8">
        <v>0.5</v>
      </c>
      <c r="H454" s="8">
        <v>1</v>
      </c>
      <c r="I454" s="9">
        <v>43556</v>
      </c>
      <c r="J454" s="9"/>
      <c r="K454" s="10">
        <v>7</v>
      </c>
      <c r="L454" s="3" t="s">
        <v>311</v>
      </c>
      <c r="M454" s="9">
        <f t="shared" si="23"/>
        <v>43556</v>
      </c>
      <c r="N454" s="9">
        <f t="shared" si="24"/>
        <v>43770</v>
      </c>
      <c r="O454" s="29">
        <f>VLOOKUP(B454,PROYECTO!A:H,8,0)</f>
        <v>0</v>
      </c>
      <c r="P454" s="9">
        <f t="array" ref="P454">MAX(MAX(IF($B:$B=B454,$N:$N)),MAX(IF(B454=HONORARIOS!B:B,HONORARIOS!M:M)))</f>
        <v>43862</v>
      </c>
      <c r="Q454" s="29">
        <f t="shared" si="25"/>
        <v>7</v>
      </c>
    </row>
    <row r="455" spans="2:17" x14ac:dyDescent="0.25">
      <c r="B455" s="5">
        <v>1900</v>
      </c>
      <c r="C455" s="3" t="s">
        <v>39</v>
      </c>
      <c r="D455" s="29">
        <v>2718900</v>
      </c>
      <c r="E455" s="7">
        <v>2019</v>
      </c>
      <c r="F455" s="8">
        <v>1</v>
      </c>
      <c r="G455" s="8">
        <v>0.5</v>
      </c>
      <c r="H455" s="8">
        <v>1</v>
      </c>
      <c r="I455" s="9">
        <v>43556</v>
      </c>
      <c r="J455" s="9"/>
      <c r="K455" s="10">
        <v>10</v>
      </c>
      <c r="L455" s="3" t="s">
        <v>311</v>
      </c>
      <c r="M455" s="9">
        <f t="shared" si="23"/>
        <v>43556</v>
      </c>
      <c r="N455" s="9">
        <f t="shared" si="24"/>
        <v>43862</v>
      </c>
      <c r="O455" s="29">
        <f>VLOOKUP(B455,PROYECTO!A:H,8,0)</f>
        <v>0</v>
      </c>
      <c r="P455" s="9">
        <f t="array" ref="P455">MAX(MAX(IF($B:$B=B455,$N:$N)),MAX(IF(B455=HONORARIOS!B:B,HONORARIOS!M:M)))</f>
        <v>43862</v>
      </c>
      <c r="Q455" s="29">
        <f t="shared" si="25"/>
        <v>10</v>
      </c>
    </row>
    <row r="456" spans="2:17" x14ac:dyDescent="0.25">
      <c r="B456" s="5">
        <v>1900</v>
      </c>
      <c r="C456" s="3" t="s">
        <v>38</v>
      </c>
      <c r="D456" s="29">
        <v>2424686</v>
      </c>
      <c r="E456" s="7">
        <v>2019</v>
      </c>
      <c r="F456" s="8">
        <v>1.2</v>
      </c>
      <c r="G456" s="8">
        <v>0.59</v>
      </c>
      <c r="H456" s="8">
        <v>1</v>
      </c>
      <c r="I456" s="9">
        <v>43556</v>
      </c>
      <c r="J456" s="9"/>
      <c r="K456" s="10">
        <v>9</v>
      </c>
      <c r="L456" s="3" t="s">
        <v>311</v>
      </c>
      <c r="M456" s="9">
        <f t="shared" si="23"/>
        <v>43556</v>
      </c>
      <c r="N456" s="9">
        <f t="shared" si="24"/>
        <v>43831</v>
      </c>
      <c r="O456" s="29">
        <f>VLOOKUP(B456,PROYECTO!A:H,8,0)</f>
        <v>0</v>
      </c>
      <c r="P456" s="9">
        <f t="array" ref="P456">MAX(MAX(IF($B:$B=B456,$N:$N)),MAX(IF(B456=HONORARIOS!B:B,HONORARIOS!M:M)))</f>
        <v>43862</v>
      </c>
      <c r="Q456" s="29">
        <f t="shared" si="25"/>
        <v>9</v>
      </c>
    </row>
    <row r="457" spans="2:17" x14ac:dyDescent="0.25">
      <c r="B457" s="5">
        <v>1900</v>
      </c>
      <c r="C457" s="3" t="s">
        <v>26</v>
      </c>
      <c r="D457" s="29">
        <v>3710000</v>
      </c>
      <c r="E457" s="7">
        <v>2019</v>
      </c>
      <c r="F457" s="8">
        <v>1.35</v>
      </c>
      <c r="G457" s="8">
        <v>0.5</v>
      </c>
      <c r="H457" s="8">
        <v>1</v>
      </c>
      <c r="I457" s="9">
        <v>43556</v>
      </c>
      <c r="J457" s="9"/>
      <c r="K457" s="10">
        <v>4</v>
      </c>
      <c r="L457" s="3" t="s">
        <v>312</v>
      </c>
      <c r="M457" s="9">
        <f t="shared" si="23"/>
        <v>43556</v>
      </c>
      <c r="N457" s="9">
        <f t="shared" si="24"/>
        <v>43678</v>
      </c>
      <c r="O457" s="29">
        <f>VLOOKUP(B457,PROYECTO!A:H,8,0)</f>
        <v>0</v>
      </c>
      <c r="P457" s="9">
        <f t="array" ref="P457">MAX(MAX(IF($B:$B=B457,$N:$N)),MAX(IF(B457=HONORARIOS!B:B,HONORARIOS!M:M)))</f>
        <v>43862</v>
      </c>
      <c r="Q457" s="29">
        <f t="shared" si="25"/>
        <v>4</v>
      </c>
    </row>
    <row r="458" spans="2:17" x14ac:dyDescent="0.25">
      <c r="B458" s="5">
        <v>1900</v>
      </c>
      <c r="C458" s="3" t="s">
        <v>38</v>
      </c>
      <c r="D458" s="29">
        <v>2424686</v>
      </c>
      <c r="E458" s="7">
        <v>2019</v>
      </c>
      <c r="F458" s="8">
        <v>1.35</v>
      </c>
      <c r="G458" s="8">
        <v>0.59</v>
      </c>
      <c r="H458" s="8">
        <v>1</v>
      </c>
      <c r="I458" s="9">
        <v>43556</v>
      </c>
      <c r="J458" s="9"/>
      <c r="K458" s="10">
        <v>3</v>
      </c>
      <c r="L458" s="3" t="s">
        <v>312</v>
      </c>
      <c r="M458" s="9">
        <f t="shared" si="23"/>
        <v>43556</v>
      </c>
      <c r="N458" s="9">
        <f t="shared" si="24"/>
        <v>43647</v>
      </c>
      <c r="O458" s="29">
        <f>VLOOKUP(B458,PROYECTO!A:H,8,0)</f>
        <v>0</v>
      </c>
      <c r="P458" s="9">
        <f t="array" ref="P458">MAX(MAX(IF($B:$B=B458,$N:$N)),MAX(IF(B458=HONORARIOS!B:B,HONORARIOS!M:M)))</f>
        <v>43862</v>
      </c>
      <c r="Q458" s="29">
        <f t="shared" si="25"/>
        <v>3</v>
      </c>
    </row>
    <row r="459" spans="2:17" x14ac:dyDescent="0.25">
      <c r="B459" s="5">
        <v>1790</v>
      </c>
      <c r="C459" s="3" t="s">
        <v>19</v>
      </c>
      <c r="D459" s="29">
        <v>9683100</v>
      </c>
      <c r="E459" s="7">
        <v>2019</v>
      </c>
      <c r="F459" s="8">
        <v>0.16</v>
      </c>
      <c r="G459" s="8">
        <v>0.5</v>
      </c>
      <c r="H459" s="8">
        <v>1</v>
      </c>
      <c r="I459" s="9">
        <v>43556</v>
      </c>
      <c r="J459" s="9"/>
      <c r="K459" s="10">
        <v>21</v>
      </c>
      <c r="L459" s="3" t="s">
        <v>313</v>
      </c>
      <c r="M459" s="9">
        <f t="shared" si="23"/>
        <v>43556</v>
      </c>
      <c r="N459" s="9">
        <f t="shared" si="24"/>
        <v>44197</v>
      </c>
      <c r="O459" s="29">
        <f>VLOOKUP(B459,PROYECTO!A:H,8,0)</f>
        <v>0</v>
      </c>
      <c r="P459" s="9">
        <f t="array" ref="P459">MAX(MAX(IF($B:$B=B459,$N:$N)),MAX(IF(B459=HONORARIOS!B:B,HONORARIOS!M:M)))</f>
        <v>44317</v>
      </c>
      <c r="Q459" s="29">
        <f t="shared" si="25"/>
        <v>21</v>
      </c>
    </row>
    <row r="460" spans="2:17" x14ac:dyDescent="0.25">
      <c r="B460" s="5">
        <v>1790</v>
      </c>
      <c r="C460" s="3" t="s">
        <v>19</v>
      </c>
      <c r="D460" s="29">
        <v>9683100</v>
      </c>
      <c r="E460" s="7">
        <v>2019</v>
      </c>
      <c r="F460" s="8">
        <v>0.05</v>
      </c>
      <c r="G460" s="8">
        <v>0.5</v>
      </c>
      <c r="H460" s="8">
        <v>1</v>
      </c>
      <c r="I460" s="9">
        <v>43556</v>
      </c>
      <c r="J460" s="9"/>
      <c r="K460" s="10">
        <v>4</v>
      </c>
      <c r="L460" s="3" t="s">
        <v>313</v>
      </c>
      <c r="M460" s="9">
        <f t="shared" si="23"/>
        <v>43556</v>
      </c>
      <c r="N460" s="9">
        <f t="shared" si="24"/>
        <v>43678</v>
      </c>
      <c r="O460" s="29">
        <f>VLOOKUP(B460,PROYECTO!A:H,8,0)</f>
        <v>0</v>
      </c>
      <c r="P460" s="9">
        <f t="array" ref="P460">MAX(MAX(IF($B:$B=B460,$N:$N)),MAX(IF(B460=HONORARIOS!B:B,HONORARIOS!M:M)))</f>
        <v>44317</v>
      </c>
      <c r="Q460" s="29">
        <f t="shared" si="25"/>
        <v>4</v>
      </c>
    </row>
    <row r="461" spans="2:17" x14ac:dyDescent="0.25">
      <c r="B461" s="5">
        <v>1790</v>
      </c>
      <c r="C461" s="3" t="s">
        <v>173</v>
      </c>
      <c r="D461" s="29">
        <v>6678000</v>
      </c>
      <c r="E461" s="7">
        <v>2019</v>
      </c>
      <c r="F461" s="8">
        <v>1</v>
      </c>
      <c r="G461" s="8">
        <v>0.48</v>
      </c>
      <c r="H461" s="8">
        <v>1</v>
      </c>
      <c r="I461" s="9">
        <v>43556</v>
      </c>
      <c r="J461" s="9"/>
      <c r="K461" s="10">
        <v>25</v>
      </c>
      <c r="L461" s="3" t="s">
        <v>313</v>
      </c>
      <c r="M461" s="9">
        <f t="shared" si="23"/>
        <v>43556</v>
      </c>
      <c r="N461" s="9">
        <f t="shared" si="24"/>
        <v>44317</v>
      </c>
      <c r="O461" s="29">
        <f>VLOOKUP(B461,PROYECTO!A:H,8,0)</f>
        <v>0</v>
      </c>
      <c r="P461" s="9">
        <f t="array" ref="P461">MAX(MAX(IF($B:$B=B461,$N:$N)),MAX(IF(B461=HONORARIOS!B:B,HONORARIOS!M:M)))</f>
        <v>44317</v>
      </c>
      <c r="Q461" s="29">
        <f t="shared" si="25"/>
        <v>25</v>
      </c>
    </row>
    <row r="462" spans="2:17" x14ac:dyDescent="0.25">
      <c r="B462" s="5">
        <v>1790</v>
      </c>
      <c r="C462" s="3" t="s">
        <v>314</v>
      </c>
      <c r="D462" s="29">
        <v>4006800</v>
      </c>
      <c r="E462" s="7">
        <v>2019</v>
      </c>
      <c r="F462" s="8">
        <v>1</v>
      </c>
      <c r="G462" s="8">
        <v>0.48</v>
      </c>
      <c r="H462" s="8">
        <v>1</v>
      </c>
      <c r="I462" s="9">
        <v>43556</v>
      </c>
      <c r="J462" s="9"/>
      <c r="K462" s="10">
        <v>14</v>
      </c>
      <c r="L462" s="3" t="s">
        <v>313</v>
      </c>
      <c r="M462" s="9">
        <f t="shared" si="23"/>
        <v>43556</v>
      </c>
      <c r="N462" s="9">
        <f t="shared" si="24"/>
        <v>43983</v>
      </c>
      <c r="O462" s="29">
        <f>VLOOKUP(B462,PROYECTO!A:H,8,0)</f>
        <v>0</v>
      </c>
      <c r="P462" s="9">
        <f t="array" ref="P462">MAX(MAX(IF($B:$B=B462,$N:$N)),MAX(IF(B462=HONORARIOS!B:B,HONORARIOS!M:M)))</f>
        <v>44317</v>
      </c>
      <c r="Q462" s="29">
        <f t="shared" si="25"/>
        <v>14</v>
      </c>
    </row>
    <row r="463" spans="2:17" x14ac:dyDescent="0.25">
      <c r="B463" s="5">
        <v>1790</v>
      </c>
      <c r="C463" s="3" t="s">
        <v>315</v>
      </c>
      <c r="D463" s="29">
        <v>2559900</v>
      </c>
      <c r="E463" s="7">
        <v>2019</v>
      </c>
      <c r="F463" s="8">
        <v>1</v>
      </c>
      <c r="G463" s="8">
        <v>0.53</v>
      </c>
      <c r="H463" s="8">
        <v>1</v>
      </c>
      <c r="I463" s="9">
        <v>43556</v>
      </c>
      <c r="J463" s="9"/>
      <c r="K463" s="10">
        <v>13</v>
      </c>
      <c r="L463" s="3" t="s">
        <v>313</v>
      </c>
      <c r="M463" s="9">
        <f t="shared" si="23"/>
        <v>43556</v>
      </c>
      <c r="N463" s="9">
        <f t="shared" si="24"/>
        <v>43952</v>
      </c>
      <c r="O463" s="29">
        <f>VLOOKUP(B463,PROYECTO!A:H,8,0)</f>
        <v>0</v>
      </c>
      <c r="P463" s="9">
        <f t="array" ref="P463">MAX(MAX(IF($B:$B=B463,$N:$N)),MAX(IF(B463=HONORARIOS!B:B,HONORARIOS!M:M)))</f>
        <v>44317</v>
      </c>
      <c r="Q463" s="29">
        <f t="shared" si="25"/>
        <v>13</v>
      </c>
    </row>
    <row r="464" spans="2:17" x14ac:dyDescent="0.25">
      <c r="B464" s="5">
        <v>1790</v>
      </c>
      <c r="C464" s="3" t="s">
        <v>316</v>
      </c>
      <c r="D464" s="29">
        <v>4799753</v>
      </c>
      <c r="E464" s="7">
        <v>2019</v>
      </c>
      <c r="F464" s="8">
        <v>1</v>
      </c>
      <c r="G464" s="8">
        <v>0.48</v>
      </c>
      <c r="H464" s="8">
        <v>1</v>
      </c>
      <c r="I464" s="9">
        <v>43556</v>
      </c>
      <c r="J464" s="9"/>
      <c r="K464" s="10">
        <v>15</v>
      </c>
      <c r="L464" s="3" t="s">
        <v>313</v>
      </c>
      <c r="M464" s="9">
        <f t="shared" si="23"/>
        <v>43556</v>
      </c>
      <c r="N464" s="9">
        <f t="shared" si="24"/>
        <v>44013</v>
      </c>
      <c r="O464" s="29">
        <f>VLOOKUP(B464,PROYECTO!A:H,8,0)</f>
        <v>0</v>
      </c>
      <c r="P464" s="9">
        <f t="array" ref="P464">MAX(MAX(IF($B:$B=B464,$N:$N)),MAX(IF(B464=HONORARIOS!B:B,HONORARIOS!M:M)))</f>
        <v>44317</v>
      </c>
      <c r="Q464" s="29">
        <f t="shared" si="25"/>
        <v>15</v>
      </c>
    </row>
    <row r="465" spans="2:17" x14ac:dyDescent="0.25">
      <c r="B465" s="5">
        <v>1790</v>
      </c>
      <c r="C465" s="3" t="s">
        <v>314</v>
      </c>
      <c r="D465" s="29">
        <v>4006800</v>
      </c>
      <c r="E465" s="7">
        <v>2019</v>
      </c>
      <c r="F465" s="8">
        <v>1</v>
      </c>
      <c r="G465" s="8">
        <v>0.48</v>
      </c>
      <c r="H465" s="8">
        <v>1</v>
      </c>
      <c r="I465" s="9">
        <v>43556</v>
      </c>
      <c r="J465" s="9"/>
      <c r="K465" s="10">
        <v>14</v>
      </c>
      <c r="L465" s="3" t="s">
        <v>313</v>
      </c>
      <c r="M465" s="9">
        <f t="shared" si="23"/>
        <v>43556</v>
      </c>
      <c r="N465" s="9">
        <f t="shared" si="24"/>
        <v>43983</v>
      </c>
      <c r="O465" s="29">
        <f>VLOOKUP(B465,PROYECTO!A:H,8,0)</f>
        <v>0</v>
      </c>
      <c r="P465" s="9">
        <f t="array" ref="P465">MAX(MAX(IF($B:$B=B465,$N:$N)),MAX(IF(B465=HONORARIOS!B:B,HONORARIOS!M:M)))</f>
        <v>44317</v>
      </c>
      <c r="Q465" s="29">
        <f t="shared" si="25"/>
        <v>14</v>
      </c>
    </row>
    <row r="466" spans="2:17" x14ac:dyDescent="0.25">
      <c r="B466" s="5">
        <v>1790</v>
      </c>
      <c r="C466" s="3" t="s">
        <v>59</v>
      </c>
      <c r="D466" s="29">
        <v>2599900</v>
      </c>
      <c r="E466" s="7">
        <v>2019</v>
      </c>
      <c r="F466" s="8">
        <v>1</v>
      </c>
      <c r="G466" s="8">
        <v>0.48</v>
      </c>
      <c r="H466" s="8">
        <v>1</v>
      </c>
      <c r="I466" s="9">
        <v>43556</v>
      </c>
      <c r="J466" s="9"/>
      <c r="K466" s="10">
        <v>21</v>
      </c>
      <c r="L466" s="3" t="s">
        <v>313</v>
      </c>
      <c r="M466" s="9">
        <f t="shared" si="23"/>
        <v>43556</v>
      </c>
      <c r="N466" s="9">
        <f t="shared" si="24"/>
        <v>44197</v>
      </c>
      <c r="O466" s="29">
        <f>VLOOKUP(B466,PROYECTO!A:H,8,0)</f>
        <v>0</v>
      </c>
      <c r="P466" s="9">
        <f t="array" ref="P466">MAX(MAX(IF($B:$B=B466,$N:$N)),MAX(IF(B466=HONORARIOS!B:B,HONORARIOS!M:M)))</f>
        <v>44317</v>
      </c>
      <c r="Q466" s="29">
        <f t="shared" si="25"/>
        <v>21</v>
      </c>
    </row>
    <row r="467" spans="2:17" x14ac:dyDescent="0.25">
      <c r="B467" s="5">
        <v>1790</v>
      </c>
      <c r="C467" s="3" t="s">
        <v>139</v>
      </c>
      <c r="D467" s="29">
        <v>4062450</v>
      </c>
      <c r="E467" s="7">
        <v>2019</v>
      </c>
      <c r="F467" s="8">
        <v>1</v>
      </c>
      <c r="G467" s="8">
        <v>0.48</v>
      </c>
      <c r="H467" s="8">
        <v>1</v>
      </c>
      <c r="I467" s="9">
        <v>43556</v>
      </c>
      <c r="J467" s="9"/>
      <c r="K467" s="10">
        <v>21</v>
      </c>
      <c r="L467" s="3" t="s">
        <v>313</v>
      </c>
      <c r="M467" s="9">
        <f t="shared" si="23"/>
        <v>43556</v>
      </c>
      <c r="N467" s="9">
        <f t="shared" si="24"/>
        <v>44197</v>
      </c>
      <c r="O467" s="29">
        <f>VLOOKUP(B467,PROYECTO!A:H,8,0)</f>
        <v>0</v>
      </c>
      <c r="P467" s="9">
        <f t="array" ref="P467">MAX(MAX(IF($B:$B=B467,$N:$N)),MAX(IF(B467=HONORARIOS!B:B,HONORARIOS!M:M)))</f>
        <v>44317</v>
      </c>
      <c r="Q467" s="29">
        <f t="shared" si="25"/>
        <v>21</v>
      </c>
    </row>
    <row r="468" spans="2:17" x14ac:dyDescent="0.25">
      <c r="B468" s="5">
        <v>1790</v>
      </c>
      <c r="C468" s="3" t="s">
        <v>317</v>
      </c>
      <c r="D468" s="29">
        <v>3339000</v>
      </c>
      <c r="E468" s="7">
        <v>2019</v>
      </c>
      <c r="F468" s="8">
        <v>1</v>
      </c>
      <c r="G468" s="8">
        <v>0.48</v>
      </c>
      <c r="H468" s="8">
        <v>1</v>
      </c>
      <c r="I468" s="9">
        <v>43556</v>
      </c>
      <c r="J468" s="9"/>
      <c r="K468" s="10">
        <v>16</v>
      </c>
      <c r="L468" s="3" t="s">
        <v>313</v>
      </c>
      <c r="M468" s="9">
        <f t="shared" si="23"/>
        <v>43556</v>
      </c>
      <c r="N468" s="9">
        <f t="shared" si="24"/>
        <v>44044</v>
      </c>
      <c r="O468" s="29">
        <f>VLOOKUP(B468,PROYECTO!A:H,8,0)</f>
        <v>0</v>
      </c>
      <c r="P468" s="9">
        <f t="array" ref="P468">MAX(MAX(IF($B:$B=B468,$N:$N)),MAX(IF(B468=HONORARIOS!B:B,HONORARIOS!M:M)))</f>
        <v>44317</v>
      </c>
      <c r="Q468" s="29">
        <f t="shared" si="25"/>
        <v>16</v>
      </c>
    </row>
    <row r="469" spans="2:17" x14ac:dyDescent="0.25">
      <c r="B469" s="5">
        <v>1790</v>
      </c>
      <c r="C469" s="3" t="s">
        <v>174</v>
      </c>
      <c r="D469" s="29">
        <v>3116400</v>
      </c>
      <c r="E469" s="7">
        <v>2019</v>
      </c>
      <c r="F469" s="8">
        <v>1</v>
      </c>
      <c r="G469" s="8">
        <v>0.48</v>
      </c>
      <c r="H469" s="8">
        <v>1</v>
      </c>
      <c r="I469" s="9">
        <v>43556</v>
      </c>
      <c r="J469" s="9"/>
      <c r="K469" s="10">
        <v>20</v>
      </c>
      <c r="L469" s="3" t="s">
        <v>313</v>
      </c>
      <c r="M469" s="9">
        <f t="shared" si="23"/>
        <v>43556</v>
      </c>
      <c r="N469" s="9">
        <f t="shared" si="24"/>
        <v>44166</v>
      </c>
      <c r="O469" s="29">
        <f>VLOOKUP(B469,PROYECTO!A:H,8,0)</f>
        <v>0</v>
      </c>
      <c r="P469" s="9">
        <f t="array" ref="P469">MAX(MAX(IF($B:$B=B469,$N:$N)),MAX(IF(B469=HONORARIOS!B:B,HONORARIOS!M:M)))</f>
        <v>44317</v>
      </c>
      <c r="Q469" s="29">
        <f t="shared" si="25"/>
        <v>20</v>
      </c>
    </row>
    <row r="470" spans="2:17" x14ac:dyDescent="0.25">
      <c r="B470" s="5">
        <v>1790</v>
      </c>
      <c r="C470" s="3" t="s">
        <v>135</v>
      </c>
      <c r="D470" s="29">
        <v>2398515</v>
      </c>
      <c r="E470" s="7">
        <v>2019</v>
      </c>
      <c r="F470" s="8">
        <v>1</v>
      </c>
      <c r="G470" s="8">
        <v>0.53</v>
      </c>
      <c r="H470" s="8">
        <v>1</v>
      </c>
      <c r="I470" s="9">
        <v>43556</v>
      </c>
      <c r="J470" s="9"/>
      <c r="K470" s="10">
        <v>16</v>
      </c>
      <c r="L470" s="3" t="s">
        <v>313</v>
      </c>
      <c r="M470" s="9">
        <f t="shared" si="23"/>
        <v>43556</v>
      </c>
      <c r="N470" s="9">
        <f t="shared" si="24"/>
        <v>44044</v>
      </c>
      <c r="O470" s="29">
        <f>VLOOKUP(B470,PROYECTO!A:H,8,0)</f>
        <v>0</v>
      </c>
      <c r="P470" s="9">
        <f t="array" ref="P470">MAX(MAX(IF($B:$B=B470,$N:$N)),MAX(IF(B470=HONORARIOS!B:B,HONORARIOS!M:M)))</f>
        <v>44317</v>
      </c>
      <c r="Q470" s="29">
        <f t="shared" si="25"/>
        <v>16</v>
      </c>
    </row>
    <row r="471" spans="2:17" x14ac:dyDescent="0.25">
      <c r="B471" s="5">
        <v>1790</v>
      </c>
      <c r="C471" s="3" t="s">
        <v>182</v>
      </c>
      <c r="D471" s="29">
        <v>2404080</v>
      </c>
      <c r="E471" s="7">
        <v>2019</v>
      </c>
      <c r="F471" s="8">
        <v>1</v>
      </c>
      <c r="G471" s="8">
        <v>0.53</v>
      </c>
      <c r="H471" s="8">
        <v>1</v>
      </c>
      <c r="I471" s="9">
        <v>43556</v>
      </c>
      <c r="J471" s="9"/>
      <c r="K471" s="10">
        <v>16</v>
      </c>
      <c r="L471" s="3" t="s">
        <v>313</v>
      </c>
      <c r="M471" s="9">
        <f t="shared" si="23"/>
        <v>43556</v>
      </c>
      <c r="N471" s="9">
        <f t="shared" si="24"/>
        <v>44044</v>
      </c>
      <c r="O471" s="29">
        <f>VLOOKUP(B471,PROYECTO!A:H,8,0)</f>
        <v>0</v>
      </c>
      <c r="P471" s="9">
        <f t="array" ref="P471">MAX(MAX(IF($B:$B=B471,$N:$N)),MAX(IF(B471=HONORARIOS!B:B,HONORARIOS!M:M)))</f>
        <v>44317</v>
      </c>
      <c r="Q471" s="29">
        <f t="shared" si="25"/>
        <v>16</v>
      </c>
    </row>
    <row r="472" spans="2:17" x14ac:dyDescent="0.25">
      <c r="B472" s="5">
        <v>1790</v>
      </c>
      <c r="C472" s="3" t="s">
        <v>318</v>
      </c>
      <c r="D472" s="29">
        <v>2404080</v>
      </c>
      <c r="E472" s="7">
        <v>2019</v>
      </c>
      <c r="F472" s="8">
        <v>1</v>
      </c>
      <c r="G472" s="8">
        <v>0.53</v>
      </c>
      <c r="H472" s="8">
        <v>1</v>
      </c>
      <c r="I472" s="9">
        <v>43556</v>
      </c>
      <c r="J472" s="9"/>
      <c r="K472" s="10">
        <v>9</v>
      </c>
      <c r="L472" s="3" t="s">
        <v>313</v>
      </c>
      <c r="M472" s="9">
        <f t="shared" ref="M472" si="26">(MONTH(I472)&amp;"-"&amp;YEAR(I472))*1</f>
        <v>43556</v>
      </c>
      <c r="N472" s="9">
        <f t="shared" si="24"/>
        <v>43831</v>
      </c>
      <c r="O472" s="29">
        <f>VLOOKUP(B472,PROYECTO!A:H,8,0)</f>
        <v>0</v>
      </c>
      <c r="P472" s="9">
        <f t="array" ref="P472">MAX(MAX(IF($B:$B=B472,$N:$N)),MAX(IF(B472=HONORARIOS!B:B,HONORARIOS!M:M)))</f>
        <v>44317</v>
      </c>
      <c r="Q472" s="29">
        <f t="shared" si="25"/>
        <v>9</v>
      </c>
    </row>
  </sheetData>
  <autoFilter ref="B1:Q47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P151"/>
  <sheetViews>
    <sheetView workbookViewId="0">
      <pane xSplit="3" ySplit="1" topLeftCell="E2" activePane="bottomRight" state="frozen"/>
      <selection pane="topRight" activeCell="D1" sqref="D1"/>
      <selection pane="bottomLeft" activeCell="A2" sqref="A2"/>
      <selection pane="bottomRight" activeCell="G2" sqref="G2"/>
    </sheetView>
  </sheetViews>
  <sheetFormatPr baseColWidth="10" defaultRowHeight="15" x14ac:dyDescent="0.25"/>
  <cols>
    <col min="1" max="1" width="5" bestFit="1" customWidth="1"/>
    <col min="2" max="2" width="5.7109375" bestFit="1" customWidth="1"/>
    <col min="3" max="3" width="13.140625" bestFit="1" customWidth="1"/>
    <col min="4" max="4" width="10.7109375" bestFit="1" customWidth="1"/>
    <col min="5" max="5" width="22" bestFit="1" customWidth="1"/>
    <col min="6" max="6" width="6.85546875" bestFit="1" customWidth="1"/>
    <col min="7" max="7" width="13.140625" bestFit="1" customWidth="1"/>
    <col min="8" max="8" width="16.5703125" style="23" bestFit="1" customWidth="1"/>
    <col min="9" max="9" width="15.5703125" bestFit="1" customWidth="1"/>
    <col min="10" max="10" width="27.7109375" customWidth="1"/>
    <col min="11" max="11" width="13.28515625" bestFit="1" customWidth="1"/>
  </cols>
  <sheetData>
    <row r="1" spans="2:16" ht="30" x14ac:dyDescent="0.25">
      <c r="B1" s="13" t="s">
        <v>184</v>
      </c>
      <c r="C1" s="13" t="s">
        <v>185</v>
      </c>
      <c r="D1" s="13" t="s">
        <v>186</v>
      </c>
      <c r="E1" s="13" t="s">
        <v>187</v>
      </c>
      <c r="F1" s="13" t="s">
        <v>188</v>
      </c>
      <c r="G1" s="13" t="s">
        <v>189</v>
      </c>
      <c r="H1" s="30" t="s">
        <v>190</v>
      </c>
      <c r="I1" s="13" t="s">
        <v>191</v>
      </c>
      <c r="J1" s="13" t="s">
        <v>11</v>
      </c>
      <c r="K1" s="13" t="s">
        <v>253</v>
      </c>
      <c r="L1" s="13" t="s">
        <v>322</v>
      </c>
      <c r="M1" s="13" t="s">
        <v>1</v>
      </c>
      <c r="N1" s="13" t="s">
        <v>323</v>
      </c>
      <c r="O1" s="13" t="s">
        <v>222</v>
      </c>
      <c r="P1" s="13" t="s">
        <v>324</v>
      </c>
    </row>
    <row r="2" spans="2:16" x14ac:dyDescent="0.25">
      <c r="B2" s="5">
        <v>1507</v>
      </c>
      <c r="C2" s="3" t="s">
        <v>192</v>
      </c>
      <c r="D2" s="9">
        <v>43617</v>
      </c>
      <c r="E2" s="9"/>
      <c r="F2" s="14">
        <v>1</v>
      </c>
      <c r="G2" s="3" t="s">
        <v>193</v>
      </c>
      <c r="H2" s="29">
        <v>577000000</v>
      </c>
      <c r="I2" s="3"/>
      <c r="J2" s="3"/>
      <c r="K2" s="3"/>
      <c r="L2" s="9">
        <f>(MONTH(D2)&amp;"-"&amp;YEAR(D2))*1</f>
        <v>43617</v>
      </c>
      <c r="M2" s="9">
        <f>EDATE(D2,F2)</f>
        <v>43647</v>
      </c>
      <c r="N2">
        <f>VLOOKUP(B2,PROYECTO!A:H,8,0)</f>
        <v>0</v>
      </c>
      <c r="O2" s="9">
        <f t="array" ref="O2">MAX(MAX(IF($B:$B=B2,$M:$M)),MAX(IF(PERSONAS!B:B=B2,PERSONAS!N:N)))</f>
        <v>43647</v>
      </c>
      <c r="P2" s="29">
        <f>IF(O2=M2,F2+N2,F2)</f>
        <v>1</v>
      </c>
    </row>
    <row r="3" spans="2:16" x14ac:dyDescent="0.25">
      <c r="B3" s="5">
        <v>1580</v>
      </c>
      <c r="C3" s="3" t="s">
        <v>192</v>
      </c>
      <c r="D3" s="9">
        <v>43405</v>
      </c>
      <c r="E3" s="9">
        <v>43404</v>
      </c>
      <c r="F3" s="3">
        <v>16</v>
      </c>
      <c r="G3" s="3" t="s">
        <v>193</v>
      </c>
      <c r="H3" s="29">
        <v>29400000</v>
      </c>
      <c r="I3" s="3"/>
      <c r="J3" s="3" t="s">
        <v>254</v>
      </c>
      <c r="K3" s="3"/>
      <c r="L3" s="9">
        <f t="shared" ref="L3:L66" si="0">(MONTH(D3)&amp;"-"&amp;YEAR(D3))*1</f>
        <v>43405</v>
      </c>
      <c r="M3" s="9">
        <f t="shared" ref="M3:M66" si="1">EDATE(D3,F3)</f>
        <v>43891</v>
      </c>
      <c r="N3">
        <f>VLOOKUP(B3,PROYECTO!A:H,8,0)</f>
        <v>0</v>
      </c>
      <c r="O3" s="9">
        <f t="array" ref="O3">MAX(MAX(IF($B:$B=B3,$M:$M)),MAX(IF(PERSONAS!B:B=B3,PERSONAS!N:N)))</f>
        <v>43891</v>
      </c>
      <c r="P3" s="29">
        <f>IF(O3=M3,F3+N3,F3)</f>
        <v>16</v>
      </c>
    </row>
    <row r="4" spans="2:16" x14ac:dyDescent="0.25">
      <c r="B4" s="5">
        <v>1596</v>
      </c>
      <c r="C4" s="3" t="s">
        <v>192</v>
      </c>
      <c r="D4" s="9">
        <v>43077</v>
      </c>
      <c r="E4" s="9">
        <v>43077</v>
      </c>
      <c r="F4" s="3">
        <v>19</v>
      </c>
      <c r="G4" s="3" t="s">
        <v>193</v>
      </c>
      <c r="H4" s="29">
        <v>21263797.894736841</v>
      </c>
      <c r="I4" s="3"/>
      <c r="J4" s="3"/>
      <c r="K4" s="3"/>
      <c r="L4" s="9">
        <f t="shared" si="0"/>
        <v>43070</v>
      </c>
      <c r="M4" s="9">
        <f t="shared" si="1"/>
        <v>43654</v>
      </c>
      <c r="N4">
        <f>VLOOKUP(B4,PROYECTO!A:H,8,0)</f>
        <v>0</v>
      </c>
      <c r="O4" s="9">
        <f t="array" ref="O4">MAX(MAX(IF($B:$B=B4,$M:$M)),MAX(IF(PERSONAS!B:B=B4,PERSONAS!N:N)))</f>
        <v>43654</v>
      </c>
      <c r="P4" s="29">
        <f t="shared" ref="P4:P66" si="2">IF(O4=M4,F4+N4,F4)</f>
        <v>19</v>
      </c>
    </row>
    <row r="5" spans="2:16" x14ac:dyDescent="0.25">
      <c r="B5" s="5">
        <v>1687</v>
      </c>
      <c r="C5" s="3" t="s">
        <v>192</v>
      </c>
      <c r="D5" s="9">
        <v>42556</v>
      </c>
      <c r="E5" s="9">
        <v>42556</v>
      </c>
      <c r="F5" s="3">
        <v>23</v>
      </c>
      <c r="G5" s="3" t="s">
        <v>193</v>
      </c>
      <c r="H5" s="29">
        <v>32000000</v>
      </c>
      <c r="I5" s="3"/>
      <c r="J5" s="3" t="s">
        <v>201</v>
      </c>
      <c r="K5" s="3"/>
      <c r="L5" s="9">
        <f t="shared" si="0"/>
        <v>42552</v>
      </c>
      <c r="M5" s="9">
        <f t="shared" si="1"/>
        <v>43256</v>
      </c>
      <c r="N5">
        <f>VLOOKUP(B5,PROYECTO!A:H,8,0)</f>
        <v>0</v>
      </c>
      <c r="O5" s="9">
        <f t="array" ref="O5">MAX(MAX(IF($B:$B=B5,$M:$M)),MAX(IF(PERSONAS!B:B=B5,PERSONAS!N:N)))</f>
        <v>43586</v>
      </c>
      <c r="P5" s="29">
        <f t="shared" si="2"/>
        <v>23</v>
      </c>
    </row>
    <row r="6" spans="2:16" x14ac:dyDescent="0.25">
      <c r="B6" s="5">
        <v>1689</v>
      </c>
      <c r="C6" s="3" t="s">
        <v>192</v>
      </c>
      <c r="D6" s="9">
        <v>42601</v>
      </c>
      <c r="E6" s="9">
        <v>42601</v>
      </c>
      <c r="F6" s="14">
        <v>38</v>
      </c>
      <c r="G6" s="3" t="s">
        <v>193</v>
      </c>
      <c r="H6" s="29">
        <v>15665740</v>
      </c>
      <c r="I6" s="3"/>
      <c r="J6" s="3" t="s">
        <v>203</v>
      </c>
      <c r="K6" s="3"/>
      <c r="L6" s="9">
        <f t="shared" si="0"/>
        <v>42583</v>
      </c>
      <c r="M6" s="9">
        <f>EDATE(D6,F6)</f>
        <v>43757</v>
      </c>
      <c r="N6">
        <f>VLOOKUP(B6,PROYECTO!A:H,8,0)</f>
        <v>9</v>
      </c>
      <c r="O6" s="9">
        <f t="array" ref="O6">MAX(MAX(IF($B:$B=B6,$M:$M)),MAX(IF(PERSONAS!B:B=B6,PERSONAS!N:N)))</f>
        <v>43800</v>
      </c>
      <c r="P6" s="29">
        <f t="shared" si="2"/>
        <v>38</v>
      </c>
    </row>
    <row r="7" spans="2:16" x14ac:dyDescent="0.25">
      <c r="B7" s="3">
        <v>1701</v>
      </c>
      <c r="C7" s="3" t="s">
        <v>192</v>
      </c>
      <c r="D7" s="9">
        <v>42629</v>
      </c>
      <c r="E7" s="9">
        <v>42614</v>
      </c>
      <c r="F7" s="3">
        <v>10</v>
      </c>
      <c r="G7" s="3" t="s">
        <v>193</v>
      </c>
      <c r="H7" s="29">
        <v>22000000</v>
      </c>
      <c r="I7" s="3"/>
      <c r="J7" s="3" t="s">
        <v>204</v>
      </c>
      <c r="K7" s="3"/>
      <c r="L7" s="9">
        <f t="shared" si="0"/>
        <v>42614</v>
      </c>
      <c r="M7" s="9">
        <f t="shared" si="1"/>
        <v>42932</v>
      </c>
      <c r="N7">
        <f>VLOOKUP(B7,PROYECTO!A:H,8,0)</f>
        <v>0</v>
      </c>
      <c r="O7" s="9">
        <f t="array" ref="O7">MAX(MAX(IF($B:$B=B7,$M:$M)),MAX(IF(PERSONAS!B:B=B7,PERSONAS!N:N)))</f>
        <v>43862</v>
      </c>
      <c r="P7" s="29">
        <f t="shared" si="2"/>
        <v>10</v>
      </c>
    </row>
    <row r="8" spans="2:16" x14ac:dyDescent="0.25">
      <c r="B8" s="3">
        <v>1713</v>
      </c>
      <c r="C8" s="3" t="s">
        <v>192</v>
      </c>
      <c r="D8" s="9">
        <v>42644</v>
      </c>
      <c r="E8" s="9">
        <v>42646</v>
      </c>
      <c r="F8" s="3">
        <v>20</v>
      </c>
      <c r="G8" s="3" t="s">
        <v>193</v>
      </c>
      <c r="H8" s="29">
        <v>24985000</v>
      </c>
      <c r="I8" s="3"/>
      <c r="J8" s="3" t="s">
        <v>206</v>
      </c>
      <c r="K8" s="3"/>
      <c r="L8" s="9">
        <f t="shared" si="0"/>
        <v>42644</v>
      </c>
      <c r="M8" s="9">
        <f t="shared" si="1"/>
        <v>43252</v>
      </c>
      <c r="N8">
        <f>VLOOKUP(B8,PROYECTO!A:H,8,0)</f>
        <v>2</v>
      </c>
      <c r="O8" s="9">
        <f t="array" ref="O8">MAX(MAX(IF($B:$B=B8,$M:$M)),MAX(IF(PERSONAS!B:B=B8,PERSONAS!N:N)))</f>
        <v>43497</v>
      </c>
      <c r="P8" s="29">
        <f t="shared" si="2"/>
        <v>20</v>
      </c>
    </row>
    <row r="9" spans="2:16" x14ac:dyDescent="0.25">
      <c r="B9" s="5">
        <v>1744</v>
      </c>
      <c r="C9" s="3" t="s">
        <v>192</v>
      </c>
      <c r="D9" s="9">
        <v>42793</v>
      </c>
      <c r="E9" s="3">
        <v>42790</v>
      </c>
      <c r="F9" s="3">
        <v>31</v>
      </c>
      <c r="G9" s="3" t="s">
        <v>193</v>
      </c>
      <c r="H9" s="29">
        <v>35458635</v>
      </c>
      <c r="I9" s="3"/>
      <c r="J9" s="3" t="s">
        <v>212</v>
      </c>
      <c r="K9" s="3"/>
      <c r="L9" s="9">
        <f t="shared" si="0"/>
        <v>42767</v>
      </c>
      <c r="M9" s="9">
        <f t="shared" si="1"/>
        <v>43735</v>
      </c>
      <c r="N9">
        <f>VLOOKUP(B9,PROYECTO!A:H,8,0)</f>
        <v>0</v>
      </c>
      <c r="O9" s="9">
        <f t="array" ref="O9">MAX(MAX(IF($B:$B=B9,$M:$M)),MAX(IF(PERSONAS!B:B=B9,PERSONAS!N:N)))</f>
        <v>43735</v>
      </c>
      <c r="P9" s="29">
        <f t="shared" si="2"/>
        <v>31</v>
      </c>
    </row>
    <row r="10" spans="2:16" x14ac:dyDescent="0.25">
      <c r="B10" s="5">
        <v>1751</v>
      </c>
      <c r="C10" s="3" t="s">
        <v>192</v>
      </c>
      <c r="D10" s="9">
        <v>42815</v>
      </c>
      <c r="E10" s="9">
        <v>42815</v>
      </c>
      <c r="F10" s="14">
        <v>24</v>
      </c>
      <c r="G10" s="3" t="s">
        <v>193</v>
      </c>
      <c r="H10" s="29">
        <v>15500000</v>
      </c>
      <c r="I10" s="3"/>
      <c r="J10" s="3"/>
      <c r="K10" s="3"/>
      <c r="L10" s="9">
        <f t="shared" si="0"/>
        <v>42795</v>
      </c>
      <c r="M10" s="9">
        <f t="shared" si="1"/>
        <v>43545</v>
      </c>
      <c r="N10">
        <f>VLOOKUP(B10,PROYECTO!A:H,8,0)</f>
        <v>3</v>
      </c>
      <c r="O10" s="9">
        <f t="array" ref="O10">MAX(MAX(IF($B:$B=B10,$M:$M)),MAX(IF(PERSONAS!B:B=B10,PERSONAS!N:N)))</f>
        <v>43545</v>
      </c>
      <c r="P10" s="29">
        <f t="shared" si="2"/>
        <v>27</v>
      </c>
    </row>
    <row r="11" spans="2:16" x14ac:dyDescent="0.25">
      <c r="B11" s="5">
        <v>1753</v>
      </c>
      <c r="C11" s="3" t="s">
        <v>192</v>
      </c>
      <c r="D11" s="9">
        <v>43282</v>
      </c>
      <c r="E11" s="9"/>
      <c r="F11" s="3">
        <v>7</v>
      </c>
      <c r="G11" s="3" t="s">
        <v>193</v>
      </c>
      <c r="H11" s="29">
        <v>10000000</v>
      </c>
      <c r="I11" s="3"/>
      <c r="J11" s="3" t="s">
        <v>213</v>
      </c>
      <c r="K11" s="3"/>
      <c r="L11" s="9">
        <f t="shared" si="0"/>
        <v>43282</v>
      </c>
      <c r="M11" s="9">
        <f t="shared" si="1"/>
        <v>43497</v>
      </c>
      <c r="N11">
        <f>VLOOKUP(B11,PROYECTO!A:H,8,0)</f>
        <v>0</v>
      </c>
      <c r="O11" s="9">
        <f t="array" ref="O11">MAX(MAX(IF($B:$B=B11,$M:$M)),MAX(IF(PERSONAS!B:B=B11,PERSONAS!N:N)))</f>
        <v>43497</v>
      </c>
      <c r="P11" s="29">
        <f t="shared" si="2"/>
        <v>7</v>
      </c>
    </row>
    <row r="12" spans="2:16" x14ac:dyDescent="0.25">
      <c r="B12" s="5">
        <v>1756</v>
      </c>
      <c r="C12" s="3" t="s">
        <v>192</v>
      </c>
      <c r="D12" s="9">
        <v>42826</v>
      </c>
      <c r="E12" s="9">
        <v>42795</v>
      </c>
      <c r="F12" s="14">
        <v>26</v>
      </c>
      <c r="G12" s="3" t="s">
        <v>193</v>
      </c>
      <c r="H12" s="29">
        <v>62778573</v>
      </c>
      <c r="I12" s="3"/>
      <c r="J12" s="3" t="s">
        <v>292</v>
      </c>
      <c r="K12" s="3"/>
      <c r="L12" s="9">
        <f t="shared" si="0"/>
        <v>42826</v>
      </c>
      <c r="M12" s="9">
        <f t="shared" si="1"/>
        <v>43617</v>
      </c>
      <c r="N12">
        <f>VLOOKUP(B12,PROYECTO!A:H,8,0)</f>
        <v>4</v>
      </c>
      <c r="O12" s="9">
        <f t="array" ref="O12">MAX(MAX(IF($B:$B=B12,$M:$M)),MAX(IF(PERSONAS!B:B=B12,PERSONAS!N:N)))</f>
        <v>43617</v>
      </c>
      <c r="P12" s="29">
        <f t="shared" si="2"/>
        <v>30</v>
      </c>
    </row>
    <row r="13" spans="2:16" x14ac:dyDescent="0.25">
      <c r="B13" s="3">
        <v>1758</v>
      </c>
      <c r="C13" s="3" t="s">
        <v>192</v>
      </c>
      <c r="D13" s="9">
        <v>43009</v>
      </c>
      <c r="E13" s="9">
        <v>43009</v>
      </c>
      <c r="F13" s="14">
        <v>27</v>
      </c>
      <c r="G13" s="3" t="s">
        <v>193</v>
      </c>
      <c r="H13" s="29">
        <v>16500000</v>
      </c>
      <c r="I13" s="3"/>
      <c r="J13" s="3"/>
      <c r="K13" s="3"/>
      <c r="L13" s="9">
        <f t="shared" si="0"/>
        <v>43009</v>
      </c>
      <c r="M13" s="9">
        <f t="shared" si="1"/>
        <v>43831</v>
      </c>
      <c r="N13">
        <f>VLOOKUP(B13,PROYECTO!A:H,8,0)</f>
        <v>0</v>
      </c>
      <c r="O13" s="9">
        <f t="array" ref="O13">MAX(MAX(IF($B:$B=B13,$M:$M)),MAX(IF(PERSONAS!B:B=B13,PERSONAS!N:N)))</f>
        <v>43831</v>
      </c>
      <c r="P13" s="29">
        <f t="shared" si="2"/>
        <v>27</v>
      </c>
    </row>
    <row r="14" spans="2:16" x14ac:dyDescent="0.25">
      <c r="B14" s="5">
        <v>1789</v>
      </c>
      <c r="C14" s="3" t="s">
        <v>192</v>
      </c>
      <c r="D14" s="9">
        <v>43011</v>
      </c>
      <c r="E14" s="9">
        <v>43011</v>
      </c>
      <c r="F14" s="14">
        <v>19</v>
      </c>
      <c r="G14" s="3" t="s">
        <v>193</v>
      </c>
      <c r="H14" s="29">
        <v>15400000</v>
      </c>
      <c r="I14" s="3"/>
      <c r="J14" s="3" t="s">
        <v>288</v>
      </c>
      <c r="K14" s="3"/>
      <c r="L14" s="9">
        <f t="shared" si="0"/>
        <v>43009</v>
      </c>
      <c r="M14" s="9">
        <f t="shared" si="1"/>
        <v>43588</v>
      </c>
      <c r="N14">
        <f>VLOOKUP(B14,PROYECTO!A:H,8,0)</f>
        <v>0</v>
      </c>
      <c r="O14" s="9">
        <f t="array" ref="O14">MAX(MAX(IF($B:$B=B14,$M:$M)),MAX(IF(PERSONAS!B:B=B14,PERSONAS!N:N)))</f>
        <v>43588</v>
      </c>
      <c r="P14" s="29">
        <f t="shared" si="2"/>
        <v>19</v>
      </c>
    </row>
    <row r="15" spans="2:16" x14ac:dyDescent="0.25">
      <c r="B15" s="5">
        <v>1802</v>
      </c>
      <c r="C15" s="3" t="s">
        <v>192</v>
      </c>
      <c r="D15" s="9">
        <v>43070</v>
      </c>
      <c r="E15" s="9">
        <v>43070</v>
      </c>
      <c r="F15" s="14">
        <v>27</v>
      </c>
      <c r="G15" s="3" t="s">
        <v>193</v>
      </c>
      <c r="H15" s="29">
        <v>21063300</v>
      </c>
      <c r="I15" s="3"/>
      <c r="J15" s="3"/>
      <c r="K15" s="3"/>
      <c r="L15" s="9">
        <f t="shared" si="0"/>
        <v>43070</v>
      </c>
      <c r="M15" s="9">
        <f t="shared" si="1"/>
        <v>43891</v>
      </c>
      <c r="N15">
        <f>VLOOKUP(B15,PROYECTO!A:H,8,0)</f>
        <v>0</v>
      </c>
      <c r="O15" s="9">
        <f t="array" ref="O15">MAX(MAX(IF($B:$B=B15,$M:$M)),MAX(IF(PERSONAS!B:B=B15,PERSONAS!N:N)))</f>
        <v>43891</v>
      </c>
      <c r="P15" s="29">
        <f t="shared" si="2"/>
        <v>27</v>
      </c>
    </row>
    <row r="16" spans="2:16" x14ac:dyDescent="0.25">
      <c r="B16" s="3">
        <v>1804</v>
      </c>
      <c r="C16" s="3" t="s">
        <v>192</v>
      </c>
      <c r="D16" s="9">
        <v>43040</v>
      </c>
      <c r="E16" s="9">
        <v>43435</v>
      </c>
      <c r="F16" s="14">
        <v>15</v>
      </c>
      <c r="G16" s="3" t="s">
        <v>193</v>
      </c>
      <c r="H16" s="29">
        <v>29813870</v>
      </c>
      <c r="I16" s="3"/>
      <c r="J16" s="3"/>
      <c r="K16" s="3"/>
      <c r="L16" s="9">
        <f t="shared" si="0"/>
        <v>43040</v>
      </c>
      <c r="M16" s="9">
        <f t="shared" si="1"/>
        <v>43497</v>
      </c>
      <c r="N16">
        <f>VLOOKUP(B16,PROYECTO!A:H,8,0)</f>
        <v>7</v>
      </c>
      <c r="O16" s="9">
        <f t="array" ref="O16">MAX(MAX(IF($B:$B=B16,$M:$M)),MAX(IF(PERSONAS!B:B=B16,PERSONAS!N:N)))</f>
        <v>43497</v>
      </c>
      <c r="P16" s="29">
        <f t="shared" si="2"/>
        <v>22</v>
      </c>
    </row>
    <row r="17" spans="2:16" x14ac:dyDescent="0.25">
      <c r="B17" s="3">
        <v>1813</v>
      </c>
      <c r="C17" s="3" t="s">
        <v>192</v>
      </c>
      <c r="D17" s="9">
        <v>43132</v>
      </c>
      <c r="E17" s="9">
        <v>43132</v>
      </c>
      <c r="F17" s="3">
        <v>15</v>
      </c>
      <c r="G17" s="3" t="s">
        <v>193</v>
      </c>
      <c r="H17" s="29">
        <v>39668026.912500001</v>
      </c>
      <c r="I17" s="3"/>
      <c r="J17" s="3" t="s">
        <v>214</v>
      </c>
      <c r="K17" s="3"/>
      <c r="L17" s="9">
        <f t="shared" si="0"/>
        <v>43132</v>
      </c>
      <c r="M17" s="9">
        <f t="shared" si="1"/>
        <v>43586</v>
      </c>
      <c r="N17">
        <f>VLOOKUP(B17,PROYECTO!A:H,8,0)</f>
        <v>3</v>
      </c>
      <c r="O17" s="9">
        <f t="array" ref="O17">MAX(MAX(IF($B:$B=B17,$M:$M)),MAX(IF(PERSONAS!B:B=B17,PERSONAS!N:N)))</f>
        <v>43586</v>
      </c>
      <c r="P17" s="29">
        <f t="shared" si="2"/>
        <v>18</v>
      </c>
    </row>
    <row r="18" spans="2:16" x14ac:dyDescent="0.25">
      <c r="B18" s="3">
        <v>1813</v>
      </c>
      <c r="C18" s="3" t="s">
        <v>192</v>
      </c>
      <c r="D18" s="9">
        <v>43132</v>
      </c>
      <c r="E18" s="3">
        <v>43132</v>
      </c>
      <c r="F18" s="3">
        <v>15</v>
      </c>
      <c r="G18" s="3" t="s">
        <v>193</v>
      </c>
      <c r="H18" s="29">
        <v>86911842.894736797</v>
      </c>
      <c r="I18" s="3"/>
      <c r="J18" s="3" t="s">
        <v>215</v>
      </c>
      <c r="K18" s="3"/>
      <c r="L18" s="9">
        <f t="shared" si="0"/>
        <v>43132</v>
      </c>
      <c r="M18" s="9">
        <f t="shared" si="1"/>
        <v>43586</v>
      </c>
      <c r="N18">
        <f>VLOOKUP(B18,PROYECTO!A:H,8,0)</f>
        <v>3</v>
      </c>
      <c r="O18" s="9">
        <f t="array" ref="O18">MAX(MAX(IF($B:$B=B18,$M:$M)),MAX(IF(PERSONAS!B:B=B18,PERSONAS!N:N)))</f>
        <v>43586</v>
      </c>
      <c r="P18" s="29">
        <f t="shared" si="2"/>
        <v>18</v>
      </c>
    </row>
    <row r="19" spans="2:16" x14ac:dyDescent="0.25">
      <c r="B19" s="3">
        <v>1818</v>
      </c>
      <c r="C19" s="3" t="s">
        <v>192</v>
      </c>
      <c r="D19" s="9">
        <v>43282</v>
      </c>
      <c r="E19" s="9">
        <v>43282</v>
      </c>
      <c r="F19" s="14">
        <v>6</v>
      </c>
      <c r="G19" s="3" t="s">
        <v>193</v>
      </c>
      <c r="H19" s="29">
        <v>5700000</v>
      </c>
      <c r="I19" s="3"/>
      <c r="J19" s="3" t="s">
        <v>217</v>
      </c>
      <c r="K19" s="3"/>
      <c r="L19" s="9">
        <f t="shared" si="0"/>
        <v>43282</v>
      </c>
      <c r="M19" s="9">
        <f t="shared" si="1"/>
        <v>43466</v>
      </c>
      <c r="N19">
        <f>VLOOKUP(B19,PROYECTO!A:H,8,0)</f>
        <v>0</v>
      </c>
      <c r="O19" s="9">
        <f t="array" ref="O19">MAX(MAX(IF($B:$B=B19,$M:$M)),MAX(IF(PERSONAS!B:B=B19,PERSONAS!N:N)))</f>
        <v>43831</v>
      </c>
      <c r="P19" s="29">
        <f t="shared" si="2"/>
        <v>6</v>
      </c>
    </row>
    <row r="20" spans="2:16" x14ac:dyDescent="0.25">
      <c r="B20" s="3">
        <v>1818</v>
      </c>
      <c r="C20" s="3" t="s">
        <v>192</v>
      </c>
      <c r="D20" s="9">
        <v>43466</v>
      </c>
      <c r="E20" s="9">
        <v>43467</v>
      </c>
      <c r="F20" s="3">
        <v>12</v>
      </c>
      <c r="G20" s="3" t="s">
        <v>193</v>
      </c>
      <c r="H20" s="29">
        <v>14500000</v>
      </c>
      <c r="I20" s="3"/>
      <c r="J20" s="3" t="s">
        <v>134</v>
      </c>
      <c r="K20" s="3"/>
      <c r="L20" s="9">
        <f t="shared" si="0"/>
        <v>43466</v>
      </c>
      <c r="M20" s="9">
        <f t="shared" si="1"/>
        <v>43831</v>
      </c>
      <c r="N20">
        <f>VLOOKUP(B20,PROYECTO!A:H,8,0)</f>
        <v>0</v>
      </c>
      <c r="O20" s="9">
        <f t="array" ref="O20">MAX(MAX(IF($B:$B=B20,$M:$M)),MAX(IF(PERSONAS!B:B=B20,PERSONAS!N:N)))</f>
        <v>43831</v>
      </c>
      <c r="P20" s="29">
        <f t="shared" si="2"/>
        <v>12</v>
      </c>
    </row>
    <row r="21" spans="2:16" x14ac:dyDescent="0.25">
      <c r="B21" s="3">
        <v>1829</v>
      </c>
      <c r="C21" s="3" t="s">
        <v>192</v>
      </c>
      <c r="D21" s="9">
        <v>43168</v>
      </c>
      <c r="E21" s="3">
        <v>43344</v>
      </c>
      <c r="F21" s="3">
        <v>28</v>
      </c>
      <c r="G21" s="3" t="s">
        <v>193</v>
      </c>
      <c r="H21" s="29">
        <v>13393000</v>
      </c>
      <c r="I21" s="3"/>
      <c r="J21" s="3" t="s">
        <v>218</v>
      </c>
      <c r="K21" s="3"/>
      <c r="L21" s="9">
        <f t="shared" si="0"/>
        <v>43160</v>
      </c>
      <c r="M21" s="9">
        <f t="shared" si="1"/>
        <v>44021</v>
      </c>
      <c r="N21">
        <f>VLOOKUP(B21,PROYECTO!A:H,8,0)</f>
        <v>0</v>
      </c>
      <c r="O21" s="9">
        <f t="array" ref="O21">MAX(MAX(IF($B:$B=B21,$M:$M)),MAX(IF(PERSONAS!B:B=B21,PERSONAS!N:N)))</f>
        <v>44021</v>
      </c>
      <c r="P21" s="29">
        <f t="shared" si="2"/>
        <v>28</v>
      </c>
    </row>
    <row r="22" spans="2:16" x14ac:dyDescent="0.25">
      <c r="B22" s="3">
        <v>1829</v>
      </c>
      <c r="C22" s="3" t="s">
        <v>192</v>
      </c>
      <c r="D22" s="9">
        <v>43168</v>
      </c>
      <c r="E22" s="9">
        <v>43344</v>
      </c>
      <c r="F22" s="14">
        <v>28</v>
      </c>
      <c r="G22" s="3" t="s">
        <v>209</v>
      </c>
      <c r="H22" s="29">
        <v>2337394.9579831935</v>
      </c>
      <c r="I22" s="3"/>
      <c r="J22" s="3" t="s">
        <v>293</v>
      </c>
      <c r="K22" s="3"/>
      <c r="L22" s="9">
        <f t="shared" si="0"/>
        <v>43160</v>
      </c>
      <c r="M22" s="9">
        <f t="shared" si="1"/>
        <v>44021</v>
      </c>
      <c r="N22">
        <f>VLOOKUP(B22,PROYECTO!A:H,8,0)</f>
        <v>0</v>
      </c>
      <c r="O22" s="9">
        <f t="array" ref="O22">MAX(MAX(IF($B:$B=B22,$M:$M)),MAX(IF(PERSONAS!B:B=B22,PERSONAS!N:N)))</f>
        <v>44021</v>
      </c>
      <c r="P22" s="29">
        <f t="shared" si="2"/>
        <v>28</v>
      </c>
    </row>
    <row r="23" spans="2:16" x14ac:dyDescent="0.25">
      <c r="B23" s="3">
        <v>1838</v>
      </c>
      <c r="C23" s="3" t="s">
        <v>192</v>
      </c>
      <c r="D23" s="9">
        <v>43405</v>
      </c>
      <c r="E23" s="3"/>
      <c r="F23" s="3">
        <v>5</v>
      </c>
      <c r="G23" s="3" t="s">
        <v>193</v>
      </c>
      <c r="H23" s="29">
        <v>5797541</v>
      </c>
      <c r="I23" s="3"/>
      <c r="J23" s="3"/>
      <c r="K23" s="3"/>
      <c r="L23" s="9">
        <f t="shared" si="0"/>
        <v>43405</v>
      </c>
      <c r="M23" s="9">
        <f t="shared" si="1"/>
        <v>43556</v>
      </c>
      <c r="N23">
        <f>VLOOKUP(B23,PROYECTO!A:H,8,0)</f>
        <v>0</v>
      </c>
      <c r="O23" s="9">
        <f t="array" ref="O23">MAX(MAX(IF($B:$B=B23,$M:$M)),MAX(IF(PERSONAS!B:B=B23,PERSONAS!N:N)))</f>
        <v>43556</v>
      </c>
      <c r="P23" s="29">
        <f t="shared" si="2"/>
        <v>5</v>
      </c>
    </row>
    <row r="24" spans="2:16" x14ac:dyDescent="0.25">
      <c r="B24" s="5">
        <v>1846</v>
      </c>
      <c r="C24" s="3" t="s">
        <v>192</v>
      </c>
      <c r="D24" s="9">
        <v>43282</v>
      </c>
      <c r="E24" s="9">
        <v>2018</v>
      </c>
      <c r="F24" s="3">
        <v>4</v>
      </c>
      <c r="G24" s="3" t="s">
        <v>193</v>
      </c>
      <c r="H24" s="29">
        <v>3005744</v>
      </c>
      <c r="I24" s="3"/>
      <c r="J24" s="3" t="s">
        <v>212</v>
      </c>
      <c r="K24" s="11"/>
      <c r="L24" s="9">
        <f t="shared" si="0"/>
        <v>43282</v>
      </c>
      <c r="M24" s="9">
        <f t="shared" si="1"/>
        <v>43405</v>
      </c>
      <c r="N24">
        <f>VLOOKUP(B24,PROYECTO!A:H,8,0)</f>
        <v>0</v>
      </c>
      <c r="O24" s="9">
        <f t="array" ref="O24">MAX(MAX(IF($B:$B=B24,$M:$M)),MAX(IF(PERSONAS!B:B=B24,PERSONAS!N:N)))</f>
        <v>43617</v>
      </c>
      <c r="P24" s="29">
        <f t="shared" si="2"/>
        <v>4</v>
      </c>
    </row>
    <row r="25" spans="2:16" x14ac:dyDescent="0.25">
      <c r="B25" s="3">
        <v>1846</v>
      </c>
      <c r="C25" s="3" t="s">
        <v>192</v>
      </c>
      <c r="D25" s="9">
        <v>43405</v>
      </c>
      <c r="E25" s="9">
        <v>2018</v>
      </c>
      <c r="F25" s="3">
        <v>2</v>
      </c>
      <c r="G25" s="3" t="s">
        <v>193</v>
      </c>
      <c r="H25" s="29">
        <v>13500000</v>
      </c>
      <c r="I25" s="3"/>
      <c r="J25" s="3" t="s">
        <v>212</v>
      </c>
      <c r="K25" s="3"/>
      <c r="L25" s="9">
        <f t="shared" si="0"/>
        <v>43405</v>
      </c>
      <c r="M25" s="9">
        <f t="shared" si="1"/>
        <v>43466</v>
      </c>
      <c r="N25">
        <f>VLOOKUP(B25,PROYECTO!A:H,8,0)</f>
        <v>0</v>
      </c>
      <c r="O25" s="9">
        <f t="array" ref="O25">MAX(MAX(IF($B:$B=B25,$M:$M)),MAX(IF(PERSONAS!B:B=B25,PERSONAS!N:N)))</f>
        <v>43617</v>
      </c>
      <c r="P25" s="29">
        <f t="shared" si="2"/>
        <v>2</v>
      </c>
    </row>
    <row r="26" spans="2:16" x14ac:dyDescent="0.25">
      <c r="B26" s="3">
        <v>1856</v>
      </c>
      <c r="C26" s="3" t="s">
        <v>192</v>
      </c>
      <c r="D26" s="9">
        <v>43252</v>
      </c>
      <c r="E26" s="3">
        <v>43346</v>
      </c>
      <c r="F26" s="3">
        <v>32</v>
      </c>
      <c r="G26" s="3" t="s">
        <v>193</v>
      </c>
      <c r="H26" s="29">
        <v>20000000</v>
      </c>
      <c r="I26" s="3"/>
      <c r="J26" s="3"/>
      <c r="K26" s="3"/>
      <c r="L26" s="9">
        <f t="shared" si="0"/>
        <v>43252</v>
      </c>
      <c r="M26" s="9">
        <f t="shared" si="1"/>
        <v>44228</v>
      </c>
      <c r="N26">
        <f>VLOOKUP(B26,PROYECTO!A:H,8,0)</f>
        <v>0</v>
      </c>
      <c r="O26" s="9">
        <f t="array" ref="O26">MAX(MAX(IF($B:$B=B26,$M:$M)),MAX(IF(PERSONAS!B:B=B26,PERSONAS!N:N)))</f>
        <v>44256</v>
      </c>
      <c r="P26" s="29">
        <f t="shared" si="2"/>
        <v>32</v>
      </c>
    </row>
    <row r="27" spans="2:16" x14ac:dyDescent="0.25">
      <c r="B27" s="3">
        <v>1857</v>
      </c>
      <c r="C27" s="3" t="s">
        <v>192</v>
      </c>
      <c r="D27" s="9">
        <v>43282</v>
      </c>
      <c r="E27" s="3"/>
      <c r="F27" s="3">
        <v>15</v>
      </c>
      <c r="G27" s="3" t="s">
        <v>193</v>
      </c>
      <c r="H27" s="29">
        <v>9800000</v>
      </c>
      <c r="I27" s="3"/>
      <c r="J27" s="3"/>
      <c r="K27" s="3"/>
      <c r="L27" s="9">
        <f t="shared" si="0"/>
        <v>43282</v>
      </c>
      <c r="M27" s="9">
        <f t="shared" si="1"/>
        <v>43739</v>
      </c>
      <c r="N27">
        <f>VLOOKUP(B27,PROYECTO!A:H,8,0)</f>
        <v>0</v>
      </c>
      <c r="O27" s="9">
        <f t="array" ref="O27">MAX(MAX(IF($B:$B=B27,$M:$M)),MAX(IF(PERSONAS!B:B=B27,PERSONAS!N:N)))</f>
        <v>43739</v>
      </c>
      <c r="P27" s="29">
        <f t="shared" si="2"/>
        <v>15</v>
      </c>
    </row>
    <row r="28" spans="2:16" x14ac:dyDescent="0.25">
      <c r="B28" s="3">
        <v>1860</v>
      </c>
      <c r="C28" s="3" t="s">
        <v>192</v>
      </c>
      <c r="D28" s="9">
        <v>43313</v>
      </c>
      <c r="E28" s="9">
        <v>43313</v>
      </c>
      <c r="F28" s="3">
        <v>33</v>
      </c>
      <c r="G28" s="3" t="s">
        <v>193</v>
      </c>
      <c r="H28" s="29">
        <v>7700000</v>
      </c>
      <c r="I28" s="3"/>
      <c r="J28" s="3"/>
      <c r="K28" s="3"/>
      <c r="L28" s="9">
        <f t="shared" si="0"/>
        <v>43313</v>
      </c>
      <c r="M28" s="9">
        <f t="shared" si="1"/>
        <v>44317</v>
      </c>
      <c r="N28">
        <f>VLOOKUP(B28,PROYECTO!A:H,8,0)</f>
        <v>0</v>
      </c>
      <c r="O28" s="9">
        <f t="array" ref="O28">MAX(MAX(IF($B:$B=B28,$M:$M)),MAX(IF(PERSONAS!B:B=B28,PERSONAS!N:N)))</f>
        <v>44409</v>
      </c>
      <c r="P28" s="29">
        <f t="shared" si="2"/>
        <v>33</v>
      </c>
    </row>
    <row r="29" spans="2:16" x14ac:dyDescent="0.25">
      <c r="B29" s="3">
        <v>1861</v>
      </c>
      <c r="C29" s="3" t="s">
        <v>192</v>
      </c>
      <c r="D29" s="9">
        <v>43400</v>
      </c>
      <c r="E29" s="9"/>
      <c r="F29" s="3">
        <v>6</v>
      </c>
      <c r="G29" s="3" t="s">
        <v>193</v>
      </c>
      <c r="H29" s="29">
        <v>64030000</v>
      </c>
      <c r="I29" s="3"/>
      <c r="J29" s="3" t="s">
        <v>294</v>
      </c>
      <c r="K29" s="3"/>
      <c r="L29" s="9">
        <f t="shared" si="0"/>
        <v>43374</v>
      </c>
      <c r="M29" s="9">
        <f t="shared" si="1"/>
        <v>43582</v>
      </c>
      <c r="N29">
        <f>VLOOKUP(B29,PROYECTO!A:H,8,0)</f>
        <v>0</v>
      </c>
      <c r="O29" s="9">
        <f t="array" ref="O29">MAX(MAX(IF($B:$B=B29,$M:$M)),MAX(IF(PERSONAS!B:B=B29,PERSONAS!N:N)))</f>
        <v>44197</v>
      </c>
      <c r="P29" s="29">
        <f t="shared" si="2"/>
        <v>6</v>
      </c>
    </row>
    <row r="30" spans="2:16" x14ac:dyDescent="0.25">
      <c r="B30" s="3">
        <v>1861</v>
      </c>
      <c r="C30" s="3" t="s">
        <v>192</v>
      </c>
      <c r="D30" s="9">
        <v>43435</v>
      </c>
      <c r="E30" s="9"/>
      <c r="F30" s="3">
        <v>25</v>
      </c>
      <c r="G30" s="3" t="s">
        <v>193</v>
      </c>
      <c r="H30" s="29">
        <v>48811000</v>
      </c>
      <c r="I30" s="3"/>
      <c r="J30" s="3" t="s">
        <v>295</v>
      </c>
      <c r="K30" s="3"/>
      <c r="L30" s="9">
        <f t="shared" si="0"/>
        <v>43435</v>
      </c>
      <c r="M30" s="9">
        <f t="shared" si="1"/>
        <v>44197</v>
      </c>
      <c r="N30">
        <f>VLOOKUP(B30,PROYECTO!A:H,8,0)</f>
        <v>0</v>
      </c>
      <c r="O30" s="9">
        <f t="array" ref="O30">MAX(MAX(IF($B:$B=B30,$M:$M)),MAX(IF(PERSONAS!B:B=B30,PERSONAS!N:N)))</f>
        <v>44197</v>
      </c>
      <c r="P30" s="29">
        <f t="shared" si="2"/>
        <v>25</v>
      </c>
    </row>
    <row r="31" spans="2:16" x14ac:dyDescent="0.25">
      <c r="B31" s="3">
        <v>1873</v>
      </c>
      <c r="C31" s="3" t="s">
        <v>192</v>
      </c>
      <c r="D31" s="9">
        <v>43321</v>
      </c>
      <c r="E31" s="9">
        <v>43344</v>
      </c>
      <c r="F31" s="3">
        <v>17</v>
      </c>
      <c r="G31" s="3" t="s">
        <v>193</v>
      </c>
      <c r="H31" s="29">
        <v>6950000</v>
      </c>
      <c r="I31" s="3"/>
      <c r="J31" s="3"/>
      <c r="K31" s="3"/>
      <c r="L31" s="9">
        <f t="shared" si="0"/>
        <v>43313</v>
      </c>
      <c r="M31" s="9">
        <f t="shared" si="1"/>
        <v>43839</v>
      </c>
      <c r="N31">
        <f>VLOOKUP(B31,PROYECTO!A:H,8,0)</f>
        <v>0</v>
      </c>
      <c r="O31" s="9">
        <f t="array" ref="O31">MAX(MAX(IF($B:$B=B31,$M:$M)),MAX(IF(PERSONAS!B:B=B31,PERSONAS!N:N)))</f>
        <v>43839</v>
      </c>
      <c r="P31" s="29">
        <f t="shared" si="2"/>
        <v>17</v>
      </c>
    </row>
    <row r="32" spans="2:16" x14ac:dyDescent="0.25">
      <c r="B32" s="3">
        <v>1874</v>
      </c>
      <c r="C32" s="3" t="s">
        <v>192</v>
      </c>
      <c r="D32" s="9">
        <v>43348</v>
      </c>
      <c r="E32" s="9">
        <v>43348</v>
      </c>
      <c r="F32" s="3">
        <v>14</v>
      </c>
      <c r="G32" s="3" t="s">
        <v>193</v>
      </c>
      <c r="H32" s="29">
        <v>19400000</v>
      </c>
      <c r="I32" s="3"/>
      <c r="J32" s="3"/>
      <c r="K32" s="3"/>
      <c r="L32" s="9">
        <f t="shared" si="0"/>
        <v>43344</v>
      </c>
      <c r="M32" s="9">
        <f t="shared" si="1"/>
        <v>43774</v>
      </c>
      <c r="N32">
        <f>VLOOKUP(B32,PROYECTO!A:H,8,0)</f>
        <v>0</v>
      </c>
      <c r="O32" s="9">
        <f t="array" ref="O32">MAX(MAX(IF($B:$B=B32,$M:$M)),MAX(IF(PERSONAS!B:B=B32,PERSONAS!N:N)))</f>
        <v>43774</v>
      </c>
      <c r="P32" s="29">
        <f t="shared" si="2"/>
        <v>14</v>
      </c>
    </row>
    <row r="33" spans="2:16" x14ac:dyDescent="0.25">
      <c r="B33" s="3">
        <v>1883</v>
      </c>
      <c r="C33" s="3" t="s">
        <v>192</v>
      </c>
      <c r="D33" s="9">
        <v>43405</v>
      </c>
      <c r="E33" s="9"/>
      <c r="F33" s="3">
        <v>28</v>
      </c>
      <c r="G33" s="3" t="s">
        <v>193</v>
      </c>
      <c r="H33" s="29">
        <v>11029019</v>
      </c>
      <c r="I33" s="3"/>
      <c r="J33" s="3" t="s">
        <v>289</v>
      </c>
      <c r="K33" s="3"/>
      <c r="L33" s="9">
        <f t="shared" si="0"/>
        <v>43405</v>
      </c>
      <c r="M33" s="9">
        <f t="shared" si="1"/>
        <v>44256</v>
      </c>
      <c r="N33">
        <f>VLOOKUP(B33,PROYECTO!A:H,8,0)</f>
        <v>0</v>
      </c>
      <c r="O33" s="9">
        <f t="array" ref="O33">MAX(MAX(IF($B:$B=B33,$M:$M)),MAX(IF(PERSONAS!B:B=B33,PERSONAS!N:N)))</f>
        <v>44256</v>
      </c>
      <c r="P33" s="29">
        <f t="shared" si="2"/>
        <v>28</v>
      </c>
    </row>
    <row r="34" spans="2:16" x14ac:dyDescent="0.25">
      <c r="B34" s="3">
        <v>1884</v>
      </c>
      <c r="C34" s="3" t="s">
        <v>192</v>
      </c>
      <c r="D34" s="9">
        <v>43405</v>
      </c>
      <c r="E34" s="9"/>
      <c r="F34" s="3">
        <v>15</v>
      </c>
      <c r="G34" s="3" t="s">
        <v>193</v>
      </c>
      <c r="H34" s="29">
        <v>10920000</v>
      </c>
      <c r="I34" s="3"/>
      <c r="J34" s="3" t="s">
        <v>289</v>
      </c>
      <c r="K34" s="3"/>
      <c r="L34" s="9">
        <f t="shared" si="0"/>
        <v>43405</v>
      </c>
      <c r="M34" s="9">
        <f t="shared" si="1"/>
        <v>43862</v>
      </c>
      <c r="N34">
        <f>VLOOKUP(B34,PROYECTO!A:H,8,0)</f>
        <v>0</v>
      </c>
      <c r="O34" s="9">
        <f t="array" ref="O34">MAX(MAX(IF($B:$B=B34,$M:$M)),MAX(IF(PERSONAS!B:B=B34,PERSONAS!N:N)))</f>
        <v>43862</v>
      </c>
      <c r="P34" s="29">
        <f t="shared" si="2"/>
        <v>15</v>
      </c>
    </row>
    <row r="35" spans="2:16" x14ac:dyDescent="0.25">
      <c r="B35" s="3">
        <v>1881</v>
      </c>
      <c r="C35" s="3" t="s">
        <v>192</v>
      </c>
      <c r="D35" s="9">
        <v>43370</v>
      </c>
      <c r="E35" s="9">
        <v>43375</v>
      </c>
      <c r="F35" s="3">
        <v>23</v>
      </c>
      <c r="G35" s="3" t="s">
        <v>193</v>
      </c>
      <c r="H35" s="29">
        <v>8200000</v>
      </c>
      <c r="I35" s="3"/>
      <c r="J35" s="3"/>
      <c r="K35" s="3"/>
      <c r="L35" s="9">
        <f t="shared" si="0"/>
        <v>43344</v>
      </c>
      <c r="M35" s="9">
        <f t="shared" si="1"/>
        <v>44070</v>
      </c>
      <c r="N35">
        <f>VLOOKUP(B35,PROYECTO!A:H,8,0)</f>
        <v>0</v>
      </c>
      <c r="O35" s="9">
        <f t="array" ref="O35">MAX(MAX(IF($B:$B=B35,$M:$M)),MAX(IF(PERSONAS!B:B=B35,PERSONAS!N:N)))</f>
        <v>44070</v>
      </c>
      <c r="P35" s="29">
        <f t="shared" si="2"/>
        <v>23</v>
      </c>
    </row>
    <row r="36" spans="2:16" x14ac:dyDescent="0.25">
      <c r="B36" s="3">
        <v>1880</v>
      </c>
      <c r="C36" s="3" t="s">
        <v>192</v>
      </c>
      <c r="D36" s="9">
        <v>43374</v>
      </c>
      <c r="E36" s="9">
        <v>43374</v>
      </c>
      <c r="F36" s="3">
        <v>9</v>
      </c>
      <c r="G36" s="3" t="s">
        <v>193</v>
      </c>
      <c r="H36" s="29">
        <v>9080000</v>
      </c>
      <c r="I36" s="3"/>
      <c r="J36" s="3"/>
      <c r="K36" s="3"/>
      <c r="L36" s="9">
        <f t="shared" si="0"/>
        <v>43374</v>
      </c>
      <c r="M36" s="9">
        <f t="shared" si="1"/>
        <v>43647</v>
      </c>
      <c r="N36">
        <f>VLOOKUP(B36,PROYECTO!A:H,8,0)</f>
        <v>0</v>
      </c>
      <c r="O36" s="9">
        <f t="array" ref="O36">MAX(MAX(IF($B:$B=B36,$M:$M)),MAX(IF(PERSONAS!B:B=B36,PERSONAS!N:N)))</f>
        <v>43647</v>
      </c>
      <c r="P36" s="29">
        <f t="shared" si="2"/>
        <v>9</v>
      </c>
    </row>
    <row r="37" spans="2:16" x14ac:dyDescent="0.25">
      <c r="B37" s="3">
        <v>1877</v>
      </c>
      <c r="C37" s="3" t="s">
        <v>192</v>
      </c>
      <c r="D37" s="9">
        <v>43381</v>
      </c>
      <c r="E37" s="9"/>
      <c r="F37" s="3">
        <v>18</v>
      </c>
      <c r="G37" s="3" t="s">
        <v>193</v>
      </c>
      <c r="H37" s="29">
        <v>27800000</v>
      </c>
      <c r="I37" s="3"/>
      <c r="J37" s="3" t="s">
        <v>210</v>
      </c>
      <c r="K37" s="3"/>
      <c r="L37" s="9">
        <f t="shared" si="0"/>
        <v>43374</v>
      </c>
      <c r="M37" s="9">
        <f t="shared" si="1"/>
        <v>43929</v>
      </c>
      <c r="N37">
        <f>VLOOKUP(B37,PROYECTO!A:H,8,0)</f>
        <v>0</v>
      </c>
      <c r="O37" s="9">
        <f t="array" ref="O37">MAX(MAX(IF($B:$B=B37,$M:$M)),MAX(IF(PERSONAS!B:B=B37,PERSONAS!N:N)))</f>
        <v>43929</v>
      </c>
      <c r="P37" s="29">
        <f t="shared" si="2"/>
        <v>18</v>
      </c>
    </row>
    <row r="38" spans="2:16" x14ac:dyDescent="0.25">
      <c r="B38" s="3">
        <v>1848</v>
      </c>
      <c r="C38" s="3" t="s">
        <v>192</v>
      </c>
      <c r="D38" s="9">
        <v>43221</v>
      </c>
      <c r="E38" s="9">
        <v>43313</v>
      </c>
      <c r="F38" s="3">
        <v>1</v>
      </c>
      <c r="G38" s="3" t="s">
        <v>193</v>
      </c>
      <c r="H38" s="29">
        <v>21328983.642500002</v>
      </c>
      <c r="I38" s="3"/>
      <c r="J38" s="3" t="s">
        <v>285</v>
      </c>
      <c r="K38" s="3"/>
      <c r="L38" s="9">
        <f t="shared" si="0"/>
        <v>43221</v>
      </c>
      <c r="M38" s="9">
        <f t="shared" si="1"/>
        <v>43252</v>
      </c>
      <c r="N38">
        <f>VLOOKUP(B38,PROYECTO!A:H,8,0)</f>
        <v>0</v>
      </c>
      <c r="O38" s="9">
        <f t="array" ref="O38">MAX(MAX(IF($B:$B=B38,$M:$M)),MAX(IF(PERSONAS!B:B=B38,PERSONAS!N:N)))</f>
        <v>43800</v>
      </c>
      <c r="P38" s="29">
        <f t="shared" si="2"/>
        <v>1</v>
      </c>
    </row>
    <row r="39" spans="2:16" x14ac:dyDescent="0.25">
      <c r="B39" s="3">
        <v>1813</v>
      </c>
      <c r="C39" s="3" t="s">
        <v>192</v>
      </c>
      <c r="D39" s="9">
        <v>43132</v>
      </c>
      <c r="E39" s="9">
        <v>43132</v>
      </c>
      <c r="F39" s="3">
        <v>15</v>
      </c>
      <c r="G39" s="3" t="s">
        <v>209</v>
      </c>
      <c r="H39" s="29"/>
      <c r="I39" s="3"/>
      <c r="J39" s="3" t="s">
        <v>216</v>
      </c>
      <c r="K39" s="3"/>
      <c r="L39" s="9">
        <f t="shared" si="0"/>
        <v>43132</v>
      </c>
      <c r="M39" s="9">
        <f t="shared" si="1"/>
        <v>43586</v>
      </c>
      <c r="N39">
        <f>VLOOKUP(B39,PROYECTO!A:H,8,0)</f>
        <v>3</v>
      </c>
      <c r="O39" s="9">
        <f t="array" ref="O39">MAX(MAX(IF($B:$B=B39,$M:$M)),MAX(IF(PERSONAS!B:B=B39,PERSONAS!N:N)))</f>
        <v>43586</v>
      </c>
      <c r="P39" s="29">
        <f t="shared" si="2"/>
        <v>18</v>
      </c>
    </row>
    <row r="40" spans="2:16" x14ac:dyDescent="0.25">
      <c r="B40" s="3">
        <v>1713</v>
      </c>
      <c r="C40" s="3" t="s">
        <v>192</v>
      </c>
      <c r="D40" s="9">
        <v>42614</v>
      </c>
      <c r="E40" s="9">
        <v>42614</v>
      </c>
      <c r="F40" s="3">
        <v>1</v>
      </c>
      <c r="G40" s="3" t="s">
        <v>193</v>
      </c>
      <c r="H40" s="29">
        <v>3705000</v>
      </c>
      <c r="I40" s="3"/>
      <c r="J40" s="3" t="s">
        <v>207</v>
      </c>
      <c r="K40" s="3"/>
      <c r="L40" s="9">
        <f t="shared" si="0"/>
        <v>42614</v>
      </c>
      <c r="M40" s="9">
        <f t="shared" si="1"/>
        <v>42644</v>
      </c>
      <c r="N40">
        <f>VLOOKUP(B40,PROYECTO!A:H,8,0)</f>
        <v>2</v>
      </c>
      <c r="O40" s="9">
        <f t="array" ref="O40">MAX(MAX(IF($B:$B=B40,$M:$M)),MAX(IF(PERSONAS!B:B=B40,PERSONAS!N:N)))</f>
        <v>43497</v>
      </c>
      <c r="P40" s="29">
        <f t="shared" si="2"/>
        <v>1</v>
      </c>
    </row>
    <row r="41" spans="2:16" x14ac:dyDescent="0.25">
      <c r="B41" s="3">
        <v>1713</v>
      </c>
      <c r="C41" s="3" t="s">
        <v>192</v>
      </c>
      <c r="D41" s="9">
        <v>43224</v>
      </c>
      <c r="E41" s="9"/>
      <c r="F41" s="3">
        <v>6</v>
      </c>
      <c r="G41" s="3" t="s">
        <v>193</v>
      </c>
      <c r="H41" s="29">
        <v>24977737</v>
      </c>
      <c r="I41" s="3"/>
      <c r="J41" s="3" t="s">
        <v>208</v>
      </c>
      <c r="K41" s="3"/>
      <c r="L41" s="9">
        <f t="shared" si="0"/>
        <v>43221</v>
      </c>
      <c r="M41" s="9">
        <f t="shared" si="1"/>
        <v>43408</v>
      </c>
      <c r="N41">
        <f>VLOOKUP(B41,PROYECTO!A:H,8,0)</f>
        <v>2</v>
      </c>
      <c r="O41" s="9">
        <f t="array" ref="O41">MAX(MAX(IF($B:$B=B41,$M:$M)),MAX(IF(PERSONAS!B:B=B41,PERSONAS!N:N)))</f>
        <v>43497</v>
      </c>
      <c r="P41" s="29">
        <f t="shared" si="2"/>
        <v>6</v>
      </c>
    </row>
    <row r="42" spans="2:16" x14ac:dyDescent="0.25">
      <c r="B42" s="3">
        <v>1701</v>
      </c>
      <c r="C42" s="3" t="s">
        <v>192</v>
      </c>
      <c r="D42" s="9">
        <v>42887</v>
      </c>
      <c r="E42" s="9">
        <v>42887</v>
      </c>
      <c r="F42" s="3">
        <v>31</v>
      </c>
      <c r="G42" s="3" t="s">
        <v>193</v>
      </c>
      <c r="H42" s="29">
        <v>19000000</v>
      </c>
      <c r="I42" s="3"/>
      <c r="J42" s="3" t="s">
        <v>205</v>
      </c>
      <c r="K42" s="3"/>
      <c r="L42" s="9">
        <f t="shared" si="0"/>
        <v>42887</v>
      </c>
      <c r="M42" s="9">
        <f t="shared" si="1"/>
        <v>43831</v>
      </c>
      <c r="N42">
        <f>VLOOKUP(B42,PROYECTO!A:H,8,0)</f>
        <v>0</v>
      </c>
      <c r="O42" s="9">
        <f t="array" ref="O42">MAX(MAX(IF($B:$B=B42,$M:$M)),MAX(IF(PERSONAS!B:B=B42,PERSONAS!N:N)))</f>
        <v>43862</v>
      </c>
      <c r="P42" s="29">
        <f t="shared" si="2"/>
        <v>31</v>
      </c>
    </row>
    <row r="43" spans="2:16" x14ac:dyDescent="0.25">
      <c r="B43" s="3">
        <v>1687</v>
      </c>
      <c r="C43" s="3" t="s">
        <v>192</v>
      </c>
      <c r="D43" s="9">
        <v>43317</v>
      </c>
      <c r="E43" s="9">
        <v>43256</v>
      </c>
      <c r="F43" s="3">
        <v>6</v>
      </c>
      <c r="G43" s="3" t="s">
        <v>193</v>
      </c>
      <c r="H43" s="29">
        <v>32000000</v>
      </c>
      <c r="I43" s="3"/>
      <c r="J43" s="3" t="s">
        <v>202</v>
      </c>
      <c r="K43" s="3"/>
      <c r="L43" s="9">
        <f t="shared" si="0"/>
        <v>43313</v>
      </c>
      <c r="M43" s="9">
        <f t="shared" si="1"/>
        <v>43501</v>
      </c>
      <c r="N43">
        <f>VLOOKUP(B43,PROYECTO!A:H,8,0)</f>
        <v>0</v>
      </c>
      <c r="O43" s="9">
        <f t="array" ref="O43">MAX(MAX(IF($B:$B=B43,$M:$M)),MAX(IF(PERSONAS!B:B=B43,PERSONAS!N:N)))</f>
        <v>43586</v>
      </c>
      <c r="P43" s="29">
        <f t="shared" si="2"/>
        <v>6</v>
      </c>
    </row>
    <row r="44" spans="2:16" x14ac:dyDescent="0.25">
      <c r="B44" s="3">
        <v>1618</v>
      </c>
      <c r="C44" s="3" t="s">
        <v>192</v>
      </c>
      <c r="D44" s="9">
        <v>42129</v>
      </c>
      <c r="E44" s="9">
        <v>42282</v>
      </c>
      <c r="F44" s="3">
        <v>26.83</v>
      </c>
      <c r="G44" s="3" t="s">
        <v>193</v>
      </c>
      <c r="H44" s="29">
        <v>27000000</v>
      </c>
      <c r="I44" s="3"/>
      <c r="J44" s="3" t="s">
        <v>197</v>
      </c>
      <c r="K44" s="3"/>
      <c r="L44" s="9">
        <f t="shared" si="0"/>
        <v>42125</v>
      </c>
      <c r="M44" s="9">
        <f t="shared" si="1"/>
        <v>42921</v>
      </c>
      <c r="N44">
        <f>VLOOKUP(B44,PROYECTO!A:H,8,0)</f>
        <v>2</v>
      </c>
      <c r="O44" s="9">
        <f t="array" ref="O44">MAX(MAX(IF($B:$B=B44,$M:$M)),MAX(IF(PERSONAS!B:B=B44,PERSONAS!N:N)))</f>
        <v>43525</v>
      </c>
      <c r="P44" s="29">
        <f t="shared" si="2"/>
        <v>26.83</v>
      </c>
    </row>
    <row r="45" spans="2:16" x14ac:dyDescent="0.25">
      <c r="B45" s="3">
        <v>1618</v>
      </c>
      <c r="C45" s="3" t="s">
        <v>192</v>
      </c>
      <c r="D45" s="9">
        <v>43160</v>
      </c>
      <c r="E45" s="9">
        <v>43160</v>
      </c>
      <c r="F45" s="3">
        <v>3</v>
      </c>
      <c r="G45" s="3" t="s">
        <v>193</v>
      </c>
      <c r="H45" s="29">
        <v>21000000</v>
      </c>
      <c r="I45" s="3"/>
      <c r="J45" s="3" t="s">
        <v>198</v>
      </c>
      <c r="K45" s="3"/>
      <c r="L45" s="9">
        <f t="shared" si="0"/>
        <v>43160</v>
      </c>
      <c r="M45" s="9">
        <f t="shared" si="1"/>
        <v>43252</v>
      </c>
      <c r="N45">
        <f>VLOOKUP(B45,PROYECTO!A:H,8,0)</f>
        <v>2</v>
      </c>
      <c r="O45" s="9">
        <f t="array" ref="O45">MAX(MAX(IF($B:$B=B45,$M:$M)),MAX(IF(PERSONAS!B:B=B45,PERSONAS!N:N)))</f>
        <v>43525</v>
      </c>
      <c r="P45" s="29">
        <f t="shared" si="2"/>
        <v>3</v>
      </c>
    </row>
    <row r="46" spans="2:16" x14ac:dyDescent="0.25">
      <c r="B46" s="3">
        <v>1577</v>
      </c>
      <c r="C46" s="3" t="s">
        <v>192</v>
      </c>
      <c r="D46" s="9">
        <v>41883</v>
      </c>
      <c r="E46" s="9">
        <v>41852</v>
      </c>
      <c r="F46" s="3">
        <v>7</v>
      </c>
      <c r="G46" s="3" t="s">
        <v>193</v>
      </c>
      <c r="H46" s="29">
        <v>15000000</v>
      </c>
      <c r="I46" s="3"/>
      <c r="J46" s="3" t="s">
        <v>255</v>
      </c>
      <c r="K46" s="3"/>
      <c r="L46" s="9">
        <f>(MONTH(D46)&amp;"-"&amp;YEAR(D46))*1</f>
        <v>41883</v>
      </c>
      <c r="M46" s="9">
        <f t="shared" si="1"/>
        <v>42095</v>
      </c>
      <c r="N46">
        <f>VLOOKUP(B46,PROYECTO!A:H,8,0)</f>
        <v>0</v>
      </c>
      <c r="O46" s="9">
        <f t="array" ref="O46">MAX(MAX(IF($B:$B=B46,$M:$M)),MAX(IF(PERSONAS!B:B=B46,PERSONAS!N:N)))</f>
        <v>43678</v>
      </c>
      <c r="P46" s="29">
        <f t="shared" si="2"/>
        <v>7</v>
      </c>
    </row>
    <row r="47" spans="2:16" x14ac:dyDescent="0.25">
      <c r="B47" s="3">
        <v>1577</v>
      </c>
      <c r="C47" s="3" t="s">
        <v>192</v>
      </c>
      <c r="D47" s="9">
        <v>42125</v>
      </c>
      <c r="E47" s="9"/>
      <c r="F47" s="3">
        <v>49</v>
      </c>
      <c r="G47" s="3" t="s">
        <v>193</v>
      </c>
      <c r="H47" s="29">
        <v>33000000</v>
      </c>
      <c r="I47" s="3"/>
      <c r="J47" s="3" t="s">
        <v>256</v>
      </c>
      <c r="K47" s="3"/>
      <c r="L47" s="9">
        <f t="shared" si="0"/>
        <v>42125</v>
      </c>
      <c r="M47" s="9">
        <f t="shared" si="1"/>
        <v>43617</v>
      </c>
      <c r="N47">
        <f>VLOOKUP(B47,PROYECTO!A:H,8,0)</f>
        <v>0</v>
      </c>
      <c r="O47" s="9">
        <f t="array" ref="O47">MAX(MAX(IF($B:$B=B47,$M:$M)),MAX(IF(PERSONAS!B:B=B47,PERSONAS!N:N)))</f>
        <v>43678</v>
      </c>
      <c r="P47" s="29">
        <f t="shared" si="2"/>
        <v>49</v>
      </c>
    </row>
    <row r="48" spans="2:16" x14ac:dyDescent="0.25">
      <c r="B48" s="3">
        <v>1577</v>
      </c>
      <c r="C48" s="3" t="s">
        <v>192</v>
      </c>
      <c r="D48" s="9">
        <v>43617</v>
      </c>
      <c r="E48" s="9"/>
      <c r="F48" s="3">
        <v>2</v>
      </c>
      <c r="G48" s="3" t="s">
        <v>193</v>
      </c>
      <c r="H48" s="29">
        <v>15000000</v>
      </c>
      <c r="I48" s="3"/>
      <c r="J48" s="3" t="s">
        <v>257</v>
      </c>
      <c r="K48" s="3"/>
      <c r="L48" s="9">
        <f t="shared" si="0"/>
        <v>43617</v>
      </c>
      <c r="M48" s="9">
        <f t="shared" si="1"/>
        <v>43678</v>
      </c>
      <c r="N48">
        <f>VLOOKUP(B48,PROYECTO!A:H,8,0)</f>
        <v>0</v>
      </c>
      <c r="O48" s="9">
        <f t="array" ref="O48">MAX(MAX(IF($B:$B=B48,$M:$M)),MAX(IF(PERSONAS!B:B=B48,PERSONAS!N:N)))</f>
        <v>43678</v>
      </c>
      <c r="P48" s="29">
        <f t="shared" si="2"/>
        <v>2</v>
      </c>
    </row>
    <row r="49" spans="2:16" x14ac:dyDescent="0.25">
      <c r="B49" s="3">
        <v>1622</v>
      </c>
      <c r="C49" s="3" t="s">
        <v>192</v>
      </c>
      <c r="D49" s="9">
        <v>43381</v>
      </c>
      <c r="E49" s="9"/>
      <c r="F49" s="3">
        <v>6</v>
      </c>
      <c r="G49" s="3" t="s">
        <v>193</v>
      </c>
      <c r="H49" s="29">
        <v>36049228</v>
      </c>
      <c r="I49" s="3"/>
      <c r="J49" s="3" t="s">
        <v>199</v>
      </c>
      <c r="K49" s="3"/>
      <c r="L49" s="9">
        <f t="shared" si="0"/>
        <v>43374</v>
      </c>
      <c r="M49" s="9">
        <f t="shared" si="1"/>
        <v>43563</v>
      </c>
      <c r="N49">
        <f>VLOOKUP(B49,PROYECTO!A:H,8,0)</f>
        <v>0</v>
      </c>
      <c r="O49" s="9">
        <f t="array" ref="O49">MAX(MAX(IF($B:$B=B49,$M:$M)),MAX(IF(PERSONAS!B:B=B49,PERSONAS!N:N)))</f>
        <v>44501</v>
      </c>
      <c r="P49" s="29">
        <f t="shared" si="2"/>
        <v>6</v>
      </c>
    </row>
    <row r="50" spans="2:16" x14ac:dyDescent="0.25">
      <c r="B50" s="3">
        <v>1622</v>
      </c>
      <c r="C50" s="3" t="s">
        <v>192</v>
      </c>
      <c r="D50" s="9">
        <v>43381</v>
      </c>
      <c r="E50" s="9"/>
      <c r="F50" s="3">
        <v>7</v>
      </c>
      <c r="G50" s="3" t="s">
        <v>193</v>
      </c>
      <c r="H50" s="29">
        <v>44700000</v>
      </c>
      <c r="I50" s="3"/>
      <c r="J50" s="3" t="s">
        <v>200</v>
      </c>
      <c r="K50" s="3"/>
      <c r="L50" s="9">
        <f t="shared" si="0"/>
        <v>43374</v>
      </c>
      <c r="M50" s="9">
        <f t="shared" si="1"/>
        <v>43593</v>
      </c>
      <c r="N50">
        <f>VLOOKUP(B50,PROYECTO!A:H,8,0)</f>
        <v>0</v>
      </c>
      <c r="O50" s="9">
        <f t="array" ref="O50">MAX(MAX(IF($B:$B=B50,$M:$M)),MAX(IF(PERSONAS!B:B=B50,PERSONAS!N:N)))</f>
        <v>44501</v>
      </c>
      <c r="P50" s="29">
        <f t="shared" si="2"/>
        <v>7</v>
      </c>
    </row>
    <row r="51" spans="2:16" x14ac:dyDescent="0.25">
      <c r="B51" s="3">
        <v>1588</v>
      </c>
      <c r="C51" s="3" t="s">
        <v>192</v>
      </c>
      <c r="D51" s="9">
        <v>42186</v>
      </c>
      <c r="E51" s="9">
        <v>42186</v>
      </c>
      <c r="F51" s="3">
        <v>6</v>
      </c>
      <c r="G51" s="3" t="s">
        <v>193</v>
      </c>
      <c r="H51" s="29">
        <v>14800000</v>
      </c>
      <c r="I51" s="3"/>
      <c r="J51" s="3" t="s">
        <v>194</v>
      </c>
      <c r="K51" s="3"/>
      <c r="L51" s="9">
        <f t="shared" si="0"/>
        <v>42186</v>
      </c>
      <c r="M51" s="9">
        <f t="shared" si="1"/>
        <v>42370</v>
      </c>
      <c r="N51">
        <f>VLOOKUP(B51,PROYECTO!A:H,8,0)</f>
        <v>5</v>
      </c>
      <c r="O51" s="9">
        <f t="array" ref="O51">MAX(MAX(IF($B:$B=B51,$M:$M)),MAX(IF(PERSONAS!B:B=B51,PERSONAS!N:N)))</f>
        <v>43586</v>
      </c>
      <c r="P51" s="29">
        <f t="shared" si="2"/>
        <v>6</v>
      </c>
    </row>
    <row r="52" spans="2:16" x14ac:dyDescent="0.25">
      <c r="B52" s="3">
        <v>1588</v>
      </c>
      <c r="C52" s="3" t="s">
        <v>192</v>
      </c>
      <c r="D52" s="9">
        <v>42098</v>
      </c>
      <c r="E52" s="9">
        <v>42156</v>
      </c>
      <c r="F52" s="3">
        <v>6</v>
      </c>
      <c r="G52" s="3" t="s">
        <v>193</v>
      </c>
      <c r="H52" s="29">
        <v>5000000</v>
      </c>
      <c r="I52" s="3"/>
      <c r="J52" s="3" t="s">
        <v>195</v>
      </c>
      <c r="K52" s="3"/>
      <c r="L52" s="9">
        <f t="shared" si="0"/>
        <v>42095</v>
      </c>
      <c r="M52" s="9">
        <f t="shared" si="1"/>
        <v>42281</v>
      </c>
      <c r="N52">
        <f>VLOOKUP(B52,PROYECTO!A:H,8,0)</f>
        <v>5</v>
      </c>
      <c r="O52" s="9">
        <f t="array" ref="O52">MAX(MAX(IF($B:$B=B52,$M:$M)),MAX(IF(PERSONAS!B:B=B52,PERSONAS!N:N)))</f>
        <v>43586</v>
      </c>
      <c r="P52" s="29">
        <f t="shared" si="2"/>
        <v>6</v>
      </c>
    </row>
    <row r="53" spans="2:16" x14ac:dyDescent="0.25">
      <c r="B53" s="3">
        <v>1588</v>
      </c>
      <c r="C53" s="3" t="s">
        <v>192</v>
      </c>
      <c r="D53" s="9">
        <v>42491</v>
      </c>
      <c r="E53" s="9">
        <v>42461</v>
      </c>
      <c r="F53" s="3">
        <v>36</v>
      </c>
      <c r="G53" s="3" t="s">
        <v>193</v>
      </c>
      <c r="H53" s="29">
        <v>20430000</v>
      </c>
      <c r="I53" s="3"/>
      <c r="J53" s="3" t="s">
        <v>196</v>
      </c>
      <c r="K53" s="3"/>
      <c r="L53" s="9">
        <f t="shared" si="0"/>
        <v>42491</v>
      </c>
      <c r="M53" s="9">
        <f t="shared" si="1"/>
        <v>43586</v>
      </c>
      <c r="N53">
        <f>VLOOKUP(B53,PROYECTO!A:H,8,0)</f>
        <v>5</v>
      </c>
      <c r="O53" s="9">
        <f t="array" ref="O53">MAX(MAX(IF($B:$B=B53,$M:$M)),MAX(IF(PERSONAS!B:B=B53,PERSONAS!N:N)))</f>
        <v>43586</v>
      </c>
      <c r="P53" s="29">
        <f t="shared" si="2"/>
        <v>41</v>
      </c>
    </row>
    <row r="54" spans="2:16" x14ac:dyDescent="0.25">
      <c r="B54" s="3">
        <v>1723</v>
      </c>
      <c r="C54" s="3" t="s">
        <v>192</v>
      </c>
      <c r="D54" s="9">
        <v>42632</v>
      </c>
      <c r="E54" s="9"/>
      <c r="F54" s="3">
        <v>34</v>
      </c>
      <c r="G54" s="3" t="s">
        <v>193</v>
      </c>
      <c r="H54" s="29">
        <v>48600000</v>
      </c>
      <c r="I54" s="3"/>
      <c r="J54" s="3" t="s">
        <v>211</v>
      </c>
      <c r="K54" s="3"/>
      <c r="L54" s="9">
        <f t="shared" si="0"/>
        <v>42614</v>
      </c>
      <c r="M54" s="9">
        <f t="shared" si="1"/>
        <v>43665</v>
      </c>
      <c r="N54">
        <f>VLOOKUP(B54,PROYECTO!A:H,8,0)</f>
        <v>0</v>
      </c>
      <c r="O54" s="9">
        <f t="array" ref="O54">MAX(MAX(IF($B:$B=B54,$M:$M)),MAX(IF(PERSONAS!B:B=B54,PERSONAS!N:N)))</f>
        <v>43665</v>
      </c>
      <c r="P54" s="29">
        <f t="shared" si="2"/>
        <v>34</v>
      </c>
    </row>
    <row r="55" spans="2:16" x14ac:dyDescent="0.25">
      <c r="B55" s="3">
        <v>1888</v>
      </c>
      <c r="C55" s="3" t="s">
        <v>192</v>
      </c>
      <c r="D55" s="9">
        <v>43525</v>
      </c>
      <c r="E55" s="9"/>
      <c r="F55" s="3">
        <v>4</v>
      </c>
      <c r="G55" s="3" t="s">
        <v>193</v>
      </c>
      <c r="H55" s="29">
        <v>6040000</v>
      </c>
      <c r="I55" s="3"/>
      <c r="J55" s="3"/>
      <c r="K55" s="3" t="s">
        <v>130</v>
      </c>
      <c r="L55" s="9">
        <f t="shared" si="0"/>
        <v>43525</v>
      </c>
      <c r="M55" s="9">
        <f t="shared" si="1"/>
        <v>43647</v>
      </c>
      <c r="N55">
        <f>VLOOKUP(B55,PROYECTO!A:H,8,0)</f>
        <v>0</v>
      </c>
      <c r="O55" s="9">
        <f t="array" ref="O55">MAX(MAX(IF($B:$B=B55,$M:$M)),MAX(IF(PERSONAS!B:B=B55,PERSONAS!N:N)))</f>
        <v>44013</v>
      </c>
      <c r="P55" s="29">
        <f t="shared" si="2"/>
        <v>4</v>
      </c>
    </row>
    <row r="56" spans="2:16" x14ac:dyDescent="0.25">
      <c r="B56" s="3">
        <v>1888</v>
      </c>
      <c r="C56" s="3" t="s">
        <v>192</v>
      </c>
      <c r="D56" s="9">
        <v>43525</v>
      </c>
      <c r="E56" s="9"/>
      <c r="F56" s="3">
        <v>12</v>
      </c>
      <c r="G56" s="3" t="s">
        <v>193</v>
      </c>
      <c r="H56" s="29">
        <v>19220000</v>
      </c>
      <c r="I56" s="3"/>
      <c r="J56" s="3"/>
      <c r="K56" s="3" t="s">
        <v>219</v>
      </c>
      <c r="L56" s="9">
        <f t="shared" si="0"/>
        <v>43525</v>
      </c>
      <c r="M56" s="9">
        <f t="shared" si="1"/>
        <v>43891</v>
      </c>
      <c r="N56">
        <f>VLOOKUP(B56,PROYECTO!A:H,8,0)</f>
        <v>0</v>
      </c>
      <c r="O56" s="9">
        <f t="array" ref="O56">MAX(MAX(IF($B:$B=B56,$M:$M)),MAX(IF(PERSONAS!B:B=B56,PERSONAS!N:N)))</f>
        <v>44013</v>
      </c>
      <c r="P56" s="29">
        <f t="shared" si="2"/>
        <v>12</v>
      </c>
    </row>
    <row r="57" spans="2:16" x14ac:dyDescent="0.25">
      <c r="B57" s="3">
        <v>1891</v>
      </c>
      <c r="C57" s="3" t="s">
        <v>192</v>
      </c>
      <c r="D57" s="9">
        <v>43497</v>
      </c>
      <c r="E57" s="9"/>
      <c r="F57" s="3">
        <v>25</v>
      </c>
      <c r="G57" s="3" t="s">
        <v>193</v>
      </c>
      <c r="H57" s="29">
        <v>23250000</v>
      </c>
      <c r="I57" s="3"/>
      <c r="J57" s="3"/>
      <c r="K57" s="3" t="s">
        <v>219</v>
      </c>
      <c r="L57" s="9">
        <f t="shared" si="0"/>
        <v>43497</v>
      </c>
      <c r="M57" s="9">
        <f t="shared" si="1"/>
        <v>44256</v>
      </c>
      <c r="N57">
        <f>VLOOKUP(B57,PROYECTO!A:H,8,0)</f>
        <v>0</v>
      </c>
      <c r="O57" s="9">
        <f t="array" ref="O57">MAX(MAX(IF($B:$B=B57,$M:$M)),MAX(IF(PERSONAS!B:B=B57,PERSONAS!N:N)))</f>
        <v>44256</v>
      </c>
      <c r="P57" s="29">
        <f t="shared" si="2"/>
        <v>25</v>
      </c>
    </row>
    <row r="58" spans="2:16" x14ac:dyDescent="0.25">
      <c r="B58" s="3">
        <v>1791</v>
      </c>
      <c r="C58" s="3" t="s">
        <v>192</v>
      </c>
      <c r="D58" s="9">
        <v>42979</v>
      </c>
      <c r="E58" s="9">
        <v>42979</v>
      </c>
      <c r="F58" s="3">
        <v>28</v>
      </c>
      <c r="G58" s="3" t="s">
        <v>193</v>
      </c>
      <c r="H58" s="29">
        <v>60561853.894285716</v>
      </c>
      <c r="I58" s="3"/>
      <c r="J58" s="3"/>
      <c r="K58" s="3"/>
      <c r="L58" s="9">
        <f t="shared" si="0"/>
        <v>42979</v>
      </c>
      <c r="M58" s="9">
        <f t="shared" si="1"/>
        <v>43831</v>
      </c>
      <c r="N58">
        <f>VLOOKUP(B58,PROYECTO!A:H,8,0)</f>
        <v>0</v>
      </c>
      <c r="O58" s="9">
        <f t="array" ref="O58">MAX(MAX(IF($B:$B=B58,$M:$M)),MAX(IF(PERSONAS!B:B=B58,PERSONAS!N:N)))</f>
        <v>43831</v>
      </c>
      <c r="P58" s="29">
        <f t="shared" si="2"/>
        <v>28</v>
      </c>
    </row>
    <row r="59" spans="2:16" x14ac:dyDescent="0.25">
      <c r="B59" s="5">
        <v>1453</v>
      </c>
      <c r="C59" s="3" t="s">
        <v>192</v>
      </c>
      <c r="D59" s="9">
        <v>43466</v>
      </c>
      <c r="E59" s="9"/>
      <c r="F59" s="14">
        <v>12</v>
      </c>
      <c r="G59" s="3" t="s">
        <v>193</v>
      </c>
      <c r="H59" s="29">
        <v>15250000</v>
      </c>
      <c r="I59" s="3"/>
      <c r="J59" s="3"/>
      <c r="K59" s="3"/>
      <c r="L59" s="9">
        <f t="shared" si="0"/>
        <v>43466</v>
      </c>
      <c r="M59" s="9">
        <f t="shared" si="1"/>
        <v>43831</v>
      </c>
      <c r="N59">
        <f>VLOOKUP(B59,PROYECTO!A:H,8,0)</f>
        <v>0</v>
      </c>
      <c r="O59" s="9">
        <f t="array" ref="O59">MAX(MAX(IF($B:$B=B59,$M:$M)),MAX(IF(PERSONAS!B:B=B59,PERSONAS!N:N)))</f>
        <v>43831</v>
      </c>
      <c r="P59" s="29">
        <f t="shared" si="2"/>
        <v>12</v>
      </c>
    </row>
    <row r="60" spans="2:16" x14ac:dyDescent="0.25">
      <c r="B60" s="2">
        <v>1826</v>
      </c>
      <c r="C60" s="3" t="s">
        <v>192</v>
      </c>
      <c r="D60" s="9">
        <v>43435</v>
      </c>
      <c r="E60" s="9"/>
      <c r="F60" s="14">
        <v>1</v>
      </c>
      <c r="G60" s="3" t="s">
        <v>193</v>
      </c>
      <c r="H60" s="29">
        <v>66315631</v>
      </c>
      <c r="I60" s="3"/>
      <c r="J60" s="3" t="s">
        <v>269</v>
      </c>
      <c r="K60" s="3"/>
      <c r="L60" s="9">
        <f t="shared" si="0"/>
        <v>43435</v>
      </c>
      <c r="M60" s="9">
        <f t="shared" si="1"/>
        <v>43466</v>
      </c>
      <c r="N60">
        <f>VLOOKUP(B60,PROYECTO!A:H,8,0)</f>
        <v>0</v>
      </c>
      <c r="O60" s="9">
        <f t="array" ref="O60">MAX(MAX(IF($B:$B=B60,$M:$M)),MAX(IF(PERSONAS!B:B=B60,PERSONAS!N:N)))</f>
        <v>43556</v>
      </c>
      <c r="P60" s="29">
        <f t="shared" si="2"/>
        <v>1</v>
      </c>
    </row>
    <row r="61" spans="2:16" x14ac:dyDescent="0.25">
      <c r="B61" s="3">
        <v>1826</v>
      </c>
      <c r="C61" s="3" t="s">
        <v>192</v>
      </c>
      <c r="D61" s="9">
        <v>43466</v>
      </c>
      <c r="E61" s="9"/>
      <c r="F61" s="14">
        <v>3</v>
      </c>
      <c r="G61" s="3" t="s">
        <v>193</v>
      </c>
      <c r="H61" s="29">
        <v>20341421</v>
      </c>
      <c r="I61" s="3"/>
      <c r="J61" s="3" t="s">
        <v>269</v>
      </c>
      <c r="K61" s="3"/>
      <c r="L61" s="9">
        <f t="shared" si="0"/>
        <v>43466</v>
      </c>
      <c r="M61" s="9">
        <f t="shared" si="1"/>
        <v>43556</v>
      </c>
      <c r="N61">
        <f>VLOOKUP(B61,PROYECTO!A:H,8,0)</f>
        <v>0</v>
      </c>
      <c r="O61" s="9">
        <f t="array" ref="O61">MAX(MAX(IF($B:$B=B61,$M:$M)),MAX(IF(PERSONAS!B:B=B61,PERSONAS!N:N)))</f>
        <v>43556</v>
      </c>
      <c r="P61" s="29">
        <f t="shared" si="2"/>
        <v>3</v>
      </c>
    </row>
    <row r="62" spans="2:16" x14ac:dyDescent="0.25">
      <c r="B62" s="3">
        <v>1895</v>
      </c>
      <c r="C62" s="3" t="s">
        <v>192</v>
      </c>
      <c r="D62" s="9">
        <v>43453</v>
      </c>
      <c r="E62" s="9">
        <v>43453</v>
      </c>
      <c r="F62" s="3">
        <v>2</v>
      </c>
      <c r="G62" s="3" t="s">
        <v>193</v>
      </c>
      <c r="H62" s="29">
        <v>7100000</v>
      </c>
      <c r="I62" s="3"/>
      <c r="J62" s="3"/>
      <c r="K62" s="3"/>
      <c r="L62" s="9">
        <f t="shared" si="0"/>
        <v>43435</v>
      </c>
      <c r="M62" s="9">
        <f t="shared" si="1"/>
        <v>43515</v>
      </c>
      <c r="N62">
        <f>VLOOKUP(B62,PROYECTO!A:H,8,0)</f>
        <v>0</v>
      </c>
      <c r="O62" s="9">
        <f t="array" ref="O62">MAX(MAX(IF($B:$B=B62,$M:$M)),MAX(IF(PERSONAS!B:B=B62,PERSONAS!N:N)))</f>
        <v>43525</v>
      </c>
      <c r="P62" s="29">
        <f t="shared" si="2"/>
        <v>2</v>
      </c>
    </row>
    <row r="63" spans="2:16" x14ac:dyDescent="0.25">
      <c r="B63" s="5">
        <v>1734</v>
      </c>
      <c r="C63" s="3" t="s">
        <v>192</v>
      </c>
      <c r="D63" s="9">
        <v>42736</v>
      </c>
      <c r="E63" s="9"/>
      <c r="F63" s="15">
        <v>1</v>
      </c>
      <c r="G63" s="3" t="s">
        <v>193</v>
      </c>
      <c r="H63" s="29">
        <v>7000000</v>
      </c>
      <c r="I63" s="3"/>
      <c r="J63" s="3" t="s">
        <v>270</v>
      </c>
      <c r="K63" s="3"/>
      <c r="L63" s="9">
        <f t="shared" si="0"/>
        <v>42736</v>
      </c>
      <c r="M63" s="9">
        <f t="shared" si="1"/>
        <v>42767</v>
      </c>
      <c r="N63">
        <f>VLOOKUP(B63,PROYECTO!A:H,8,0)</f>
        <v>0</v>
      </c>
      <c r="O63" s="9">
        <f t="array" ref="O63">MAX(MAX(IF($B:$B=B63,$M:$M)),MAX(IF(PERSONAS!B:B=B63,PERSONAS!N:N)))</f>
        <v>44287</v>
      </c>
      <c r="P63" s="29">
        <f t="shared" si="2"/>
        <v>1</v>
      </c>
    </row>
    <row r="64" spans="2:16" x14ac:dyDescent="0.25">
      <c r="B64" s="3">
        <v>1734</v>
      </c>
      <c r="C64" s="3" t="s">
        <v>192</v>
      </c>
      <c r="D64" s="9">
        <v>42767</v>
      </c>
      <c r="E64" s="9"/>
      <c r="F64" s="3">
        <v>1</v>
      </c>
      <c r="G64" s="3" t="s">
        <v>193</v>
      </c>
      <c r="H64" s="29">
        <v>14000000</v>
      </c>
      <c r="I64" s="3"/>
      <c r="J64" s="3" t="s">
        <v>270</v>
      </c>
      <c r="K64" s="3"/>
      <c r="L64" s="9">
        <f t="shared" si="0"/>
        <v>42767</v>
      </c>
      <c r="M64" s="9">
        <f t="shared" si="1"/>
        <v>42795</v>
      </c>
      <c r="N64">
        <f>VLOOKUP(B64,PROYECTO!A:H,8,0)</f>
        <v>0</v>
      </c>
      <c r="O64" s="9">
        <f t="array" ref="O64">MAX(MAX(IF($B:$B=B64,$M:$M)),MAX(IF(PERSONAS!B:B=B64,PERSONAS!N:N)))</f>
        <v>44287</v>
      </c>
      <c r="P64" s="29">
        <f t="shared" si="2"/>
        <v>1</v>
      </c>
    </row>
    <row r="65" spans="2:16" x14ac:dyDescent="0.25">
      <c r="B65" s="3">
        <v>1734</v>
      </c>
      <c r="C65" s="3" t="s">
        <v>192</v>
      </c>
      <c r="D65" s="9">
        <v>42795</v>
      </c>
      <c r="E65" s="9"/>
      <c r="F65" s="3">
        <v>1</v>
      </c>
      <c r="G65" s="3" t="s">
        <v>193</v>
      </c>
      <c r="H65" s="29">
        <v>14000000</v>
      </c>
      <c r="I65" s="3"/>
      <c r="J65" s="3" t="s">
        <v>270</v>
      </c>
      <c r="K65" s="3"/>
      <c r="L65" s="9">
        <f t="shared" si="0"/>
        <v>42795</v>
      </c>
      <c r="M65" s="9">
        <f t="shared" si="1"/>
        <v>42826</v>
      </c>
      <c r="N65">
        <f>VLOOKUP(B65,PROYECTO!A:H,8,0)</f>
        <v>0</v>
      </c>
      <c r="O65" s="9">
        <f t="array" ref="O65">MAX(MAX(IF($B:$B=B65,$M:$M)),MAX(IF(PERSONAS!B:B=B65,PERSONAS!N:N)))</f>
        <v>44287</v>
      </c>
      <c r="P65" s="29">
        <f t="shared" si="2"/>
        <v>1</v>
      </c>
    </row>
    <row r="66" spans="2:16" x14ac:dyDescent="0.25">
      <c r="B66" s="5">
        <v>1734</v>
      </c>
      <c r="C66" s="3" t="s">
        <v>192</v>
      </c>
      <c r="D66" s="9">
        <v>42826</v>
      </c>
      <c r="E66" s="9"/>
      <c r="F66" s="14">
        <v>1</v>
      </c>
      <c r="G66" s="3" t="s">
        <v>193</v>
      </c>
      <c r="H66" s="29">
        <v>14000000</v>
      </c>
      <c r="I66" s="3"/>
      <c r="J66" s="3" t="s">
        <v>270</v>
      </c>
      <c r="K66" s="3"/>
      <c r="L66" s="9">
        <f t="shared" si="0"/>
        <v>42826</v>
      </c>
      <c r="M66" s="9">
        <f t="shared" si="1"/>
        <v>42856</v>
      </c>
      <c r="N66">
        <f>VLOOKUP(B66,PROYECTO!A:H,8,0)</f>
        <v>0</v>
      </c>
      <c r="O66" s="9">
        <f t="array" ref="O66">MAX(MAX(IF($B:$B=B66,$M:$M)),MAX(IF(PERSONAS!B:B=B66,PERSONAS!N:N)))</f>
        <v>44287</v>
      </c>
      <c r="P66" s="29">
        <f t="shared" si="2"/>
        <v>1</v>
      </c>
    </row>
    <row r="67" spans="2:16" x14ac:dyDescent="0.25">
      <c r="B67" s="5">
        <v>1734</v>
      </c>
      <c r="C67" s="3" t="s">
        <v>192</v>
      </c>
      <c r="D67" s="9">
        <v>42856</v>
      </c>
      <c r="E67" s="3"/>
      <c r="F67" s="14">
        <v>1</v>
      </c>
      <c r="G67" s="3" t="s">
        <v>193</v>
      </c>
      <c r="H67" s="29">
        <v>7000000</v>
      </c>
      <c r="I67" s="3"/>
      <c r="J67" s="3" t="s">
        <v>270</v>
      </c>
      <c r="K67" s="3"/>
      <c r="L67" s="9">
        <f t="shared" ref="L67:L130" si="3">(MONTH(D67)&amp;"-"&amp;YEAR(D67))*1</f>
        <v>42856</v>
      </c>
      <c r="M67" s="9">
        <f t="shared" ref="M67:M130" si="4">EDATE(D67,F67)</f>
        <v>42887</v>
      </c>
      <c r="N67">
        <f>VLOOKUP(B67,PROYECTO!A:H,8,0)</f>
        <v>0</v>
      </c>
      <c r="O67" s="9">
        <f t="array" ref="O67">MAX(MAX(IF($B:$B=B67,$M:$M)),MAX(IF(PERSONAS!B:B=B67,PERSONAS!N:N)))</f>
        <v>44287</v>
      </c>
      <c r="P67" s="29">
        <f t="shared" ref="P67:P130" si="5">IF(O67=M67,F67+N67,F67)</f>
        <v>1</v>
      </c>
    </row>
    <row r="68" spans="2:16" x14ac:dyDescent="0.25">
      <c r="B68" s="5">
        <v>1734</v>
      </c>
      <c r="C68" s="3" t="s">
        <v>192</v>
      </c>
      <c r="D68" s="9">
        <v>43040</v>
      </c>
      <c r="E68" s="3"/>
      <c r="F68" s="14">
        <v>1</v>
      </c>
      <c r="G68" s="3" t="s">
        <v>193</v>
      </c>
      <c r="H68" s="29">
        <v>9000000</v>
      </c>
      <c r="I68" s="3"/>
      <c r="J68" s="3" t="s">
        <v>270</v>
      </c>
      <c r="K68" s="3"/>
      <c r="L68" s="9">
        <f t="shared" si="3"/>
        <v>43040</v>
      </c>
      <c r="M68" s="9">
        <f t="shared" si="4"/>
        <v>43070</v>
      </c>
      <c r="N68">
        <f>VLOOKUP(B68,PROYECTO!A:H,8,0)</f>
        <v>0</v>
      </c>
      <c r="O68" s="9">
        <f t="array" ref="O68">MAX(MAX(IF($B:$B=B68,$M:$M)),MAX(IF(PERSONAS!B:B=B68,PERSONAS!N:N)))</f>
        <v>44287</v>
      </c>
      <c r="P68" s="29">
        <f t="shared" si="5"/>
        <v>1</v>
      </c>
    </row>
    <row r="69" spans="2:16" x14ac:dyDescent="0.25">
      <c r="B69" s="5">
        <v>1734</v>
      </c>
      <c r="C69" s="3" t="s">
        <v>192</v>
      </c>
      <c r="D69" s="9">
        <v>43070</v>
      </c>
      <c r="E69" s="9"/>
      <c r="F69" s="14">
        <v>1</v>
      </c>
      <c r="G69" s="3" t="s">
        <v>193</v>
      </c>
      <c r="H69" s="29">
        <v>18000000</v>
      </c>
      <c r="I69" s="3"/>
      <c r="J69" s="3" t="s">
        <v>270</v>
      </c>
      <c r="K69" s="3"/>
      <c r="L69" s="9">
        <f t="shared" si="3"/>
        <v>43070</v>
      </c>
      <c r="M69" s="9">
        <f t="shared" si="4"/>
        <v>43101</v>
      </c>
      <c r="N69">
        <f>VLOOKUP(B69,PROYECTO!A:H,8,0)</f>
        <v>0</v>
      </c>
      <c r="O69" s="9">
        <f t="array" ref="O69">MAX(MAX(IF($B:$B=B69,$M:$M)),MAX(IF(PERSONAS!B:B=B69,PERSONAS!N:N)))</f>
        <v>44287</v>
      </c>
      <c r="P69" s="29">
        <f t="shared" si="5"/>
        <v>1</v>
      </c>
    </row>
    <row r="70" spans="2:16" x14ac:dyDescent="0.25">
      <c r="B70" s="3">
        <v>1734</v>
      </c>
      <c r="C70" s="3" t="s">
        <v>192</v>
      </c>
      <c r="D70" s="9">
        <v>43101</v>
      </c>
      <c r="E70" s="9"/>
      <c r="F70" s="14">
        <v>1</v>
      </c>
      <c r="G70" s="3" t="s">
        <v>193</v>
      </c>
      <c r="H70" s="29">
        <v>18000000</v>
      </c>
      <c r="I70" s="3"/>
      <c r="J70" s="3" t="s">
        <v>270</v>
      </c>
      <c r="K70" s="3"/>
      <c r="L70" s="9">
        <f t="shared" si="3"/>
        <v>43101</v>
      </c>
      <c r="M70" s="9">
        <f t="shared" si="4"/>
        <v>43132</v>
      </c>
      <c r="N70">
        <f>VLOOKUP(B70,PROYECTO!A:H,8,0)</f>
        <v>0</v>
      </c>
      <c r="O70" s="9">
        <f t="array" ref="O70">MAX(MAX(IF($B:$B=B70,$M:$M)),MAX(IF(PERSONAS!B:B=B70,PERSONAS!N:N)))</f>
        <v>44287</v>
      </c>
      <c r="P70" s="29">
        <f t="shared" si="5"/>
        <v>1</v>
      </c>
    </row>
    <row r="71" spans="2:16" x14ac:dyDescent="0.25">
      <c r="B71" s="3">
        <v>1734</v>
      </c>
      <c r="C71" s="3" t="s">
        <v>192</v>
      </c>
      <c r="D71" s="9">
        <v>43132</v>
      </c>
      <c r="E71" s="9"/>
      <c r="F71" s="8">
        <v>1</v>
      </c>
      <c r="G71" s="8" t="s">
        <v>193</v>
      </c>
      <c r="H71" s="29">
        <v>18000000</v>
      </c>
      <c r="I71" s="9"/>
      <c r="J71" s="3" t="s">
        <v>270</v>
      </c>
      <c r="K71" s="10"/>
      <c r="L71" s="9">
        <f t="shared" si="3"/>
        <v>43132</v>
      </c>
      <c r="M71" s="9">
        <f t="shared" si="4"/>
        <v>43160</v>
      </c>
      <c r="N71">
        <f>VLOOKUP(B71,PROYECTO!A:H,8,0)</f>
        <v>0</v>
      </c>
      <c r="O71" s="9">
        <f t="array" ref="O71">MAX(MAX(IF($B:$B=B71,$M:$M)),MAX(IF(PERSONAS!B:B=B71,PERSONAS!N:N)))</f>
        <v>44287</v>
      </c>
      <c r="P71" s="29">
        <f t="shared" si="5"/>
        <v>1</v>
      </c>
    </row>
    <row r="72" spans="2:16" x14ac:dyDescent="0.25">
      <c r="B72" s="3">
        <v>1734</v>
      </c>
      <c r="C72" s="3" t="s">
        <v>192</v>
      </c>
      <c r="D72" s="9">
        <v>43160</v>
      </c>
      <c r="E72" s="9"/>
      <c r="F72" s="8">
        <v>1</v>
      </c>
      <c r="G72" s="8" t="s">
        <v>193</v>
      </c>
      <c r="H72" s="29">
        <v>18000000</v>
      </c>
      <c r="I72" s="3"/>
      <c r="J72" s="3" t="s">
        <v>270</v>
      </c>
      <c r="K72" s="3"/>
      <c r="L72" s="9">
        <f t="shared" si="3"/>
        <v>43160</v>
      </c>
      <c r="M72" s="9">
        <f t="shared" si="4"/>
        <v>43191</v>
      </c>
      <c r="N72">
        <f>VLOOKUP(B72,PROYECTO!A:H,8,0)</f>
        <v>0</v>
      </c>
      <c r="O72" s="9">
        <f t="array" ref="O72">MAX(MAX(IF($B:$B=B72,$M:$M)),MAX(IF(PERSONAS!B:B=B72,PERSONAS!N:N)))</f>
        <v>44287</v>
      </c>
      <c r="P72" s="29">
        <f t="shared" si="5"/>
        <v>1</v>
      </c>
    </row>
    <row r="73" spans="2:16" x14ac:dyDescent="0.25">
      <c r="B73" s="3">
        <v>1734</v>
      </c>
      <c r="C73" s="3" t="s">
        <v>192</v>
      </c>
      <c r="D73" s="9">
        <v>43191</v>
      </c>
      <c r="E73" s="9"/>
      <c r="F73" s="3">
        <v>1</v>
      </c>
      <c r="G73" s="8" t="s">
        <v>193</v>
      </c>
      <c r="H73" s="29">
        <v>18000000</v>
      </c>
      <c r="I73" s="3"/>
      <c r="J73" s="3" t="s">
        <v>270</v>
      </c>
      <c r="K73" s="3"/>
      <c r="L73" s="9">
        <f t="shared" si="3"/>
        <v>43191</v>
      </c>
      <c r="M73" s="9">
        <f t="shared" si="4"/>
        <v>43221</v>
      </c>
      <c r="N73">
        <f>VLOOKUP(B73,PROYECTO!A:H,8,0)</f>
        <v>0</v>
      </c>
      <c r="O73" s="9">
        <f t="array" ref="O73">MAX(MAX(IF($B:$B=B73,$M:$M)),MAX(IF(PERSONAS!B:B=B73,PERSONAS!N:N)))</f>
        <v>44287</v>
      </c>
      <c r="P73" s="29">
        <f t="shared" si="5"/>
        <v>1</v>
      </c>
    </row>
    <row r="74" spans="2:16" x14ac:dyDescent="0.25">
      <c r="B74" s="3">
        <v>1734</v>
      </c>
      <c r="C74" s="3" t="s">
        <v>192</v>
      </c>
      <c r="D74" s="9">
        <v>43221</v>
      </c>
      <c r="E74" s="9"/>
      <c r="F74" s="3">
        <v>1</v>
      </c>
      <c r="G74" s="8" t="s">
        <v>193</v>
      </c>
      <c r="H74" s="29">
        <v>10662100.456621004</v>
      </c>
      <c r="I74" s="3"/>
      <c r="J74" s="3" t="s">
        <v>270</v>
      </c>
      <c r="K74" s="3"/>
      <c r="L74" s="9">
        <f t="shared" si="3"/>
        <v>43221</v>
      </c>
      <c r="M74" s="9">
        <f t="shared" si="4"/>
        <v>43252</v>
      </c>
      <c r="N74">
        <f>VLOOKUP(B74,PROYECTO!A:H,8,0)</f>
        <v>0</v>
      </c>
      <c r="O74" s="9">
        <f t="array" ref="O74">MAX(MAX(IF($B:$B=B74,$M:$M)),MAX(IF(PERSONAS!B:B=B74,PERSONAS!N:N)))</f>
        <v>44287</v>
      </c>
      <c r="P74" s="29">
        <f t="shared" si="5"/>
        <v>1</v>
      </c>
    </row>
    <row r="75" spans="2:16" x14ac:dyDescent="0.25">
      <c r="B75" s="5">
        <v>1734</v>
      </c>
      <c r="C75" s="3" t="s">
        <v>192</v>
      </c>
      <c r="D75" s="9">
        <v>43252</v>
      </c>
      <c r="E75" s="9"/>
      <c r="F75" s="14">
        <v>1</v>
      </c>
      <c r="G75" s="3" t="s">
        <v>193</v>
      </c>
      <c r="H75" s="29">
        <v>12502283.105022833</v>
      </c>
      <c r="I75" s="3"/>
      <c r="J75" s="3" t="s">
        <v>270</v>
      </c>
      <c r="K75" s="3"/>
      <c r="L75" s="9">
        <f t="shared" si="3"/>
        <v>43252</v>
      </c>
      <c r="M75" s="9">
        <f t="shared" si="4"/>
        <v>43282</v>
      </c>
      <c r="N75">
        <f>VLOOKUP(B75,PROYECTO!A:H,8,0)</f>
        <v>0</v>
      </c>
      <c r="O75" s="9">
        <f t="array" ref="O75">MAX(MAX(IF($B:$B=B75,$M:$M)),MAX(IF(PERSONAS!B:B=B75,PERSONAS!N:N)))</f>
        <v>44287</v>
      </c>
      <c r="P75" s="29">
        <f t="shared" si="5"/>
        <v>1</v>
      </c>
    </row>
    <row r="76" spans="2:16" x14ac:dyDescent="0.25">
      <c r="B76" s="3">
        <v>1734</v>
      </c>
      <c r="C76" s="3" t="s">
        <v>192</v>
      </c>
      <c r="D76" s="9">
        <v>43282</v>
      </c>
      <c r="E76" s="9"/>
      <c r="F76" s="14">
        <v>1</v>
      </c>
      <c r="G76" s="3" t="s">
        <v>193</v>
      </c>
      <c r="H76" s="29">
        <v>14342465.753424659</v>
      </c>
      <c r="I76" s="3"/>
      <c r="J76" s="3" t="s">
        <v>270</v>
      </c>
      <c r="K76" s="3"/>
      <c r="L76" s="9">
        <f t="shared" si="3"/>
        <v>43282</v>
      </c>
      <c r="M76" s="9">
        <f t="shared" si="4"/>
        <v>43313</v>
      </c>
      <c r="N76">
        <f>VLOOKUP(B76,PROYECTO!A:H,8,0)</f>
        <v>0</v>
      </c>
      <c r="O76" s="9">
        <f t="array" ref="O76">MAX(MAX(IF($B:$B=B76,$M:$M)),MAX(IF(PERSONAS!B:B=B76,PERSONAS!N:N)))</f>
        <v>44287</v>
      </c>
      <c r="P76" s="29">
        <f t="shared" si="5"/>
        <v>1</v>
      </c>
    </row>
    <row r="77" spans="2:16" x14ac:dyDescent="0.25">
      <c r="B77" s="3">
        <v>1734</v>
      </c>
      <c r="C77" s="3" t="s">
        <v>192</v>
      </c>
      <c r="D77" s="9">
        <v>43313</v>
      </c>
      <c r="E77" s="9"/>
      <c r="F77" s="14">
        <v>1</v>
      </c>
      <c r="G77" s="3" t="s">
        <v>193</v>
      </c>
      <c r="H77" s="29">
        <v>16034246.575342465</v>
      </c>
      <c r="I77" s="3"/>
      <c r="J77" s="3" t="s">
        <v>270</v>
      </c>
      <c r="K77" s="3"/>
      <c r="L77" s="9">
        <f t="shared" si="3"/>
        <v>43313</v>
      </c>
      <c r="M77" s="9">
        <f t="shared" si="4"/>
        <v>43344</v>
      </c>
      <c r="N77">
        <f>VLOOKUP(B77,PROYECTO!A:H,8,0)</f>
        <v>0</v>
      </c>
      <c r="O77" s="9">
        <f t="array" ref="O77">MAX(MAX(IF($B:$B=B77,$M:$M)),MAX(IF(PERSONAS!B:B=B77,PERSONAS!N:N)))</f>
        <v>44287</v>
      </c>
      <c r="P77" s="29">
        <f t="shared" si="5"/>
        <v>1</v>
      </c>
    </row>
    <row r="78" spans="2:16" x14ac:dyDescent="0.25">
      <c r="B78" s="3">
        <v>1734</v>
      </c>
      <c r="C78" s="3" t="s">
        <v>192</v>
      </c>
      <c r="D78" s="9">
        <v>43344</v>
      </c>
      <c r="E78" s="9"/>
      <c r="F78" s="14">
        <v>1</v>
      </c>
      <c r="G78" s="3" t="s">
        <v>193</v>
      </c>
      <c r="H78" s="29">
        <v>17251141.552511416</v>
      </c>
      <c r="I78" s="3"/>
      <c r="J78" s="3" t="s">
        <v>270</v>
      </c>
      <c r="K78" s="3"/>
      <c r="L78" s="9">
        <f t="shared" si="3"/>
        <v>43344</v>
      </c>
      <c r="M78" s="9">
        <f t="shared" si="4"/>
        <v>43374</v>
      </c>
      <c r="N78">
        <f>VLOOKUP(B78,PROYECTO!A:H,8,0)</f>
        <v>0</v>
      </c>
      <c r="O78" s="9">
        <f t="array" ref="O78">MAX(MAX(IF($B:$B=B78,$M:$M)),MAX(IF(PERSONAS!B:B=B78,PERSONAS!N:N)))</f>
        <v>44287</v>
      </c>
      <c r="P78" s="29">
        <f t="shared" si="5"/>
        <v>1</v>
      </c>
    </row>
    <row r="79" spans="2:16" x14ac:dyDescent="0.25">
      <c r="B79" s="3">
        <v>1734</v>
      </c>
      <c r="C79" s="3" t="s">
        <v>192</v>
      </c>
      <c r="D79" s="9">
        <v>43374</v>
      </c>
      <c r="E79" s="9"/>
      <c r="F79" s="14">
        <v>1</v>
      </c>
      <c r="G79" s="3" t="s">
        <v>193</v>
      </c>
      <c r="H79" s="29">
        <v>14609589.041095886</v>
      </c>
      <c r="I79" s="3"/>
      <c r="J79" s="3" t="s">
        <v>270</v>
      </c>
      <c r="K79" s="3"/>
      <c r="L79" s="9">
        <f t="shared" si="3"/>
        <v>43374</v>
      </c>
      <c r="M79" s="9">
        <f t="shared" si="4"/>
        <v>43405</v>
      </c>
      <c r="N79">
        <f>VLOOKUP(B79,PROYECTO!A:H,8,0)</f>
        <v>0</v>
      </c>
      <c r="O79" s="9">
        <f t="array" ref="O79">MAX(MAX(IF($B:$B=B79,$M:$M)),MAX(IF(PERSONAS!B:B=B79,PERSONAS!N:N)))</f>
        <v>44287</v>
      </c>
      <c r="P79" s="29">
        <f t="shared" si="5"/>
        <v>1</v>
      </c>
    </row>
    <row r="80" spans="2:16" x14ac:dyDescent="0.25">
      <c r="B80" s="5">
        <v>1734</v>
      </c>
      <c r="C80" s="3" t="s">
        <v>192</v>
      </c>
      <c r="D80" s="9">
        <v>43405</v>
      </c>
      <c r="E80" s="9"/>
      <c r="F80" s="14">
        <v>1</v>
      </c>
      <c r="G80" s="3" t="s">
        <v>193</v>
      </c>
      <c r="H80" s="29">
        <v>14609589.041095892</v>
      </c>
      <c r="I80" s="3"/>
      <c r="J80" s="3" t="s">
        <v>270</v>
      </c>
      <c r="K80" s="3"/>
      <c r="L80" s="9">
        <f t="shared" si="3"/>
        <v>43405</v>
      </c>
      <c r="M80" s="9">
        <f t="shared" si="4"/>
        <v>43435</v>
      </c>
      <c r="N80">
        <f>VLOOKUP(B80,PROYECTO!A:H,8,0)</f>
        <v>0</v>
      </c>
      <c r="O80" s="9">
        <f t="array" ref="O80">MAX(MAX(IF($B:$B=B80,$M:$M)),MAX(IF(PERSONAS!B:B=B80,PERSONAS!N:N)))</f>
        <v>44287</v>
      </c>
      <c r="P80" s="29">
        <f t="shared" si="5"/>
        <v>1</v>
      </c>
    </row>
    <row r="81" spans="2:16" x14ac:dyDescent="0.25">
      <c r="B81" s="5">
        <v>1734</v>
      </c>
      <c r="C81" s="3" t="s">
        <v>192</v>
      </c>
      <c r="D81" s="9">
        <v>43435</v>
      </c>
      <c r="E81" s="9"/>
      <c r="F81" s="14">
        <v>1</v>
      </c>
      <c r="G81" s="3" t="s">
        <v>193</v>
      </c>
      <c r="H81" s="29">
        <v>16805936.073059365</v>
      </c>
      <c r="I81" s="3"/>
      <c r="J81" s="3" t="s">
        <v>270</v>
      </c>
      <c r="K81" s="3"/>
      <c r="L81" s="9">
        <f t="shared" si="3"/>
        <v>43435</v>
      </c>
      <c r="M81" s="9">
        <f t="shared" si="4"/>
        <v>43466</v>
      </c>
      <c r="N81">
        <f>VLOOKUP(B81,PROYECTO!A:H,8,0)</f>
        <v>0</v>
      </c>
      <c r="O81" s="9">
        <f t="array" ref="O81">MAX(MAX(IF($B:$B=B81,$M:$M)),MAX(IF(PERSONAS!B:B=B81,PERSONAS!N:N)))</f>
        <v>44287</v>
      </c>
      <c r="P81" s="29">
        <f t="shared" si="5"/>
        <v>1</v>
      </c>
    </row>
    <row r="82" spans="2:16" x14ac:dyDescent="0.25">
      <c r="B82" s="5">
        <v>1734</v>
      </c>
      <c r="C82" s="3" t="s">
        <v>192</v>
      </c>
      <c r="D82" s="9">
        <v>43466</v>
      </c>
      <c r="E82" s="9"/>
      <c r="F82" s="14">
        <v>1</v>
      </c>
      <c r="G82" s="3" t="s">
        <v>193</v>
      </c>
      <c r="H82" s="29">
        <v>15173515.981735155</v>
      </c>
      <c r="I82" s="3"/>
      <c r="J82" s="3" t="s">
        <v>270</v>
      </c>
      <c r="K82" s="3"/>
      <c r="L82" s="9">
        <f t="shared" si="3"/>
        <v>43466</v>
      </c>
      <c r="M82" s="9">
        <f t="shared" si="4"/>
        <v>43497</v>
      </c>
      <c r="N82">
        <f>VLOOKUP(B82,PROYECTO!A:H,8,0)</f>
        <v>0</v>
      </c>
      <c r="O82" s="9">
        <f t="array" ref="O82">MAX(MAX(IF($B:$B=B82,$M:$M)),MAX(IF(PERSONAS!B:B=B82,PERSONAS!N:N)))</f>
        <v>44287</v>
      </c>
      <c r="P82" s="29">
        <f t="shared" si="5"/>
        <v>1</v>
      </c>
    </row>
    <row r="83" spans="2:16" x14ac:dyDescent="0.25">
      <c r="B83" s="3">
        <v>1734</v>
      </c>
      <c r="C83" s="3" t="s">
        <v>192</v>
      </c>
      <c r="D83" s="9">
        <v>43497</v>
      </c>
      <c r="E83" s="9"/>
      <c r="F83" s="14">
        <v>1</v>
      </c>
      <c r="G83" s="3" t="s">
        <v>193</v>
      </c>
      <c r="H83" s="29">
        <v>14609589.041095892</v>
      </c>
      <c r="I83" s="3"/>
      <c r="J83" s="3" t="s">
        <v>270</v>
      </c>
      <c r="K83" s="3"/>
      <c r="L83" s="9">
        <f t="shared" si="3"/>
        <v>43497</v>
      </c>
      <c r="M83" s="9">
        <f t="shared" si="4"/>
        <v>43525</v>
      </c>
      <c r="N83">
        <f>VLOOKUP(B83,PROYECTO!A:H,8,0)</f>
        <v>0</v>
      </c>
      <c r="O83" s="9">
        <f t="array" ref="O83">MAX(MAX(IF($B:$B=B83,$M:$M)),MAX(IF(PERSONAS!B:B=B83,PERSONAS!N:N)))</f>
        <v>44287</v>
      </c>
      <c r="P83" s="29">
        <f t="shared" si="5"/>
        <v>1</v>
      </c>
    </row>
    <row r="84" spans="2:16" x14ac:dyDescent="0.25">
      <c r="B84" s="3">
        <v>1734</v>
      </c>
      <c r="C84" s="3" t="s">
        <v>192</v>
      </c>
      <c r="D84" s="9">
        <v>43525</v>
      </c>
      <c r="E84" s="9"/>
      <c r="F84" s="14">
        <v>1</v>
      </c>
      <c r="G84" s="3" t="s">
        <v>193</v>
      </c>
      <c r="H84" s="29">
        <v>15203196.347031964</v>
      </c>
      <c r="I84" s="3"/>
      <c r="J84" s="3" t="s">
        <v>270</v>
      </c>
      <c r="K84" s="3"/>
      <c r="L84" s="9">
        <f t="shared" si="3"/>
        <v>43525</v>
      </c>
      <c r="M84" s="9">
        <f t="shared" si="4"/>
        <v>43556</v>
      </c>
      <c r="N84">
        <f>VLOOKUP(B84,PROYECTO!A:H,8,0)</f>
        <v>0</v>
      </c>
      <c r="O84" s="9">
        <f t="array" ref="O84">MAX(MAX(IF($B:$B=B84,$M:$M)),MAX(IF(PERSONAS!B:B=B84,PERSONAS!N:N)))</f>
        <v>44287</v>
      </c>
      <c r="P84" s="29">
        <f t="shared" si="5"/>
        <v>1</v>
      </c>
    </row>
    <row r="85" spans="2:16" x14ac:dyDescent="0.25">
      <c r="B85" s="3">
        <v>1734</v>
      </c>
      <c r="C85" s="3" t="s">
        <v>192</v>
      </c>
      <c r="D85" s="9">
        <v>43556</v>
      </c>
      <c r="E85" s="9"/>
      <c r="F85" s="14">
        <v>1</v>
      </c>
      <c r="G85" s="3" t="s">
        <v>193</v>
      </c>
      <c r="H85" s="29">
        <v>18824200.913242016</v>
      </c>
      <c r="I85" s="3"/>
      <c r="J85" s="3" t="s">
        <v>270</v>
      </c>
      <c r="K85" s="3"/>
      <c r="L85" s="9">
        <f t="shared" si="3"/>
        <v>43556</v>
      </c>
      <c r="M85" s="9">
        <f t="shared" si="4"/>
        <v>43586</v>
      </c>
      <c r="N85">
        <f>VLOOKUP(B85,PROYECTO!A:H,8,0)</f>
        <v>0</v>
      </c>
      <c r="O85" s="9">
        <f t="array" ref="O85">MAX(MAX(IF($B:$B=B85,$M:$M)),MAX(IF(PERSONAS!B:B=B85,PERSONAS!N:N)))</f>
        <v>44287</v>
      </c>
      <c r="P85" s="29">
        <f t="shared" si="5"/>
        <v>1</v>
      </c>
    </row>
    <row r="86" spans="2:16" x14ac:dyDescent="0.25">
      <c r="B86" s="3">
        <v>1734</v>
      </c>
      <c r="C86" s="3" t="s">
        <v>192</v>
      </c>
      <c r="D86" s="9">
        <v>43586</v>
      </c>
      <c r="E86" s="9"/>
      <c r="F86" s="14">
        <v>1</v>
      </c>
      <c r="G86" s="3" t="s">
        <v>193</v>
      </c>
      <c r="H86" s="29">
        <v>21317351.598173514</v>
      </c>
      <c r="I86" s="3"/>
      <c r="J86" s="3" t="s">
        <v>270</v>
      </c>
      <c r="K86" s="3"/>
      <c r="L86" s="9">
        <f t="shared" si="3"/>
        <v>43586</v>
      </c>
      <c r="M86" s="9">
        <f t="shared" si="4"/>
        <v>43617</v>
      </c>
      <c r="N86">
        <f>VLOOKUP(B86,PROYECTO!A:H,8,0)</f>
        <v>0</v>
      </c>
      <c r="O86" s="9">
        <f t="array" ref="O86">MAX(MAX(IF($B:$B=B86,$M:$M)),MAX(IF(PERSONAS!B:B=B86,PERSONAS!N:N)))</f>
        <v>44287</v>
      </c>
      <c r="P86" s="29">
        <f t="shared" si="5"/>
        <v>1</v>
      </c>
    </row>
    <row r="87" spans="2:16" x14ac:dyDescent="0.25">
      <c r="B87" s="3">
        <v>1734</v>
      </c>
      <c r="C87" s="3" t="s">
        <v>192</v>
      </c>
      <c r="D87" s="9">
        <v>43617</v>
      </c>
      <c r="E87" s="9"/>
      <c r="F87" s="14">
        <v>1</v>
      </c>
      <c r="G87" s="3" t="s">
        <v>193</v>
      </c>
      <c r="H87" s="29">
        <v>22860730.593607314</v>
      </c>
      <c r="I87" s="3"/>
      <c r="J87" s="3" t="s">
        <v>270</v>
      </c>
      <c r="K87" s="3"/>
      <c r="L87" s="9">
        <f t="shared" si="3"/>
        <v>43617</v>
      </c>
      <c r="M87" s="9">
        <f t="shared" si="4"/>
        <v>43647</v>
      </c>
      <c r="N87">
        <f>VLOOKUP(B87,PROYECTO!A:H,8,0)</f>
        <v>0</v>
      </c>
      <c r="O87" s="9">
        <f t="array" ref="O87">MAX(MAX(IF($B:$B=B87,$M:$M)),MAX(IF(PERSONAS!B:B=B87,PERSONAS!N:N)))</f>
        <v>44287</v>
      </c>
      <c r="P87" s="29">
        <f t="shared" si="5"/>
        <v>1</v>
      </c>
    </row>
    <row r="88" spans="2:16" x14ac:dyDescent="0.25">
      <c r="B88" s="3">
        <v>1734</v>
      </c>
      <c r="C88" s="3" t="s">
        <v>192</v>
      </c>
      <c r="D88" s="9">
        <v>43647</v>
      </c>
      <c r="E88" s="9"/>
      <c r="F88" s="14">
        <v>1</v>
      </c>
      <c r="G88" s="3" t="s">
        <v>193</v>
      </c>
      <c r="H88" s="29">
        <v>21079908.675799087</v>
      </c>
      <c r="I88" s="3"/>
      <c r="J88" s="3" t="s">
        <v>270</v>
      </c>
      <c r="K88" s="3"/>
      <c r="L88" s="9">
        <f t="shared" si="3"/>
        <v>43647</v>
      </c>
      <c r="M88" s="9">
        <f t="shared" si="4"/>
        <v>43678</v>
      </c>
      <c r="N88">
        <f>VLOOKUP(B88,PROYECTO!A:H,8,0)</f>
        <v>0</v>
      </c>
      <c r="O88" s="9">
        <f t="array" ref="O88">MAX(MAX(IF($B:$B=B88,$M:$M)),MAX(IF(PERSONAS!B:B=B88,PERSONAS!N:N)))</f>
        <v>44287</v>
      </c>
      <c r="P88" s="29">
        <f t="shared" si="5"/>
        <v>1</v>
      </c>
    </row>
    <row r="89" spans="2:16" x14ac:dyDescent="0.25">
      <c r="B89" s="3">
        <v>1734</v>
      </c>
      <c r="C89" s="3" t="s">
        <v>192</v>
      </c>
      <c r="D89" s="9">
        <v>43678</v>
      </c>
      <c r="E89" s="9"/>
      <c r="F89" s="14">
        <v>1</v>
      </c>
      <c r="G89" s="3" t="s">
        <v>193</v>
      </c>
      <c r="H89" s="29">
        <v>25917808.219178069</v>
      </c>
      <c r="I89" s="3"/>
      <c r="J89" s="3" t="s">
        <v>270</v>
      </c>
      <c r="K89" s="3"/>
      <c r="L89" s="9">
        <f t="shared" si="3"/>
        <v>43678</v>
      </c>
      <c r="M89" s="9">
        <f t="shared" si="4"/>
        <v>43709</v>
      </c>
      <c r="N89">
        <f>VLOOKUP(B89,PROYECTO!A:H,8,0)</f>
        <v>0</v>
      </c>
      <c r="O89" s="9">
        <f t="array" ref="O89">MAX(MAX(IF($B:$B=B89,$M:$M)),MAX(IF(PERSONAS!B:B=B89,PERSONAS!N:N)))</f>
        <v>44287</v>
      </c>
      <c r="P89" s="29">
        <f t="shared" si="5"/>
        <v>1</v>
      </c>
    </row>
    <row r="90" spans="2:16" x14ac:dyDescent="0.25">
      <c r="B90" s="3">
        <v>1734</v>
      </c>
      <c r="C90" s="3" t="s">
        <v>192</v>
      </c>
      <c r="D90" s="9">
        <v>43709</v>
      </c>
      <c r="E90" s="9"/>
      <c r="F90" s="14">
        <v>1</v>
      </c>
      <c r="G90" s="3" t="s">
        <v>193</v>
      </c>
      <c r="H90" s="29">
        <v>23216894.977168947</v>
      </c>
      <c r="I90" s="3"/>
      <c r="J90" s="3" t="s">
        <v>270</v>
      </c>
      <c r="K90" s="3"/>
      <c r="L90" s="9">
        <f t="shared" si="3"/>
        <v>43709</v>
      </c>
      <c r="M90" s="9">
        <f t="shared" si="4"/>
        <v>43739</v>
      </c>
      <c r="N90">
        <f>VLOOKUP(B90,PROYECTO!A:H,8,0)</f>
        <v>0</v>
      </c>
      <c r="O90" s="9">
        <f t="array" ref="O90">MAX(MAX(IF($B:$B=B90,$M:$M)),MAX(IF(PERSONAS!B:B=B90,PERSONAS!N:N)))</f>
        <v>44287</v>
      </c>
      <c r="P90" s="29">
        <f t="shared" si="5"/>
        <v>1</v>
      </c>
    </row>
    <row r="91" spans="2:16" x14ac:dyDescent="0.25">
      <c r="B91" s="3">
        <v>1734</v>
      </c>
      <c r="C91" s="3" t="s">
        <v>192</v>
      </c>
      <c r="D91" s="9">
        <v>43739</v>
      </c>
      <c r="E91" s="9"/>
      <c r="F91" s="14">
        <v>1</v>
      </c>
      <c r="G91" s="3" t="s">
        <v>193</v>
      </c>
      <c r="H91" s="29">
        <v>24226027.397260282</v>
      </c>
      <c r="I91" s="3"/>
      <c r="J91" s="3" t="s">
        <v>270</v>
      </c>
      <c r="K91" s="3"/>
      <c r="L91" s="9">
        <f t="shared" si="3"/>
        <v>43739</v>
      </c>
      <c r="M91" s="9">
        <f t="shared" si="4"/>
        <v>43770</v>
      </c>
      <c r="N91">
        <f>VLOOKUP(B91,PROYECTO!A:H,8,0)</f>
        <v>0</v>
      </c>
      <c r="O91" s="9">
        <f t="array" ref="O91">MAX(MAX(IF($B:$B=B91,$M:$M)),MAX(IF(PERSONAS!B:B=B91,PERSONAS!N:N)))</f>
        <v>44287</v>
      </c>
      <c r="P91" s="29">
        <f t="shared" si="5"/>
        <v>1</v>
      </c>
    </row>
    <row r="92" spans="2:16" x14ac:dyDescent="0.25">
      <c r="B92" s="3">
        <v>1734</v>
      </c>
      <c r="C92" s="3" t="s">
        <v>192</v>
      </c>
      <c r="D92" s="9">
        <v>43770</v>
      </c>
      <c r="E92" s="9"/>
      <c r="F92" s="14">
        <v>1</v>
      </c>
      <c r="G92" s="3" t="s">
        <v>193</v>
      </c>
      <c r="H92" s="29">
        <v>25977168.949771687</v>
      </c>
      <c r="I92" s="3"/>
      <c r="J92" s="3" t="s">
        <v>270</v>
      </c>
      <c r="K92" s="3"/>
      <c r="L92" s="9">
        <f t="shared" si="3"/>
        <v>43770</v>
      </c>
      <c r="M92" s="9">
        <f t="shared" si="4"/>
        <v>43800</v>
      </c>
      <c r="N92">
        <f>VLOOKUP(B92,PROYECTO!A:H,8,0)</f>
        <v>0</v>
      </c>
      <c r="O92" s="9">
        <f t="array" ref="O92">MAX(MAX(IF($B:$B=B92,$M:$M)),MAX(IF(PERSONAS!B:B=B92,PERSONAS!N:N)))</f>
        <v>44287</v>
      </c>
      <c r="P92" s="29">
        <f t="shared" si="5"/>
        <v>1</v>
      </c>
    </row>
    <row r="93" spans="2:16" x14ac:dyDescent="0.25">
      <c r="B93" s="3">
        <v>1734</v>
      </c>
      <c r="C93" s="3" t="s">
        <v>192</v>
      </c>
      <c r="D93" s="9">
        <v>43800</v>
      </c>
      <c r="E93" s="9"/>
      <c r="F93" s="14">
        <v>1</v>
      </c>
      <c r="G93" s="3" t="s">
        <v>193</v>
      </c>
      <c r="H93" s="29">
        <v>20456621.00456623</v>
      </c>
      <c r="I93" s="3"/>
      <c r="J93" s="3" t="s">
        <v>270</v>
      </c>
      <c r="K93" s="3"/>
      <c r="L93" s="9">
        <f t="shared" si="3"/>
        <v>43800</v>
      </c>
      <c r="M93" s="9">
        <f t="shared" si="4"/>
        <v>43831</v>
      </c>
      <c r="N93">
        <f>VLOOKUP(B93,PROYECTO!A:H,8,0)</f>
        <v>0</v>
      </c>
      <c r="O93" s="9">
        <f t="array" ref="O93">MAX(MAX(IF($B:$B=B93,$M:$M)),MAX(IF(PERSONAS!B:B=B93,PERSONAS!N:N)))</f>
        <v>44287</v>
      </c>
      <c r="P93" s="29">
        <f t="shared" si="5"/>
        <v>1</v>
      </c>
    </row>
    <row r="94" spans="2:16" x14ac:dyDescent="0.25">
      <c r="B94" s="3">
        <v>1734</v>
      </c>
      <c r="C94" s="3" t="s">
        <v>192</v>
      </c>
      <c r="D94" s="9">
        <v>43831</v>
      </c>
      <c r="E94" s="9"/>
      <c r="F94" s="14">
        <v>1</v>
      </c>
      <c r="G94" s="3" t="s">
        <v>193</v>
      </c>
      <c r="H94" s="29">
        <v>20812785.388127822</v>
      </c>
      <c r="I94" s="3"/>
      <c r="J94" s="3" t="s">
        <v>270</v>
      </c>
      <c r="K94" s="3"/>
      <c r="L94" s="9">
        <f t="shared" si="3"/>
        <v>43831</v>
      </c>
      <c r="M94" s="9">
        <f t="shared" si="4"/>
        <v>43862</v>
      </c>
      <c r="N94">
        <f>VLOOKUP(B94,PROYECTO!A:H,8,0)</f>
        <v>0</v>
      </c>
      <c r="O94" s="9">
        <f t="array" ref="O94">MAX(MAX(IF($B:$B=B94,$M:$M)),MAX(IF(PERSONAS!B:B=B94,PERSONAS!N:N)))</f>
        <v>44287</v>
      </c>
      <c r="P94" s="29">
        <f t="shared" si="5"/>
        <v>1</v>
      </c>
    </row>
    <row r="95" spans="2:16" x14ac:dyDescent="0.25">
      <c r="B95" s="3">
        <v>1734</v>
      </c>
      <c r="C95" s="3" t="s">
        <v>192</v>
      </c>
      <c r="D95" s="9">
        <v>43862</v>
      </c>
      <c r="E95" s="9"/>
      <c r="F95" s="14">
        <v>1</v>
      </c>
      <c r="G95" s="3" t="s">
        <v>193</v>
      </c>
      <c r="H95" s="29">
        <v>23038812.785388142</v>
      </c>
      <c r="I95" s="3"/>
      <c r="J95" s="3" t="s">
        <v>270</v>
      </c>
      <c r="K95" s="3"/>
      <c r="L95" s="9">
        <f t="shared" si="3"/>
        <v>43862</v>
      </c>
      <c r="M95" s="9">
        <f t="shared" si="4"/>
        <v>43891</v>
      </c>
      <c r="N95">
        <f>VLOOKUP(B95,PROYECTO!A:H,8,0)</f>
        <v>0</v>
      </c>
      <c r="O95" s="9">
        <f t="array" ref="O95">MAX(MAX(IF($B:$B=B95,$M:$M)),MAX(IF(PERSONAS!B:B=B95,PERSONAS!N:N)))</f>
        <v>44287</v>
      </c>
      <c r="P95" s="29">
        <f t="shared" si="5"/>
        <v>1</v>
      </c>
    </row>
    <row r="96" spans="2:16" x14ac:dyDescent="0.25">
      <c r="B96" s="3">
        <v>1734</v>
      </c>
      <c r="C96" s="3" t="s">
        <v>192</v>
      </c>
      <c r="D96" s="9">
        <v>43891</v>
      </c>
      <c r="E96" s="9"/>
      <c r="F96" s="14">
        <v>1</v>
      </c>
      <c r="G96" s="3" t="s">
        <v>193</v>
      </c>
      <c r="H96" s="29">
        <v>20219178.082191784</v>
      </c>
      <c r="I96" s="3"/>
      <c r="J96" s="3" t="s">
        <v>270</v>
      </c>
      <c r="K96" s="3"/>
      <c r="L96" s="9">
        <f t="shared" si="3"/>
        <v>43891</v>
      </c>
      <c r="M96" s="9">
        <f t="shared" si="4"/>
        <v>43922</v>
      </c>
      <c r="N96">
        <f>VLOOKUP(B96,PROYECTO!A:H,8,0)</f>
        <v>0</v>
      </c>
      <c r="O96" s="9">
        <f t="array" ref="O96">MAX(MAX(IF($B:$B=B96,$M:$M)),MAX(IF(PERSONAS!B:B=B96,PERSONAS!N:N)))</f>
        <v>44287</v>
      </c>
      <c r="P96" s="29">
        <f t="shared" si="5"/>
        <v>1</v>
      </c>
    </row>
    <row r="97" spans="2:16" x14ac:dyDescent="0.25">
      <c r="B97" s="3">
        <v>1734</v>
      </c>
      <c r="C97" s="3" t="s">
        <v>192</v>
      </c>
      <c r="D97" s="9">
        <v>43922</v>
      </c>
      <c r="E97" s="9"/>
      <c r="F97" s="14">
        <v>1</v>
      </c>
      <c r="G97" s="3" t="s">
        <v>193</v>
      </c>
      <c r="H97" s="29">
        <v>22415525.11415524</v>
      </c>
      <c r="I97" s="3"/>
      <c r="J97" s="3" t="s">
        <v>270</v>
      </c>
      <c r="K97" s="3"/>
      <c r="L97" s="9">
        <f t="shared" si="3"/>
        <v>43922</v>
      </c>
      <c r="M97" s="9">
        <f t="shared" si="4"/>
        <v>43952</v>
      </c>
      <c r="N97">
        <f>VLOOKUP(B97,PROYECTO!A:H,8,0)</f>
        <v>0</v>
      </c>
      <c r="O97" s="9">
        <f t="array" ref="O97">MAX(MAX(IF($B:$B=B97,$M:$M)),MAX(IF(PERSONAS!B:B=B97,PERSONAS!N:N)))</f>
        <v>44287</v>
      </c>
      <c r="P97" s="29">
        <f t="shared" si="5"/>
        <v>1</v>
      </c>
    </row>
    <row r="98" spans="2:16" x14ac:dyDescent="0.25">
      <c r="B98" s="3">
        <v>1734</v>
      </c>
      <c r="C98" s="3" t="s">
        <v>192</v>
      </c>
      <c r="D98" s="9">
        <v>43952</v>
      </c>
      <c r="E98" s="9"/>
      <c r="F98" s="14">
        <v>1</v>
      </c>
      <c r="G98" s="3" t="s">
        <v>193</v>
      </c>
      <c r="H98" s="29">
        <v>22920091.324200906</v>
      </c>
      <c r="I98" s="3"/>
      <c r="J98" s="3" t="s">
        <v>270</v>
      </c>
      <c r="K98" s="3"/>
      <c r="L98" s="9">
        <f t="shared" si="3"/>
        <v>43952</v>
      </c>
      <c r="M98" s="9">
        <f t="shared" si="4"/>
        <v>43983</v>
      </c>
      <c r="N98">
        <f>VLOOKUP(B98,PROYECTO!A:H,8,0)</f>
        <v>0</v>
      </c>
      <c r="O98" s="9">
        <f t="array" ref="O98">MAX(MAX(IF($B:$B=B98,$M:$M)),MAX(IF(PERSONAS!B:B=B98,PERSONAS!N:N)))</f>
        <v>44287</v>
      </c>
      <c r="P98" s="29">
        <f t="shared" si="5"/>
        <v>1</v>
      </c>
    </row>
    <row r="99" spans="2:16" x14ac:dyDescent="0.25">
      <c r="B99" s="3">
        <v>1734</v>
      </c>
      <c r="C99" s="3" t="s">
        <v>192</v>
      </c>
      <c r="D99" s="9">
        <v>43983</v>
      </c>
      <c r="E99" s="9"/>
      <c r="F99" s="14">
        <v>1</v>
      </c>
      <c r="G99" s="3" t="s">
        <v>193</v>
      </c>
      <c r="H99" s="29">
        <v>18468036.529680401</v>
      </c>
      <c r="I99" s="3"/>
      <c r="J99" s="3" t="s">
        <v>270</v>
      </c>
      <c r="K99" s="3"/>
      <c r="L99" s="9">
        <f t="shared" si="3"/>
        <v>43983</v>
      </c>
      <c r="M99" s="9">
        <f t="shared" si="4"/>
        <v>44013</v>
      </c>
      <c r="N99">
        <f>VLOOKUP(B99,PROYECTO!A:H,8,0)</f>
        <v>0</v>
      </c>
      <c r="O99" s="9">
        <f t="array" ref="O99">MAX(MAX(IF($B:$B=B99,$M:$M)),MAX(IF(PERSONAS!B:B=B99,PERSONAS!N:N)))</f>
        <v>44287</v>
      </c>
      <c r="P99" s="29">
        <f t="shared" si="5"/>
        <v>1</v>
      </c>
    </row>
    <row r="100" spans="2:16" x14ac:dyDescent="0.25">
      <c r="B100" s="3">
        <v>1734</v>
      </c>
      <c r="C100" s="3" t="s">
        <v>192</v>
      </c>
      <c r="D100" s="9">
        <v>44013</v>
      </c>
      <c r="E100" s="9"/>
      <c r="F100" s="14">
        <v>1</v>
      </c>
      <c r="G100" s="3" t="s">
        <v>193</v>
      </c>
      <c r="H100" s="29">
        <v>17013698.630136952</v>
      </c>
      <c r="I100" s="3"/>
      <c r="J100" s="3" t="s">
        <v>270</v>
      </c>
      <c r="K100" s="3"/>
      <c r="L100" s="9">
        <f t="shared" si="3"/>
        <v>44013</v>
      </c>
      <c r="M100" s="9">
        <f t="shared" si="4"/>
        <v>44044</v>
      </c>
      <c r="N100">
        <f>VLOOKUP(B100,PROYECTO!A:H,8,0)</f>
        <v>0</v>
      </c>
      <c r="O100" s="9">
        <f t="array" ref="O100">MAX(MAX(IF($B:$B=B100,$M:$M)),MAX(IF(PERSONAS!B:B=B100,PERSONAS!N:N)))</f>
        <v>44287</v>
      </c>
      <c r="P100" s="29">
        <f t="shared" si="5"/>
        <v>1</v>
      </c>
    </row>
    <row r="101" spans="2:16" x14ac:dyDescent="0.25">
      <c r="B101" s="3">
        <v>1734</v>
      </c>
      <c r="C101" s="3" t="s">
        <v>192</v>
      </c>
      <c r="D101" s="9">
        <v>44044</v>
      </c>
      <c r="E101" s="9"/>
      <c r="F101" s="14">
        <v>1</v>
      </c>
      <c r="G101" s="3" t="s">
        <v>193</v>
      </c>
      <c r="H101" s="29">
        <v>16894977.168949805</v>
      </c>
      <c r="I101" s="3"/>
      <c r="J101" s="3" t="s">
        <v>270</v>
      </c>
      <c r="K101" s="3"/>
      <c r="L101" s="9">
        <f t="shared" si="3"/>
        <v>44044</v>
      </c>
      <c r="M101" s="9">
        <f t="shared" si="4"/>
        <v>44075</v>
      </c>
      <c r="N101">
        <f>VLOOKUP(B101,PROYECTO!A:H,8,0)</f>
        <v>0</v>
      </c>
      <c r="O101" s="9">
        <f t="array" ref="O101">MAX(MAX(IF($B:$B=B101,$M:$M)),MAX(IF(PERSONAS!B:B=B101,PERSONAS!N:N)))</f>
        <v>44287</v>
      </c>
      <c r="P101" s="29">
        <f t="shared" si="5"/>
        <v>1</v>
      </c>
    </row>
    <row r="102" spans="2:16" x14ac:dyDescent="0.25">
      <c r="B102" s="3">
        <v>1734</v>
      </c>
      <c r="C102" s="3" t="s">
        <v>192</v>
      </c>
      <c r="D102" s="9">
        <v>44075</v>
      </c>
      <c r="E102" s="9"/>
      <c r="F102" s="14">
        <v>1</v>
      </c>
      <c r="G102" s="3" t="s">
        <v>193</v>
      </c>
      <c r="H102" s="29">
        <v>14609589.041095892</v>
      </c>
      <c r="I102" s="3"/>
      <c r="J102" s="3" t="s">
        <v>270</v>
      </c>
      <c r="K102" s="3"/>
      <c r="L102" s="9">
        <f t="shared" si="3"/>
        <v>44075</v>
      </c>
      <c r="M102" s="9">
        <f t="shared" si="4"/>
        <v>44105</v>
      </c>
      <c r="N102">
        <f>VLOOKUP(B102,PROYECTO!A:H,8,0)</f>
        <v>0</v>
      </c>
      <c r="O102" s="9">
        <f t="array" ref="O102">MAX(MAX(IF($B:$B=B102,$M:$M)),MAX(IF(PERSONAS!B:B=B102,PERSONAS!N:N)))</f>
        <v>44287</v>
      </c>
      <c r="P102" s="29">
        <f t="shared" si="5"/>
        <v>1</v>
      </c>
    </row>
    <row r="103" spans="2:16" x14ac:dyDescent="0.25">
      <c r="B103" s="3">
        <v>1734</v>
      </c>
      <c r="C103" s="3" t="s">
        <v>192</v>
      </c>
      <c r="D103" s="9">
        <v>44105</v>
      </c>
      <c r="E103" s="9"/>
      <c r="F103" s="14">
        <v>1</v>
      </c>
      <c r="G103" s="3" t="s">
        <v>193</v>
      </c>
      <c r="H103" s="29">
        <v>14668949.771689489</v>
      </c>
      <c r="I103" s="3"/>
      <c r="J103" s="3" t="s">
        <v>270</v>
      </c>
      <c r="K103" s="3"/>
      <c r="L103" s="9">
        <f t="shared" si="3"/>
        <v>44105</v>
      </c>
      <c r="M103" s="9">
        <f t="shared" si="4"/>
        <v>44136</v>
      </c>
      <c r="N103">
        <f>VLOOKUP(B103,PROYECTO!A:H,8,0)</f>
        <v>0</v>
      </c>
      <c r="O103" s="9">
        <f t="array" ref="O103">MAX(MAX(IF($B:$B=B103,$M:$M)),MAX(IF(PERSONAS!B:B=B103,PERSONAS!N:N)))</f>
        <v>44287</v>
      </c>
      <c r="P103" s="29">
        <f t="shared" si="5"/>
        <v>1</v>
      </c>
    </row>
    <row r="104" spans="2:16" x14ac:dyDescent="0.25">
      <c r="B104" s="3">
        <v>1734</v>
      </c>
      <c r="C104" s="3" t="s">
        <v>192</v>
      </c>
      <c r="D104" s="9">
        <v>44136</v>
      </c>
      <c r="E104" s="9"/>
      <c r="F104" s="14">
        <v>1</v>
      </c>
      <c r="G104" s="3" t="s">
        <v>193</v>
      </c>
      <c r="H104" s="29">
        <v>11789954.337899536</v>
      </c>
      <c r="I104" s="3"/>
      <c r="J104" s="3" t="s">
        <v>270</v>
      </c>
      <c r="K104" s="3"/>
      <c r="L104" s="9">
        <f t="shared" si="3"/>
        <v>44136</v>
      </c>
      <c r="M104" s="9">
        <f t="shared" si="4"/>
        <v>44166</v>
      </c>
      <c r="N104">
        <f>VLOOKUP(B104,PROYECTO!A:H,8,0)</f>
        <v>0</v>
      </c>
      <c r="O104" s="9">
        <f t="array" ref="O104">MAX(MAX(IF($B:$B=B104,$M:$M)),MAX(IF(PERSONAS!B:B=B104,PERSONAS!N:N)))</f>
        <v>44287</v>
      </c>
      <c r="P104" s="29">
        <f t="shared" si="5"/>
        <v>1</v>
      </c>
    </row>
    <row r="105" spans="2:16" x14ac:dyDescent="0.25">
      <c r="B105" s="3">
        <v>1734</v>
      </c>
      <c r="C105" s="3" t="s">
        <v>192</v>
      </c>
      <c r="D105" s="9">
        <v>44166</v>
      </c>
      <c r="E105" s="9"/>
      <c r="F105" s="14">
        <v>1</v>
      </c>
      <c r="G105" s="3" t="s">
        <v>193</v>
      </c>
      <c r="H105" s="29">
        <v>10929223.744292254</v>
      </c>
      <c r="I105" s="3"/>
      <c r="J105" s="3" t="s">
        <v>270</v>
      </c>
      <c r="K105" s="3"/>
      <c r="L105" s="9">
        <f t="shared" si="3"/>
        <v>44166</v>
      </c>
      <c r="M105" s="9">
        <f t="shared" si="4"/>
        <v>44197</v>
      </c>
      <c r="N105">
        <f>VLOOKUP(B105,PROYECTO!A:H,8,0)</f>
        <v>0</v>
      </c>
      <c r="O105" s="9">
        <f t="array" ref="O105">MAX(MAX(IF($B:$B=B105,$M:$M)),MAX(IF(PERSONAS!B:B=B105,PERSONAS!N:N)))</f>
        <v>44287</v>
      </c>
      <c r="P105" s="29">
        <f t="shared" si="5"/>
        <v>1</v>
      </c>
    </row>
    <row r="106" spans="2:16" x14ac:dyDescent="0.25">
      <c r="B106" s="3">
        <v>1734</v>
      </c>
      <c r="C106" s="3" t="s">
        <v>192</v>
      </c>
      <c r="D106" s="9">
        <v>44197</v>
      </c>
      <c r="E106" s="9"/>
      <c r="F106" s="14">
        <v>1</v>
      </c>
      <c r="G106" s="3" t="s">
        <v>193</v>
      </c>
      <c r="H106" s="29">
        <v>5538812.7853881111</v>
      </c>
      <c r="I106" s="3"/>
      <c r="J106" s="3" t="s">
        <v>270</v>
      </c>
      <c r="K106" s="3"/>
      <c r="L106" s="9">
        <f t="shared" si="3"/>
        <v>44197</v>
      </c>
      <c r="M106" s="9">
        <f t="shared" si="4"/>
        <v>44228</v>
      </c>
      <c r="N106">
        <f>VLOOKUP(B106,PROYECTO!A:H,8,0)</f>
        <v>0</v>
      </c>
      <c r="O106" s="9">
        <f t="array" ref="O106">MAX(MAX(IF($B:$B=B106,$M:$M)),MAX(IF(PERSONAS!B:B=B106,PERSONAS!N:N)))</f>
        <v>44287</v>
      </c>
      <c r="P106" s="29">
        <f t="shared" si="5"/>
        <v>1</v>
      </c>
    </row>
    <row r="107" spans="2:16" x14ac:dyDescent="0.25">
      <c r="B107" s="3">
        <v>1846</v>
      </c>
      <c r="C107" s="3" t="s">
        <v>192</v>
      </c>
      <c r="D107" s="9">
        <v>43466</v>
      </c>
      <c r="E107" s="9">
        <v>2018</v>
      </c>
      <c r="F107" s="14">
        <v>3</v>
      </c>
      <c r="G107" s="3" t="s">
        <v>193</v>
      </c>
      <c r="H107" s="29">
        <v>29900000</v>
      </c>
      <c r="I107" s="3"/>
      <c r="J107" s="3" t="s">
        <v>212</v>
      </c>
      <c r="K107" s="3"/>
      <c r="L107" s="9">
        <f t="shared" si="3"/>
        <v>43466</v>
      </c>
      <c r="M107" s="9">
        <f t="shared" si="4"/>
        <v>43556</v>
      </c>
      <c r="N107">
        <f>VLOOKUP(B107,PROYECTO!A:H,8,0)</f>
        <v>0</v>
      </c>
      <c r="O107" s="9">
        <f t="array" ref="O107">MAX(MAX(IF($B:$B=B107,$M:$M)),MAX(IF(PERSONAS!B:B=B107,PERSONAS!N:N)))</f>
        <v>43617</v>
      </c>
      <c r="P107" s="29">
        <f t="shared" si="5"/>
        <v>3</v>
      </c>
    </row>
    <row r="108" spans="2:16" x14ac:dyDescent="0.25">
      <c r="B108" s="3">
        <v>1858</v>
      </c>
      <c r="C108" s="3" t="s">
        <v>192</v>
      </c>
      <c r="D108" s="9">
        <v>43378</v>
      </c>
      <c r="E108" s="9"/>
      <c r="F108" s="14">
        <v>1</v>
      </c>
      <c r="G108" s="3" t="s">
        <v>209</v>
      </c>
      <c r="H108" s="29">
        <v>26355994.699999999</v>
      </c>
      <c r="I108" s="3"/>
      <c r="J108" s="3" t="s">
        <v>274</v>
      </c>
      <c r="K108" s="3"/>
      <c r="L108" s="9">
        <f t="shared" si="3"/>
        <v>43374</v>
      </c>
      <c r="M108" s="9">
        <f t="shared" si="4"/>
        <v>43409</v>
      </c>
      <c r="N108">
        <f>VLOOKUP(B108,PROYECTO!A:H,8,0)</f>
        <v>0</v>
      </c>
      <c r="O108" s="9">
        <f t="array" ref="O108">MAX(MAX(IF($B:$B=B108,$M:$M)),MAX(IF(PERSONAS!B:B=B108,PERSONAS!N:N)))</f>
        <v>43710</v>
      </c>
      <c r="P108" s="29">
        <f t="shared" si="5"/>
        <v>1</v>
      </c>
    </row>
    <row r="109" spans="2:16" x14ac:dyDescent="0.25">
      <c r="B109" s="3">
        <v>1858</v>
      </c>
      <c r="C109" s="3" t="s">
        <v>192</v>
      </c>
      <c r="D109" s="9">
        <v>43406</v>
      </c>
      <c r="E109" s="9"/>
      <c r="F109" s="14">
        <v>1</v>
      </c>
      <c r="G109" s="3" t="s">
        <v>209</v>
      </c>
      <c r="H109" s="29">
        <v>39533992.049999997</v>
      </c>
      <c r="I109" s="3"/>
      <c r="J109" s="3" t="s">
        <v>274</v>
      </c>
      <c r="K109" s="3"/>
      <c r="L109" s="9">
        <f t="shared" si="3"/>
        <v>43405</v>
      </c>
      <c r="M109" s="9">
        <f t="shared" si="4"/>
        <v>43436</v>
      </c>
      <c r="N109">
        <f>VLOOKUP(B109,PROYECTO!A:H,8,0)</f>
        <v>0</v>
      </c>
      <c r="O109" s="9">
        <f t="array" ref="O109">MAX(MAX(IF($B:$B=B109,$M:$M)),MAX(IF(PERSONAS!B:B=B109,PERSONAS!N:N)))</f>
        <v>43710</v>
      </c>
      <c r="P109" s="29">
        <f t="shared" si="5"/>
        <v>1</v>
      </c>
    </row>
    <row r="110" spans="2:16" x14ac:dyDescent="0.25">
      <c r="B110" s="3">
        <v>1858</v>
      </c>
      <c r="C110" s="3" t="s">
        <v>192</v>
      </c>
      <c r="D110" s="9">
        <v>43441</v>
      </c>
      <c r="E110" s="9"/>
      <c r="F110" s="14">
        <v>1</v>
      </c>
      <c r="G110" s="3" t="s">
        <v>209</v>
      </c>
      <c r="H110" s="29">
        <v>158135968.20000002</v>
      </c>
      <c r="I110" s="3"/>
      <c r="J110" s="3" t="s">
        <v>274</v>
      </c>
      <c r="K110" s="3"/>
      <c r="L110" s="9">
        <f t="shared" si="3"/>
        <v>43435</v>
      </c>
      <c r="M110" s="9">
        <f t="shared" si="4"/>
        <v>43472</v>
      </c>
      <c r="N110">
        <f>VLOOKUP(B110,PROYECTO!A:H,8,0)</f>
        <v>0</v>
      </c>
      <c r="O110" s="9">
        <f t="array" ref="O110">MAX(MAX(IF($B:$B=B110,$M:$M)),MAX(IF(PERSONAS!B:B=B110,PERSONAS!N:N)))</f>
        <v>43710</v>
      </c>
      <c r="P110" s="29">
        <f t="shared" si="5"/>
        <v>1</v>
      </c>
    </row>
    <row r="111" spans="2:16" x14ac:dyDescent="0.25">
      <c r="B111" s="3">
        <v>1858</v>
      </c>
      <c r="C111" s="3" t="s">
        <v>192</v>
      </c>
      <c r="D111" s="9">
        <v>43469</v>
      </c>
      <c r="E111" s="9"/>
      <c r="F111" s="14">
        <v>1</v>
      </c>
      <c r="G111" s="3" t="s">
        <v>209</v>
      </c>
      <c r="H111" s="29">
        <v>118601976.15000001</v>
      </c>
      <c r="I111" s="3"/>
      <c r="J111" s="3" t="s">
        <v>274</v>
      </c>
      <c r="K111" s="3"/>
      <c r="L111" s="9">
        <f t="shared" si="3"/>
        <v>43466</v>
      </c>
      <c r="M111" s="9">
        <f t="shared" si="4"/>
        <v>43500</v>
      </c>
      <c r="N111">
        <f>VLOOKUP(B111,PROYECTO!A:H,8,0)</f>
        <v>0</v>
      </c>
      <c r="O111" s="9">
        <f t="array" ref="O111">MAX(MAX(IF($B:$B=B111,$M:$M)),MAX(IF(PERSONAS!B:B=B111,PERSONAS!N:N)))</f>
        <v>43710</v>
      </c>
      <c r="P111" s="29">
        <f t="shared" si="5"/>
        <v>1</v>
      </c>
    </row>
    <row r="112" spans="2:16" x14ac:dyDescent="0.25">
      <c r="B112" s="3">
        <v>1858</v>
      </c>
      <c r="C112" s="3" t="s">
        <v>192</v>
      </c>
      <c r="D112" s="9">
        <v>43497</v>
      </c>
      <c r="E112" s="9"/>
      <c r="F112" s="14">
        <v>1</v>
      </c>
      <c r="G112" s="3" t="s">
        <v>209</v>
      </c>
      <c r="H112" s="29">
        <v>197669960.25</v>
      </c>
      <c r="I112" s="3"/>
      <c r="J112" s="3" t="s">
        <v>274</v>
      </c>
      <c r="K112" s="3"/>
      <c r="L112" s="9">
        <f t="shared" si="3"/>
        <v>43497</v>
      </c>
      <c r="M112" s="9">
        <f t="shared" si="4"/>
        <v>43525</v>
      </c>
      <c r="N112">
        <f>VLOOKUP(B112,PROYECTO!A:H,8,0)</f>
        <v>0</v>
      </c>
      <c r="O112" s="9">
        <f t="array" ref="O112">MAX(MAX(IF($B:$B=B112,$M:$M)),MAX(IF(PERSONAS!B:B=B112,PERSONAS!N:N)))</f>
        <v>43710</v>
      </c>
      <c r="P112" s="29">
        <f t="shared" si="5"/>
        <v>1</v>
      </c>
    </row>
    <row r="113" spans="2:16" x14ac:dyDescent="0.25">
      <c r="B113" s="3">
        <v>1858</v>
      </c>
      <c r="C113" s="3" t="s">
        <v>192</v>
      </c>
      <c r="D113" s="9">
        <v>43525</v>
      </c>
      <c r="E113" s="9"/>
      <c r="F113" s="14">
        <v>1</v>
      </c>
      <c r="G113" s="3" t="s">
        <v>209</v>
      </c>
      <c r="H113" s="29">
        <v>171313965.55000007</v>
      </c>
      <c r="I113" s="3"/>
      <c r="J113" s="3" t="s">
        <v>274</v>
      </c>
      <c r="K113" s="3"/>
      <c r="L113" s="9">
        <f t="shared" si="3"/>
        <v>43525</v>
      </c>
      <c r="M113" s="9">
        <f t="shared" si="4"/>
        <v>43556</v>
      </c>
      <c r="N113">
        <f>VLOOKUP(B113,PROYECTO!A:H,8,0)</f>
        <v>0</v>
      </c>
      <c r="O113" s="9">
        <f t="array" ref="O113">MAX(MAX(IF($B:$B=B113,$M:$M)),MAX(IF(PERSONAS!B:B=B113,PERSONAS!N:N)))</f>
        <v>43710</v>
      </c>
      <c r="P113" s="29">
        <f t="shared" si="5"/>
        <v>1</v>
      </c>
    </row>
    <row r="114" spans="2:16" x14ac:dyDescent="0.25">
      <c r="B114" s="3">
        <v>1858</v>
      </c>
      <c r="C114" s="3" t="s">
        <v>192</v>
      </c>
      <c r="D114" s="9">
        <v>43560</v>
      </c>
      <c r="E114" s="9"/>
      <c r="F114" s="14">
        <v>1</v>
      </c>
      <c r="G114" s="3" t="s">
        <v>209</v>
      </c>
      <c r="H114" s="29">
        <v>210847957.5999999</v>
      </c>
      <c r="I114" s="3"/>
      <c r="J114" s="3" t="s">
        <v>274</v>
      </c>
      <c r="K114" s="3"/>
      <c r="L114" s="9">
        <f t="shared" si="3"/>
        <v>43556</v>
      </c>
      <c r="M114" s="9">
        <f t="shared" si="4"/>
        <v>43590</v>
      </c>
      <c r="N114">
        <f>VLOOKUP(B114,PROYECTO!A:H,8,0)</f>
        <v>0</v>
      </c>
      <c r="O114" s="9">
        <f t="array" ref="O114">MAX(MAX(IF($B:$B=B114,$M:$M)),MAX(IF(PERSONAS!B:B=B114,PERSONAS!N:N)))</f>
        <v>43710</v>
      </c>
      <c r="P114" s="29">
        <f t="shared" si="5"/>
        <v>1</v>
      </c>
    </row>
    <row r="115" spans="2:16" x14ac:dyDescent="0.25">
      <c r="B115" s="3">
        <v>1858</v>
      </c>
      <c r="C115" s="3" t="s">
        <v>192</v>
      </c>
      <c r="D115" s="9">
        <v>43588</v>
      </c>
      <c r="E115" s="9"/>
      <c r="F115" s="14">
        <v>1</v>
      </c>
      <c r="G115" s="3" t="s">
        <v>209</v>
      </c>
      <c r="H115" s="29">
        <v>79067984.100000024</v>
      </c>
      <c r="I115" s="3"/>
      <c r="J115" s="3" t="s">
        <v>274</v>
      </c>
      <c r="K115" s="3"/>
      <c r="L115" s="9">
        <f t="shared" si="3"/>
        <v>43586</v>
      </c>
      <c r="M115" s="9">
        <f t="shared" si="4"/>
        <v>43619</v>
      </c>
      <c r="N115">
        <f>VLOOKUP(B115,PROYECTO!A:H,8,0)</f>
        <v>0</v>
      </c>
      <c r="O115" s="9">
        <f t="array" ref="O115">MAX(MAX(IF($B:$B=B115,$M:$M)),MAX(IF(PERSONAS!B:B=B115,PERSONAS!N:N)))</f>
        <v>43710</v>
      </c>
      <c r="P115" s="29">
        <f t="shared" si="5"/>
        <v>1</v>
      </c>
    </row>
    <row r="116" spans="2:16" x14ac:dyDescent="0.25">
      <c r="B116" s="3">
        <v>1858</v>
      </c>
      <c r="C116" s="3" t="s">
        <v>192</v>
      </c>
      <c r="D116" s="9">
        <v>43623</v>
      </c>
      <c r="E116" s="9"/>
      <c r="F116" s="14">
        <v>1</v>
      </c>
      <c r="G116" s="3" t="s">
        <v>209</v>
      </c>
      <c r="H116" s="29">
        <v>184491962.89999998</v>
      </c>
      <c r="I116" s="3"/>
      <c r="J116" s="3" t="s">
        <v>274</v>
      </c>
      <c r="K116" s="3"/>
      <c r="L116" s="9">
        <f t="shared" si="3"/>
        <v>43617</v>
      </c>
      <c r="M116" s="9">
        <f t="shared" si="4"/>
        <v>43653</v>
      </c>
      <c r="N116">
        <f>VLOOKUP(B116,PROYECTO!A:H,8,0)</f>
        <v>0</v>
      </c>
      <c r="O116" s="9">
        <f t="array" ref="O116">MAX(MAX(IF($B:$B=B116,$M:$M)),MAX(IF(PERSONAS!B:B=B116,PERSONAS!N:N)))</f>
        <v>43710</v>
      </c>
      <c r="P116" s="29">
        <f t="shared" si="5"/>
        <v>1</v>
      </c>
    </row>
    <row r="117" spans="2:16" x14ac:dyDescent="0.25">
      <c r="B117" s="3">
        <v>1858</v>
      </c>
      <c r="C117" s="3" t="s">
        <v>192</v>
      </c>
      <c r="D117" s="9">
        <v>43651</v>
      </c>
      <c r="E117" s="9"/>
      <c r="F117" s="14">
        <v>1</v>
      </c>
      <c r="G117" s="3" t="s">
        <v>209</v>
      </c>
      <c r="H117" s="29">
        <v>105423978.79999995</v>
      </c>
      <c r="I117" s="3"/>
      <c r="J117" s="3" t="s">
        <v>274</v>
      </c>
      <c r="K117" s="3"/>
      <c r="L117" s="9">
        <f t="shared" si="3"/>
        <v>43647</v>
      </c>
      <c r="M117" s="9">
        <f t="shared" si="4"/>
        <v>43682</v>
      </c>
      <c r="N117">
        <f>VLOOKUP(B117,PROYECTO!A:H,8,0)</f>
        <v>0</v>
      </c>
      <c r="O117" s="9">
        <f t="array" ref="O117">MAX(MAX(IF($B:$B=B117,$M:$M)),MAX(IF(PERSONAS!B:B=B117,PERSONAS!N:N)))</f>
        <v>43710</v>
      </c>
      <c r="P117" s="29">
        <f t="shared" si="5"/>
        <v>1</v>
      </c>
    </row>
    <row r="118" spans="2:16" x14ac:dyDescent="0.25">
      <c r="B118" s="3">
        <v>1858</v>
      </c>
      <c r="C118" s="3" t="s">
        <v>192</v>
      </c>
      <c r="D118" s="9">
        <v>43679</v>
      </c>
      <c r="E118" s="9"/>
      <c r="F118" s="14">
        <v>1</v>
      </c>
      <c r="G118" s="3" t="s">
        <v>209</v>
      </c>
      <c r="H118" s="29">
        <v>26355994.700000048</v>
      </c>
      <c r="I118" s="3"/>
      <c r="J118" s="3" t="s">
        <v>274</v>
      </c>
      <c r="K118" s="3"/>
      <c r="L118" s="9">
        <f t="shared" si="3"/>
        <v>43678</v>
      </c>
      <c r="M118" s="9">
        <f t="shared" si="4"/>
        <v>43710</v>
      </c>
      <c r="N118">
        <f>VLOOKUP(B118,PROYECTO!A:H,8,0)</f>
        <v>0</v>
      </c>
      <c r="O118" s="9">
        <f t="array" ref="O118">MAX(MAX(IF($B:$B=B118,$M:$M)),MAX(IF(PERSONAS!B:B=B118,PERSONAS!N:N)))</f>
        <v>43710</v>
      </c>
      <c r="P118" s="29">
        <f t="shared" si="5"/>
        <v>1</v>
      </c>
    </row>
    <row r="119" spans="2:16" x14ac:dyDescent="0.25">
      <c r="B119" s="3">
        <v>1893</v>
      </c>
      <c r="C119" s="3" t="s">
        <v>192</v>
      </c>
      <c r="D119" s="9">
        <v>43466</v>
      </c>
      <c r="E119" s="9"/>
      <c r="F119" s="14">
        <v>15</v>
      </c>
      <c r="G119" s="3" t="s">
        <v>193</v>
      </c>
      <c r="H119" s="29">
        <v>14000000</v>
      </c>
      <c r="I119" s="3"/>
      <c r="J119" s="3"/>
      <c r="K119" s="3"/>
      <c r="L119" s="9">
        <f t="shared" si="3"/>
        <v>43466</v>
      </c>
      <c r="M119" s="9">
        <f t="shared" si="4"/>
        <v>43922</v>
      </c>
      <c r="N119">
        <f>VLOOKUP(B119,PROYECTO!A:H,8,0)</f>
        <v>0</v>
      </c>
      <c r="O119" s="9">
        <f t="array" ref="O119">MAX(MAX(IF($B:$B=B119,$M:$M)),MAX(IF(PERSONAS!B:B=B119,PERSONAS!N:N)))</f>
        <v>43922</v>
      </c>
      <c r="P119" s="29">
        <f t="shared" si="5"/>
        <v>15</v>
      </c>
    </row>
    <row r="120" spans="2:16" x14ac:dyDescent="0.25">
      <c r="B120" s="3">
        <v>1890</v>
      </c>
      <c r="C120" s="3" t="s">
        <v>192</v>
      </c>
      <c r="D120" s="9">
        <v>43466</v>
      </c>
      <c r="E120" s="9"/>
      <c r="F120" s="14">
        <v>24</v>
      </c>
      <c r="G120" s="3" t="s">
        <v>193</v>
      </c>
      <c r="H120" s="29">
        <v>12000000</v>
      </c>
      <c r="I120" s="3"/>
      <c r="J120" s="3"/>
      <c r="K120" s="3"/>
      <c r="L120" s="9">
        <f t="shared" si="3"/>
        <v>43466</v>
      </c>
      <c r="M120" s="9">
        <f t="shared" si="4"/>
        <v>44197</v>
      </c>
      <c r="N120">
        <f>VLOOKUP(B120,PROYECTO!A:H,8,0)</f>
        <v>0</v>
      </c>
      <c r="O120" s="9">
        <f t="array" ref="O120">MAX(MAX(IF($B:$B=B120,$M:$M)),MAX(IF(PERSONAS!B:B=B120,PERSONAS!N:N)))</f>
        <v>44197</v>
      </c>
      <c r="P120" s="29">
        <f t="shared" si="5"/>
        <v>24</v>
      </c>
    </row>
    <row r="121" spans="2:16" x14ac:dyDescent="0.25">
      <c r="B121" s="3">
        <v>1715</v>
      </c>
      <c r="C121" s="3" t="s">
        <v>192</v>
      </c>
      <c r="D121" s="9">
        <v>43374</v>
      </c>
      <c r="E121" s="9"/>
      <c r="F121" s="14">
        <v>6</v>
      </c>
      <c r="G121" s="3" t="s">
        <v>193</v>
      </c>
      <c r="H121" s="29">
        <v>7050296.2803877732</v>
      </c>
      <c r="I121" s="3"/>
      <c r="J121" s="3" t="s">
        <v>276</v>
      </c>
      <c r="K121" s="3"/>
      <c r="L121" s="9">
        <f t="shared" si="3"/>
        <v>43374</v>
      </c>
      <c r="M121" s="9">
        <f t="shared" si="4"/>
        <v>43556</v>
      </c>
      <c r="N121">
        <f>VLOOKUP(B121,PROYECTO!A:H,8,0)</f>
        <v>1</v>
      </c>
      <c r="O121" s="9">
        <f t="array" ref="O121">MAX(MAX(IF($B:$B=B121,$M:$M)),MAX(IF(PERSONAS!B:B=B121,PERSONAS!N:N)))</f>
        <v>43556</v>
      </c>
      <c r="P121" s="29">
        <f t="shared" si="5"/>
        <v>7</v>
      </c>
    </row>
    <row r="122" spans="2:16" x14ac:dyDescent="0.25">
      <c r="B122" s="3">
        <v>1715</v>
      </c>
      <c r="C122" s="3" t="s">
        <v>192</v>
      </c>
      <c r="D122" s="9">
        <v>43374</v>
      </c>
      <c r="E122" s="9"/>
      <c r="F122" s="14">
        <v>6</v>
      </c>
      <c r="G122" s="3" t="s">
        <v>193</v>
      </c>
      <c r="H122" s="29">
        <v>5301683.8089733012</v>
      </c>
      <c r="I122" s="3"/>
      <c r="J122" s="3" t="s">
        <v>276</v>
      </c>
      <c r="K122" s="3"/>
      <c r="L122" s="9">
        <f t="shared" si="3"/>
        <v>43374</v>
      </c>
      <c r="M122" s="9">
        <f t="shared" si="4"/>
        <v>43556</v>
      </c>
      <c r="N122">
        <f>VLOOKUP(B122,PROYECTO!A:H,8,0)</f>
        <v>1</v>
      </c>
      <c r="O122" s="9">
        <f t="array" ref="O122">MAX(MAX(IF($B:$B=B122,$M:$M)),MAX(IF(PERSONAS!B:B=B122,PERSONAS!N:N)))</f>
        <v>43556</v>
      </c>
      <c r="P122" s="29">
        <f t="shared" si="5"/>
        <v>7</v>
      </c>
    </row>
    <row r="123" spans="2:16" x14ac:dyDescent="0.25">
      <c r="B123" s="3">
        <v>1715</v>
      </c>
      <c r="C123" s="3" t="s">
        <v>192</v>
      </c>
      <c r="D123" s="9">
        <v>43374</v>
      </c>
      <c r="E123" s="9"/>
      <c r="F123" s="14">
        <v>6</v>
      </c>
      <c r="G123" s="3" t="s">
        <v>193</v>
      </c>
      <c r="H123" s="29">
        <v>7122595.6118260631</v>
      </c>
      <c r="I123" s="3"/>
      <c r="J123" s="3" t="s">
        <v>276</v>
      </c>
      <c r="K123" s="3"/>
      <c r="L123" s="9">
        <f t="shared" si="3"/>
        <v>43374</v>
      </c>
      <c r="M123" s="9">
        <f t="shared" si="4"/>
        <v>43556</v>
      </c>
      <c r="N123">
        <f>VLOOKUP(B123,PROYECTO!A:H,8,0)</f>
        <v>1</v>
      </c>
      <c r="O123" s="9">
        <f t="array" ref="O123">MAX(MAX(IF($B:$B=B123,$M:$M)),MAX(IF(PERSONAS!B:B=B123,PERSONAS!N:N)))</f>
        <v>43556</v>
      </c>
      <c r="P123" s="29">
        <f t="shared" si="5"/>
        <v>7</v>
      </c>
    </row>
    <row r="124" spans="2:16" x14ac:dyDescent="0.25">
      <c r="B124" s="3">
        <v>1715</v>
      </c>
      <c r="C124" s="3" t="s">
        <v>192</v>
      </c>
      <c r="D124" s="9">
        <v>43374</v>
      </c>
      <c r="E124" s="9"/>
      <c r="F124" s="14">
        <v>6</v>
      </c>
      <c r="G124" s="3" t="s">
        <v>193</v>
      </c>
      <c r="H124" s="29">
        <v>2753063.7872998388</v>
      </c>
      <c r="I124" s="3"/>
      <c r="J124" s="3" t="s">
        <v>276</v>
      </c>
      <c r="K124" s="3"/>
      <c r="L124" s="9">
        <f t="shared" si="3"/>
        <v>43374</v>
      </c>
      <c r="M124" s="9">
        <f t="shared" si="4"/>
        <v>43556</v>
      </c>
      <c r="N124">
        <f>VLOOKUP(B124,PROYECTO!A:H,8,0)</f>
        <v>1</v>
      </c>
      <c r="O124" s="9">
        <f t="array" ref="O124">MAX(MAX(IF($B:$B=B124,$M:$M)),MAX(IF(PERSONAS!B:B=B124,PERSONAS!N:N)))</f>
        <v>43556</v>
      </c>
      <c r="P124" s="29">
        <f t="shared" si="5"/>
        <v>7</v>
      </c>
    </row>
    <row r="125" spans="2:16" x14ac:dyDescent="0.25">
      <c r="B125" s="3">
        <v>1715</v>
      </c>
      <c r="C125" s="3" t="s">
        <v>192</v>
      </c>
      <c r="D125" s="9">
        <v>43374</v>
      </c>
      <c r="E125" s="9"/>
      <c r="F125" s="14">
        <v>6</v>
      </c>
      <c r="G125" s="3" t="s">
        <v>193</v>
      </c>
      <c r="H125" s="29">
        <v>4064763.0345789804</v>
      </c>
      <c r="I125" s="3"/>
      <c r="J125" s="3" t="s">
        <v>276</v>
      </c>
      <c r="K125" s="3"/>
      <c r="L125" s="9">
        <f t="shared" si="3"/>
        <v>43374</v>
      </c>
      <c r="M125" s="9">
        <f t="shared" si="4"/>
        <v>43556</v>
      </c>
      <c r="N125">
        <f>VLOOKUP(B125,PROYECTO!A:H,8,0)</f>
        <v>1</v>
      </c>
      <c r="O125" s="9">
        <f t="array" ref="O125">MAX(MAX(IF($B:$B=B125,$M:$M)),MAX(IF(PERSONAS!B:B=B125,PERSONAS!N:N)))</f>
        <v>43556</v>
      </c>
      <c r="P125" s="29">
        <f t="shared" si="5"/>
        <v>7</v>
      </c>
    </row>
    <row r="126" spans="2:16" x14ac:dyDescent="0.25">
      <c r="B126" s="3">
        <v>1715</v>
      </c>
      <c r="C126" s="3" t="s">
        <v>192</v>
      </c>
      <c r="D126" s="9">
        <v>43374</v>
      </c>
      <c r="E126" s="9"/>
      <c r="F126" s="14">
        <v>6</v>
      </c>
      <c r="G126" s="3" t="s">
        <v>193</v>
      </c>
      <c r="H126" s="29">
        <v>3114204.2269340428</v>
      </c>
      <c r="I126" s="3"/>
      <c r="J126" s="3" t="s">
        <v>276</v>
      </c>
      <c r="K126" s="3"/>
      <c r="L126" s="9">
        <f t="shared" si="3"/>
        <v>43374</v>
      </c>
      <c r="M126" s="9">
        <f t="shared" si="4"/>
        <v>43556</v>
      </c>
      <c r="N126">
        <f>VLOOKUP(B126,PROYECTO!A:H,8,0)</f>
        <v>1</v>
      </c>
      <c r="O126" s="9">
        <f t="array" ref="O126">MAX(MAX(IF($B:$B=B126,$M:$M)),MAX(IF(PERSONAS!B:B=B126,PERSONAS!N:N)))</f>
        <v>43556</v>
      </c>
      <c r="P126" s="29">
        <f t="shared" si="5"/>
        <v>7</v>
      </c>
    </row>
    <row r="127" spans="2:16" x14ac:dyDescent="0.25">
      <c r="B127" s="3">
        <v>1848</v>
      </c>
      <c r="C127" s="3" t="s">
        <v>192</v>
      </c>
      <c r="D127" s="9">
        <v>43252</v>
      </c>
      <c r="E127" s="9"/>
      <c r="F127" s="14">
        <v>1</v>
      </c>
      <c r="G127" s="3" t="s">
        <v>193</v>
      </c>
      <c r="H127" s="29">
        <v>21328983.642500002</v>
      </c>
      <c r="I127" s="3"/>
      <c r="J127" s="3" t="s">
        <v>285</v>
      </c>
      <c r="K127" s="3"/>
      <c r="L127" s="9">
        <f t="shared" si="3"/>
        <v>43252</v>
      </c>
      <c r="M127" s="9">
        <f t="shared" si="4"/>
        <v>43282</v>
      </c>
      <c r="N127">
        <f>VLOOKUP(B127,PROYECTO!A:H,8,0)</f>
        <v>0</v>
      </c>
      <c r="O127" s="9">
        <f t="array" ref="O127">MAX(MAX(IF($B:$B=B127,$M:$M)),MAX(IF(PERSONAS!B:B=B127,PERSONAS!N:N)))</f>
        <v>43800</v>
      </c>
      <c r="P127" s="29">
        <f t="shared" si="5"/>
        <v>1</v>
      </c>
    </row>
    <row r="128" spans="2:16" x14ac:dyDescent="0.25">
      <c r="B128" s="3">
        <v>1848</v>
      </c>
      <c r="C128" s="3" t="s">
        <v>192</v>
      </c>
      <c r="D128" s="9">
        <v>43282</v>
      </c>
      <c r="E128" s="9"/>
      <c r="F128" s="14">
        <v>1</v>
      </c>
      <c r="G128" s="3" t="s">
        <v>193</v>
      </c>
      <c r="H128" s="29">
        <v>21328983.642500002</v>
      </c>
      <c r="I128" s="3"/>
      <c r="J128" s="3" t="s">
        <v>285</v>
      </c>
      <c r="K128" s="3"/>
      <c r="L128" s="9">
        <f t="shared" si="3"/>
        <v>43282</v>
      </c>
      <c r="M128" s="9">
        <f t="shared" si="4"/>
        <v>43313</v>
      </c>
      <c r="N128">
        <f>VLOOKUP(B128,PROYECTO!A:H,8,0)</f>
        <v>0</v>
      </c>
      <c r="O128" s="9">
        <f t="array" ref="O128">MAX(MAX(IF($B:$B=B128,$M:$M)),MAX(IF(PERSONAS!B:B=B128,PERSONAS!N:N)))</f>
        <v>43800</v>
      </c>
      <c r="P128" s="29">
        <f t="shared" si="5"/>
        <v>1</v>
      </c>
    </row>
    <row r="129" spans="2:16" x14ac:dyDescent="0.25">
      <c r="B129" s="3">
        <v>1848</v>
      </c>
      <c r="C129" s="3" t="s">
        <v>192</v>
      </c>
      <c r="D129" s="9">
        <v>43313</v>
      </c>
      <c r="E129" s="9"/>
      <c r="F129" s="14">
        <v>1</v>
      </c>
      <c r="G129" s="3" t="s">
        <v>193</v>
      </c>
      <c r="H129" s="29">
        <v>21328983.642500002</v>
      </c>
      <c r="I129" s="3"/>
      <c r="J129" s="3" t="s">
        <v>285</v>
      </c>
      <c r="K129" s="3"/>
      <c r="L129" s="9">
        <f t="shared" si="3"/>
        <v>43313</v>
      </c>
      <c r="M129" s="9">
        <f t="shared" si="4"/>
        <v>43344</v>
      </c>
      <c r="N129">
        <f>VLOOKUP(B129,PROYECTO!A:H,8,0)</f>
        <v>0</v>
      </c>
      <c r="O129" s="9">
        <f t="array" ref="O129">MAX(MAX(IF($B:$B=B129,$M:$M)),MAX(IF(PERSONAS!B:B=B129,PERSONAS!N:N)))</f>
        <v>43800</v>
      </c>
      <c r="P129" s="29">
        <f t="shared" si="5"/>
        <v>1</v>
      </c>
    </row>
    <row r="130" spans="2:16" x14ac:dyDescent="0.25">
      <c r="B130" s="3">
        <v>1848</v>
      </c>
      <c r="C130" s="3" t="s">
        <v>192</v>
      </c>
      <c r="D130" s="9">
        <v>43344</v>
      </c>
      <c r="E130" s="9"/>
      <c r="F130" s="14">
        <v>1</v>
      </c>
      <c r="G130" s="3" t="s">
        <v>193</v>
      </c>
      <c r="H130" s="29">
        <v>21328983.642500002</v>
      </c>
      <c r="I130" s="3"/>
      <c r="J130" s="3" t="s">
        <v>285</v>
      </c>
      <c r="K130" s="3"/>
      <c r="L130" s="9">
        <f t="shared" si="3"/>
        <v>43344</v>
      </c>
      <c r="M130" s="9">
        <f t="shared" si="4"/>
        <v>43374</v>
      </c>
      <c r="N130">
        <f>VLOOKUP(B130,PROYECTO!A:H,8,0)</f>
        <v>0</v>
      </c>
      <c r="O130" s="9">
        <f t="array" ref="O130">MAX(MAX(IF($B:$B=B130,$M:$M)),MAX(IF(PERSONAS!B:B=B130,PERSONAS!N:N)))</f>
        <v>43800</v>
      </c>
      <c r="P130" s="29">
        <f t="shared" si="5"/>
        <v>1</v>
      </c>
    </row>
    <row r="131" spans="2:16" x14ac:dyDescent="0.25">
      <c r="B131" s="3">
        <v>1848</v>
      </c>
      <c r="C131" s="3" t="s">
        <v>192</v>
      </c>
      <c r="D131" s="9">
        <v>43374</v>
      </c>
      <c r="E131" s="9"/>
      <c r="F131" s="14">
        <v>1</v>
      </c>
      <c r="G131" s="3" t="s">
        <v>193</v>
      </c>
      <c r="H131" s="29">
        <v>21328983.642500002</v>
      </c>
      <c r="I131" s="3"/>
      <c r="J131" s="3" t="s">
        <v>285</v>
      </c>
      <c r="K131" s="3"/>
      <c r="L131" s="9">
        <f t="shared" ref="L131:L151" si="6">(MONTH(D131)&amp;"-"&amp;YEAR(D131))*1</f>
        <v>43374</v>
      </c>
      <c r="M131" s="9">
        <f t="shared" ref="M131:M151" si="7">EDATE(D131,F131)</f>
        <v>43405</v>
      </c>
      <c r="N131">
        <f>VLOOKUP(B131,PROYECTO!A:H,8,0)</f>
        <v>0</v>
      </c>
      <c r="O131" s="9">
        <f t="array" ref="O131">MAX(MAX(IF($B:$B=B131,$M:$M)),MAX(IF(PERSONAS!B:B=B131,PERSONAS!N:N)))</f>
        <v>43800</v>
      </c>
      <c r="P131" s="29">
        <f t="shared" ref="P131:P151" si="8">IF(O131=M131,F131+N131,F131)</f>
        <v>1</v>
      </c>
    </row>
    <row r="132" spans="2:16" x14ac:dyDescent="0.25">
      <c r="B132" s="3">
        <v>1848</v>
      </c>
      <c r="C132" s="3" t="s">
        <v>192</v>
      </c>
      <c r="D132" s="9">
        <v>43405</v>
      </c>
      <c r="E132" s="9"/>
      <c r="F132" s="14">
        <v>1</v>
      </c>
      <c r="G132" s="3" t="s">
        <v>193</v>
      </c>
      <c r="H132" s="29">
        <v>21066483.785</v>
      </c>
      <c r="I132" s="3"/>
      <c r="J132" s="3" t="s">
        <v>285</v>
      </c>
      <c r="K132" s="3"/>
      <c r="L132" s="9">
        <f t="shared" si="6"/>
        <v>43405</v>
      </c>
      <c r="M132" s="9">
        <f t="shared" si="7"/>
        <v>43435</v>
      </c>
      <c r="N132">
        <f>VLOOKUP(B132,PROYECTO!A:H,8,0)</f>
        <v>0</v>
      </c>
      <c r="O132" s="9">
        <f t="array" ref="O132">MAX(MAX(IF($B:$B=B132,$M:$M)),MAX(IF(PERSONAS!B:B=B132,PERSONAS!N:N)))</f>
        <v>43800</v>
      </c>
      <c r="P132" s="29">
        <f t="shared" si="8"/>
        <v>1</v>
      </c>
    </row>
    <row r="133" spans="2:16" x14ac:dyDescent="0.25">
      <c r="B133" s="3">
        <v>1848</v>
      </c>
      <c r="C133" s="3" t="s">
        <v>192</v>
      </c>
      <c r="D133" s="9">
        <v>43435</v>
      </c>
      <c r="E133" s="9"/>
      <c r="F133" s="14">
        <v>1</v>
      </c>
      <c r="G133" s="3" t="s">
        <v>193</v>
      </c>
      <c r="H133" s="29">
        <v>17878984.1525</v>
      </c>
      <c r="I133" s="3"/>
      <c r="J133" s="3" t="s">
        <v>285</v>
      </c>
      <c r="K133" s="3"/>
      <c r="L133" s="9">
        <f t="shared" si="6"/>
        <v>43435</v>
      </c>
      <c r="M133" s="9">
        <f t="shared" si="7"/>
        <v>43466</v>
      </c>
      <c r="N133">
        <f>VLOOKUP(B133,PROYECTO!A:H,8,0)</f>
        <v>0</v>
      </c>
      <c r="O133" s="9">
        <f t="array" ref="O133">MAX(MAX(IF($B:$B=B133,$M:$M)),MAX(IF(PERSONAS!B:B=B133,PERSONAS!N:N)))</f>
        <v>43800</v>
      </c>
      <c r="P133" s="29">
        <f t="shared" si="8"/>
        <v>1</v>
      </c>
    </row>
    <row r="134" spans="2:16" x14ac:dyDescent="0.25">
      <c r="B134" s="3">
        <v>1848</v>
      </c>
      <c r="C134" s="3" t="s">
        <v>192</v>
      </c>
      <c r="D134" s="9">
        <v>43466</v>
      </c>
      <c r="E134" s="9"/>
      <c r="F134" s="14">
        <v>1</v>
      </c>
      <c r="G134" s="3" t="s">
        <v>193</v>
      </c>
      <c r="H134" s="29">
        <v>12773052.833333334</v>
      </c>
      <c r="I134" s="3"/>
      <c r="J134" s="3" t="s">
        <v>296</v>
      </c>
      <c r="K134" s="3"/>
      <c r="L134" s="9">
        <f t="shared" si="6"/>
        <v>43466</v>
      </c>
      <c r="M134" s="9">
        <f t="shared" si="7"/>
        <v>43497</v>
      </c>
      <c r="N134">
        <f>VLOOKUP(B134,PROYECTO!A:H,8,0)</f>
        <v>0</v>
      </c>
      <c r="O134" s="9">
        <f t="array" ref="O134">MAX(MAX(IF($B:$B=B134,$M:$M)),MAX(IF(PERSONAS!B:B=B134,PERSONAS!N:N)))</f>
        <v>43800</v>
      </c>
      <c r="P134" s="29">
        <f t="shared" si="8"/>
        <v>1</v>
      </c>
    </row>
    <row r="135" spans="2:16" x14ac:dyDescent="0.25">
      <c r="B135" s="3">
        <v>1848</v>
      </c>
      <c r="C135" s="3" t="s">
        <v>192</v>
      </c>
      <c r="D135" s="9">
        <v>43497</v>
      </c>
      <c r="E135" s="9"/>
      <c r="F135" s="14">
        <v>1</v>
      </c>
      <c r="G135" s="3" t="s">
        <v>193</v>
      </c>
      <c r="H135" s="29">
        <v>12773052.833333334</v>
      </c>
      <c r="I135" s="3"/>
      <c r="J135" s="3" t="s">
        <v>296</v>
      </c>
      <c r="K135" s="3"/>
      <c r="L135" s="9">
        <f t="shared" si="6"/>
        <v>43497</v>
      </c>
      <c r="M135" s="9">
        <f t="shared" si="7"/>
        <v>43525</v>
      </c>
      <c r="N135">
        <f>VLOOKUP(B135,PROYECTO!A:H,8,0)</f>
        <v>0</v>
      </c>
      <c r="O135" s="9">
        <f t="array" ref="O135">MAX(MAX(IF($B:$B=B135,$M:$M)),MAX(IF(PERSONAS!B:B=B135,PERSONAS!N:N)))</f>
        <v>43800</v>
      </c>
      <c r="P135" s="29">
        <f t="shared" si="8"/>
        <v>1</v>
      </c>
    </row>
    <row r="136" spans="2:16" x14ac:dyDescent="0.25">
      <c r="B136" s="3">
        <v>1806</v>
      </c>
      <c r="C136" s="3" t="s">
        <v>192</v>
      </c>
      <c r="D136" s="9">
        <v>43466</v>
      </c>
      <c r="E136" s="9"/>
      <c r="F136" s="14">
        <v>5</v>
      </c>
      <c r="G136" s="3" t="s">
        <v>193</v>
      </c>
      <c r="H136" s="29">
        <v>50000000</v>
      </c>
      <c r="I136" s="3"/>
      <c r="J136" s="3" t="s">
        <v>287</v>
      </c>
      <c r="K136" s="3"/>
      <c r="L136" s="9">
        <f t="shared" si="6"/>
        <v>43466</v>
      </c>
      <c r="M136" s="9">
        <f t="shared" si="7"/>
        <v>43617</v>
      </c>
      <c r="N136">
        <f>VLOOKUP(B136,PROYECTO!A:H,8,0)</f>
        <v>0</v>
      </c>
      <c r="O136" s="9">
        <f t="array" ref="O136">MAX(MAX(IF($B:$B=B136,$M:$M)),MAX(IF(PERSONAS!B:B=B136,PERSONAS!N:N)))</f>
        <v>43617</v>
      </c>
      <c r="P136" s="29">
        <f t="shared" si="8"/>
        <v>5</v>
      </c>
    </row>
    <row r="137" spans="2:16" x14ac:dyDescent="0.25">
      <c r="B137" s="3">
        <v>1824</v>
      </c>
      <c r="C137" s="3" t="s">
        <v>192</v>
      </c>
      <c r="D137" s="9">
        <v>43466</v>
      </c>
      <c r="E137" s="9"/>
      <c r="F137" s="14">
        <v>6</v>
      </c>
      <c r="G137" s="3" t="s">
        <v>193</v>
      </c>
      <c r="H137" s="29">
        <v>48166666.666666664</v>
      </c>
      <c r="I137" s="3"/>
      <c r="J137" s="3" t="s">
        <v>287</v>
      </c>
      <c r="K137" s="3"/>
      <c r="L137" s="9">
        <f t="shared" si="6"/>
        <v>43466</v>
      </c>
      <c r="M137" s="9">
        <f t="shared" si="7"/>
        <v>43647</v>
      </c>
      <c r="N137">
        <f>VLOOKUP(B137,PROYECTO!A:H,8,0)</f>
        <v>0</v>
      </c>
      <c r="O137" s="9">
        <f t="array" ref="O137">MAX(MAX(IF($B:$B=B137,$M:$M)),MAX(IF(PERSONAS!B:B=B137,PERSONAS!N:N)))</f>
        <v>43647</v>
      </c>
      <c r="P137" s="29">
        <f t="shared" si="8"/>
        <v>6</v>
      </c>
    </row>
    <row r="138" spans="2:16" x14ac:dyDescent="0.25">
      <c r="B138" s="3">
        <v>1895</v>
      </c>
      <c r="C138" s="3" t="s">
        <v>192</v>
      </c>
      <c r="D138" s="9">
        <v>43497</v>
      </c>
      <c r="E138" s="9"/>
      <c r="F138" s="14">
        <v>1</v>
      </c>
      <c r="G138" s="3" t="s">
        <v>193</v>
      </c>
      <c r="H138" s="29">
        <v>3053000</v>
      </c>
      <c r="I138" s="3"/>
      <c r="J138" s="3"/>
      <c r="K138" s="3"/>
      <c r="L138" s="9">
        <f t="shared" si="6"/>
        <v>43497</v>
      </c>
      <c r="M138" s="9">
        <f t="shared" si="7"/>
        <v>43525</v>
      </c>
      <c r="N138">
        <f>VLOOKUP(B138,PROYECTO!A:H,8,0)</f>
        <v>0</v>
      </c>
      <c r="O138" s="9">
        <f t="array" ref="O138">MAX(MAX(IF($B:$B=B138,$M:$M)),MAX(IF(PERSONAS!B:B=B138,PERSONAS!N:N)))</f>
        <v>43525</v>
      </c>
      <c r="P138" s="29">
        <f t="shared" si="8"/>
        <v>1</v>
      </c>
    </row>
    <row r="139" spans="2:16" x14ac:dyDescent="0.25">
      <c r="B139" s="3">
        <v>1837</v>
      </c>
      <c r="C139" s="3" t="s">
        <v>192</v>
      </c>
      <c r="D139" s="9">
        <v>43467</v>
      </c>
      <c r="E139" s="9"/>
      <c r="F139" s="14">
        <v>12</v>
      </c>
      <c r="G139" s="3" t="s">
        <v>193</v>
      </c>
      <c r="H139" s="29">
        <v>10500000</v>
      </c>
      <c r="I139" s="3"/>
      <c r="J139" s="3" t="s">
        <v>291</v>
      </c>
      <c r="K139" s="3"/>
      <c r="L139" s="9">
        <f t="shared" si="6"/>
        <v>43466</v>
      </c>
      <c r="M139" s="9">
        <f t="shared" si="7"/>
        <v>43832</v>
      </c>
      <c r="N139">
        <f>VLOOKUP(B139,PROYECTO!A:H,8,0)</f>
        <v>5</v>
      </c>
      <c r="O139" s="9">
        <f t="array" ref="O139">MAX(MAX(IF($B:$B=B139,$M:$M)),MAX(IF(PERSONAS!B:B=B139,PERSONAS!N:N)))</f>
        <v>43832</v>
      </c>
      <c r="P139" s="29">
        <f t="shared" si="8"/>
        <v>17</v>
      </c>
    </row>
    <row r="140" spans="2:16" x14ac:dyDescent="0.25">
      <c r="B140" s="3">
        <v>1866</v>
      </c>
      <c r="C140" s="3" t="s">
        <v>192</v>
      </c>
      <c r="D140" s="9">
        <v>43498</v>
      </c>
      <c r="E140" s="9"/>
      <c r="F140" s="14">
        <v>14</v>
      </c>
      <c r="G140" s="3" t="s">
        <v>193</v>
      </c>
      <c r="H140" s="29">
        <v>9800000</v>
      </c>
      <c r="I140" s="3"/>
      <c r="J140" s="3" t="s">
        <v>297</v>
      </c>
      <c r="K140" s="3"/>
      <c r="L140" s="9">
        <f t="shared" si="6"/>
        <v>43497</v>
      </c>
      <c r="M140" s="9">
        <f t="shared" si="7"/>
        <v>43923</v>
      </c>
      <c r="N140">
        <f>VLOOKUP(B140,PROYECTO!A:H,8,0)</f>
        <v>0</v>
      </c>
      <c r="O140" s="9">
        <f t="array" ref="O140">MAX(MAX(IF($B:$B=B140,$M:$M)),MAX(IF(PERSONAS!B:B=B140,PERSONAS!N:N)))</f>
        <v>43923</v>
      </c>
      <c r="P140" s="29">
        <f t="shared" si="8"/>
        <v>14</v>
      </c>
    </row>
    <row r="141" spans="2:16" x14ac:dyDescent="0.25">
      <c r="B141" s="3">
        <v>1848</v>
      </c>
      <c r="C141" s="3" t="s">
        <v>192</v>
      </c>
      <c r="D141" s="9">
        <v>43525</v>
      </c>
      <c r="E141" s="9"/>
      <c r="F141" s="14">
        <v>1</v>
      </c>
      <c r="G141" s="3" t="s">
        <v>193</v>
      </c>
      <c r="H141" s="29">
        <v>12773052.833333334</v>
      </c>
      <c r="I141" s="3"/>
      <c r="J141" s="3" t="s">
        <v>296</v>
      </c>
      <c r="K141" s="3"/>
      <c r="L141" s="9">
        <f t="shared" si="6"/>
        <v>43525</v>
      </c>
      <c r="M141" s="9">
        <f t="shared" si="7"/>
        <v>43556</v>
      </c>
      <c r="N141">
        <f>VLOOKUP(B141,PROYECTO!A:H,8,0)</f>
        <v>0</v>
      </c>
      <c r="O141" s="9">
        <f t="array" ref="O141">MAX(MAX(IF($B:$B=B141,$M:$M)),MAX(IF(PERSONAS!B:B=B141,PERSONAS!N:N)))</f>
        <v>43800</v>
      </c>
      <c r="P141" s="29">
        <f t="shared" si="8"/>
        <v>1</v>
      </c>
    </row>
    <row r="142" spans="2:16" x14ac:dyDescent="0.25">
      <c r="B142" s="3">
        <v>1848</v>
      </c>
      <c r="C142" s="3" t="s">
        <v>192</v>
      </c>
      <c r="D142" s="9">
        <v>43556</v>
      </c>
      <c r="E142" s="9"/>
      <c r="F142" s="14">
        <v>1</v>
      </c>
      <c r="G142" s="3" t="s">
        <v>193</v>
      </c>
      <c r="H142" s="29">
        <v>12773052.833333334</v>
      </c>
      <c r="I142" s="3"/>
      <c r="J142" s="3" t="s">
        <v>296</v>
      </c>
      <c r="K142" s="3"/>
      <c r="L142" s="9">
        <f t="shared" si="6"/>
        <v>43556</v>
      </c>
      <c r="M142" s="9">
        <f t="shared" si="7"/>
        <v>43586</v>
      </c>
      <c r="N142">
        <f>VLOOKUP(B142,PROYECTO!A:H,8,0)</f>
        <v>0</v>
      </c>
      <c r="O142" s="9">
        <f t="array" ref="O142">MAX(MAX(IF($B:$B=B142,$M:$M)),MAX(IF(PERSONAS!B:B=B142,PERSONAS!N:N)))</f>
        <v>43800</v>
      </c>
      <c r="P142" s="29">
        <f t="shared" si="8"/>
        <v>1</v>
      </c>
    </row>
    <row r="143" spans="2:16" x14ac:dyDescent="0.25">
      <c r="B143" s="3">
        <v>1848</v>
      </c>
      <c r="C143" s="3" t="s">
        <v>192</v>
      </c>
      <c r="D143" s="9">
        <v>43586</v>
      </c>
      <c r="E143" s="9"/>
      <c r="F143" s="14">
        <v>1</v>
      </c>
      <c r="G143" s="3" t="s">
        <v>193</v>
      </c>
      <c r="H143" s="29">
        <v>12773052.833333334</v>
      </c>
      <c r="I143" s="3"/>
      <c r="J143" s="3" t="s">
        <v>296</v>
      </c>
      <c r="K143" s="3"/>
      <c r="L143" s="9">
        <f t="shared" si="6"/>
        <v>43586</v>
      </c>
      <c r="M143" s="9">
        <f t="shared" si="7"/>
        <v>43617</v>
      </c>
      <c r="N143">
        <f>VLOOKUP(B143,PROYECTO!A:H,8,0)</f>
        <v>0</v>
      </c>
      <c r="O143" s="9">
        <f t="array" ref="O143">MAX(MAX(IF($B:$B=B143,$M:$M)),MAX(IF(PERSONAS!B:B=B143,PERSONAS!N:N)))</f>
        <v>43800</v>
      </c>
      <c r="P143" s="29">
        <f t="shared" si="8"/>
        <v>1</v>
      </c>
    </row>
    <row r="144" spans="2:16" x14ac:dyDescent="0.25">
      <c r="B144" s="3">
        <v>1848</v>
      </c>
      <c r="C144" s="3" t="s">
        <v>192</v>
      </c>
      <c r="D144" s="9">
        <v>43617</v>
      </c>
      <c r="E144" s="9"/>
      <c r="F144" s="14">
        <v>6</v>
      </c>
      <c r="G144" s="3" t="s">
        <v>193</v>
      </c>
      <c r="H144" s="29">
        <v>12773052.833333334</v>
      </c>
      <c r="I144" s="3"/>
      <c r="J144" s="3" t="s">
        <v>296</v>
      </c>
      <c r="K144" s="3"/>
      <c r="L144" s="9">
        <f t="shared" si="6"/>
        <v>43617</v>
      </c>
      <c r="M144" s="9">
        <f t="shared" si="7"/>
        <v>43800</v>
      </c>
      <c r="N144">
        <f>VLOOKUP(B144,PROYECTO!A:H,8,0)</f>
        <v>0</v>
      </c>
      <c r="O144" s="9">
        <f t="array" ref="O144">MAX(MAX(IF($B:$B=B144,$M:$M)),MAX(IF(PERSONAS!B:B=B144,PERSONAS!N:N)))</f>
        <v>43800</v>
      </c>
      <c r="P144" s="29">
        <f t="shared" si="8"/>
        <v>6</v>
      </c>
    </row>
    <row r="145" spans="2:16" x14ac:dyDescent="0.25">
      <c r="B145" s="3">
        <v>1845</v>
      </c>
      <c r="C145" s="3" t="s">
        <v>192</v>
      </c>
      <c r="D145" s="9">
        <v>43497</v>
      </c>
      <c r="E145" s="9"/>
      <c r="F145" s="14">
        <v>10</v>
      </c>
      <c r="G145" s="3" t="s">
        <v>193</v>
      </c>
      <c r="H145" s="29">
        <v>22250000</v>
      </c>
      <c r="I145" s="3"/>
      <c r="J145" s="3" t="s">
        <v>300</v>
      </c>
      <c r="K145" s="3"/>
      <c r="L145" s="9">
        <f t="shared" si="6"/>
        <v>43497</v>
      </c>
      <c r="M145" s="9">
        <f t="shared" si="7"/>
        <v>43800</v>
      </c>
      <c r="N145">
        <f>VLOOKUP(B145,PROYECTO!A:H,8,0)</f>
        <v>0</v>
      </c>
      <c r="O145" s="9">
        <f t="array" ref="O145">MAX(MAX(IF($B:$B=B145,$M:$M)),MAX(IF(PERSONAS!B:B=B145,PERSONAS!N:N)))</f>
        <v>43800</v>
      </c>
      <c r="P145" s="29">
        <f t="shared" si="8"/>
        <v>10</v>
      </c>
    </row>
    <row r="146" spans="2:16" x14ac:dyDescent="0.25">
      <c r="B146" s="3">
        <v>1790</v>
      </c>
      <c r="C146" s="3" t="s">
        <v>192</v>
      </c>
      <c r="D146" s="9">
        <v>43556</v>
      </c>
      <c r="E146" s="9"/>
      <c r="F146" s="14">
        <v>25</v>
      </c>
      <c r="G146" s="3" t="s">
        <v>193</v>
      </c>
      <c r="H146" s="29">
        <v>17160000</v>
      </c>
      <c r="I146" s="3"/>
      <c r="J146" s="3" t="s">
        <v>313</v>
      </c>
      <c r="K146" s="3"/>
      <c r="L146" s="9">
        <f t="shared" si="6"/>
        <v>43556</v>
      </c>
      <c r="M146" s="9">
        <f t="shared" si="7"/>
        <v>44317</v>
      </c>
      <c r="N146">
        <f>VLOOKUP(B146,PROYECTO!A:H,8,0)</f>
        <v>0</v>
      </c>
      <c r="O146" s="9">
        <f t="array" ref="O146">MAX(MAX(IF($B:$B=B146,$M:$M)),MAX(IF(PERSONAS!B:B=B146,PERSONAS!N:N)))</f>
        <v>44317</v>
      </c>
      <c r="P146" s="29">
        <f t="shared" si="8"/>
        <v>25</v>
      </c>
    </row>
    <row r="147" spans="2:16" x14ac:dyDescent="0.25">
      <c r="B147" s="3">
        <v>1899</v>
      </c>
      <c r="C147" s="3" t="s">
        <v>192</v>
      </c>
      <c r="D147" s="9">
        <v>43525</v>
      </c>
      <c r="E147" s="9">
        <v>43160</v>
      </c>
      <c r="F147" s="14">
        <v>25</v>
      </c>
      <c r="G147" s="3" t="s">
        <v>193</v>
      </c>
      <c r="H147" s="29">
        <v>26936126</v>
      </c>
      <c r="I147" s="3"/>
      <c r="K147" s="3"/>
      <c r="L147" s="9">
        <f t="shared" si="6"/>
        <v>43525</v>
      </c>
      <c r="M147" s="9">
        <f t="shared" si="7"/>
        <v>44287</v>
      </c>
      <c r="N147">
        <f>VLOOKUP(B147,PROYECTO!A:H,8,0)</f>
        <v>0</v>
      </c>
      <c r="O147" s="9">
        <f t="array" ref="O147">MAX(MAX(IF($B:$B=B147,$M:$M)),MAX(IF(PERSONAS!B:B=B147,PERSONAS!N:N)))</f>
        <v>44287</v>
      </c>
      <c r="P147" s="29">
        <f t="shared" si="8"/>
        <v>25</v>
      </c>
    </row>
    <row r="148" spans="2:16" x14ac:dyDescent="0.25">
      <c r="B148" s="3">
        <v>1900</v>
      </c>
      <c r="C148" s="3" t="s">
        <v>192</v>
      </c>
      <c r="D148" s="9">
        <v>43556</v>
      </c>
      <c r="E148" s="9"/>
      <c r="F148" s="14">
        <v>1</v>
      </c>
      <c r="G148" s="3" t="s">
        <v>193</v>
      </c>
      <c r="H148" s="29">
        <v>8700000</v>
      </c>
      <c r="I148" s="3"/>
      <c r="J148" t="s">
        <v>310</v>
      </c>
      <c r="K148" s="3"/>
      <c r="L148" s="9">
        <f t="shared" si="6"/>
        <v>43556</v>
      </c>
      <c r="M148" s="9">
        <f t="shared" si="7"/>
        <v>43586</v>
      </c>
      <c r="N148">
        <f>VLOOKUP(B148,PROYECTO!A:H,8,0)</f>
        <v>0</v>
      </c>
      <c r="O148" s="9">
        <f t="array" ref="O148">MAX(MAX(IF($B:$B=B148,$M:$M)),MAX(IF(PERSONAS!B:B=B148,PERSONAS!N:N)))</f>
        <v>43862</v>
      </c>
      <c r="P148" s="29">
        <f t="shared" si="8"/>
        <v>1</v>
      </c>
    </row>
    <row r="149" spans="2:16" x14ac:dyDescent="0.25">
      <c r="B149" s="3">
        <v>1900</v>
      </c>
      <c r="C149" s="3" t="s">
        <v>192</v>
      </c>
      <c r="D149" s="9">
        <v>43556</v>
      </c>
      <c r="E149" s="9"/>
      <c r="F149" s="14">
        <v>10</v>
      </c>
      <c r="G149" s="3" t="s">
        <v>193</v>
      </c>
      <c r="H149" s="29">
        <v>20600000</v>
      </c>
      <c r="I149" s="3"/>
      <c r="J149" t="s">
        <v>311</v>
      </c>
      <c r="K149" s="3"/>
      <c r="L149" s="9">
        <f t="shared" si="6"/>
        <v>43556</v>
      </c>
      <c r="M149" s="9">
        <f t="shared" si="7"/>
        <v>43862</v>
      </c>
      <c r="N149">
        <f>VLOOKUP(B149,PROYECTO!A:H,8,0)</f>
        <v>0</v>
      </c>
      <c r="O149" s="9">
        <f t="array" ref="O149">MAX(MAX(IF($B:$B=B149,$M:$M)),MAX(IF(PERSONAS!B:B=B149,PERSONAS!N:N)))</f>
        <v>43862</v>
      </c>
      <c r="P149" s="29">
        <f t="shared" si="8"/>
        <v>10</v>
      </c>
    </row>
    <row r="150" spans="2:16" x14ac:dyDescent="0.25">
      <c r="B150" s="3">
        <v>1900</v>
      </c>
      <c r="C150" s="3" t="s">
        <v>192</v>
      </c>
      <c r="D150" s="9">
        <v>43556</v>
      </c>
      <c r="E150" s="9"/>
      <c r="F150" s="14">
        <v>4</v>
      </c>
      <c r="G150" s="3" t="s">
        <v>193</v>
      </c>
      <c r="H150" s="29">
        <v>14200000</v>
      </c>
      <c r="I150" s="3"/>
      <c r="J150" t="s">
        <v>312</v>
      </c>
      <c r="K150" s="3"/>
      <c r="L150" s="9">
        <f t="shared" si="6"/>
        <v>43556</v>
      </c>
      <c r="M150" s="9">
        <f t="shared" si="7"/>
        <v>43678</v>
      </c>
      <c r="N150">
        <f>VLOOKUP(B150,PROYECTO!A:H,8,0)</f>
        <v>0</v>
      </c>
      <c r="O150" s="9">
        <f t="array" ref="O150">MAX(MAX(IF($B:$B=B150,$M:$M)),MAX(IF(PERSONAS!B:B=B150,PERSONAS!N:N)))</f>
        <v>43862</v>
      </c>
      <c r="P150" s="29">
        <f t="shared" si="8"/>
        <v>4</v>
      </c>
    </row>
    <row r="151" spans="2:16" x14ac:dyDescent="0.25">
      <c r="B151" s="3">
        <v>1898</v>
      </c>
      <c r="C151" s="3" t="s">
        <v>192</v>
      </c>
      <c r="D151" s="9">
        <v>43556</v>
      </c>
      <c r="E151" s="9"/>
      <c r="F151" s="14">
        <v>3</v>
      </c>
      <c r="G151" s="3" t="s">
        <v>193</v>
      </c>
      <c r="H151" s="29">
        <v>10000000</v>
      </c>
      <c r="I151" s="3"/>
      <c r="J151" t="s">
        <v>319</v>
      </c>
      <c r="K151" s="3"/>
      <c r="L151" s="9">
        <f t="shared" si="6"/>
        <v>43556</v>
      </c>
      <c r="M151" s="9">
        <f t="shared" si="7"/>
        <v>43647</v>
      </c>
      <c r="N151">
        <f>VLOOKUP(B151,PROYECTO!A:H,8,0)</f>
        <v>0</v>
      </c>
      <c r="O151" s="9">
        <f t="array" ref="O151">MAX(MAX(IF($B:$B=B151,$M:$M)),MAX(IF(PERSONAS!B:B=B151,PERSONAS!N:N)))</f>
        <v>43647</v>
      </c>
      <c r="P151" s="29">
        <f t="shared" si="8"/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S6925"/>
  <sheetViews>
    <sheetView showGridLines="0" tabSelected="1" workbookViewId="0">
      <pane xSplit="1" ySplit="1" topLeftCell="D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5" x14ac:dyDescent="0.25"/>
  <cols>
    <col min="1" max="1" width="5.7109375" style="4" bestFit="1" customWidth="1"/>
    <col min="2" max="2" width="48.42578125" style="4" bestFit="1" customWidth="1"/>
    <col min="3" max="3" width="14" style="38" bestFit="1" customWidth="1"/>
    <col min="4" max="4" width="12.85546875" style="39" bestFit="1" customWidth="1"/>
    <col min="5" max="5" width="8.5703125" style="40" bestFit="1" customWidth="1"/>
    <col min="6" max="6" width="6.5703125" style="44" bestFit="1" customWidth="1"/>
    <col min="7" max="7" width="9.7109375" style="41" bestFit="1" customWidth="1"/>
    <col min="8" max="8" width="11.85546875" style="42" bestFit="1" customWidth="1"/>
    <col min="9" max="11" width="11.42578125" style="4"/>
    <col min="12" max="12" width="3.85546875" style="4" customWidth="1"/>
    <col min="13" max="14" width="7.85546875" style="4" bestFit="1" customWidth="1"/>
    <col min="15" max="15" width="5" style="4" bestFit="1" customWidth="1"/>
    <col min="16" max="17" width="16.7109375" style="4" bestFit="1" customWidth="1"/>
    <col min="18" max="18" width="15.5703125" style="4" bestFit="1" customWidth="1"/>
    <col min="19" max="19" width="16.7109375" style="4" bestFit="1" customWidth="1"/>
    <col min="20" max="16384" width="11.42578125" style="4"/>
  </cols>
  <sheetData>
    <row r="1" spans="1:19" customFormat="1" x14ac:dyDescent="0.25">
      <c r="A1" s="26" t="s">
        <v>184</v>
      </c>
      <c r="B1" s="27" t="s">
        <v>225</v>
      </c>
      <c r="C1" s="27" t="s">
        <v>220</v>
      </c>
      <c r="D1" s="27" t="s">
        <v>224</v>
      </c>
      <c r="E1" s="27" t="s">
        <v>221</v>
      </c>
      <c r="F1" s="27" t="s">
        <v>286</v>
      </c>
      <c r="G1" s="18"/>
      <c r="H1" s="17"/>
    </row>
    <row r="2" spans="1:19" customFormat="1" x14ac:dyDescent="0.25">
      <c r="A2" s="3">
        <v>1580</v>
      </c>
      <c r="B2" s="9" t="s">
        <v>19</v>
      </c>
      <c r="C2" s="24">
        <v>5022794.9339999994</v>
      </c>
      <c r="D2" s="9">
        <v>43374</v>
      </c>
      <c r="E2" s="25">
        <v>17</v>
      </c>
      <c r="F2" s="44">
        <v>2018</v>
      </c>
      <c r="H2" s="17"/>
      <c r="N2" s="64" t="s">
        <v>325</v>
      </c>
      <c r="O2" s="64"/>
      <c r="P2" s="64"/>
      <c r="Q2" s="64"/>
    </row>
    <row r="3" spans="1:19" customFormat="1" x14ac:dyDescent="0.25">
      <c r="A3" s="3">
        <v>1580</v>
      </c>
      <c r="B3" s="9" t="s">
        <v>12</v>
      </c>
      <c r="C3" s="24">
        <v>7413895.5</v>
      </c>
      <c r="D3" s="9">
        <v>43374</v>
      </c>
      <c r="E3" s="25">
        <v>17</v>
      </c>
      <c r="F3" s="44">
        <v>2018</v>
      </c>
      <c r="G3" s="18"/>
      <c r="H3" s="17"/>
      <c r="N3" s="48"/>
      <c r="O3" s="62" t="s">
        <v>259</v>
      </c>
      <c r="P3" s="49" t="s">
        <v>258</v>
      </c>
      <c r="Q3" s="50">
        <v>2019</v>
      </c>
    </row>
    <row r="4" spans="1:19" customFormat="1" x14ac:dyDescent="0.25">
      <c r="A4" s="3">
        <v>1580</v>
      </c>
      <c r="B4" s="9" t="s">
        <v>13</v>
      </c>
      <c r="C4" s="24">
        <v>6206980.5</v>
      </c>
      <c r="D4" s="9">
        <v>43374</v>
      </c>
      <c r="E4" s="25">
        <v>16</v>
      </c>
      <c r="F4" s="44">
        <v>2018</v>
      </c>
      <c r="G4" s="18"/>
      <c r="H4" s="17"/>
      <c r="N4" s="48" t="s">
        <v>226</v>
      </c>
      <c r="O4" s="4">
        <v>7826</v>
      </c>
      <c r="P4" s="51">
        <v>66711277270.93689</v>
      </c>
      <c r="Q4" s="52">
        <v>24319584305.388477</v>
      </c>
    </row>
    <row r="5" spans="1:19" customFormat="1" x14ac:dyDescent="0.25">
      <c r="A5" s="3">
        <v>1580</v>
      </c>
      <c r="B5" s="9" t="s">
        <v>14</v>
      </c>
      <c r="C5" s="24">
        <v>7420895.3510748595</v>
      </c>
      <c r="D5" s="9">
        <v>43374</v>
      </c>
      <c r="E5" s="25">
        <v>17</v>
      </c>
      <c r="F5" s="44">
        <v>2018</v>
      </c>
      <c r="G5" s="18"/>
      <c r="H5" s="17"/>
      <c r="N5" s="48" t="s">
        <v>227</v>
      </c>
      <c r="O5" s="4">
        <v>7438</v>
      </c>
      <c r="P5" s="51">
        <v>63789965972.472908</v>
      </c>
      <c r="Q5" s="52">
        <v>22302313910.437664</v>
      </c>
    </row>
    <row r="6" spans="1:19" customFormat="1" x14ac:dyDescent="0.25">
      <c r="A6" s="3">
        <v>1580</v>
      </c>
      <c r="B6" s="9" t="s">
        <v>15</v>
      </c>
      <c r="C6" s="24">
        <v>4310404.2809999995</v>
      </c>
      <c r="D6" s="9">
        <v>43374</v>
      </c>
      <c r="E6" s="25">
        <v>17</v>
      </c>
      <c r="F6" s="44">
        <v>2018</v>
      </c>
      <c r="G6" s="18"/>
      <c r="H6" s="17"/>
      <c r="N6" s="48" t="s">
        <v>220</v>
      </c>
      <c r="O6" s="4">
        <v>7826</v>
      </c>
      <c r="P6" s="51">
        <v>66711277270.93689</v>
      </c>
      <c r="Q6" s="52">
        <v>24319584305.388477</v>
      </c>
    </row>
    <row r="7" spans="1:19" customFormat="1" x14ac:dyDescent="0.25">
      <c r="A7" s="3">
        <v>1580</v>
      </c>
      <c r="B7" s="9" t="s">
        <v>16</v>
      </c>
      <c r="C7" s="24">
        <v>4569027.966</v>
      </c>
      <c r="D7" s="9">
        <v>43374</v>
      </c>
      <c r="E7" s="25">
        <v>12</v>
      </c>
      <c r="F7" s="44">
        <v>2018</v>
      </c>
      <c r="G7" s="18"/>
      <c r="H7" s="17"/>
      <c r="N7" s="53" t="s">
        <v>228</v>
      </c>
      <c r="O7" s="54">
        <v>7653</v>
      </c>
      <c r="P7" s="55">
        <v>65511266549.539444</v>
      </c>
      <c r="Q7" s="56">
        <v>23496393361.898968</v>
      </c>
    </row>
    <row r="8" spans="1:19" customFormat="1" x14ac:dyDescent="0.25">
      <c r="A8" s="3">
        <v>1580</v>
      </c>
      <c r="B8" s="9" t="s">
        <v>17</v>
      </c>
      <c r="C8" s="24">
        <v>3832547.13</v>
      </c>
      <c r="D8" s="9">
        <v>43374</v>
      </c>
      <c r="E8" s="25">
        <v>16</v>
      </c>
      <c r="F8" s="44">
        <v>2018</v>
      </c>
      <c r="G8" s="18"/>
      <c r="H8" s="17"/>
    </row>
    <row r="9" spans="1:19" customFormat="1" x14ac:dyDescent="0.25">
      <c r="A9" s="3">
        <v>1580</v>
      </c>
      <c r="B9" s="9" t="s">
        <v>18</v>
      </c>
      <c r="C9" s="24">
        <v>3805366.0799999996</v>
      </c>
      <c r="D9" s="9">
        <v>43556</v>
      </c>
      <c r="E9" s="25">
        <v>9</v>
      </c>
      <c r="F9" s="44">
        <v>2018</v>
      </c>
      <c r="G9" s="18"/>
      <c r="H9" s="17"/>
      <c r="N9" s="64" t="s">
        <v>326</v>
      </c>
      <c r="O9" s="64"/>
      <c r="P9" s="64"/>
      <c r="Q9" s="64"/>
    </row>
    <row r="10" spans="1:19" customFormat="1" x14ac:dyDescent="0.25">
      <c r="A10" s="3">
        <v>1588</v>
      </c>
      <c r="B10" s="9" t="s">
        <v>12</v>
      </c>
      <c r="C10" s="24">
        <v>9638970.3449999988</v>
      </c>
      <c r="D10" s="9">
        <v>43405</v>
      </c>
      <c r="E10" s="25">
        <v>11</v>
      </c>
      <c r="F10" s="44">
        <v>2018</v>
      </c>
      <c r="G10" s="18"/>
      <c r="H10" s="17"/>
      <c r="N10" s="48"/>
      <c r="O10" s="62" t="s">
        <v>259</v>
      </c>
      <c r="P10" s="49" t="s">
        <v>258</v>
      </c>
      <c r="Q10" s="50">
        <v>2019</v>
      </c>
    </row>
    <row r="11" spans="1:19" customFormat="1" x14ac:dyDescent="0.25">
      <c r="A11" s="3">
        <v>1588</v>
      </c>
      <c r="B11" s="9" t="s">
        <v>21</v>
      </c>
      <c r="C11" s="24">
        <v>3662808.7310999995</v>
      </c>
      <c r="D11" s="9">
        <v>43405</v>
      </c>
      <c r="E11" s="25">
        <v>11</v>
      </c>
      <c r="F11" s="44">
        <v>2018</v>
      </c>
      <c r="G11" s="18"/>
      <c r="H11" s="17"/>
      <c r="M11" s="4"/>
      <c r="N11" s="48" t="s">
        <v>226</v>
      </c>
      <c r="O11" s="4">
        <v>3770</v>
      </c>
      <c r="P11" s="51">
        <v>31928203999.700054</v>
      </c>
      <c r="Q11" s="52">
        <v>24319584305.388477</v>
      </c>
    </row>
    <row r="12" spans="1:19" customFormat="1" x14ac:dyDescent="0.25">
      <c r="A12" s="3">
        <v>1588</v>
      </c>
      <c r="B12" s="9" t="s">
        <v>22</v>
      </c>
      <c r="C12" s="24">
        <v>3662808.7310999995</v>
      </c>
      <c r="D12" s="9">
        <v>43405</v>
      </c>
      <c r="E12" s="25">
        <v>11</v>
      </c>
      <c r="F12" s="44">
        <v>2018</v>
      </c>
      <c r="G12" s="18"/>
      <c r="H12" s="17"/>
      <c r="M12" s="4"/>
      <c r="N12" s="57" t="s">
        <v>227</v>
      </c>
      <c r="O12" s="4">
        <v>3440</v>
      </c>
      <c r="P12" s="51">
        <v>29242189061.885372</v>
      </c>
      <c r="Q12" s="52">
        <v>22886883989.680111</v>
      </c>
    </row>
    <row r="13" spans="1:19" customFormat="1" x14ac:dyDescent="0.25">
      <c r="A13" s="3">
        <v>1588</v>
      </c>
      <c r="B13" s="9" t="s">
        <v>23</v>
      </c>
      <c r="C13" s="24">
        <v>4048367.5448999996</v>
      </c>
      <c r="D13" s="9">
        <v>43405</v>
      </c>
      <c r="E13" s="25">
        <v>11</v>
      </c>
      <c r="F13" s="44">
        <v>2018</v>
      </c>
      <c r="G13" s="18"/>
      <c r="H13" s="17"/>
      <c r="M13" s="4"/>
      <c r="N13" s="58" t="s">
        <v>220</v>
      </c>
      <c r="O13" s="59">
        <v>3543</v>
      </c>
      <c r="P13" s="60">
        <v>29997470178.442734</v>
      </c>
      <c r="Q13" s="61">
        <v>23297939721.237465</v>
      </c>
      <c r="S13" s="31"/>
    </row>
    <row r="14" spans="1:19" customFormat="1" x14ac:dyDescent="0.25">
      <c r="A14" s="3">
        <v>1588</v>
      </c>
      <c r="B14" s="9" t="s">
        <v>24</v>
      </c>
      <c r="C14" s="24">
        <v>3470029.3241999997</v>
      </c>
      <c r="D14" s="9">
        <v>43405</v>
      </c>
      <c r="E14" s="25">
        <v>11</v>
      </c>
      <c r="F14" s="44">
        <v>2018</v>
      </c>
      <c r="G14" s="18"/>
      <c r="H14" s="17"/>
      <c r="M14" s="4"/>
      <c r="N14" s="53" t="s">
        <v>228</v>
      </c>
      <c r="O14" s="54">
        <v>3597</v>
      </c>
      <c r="P14" s="55">
        <v>30728193278.302521</v>
      </c>
      <c r="Q14" s="56">
        <v>23496393361.898968</v>
      </c>
    </row>
    <row r="15" spans="1:19" customFormat="1" x14ac:dyDescent="0.25">
      <c r="A15" s="3">
        <v>1588</v>
      </c>
      <c r="B15" s="9" t="s">
        <v>25</v>
      </c>
      <c r="C15" s="24">
        <v>4728551.4899999993</v>
      </c>
      <c r="D15" s="9">
        <v>43405</v>
      </c>
      <c r="E15" s="25">
        <v>11</v>
      </c>
      <c r="F15" s="44">
        <v>2018</v>
      </c>
      <c r="G15" s="18"/>
      <c r="H15" s="17"/>
      <c r="M15" s="4"/>
    </row>
    <row r="16" spans="1:19" customFormat="1" x14ac:dyDescent="0.25">
      <c r="A16" s="3">
        <v>1588</v>
      </c>
      <c r="B16" s="9" t="s">
        <v>14</v>
      </c>
      <c r="C16" s="24">
        <v>8184031.4250000007</v>
      </c>
      <c r="D16" s="9">
        <v>43405</v>
      </c>
      <c r="E16" s="25">
        <v>11</v>
      </c>
      <c r="F16" s="44">
        <v>2018</v>
      </c>
      <c r="G16" s="18"/>
      <c r="H16" s="17"/>
      <c r="M16" s="4"/>
      <c r="N16" s="64" t="s">
        <v>327</v>
      </c>
      <c r="O16" s="64"/>
      <c r="P16" s="64"/>
      <c r="Q16" s="64"/>
    </row>
    <row r="17" spans="1:18" customFormat="1" x14ac:dyDescent="0.25">
      <c r="A17" s="3">
        <v>1588</v>
      </c>
      <c r="B17" s="9" t="s">
        <v>26</v>
      </c>
      <c r="C17" s="24">
        <v>5819755.6799999997</v>
      </c>
      <c r="D17" s="9">
        <v>43405</v>
      </c>
      <c r="E17" s="25">
        <v>11</v>
      </c>
      <c r="F17" s="44">
        <v>2018</v>
      </c>
      <c r="G17" s="18"/>
      <c r="H17" s="17"/>
      <c r="M17" s="4"/>
      <c r="N17" s="48"/>
      <c r="O17" s="62" t="s">
        <v>259</v>
      </c>
      <c r="P17" s="49" t="s">
        <v>258</v>
      </c>
      <c r="Q17" s="50">
        <v>2019</v>
      </c>
    </row>
    <row r="18" spans="1:18" customFormat="1" x14ac:dyDescent="0.25">
      <c r="A18" s="3">
        <v>1596</v>
      </c>
      <c r="B18" s="9" t="s">
        <v>19</v>
      </c>
      <c r="C18" s="24">
        <v>2430000</v>
      </c>
      <c r="D18" s="9">
        <v>43070</v>
      </c>
      <c r="E18" s="25">
        <v>19</v>
      </c>
      <c r="F18" s="44">
        <v>2017</v>
      </c>
      <c r="G18" s="18"/>
      <c r="H18" s="17"/>
      <c r="N18" s="48" t="s">
        <v>226</v>
      </c>
      <c r="O18" s="4">
        <v>3904</v>
      </c>
      <c r="P18" s="51">
        <v>33463241204.599033</v>
      </c>
      <c r="Q18" s="52">
        <v>25696057129.487457</v>
      </c>
      <c r="R18" s="31"/>
    </row>
    <row r="19" spans="1:18" customFormat="1" x14ac:dyDescent="0.25">
      <c r="A19" s="3">
        <v>1596</v>
      </c>
      <c r="B19" s="9" t="s">
        <v>12</v>
      </c>
      <c r="C19" s="24">
        <v>8848000</v>
      </c>
      <c r="D19" s="9">
        <v>43070</v>
      </c>
      <c r="E19" s="25">
        <v>19</v>
      </c>
      <c r="F19" s="44">
        <v>2017</v>
      </c>
      <c r="G19" s="18"/>
      <c r="H19" s="17"/>
      <c r="N19" s="48" t="s">
        <v>227</v>
      </c>
      <c r="O19" s="4">
        <v>3447</v>
      </c>
      <c r="P19" s="51">
        <v>29427340849.292606</v>
      </c>
      <c r="Q19" s="52">
        <v>23072035777.087349</v>
      </c>
      <c r="R19" s="31"/>
    </row>
    <row r="20" spans="1:18" customFormat="1" x14ac:dyDescent="0.25">
      <c r="A20" s="3">
        <v>1596</v>
      </c>
      <c r="B20" s="9" t="s">
        <v>38</v>
      </c>
      <c r="C20" s="24">
        <v>3776200</v>
      </c>
      <c r="D20" s="9">
        <v>43070</v>
      </c>
      <c r="E20" s="25">
        <v>17</v>
      </c>
      <c r="F20" s="44">
        <v>2017</v>
      </c>
      <c r="G20" s="18"/>
      <c r="H20" s="17"/>
      <c r="N20" s="58" t="s">
        <v>220</v>
      </c>
      <c r="O20" s="59">
        <v>3587</v>
      </c>
      <c r="P20" s="60">
        <v>30576935034.832314</v>
      </c>
      <c r="Q20" s="61">
        <v>23877404577.627052</v>
      </c>
      <c r="R20" s="31">
        <f>+Q20-Q13</f>
        <v>579464856.3895874</v>
      </c>
    </row>
    <row r="21" spans="1:18" customFormat="1" x14ac:dyDescent="0.25">
      <c r="A21" s="3">
        <v>1596</v>
      </c>
      <c r="B21" s="9" t="s">
        <v>16</v>
      </c>
      <c r="C21" s="24">
        <v>1769052.5</v>
      </c>
      <c r="D21" s="9">
        <v>43070</v>
      </c>
      <c r="E21" s="25">
        <v>17</v>
      </c>
      <c r="F21" s="44">
        <v>2017</v>
      </c>
      <c r="G21" s="18"/>
      <c r="H21" s="17"/>
      <c r="N21" s="53" t="s">
        <v>228</v>
      </c>
      <c r="O21" s="54">
        <v>3604</v>
      </c>
      <c r="P21" s="55">
        <v>30913345065.709755</v>
      </c>
      <c r="Q21" s="56">
        <v>23681545149.306206</v>
      </c>
      <c r="R21" s="31"/>
    </row>
    <row r="22" spans="1:18" customFormat="1" x14ac:dyDescent="0.25">
      <c r="A22" s="3">
        <v>1596</v>
      </c>
      <c r="B22" s="9" t="s">
        <v>39</v>
      </c>
      <c r="C22" s="24">
        <v>5008600</v>
      </c>
      <c r="D22" s="9">
        <v>43070</v>
      </c>
      <c r="E22" s="25">
        <v>16</v>
      </c>
      <c r="F22" s="44">
        <v>2017</v>
      </c>
      <c r="G22" s="18"/>
      <c r="H22" s="17"/>
      <c r="M22" s="4"/>
      <c r="N22" s="4"/>
      <c r="O22" s="4"/>
    </row>
    <row r="23" spans="1:18" customFormat="1" x14ac:dyDescent="0.25">
      <c r="A23" s="3">
        <v>1618</v>
      </c>
      <c r="B23" s="9" t="s">
        <v>19</v>
      </c>
      <c r="C23" s="24">
        <v>4930337.8259999994</v>
      </c>
      <c r="D23" s="9">
        <v>42125</v>
      </c>
      <c r="E23" s="25">
        <v>27</v>
      </c>
      <c r="F23" s="44">
        <v>2015</v>
      </c>
      <c r="G23" s="18"/>
      <c r="H23" s="17"/>
      <c r="M23" s="4"/>
      <c r="N23" s="4"/>
      <c r="O23" s="4"/>
    </row>
    <row r="24" spans="1:18" customFormat="1" x14ac:dyDescent="0.25">
      <c r="A24" s="3">
        <v>1618</v>
      </c>
      <c r="B24" s="9" t="s">
        <v>12</v>
      </c>
      <c r="C24" s="24">
        <v>8539317.3200000003</v>
      </c>
      <c r="D24" s="9">
        <v>42125</v>
      </c>
      <c r="E24" s="25">
        <v>23</v>
      </c>
      <c r="F24" s="44">
        <v>2015</v>
      </c>
      <c r="G24" s="18"/>
      <c r="H24" s="17"/>
      <c r="M24" s="4"/>
      <c r="O24" t="s">
        <v>259</v>
      </c>
      <c r="P24" s="32" t="s">
        <v>258</v>
      </c>
      <c r="Q24" s="32">
        <v>2019</v>
      </c>
    </row>
    <row r="25" spans="1:18" customFormat="1" x14ac:dyDescent="0.25">
      <c r="A25" s="3">
        <v>1618</v>
      </c>
      <c r="B25" s="9" t="s">
        <v>41</v>
      </c>
      <c r="C25" s="24">
        <v>8900292.7980000004</v>
      </c>
      <c r="D25" s="9">
        <v>42125</v>
      </c>
      <c r="E25" s="25">
        <v>19</v>
      </c>
      <c r="F25" s="44">
        <v>2015</v>
      </c>
      <c r="G25" s="18"/>
      <c r="H25" s="17"/>
      <c r="M25" s="4"/>
      <c r="O25">
        <f>COUNT(DATOS_SIMULACION!A:A)-1</f>
        <v>3604</v>
      </c>
      <c r="P25" s="33">
        <f>SUM(DATOS_SIMULACION!D:D)</f>
        <v>30671776103.707314</v>
      </c>
      <c r="Q25" s="33">
        <f t="array" ref="Q25">SUM(IF(TEXT(DATOS_SIMULACION!$B1:$B$506025,"YYYY")="2019",DATOS_SIMULACION!$D$1:$D$506025,0))</f>
        <v>23972245646.502052</v>
      </c>
    </row>
    <row r="26" spans="1:18" customFormat="1" x14ac:dyDescent="0.25">
      <c r="A26" s="3">
        <v>1618</v>
      </c>
      <c r="B26" s="9" t="s">
        <v>14</v>
      </c>
      <c r="C26" s="24">
        <v>2371479.0359999998</v>
      </c>
      <c r="D26" s="9">
        <v>42125</v>
      </c>
      <c r="E26" s="25">
        <v>16</v>
      </c>
      <c r="F26" s="44">
        <v>2015</v>
      </c>
      <c r="G26" s="18"/>
      <c r="H26" s="17"/>
      <c r="M26" s="4"/>
    </row>
    <row r="27" spans="1:18" customFormat="1" x14ac:dyDescent="0.25">
      <c r="A27" s="3">
        <v>1618</v>
      </c>
      <c r="B27" s="9" t="s">
        <v>29</v>
      </c>
      <c r="C27" s="24">
        <v>2250336.2999999998</v>
      </c>
      <c r="D27" s="9">
        <v>42125</v>
      </c>
      <c r="E27" s="25">
        <v>21</v>
      </c>
      <c r="F27" s="44">
        <v>2015</v>
      </c>
      <c r="G27" s="18"/>
      <c r="H27" s="17"/>
    </row>
    <row r="28" spans="1:18" customFormat="1" x14ac:dyDescent="0.25">
      <c r="A28" s="3">
        <v>1618</v>
      </c>
      <c r="B28" s="9" t="s">
        <v>39</v>
      </c>
      <c r="C28" s="24">
        <v>5676394.96</v>
      </c>
      <c r="D28" s="9">
        <v>42125</v>
      </c>
      <c r="E28" s="25">
        <v>27</v>
      </c>
      <c r="F28" s="44">
        <v>2015</v>
      </c>
      <c r="G28" s="18"/>
      <c r="H28" s="17"/>
      <c r="Q28" s="31"/>
    </row>
    <row r="29" spans="1:18" customFormat="1" x14ac:dyDescent="0.25">
      <c r="A29" s="3">
        <v>1618</v>
      </c>
      <c r="B29" s="9" t="s">
        <v>38</v>
      </c>
      <c r="C29" s="24">
        <v>3424963.5</v>
      </c>
      <c r="D29" s="9">
        <v>42125</v>
      </c>
      <c r="E29" s="25">
        <v>18</v>
      </c>
      <c r="F29" s="44">
        <v>2015</v>
      </c>
      <c r="G29" s="18"/>
      <c r="H29" s="17"/>
    </row>
    <row r="30" spans="1:18" customFormat="1" x14ac:dyDescent="0.25">
      <c r="A30" s="3">
        <v>1687</v>
      </c>
      <c r="B30" s="9" t="s">
        <v>19</v>
      </c>
      <c r="C30" s="24">
        <v>3804794.5320000006</v>
      </c>
      <c r="D30" s="9">
        <v>42552</v>
      </c>
      <c r="E30" s="25">
        <v>34</v>
      </c>
      <c r="F30" s="44">
        <v>2019</v>
      </c>
      <c r="G30" s="18"/>
      <c r="H30" s="17"/>
    </row>
    <row r="31" spans="1:18" customFormat="1" x14ac:dyDescent="0.25">
      <c r="A31" s="3">
        <v>1687</v>
      </c>
      <c r="B31" s="9" t="s">
        <v>29</v>
      </c>
      <c r="C31" s="24">
        <v>5621740.5</v>
      </c>
      <c r="D31" s="9">
        <v>42552</v>
      </c>
      <c r="E31" s="25">
        <v>24</v>
      </c>
      <c r="F31" s="44">
        <v>2019</v>
      </c>
      <c r="G31" s="18"/>
      <c r="H31" s="17"/>
    </row>
    <row r="32" spans="1:18" customFormat="1" x14ac:dyDescent="0.25">
      <c r="A32" s="3">
        <v>1687</v>
      </c>
      <c r="B32" s="9" t="s">
        <v>12</v>
      </c>
      <c r="C32" s="24">
        <v>10868700</v>
      </c>
      <c r="D32" s="9">
        <v>42552</v>
      </c>
      <c r="E32" s="25">
        <v>34</v>
      </c>
      <c r="F32" s="44">
        <v>2019</v>
      </c>
      <c r="G32" s="18"/>
      <c r="H32" s="17"/>
    </row>
    <row r="33" spans="1:8" customFormat="1" x14ac:dyDescent="0.25">
      <c r="A33" s="3">
        <v>1687</v>
      </c>
      <c r="B33" s="9" t="s">
        <v>38</v>
      </c>
      <c r="C33" s="24">
        <v>3601566.2399999998</v>
      </c>
      <c r="D33" s="9">
        <v>42552</v>
      </c>
      <c r="E33" s="25">
        <v>34</v>
      </c>
      <c r="F33" s="44">
        <v>2019</v>
      </c>
      <c r="G33" s="18"/>
      <c r="H33" s="17"/>
    </row>
    <row r="34" spans="1:8" customFormat="1" x14ac:dyDescent="0.25">
      <c r="A34" s="3">
        <v>1687</v>
      </c>
      <c r="B34" s="9" t="s">
        <v>67</v>
      </c>
      <c r="C34" s="24">
        <v>5246958</v>
      </c>
      <c r="D34" s="9">
        <v>42552</v>
      </c>
      <c r="E34" s="25">
        <v>34</v>
      </c>
      <c r="F34" s="44">
        <v>2019</v>
      </c>
      <c r="G34" s="18"/>
      <c r="H34" s="17"/>
    </row>
    <row r="35" spans="1:8" customFormat="1" x14ac:dyDescent="0.25">
      <c r="A35" s="3">
        <v>1687</v>
      </c>
      <c r="B35" s="9" t="s">
        <v>39</v>
      </c>
      <c r="C35" s="24">
        <v>4544697</v>
      </c>
      <c r="D35" s="9">
        <v>42552</v>
      </c>
      <c r="E35" s="25">
        <v>34</v>
      </c>
      <c r="F35" s="44">
        <v>2019</v>
      </c>
      <c r="G35" s="18"/>
      <c r="H35" s="17"/>
    </row>
    <row r="36" spans="1:8" customFormat="1" x14ac:dyDescent="0.25">
      <c r="A36" s="3">
        <v>1687</v>
      </c>
      <c r="B36" s="9" t="s">
        <v>68</v>
      </c>
      <c r="C36" s="24">
        <v>7308264</v>
      </c>
      <c r="D36" s="9">
        <v>42552</v>
      </c>
      <c r="E36" s="25">
        <v>34</v>
      </c>
      <c r="F36" s="44">
        <v>2019</v>
      </c>
      <c r="G36" s="18"/>
      <c r="H36" s="17"/>
    </row>
    <row r="37" spans="1:8" customFormat="1" x14ac:dyDescent="0.25">
      <c r="A37" s="3">
        <v>1687</v>
      </c>
      <c r="B37" s="9" t="s">
        <v>69</v>
      </c>
      <c r="C37" s="24">
        <v>3989386.5</v>
      </c>
      <c r="D37" s="9">
        <v>42552</v>
      </c>
      <c r="E37" s="25">
        <v>33</v>
      </c>
      <c r="F37" s="44">
        <v>2019</v>
      </c>
      <c r="G37" s="18"/>
      <c r="H37" s="17"/>
    </row>
    <row r="38" spans="1:8" customFormat="1" x14ac:dyDescent="0.25">
      <c r="A38" s="3">
        <v>1689</v>
      </c>
      <c r="B38" s="9" t="s">
        <v>12</v>
      </c>
      <c r="C38" s="24">
        <v>8400000</v>
      </c>
      <c r="D38" s="9">
        <v>42583</v>
      </c>
      <c r="E38" s="25">
        <v>49</v>
      </c>
      <c r="F38" s="44">
        <v>2016</v>
      </c>
      <c r="G38" s="18"/>
      <c r="H38" s="17"/>
    </row>
    <row r="39" spans="1:8" customFormat="1" x14ac:dyDescent="0.25">
      <c r="A39" s="3">
        <v>1689</v>
      </c>
      <c r="B39" s="9" t="s">
        <v>36</v>
      </c>
      <c r="C39" s="24">
        <v>3052799.9999999995</v>
      </c>
      <c r="D39" s="9">
        <v>42583</v>
      </c>
      <c r="E39" s="25">
        <v>49</v>
      </c>
      <c r="F39" s="44">
        <v>2016</v>
      </c>
      <c r="G39" s="18"/>
      <c r="H39" s="17"/>
    </row>
    <row r="40" spans="1:8" customFormat="1" x14ac:dyDescent="0.25">
      <c r="A40" s="3">
        <v>1689</v>
      </c>
      <c r="B40" s="9" t="s">
        <v>35</v>
      </c>
      <c r="C40" s="24">
        <v>3370799.9999999995</v>
      </c>
      <c r="D40" s="9">
        <v>42583</v>
      </c>
      <c r="E40" s="25">
        <v>37</v>
      </c>
      <c r="F40" s="44">
        <v>2016</v>
      </c>
      <c r="G40" s="18"/>
      <c r="H40" s="17"/>
    </row>
    <row r="41" spans="1:8" customFormat="1" x14ac:dyDescent="0.25">
      <c r="A41" s="3">
        <v>1689</v>
      </c>
      <c r="B41" s="9" t="s">
        <v>39</v>
      </c>
      <c r="C41" s="24">
        <v>3450000</v>
      </c>
      <c r="D41" s="9">
        <v>42583</v>
      </c>
      <c r="E41" s="25">
        <v>37</v>
      </c>
      <c r="F41" s="44">
        <v>2016</v>
      </c>
      <c r="G41" s="18"/>
      <c r="H41" s="17"/>
    </row>
    <row r="42" spans="1:8" customFormat="1" x14ac:dyDescent="0.25">
      <c r="A42" s="3">
        <v>1689</v>
      </c>
      <c r="B42" s="9" t="s">
        <v>26</v>
      </c>
      <c r="C42" s="24">
        <v>4950000</v>
      </c>
      <c r="D42" s="9">
        <v>42583</v>
      </c>
      <c r="E42" s="25">
        <v>25</v>
      </c>
      <c r="F42" s="44">
        <v>2016</v>
      </c>
      <c r="G42" s="18"/>
      <c r="H42" s="17"/>
    </row>
    <row r="43" spans="1:8" customFormat="1" x14ac:dyDescent="0.25">
      <c r="A43" s="3">
        <v>1701</v>
      </c>
      <c r="B43" s="9" t="s">
        <v>19</v>
      </c>
      <c r="C43" s="24">
        <v>3790800.0000000005</v>
      </c>
      <c r="D43" s="9">
        <v>42614</v>
      </c>
      <c r="E43" s="25">
        <v>33</v>
      </c>
      <c r="F43" s="44">
        <v>2016</v>
      </c>
      <c r="G43" s="18"/>
      <c r="H43" s="17"/>
    </row>
    <row r="44" spans="1:8" customFormat="1" x14ac:dyDescent="0.25">
      <c r="A44" s="3">
        <v>1701</v>
      </c>
      <c r="B44" s="9" t="s">
        <v>12</v>
      </c>
      <c r="C44" s="24">
        <v>7500000</v>
      </c>
      <c r="D44" s="9">
        <v>42614</v>
      </c>
      <c r="E44" s="25">
        <v>33</v>
      </c>
      <c r="F44" s="44">
        <v>2016</v>
      </c>
      <c r="G44" s="18"/>
      <c r="H44" s="17"/>
    </row>
    <row r="45" spans="1:8" customFormat="1" x14ac:dyDescent="0.25">
      <c r="A45" s="3">
        <v>1701</v>
      </c>
      <c r="B45" s="9" t="s">
        <v>38</v>
      </c>
      <c r="C45" s="24">
        <v>3338999.9999999995</v>
      </c>
      <c r="D45" s="9">
        <v>42736</v>
      </c>
      <c r="E45" s="25">
        <v>29</v>
      </c>
      <c r="F45" s="44">
        <v>2016</v>
      </c>
      <c r="G45" s="18"/>
      <c r="H45" s="17"/>
    </row>
    <row r="46" spans="1:8" customFormat="1" x14ac:dyDescent="0.25">
      <c r="A46" s="3">
        <v>1701</v>
      </c>
      <c r="B46" s="9" t="s">
        <v>76</v>
      </c>
      <c r="C46" s="24">
        <v>3020999.9999999995</v>
      </c>
      <c r="D46" s="9">
        <v>43466</v>
      </c>
      <c r="E46" s="25">
        <v>13</v>
      </c>
      <c r="F46" s="44">
        <v>2016</v>
      </c>
      <c r="G46" s="18"/>
      <c r="H46" s="17"/>
    </row>
    <row r="47" spans="1:8" customFormat="1" x14ac:dyDescent="0.25">
      <c r="A47" s="3">
        <v>1701</v>
      </c>
      <c r="B47" s="9" t="s">
        <v>16</v>
      </c>
      <c r="C47" s="24">
        <v>3600000</v>
      </c>
      <c r="D47" s="9">
        <v>42614</v>
      </c>
      <c r="E47" s="25">
        <v>21</v>
      </c>
      <c r="F47" s="44">
        <v>2016</v>
      </c>
      <c r="G47" s="18"/>
      <c r="H47" s="17"/>
    </row>
    <row r="48" spans="1:8" customFormat="1" x14ac:dyDescent="0.25">
      <c r="A48" s="3">
        <v>1701</v>
      </c>
      <c r="B48" s="9" t="s">
        <v>39</v>
      </c>
      <c r="C48" s="24">
        <v>3150000</v>
      </c>
      <c r="D48" s="9">
        <v>42614</v>
      </c>
      <c r="E48" s="25">
        <v>29</v>
      </c>
      <c r="F48" s="44">
        <v>2016</v>
      </c>
      <c r="G48" s="18"/>
      <c r="H48" s="17"/>
    </row>
    <row r="49" spans="1:8" customFormat="1" x14ac:dyDescent="0.25">
      <c r="A49" s="3">
        <v>1701</v>
      </c>
      <c r="B49" s="9" t="s">
        <v>14</v>
      </c>
      <c r="C49" s="24">
        <v>5700000</v>
      </c>
      <c r="D49" s="9">
        <v>42614</v>
      </c>
      <c r="E49" s="25">
        <v>20</v>
      </c>
      <c r="F49" s="44">
        <v>2016</v>
      </c>
      <c r="G49" s="18"/>
      <c r="H49" s="17"/>
    </row>
    <row r="50" spans="1:8" customFormat="1" x14ac:dyDescent="0.25">
      <c r="A50" s="3">
        <v>1713</v>
      </c>
      <c r="B50" s="9" t="s">
        <v>19</v>
      </c>
      <c r="C50" s="24">
        <v>3240000</v>
      </c>
      <c r="D50" s="9">
        <v>42614</v>
      </c>
      <c r="E50" s="25">
        <v>1</v>
      </c>
      <c r="F50" s="44">
        <v>2016</v>
      </c>
      <c r="G50" s="18"/>
      <c r="H50" s="17"/>
    </row>
    <row r="51" spans="1:8" customFormat="1" x14ac:dyDescent="0.25">
      <c r="A51" s="3">
        <v>1713</v>
      </c>
      <c r="B51" s="9" t="s">
        <v>81</v>
      </c>
      <c r="C51" s="24">
        <v>4350000</v>
      </c>
      <c r="D51" s="9">
        <v>42614</v>
      </c>
      <c r="E51" s="25">
        <v>1</v>
      </c>
      <c r="F51" s="44">
        <v>2016</v>
      </c>
      <c r="G51" s="18"/>
      <c r="H51" s="17"/>
    </row>
    <row r="52" spans="1:8" customFormat="1" x14ac:dyDescent="0.25">
      <c r="A52" s="3">
        <v>1713</v>
      </c>
      <c r="B52" s="9" t="s">
        <v>19</v>
      </c>
      <c r="C52" s="24">
        <v>2689200</v>
      </c>
      <c r="D52" s="9">
        <v>42644</v>
      </c>
      <c r="E52" s="25">
        <v>19</v>
      </c>
      <c r="F52" s="44">
        <v>2016</v>
      </c>
      <c r="G52" s="18"/>
      <c r="H52" s="17"/>
    </row>
    <row r="53" spans="1:8" customFormat="1" x14ac:dyDescent="0.25">
      <c r="A53" s="3">
        <v>1713</v>
      </c>
      <c r="B53" s="9" t="s">
        <v>83</v>
      </c>
      <c r="C53" s="24">
        <v>9150000</v>
      </c>
      <c r="D53" s="9">
        <v>42644</v>
      </c>
      <c r="E53" s="25">
        <v>19</v>
      </c>
      <c r="F53" s="44">
        <v>2016</v>
      </c>
      <c r="G53" s="18"/>
      <c r="H53" s="17"/>
    </row>
    <row r="54" spans="1:8" customFormat="1" x14ac:dyDescent="0.25">
      <c r="A54" s="3">
        <v>1713</v>
      </c>
      <c r="B54" s="9" t="s">
        <v>84</v>
      </c>
      <c r="C54" s="24">
        <v>6375000</v>
      </c>
      <c r="D54" s="9">
        <v>42644</v>
      </c>
      <c r="E54" s="25">
        <v>9</v>
      </c>
      <c r="F54" s="44">
        <v>2016</v>
      </c>
      <c r="G54" s="18"/>
      <c r="H54" s="17"/>
    </row>
    <row r="55" spans="1:8" customFormat="1" x14ac:dyDescent="0.25">
      <c r="A55" s="3">
        <v>1713</v>
      </c>
      <c r="B55" s="9" t="s">
        <v>86</v>
      </c>
      <c r="C55" s="24">
        <v>5925000</v>
      </c>
      <c r="D55" s="9">
        <v>42644</v>
      </c>
      <c r="E55" s="25">
        <v>15</v>
      </c>
      <c r="F55" s="44">
        <v>2016</v>
      </c>
      <c r="G55" s="18"/>
      <c r="H55" s="17"/>
    </row>
    <row r="56" spans="1:8" customFormat="1" x14ac:dyDescent="0.25">
      <c r="A56" s="3">
        <v>1713</v>
      </c>
      <c r="B56" s="9" t="s">
        <v>87</v>
      </c>
      <c r="C56" s="24">
        <v>4650000</v>
      </c>
      <c r="D56" s="9">
        <v>42644</v>
      </c>
      <c r="E56" s="25">
        <v>18</v>
      </c>
      <c r="F56" s="44">
        <v>2016</v>
      </c>
      <c r="G56" s="18"/>
      <c r="H56" s="17"/>
    </row>
    <row r="57" spans="1:8" customFormat="1" x14ac:dyDescent="0.25">
      <c r="A57" s="3">
        <v>1713</v>
      </c>
      <c r="B57" s="9" t="s">
        <v>88</v>
      </c>
      <c r="C57" s="24">
        <v>4350000</v>
      </c>
      <c r="D57" s="9">
        <v>42644</v>
      </c>
      <c r="E57" s="25">
        <v>15</v>
      </c>
      <c r="F57" s="44">
        <v>2016</v>
      </c>
      <c r="G57" s="18"/>
      <c r="H57" s="17"/>
    </row>
    <row r="58" spans="1:8" customFormat="1" x14ac:dyDescent="0.25">
      <c r="A58" s="3">
        <v>1713</v>
      </c>
      <c r="B58" s="9" t="s">
        <v>35</v>
      </c>
      <c r="C58" s="24">
        <v>3211799.9999999995</v>
      </c>
      <c r="D58" s="9">
        <v>42644</v>
      </c>
      <c r="E58" s="25">
        <v>18</v>
      </c>
      <c r="F58" s="44">
        <v>2016</v>
      </c>
      <c r="G58" s="9"/>
      <c r="H58" s="17"/>
    </row>
    <row r="59" spans="1:8" customFormat="1" x14ac:dyDescent="0.25">
      <c r="A59" s="3">
        <v>1751</v>
      </c>
      <c r="B59" s="9" t="s">
        <v>39</v>
      </c>
      <c r="C59" s="24">
        <v>3580500</v>
      </c>
      <c r="D59" s="9">
        <v>42795</v>
      </c>
      <c r="E59" s="25">
        <v>18</v>
      </c>
      <c r="F59" s="44">
        <v>2017</v>
      </c>
      <c r="G59" s="9"/>
      <c r="H59" s="17"/>
    </row>
    <row r="60" spans="1:8" customFormat="1" x14ac:dyDescent="0.25">
      <c r="A60" s="3">
        <v>1751</v>
      </c>
      <c r="B60" s="9" t="s">
        <v>26</v>
      </c>
      <c r="C60" s="24">
        <v>7587562.5</v>
      </c>
      <c r="D60" s="9">
        <v>42795</v>
      </c>
      <c r="E60" s="25">
        <v>24</v>
      </c>
      <c r="F60" s="44">
        <v>2017</v>
      </c>
      <c r="G60" s="9"/>
      <c r="H60" s="17"/>
    </row>
    <row r="61" spans="1:8" customFormat="1" x14ac:dyDescent="0.25">
      <c r="A61" s="3">
        <v>1758</v>
      </c>
      <c r="B61" s="9" t="s">
        <v>19</v>
      </c>
      <c r="C61" s="24">
        <v>3482627.4000000004</v>
      </c>
      <c r="D61" s="9">
        <v>43009</v>
      </c>
      <c r="E61" s="25">
        <v>27</v>
      </c>
      <c r="F61" s="44">
        <v>2017</v>
      </c>
      <c r="G61" s="9"/>
      <c r="H61" s="17"/>
    </row>
    <row r="62" spans="1:8" customFormat="1" x14ac:dyDescent="0.25">
      <c r="A62" s="3">
        <v>1758</v>
      </c>
      <c r="B62" s="9" t="s">
        <v>12</v>
      </c>
      <c r="C62" s="24">
        <v>11427802.5</v>
      </c>
      <c r="D62" s="9">
        <v>43009</v>
      </c>
      <c r="E62" s="25">
        <v>27</v>
      </c>
      <c r="F62" s="44">
        <v>2017</v>
      </c>
      <c r="G62" s="9"/>
      <c r="H62" s="17"/>
    </row>
    <row r="63" spans="1:8" customFormat="1" x14ac:dyDescent="0.25">
      <c r="A63" s="3">
        <v>1758</v>
      </c>
      <c r="B63" s="9" t="s">
        <v>125</v>
      </c>
      <c r="C63" s="24">
        <v>6354000</v>
      </c>
      <c r="D63" s="9">
        <v>43009</v>
      </c>
      <c r="E63" s="25">
        <v>27</v>
      </c>
      <c r="F63" s="44">
        <v>2017</v>
      </c>
      <c r="G63" s="9"/>
      <c r="H63" s="17"/>
    </row>
    <row r="64" spans="1:8" customFormat="1" x14ac:dyDescent="0.25">
      <c r="A64" s="3">
        <v>1789</v>
      </c>
      <c r="B64" s="9" t="s">
        <v>19</v>
      </c>
      <c r="C64" s="24">
        <v>2727772.2</v>
      </c>
      <c r="D64" s="9">
        <v>43009</v>
      </c>
      <c r="E64" s="25">
        <v>19</v>
      </c>
      <c r="F64" s="44">
        <v>2019</v>
      </c>
      <c r="G64" s="9"/>
      <c r="H64" s="17"/>
    </row>
    <row r="65" spans="1:8" customFormat="1" x14ac:dyDescent="0.25">
      <c r="A65" s="3">
        <v>1789</v>
      </c>
      <c r="B65" s="9" t="s">
        <v>126</v>
      </c>
      <c r="C65" s="24">
        <v>8520078</v>
      </c>
      <c r="D65" s="9">
        <v>43009</v>
      </c>
      <c r="E65" s="25">
        <v>19</v>
      </c>
      <c r="F65" s="44">
        <v>2019</v>
      </c>
      <c r="G65" s="18"/>
      <c r="H65" s="17"/>
    </row>
    <row r="66" spans="1:8" customFormat="1" x14ac:dyDescent="0.25">
      <c r="A66" s="3">
        <v>1789</v>
      </c>
      <c r="B66" s="9" t="s">
        <v>127</v>
      </c>
      <c r="C66" s="24">
        <v>8520078</v>
      </c>
      <c r="D66" s="9">
        <v>43009</v>
      </c>
      <c r="E66" s="25">
        <v>19</v>
      </c>
      <c r="F66" s="44">
        <v>2019</v>
      </c>
      <c r="G66" s="18"/>
      <c r="H66" s="17"/>
    </row>
    <row r="67" spans="1:8" customFormat="1" x14ac:dyDescent="0.25">
      <c r="A67" s="3">
        <v>1789</v>
      </c>
      <c r="B67" s="9" t="s">
        <v>128</v>
      </c>
      <c r="C67" s="24">
        <v>4462096.5</v>
      </c>
      <c r="D67" s="9">
        <v>43009</v>
      </c>
      <c r="E67" s="25">
        <v>19</v>
      </c>
      <c r="F67" s="44">
        <v>2019</v>
      </c>
      <c r="G67" s="18"/>
      <c r="H67" s="17"/>
    </row>
    <row r="68" spans="1:8" customFormat="1" x14ac:dyDescent="0.25">
      <c r="A68" s="3">
        <v>1789</v>
      </c>
      <c r="B68" s="9" t="s">
        <v>39</v>
      </c>
      <c r="C68" s="24">
        <v>3872763</v>
      </c>
      <c r="D68" s="9">
        <v>43009</v>
      </c>
      <c r="E68" s="25">
        <v>19</v>
      </c>
      <c r="F68" s="44">
        <v>2019</v>
      </c>
      <c r="G68" s="18"/>
      <c r="H68" s="17"/>
    </row>
    <row r="69" spans="1:8" customFormat="1" x14ac:dyDescent="0.25">
      <c r="A69" s="3">
        <v>1802</v>
      </c>
      <c r="B69" s="9" t="s">
        <v>12</v>
      </c>
      <c r="C69" s="24">
        <v>10631520</v>
      </c>
      <c r="D69" s="9">
        <v>43070</v>
      </c>
      <c r="E69" s="25">
        <v>21</v>
      </c>
      <c r="F69" s="44">
        <v>2017</v>
      </c>
      <c r="G69" s="18"/>
      <c r="H69" s="17"/>
    </row>
    <row r="70" spans="1:8" customFormat="1" x14ac:dyDescent="0.25">
      <c r="A70" s="3">
        <v>1802</v>
      </c>
      <c r="B70" s="9" t="s">
        <v>38</v>
      </c>
      <c r="C70" s="24">
        <v>3456357.9</v>
      </c>
      <c r="D70" s="9">
        <v>43070</v>
      </c>
      <c r="E70" s="25">
        <v>20</v>
      </c>
      <c r="F70" s="44">
        <v>2017</v>
      </c>
      <c r="G70" s="18"/>
      <c r="H70" s="17"/>
    </row>
    <row r="71" spans="1:8" customFormat="1" x14ac:dyDescent="0.25">
      <c r="A71" s="3">
        <v>1802</v>
      </c>
      <c r="B71" s="9" t="s">
        <v>39</v>
      </c>
      <c r="C71" s="24">
        <v>4808580</v>
      </c>
      <c r="D71" s="9">
        <v>43070</v>
      </c>
      <c r="E71" s="25">
        <v>21</v>
      </c>
      <c r="F71" s="44">
        <v>2017</v>
      </c>
      <c r="G71" s="18"/>
      <c r="H71" s="17"/>
    </row>
    <row r="72" spans="1:8" customFormat="1" x14ac:dyDescent="0.25">
      <c r="A72" s="3">
        <v>1802</v>
      </c>
      <c r="B72" s="9" t="s">
        <v>69</v>
      </c>
      <c r="C72" s="24">
        <v>4333500</v>
      </c>
      <c r="D72" s="9">
        <v>43070</v>
      </c>
      <c r="E72" s="25">
        <v>20</v>
      </c>
      <c r="F72" s="44">
        <v>2017</v>
      </c>
      <c r="G72" s="18"/>
      <c r="H72" s="17"/>
    </row>
    <row r="73" spans="1:8" customFormat="1" x14ac:dyDescent="0.25">
      <c r="A73" s="3">
        <v>1802</v>
      </c>
      <c r="B73" s="9" t="s">
        <v>26</v>
      </c>
      <c r="C73" s="24">
        <v>6580500</v>
      </c>
      <c r="D73" s="9">
        <v>43070</v>
      </c>
      <c r="E73" s="25">
        <v>25</v>
      </c>
      <c r="F73" s="44">
        <v>2017</v>
      </c>
      <c r="G73" s="18"/>
      <c r="H73" s="17"/>
    </row>
    <row r="74" spans="1:8" customFormat="1" x14ac:dyDescent="0.25">
      <c r="A74" s="3">
        <v>1818</v>
      </c>
      <c r="B74" s="9" t="s">
        <v>19</v>
      </c>
      <c r="C74" s="24">
        <v>2844720</v>
      </c>
      <c r="D74" s="9">
        <v>43282</v>
      </c>
      <c r="E74" s="25">
        <v>6</v>
      </c>
      <c r="F74" s="44">
        <v>2017</v>
      </c>
      <c r="G74" s="18"/>
      <c r="H74" s="17"/>
    </row>
    <row r="75" spans="1:8" customFormat="1" x14ac:dyDescent="0.25">
      <c r="A75" s="3">
        <v>1818</v>
      </c>
      <c r="B75" s="9" t="s">
        <v>19</v>
      </c>
      <c r="C75" s="24">
        <v>4267080</v>
      </c>
      <c r="D75" s="9">
        <v>43466</v>
      </c>
      <c r="E75" s="25">
        <v>12</v>
      </c>
      <c r="F75" s="44">
        <v>2017</v>
      </c>
      <c r="G75" s="18"/>
      <c r="H75" s="17"/>
    </row>
    <row r="76" spans="1:8" customFormat="1" x14ac:dyDescent="0.25">
      <c r="A76" s="3">
        <v>1818</v>
      </c>
      <c r="B76" s="9" t="s">
        <v>12</v>
      </c>
      <c r="C76" s="24">
        <v>7575000</v>
      </c>
      <c r="D76" s="9">
        <v>43466</v>
      </c>
      <c r="E76" s="25">
        <v>12</v>
      </c>
      <c r="F76" s="44">
        <v>2017</v>
      </c>
      <c r="G76" s="18"/>
      <c r="H76" s="17"/>
    </row>
    <row r="77" spans="1:8" customFormat="1" x14ac:dyDescent="0.25">
      <c r="A77" s="3">
        <v>1818</v>
      </c>
      <c r="B77" s="9" t="s">
        <v>132</v>
      </c>
      <c r="C77" s="24">
        <v>2137500</v>
      </c>
      <c r="D77" s="9">
        <v>43466</v>
      </c>
      <c r="E77" s="25">
        <v>6</v>
      </c>
      <c r="F77" s="44">
        <v>2017</v>
      </c>
      <c r="G77" s="18"/>
      <c r="H77" s="17"/>
    </row>
    <row r="78" spans="1:8" customFormat="1" x14ac:dyDescent="0.25">
      <c r="A78" s="3">
        <v>1818</v>
      </c>
      <c r="B78" s="9" t="s">
        <v>38</v>
      </c>
      <c r="C78" s="24">
        <v>3434399.9999999995</v>
      </c>
      <c r="D78" s="9">
        <v>43466</v>
      </c>
      <c r="E78" s="25">
        <v>11</v>
      </c>
      <c r="F78" s="44">
        <v>2017</v>
      </c>
      <c r="G78" s="18"/>
      <c r="H78" s="17"/>
    </row>
    <row r="79" spans="1:8" customFormat="1" x14ac:dyDescent="0.25">
      <c r="A79" s="3">
        <v>1818</v>
      </c>
      <c r="B79" s="9" t="s">
        <v>16</v>
      </c>
      <c r="C79" s="24">
        <v>1747500</v>
      </c>
      <c r="D79" s="9">
        <v>43282</v>
      </c>
      <c r="E79" s="25">
        <v>3</v>
      </c>
      <c r="F79" s="44">
        <v>2017</v>
      </c>
      <c r="G79" s="18"/>
      <c r="H79" s="17"/>
    </row>
    <row r="80" spans="1:8" customFormat="1" x14ac:dyDescent="0.25">
      <c r="A80" s="3">
        <v>1818</v>
      </c>
      <c r="B80" s="9" t="s">
        <v>125</v>
      </c>
      <c r="C80" s="24">
        <v>4650000</v>
      </c>
      <c r="D80" s="9">
        <v>43282</v>
      </c>
      <c r="E80" s="25">
        <v>6</v>
      </c>
      <c r="F80" s="44">
        <v>2017</v>
      </c>
      <c r="G80" s="18"/>
      <c r="H80" s="17"/>
    </row>
    <row r="81" spans="1:8" customFormat="1" x14ac:dyDescent="0.25">
      <c r="A81" s="3">
        <v>1818</v>
      </c>
      <c r="B81" s="9" t="s">
        <v>39</v>
      </c>
      <c r="C81" s="24">
        <v>3495000</v>
      </c>
      <c r="D81" s="9">
        <v>43466</v>
      </c>
      <c r="E81" s="25">
        <v>12</v>
      </c>
      <c r="F81" s="44">
        <v>2017</v>
      </c>
      <c r="G81" s="18"/>
      <c r="H81" s="17"/>
    </row>
    <row r="82" spans="1:8" customFormat="1" x14ac:dyDescent="0.25">
      <c r="A82" s="3">
        <v>1829</v>
      </c>
      <c r="B82" s="9" t="s">
        <v>19</v>
      </c>
      <c r="C82" s="24">
        <v>3630167.2800000003</v>
      </c>
      <c r="D82" s="9">
        <v>43160</v>
      </c>
      <c r="E82" s="25">
        <v>28</v>
      </c>
      <c r="F82" s="44">
        <v>2018</v>
      </c>
      <c r="G82" s="18"/>
      <c r="H82" s="17"/>
    </row>
    <row r="83" spans="1:8" customFormat="1" x14ac:dyDescent="0.25">
      <c r="A83" s="3">
        <v>1829</v>
      </c>
      <c r="B83" s="9" t="s">
        <v>139</v>
      </c>
      <c r="C83" s="24">
        <v>7148250</v>
      </c>
      <c r="D83" s="9">
        <v>43160</v>
      </c>
      <c r="E83" s="25">
        <v>27</v>
      </c>
      <c r="F83" s="44">
        <v>2018</v>
      </c>
      <c r="G83" s="18"/>
      <c r="H83" s="17"/>
    </row>
    <row r="84" spans="1:8" customFormat="1" x14ac:dyDescent="0.25">
      <c r="A84" s="3">
        <v>1829</v>
      </c>
      <c r="B84" s="9" t="s">
        <v>12</v>
      </c>
      <c r="C84" s="24">
        <v>16298010</v>
      </c>
      <c r="D84" s="9">
        <v>43160</v>
      </c>
      <c r="E84" s="25">
        <v>28</v>
      </c>
      <c r="F84" s="44">
        <v>2018</v>
      </c>
      <c r="G84" s="18"/>
      <c r="H84" s="17"/>
    </row>
    <row r="85" spans="1:8" customFormat="1" x14ac:dyDescent="0.25">
      <c r="A85" s="3">
        <v>1829</v>
      </c>
      <c r="B85" s="9" t="s">
        <v>140</v>
      </c>
      <c r="C85" s="24">
        <v>5543865</v>
      </c>
      <c r="D85" s="9">
        <v>43160</v>
      </c>
      <c r="E85" s="25">
        <v>22</v>
      </c>
      <c r="F85" s="44">
        <v>2018</v>
      </c>
      <c r="G85" s="18"/>
      <c r="H85" s="17"/>
    </row>
    <row r="86" spans="1:8" customFormat="1" x14ac:dyDescent="0.25">
      <c r="A86" s="3">
        <v>1829</v>
      </c>
      <c r="B86" s="9" t="s">
        <v>142</v>
      </c>
      <c r="C86" s="24">
        <v>3956953.4999999995</v>
      </c>
      <c r="D86" s="9">
        <v>43160</v>
      </c>
      <c r="E86" s="25">
        <v>24</v>
      </c>
      <c r="F86" s="44">
        <v>2018</v>
      </c>
      <c r="G86" s="18"/>
      <c r="H86" s="17"/>
    </row>
    <row r="87" spans="1:8" customFormat="1" x14ac:dyDescent="0.25">
      <c r="A87" s="3">
        <v>1829</v>
      </c>
      <c r="B87" s="9" t="s">
        <v>59</v>
      </c>
      <c r="C87" s="24">
        <v>1588500</v>
      </c>
      <c r="D87" s="9">
        <v>43160</v>
      </c>
      <c r="E87" s="25">
        <v>26</v>
      </c>
      <c r="F87" s="44">
        <v>2018</v>
      </c>
      <c r="G87" s="18"/>
      <c r="H87" s="17"/>
    </row>
    <row r="88" spans="1:8" customFormat="1" x14ac:dyDescent="0.25">
      <c r="A88" s="3">
        <v>1829</v>
      </c>
      <c r="B88" s="9" t="s">
        <v>39</v>
      </c>
      <c r="C88" s="24">
        <v>3701205</v>
      </c>
      <c r="D88" s="9">
        <v>43160</v>
      </c>
      <c r="E88" s="25">
        <v>28</v>
      </c>
      <c r="F88" s="44">
        <v>2018</v>
      </c>
      <c r="G88" s="18"/>
      <c r="H88" s="17"/>
    </row>
    <row r="89" spans="1:8" customFormat="1" x14ac:dyDescent="0.25">
      <c r="A89" s="3">
        <v>1829</v>
      </c>
      <c r="B89" s="9" t="s">
        <v>136</v>
      </c>
      <c r="C89" s="24">
        <v>5718600</v>
      </c>
      <c r="D89" s="9">
        <v>43160</v>
      </c>
      <c r="E89" s="25">
        <v>25</v>
      </c>
      <c r="F89" s="44">
        <v>2018</v>
      </c>
      <c r="G89" s="18"/>
      <c r="H89" s="17"/>
    </row>
    <row r="90" spans="1:8" customFormat="1" x14ac:dyDescent="0.25">
      <c r="A90" s="3">
        <v>1838</v>
      </c>
      <c r="B90" s="9" t="s">
        <v>144</v>
      </c>
      <c r="C90" s="24">
        <v>1170000</v>
      </c>
      <c r="D90" s="9">
        <v>43405</v>
      </c>
      <c r="E90" s="25">
        <v>5</v>
      </c>
      <c r="F90" s="44">
        <v>2017</v>
      </c>
      <c r="G90" s="18"/>
      <c r="H90" s="17"/>
    </row>
    <row r="91" spans="1:8" customFormat="1" x14ac:dyDescent="0.25">
      <c r="A91" s="3">
        <v>1838</v>
      </c>
      <c r="B91" s="9" t="s">
        <v>83</v>
      </c>
      <c r="C91" s="24">
        <v>1024500</v>
      </c>
      <c r="D91" s="9">
        <v>43405</v>
      </c>
      <c r="E91" s="25">
        <v>5</v>
      </c>
      <c r="F91" s="44">
        <v>2017</v>
      </c>
      <c r="G91" s="18"/>
      <c r="H91" s="17"/>
    </row>
    <row r="92" spans="1:8" customFormat="1" x14ac:dyDescent="0.25">
      <c r="A92" s="3">
        <v>1838</v>
      </c>
      <c r="B92" s="9" t="s">
        <v>119</v>
      </c>
      <c r="C92" s="24">
        <v>6900000</v>
      </c>
      <c r="D92" s="9">
        <v>43405</v>
      </c>
      <c r="E92" s="25">
        <v>5</v>
      </c>
      <c r="F92" s="44">
        <v>2017</v>
      </c>
      <c r="G92" s="18"/>
      <c r="H92" s="17"/>
    </row>
    <row r="93" spans="1:8" customFormat="1" x14ac:dyDescent="0.25">
      <c r="A93" s="3">
        <v>1846</v>
      </c>
      <c r="B93" s="9" t="s">
        <v>145</v>
      </c>
      <c r="C93" s="24">
        <v>3600000</v>
      </c>
      <c r="D93" s="9">
        <v>43466</v>
      </c>
      <c r="E93" s="25">
        <v>3</v>
      </c>
      <c r="F93" s="44">
        <v>2018</v>
      </c>
      <c r="G93" s="18"/>
      <c r="H93" s="17"/>
    </row>
    <row r="94" spans="1:8" customFormat="1" x14ac:dyDescent="0.25">
      <c r="A94" s="3">
        <v>1846</v>
      </c>
      <c r="B94" s="9" t="s">
        <v>146</v>
      </c>
      <c r="C94" s="24">
        <v>5589000</v>
      </c>
      <c r="D94" s="9">
        <v>43466</v>
      </c>
      <c r="E94" s="25">
        <v>3</v>
      </c>
      <c r="F94" s="44">
        <v>2018</v>
      </c>
      <c r="G94" s="18"/>
      <c r="H94" s="17"/>
    </row>
    <row r="95" spans="1:8" customFormat="1" x14ac:dyDescent="0.25">
      <c r="A95" s="3">
        <v>1846</v>
      </c>
      <c r="B95" s="9" t="s">
        <v>147</v>
      </c>
      <c r="C95" s="24">
        <v>1462500</v>
      </c>
      <c r="D95" s="9">
        <v>43525</v>
      </c>
      <c r="E95" s="25">
        <v>1</v>
      </c>
      <c r="F95" s="44">
        <v>2018</v>
      </c>
      <c r="G95" s="18"/>
      <c r="H95" s="17"/>
    </row>
    <row r="96" spans="1:8" customFormat="1" x14ac:dyDescent="0.25">
      <c r="A96" s="3">
        <v>1846</v>
      </c>
      <c r="B96" s="9" t="s">
        <v>83</v>
      </c>
      <c r="C96" s="24">
        <v>18630000</v>
      </c>
      <c r="D96" s="9">
        <v>43466</v>
      </c>
      <c r="E96" s="25">
        <v>2</v>
      </c>
      <c r="F96" s="44">
        <v>2018</v>
      </c>
      <c r="G96" s="18"/>
      <c r="H96" s="17"/>
    </row>
    <row r="97" spans="1:8" customFormat="1" x14ac:dyDescent="0.25">
      <c r="A97" s="3">
        <v>1846</v>
      </c>
      <c r="B97" s="9" t="s">
        <v>148</v>
      </c>
      <c r="C97" s="24">
        <v>2700870</v>
      </c>
      <c r="D97" s="9">
        <v>43466</v>
      </c>
      <c r="E97" s="25">
        <v>2</v>
      </c>
      <c r="F97" s="44">
        <v>2018</v>
      </c>
      <c r="G97" s="18"/>
      <c r="H97" s="17"/>
    </row>
    <row r="98" spans="1:8" customFormat="1" x14ac:dyDescent="0.25">
      <c r="A98" s="3">
        <v>1846</v>
      </c>
      <c r="B98" s="9" t="s">
        <v>149</v>
      </c>
      <c r="C98" s="24">
        <v>5589000</v>
      </c>
      <c r="D98" s="9">
        <v>43466</v>
      </c>
      <c r="E98" s="25">
        <v>3</v>
      </c>
      <c r="F98" s="44">
        <v>2018</v>
      </c>
      <c r="G98" s="18"/>
      <c r="H98" s="17"/>
    </row>
    <row r="99" spans="1:8" customFormat="1" x14ac:dyDescent="0.25">
      <c r="A99" s="3">
        <v>1846</v>
      </c>
      <c r="B99" s="9" t="s">
        <v>150</v>
      </c>
      <c r="C99" s="24">
        <v>2410836</v>
      </c>
      <c r="D99" s="9">
        <v>43466</v>
      </c>
      <c r="E99" s="25">
        <v>3</v>
      </c>
      <c r="F99" s="44">
        <v>2018</v>
      </c>
      <c r="G99" s="18"/>
      <c r="H99" s="17"/>
    </row>
    <row r="100" spans="1:8" customFormat="1" x14ac:dyDescent="0.25">
      <c r="A100" s="3">
        <v>1846</v>
      </c>
      <c r="B100" s="9" t="s">
        <v>151</v>
      </c>
      <c r="C100" s="24">
        <v>3600000</v>
      </c>
      <c r="D100" s="9">
        <v>43466</v>
      </c>
      <c r="E100" s="25">
        <v>3</v>
      </c>
      <c r="F100" s="44">
        <v>2018</v>
      </c>
      <c r="G100" s="18"/>
      <c r="H100" s="17"/>
    </row>
    <row r="101" spans="1:8" customFormat="1" x14ac:dyDescent="0.25">
      <c r="A101" s="3">
        <v>1846</v>
      </c>
      <c r="B101" s="9" t="s">
        <v>152</v>
      </c>
      <c r="C101" s="24">
        <v>2070000</v>
      </c>
      <c r="D101" s="9">
        <v>43466</v>
      </c>
      <c r="E101" s="25">
        <v>3</v>
      </c>
      <c r="F101" s="44">
        <v>2018</v>
      </c>
      <c r="G101" s="18"/>
      <c r="H101" s="17"/>
    </row>
    <row r="102" spans="1:8" customFormat="1" x14ac:dyDescent="0.25">
      <c r="A102" s="3">
        <v>1846</v>
      </c>
      <c r="B102" s="9" t="s">
        <v>153</v>
      </c>
      <c r="C102" s="24">
        <v>5200500</v>
      </c>
      <c r="D102" s="9">
        <v>43466</v>
      </c>
      <c r="E102" s="25">
        <v>3</v>
      </c>
      <c r="F102" s="44">
        <v>2018</v>
      </c>
      <c r="G102" s="18"/>
      <c r="H102" s="17"/>
    </row>
    <row r="103" spans="1:8" customFormat="1" x14ac:dyDescent="0.25">
      <c r="A103" s="3">
        <v>1846</v>
      </c>
      <c r="B103" s="9" t="s">
        <v>154</v>
      </c>
      <c r="C103" s="24">
        <v>3060000</v>
      </c>
      <c r="D103" s="9">
        <v>43466</v>
      </c>
      <c r="E103" s="25">
        <v>3</v>
      </c>
      <c r="F103" s="44">
        <v>2018</v>
      </c>
      <c r="G103" s="18"/>
      <c r="H103" s="17"/>
    </row>
    <row r="104" spans="1:8" customFormat="1" x14ac:dyDescent="0.25">
      <c r="A104" s="3">
        <v>1846</v>
      </c>
      <c r="B104" s="9" t="s">
        <v>155</v>
      </c>
      <c r="C104" s="24">
        <v>2070000</v>
      </c>
      <c r="D104" s="9">
        <v>43466</v>
      </c>
      <c r="E104" s="25">
        <v>3</v>
      </c>
      <c r="F104" s="44">
        <v>2018</v>
      </c>
      <c r="G104" s="18"/>
      <c r="H104" s="17"/>
    </row>
    <row r="105" spans="1:8" customFormat="1" x14ac:dyDescent="0.25">
      <c r="A105" s="3">
        <v>1846</v>
      </c>
      <c r="B105" s="9" t="s">
        <v>156</v>
      </c>
      <c r="C105" s="24">
        <v>3600000</v>
      </c>
      <c r="D105" s="9">
        <v>43466</v>
      </c>
      <c r="E105" s="25">
        <v>3</v>
      </c>
      <c r="F105" s="44">
        <v>2018</v>
      </c>
      <c r="G105" s="18"/>
      <c r="H105" s="17"/>
    </row>
    <row r="106" spans="1:8" customFormat="1" x14ac:dyDescent="0.25">
      <c r="A106" s="3">
        <v>1846</v>
      </c>
      <c r="B106" s="9" t="s">
        <v>157</v>
      </c>
      <c r="C106" s="24">
        <v>1800000</v>
      </c>
      <c r="D106" s="9">
        <v>43466</v>
      </c>
      <c r="E106" s="25">
        <v>3</v>
      </c>
      <c r="F106" s="44">
        <v>2018</v>
      </c>
      <c r="G106" s="18"/>
      <c r="H106" s="17"/>
    </row>
    <row r="107" spans="1:8" customFormat="1" x14ac:dyDescent="0.25">
      <c r="A107" s="3">
        <v>1846</v>
      </c>
      <c r="B107" s="9" t="s">
        <v>158</v>
      </c>
      <c r="C107" s="24">
        <v>1205418</v>
      </c>
      <c r="D107" s="9">
        <v>43466</v>
      </c>
      <c r="E107" s="25">
        <v>3</v>
      </c>
      <c r="F107" s="44">
        <v>2018</v>
      </c>
      <c r="G107" s="18"/>
      <c r="H107" s="17"/>
    </row>
    <row r="108" spans="1:8" customFormat="1" x14ac:dyDescent="0.25">
      <c r="A108" s="3">
        <v>1846</v>
      </c>
      <c r="B108" s="9" t="s">
        <v>159</v>
      </c>
      <c r="C108" s="24">
        <v>5550000</v>
      </c>
      <c r="D108" s="9">
        <v>43435</v>
      </c>
      <c r="E108" s="25">
        <v>4</v>
      </c>
      <c r="F108" s="44">
        <v>2018</v>
      </c>
      <c r="G108" s="18"/>
      <c r="H108" s="17"/>
    </row>
    <row r="109" spans="1:8" customFormat="1" x14ac:dyDescent="0.25">
      <c r="A109" s="3">
        <v>1846</v>
      </c>
      <c r="B109" s="9" t="s">
        <v>160</v>
      </c>
      <c r="C109" s="24">
        <v>975000</v>
      </c>
      <c r="D109" s="9">
        <v>43405</v>
      </c>
      <c r="E109" s="25">
        <v>2</v>
      </c>
      <c r="F109" s="44">
        <v>2018</v>
      </c>
      <c r="G109" s="18"/>
      <c r="H109" s="17"/>
    </row>
    <row r="110" spans="1:8" customFormat="1" x14ac:dyDescent="0.25">
      <c r="A110" s="3">
        <v>1846</v>
      </c>
      <c r="B110" s="9" t="s">
        <v>160</v>
      </c>
      <c r="C110" s="24">
        <v>4875000</v>
      </c>
      <c r="D110" s="9">
        <v>43466</v>
      </c>
      <c r="E110" s="25">
        <v>2</v>
      </c>
      <c r="F110" s="44">
        <v>2018</v>
      </c>
      <c r="G110" s="18"/>
      <c r="H110" s="17"/>
    </row>
    <row r="111" spans="1:8" customFormat="1" x14ac:dyDescent="0.25">
      <c r="A111" s="3">
        <v>1846</v>
      </c>
      <c r="B111" s="9" t="s">
        <v>88</v>
      </c>
      <c r="C111" s="24">
        <v>6900000</v>
      </c>
      <c r="D111" s="9">
        <v>43466</v>
      </c>
      <c r="E111" s="25">
        <v>2</v>
      </c>
      <c r="F111" s="44">
        <v>2018</v>
      </c>
      <c r="G111" s="18"/>
      <c r="H111" s="17"/>
    </row>
    <row r="112" spans="1:8" customFormat="1" x14ac:dyDescent="0.25">
      <c r="A112" s="3">
        <v>1846</v>
      </c>
      <c r="B112" s="9" t="s">
        <v>161</v>
      </c>
      <c r="C112" s="24">
        <v>4875000</v>
      </c>
      <c r="D112" s="9">
        <v>43466</v>
      </c>
      <c r="E112" s="25">
        <v>2</v>
      </c>
      <c r="F112" s="44">
        <v>2018</v>
      </c>
      <c r="G112" s="18"/>
      <c r="H112" s="17"/>
    </row>
    <row r="113" spans="1:8" customFormat="1" x14ac:dyDescent="0.25">
      <c r="A113" s="3">
        <v>1856</v>
      </c>
      <c r="B113" s="9" t="s">
        <v>12</v>
      </c>
      <c r="C113" s="24">
        <v>9438099</v>
      </c>
      <c r="D113" s="9">
        <v>43282</v>
      </c>
      <c r="E113" s="25">
        <v>32</v>
      </c>
      <c r="F113" s="44">
        <v>2018</v>
      </c>
      <c r="G113" s="18"/>
      <c r="H113" s="17"/>
    </row>
    <row r="114" spans="1:8" customFormat="1" x14ac:dyDescent="0.25">
      <c r="A114" s="3">
        <v>1856</v>
      </c>
      <c r="B114" s="9" t="s">
        <v>162</v>
      </c>
      <c r="C114" s="24">
        <v>4780586.22</v>
      </c>
      <c r="D114" s="9">
        <v>43282</v>
      </c>
      <c r="E114" s="25">
        <v>31</v>
      </c>
      <c r="F114" s="44">
        <v>2018</v>
      </c>
      <c r="G114" s="18"/>
      <c r="H114" s="17"/>
    </row>
    <row r="115" spans="1:8" customFormat="1" x14ac:dyDescent="0.25">
      <c r="A115" s="3">
        <v>1856</v>
      </c>
      <c r="B115" s="9" t="s">
        <v>76</v>
      </c>
      <c r="C115" s="24">
        <v>4057838.9999999995</v>
      </c>
      <c r="D115" s="9">
        <v>43282</v>
      </c>
      <c r="E115" s="25">
        <v>14</v>
      </c>
      <c r="F115" s="44">
        <v>2018</v>
      </c>
      <c r="G115" s="18"/>
      <c r="H115" s="17"/>
    </row>
    <row r="116" spans="1:8" customFormat="1" x14ac:dyDescent="0.25">
      <c r="A116" s="3">
        <v>1856</v>
      </c>
      <c r="B116" s="9" t="s">
        <v>163</v>
      </c>
      <c r="C116" s="24">
        <v>3794542.9499999997</v>
      </c>
      <c r="D116" s="9">
        <v>43282</v>
      </c>
      <c r="E116" s="25">
        <v>7</v>
      </c>
      <c r="F116" s="44">
        <v>2018</v>
      </c>
      <c r="G116" s="18"/>
      <c r="H116" s="17"/>
    </row>
    <row r="117" spans="1:8" customFormat="1" x14ac:dyDescent="0.25">
      <c r="A117" s="3">
        <v>1856</v>
      </c>
      <c r="B117" s="9" t="s">
        <v>39</v>
      </c>
      <c r="C117" s="24">
        <v>4005511.5</v>
      </c>
      <c r="D117" s="9">
        <v>43405</v>
      </c>
      <c r="E117" s="25">
        <v>27</v>
      </c>
      <c r="F117" s="44">
        <v>2018</v>
      </c>
      <c r="G117" s="18"/>
      <c r="H117" s="17"/>
    </row>
    <row r="118" spans="1:8" customFormat="1" x14ac:dyDescent="0.25">
      <c r="A118" s="3">
        <v>1856</v>
      </c>
      <c r="B118" s="9" t="s">
        <v>26</v>
      </c>
      <c r="C118" s="24">
        <v>6137779.5</v>
      </c>
      <c r="D118" s="9">
        <v>43556</v>
      </c>
      <c r="E118" s="25">
        <v>22</v>
      </c>
      <c r="F118" s="44">
        <v>2018</v>
      </c>
      <c r="G118" s="18"/>
      <c r="H118" s="17"/>
    </row>
    <row r="119" spans="1:8" customFormat="1" x14ac:dyDescent="0.25">
      <c r="A119" s="3">
        <v>1860</v>
      </c>
      <c r="B119" s="9" t="s">
        <v>19</v>
      </c>
      <c r="C119" s="24">
        <v>1814400.0000000002</v>
      </c>
      <c r="D119" s="9">
        <v>43313</v>
      </c>
      <c r="E119" s="25">
        <v>33</v>
      </c>
      <c r="F119" s="44">
        <v>2018</v>
      </c>
      <c r="G119" s="18"/>
      <c r="H119" s="17"/>
    </row>
    <row r="120" spans="1:8" customFormat="1" x14ac:dyDescent="0.25">
      <c r="A120" s="3">
        <v>1860</v>
      </c>
      <c r="B120" s="9" t="s">
        <v>76</v>
      </c>
      <c r="C120" s="24">
        <v>3736499.9999999995</v>
      </c>
      <c r="D120" s="9">
        <v>44044</v>
      </c>
      <c r="E120" s="25">
        <v>12</v>
      </c>
      <c r="F120" s="44">
        <v>2018</v>
      </c>
      <c r="G120" s="18"/>
      <c r="H120" s="17"/>
    </row>
    <row r="121" spans="1:8" customFormat="1" x14ac:dyDescent="0.25">
      <c r="A121" s="3">
        <v>1860</v>
      </c>
      <c r="B121" s="9" t="s">
        <v>162</v>
      </c>
      <c r="C121" s="24">
        <v>4531500</v>
      </c>
      <c r="D121" s="9">
        <v>43344</v>
      </c>
      <c r="E121" s="25">
        <v>31</v>
      </c>
      <c r="F121" s="44">
        <v>2018</v>
      </c>
      <c r="G121" s="18"/>
      <c r="H121" s="17"/>
    </row>
    <row r="122" spans="1:8" customFormat="1" x14ac:dyDescent="0.25">
      <c r="A122" s="3">
        <v>1860</v>
      </c>
      <c r="B122" s="9" t="s">
        <v>26</v>
      </c>
      <c r="C122" s="24">
        <v>5700000</v>
      </c>
      <c r="D122" s="9">
        <v>43313</v>
      </c>
      <c r="E122" s="25">
        <v>33</v>
      </c>
      <c r="F122" s="44">
        <v>2018</v>
      </c>
      <c r="G122" s="18"/>
      <c r="H122" s="17"/>
    </row>
    <row r="123" spans="1:8" customFormat="1" x14ac:dyDescent="0.25">
      <c r="A123" s="3">
        <v>1861</v>
      </c>
      <c r="B123" s="9" t="s">
        <v>137</v>
      </c>
      <c r="C123" s="24">
        <v>834750</v>
      </c>
      <c r="D123" s="9">
        <v>43374</v>
      </c>
      <c r="E123" s="25">
        <v>2</v>
      </c>
      <c r="F123" s="44">
        <v>2019</v>
      </c>
      <c r="G123" s="18"/>
      <c r="H123" s="17"/>
    </row>
    <row r="124" spans="1:8" customFormat="1" x14ac:dyDescent="0.25">
      <c r="A124" s="3">
        <v>1861</v>
      </c>
      <c r="B124" s="9" t="s">
        <v>31</v>
      </c>
      <c r="C124" s="24">
        <v>819000</v>
      </c>
      <c r="D124" s="9">
        <v>43344</v>
      </c>
      <c r="E124" s="25">
        <v>2</v>
      </c>
      <c r="F124" s="44">
        <v>2019</v>
      </c>
      <c r="G124" s="18"/>
      <c r="H124" s="17"/>
    </row>
    <row r="125" spans="1:8" customFormat="1" x14ac:dyDescent="0.25">
      <c r="A125" s="3">
        <v>1861</v>
      </c>
      <c r="B125" s="9" t="s">
        <v>32</v>
      </c>
      <c r="C125" s="24">
        <v>759150</v>
      </c>
      <c r="D125" s="9">
        <v>43344</v>
      </c>
      <c r="E125" s="25">
        <v>2</v>
      </c>
      <c r="F125" s="44">
        <v>2019</v>
      </c>
      <c r="G125" s="18"/>
      <c r="H125" s="17"/>
    </row>
    <row r="126" spans="1:8" customFormat="1" x14ac:dyDescent="0.25">
      <c r="A126" s="3">
        <v>1861</v>
      </c>
      <c r="B126" s="9" t="s">
        <v>165</v>
      </c>
      <c r="C126" s="24">
        <v>3937500</v>
      </c>
      <c r="D126" s="9">
        <v>43344</v>
      </c>
      <c r="E126" s="25">
        <v>2</v>
      </c>
      <c r="F126" s="44">
        <v>2019</v>
      </c>
      <c r="G126" s="18"/>
      <c r="H126" s="17"/>
    </row>
    <row r="127" spans="1:8" customFormat="1" x14ac:dyDescent="0.25">
      <c r="A127" s="3">
        <v>1861</v>
      </c>
      <c r="B127" s="9" t="s">
        <v>19</v>
      </c>
      <c r="C127" s="24">
        <v>5985819</v>
      </c>
      <c r="D127" s="9">
        <v>43344</v>
      </c>
      <c r="E127" s="25">
        <v>2</v>
      </c>
      <c r="F127" s="44">
        <v>2019</v>
      </c>
      <c r="G127" s="18"/>
      <c r="H127" s="17"/>
    </row>
    <row r="128" spans="1:8" customFormat="1" x14ac:dyDescent="0.25">
      <c r="A128" s="3">
        <v>1861</v>
      </c>
      <c r="B128" s="9" t="s">
        <v>166</v>
      </c>
      <c r="C128" s="24">
        <v>5768028</v>
      </c>
      <c r="D128" s="9">
        <v>43435</v>
      </c>
      <c r="E128" s="25">
        <v>24</v>
      </c>
      <c r="F128" s="44">
        <v>2019</v>
      </c>
      <c r="G128" s="18"/>
      <c r="H128" s="17"/>
    </row>
    <row r="129" spans="1:8" customFormat="1" x14ac:dyDescent="0.25">
      <c r="A129" s="3">
        <v>1861</v>
      </c>
      <c r="B129" s="9" t="s">
        <v>166</v>
      </c>
      <c r="C129" s="24">
        <v>5853202.4250000007</v>
      </c>
      <c r="D129" s="9">
        <v>43435</v>
      </c>
      <c r="E129" s="25">
        <v>18</v>
      </c>
      <c r="F129" s="44">
        <v>2019</v>
      </c>
      <c r="G129" s="18"/>
      <c r="H129" s="17"/>
    </row>
    <row r="130" spans="1:8" customFormat="1" x14ac:dyDescent="0.25">
      <c r="A130" s="3">
        <v>1861</v>
      </c>
      <c r="B130" s="9" t="s">
        <v>12</v>
      </c>
      <c r="C130" s="24">
        <v>11280052.350000001</v>
      </c>
      <c r="D130" s="9">
        <v>43344</v>
      </c>
      <c r="E130" s="25">
        <v>25</v>
      </c>
      <c r="F130" s="44">
        <v>2019</v>
      </c>
      <c r="G130" s="18"/>
      <c r="H130" s="17"/>
    </row>
    <row r="131" spans="1:8" customFormat="1" x14ac:dyDescent="0.25">
      <c r="A131" s="3">
        <v>1861</v>
      </c>
      <c r="B131" s="9" t="s">
        <v>167</v>
      </c>
      <c r="C131" s="24">
        <v>4765579.4024999999</v>
      </c>
      <c r="D131" s="9">
        <v>43435</v>
      </c>
      <c r="E131" s="25">
        <v>24</v>
      </c>
      <c r="F131" s="44">
        <v>2019</v>
      </c>
      <c r="G131" s="18"/>
      <c r="H131" s="17"/>
    </row>
    <row r="132" spans="1:8" customFormat="1" x14ac:dyDescent="0.25">
      <c r="A132" s="3">
        <v>1861</v>
      </c>
      <c r="B132" s="9" t="s">
        <v>167</v>
      </c>
      <c r="C132" s="24">
        <v>6204394.5704999994</v>
      </c>
      <c r="D132" s="9">
        <v>43435</v>
      </c>
      <c r="E132" s="25">
        <v>18</v>
      </c>
      <c r="F132" s="44">
        <v>2019</v>
      </c>
      <c r="G132" s="18"/>
      <c r="H132" s="17"/>
    </row>
    <row r="133" spans="1:8" customFormat="1" x14ac:dyDescent="0.25">
      <c r="A133" s="3">
        <v>1861</v>
      </c>
      <c r="B133" s="9" t="s">
        <v>168</v>
      </c>
      <c r="C133" s="24">
        <v>4314814.4024999999</v>
      </c>
      <c r="D133" s="9">
        <v>43435</v>
      </c>
      <c r="E133" s="25">
        <v>24</v>
      </c>
      <c r="F133" s="44">
        <v>2019</v>
      </c>
      <c r="G133" s="18"/>
      <c r="H133" s="17"/>
    </row>
    <row r="134" spans="1:8" customFormat="1" x14ac:dyDescent="0.25">
      <c r="A134" s="3">
        <v>1861</v>
      </c>
      <c r="B134" s="9" t="s">
        <v>168</v>
      </c>
      <c r="C134" s="24">
        <v>4363154.7749999994</v>
      </c>
      <c r="D134" s="9">
        <v>43435</v>
      </c>
      <c r="E134" s="25">
        <v>13</v>
      </c>
      <c r="F134" s="44">
        <v>2019</v>
      </c>
      <c r="G134" s="18"/>
      <c r="H134" s="17"/>
    </row>
    <row r="135" spans="1:8" customFormat="1" x14ac:dyDescent="0.25">
      <c r="A135" s="3">
        <v>1861</v>
      </c>
      <c r="B135" s="9" t="s">
        <v>29</v>
      </c>
      <c r="C135" s="24">
        <v>2740500</v>
      </c>
      <c r="D135" s="9">
        <v>43344</v>
      </c>
      <c r="E135" s="25">
        <v>2</v>
      </c>
      <c r="F135" s="44">
        <v>2019</v>
      </c>
      <c r="G135" s="18"/>
      <c r="H135" s="17"/>
    </row>
    <row r="136" spans="1:8" customFormat="1" x14ac:dyDescent="0.25">
      <c r="A136" s="3">
        <v>1861</v>
      </c>
      <c r="B136" s="9" t="s">
        <v>29</v>
      </c>
      <c r="C136" s="24">
        <v>5731070.625</v>
      </c>
      <c r="D136" s="9">
        <v>43435</v>
      </c>
      <c r="E136" s="25">
        <v>20</v>
      </c>
      <c r="F136" s="44">
        <v>2019</v>
      </c>
      <c r="G136" s="18"/>
      <c r="H136" s="17"/>
    </row>
    <row r="137" spans="1:8" customFormat="1" x14ac:dyDescent="0.25">
      <c r="A137" s="3">
        <v>1861</v>
      </c>
      <c r="B137" s="9" t="s">
        <v>169</v>
      </c>
      <c r="C137" s="24">
        <v>7182000</v>
      </c>
      <c r="D137" s="9">
        <v>43344</v>
      </c>
      <c r="E137" s="25">
        <v>2</v>
      </c>
      <c r="F137" s="44">
        <v>2019</v>
      </c>
      <c r="G137" s="18"/>
      <c r="H137" s="17"/>
    </row>
    <row r="138" spans="1:8" customFormat="1" x14ac:dyDescent="0.25">
      <c r="A138" s="3">
        <v>1861</v>
      </c>
      <c r="B138" s="9" t="s">
        <v>98</v>
      </c>
      <c r="C138" s="24">
        <v>2740500</v>
      </c>
      <c r="D138" s="9">
        <v>43344</v>
      </c>
      <c r="E138" s="25">
        <v>2</v>
      </c>
      <c r="F138" s="44">
        <v>2019</v>
      </c>
      <c r="G138" s="18"/>
      <c r="H138" s="17"/>
    </row>
    <row r="139" spans="1:8" customFormat="1" x14ac:dyDescent="0.25">
      <c r="A139" s="3">
        <v>1861</v>
      </c>
      <c r="B139" s="9" t="s">
        <v>170</v>
      </c>
      <c r="C139" s="24">
        <v>5735067.9750000006</v>
      </c>
      <c r="D139" s="9">
        <v>43435</v>
      </c>
      <c r="E139" s="25">
        <v>24</v>
      </c>
      <c r="F139" s="44">
        <v>2019</v>
      </c>
      <c r="G139" s="18"/>
      <c r="H139" s="17"/>
    </row>
    <row r="140" spans="1:8" customFormat="1" x14ac:dyDescent="0.25">
      <c r="A140" s="3">
        <v>1861</v>
      </c>
      <c r="B140" s="9" t="s">
        <v>39</v>
      </c>
      <c r="C140" s="24">
        <v>5532675.75</v>
      </c>
      <c r="D140" s="9">
        <v>43435</v>
      </c>
      <c r="E140" s="25">
        <v>25</v>
      </c>
      <c r="F140" s="44">
        <v>2019</v>
      </c>
      <c r="G140" s="18"/>
      <c r="H140" s="17"/>
    </row>
    <row r="141" spans="1:8" customFormat="1" x14ac:dyDescent="0.25">
      <c r="A141" s="3">
        <v>1861</v>
      </c>
      <c r="B141" s="9" t="s">
        <v>171</v>
      </c>
      <c r="C141" s="24">
        <v>6478130.9250000007</v>
      </c>
      <c r="D141" s="9">
        <v>43435</v>
      </c>
      <c r="E141" s="25">
        <v>24</v>
      </c>
      <c r="F141" s="44">
        <v>2019</v>
      </c>
      <c r="G141" s="18"/>
      <c r="H141" s="17"/>
    </row>
    <row r="142" spans="1:8" customFormat="1" x14ac:dyDescent="0.25">
      <c r="A142" s="3">
        <v>1861</v>
      </c>
      <c r="B142" s="9" t="s">
        <v>171</v>
      </c>
      <c r="C142" s="24">
        <v>6478130.9250000007</v>
      </c>
      <c r="D142" s="9">
        <v>43435</v>
      </c>
      <c r="E142" s="25">
        <v>24</v>
      </c>
      <c r="F142" s="44">
        <v>2019</v>
      </c>
      <c r="G142" s="18"/>
      <c r="H142" s="17"/>
    </row>
    <row r="143" spans="1:8" customFormat="1" x14ac:dyDescent="0.25">
      <c r="A143" s="3">
        <v>1873</v>
      </c>
      <c r="B143" s="9" t="s">
        <v>19</v>
      </c>
      <c r="C143" s="24">
        <v>2673000</v>
      </c>
      <c r="D143" s="9">
        <v>43282</v>
      </c>
      <c r="E143" s="25">
        <v>17</v>
      </c>
      <c r="F143" s="44">
        <v>2018</v>
      </c>
      <c r="G143" s="18"/>
      <c r="H143" s="17"/>
    </row>
    <row r="144" spans="1:8" customFormat="1" x14ac:dyDescent="0.25">
      <c r="A144" s="3">
        <v>1873</v>
      </c>
      <c r="B144" s="9" t="s">
        <v>26</v>
      </c>
      <c r="C144" s="24">
        <v>5100000</v>
      </c>
      <c r="D144" s="9">
        <v>43282</v>
      </c>
      <c r="E144" s="25">
        <v>17</v>
      </c>
      <c r="F144" s="44">
        <v>2018</v>
      </c>
      <c r="G144" s="18"/>
      <c r="H144" s="17"/>
    </row>
    <row r="145" spans="1:8" customFormat="1" x14ac:dyDescent="0.25">
      <c r="A145" s="3">
        <v>1873</v>
      </c>
      <c r="B145" s="9" t="s">
        <v>38</v>
      </c>
      <c r="C145" s="24">
        <v>3927299.9999999995</v>
      </c>
      <c r="D145" s="9">
        <v>43313</v>
      </c>
      <c r="E145" s="25">
        <v>13</v>
      </c>
      <c r="F145" s="44">
        <v>2018</v>
      </c>
      <c r="G145" s="18"/>
      <c r="H145" s="17"/>
    </row>
    <row r="146" spans="1:8" customFormat="1" x14ac:dyDescent="0.25">
      <c r="A146" s="3">
        <v>1873</v>
      </c>
      <c r="B146" s="9" t="s">
        <v>172</v>
      </c>
      <c r="C146" s="24">
        <v>3927301.59</v>
      </c>
      <c r="D146" s="9">
        <v>43313</v>
      </c>
      <c r="E146" s="25">
        <v>7</v>
      </c>
      <c r="F146" s="44">
        <v>2018</v>
      </c>
      <c r="G146" s="18"/>
      <c r="H146" s="17"/>
    </row>
    <row r="147" spans="1:8" customFormat="1" x14ac:dyDescent="0.25">
      <c r="A147" s="3">
        <v>1874</v>
      </c>
      <c r="B147" s="9" t="s">
        <v>173</v>
      </c>
      <c r="C147" s="24">
        <v>9919999.5</v>
      </c>
      <c r="D147" s="9">
        <v>43344</v>
      </c>
      <c r="E147" s="25">
        <v>14</v>
      </c>
      <c r="F147" s="44">
        <v>2018</v>
      </c>
      <c r="G147" s="18"/>
      <c r="H147" s="17"/>
    </row>
    <row r="148" spans="1:8" customFormat="1" x14ac:dyDescent="0.25">
      <c r="A148" s="3">
        <v>1874</v>
      </c>
      <c r="B148" s="9" t="s">
        <v>123</v>
      </c>
      <c r="C148" s="24">
        <v>6864000</v>
      </c>
      <c r="D148" s="9">
        <v>43344</v>
      </c>
      <c r="E148" s="25">
        <v>12</v>
      </c>
      <c r="F148" s="44">
        <v>2018</v>
      </c>
      <c r="G148" s="18"/>
      <c r="H148" s="17"/>
    </row>
    <row r="149" spans="1:8" customFormat="1" x14ac:dyDescent="0.25">
      <c r="A149" s="3">
        <v>1874</v>
      </c>
      <c r="B149" s="9" t="s">
        <v>174</v>
      </c>
      <c r="C149" s="24">
        <v>4635000</v>
      </c>
      <c r="D149" s="9">
        <v>43344</v>
      </c>
      <c r="E149" s="25">
        <v>12</v>
      </c>
      <c r="F149" s="44">
        <v>2018</v>
      </c>
      <c r="G149" s="18"/>
      <c r="H149" s="17"/>
    </row>
    <row r="150" spans="1:8" customFormat="1" x14ac:dyDescent="0.25">
      <c r="A150" s="3">
        <v>1874</v>
      </c>
      <c r="B150" s="9" t="s">
        <v>175</v>
      </c>
      <c r="C150" s="24">
        <v>3729610.53</v>
      </c>
      <c r="D150" s="9">
        <v>43344</v>
      </c>
      <c r="E150" s="25">
        <v>14</v>
      </c>
      <c r="F150" s="44">
        <v>2018</v>
      </c>
      <c r="G150" s="18"/>
      <c r="H150" s="17"/>
    </row>
    <row r="151" spans="1:8" customFormat="1" x14ac:dyDescent="0.25">
      <c r="A151" s="3">
        <v>1861</v>
      </c>
      <c r="B151" s="9" t="s">
        <v>19</v>
      </c>
      <c r="C151" s="24">
        <v>6263286.4602000006</v>
      </c>
      <c r="D151" s="9">
        <v>43344</v>
      </c>
      <c r="E151" s="25">
        <v>24</v>
      </c>
      <c r="F151" s="44">
        <v>2019</v>
      </c>
      <c r="G151" s="18"/>
      <c r="H151" s="17"/>
    </row>
    <row r="152" spans="1:8" customFormat="1" x14ac:dyDescent="0.25">
      <c r="A152" s="3">
        <v>1861</v>
      </c>
      <c r="B152" s="9" t="s">
        <v>165</v>
      </c>
      <c r="C152" s="24">
        <v>4120018.875</v>
      </c>
      <c r="D152" s="9">
        <v>43435</v>
      </c>
      <c r="E152" s="25">
        <v>24</v>
      </c>
      <c r="F152" s="44">
        <v>2019</v>
      </c>
      <c r="G152" s="18"/>
      <c r="H152" s="17"/>
    </row>
    <row r="153" spans="1:8" customFormat="1" x14ac:dyDescent="0.25">
      <c r="A153" s="3">
        <v>1881</v>
      </c>
      <c r="B153" s="9" t="s">
        <v>119</v>
      </c>
      <c r="C153" s="24">
        <v>6237994.5</v>
      </c>
      <c r="D153" s="9">
        <v>43344</v>
      </c>
      <c r="E153" s="25">
        <v>23</v>
      </c>
      <c r="F153" s="44">
        <v>2018</v>
      </c>
      <c r="G153" s="18"/>
      <c r="H153" s="17"/>
    </row>
    <row r="154" spans="1:8" customFormat="1" x14ac:dyDescent="0.25">
      <c r="A154" s="3">
        <v>1881</v>
      </c>
      <c r="B154" s="9" t="s">
        <v>135</v>
      </c>
      <c r="C154" s="24">
        <v>3791816.0999999996</v>
      </c>
      <c r="D154" s="9">
        <v>43344</v>
      </c>
      <c r="E154" s="25">
        <v>23</v>
      </c>
      <c r="F154" s="44">
        <v>2018</v>
      </c>
      <c r="G154" s="18"/>
      <c r="H154" s="17"/>
    </row>
    <row r="155" spans="1:8" customFormat="1" x14ac:dyDescent="0.25">
      <c r="A155" s="3">
        <v>1880</v>
      </c>
      <c r="B155" s="9" t="s">
        <v>19</v>
      </c>
      <c r="C155" s="24">
        <v>2560560.0120000001</v>
      </c>
      <c r="D155" s="9">
        <v>43374</v>
      </c>
      <c r="E155" s="25">
        <v>7</v>
      </c>
      <c r="F155" s="44">
        <v>2017</v>
      </c>
      <c r="G155" s="18"/>
      <c r="H155" s="17"/>
    </row>
    <row r="156" spans="1:8" customFormat="1" x14ac:dyDescent="0.25">
      <c r="A156" s="3">
        <v>1880</v>
      </c>
      <c r="B156" s="9" t="s">
        <v>26</v>
      </c>
      <c r="C156" s="24">
        <v>5522400</v>
      </c>
      <c r="D156" s="9">
        <v>43374</v>
      </c>
      <c r="E156" s="25">
        <v>9</v>
      </c>
      <c r="F156" s="44">
        <v>2017</v>
      </c>
      <c r="G156" s="18"/>
      <c r="H156" s="17"/>
    </row>
    <row r="157" spans="1:8" customFormat="1" x14ac:dyDescent="0.25">
      <c r="A157" s="3">
        <v>1880</v>
      </c>
      <c r="B157" s="9" t="s">
        <v>59</v>
      </c>
      <c r="C157" s="24">
        <v>3596448.6455040006</v>
      </c>
      <c r="D157" s="9">
        <v>43374</v>
      </c>
      <c r="E157" s="25">
        <v>8</v>
      </c>
      <c r="F157" s="44">
        <v>2017</v>
      </c>
      <c r="G157" s="18"/>
      <c r="H157" s="17"/>
    </row>
    <row r="158" spans="1:8" customFormat="1" x14ac:dyDescent="0.25">
      <c r="A158" s="3">
        <v>1880</v>
      </c>
      <c r="B158" s="9" t="s">
        <v>35</v>
      </c>
      <c r="C158" s="24">
        <v>2901207.8099999996</v>
      </c>
      <c r="D158" s="9">
        <v>43374</v>
      </c>
      <c r="E158" s="25">
        <v>7</v>
      </c>
      <c r="F158" s="44">
        <v>2017</v>
      </c>
      <c r="G158" s="18"/>
      <c r="H158" s="17"/>
    </row>
    <row r="159" spans="1:8" customFormat="1" x14ac:dyDescent="0.25">
      <c r="A159" s="3">
        <v>1880</v>
      </c>
      <c r="B159" s="9" t="s">
        <v>35</v>
      </c>
      <c r="C159" s="24">
        <v>3108437.28</v>
      </c>
      <c r="D159" s="9">
        <v>43374</v>
      </c>
      <c r="E159" s="25">
        <v>5</v>
      </c>
      <c r="F159" s="44">
        <v>2017</v>
      </c>
      <c r="G159" s="18"/>
      <c r="H159" s="17"/>
    </row>
    <row r="160" spans="1:8" customFormat="1" x14ac:dyDescent="0.25">
      <c r="A160" s="3">
        <v>1877</v>
      </c>
      <c r="B160" s="9" t="s">
        <v>12</v>
      </c>
      <c r="C160" s="24">
        <v>10631520</v>
      </c>
      <c r="D160" s="9">
        <v>43374</v>
      </c>
      <c r="E160" s="25">
        <v>18</v>
      </c>
      <c r="F160" s="44">
        <v>2018</v>
      </c>
      <c r="G160" s="18"/>
      <c r="H160" s="17"/>
    </row>
    <row r="161" spans="1:8" customFormat="1" x14ac:dyDescent="0.25">
      <c r="A161" s="3">
        <v>1877</v>
      </c>
      <c r="B161" s="9" t="s">
        <v>176</v>
      </c>
      <c r="C161" s="24">
        <v>6580500</v>
      </c>
      <c r="D161" s="9">
        <v>43374</v>
      </c>
      <c r="E161" s="25">
        <v>15</v>
      </c>
      <c r="F161" s="44">
        <v>2018</v>
      </c>
      <c r="G161" s="18"/>
      <c r="H161" s="17"/>
    </row>
    <row r="162" spans="1:8" customFormat="1" x14ac:dyDescent="0.25">
      <c r="A162" s="3">
        <v>1877</v>
      </c>
      <c r="B162" s="9" t="s">
        <v>177</v>
      </c>
      <c r="C162" s="24">
        <v>6580500</v>
      </c>
      <c r="D162" s="9">
        <v>43374</v>
      </c>
      <c r="E162" s="25">
        <v>13</v>
      </c>
      <c r="F162" s="44">
        <v>2018</v>
      </c>
      <c r="G162" s="18"/>
      <c r="H162" s="17"/>
    </row>
    <row r="163" spans="1:8" customFormat="1" x14ac:dyDescent="0.25">
      <c r="A163" s="3">
        <v>1877</v>
      </c>
      <c r="B163" s="9" t="s">
        <v>39</v>
      </c>
      <c r="C163" s="24">
        <v>4808580</v>
      </c>
      <c r="D163" s="9">
        <v>43374</v>
      </c>
      <c r="E163" s="25">
        <v>18</v>
      </c>
      <c r="F163" s="44">
        <v>2018</v>
      </c>
      <c r="G163" s="18"/>
      <c r="H163" s="17"/>
    </row>
    <row r="164" spans="1:8" customFormat="1" x14ac:dyDescent="0.25">
      <c r="A164" s="3">
        <v>1877</v>
      </c>
      <c r="B164" s="9" t="s">
        <v>178</v>
      </c>
      <c r="C164" s="24">
        <v>4333500</v>
      </c>
      <c r="D164" s="9">
        <v>43374</v>
      </c>
      <c r="E164" s="25">
        <v>18</v>
      </c>
      <c r="F164" s="44">
        <v>2018</v>
      </c>
      <c r="G164" s="18"/>
      <c r="H164" s="17"/>
    </row>
    <row r="165" spans="1:8" customFormat="1" x14ac:dyDescent="0.25">
      <c r="A165" s="3">
        <v>1877</v>
      </c>
      <c r="B165" s="9" t="s">
        <v>41</v>
      </c>
      <c r="C165" s="24">
        <v>8883675</v>
      </c>
      <c r="D165" s="9">
        <v>43374</v>
      </c>
      <c r="E165" s="25">
        <v>11</v>
      </c>
      <c r="F165" s="44">
        <v>2018</v>
      </c>
      <c r="G165" s="18"/>
      <c r="H165" s="17"/>
    </row>
    <row r="166" spans="1:8" customFormat="1" x14ac:dyDescent="0.25">
      <c r="A166" s="3">
        <v>1877</v>
      </c>
      <c r="B166" s="9" t="s">
        <v>179</v>
      </c>
      <c r="C166" s="24">
        <v>8883675</v>
      </c>
      <c r="D166" s="9">
        <v>43374</v>
      </c>
      <c r="E166" s="25">
        <v>5</v>
      </c>
      <c r="F166" s="44">
        <v>2018</v>
      </c>
      <c r="G166" s="18"/>
      <c r="H166" s="17"/>
    </row>
    <row r="167" spans="1:8" customFormat="1" x14ac:dyDescent="0.25">
      <c r="A167" s="3">
        <v>1877</v>
      </c>
      <c r="B167" s="9" t="s">
        <v>180</v>
      </c>
      <c r="C167" s="24">
        <v>4666083.165</v>
      </c>
      <c r="D167" s="9">
        <v>43374</v>
      </c>
      <c r="E167" s="25">
        <v>15</v>
      </c>
      <c r="F167" s="44">
        <v>2018</v>
      </c>
      <c r="G167" s="18"/>
      <c r="H167" s="17"/>
    </row>
    <row r="168" spans="1:8" customFormat="1" x14ac:dyDescent="0.25">
      <c r="A168" s="3">
        <v>1877</v>
      </c>
      <c r="B168" s="9" t="s">
        <v>181</v>
      </c>
      <c r="C168" s="24">
        <v>4666083.165</v>
      </c>
      <c r="D168" s="9">
        <v>43374</v>
      </c>
      <c r="E168" s="25">
        <v>10</v>
      </c>
      <c r="F168" s="44">
        <v>2018</v>
      </c>
      <c r="G168" s="18"/>
      <c r="H168" s="17"/>
    </row>
    <row r="169" spans="1:8" customFormat="1" x14ac:dyDescent="0.25">
      <c r="A169" s="3">
        <v>1877</v>
      </c>
      <c r="B169" s="9" t="s">
        <v>135</v>
      </c>
      <c r="C169" s="24">
        <v>3456357.9</v>
      </c>
      <c r="D169" s="9">
        <v>43374</v>
      </c>
      <c r="E169" s="25">
        <v>11</v>
      </c>
      <c r="F169" s="44">
        <v>2018</v>
      </c>
      <c r="G169" s="18"/>
      <c r="H169" s="17"/>
    </row>
    <row r="170" spans="1:8" customFormat="1" x14ac:dyDescent="0.25">
      <c r="A170" s="3">
        <v>1877</v>
      </c>
      <c r="B170" s="9" t="s">
        <v>182</v>
      </c>
      <c r="C170" s="24">
        <v>3514887.7342499997</v>
      </c>
      <c r="D170" s="9">
        <v>43374</v>
      </c>
      <c r="E170" s="25">
        <v>13</v>
      </c>
      <c r="F170" s="44">
        <v>2018</v>
      </c>
      <c r="G170" s="18"/>
      <c r="H170" s="17"/>
    </row>
    <row r="171" spans="1:8" customFormat="1" x14ac:dyDescent="0.25">
      <c r="A171" s="3">
        <v>1877</v>
      </c>
      <c r="B171" s="9" t="s">
        <v>24</v>
      </c>
      <c r="C171" s="24">
        <v>4700835</v>
      </c>
      <c r="D171" s="9">
        <v>43374</v>
      </c>
      <c r="E171" s="25">
        <v>11</v>
      </c>
      <c r="F171" s="44">
        <v>2018</v>
      </c>
      <c r="G171" s="18"/>
      <c r="H171" s="17"/>
    </row>
    <row r="172" spans="1:8" customFormat="1" x14ac:dyDescent="0.25">
      <c r="A172" s="3">
        <v>1856</v>
      </c>
      <c r="B172" s="9" t="s">
        <v>154</v>
      </c>
      <c r="C172" s="24">
        <v>1755000</v>
      </c>
      <c r="D172" s="9">
        <v>43282</v>
      </c>
      <c r="E172" s="25">
        <v>1</v>
      </c>
      <c r="F172" s="44">
        <v>2018</v>
      </c>
      <c r="G172" s="18"/>
      <c r="H172" s="17"/>
    </row>
    <row r="173" spans="1:8" customFormat="1" x14ac:dyDescent="0.25">
      <c r="A173" s="3">
        <v>1856</v>
      </c>
      <c r="B173" s="9" t="s">
        <v>150</v>
      </c>
      <c r="C173" s="24">
        <v>1830000</v>
      </c>
      <c r="D173" s="9">
        <v>43282</v>
      </c>
      <c r="E173" s="25">
        <v>1</v>
      </c>
      <c r="F173" s="44">
        <v>2018</v>
      </c>
      <c r="G173" s="18"/>
      <c r="H173" s="17"/>
    </row>
    <row r="174" spans="1:8" customFormat="1" x14ac:dyDescent="0.25">
      <c r="A174" s="3">
        <v>1856</v>
      </c>
      <c r="B174" s="9" t="s">
        <v>157</v>
      </c>
      <c r="C174" s="24">
        <v>1680000</v>
      </c>
      <c r="D174" s="9">
        <v>43282</v>
      </c>
      <c r="E174" s="25">
        <v>1</v>
      </c>
      <c r="F174" s="44">
        <v>2018</v>
      </c>
      <c r="G174" s="18"/>
      <c r="H174" s="17"/>
    </row>
    <row r="175" spans="1:8" customFormat="1" x14ac:dyDescent="0.25">
      <c r="A175" s="3">
        <v>1856</v>
      </c>
      <c r="B175" s="9" t="s">
        <v>164</v>
      </c>
      <c r="C175" s="24">
        <v>1755000</v>
      </c>
      <c r="D175" s="9">
        <v>43282</v>
      </c>
      <c r="E175" s="25">
        <v>1</v>
      </c>
      <c r="F175" s="44">
        <v>2018</v>
      </c>
      <c r="G175" s="18"/>
      <c r="H175" s="17"/>
    </row>
    <row r="176" spans="1:8" customFormat="1" x14ac:dyDescent="0.25">
      <c r="A176" s="3">
        <v>1856</v>
      </c>
      <c r="B176" s="9" t="s">
        <v>24</v>
      </c>
      <c r="C176" s="24">
        <v>3592164.57</v>
      </c>
      <c r="D176" s="9">
        <v>43282</v>
      </c>
      <c r="E176" s="25">
        <v>31</v>
      </c>
      <c r="F176" s="44">
        <v>2018</v>
      </c>
      <c r="G176" s="18"/>
      <c r="H176" s="17"/>
    </row>
    <row r="177" spans="1:8" customFormat="1" x14ac:dyDescent="0.25">
      <c r="A177" s="3">
        <v>1829</v>
      </c>
      <c r="B177" s="9" t="s">
        <v>143</v>
      </c>
      <c r="C177" s="24">
        <v>5718600</v>
      </c>
      <c r="D177" s="9">
        <v>43160</v>
      </c>
      <c r="E177" s="25">
        <v>25</v>
      </c>
      <c r="F177" s="44">
        <v>2018</v>
      </c>
      <c r="G177" s="18"/>
      <c r="H177" s="17"/>
    </row>
    <row r="178" spans="1:8" customFormat="1" x14ac:dyDescent="0.25">
      <c r="A178" s="3">
        <v>1818</v>
      </c>
      <c r="B178" s="9" t="s">
        <v>90</v>
      </c>
      <c r="C178" s="24">
        <v>407400</v>
      </c>
      <c r="D178" s="9">
        <v>43282</v>
      </c>
      <c r="E178" s="25">
        <v>3</v>
      </c>
      <c r="F178" s="44">
        <v>2017</v>
      </c>
      <c r="G178" s="18"/>
      <c r="H178" s="17"/>
    </row>
    <row r="179" spans="1:8" customFormat="1" x14ac:dyDescent="0.25">
      <c r="A179" s="3">
        <v>1818</v>
      </c>
      <c r="B179" s="9" t="s">
        <v>132</v>
      </c>
      <c r="C179" s="24">
        <v>1425000</v>
      </c>
      <c r="D179" s="9">
        <v>43282</v>
      </c>
      <c r="E179" s="25">
        <v>3</v>
      </c>
      <c r="F179" s="44">
        <v>2017</v>
      </c>
      <c r="G179" s="18"/>
      <c r="H179" s="17"/>
    </row>
    <row r="180" spans="1:8" customFormat="1" x14ac:dyDescent="0.25">
      <c r="A180" s="3">
        <v>1818</v>
      </c>
      <c r="B180" s="9" t="s">
        <v>16</v>
      </c>
      <c r="C180" s="24">
        <v>345000</v>
      </c>
      <c r="D180" s="9">
        <v>43466</v>
      </c>
      <c r="E180" s="25">
        <v>8</v>
      </c>
      <c r="F180" s="44">
        <v>2017</v>
      </c>
      <c r="G180" s="18"/>
      <c r="H180" s="17"/>
    </row>
    <row r="181" spans="1:8" customFormat="1" x14ac:dyDescent="0.25">
      <c r="A181" s="3">
        <v>1753</v>
      </c>
      <c r="B181" s="9" t="s">
        <v>122</v>
      </c>
      <c r="C181" s="24">
        <v>6975330</v>
      </c>
      <c r="D181" s="9">
        <v>43282</v>
      </c>
      <c r="E181" s="25">
        <v>7</v>
      </c>
      <c r="F181" s="44">
        <v>2018</v>
      </c>
      <c r="G181" s="18"/>
      <c r="H181" s="17"/>
    </row>
    <row r="182" spans="1:8" customFormat="1" x14ac:dyDescent="0.25">
      <c r="A182" s="3">
        <v>1753</v>
      </c>
      <c r="B182" s="9" t="s">
        <v>59</v>
      </c>
      <c r="C182" s="24">
        <v>2385000</v>
      </c>
      <c r="D182" s="9">
        <v>43282</v>
      </c>
      <c r="E182" s="25">
        <v>7</v>
      </c>
      <c r="F182" s="44">
        <v>2018</v>
      </c>
      <c r="G182" s="18"/>
      <c r="H182" s="17"/>
    </row>
    <row r="183" spans="1:8" customFormat="1" x14ac:dyDescent="0.25">
      <c r="A183" s="3">
        <v>1753</v>
      </c>
      <c r="B183" s="9" t="s">
        <v>24</v>
      </c>
      <c r="C183" s="24">
        <v>3967431.5999999996</v>
      </c>
      <c r="D183" s="9">
        <v>43282</v>
      </c>
      <c r="E183" s="25">
        <v>7</v>
      </c>
      <c r="F183" s="44">
        <v>2018</v>
      </c>
      <c r="G183" s="18"/>
      <c r="H183" s="17"/>
    </row>
    <row r="184" spans="1:8" customFormat="1" x14ac:dyDescent="0.25">
      <c r="A184" s="3">
        <v>1753</v>
      </c>
      <c r="B184" s="9" t="s">
        <v>38</v>
      </c>
      <c r="C184" s="24">
        <v>3967431.5999999996</v>
      </c>
      <c r="D184" s="9">
        <v>43282</v>
      </c>
      <c r="E184" s="25">
        <v>7</v>
      </c>
      <c r="F184" s="44">
        <v>2018</v>
      </c>
      <c r="G184" s="18"/>
      <c r="H184" s="17"/>
    </row>
    <row r="185" spans="1:8" customFormat="1" x14ac:dyDescent="0.25">
      <c r="A185" s="3">
        <v>1751</v>
      </c>
      <c r="B185" s="9" t="s">
        <v>34</v>
      </c>
      <c r="C185" s="24">
        <v>4497837</v>
      </c>
      <c r="D185" s="9">
        <v>42795</v>
      </c>
      <c r="E185" s="25">
        <v>13</v>
      </c>
      <c r="F185" s="44">
        <v>2017</v>
      </c>
      <c r="G185" s="18"/>
      <c r="H185" s="17"/>
    </row>
    <row r="186" spans="1:8" customFormat="1" x14ac:dyDescent="0.25">
      <c r="A186" s="3">
        <v>1751</v>
      </c>
      <c r="B186" s="9" t="s">
        <v>38</v>
      </c>
      <c r="C186" s="24">
        <v>3756374.9999999995</v>
      </c>
      <c r="D186" s="9">
        <v>42795</v>
      </c>
      <c r="E186" s="25">
        <v>22</v>
      </c>
      <c r="F186" s="44">
        <v>2017</v>
      </c>
      <c r="G186" s="18"/>
      <c r="H186" s="17"/>
    </row>
    <row r="187" spans="1:8" customFormat="1" x14ac:dyDescent="0.25">
      <c r="A187" s="3">
        <v>1751</v>
      </c>
      <c r="B187" s="9" t="s">
        <v>23</v>
      </c>
      <c r="C187" s="24">
        <v>3502097.4299999997</v>
      </c>
      <c r="D187" s="9">
        <v>42795</v>
      </c>
      <c r="E187" s="25">
        <v>13</v>
      </c>
      <c r="F187" s="44">
        <v>2017</v>
      </c>
      <c r="G187" s="18"/>
      <c r="H187" s="17"/>
    </row>
    <row r="188" spans="1:8" customFormat="1" x14ac:dyDescent="0.25">
      <c r="A188" s="3">
        <v>1713</v>
      </c>
      <c r="B188" s="9" t="s">
        <v>19</v>
      </c>
      <c r="C188" s="24">
        <v>3230045.9877599999</v>
      </c>
      <c r="D188" s="9">
        <v>43221</v>
      </c>
      <c r="E188" s="25">
        <v>11</v>
      </c>
      <c r="F188" s="44">
        <v>2019</v>
      </c>
      <c r="G188" s="18"/>
      <c r="H188" s="17"/>
    </row>
    <row r="189" spans="1:8" customFormat="1" x14ac:dyDescent="0.25">
      <c r="A189" s="3">
        <v>1713</v>
      </c>
      <c r="B189" s="9" t="s">
        <v>83</v>
      </c>
      <c r="C189" s="24">
        <v>10990227.870000001</v>
      </c>
      <c r="D189" s="9">
        <v>43221</v>
      </c>
      <c r="E189" s="25">
        <v>11</v>
      </c>
      <c r="F189" s="44">
        <v>2019</v>
      </c>
      <c r="G189" s="18"/>
      <c r="H189" s="17"/>
    </row>
    <row r="190" spans="1:8" customFormat="1" x14ac:dyDescent="0.25">
      <c r="A190" s="3">
        <v>1713</v>
      </c>
      <c r="B190" s="9" t="s">
        <v>86</v>
      </c>
      <c r="C190" s="24">
        <v>7116622.9649999999</v>
      </c>
      <c r="D190" s="9">
        <v>43221</v>
      </c>
      <c r="E190" s="25">
        <v>11</v>
      </c>
      <c r="F190" s="44">
        <v>2019</v>
      </c>
      <c r="G190" s="18"/>
      <c r="H190" s="17"/>
    </row>
    <row r="191" spans="1:8" customFormat="1" x14ac:dyDescent="0.25">
      <c r="A191" s="3">
        <v>1713</v>
      </c>
      <c r="B191" s="9" t="s">
        <v>87</v>
      </c>
      <c r="C191" s="24">
        <v>5585197.7700000005</v>
      </c>
      <c r="D191" s="9">
        <v>43221</v>
      </c>
      <c r="E191" s="25">
        <v>3</v>
      </c>
      <c r="F191" s="44">
        <v>2019</v>
      </c>
      <c r="G191" s="18"/>
      <c r="H191" s="17"/>
    </row>
    <row r="192" spans="1:8" customFormat="1" x14ac:dyDescent="0.25">
      <c r="A192" s="3">
        <v>1713</v>
      </c>
      <c r="B192" s="9" t="s">
        <v>35</v>
      </c>
      <c r="C192" s="24">
        <v>3857750.1500400002</v>
      </c>
      <c r="D192" s="9">
        <v>43221</v>
      </c>
      <c r="E192" s="25">
        <v>11</v>
      </c>
      <c r="F192" s="44">
        <v>2019</v>
      </c>
      <c r="G192" s="18"/>
      <c r="H192" s="17"/>
    </row>
    <row r="193" spans="1:8" customFormat="1" x14ac:dyDescent="0.25">
      <c r="A193" s="3">
        <v>1701</v>
      </c>
      <c r="B193" s="9" t="s">
        <v>78</v>
      </c>
      <c r="C193" s="24">
        <v>1800000</v>
      </c>
      <c r="D193" s="9">
        <v>42614</v>
      </c>
      <c r="E193" s="25">
        <v>6</v>
      </c>
      <c r="F193" s="44">
        <v>2016</v>
      </c>
      <c r="G193" s="18"/>
      <c r="H193" s="17"/>
    </row>
    <row r="194" spans="1:8" customFormat="1" x14ac:dyDescent="0.25">
      <c r="A194" s="3">
        <v>1689</v>
      </c>
      <c r="B194" s="9" t="s">
        <v>74</v>
      </c>
      <c r="C194" s="24">
        <v>3052799.9999999995</v>
      </c>
      <c r="D194" s="9">
        <v>42583</v>
      </c>
      <c r="E194" s="25">
        <v>11</v>
      </c>
      <c r="F194" s="44">
        <v>2016</v>
      </c>
      <c r="G194" s="18"/>
      <c r="H194" s="17"/>
    </row>
    <row r="195" spans="1:8" customFormat="1" x14ac:dyDescent="0.25">
      <c r="A195" s="3">
        <v>1687</v>
      </c>
      <c r="B195" s="9" t="s">
        <v>70</v>
      </c>
      <c r="C195" s="24">
        <v>6514122</v>
      </c>
      <c r="D195" s="9">
        <v>42552</v>
      </c>
      <c r="E195" s="25">
        <v>5</v>
      </c>
      <c r="F195" s="44">
        <v>2019</v>
      </c>
      <c r="G195" s="18"/>
      <c r="H195" s="17"/>
    </row>
    <row r="196" spans="1:8" customFormat="1" x14ac:dyDescent="0.25">
      <c r="A196" s="3">
        <v>1687</v>
      </c>
      <c r="B196" s="9" t="s">
        <v>71</v>
      </c>
      <c r="C196" s="24">
        <v>8115529.5</v>
      </c>
      <c r="D196" s="9">
        <v>42552</v>
      </c>
      <c r="E196" s="25">
        <v>23</v>
      </c>
      <c r="F196" s="44">
        <v>2019</v>
      </c>
      <c r="G196" s="18"/>
      <c r="H196" s="17"/>
    </row>
    <row r="197" spans="1:8" customFormat="1" x14ac:dyDescent="0.25">
      <c r="A197" s="3">
        <v>1618</v>
      </c>
      <c r="B197" s="9" t="s">
        <v>44</v>
      </c>
      <c r="C197" s="24">
        <v>3605856.75</v>
      </c>
      <c r="D197" s="9">
        <v>42125</v>
      </c>
      <c r="E197" s="25">
        <v>12</v>
      </c>
      <c r="F197" s="44">
        <v>2015</v>
      </c>
      <c r="G197" s="18"/>
      <c r="H197" s="17"/>
    </row>
    <row r="198" spans="1:8" customFormat="1" x14ac:dyDescent="0.25">
      <c r="A198" s="3">
        <v>1723</v>
      </c>
      <c r="B198" s="9" t="s">
        <v>19</v>
      </c>
      <c r="C198" s="24">
        <v>5256768.9420000007</v>
      </c>
      <c r="D198" s="9">
        <v>42614</v>
      </c>
      <c r="E198" s="25">
        <v>34</v>
      </c>
      <c r="F198" s="44">
        <v>2016</v>
      </c>
      <c r="G198" s="18"/>
      <c r="H198" s="17"/>
    </row>
    <row r="199" spans="1:8" customFormat="1" x14ac:dyDescent="0.25">
      <c r="A199" s="3">
        <v>1723</v>
      </c>
      <c r="B199" s="9" t="s">
        <v>12</v>
      </c>
      <c r="C199" s="24">
        <v>9734757</v>
      </c>
      <c r="D199" s="9">
        <v>42614</v>
      </c>
      <c r="E199" s="25">
        <v>34</v>
      </c>
      <c r="F199" s="44">
        <v>2016</v>
      </c>
      <c r="G199" s="18"/>
      <c r="H199" s="17"/>
    </row>
    <row r="200" spans="1:8" customFormat="1" x14ac:dyDescent="0.25">
      <c r="A200" s="3">
        <v>1723</v>
      </c>
      <c r="B200" s="9" t="s">
        <v>93</v>
      </c>
      <c r="C200" s="24">
        <v>829401.36</v>
      </c>
      <c r="D200" s="9">
        <v>42614</v>
      </c>
      <c r="E200" s="25">
        <v>34</v>
      </c>
      <c r="F200" s="44">
        <v>2016</v>
      </c>
      <c r="G200" s="18"/>
      <c r="H200" s="17"/>
    </row>
    <row r="201" spans="1:8" customFormat="1" x14ac:dyDescent="0.25">
      <c r="A201" s="3">
        <v>1802</v>
      </c>
      <c r="B201" s="9" t="s">
        <v>12</v>
      </c>
      <c r="C201" s="24">
        <v>12230323.5</v>
      </c>
      <c r="D201" s="9">
        <v>43132</v>
      </c>
      <c r="E201" s="25">
        <v>6</v>
      </c>
      <c r="F201" s="44">
        <v>2017</v>
      </c>
      <c r="G201" s="18"/>
      <c r="H201" s="17"/>
    </row>
    <row r="202" spans="1:8" customFormat="1" x14ac:dyDescent="0.25">
      <c r="A202" s="3">
        <v>1802</v>
      </c>
      <c r="B202" s="9" t="s">
        <v>38</v>
      </c>
      <c r="C202" s="24">
        <v>3925040.61</v>
      </c>
      <c r="D202" s="9">
        <v>43132</v>
      </c>
      <c r="E202" s="25">
        <v>5</v>
      </c>
      <c r="F202" s="44">
        <v>2017</v>
      </c>
      <c r="G202" s="18"/>
      <c r="H202" s="17"/>
    </row>
    <row r="203" spans="1:8" customFormat="1" x14ac:dyDescent="0.25">
      <c r="A203" s="3">
        <v>1802</v>
      </c>
      <c r="B203" s="9" t="s">
        <v>39</v>
      </c>
      <c r="C203" s="24">
        <v>5531710.5</v>
      </c>
      <c r="D203" s="9">
        <v>43132</v>
      </c>
      <c r="E203" s="25">
        <v>6</v>
      </c>
      <c r="F203" s="44">
        <v>2017</v>
      </c>
      <c r="G203" s="18"/>
      <c r="H203" s="17"/>
    </row>
    <row r="204" spans="1:8" customFormat="1" x14ac:dyDescent="0.25">
      <c r="A204" s="3">
        <v>1802</v>
      </c>
      <c r="B204" s="9" t="s">
        <v>69</v>
      </c>
      <c r="C204" s="24">
        <v>4921122</v>
      </c>
      <c r="D204" s="9">
        <v>43132</v>
      </c>
      <c r="E204" s="25">
        <v>5</v>
      </c>
      <c r="F204" s="44">
        <v>2017</v>
      </c>
      <c r="G204" s="18"/>
      <c r="H204" s="17"/>
    </row>
    <row r="205" spans="1:8" customFormat="1" x14ac:dyDescent="0.25">
      <c r="A205" s="3">
        <v>1802</v>
      </c>
      <c r="B205" s="9" t="s">
        <v>26</v>
      </c>
      <c r="C205" s="24">
        <v>7472815.5</v>
      </c>
      <c r="D205" s="9">
        <v>43132</v>
      </c>
      <c r="E205" s="25">
        <v>5</v>
      </c>
      <c r="F205" s="44">
        <v>2017</v>
      </c>
      <c r="G205" s="18"/>
      <c r="H205" s="17"/>
    </row>
    <row r="206" spans="1:8" customFormat="1" x14ac:dyDescent="0.25">
      <c r="A206" s="3">
        <v>1453</v>
      </c>
      <c r="B206" s="9" t="s">
        <v>136</v>
      </c>
      <c r="C206" s="24">
        <v>5698440</v>
      </c>
      <c r="D206" s="9">
        <v>43191</v>
      </c>
      <c r="E206" s="25">
        <v>5</v>
      </c>
      <c r="F206" s="44">
        <v>2018</v>
      </c>
      <c r="G206" s="18"/>
      <c r="H206" s="17"/>
    </row>
    <row r="207" spans="1:8" customFormat="1" x14ac:dyDescent="0.25">
      <c r="A207" s="3">
        <v>1453</v>
      </c>
      <c r="B207" s="9" t="s">
        <v>38</v>
      </c>
      <c r="C207" s="24">
        <v>3116707</v>
      </c>
      <c r="D207" s="9">
        <v>43191</v>
      </c>
      <c r="E207" s="25">
        <v>5</v>
      </c>
      <c r="F207" s="44">
        <v>2018</v>
      </c>
      <c r="G207" s="18"/>
      <c r="H207" s="17"/>
    </row>
    <row r="208" spans="1:8" customFormat="1" x14ac:dyDescent="0.25">
      <c r="A208" s="3">
        <v>1577</v>
      </c>
      <c r="B208" s="9" t="s">
        <v>12</v>
      </c>
      <c r="C208" s="24">
        <v>9235500</v>
      </c>
      <c r="D208" s="9">
        <v>41883</v>
      </c>
      <c r="E208" s="25">
        <v>7</v>
      </c>
      <c r="F208" s="44">
        <v>2014</v>
      </c>
      <c r="G208" s="18"/>
      <c r="H208" s="17"/>
    </row>
    <row r="209" spans="1:8" customFormat="1" x14ac:dyDescent="0.25">
      <c r="A209" s="3">
        <v>1577</v>
      </c>
      <c r="B209" s="9" t="s">
        <v>39</v>
      </c>
      <c r="C209" s="24">
        <v>1103625</v>
      </c>
      <c r="D209" s="9">
        <v>41883</v>
      </c>
      <c r="E209" s="25">
        <v>7</v>
      </c>
      <c r="F209" s="44">
        <v>2014</v>
      </c>
      <c r="G209" s="18"/>
      <c r="H209" s="17"/>
    </row>
    <row r="210" spans="1:8" customFormat="1" x14ac:dyDescent="0.25">
      <c r="A210" s="3">
        <v>1577</v>
      </c>
      <c r="B210" s="9" t="s">
        <v>234</v>
      </c>
      <c r="C210" s="24">
        <v>3157739.9999999995</v>
      </c>
      <c r="D210" s="9">
        <v>41883</v>
      </c>
      <c r="E210" s="25">
        <v>7</v>
      </c>
      <c r="F210" s="44">
        <v>2014</v>
      </c>
      <c r="G210" s="18"/>
      <c r="H210" s="17"/>
    </row>
    <row r="211" spans="1:8" customFormat="1" x14ac:dyDescent="0.25">
      <c r="A211" s="3">
        <v>1577</v>
      </c>
      <c r="B211" s="9" t="s">
        <v>19</v>
      </c>
      <c r="C211" s="24">
        <v>2887812</v>
      </c>
      <c r="D211" s="9">
        <v>42095</v>
      </c>
      <c r="E211" s="25">
        <v>52</v>
      </c>
      <c r="F211" s="44">
        <v>2014</v>
      </c>
      <c r="G211" s="18"/>
      <c r="H211" s="17"/>
    </row>
    <row r="212" spans="1:8" customFormat="1" x14ac:dyDescent="0.25">
      <c r="A212" s="3">
        <v>1577</v>
      </c>
      <c r="B212" s="9" t="s">
        <v>12</v>
      </c>
      <c r="C212" s="24">
        <v>9235500</v>
      </c>
      <c r="D212" s="9">
        <v>42095</v>
      </c>
      <c r="E212" s="25">
        <v>52</v>
      </c>
      <c r="F212" s="44">
        <v>2014</v>
      </c>
      <c r="G212" s="18"/>
      <c r="H212" s="17"/>
    </row>
    <row r="213" spans="1:8" customFormat="1" x14ac:dyDescent="0.25">
      <c r="A213" s="3">
        <v>1577</v>
      </c>
      <c r="B213" s="9" t="s">
        <v>14</v>
      </c>
      <c r="C213" s="24">
        <v>7675500</v>
      </c>
      <c r="D213" s="9">
        <v>43070</v>
      </c>
      <c r="E213" s="25">
        <v>18</v>
      </c>
      <c r="F213" s="44">
        <v>2014</v>
      </c>
      <c r="G213" s="18"/>
      <c r="H213" s="17"/>
    </row>
    <row r="214" spans="1:8" customFormat="1" x14ac:dyDescent="0.25">
      <c r="A214" s="3">
        <v>1577</v>
      </c>
      <c r="B214" s="9" t="s">
        <v>236</v>
      </c>
      <c r="C214" s="24">
        <v>6381000</v>
      </c>
      <c r="D214" s="9">
        <v>41913</v>
      </c>
      <c r="E214" s="25">
        <v>35</v>
      </c>
      <c r="F214" s="44">
        <v>2014</v>
      </c>
      <c r="G214" s="18"/>
      <c r="H214" s="17"/>
    </row>
    <row r="215" spans="1:8" customFormat="1" x14ac:dyDescent="0.25">
      <c r="A215" s="3">
        <v>1577</v>
      </c>
      <c r="B215" s="9" t="s">
        <v>237</v>
      </c>
      <c r="C215" s="24">
        <v>6381000</v>
      </c>
      <c r="D215" s="9">
        <v>42826</v>
      </c>
      <c r="E215" s="25">
        <v>22</v>
      </c>
      <c r="F215" s="44">
        <v>2014</v>
      </c>
      <c r="G215" s="18"/>
      <c r="H215" s="17"/>
    </row>
    <row r="216" spans="1:8" customFormat="1" x14ac:dyDescent="0.25">
      <c r="A216" s="3">
        <v>1577</v>
      </c>
      <c r="B216" s="9" t="s">
        <v>230</v>
      </c>
      <c r="C216" s="24">
        <v>6381000</v>
      </c>
      <c r="D216" s="9">
        <v>42948</v>
      </c>
      <c r="E216" s="25">
        <v>22</v>
      </c>
      <c r="F216" s="44">
        <v>2014</v>
      </c>
      <c r="G216" s="18"/>
      <c r="H216" s="17"/>
    </row>
    <row r="217" spans="1:8" customFormat="1" x14ac:dyDescent="0.25">
      <c r="A217" s="3">
        <v>1577</v>
      </c>
      <c r="B217" s="9" t="s">
        <v>238</v>
      </c>
      <c r="C217" s="24">
        <v>6381000</v>
      </c>
      <c r="D217" s="9">
        <v>42917</v>
      </c>
      <c r="E217" s="25">
        <v>13</v>
      </c>
      <c r="F217" s="44">
        <v>2014</v>
      </c>
      <c r="G217" s="18"/>
      <c r="H217" s="17"/>
    </row>
    <row r="218" spans="1:8" customFormat="1" x14ac:dyDescent="0.25">
      <c r="A218" s="3">
        <v>1577</v>
      </c>
      <c r="B218" s="9" t="s">
        <v>239</v>
      </c>
      <c r="C218" s="24">
        <v>5400000</v>
      </c>
      <c r="D218" s="9">
        <v>43435</v>
      </c>
      <c r="E218" s="25">
        <v>6</v>
      </c>
      <c r="F218" s="44">
        <v>2014</v>
      </c>
      <c r="G218" s="18"/>
      <c r="H218" s="17"/>
    </row>
    <row r="219" spans="1:8" customFormat="1" x14ac:dyDescent="0.25">
      <c r="A219" s="3">
        <v>1577</v>
      </c>
      <c r="B219" s="9" t="s">
        <v>39</v>
      </c>
      <c r="C219" s="24">
        <v>4414500</v>
      </c>
      <c r="D219" s="9">
        <v>41852</v>
      </c>
      <c r="E219" s="25">
        <v>53</v>
      </c>
      <c r="F219" s="44">
        <v>2014</v>
      </c>
      <c r="G219" s="18"/>
      <c r="H219" s="17"/>
    </row>
    <row r="220" spans="1:8" customFormat="1" x14ac:dyDescent="0.25">
      <c r="A220" s="3">
        <v>1577</v>
      </c>
      <c r="B220" s="9" t="s">
        <v>59</v>
      </c>
      <c r="C220" s="24">
        <v>3042000</v>
      </c>
      <c r="D220" s="9">
        <v>42826</v>
      </c>
      <c r="E220" s="25">
        <v>28</v>
      </c>
      <c r="F220" s="44">
        <v>2014</v>
      </c>
      <c r="G220" s="18"/>
      <c r="H220" s="17"/>
    </row>
    <row r="221" spans="1:8" customFormat="1" x14ac:dyDescent="0.25">
      <c r="A221" s="3">
        <v>1577</v>
      </c>
      <c r="B221" s="9" t="s">
        <v>59</v>
      </c>
      <c r="C221" s="24">
        <v>3042000</v>
      </c>
      <c r="D221" s="9">
        <v>42826</v>
      </c>
      <c r="E221" s="25">
        <v>28</v>
      </c>
      <c r="F221" s="44">
        <v>2014</v>
      </c>
      <c r="G221" s="18"/>
      <c r="H221" s="17"/>
    </row>
    <row r="222" spans="1:8" customFormat="1" x14ac:dyDescent="0.25">
      <c r="A222" s="3">
        <v>1577</v>
      </c>
      <c r="B222" s="9" t="s">
        <v>241</v>
      </c>
      <c r="C222" s="24">
        <v>2979000</v>
      </c>
      <c r="D222" s="9">
        <v>41852</v>
      </c>
      <c r="E222" s="25">
        <v>43</v>
      </c>
      <c r="F222" s="44">
        <v>2014</v>
      </c>
      <c r="G222" s="18"/>
      <c r="H222" s="17"/>
    </row>
    <row r="223" spans="1:8" customFormat="1" x14ac:dyDescent="0.25">
      <c r="A223" s="3">
        <v>1577</v>
      </c>
      <c r="B223" s="9" t="s">
        <v>241</v>
      </c>
      <c r="C223" s="24">
        <v>2979000</v>
      </c>
      <c r="D223" s="9">
        <v>42064</v>
      </c>
      <c r="E223" s="25">
        <v>43</v>
      </c>
      <c r="F223" s="44">
        <v>2014</v>
      </c>
      <c r="G223" s="18"/>
      <c r="H223" s="17"/>
    </row>
    <row r="224" spans="1:8" customFormat="1" x14ac:dyDescent="0.25">
      <c r="A224" s="3">
        <v>1577</v>
      </c>
      <c r="B224" s="9" t="s">
        <v>242</v>
      </c>
      <c r="C224" s="24">
        <v>2979000</v>
      </c>
      <c r="D224" s="9">
        <v>42826</v>
      </c>
      <c r="E224" s="25">
        <v>22</v>
      </c>
      <c r="F224" s="44">
        <v>2014</v>
      </c>
      <c r="G224" s="18"/>
      <c r="H224" s="17"/>
    </row>
    <row r="225" spans="1:8" customFormat="1" x14ac:dyDescent="0.25">
      <c r="A225" s="3">
        <v>1577</v>
      </c>
      <c r="B225" s="9" t="s">
        <v>243</v>
      </c>
      <c r="C225" s="24">
        <v>2979000</v>
      </c>
      <c r="D225" s="9">
        <v>42826</v>
      </c>
      <c r="E225" s="25">
        <v>13</v>
      </c>
      <c r="F225" s="44">
        <v>2014</v>
      </c>
      <c r="G225" s="18"/>
      <c r="H225" s="17"/>
    </row>
    <row r="226" spans="1:8" customFormat="1" x14ac:dyDescent="0.25">
      <c r="A226" s="3">
        <v>1577</v>
      </c>
      <c r="B226" s="9" t="s">
        <v>244</v>
      </c>
      <c r="C226" s="24">
        <v>2979000</v>
      </c>
      <c r="D226" s="9">
        <v>43132</v>
      </c>
      <c r="E226" s="25">
        <v>12</v>
      </c>
      <c r="F226" s="44">
        <v>2014</v>
      </c>
      <c r="G226" s="18"/>
      <c r="H226" s="17"/>
    </row>
    <row r="227" spans="1:8" customFormat="1" x14ac:dyDescent="0.25">
      <c r="A227" s="3">
        <v>1577</v>
      </c>
      <c r="B227" s="9" t="s">
        <v>245</v>
      </c>
      <c r="C227" s="24">
        <v>5304000</v>
      </c>
      <c r="D227" s="9">
        <v>43009</v>
      </c>
      <c r="E227" s="25">
        <v>18</v>
      </c>
      <c r="F227" s="44">
        <v>2014</v>
      </c>
      <c r="G227" s="18"/>
      <c r="H227" s="17"/>
    </row>
    <row r="228" spans="1:8" customFormat="1" x14ac:dyDescent="0.25">
      <c r="A228" s="3">
        <v>1577</v>
      </c>
      <c r="B228" s="9" t="s">
        <v>246</v>
      </c>
      <c r="C228" s="24">
        <v>2979000</v>
      </c>
      <c r="D228" s="9">
        <v>42948</v>
      </c>
      <c r="E228" s="25">
        <v>22</v>
      </c>
      <c r="F228" s="44">
        <v>2014</v>
      </c>
      <c r="G228" s="18"/>
      <c r="H228" s="17"/>
    </row>
    <row r="229" spans="1:8" customFormat="1" x14ac:dyDescent="0.25">
      <c r="A229" s="3">
        <v>1577</v>
      </c>
      <c r="B229" s="9" t="s">
        <v>247</v>
      </c>
      <c r="C229" s="24">
        <v>2979000</v>
      </c>
      <c r="D229" s="9">
        <v>42948</v>
      </c>
      <c r="E229" s="25">
        <v>17</v>
      </c>
      <c r="F229" s="44">
        <v>2014</v>
      </c>
      <c r="G229" s="18"/>
      <c r="H229" s="17"/>
    </row>
    <row r="230" spans="1:8" customFormat="1" x14ac:dyDescent="0.25">
      <c r="A230" s="3">
        <v>1577</v>
      </c>
      <c r="B230" s="9" t="s">
        <v>248</v>
      </c>
      <c r="C230" s="24">
        <v>2979000</v>
      </c>
      <c r="D230" s="9">
        <v>43313</v>
      </c>
      <c r="E230" s="25">
        <v>10</v>
      </c>
      <c r="F230" s="44">
        <v>2014</v>
      </c>
      <c r="G230" s="18"/>
      <c r="H230" s="17"/>
    </row>
    <row r="231" spans="1:8" customFormat="1" x14ac:dyDescent="0.25">
      <c r="A231" s="3">
        <v>1577</v>
      </c>
      <c r="B231" s="9" t="s">
        <v>249</v>
      </c>
      <c r="C231" s="24">
        <v>2979000</v>
      </c>
      <c r="D231" s="9">
        <v>42917</v>
      </c>
      <c r="E231" s="25">
        <v>13</v>
      </c>
      <c r="F231" s="44">
        <v>2014</v>
      </c>
      <c r="G231" s="18"/>
      <c r="H231" s="17"/>
    </row>
    <row r="232" spans="1:8" customFormat="1" x14ac:dyDescent="0.25">
      <c r="A232" s="3">
        <v>1577</v>
      </c>
      <c r="B232" s="9" t="s">
        <v>231</v>
      </c>
      <c r="C232" s="24">
        <v>5400000</v>
      </c>
      <c r="D232" s="9">
        <v>42522</v>
      </c>
      <c r="E232" s="25">
        <v>36</v>
      </c>
      <c r="F232" s="44">
        <v>2014</v>
      </c>
      <c r="G232" s="18"/>
      <c r="H232" s="17"/>
    </row>
    <row r="233" spans="1:8" customFormat="1" x14ac:dyDescent="0.25">
      <c r="A233" s="3">
        <v>1577</v>
      </c>
      <c r="B233" s="9" t="s">
        <v>106</v>
      </c>
      <c r="C233" s="24">
        <v>2979000</v>
      </c>
      <c r="D233" s="9">
        <v>42522</v>
      </c>
      <c r="E233" s="25">
        <v>36</v>
      </c>
      <c r="F233" s="44">
        <v>2014</v>
      </c>
      <c r="G233" s="18"/>
      <c r="H233" s="17"/>
    </row>
    <row r="234" spans="1:8" customFormat="1" x14ac:dyDescent="0.25">
      <c r="A234" s="3">
        <v>1622</v>
      </c>
      <c r="B234" s="9" t="s">
        <v>45</v>
      </c>
      <c r="C234" s="24">
        <v>4102420.3650000002</v>
      </c>
      <c r="D234" s="9">
        <v>43405</v>
      </c>
      <c r="E234" s="25">
        <v>0.09</v>
      </c>
      <c r="F234" s="44"/>
      <c r="G234" s="18"/>
      <c r="H234" s="17"/>
    </row>
    <row r="235" spans="1:8" customFormat="1" x14ac:dyDescent="0.25">
      <c r="A235" s="3">
        <v>1622</v>
      </c>
      <c r="B235" s="9" t="s">
        <v>46</v>
      </c>
      <c r="C235" s="24">
        <v>1122265.8400000001</v>
      </c>
      <c r="D235" s="9">
        <v>43405</v>
      </c>
      <c r="E235" s="25">
        <v>0.04</v>
      </c>
      <c r="F235" s="44"/>
      <c r="G235" s="18"/>
      <c r="H235" s="17"/>
    </row>
    <row r="236" spans="1:8" customFormat="1" x14ac:dyDescent="0.25">
      <c r="A236" s="3">
        <v>1622</v>
      </c>
      <c r="B236" s="9" t="s">
        <v>48</v>
      </c>
      <c r="C236" s="24">
        <v>4451913.75</v>
      </c>
      <c r="D236" s="9">
        <v>43405</v>
      </c>
      <c r="E236" s="25">
        <v>0.79</v>
      </c>
      <c r="F236" s="44"/>
      <c r="G236" s="18"/>
      <c r="H236" s="17"/>
    </row>
    <row r="237" spans="1:8" customFormat="1" x14ac:dyDescent="0.25">
      <c r="A237" s="3">
        <v>1622</v>
      </c>
      <c r="B237" s="9" t="s">
        <v>49</v>
      </c>
      <c r="C237" s="24">
        <v>26786251</v>
      </c>
      <c r="D237" s="9">
        <v>43405</v>
      </c>
      <c r="E237" s="25">
        <v>5.92</v>
      </c>
      <c r="F237" s="44"/>
      <c r="G237" s="18"/>
      <c r="H237" s="17"/>
    </row>
    <row r="238" spans="1:8" customFormat="1" x14ac:dyDescent="0.25">
      <c r="A238" s="3">
        <v>1622</v>
      </c>
      <c r="B238" s="9" t="s">
        <v>50</v>
      </c>
      <c r="C238" s="24">
        <v>15218233.5</v>
      </c>
      <c r="D238" s="9">
        <v>43405</v>
      </c>
      <c r="E238" s="25">
        <v>3.97</v>
      </c>
      <c r="F238" s="44"/>
      <c r="G238" s="18"/>
      <c r="H238" s="17"/>
    </row>
    <row r="239" spans="1:8" customFormat="1" x14ac:dyDescent="0.25">
      <c r="A239" s="3">
        <v>1622</v>
      </c>
      <c r="B239" s="9" t="s">
        <v>51</v>
      </c>
      <c r="C239" s="24">
        <v>6015462</v>
      </c>
      <c r="D239" s="9">
        <v>43405</v>
      </c>
      <c r="E239" s="25">
        <v>3.28</v>
      </c>
      <c r="F239" s="44"/>
      <c r="G239" s="18"/>
      <c r="H239" s="17"/>
    </row>
    <row r="240" spans="1:8" customFormat="1" x14ac:dyDescent="0.25">
      <c r="A240" s="3">
        <v>1622</v>
      </c>
      <c r="B240" s="9" t="s">
        <v>52</v>
      </c>
      <c r="C240" s="24">
        <v>6387163.5</v>
      </c>
      <c r="D240" s="9">
        <v>43405</v>
      </c>
      <c r="E240" s="25">
        <v>7.0000000000000007E-2</v>
      </c>
      <c r="F240" s="44"/>
      <c r="G240" s="18"/>
      <c r="H240" s="17"/>
    </row>
    <row r="241" spans="1:8" customFormat="1" x14ac:dyDescent="0.25">
      <c r="A241" s="3">
        <v>1622</v>
      </c>
      <c r="B241" s="9" t="s">
        <v>53</v>
      </c>
      <c r="C241" s="24">
        <v>4757001</v>
      </c>
      <c r="D241" s="9">
        <v>43405</v>
      </c>
      <c r="E241" s="25">
        <v>36.200000000000003</v>
      </c>
      <c r="F241" s="44"/>
      <c r="G241" s="18"/>
      <c r="H241" s="17"/>
    </row>
    <row r="242" spans="1:8" customFormat="1" x14ac:dyDescent="0.25">
      <c r="A242" s="3">
        <v>1622</v>
      </c>
      <c r="B242" s="9" t="s">
        <v>54</v>
      </c>
      <c r="C242" s="24">
        <v>6199545</v>
      </c>
      <c r="D242" s="9">
        <v>43405</v>
      </c>
      <c r="E242" s="25">
        <v>36.369999999999997</v>
      </c>
      <c r="F242" s="44"/>
      <c r="G242" s="18"/>
      <c r="H242" s="17"/>
    </row>
    <row r="243" spans="1:8" customFormat="1" x14ac:dyDescent="0.25">
      <c r="A243" s="3">
        <v>1622</v>
      </c>
      <c r="B243" s="9" t="s">
        <v>55</v>
      </c>
      <c r="C243" s="24">
        <v>6239898</v>
      </c>
      <c r="D243" s="9">
        <v>43405</v>
      </c>
      <c r="E243" s="25">
        <v>10.71</v>
      </c>
      <c r="F243" s="44"/>
      <c r="G243" s="18"/>
      <c r="H243" s="17"/>
    </row>
    <row r="244" spans="1:8" customFormat="1" x14ac:dyDescent="0.25">
      <c r="A244" s="3">
        <v>1622</v>
      </c>
      <c r="B244" s="9" t="s">
        <v>56</v>
      </c>
      <c r="C244" s="24">
        <v>7453077</v>
      </c>
      <c r="D244" s="9">
        <v>43405</v>
      </c>
      <c r="E244" s="25">
        <v>15.65</v>
      </c>
      <c r="F244" s="44"/>
      <c r="G244" s="18"/>
      <c r="H244" s="17"/>
    </row>
    <row r="245" spans="1:8" customFormat="1" x14ac:dyDescent="0.25">
      <c r="A245" s="3">
        <v>1622</v>
      </c>
      <c r="B245" s="9" t="s">
        <v>57</v>
      </c>
      <c r="C245" s="24">
        <v>7241106</v>
      </c>
      <c r="D245" s="9">
        <v>43405</v>
      </c>
      <c r="E245" s="25">
        <v>1.94</v>
      </c>
      <c r="F245" s="44"/>
      <c r="G245" s="18"/>
      <c r="H245" s="17"/>
    </row>
    <row r="246" spans="1:8" customFormat="1" x14ac:dyDescent="0.25">
      <c r="A246" s="3">
        <v>1622</v>
      </c>
      <c r="B246" s="9" t="s">
        <v>58</v>
      </c>
      <c r="C246" s="24">
        <v>4736959.5</v>
      </c>
      <c r="D246" s="9">
        <v>43405</v>
      </c>
      <c r="E246" s="25">
        <v>1.41</v>
      </c>
      <c r="F246" s="44"/>
      <c r="G246" s="18"/>
      <c r="H246" s="17"/>
    </row>
    <row r="247" spans="1:8" customFormat="1" x14ac:dyDescent="0.25">
      <c r="A247" s="3">
        <v>1622</v>
      </c>
      <c r="B247" s="9" t="s">
        <v>59</v>
      </c>
      <c r="C247" s="24">
        <v>1522369.5</v>
      </c>
      <c r="D247" s="9">
        <v>43405</v>
      </c>
      <c r="E247" s="25">
        <v>0.99</v>
      </c>
      <c r="F247" s="44"/>
      <c r="G247" s="18"/>
      <c r="H247" s="17"/>
    </row>
    <row r="248" spans="1:8" customFormat="1" x14ac:dyDescent="0.25">
      <c r="A248" s="3">
        <v>1622</v>
      </c>
      <c r="B248" s="9" t="s">
        <v>35</v>
      </c>
      <c r="C248" s="24">
        <v>3580481.2499999995</v>
      </c>
      <c r="D248" s="9">
        <v>43405</v>
      </c>
      <c r="E248" s="25">
        <v>4.08</v>
      </c>
      <c r="F248" s="44"/>
      <c r="G248" s="18"/>
      <c r="H248" s="17"/>
    </row>
    <row r="249" spans="1:8" customFormat="1" x14ac:dyDescent="0.25">
      <c r="A249" s="3">
        <v>1622</v>
      </c>
      <c r="B249" s="9" t="s">
        <v>60</v>
      </c>
      <c r="C249" s="24">
        <v>3433568.4299999997</v>
      </c>
      <c r="D249" s="9">
        <v>43405</v>
      </c>
      <c r="E249" s="25">
        <v>0.66</v>
      </c>
      <c r="F249" s="44"/>
      <c r="G249" s="18"/>
      <c r="H249" s="17"/>
    </row>
    <row r="250" spans="1:8" customFormat="1" x14ac:dyDescent="0.25">
      <c r="A250" s="3">
        <v>1622</v>
      </c>
      <c r="B250" s="9" t="s">
        <v>61</v>
      </c>
      <c r="C250" s="24">
        <v>3687130.4999999995</v>
      </c>
      <c r="D250" s="9">
        <v>43405</v>
      </c>
      <c r="E250" s="25">
        <v>6.11</v>
      </c>
      <c r="F250" s="44"/>
      <c r="G250" s="18"/>
      <c r="H250" s="17"/>
    </row>
    <row r="251" spans="1:8" customFormat="1" x14ac:dyDescent="0.25">
      <c r="A251" s="3">
        <v>1622</v>
      </c>
      <c r="B251" s="9" t="s">
        <v>62</v>
      </c>
      <c r="C251" s="24">
        <v>4479713.6999999993</v>
      </c>
      <c r="D251" s="9">
        <v>43405</v>
      </c>
      <c r="E251" s="25">
        <v>12.49</v>
      </c>
      <c r="F251" s="44"/>
      <c r="G251" s="18"/>
      <c r="H251" s="17"/>
    </row>
    <row r="252" spans="1:8" customFormat="1" x14ac:dyDescent="0.25">
      <c r="A252" s="3">
        <v>1622</v>
      </c>
      <c r="B252" s="9" t="s">
        <v>63</v>
      </c>
      <c r="C252" s="24">
        <v>4487334.5699999994</v>
      </c>
      <c r="D252" s="9">
        <v>43405</v>
      </c>
      <c r="E252" s="25">
        <v>4.3</v>
      </c>
      <c r="F252" s="44"/>
      <c r="G252" s="18"/>
      <c r="H252" s="17"/>
    </row>
    <row r="253" spans="1:8" customFormat="1" x14ac:dyDescent="0.25">
      <c r="A253" s="3">
        <v>1622</v>
      </c>
      <c r="B253" s="9" t="s">
        <v>21</v>
      </c>
      <c r="C253" s="24">
        <v>3611462.4</v>
      </c>
      <c r="D253" s="9">
        <v>43405</v>
      </c>
      <c r="E253" s="25">
        <v>6.4</v>
      </c>
      <c r="F253" s="44"/>
      <c r="G253" s="18"/>
      <c r="H253" s="17"/>
    </row>
    <row r="254" spans="1:8" customFormat="1" x14ac:dyDescent="0.25">
      <c r="A254" s="3">
        <v>1622</v>
      </c>
      <c r="B254" s="9" t="s">
        <v>64</v>
      </c>
      <c r="C254" s="24">
        <v>3767611.53</v>
      </c>
      <c r="D254" s="9">
        <v>43405</v>
      </c>
      <c r="E254" s="25">
        <v>4.5</v>
      </c>
      <c r="F254" s="44"/>
      <c r="G254" s="18"/>
      <c r="H254" s="17"/>
    </row>
    <row r="255" spans="1:8" customFormat="1" x14ac:dyDescent="0.25">
      <c r="A255" s="3">
        <v>1622</v>
      </c>
      <c r="B255" s="9" t="s">
        <v>22</v>
      </c>
      <c r="C255" s="24">
        <v>3767611.53</v>
      </c>
      <c r="D255" s="9">
        <v>43405</v>
      </c>
      <c r="E255" s="25">
        <v>6.34</v>
      </c>
      <c r="F255" s="44"/>
      <c r="G255" s="18"/>
      <c r="H255" s="17"/>
    </row>
    <row r="256" spans="1:8" customFormat="1" x14ac:dyDescent="0.25">
      <c r="A256" s="3">
        <v>1622</v>
      </c>
      <c r="B256" s="9" t="s">
        <v>45</v>
      </c>
      <c r="C256" s="24">
        <v>4477341.0150000006</v>
      </c>
      <c r="D256" s="9">
        <v>43556</v>
      </c>
      <c r="E256" s="25">
        <v>7.73</v>
      </c>
      <c r="F256" s="44"/>
      <c r="G256" s="18"/>
      <c r="H256" s="17"/>
    </row>
    <row r="257" spans="1:8" customFormat="1" x14ac:dyDescent="0.25">
      <c r="A257" s="3">
        <v>1622</v>
      </c>
      <c r="B257" s="9" t="s">
        <v>46</v>
      </c>
      <c r="C257" s="24">
        <v>3062689.7</v>
      </c>
      <c r="D257" s="9">
        <v>43556</v>
      </c>
      <c r="E257" s="25">
        <v>7.73</v>
      </c>
      <c r="F257" s="44"/>
      <c r="G257" s="18"/>
      <c r="H257" s="17"/>
    </row>
    <row r="258" spans="1:8" customFormat="1" x14ac:dyDescent="0.25">
      <c r="A258" s="3">
        <v>1622</v>
      </c>
      <c r="B258" s="9" t="s">
        <v>48</v>
      </c>
      <c r="C258" s="24">
        <v>4854913</v>
      </c>
      <c r="D258" s="9">
        <v>43556</v>
      </c>
      <c r="E258" s="25">
        <v>7.73</v>
      </c>
      <c r="F258" s="44"/>
      <c r="G258" s="18"/>
      <c r="H258" s="17"/>
    </row>
    <row r="259" spans="1:8" customFormat="1" x14ac:dyDescent="0.25">
      <c r="A259" s="3">
        <v>1622</v>
      </c>
      <c r="B259" s="9" t="s">
        <v>49</v>
      </c>
      <c r="C259" s="24">
        <v>29161467</v>
      </c>
      <c r="D259" s="9">
        <v>43556</v>
      </c>
      <c r="E259" s="25">
        <v>7.73</v>
      </c>
      <c r="F259" s="44"/>
      <c r="G259" s="18"/>
      <c r="H259" s="17"/>
    </row>
    <row r="260" spans="1:8" customFormat="1" x14ac:dyDescent="0.25">
      <c r="A260" s="3">
        <v>1622</v>
      </c>
      <c r="B260" s="9" t="s">
        <v>50</v>
      </c>
      <c r="C260" s="24">
        <v>16582744.5</v>
      </c>
      <c r="D260" s="9">
        <v>43556</v>
      </c>
      <c r="E260" s="25">
        <v>7.73</v>
      </c>
      <c r="F260" s="44"/>
      <c r="G260" s="18"/>
      <c r="H260" s="17"/>
    </row>
    <row r="261" spans="1:8" customFormat="1" x14ac:dyDescent="0.25">
      <c r="A261" s="3">
        <v>1622</v>
      </c>
      <c r="B261" s="9" t="s">
        <v>52</v>
      </c>
      <c r="C261" s="24">
        <v>6633097.5</v>
      </c>
      <c r="D261" s="9">
        <v>43556</v>
      </c>
      <c r="E261" s="25">
        <v>5.73</v>
      </c>
      <c r="F261" s="44"/>
      <c r="G261" s="18"/>
      <c r="H261" s="17"/>
    </row>
    <row r="262" spans="1:8" customFormat="1" x14ac:dyDescent="0.25">
      <c r="A262" s="3">
        <v>1622</v>
      </c>
      <c r="B262" s="9" t="s">
        <v>53</v>
      </c>
      <c r="C262" s="24">
        <v>5088885</v>
      </c>
      <c r="D262" s="9">
        <v>43556</v>
      </c>
      <c r="E262" s="25">
        <v>7.73</v>
      </c>
      <c r="F262" s="44"/>
      <c r="G262" s="18"/>
      <c r="H262" s="17"/>
    </row>
    <row r="263" spans="1:8" customFormat="1" x14ac:dyDescent="0.25">
      <c r="A263" s="3">
        <v>1622</v>
      </c>
      <c r="B263" s="9" t="s">
        <v>54</v>
      </c>
      <c r="C263" s="24">
        <v>6663097.5</v>
      </c>
      <c r="D263" s="9">
        <v>43556</v>
      </c>
      <c r="E263" s="25">
        <v>7.73</v>
      </c>
      <c r="F263" s="44"/>
      <c r="G263" s="18"/>
      <c r="H263" s="17"/>
    </row>
    <row r="264" spans="1:8" customFormat="1" x14ac:dyDescent="0.25">
      <c r="A264" s="3">
        <v>1622</v>
      </c>
      <c r="B264" s="9" t="s">
        <v>55</v>
      </c>
      <c r="C264" s="24">
        <v>6663097.5</v>
      </c>
      <c r="D264" s="9">
        <v>43556</v>
      </c>
      <c r="E264" s="25">
        <v>7.73</v>
      </c>
      <c r="F264" s="44"/>
      <c r="G264" s="18"/>
      <c r="H264" s="17"/>
    </row>
    <row r="265" spans="1:8" customFormat="1" x14ac:dyDescent="0.25">
      <c r="A265" s="3">
        <v>1622</v>
      </c>
      <c r="B265" s="9" t="s">
        <v>56</v>
      </c>
      <c r="C265" s="24">
        <v>7922866.5</v>
      </c>
      <c r="D265" s="9">
        <v>43556</v>
      </c>
      <c r="E265" s="25">
        <v>7.73</v>
      </c>
      <c r="F265" s="44"/>
      <c r="G265" s="18"/>
      <c r="H265" s="17"/>
    </row>
    <row r="266" spans="1:8" customFormat="1" x14ac:dyDescent="0.25">
      <c r="A266" s="3">
        <v>1622</v>
      </c>
      <c r="B266" s="9" t="s">
        <v>57</v>
      </c>
      <c r="C266" s="24">
        <v>7896546</v>
      </c>
      <c r="D266" s="9">
        <v>43556</v>
      </c>
      <c r="E266" s="25">
        <v>7.73</v>
      </c>
      <c r="F266" s="44"/>
      <c r="G266" s="18"/>
      <c r="H266" s="17"/>
    </row>
    <row r="267" spans="1:8" customFormat="1" x14ac:dyDescent="0.25">
      <c r="A267" s="3">
        <v>1622</v>
      </c>
      <c r="B267" s="9" t="s">
        <v>58</v>
      </c>
      <c r="C267" s="24">
        <v>5159076</v>
      </c>
      <c r="D267" s="9">
        <v>43556</v>
      </c>
      <c r="E267" s="25">
        <v>7.73</v>
      </c>
      <c r="F267" s="44"/>
      <c r="G267" s="18"/>
      <c r="H267" s="17"/>
    </row>
    <row r="268" spans="1:8" customFormat="1" x14ac:dyDescent="0.25">
      <c r="A268" s="3">
        <v>1622</v>
      </c>
      <c r="B268" s="9" t="s">
        <v>59</v>
      </c>
      <c r="C268" s="24">
        <v>1658274</v>
      </c>
      <c r="D268" s="9">
        <v>43556</v>
      </c>
      <c r="E268" s="25">
        <v>7.73</v>
      </c>
      <c r="F268" s="44"/>
      <c r="G268" s="18"/>
      <c r="H268" s="17"/>
    </row>
    <row r="269" spans="1:8" customFormat="1" x14ac:dyDescent="0.25">
      <c r="A269" s="3">
        <v>1622</v>
      </c>
      <c r="B269" s="9" t="s">
        <v>35</v>
      </c>
      <c r="C269" s="24">
        <v>3906157.7699999996</v>
      </c>
      <c r="D269" s="9">
        <v>43556</v>
      </c>
      <c r="E269" s="25">
        <v>3.73</v>
      </c>
      <c r="F269" s="44"/>
      <c r="G269" s="18"/>
      <c r="H269" s="17"/>
    </row>
    <row r="270" spans="1:8" customFormat="1" x14ac:dyDescent="0.25">
      <c r="A270" s="3">
        <v>1622</v>
      </c>
      <c r="B270" s="9" t="s">
        <v>62</v>
      </c>
      <c r="C270" s="24">
        <v>4687389.96</v>
      </c>
      <c r="D270" s="9">
        <v>43556</v>
      </c>
      <c r="E270" s="25">
        <v>1.73</v>
      </c>
      <c r="F270" s="44"/>
      <c r="G270" s="18"/>
      <c r="H270" s="17"/>
    </row>
    <row r="271" spans="1:8" customFormat="1" x14ac:dyDescent="0.25">
      <c r="A271" s="3">
        <v>1622</v>
      </c>
      <c r="B271" s="9" t="s">
        <v>63</v>
      </c>
      <c r="C271" s="24">
        <v>4687389.96</v>
      </c>
      <c r="D271" s="9">
        <v>43556</v>
      </c>
      <c r="E271" s="25">
        <v>0.73</v>
      </c>
      <c r="F271" s="44"/>
      <c r="G271" s="18"/>
      <c r="H271" s="17"/>
    </row>
    <row r="272" spans="1:8" customFormat="1" x14ac:dyDescent="0.25">
      <c r="A272" s="3">
        <v>1622</v>
      </c>
      <c r="B272" s="9" t="s">
        <v>64</v>
      </c>
      <c r="C272" s="24">
        <v>3906157.7699999996</v>
      </c>
      <c r="D272" s="9">
        <v>43556</v>
      </c>
      <c r="E272" s="25">
        <v>1.73</v>
      </c>
      <c r="F272" s="44"/>
      <c r="G272" s="18"/>
      <c r="H272" s="17"/>
    </row>
    <row r="273" spans="1:8" customFormat="1" x14ac:dyDescent="0.25">
      <c r="A273" s="3">
        <v>1622</v>
      </c>
      <c r="B273" s="9" t="s">
        <v>22</v>
      </c>
      <c r="C273" s="24">
        <v>3906157.7699999996</v>
      </c>
      <c r="D273" s="9">
        <v>43556</v>
      </c>
      <c r="E273" s="25">
        <v>7.73</v>
      </c>
      <c r="F273" s="44"/>
      <c r="G273" s="18"/>
      <c r="H273" s="17"/>
    </row>
    <row r="274" spans="1:8" customFormat="1" x14ac:dyDescent="0.25">
      <c r="A274" s="3">
        <v>1588</v>
      </c>
      <c r="B274" s="9" t="s">
        <v>19</v>
      </c>
      <c r="C274" s="24">
        <v>2527200</v>
      </c>
      <c r="D274" s="9">
        <v>42186</v>
      </c>
      <c r="E274" s="25">
        <v>9</v>
      </c>
      <c r="F274" s="44">
        <v>2015</v>
      </c>
      <c r="G274" s="18"/>
      <c r="H274" s="17"/>
    </row>
    <row r="275" spans="1:8" customFormat="1" x14ac:dyDescent="0.25">
      <c r="A275" s="3">
        <v>1588</v>
      </c>
      <c r="B275" s="9" t="s">
        <v>19</v>
      </c>
      <c r="C275" s="24">
        <v>1263600</v>
      </c>
      <c r="D275" s="9">
        <v>42186</v>
      </c>
      <c r="E275" s="25">
        <v>3</v>
      </c>
      <c r="F275" s="44">
        <v>2015</v>
      </c>
      <c r="G275" s="18"/>
      <c r="H275" s="17"/>
    </row>
    <row r="276" spans="1:8" customFormat="1" x14ac:dyDescent="0.25">
      <c r="A276" s="3">
        <v>1588</v>
      </c>
      <c r="B276" s="9" t="s">
        <v>28</v>
      </c>
      <c r="C276" s="24">
        <v>2400000</v>
      </c>
      <c r="D276" s="9">
        <v>42186</v>
      </c>
      <c r="E276" s="25">
        <v>4</v>
      </c>
      <c r="F276" s="44">
        <v>2015</v>
      </c>
      <c r="G276" s="18"/>
      <c r="H276" s="17"/>
    </row>
    <row r="277" spans="1:8" customFormat="1" x14ac:dyDescent="0.25">
      <c r="A277" s="3">
        <v>1588</v>
      </c>
      <c r="B277" s="9" t="s">
        <v>28</v>
      </c>
      <c r="C277" s="24">
        <v>4800000</v>
      </c>
      <c r="D277" s="9">
        <v>42186</v>
      </c>
      <c r="E277" s="25">
        <v>5</v>
      </c>
      <c r="F277" s="44">
        <v>2015</v>
      </c>
      <c r="G277" s="18"/>
      <c r="H277" s="17"/>
    </row>
    <row r="278" spans="1:8" customFormat="1" x14ac:dyDescent="0.25">
      <c r="A278" s="3">
        <v>1588</v>
      </c>
      <c r="B278" s="9" t="s">
        <v>29</v>
      </c>
      <c r="C278" s="24">
        <v>2100000</v>
      </c>
      <c r="D278" s="9">
        <v>42186</v>
      </c>
      <c r="E278" s="25">
        <v>11</v>
      </c>
      <c r="F278" s="44">
        <v>2015</v>
      </c>
      <c r="G278" s="18"/>
      <c r="H278" s="17"/>
    </row>
    <row r="279" spans="1:8" customFormat="1" x14ac:dyDescent="0.25">
      <c r="A279" s="3">
        <v>1588</v>
      </c>
      <c r="B279" s="9" t="s">
        <v>30</v>
      </c>
      <c r="C279" s="24">
        <v>4800000</v>
      </c>
      <c r="D279" s="9">
        <v>42186</v>
      </c>
      <c r="E279" s="25">
        <v>3</v>
      </c>
      <c r="F279" s="44">
        <v>2015</v>
      </c>
      <c r="G279" s="18"/>
      <c r="H279" s="17"/>
    </row>
    <row r="280" spans="1:8" customFormat="1" x14ac:dyDescent="0.25">
      <c r="A280" s="3">
        <v>1588</v>
      </c>
      <c r="B280" s="9" t="s">
        <v>31</v>
      </c>
      <c r="C280" s="24">
        <v>765000</v>
      </c>
      <c r="D280" s="9">
        <v>42186</v>
      </c>
      <c r="E280" s="25">
        <v>4</v>
      </c>
      <c r="F280" s="44">
        <v>2015</v>
      </c>
      <c r="G280" s="18"/>
      <c r="H280" s="17"/>
    </row>
    <row r="281" spans="1:8" customFormat="1" x14ac:dyDescent="0.25">
      <c r="A281" s="3">
        <v>1588</v>
      </c>
      <c r="B281" s="9" t="s">
        <v>251</v>
      </c>
      <c r="C281" s="24">
        <v>765000</v>
      </c>
      <c r="D281" s="9">
        <v>42186</v>
      </c>
      <c r="E281" s="25">
        <v>4</v>
      </c>
      <c r="F281" s="44">
        <v>2015</v>
      </c>
      <c r="G281" s="18"/>
      <c r="H281" s="17"/>
    </row>
    <row r="282" spans="1:8" customFormat="1" x14ac:dyDescent="0.25">
      <c r="A282" s="3">
        <v>1588</v>
      </c>
      <c r="B282" s="9" t="s">
        <v>250</v>
      </c>
      <c r="C282" s="24">
        <v>765000</v>
      </c>
      <c r="D282" s="9">
        <v>42186</v>
      </c>
      <c r="E282" s="25">
        <v>4</v>
      </c>
      <c r="F282" s="44">
        <v>2015</v>
      </c>
      <c r="G282" s="18"/>
      <c r="H282" s="17"/>
    </row>
    <row r="283" spans="1:8" customFormat="1" x14ac:dyDescent="0.25">
      <c r="A283" s="3">
        <v>1588</v>
      </c>
      <c r="B283" s="9" t="s">
        <v>32</v>
      </c>
      <c r="C283" s="24">
        <v>765000</v>
      </c>
      <c r="D283" s="9">
        <v>42186</v>
      </c>
      <c r="E283" s="25">
        <v>3</v>
      </c>
      <c r="F283" s="44">
        <v>2015</v>
      </c>
      <c r="G283" s="18"/>
      <c r="H283" s="17"/>
    </row>
    <row r="284" spans="1:8" customFormat="1" x14ac:dyDescent="0.25">
      <c r="A284" s="3">
        <v>1588</v>
      </c>
      <c r="B284" s="9" t="s">
        <v>19</v>
      </c>
      <c r="C284" s="24">
        <v>2527200</v>
      </c>
      <c r="D284" s="9">
        <v>42339</v>
      </c>
      <c r="E284" s="25">
        <v>46</v>
      </c>
      <c r="F284" s="44">
        <v>2015</v>
      </c>
      <c r="G284" s="18"/>
      <c r="H284" s="17"/>
    </row>
    <row r="285" spans="1:8" customFormat="1" x14ac:dyDescent="0.25">
      <c r="A285" s="3">
        <v>1588</v>
      </c>
      <c r="B285" s="9" t="s">
        <v>12</v>
      </c>
      <c r="C285" s="24">
        <v>7950000</v>
      </c>
      <c r="D285" s="9">
        <v>42370</v>
      </c>
      <c r="E285" s="25">
        <v>28</v>
      </c>
      <c r="F285" s="44">
        <v>2015</v>
      </c>
      <c r="G285" s="18"/>
      <c r="H285" s="17"/>
    </row>
    <row r="286" spans="1:8" customFormat="1" x14ac:dyDescent="0.25">
      <c r="A286" s="3">
        <v>1588</v>
      </c>
      <c r="B286" s="9" t="s">
        <v>30</v>
      </c>
      <c r="C286" s="24">
        <v>5850000</v>
      </c>
      <c r="D286" s="9">
        <v>42370</v>
      </c>
      <c r="E286" s="25">
        <v>27</v>
      </c>
      <c r="F286" s="44">
        <v>2015</v>
      </c>
      <c r="G286" s="18"/>
      <c r="H286" s="17"/>
    </row>
    <row r="287" spans="1:8" customFormat="1" x14ac:dyDescent="0.25">
      <c r="A287" s="3">
        <v>1588</v>
      </c>
      <c r="B287" s="9" t="s">
        <v>14</v>
      </c>
      <c r="C287" s="24">
        <v>3375000</v>
      </c>
      <c r="D287" s="9">
        <v>42370</v>
      </c>
      <c r="E287" s="25">
        <v>12</v>
      </c>
      <c r="F287" s="44">
        <v>2015</v>
      </c>
      <c r="G287" s="18"/>
      <c r="H287" s="17"/>
    </row>
    <row r="288" spans="1:8" customFormat="1" x14ac:dyDescent="0.25">
      <c r="A288" s="3">
        <v>1588</v>
      </c>
      <c r="B288" s="9" t="s">
        <v>14</v>
      </c>
      <c r="C288" s="24">
        <v>6750000</v>
      </c>
      <c r="D288" s="9">
        <v>42370</v>
      </c>
      <c r="E288" s="25">
        <v>10</v>
      </c>
      <c r="F288" s="44">
        <v>2015</v>
      </c>
      <c r="G288" s="18"/>
      <c r="H288" s="17"/>
    </row>
    <row r="289" spans="1:8" customFormat="1" x14ac:dyDescent="0.25">
      <c r="A289" s="3">
        <v>1588</v>
      </c>
      <c r="B289" s="9" t="s">
        <v>25</v>
      </c>
      <c r="C289" s="24">
        <v>3900000</v>
      </c>
      <c r="D289" s="9">
        <v>42370</v>
      </c>
      <c r="E289" s="25">
        <v>25</v>
      </c>
      <c r="F289" s="44">
        <v>2015</v>
      </c>
      <c r="G289" s="18"/>
      <c r="H289" s="17"/>
    </row>
    <row r="290" spans="1:8" customFormat="1" x14ac:dyDescent="0.25">
      <c r="A290" s="3">
        <v>1588</v>
      </c>
      <c r="B290" s="9" t="s">
        <v>34</v>
      </c>
      <c r="C290" s="24">
        <v>4800000</v>
      </c>
      <c r="D290" s="9">
        <v>42370</v>
      </c>
      <c r="E290" s="25">
        <v>11</v>
      </c>
      <c r="F290" s="44">
        <v>2015</v>
      </c>
      <c r="G290" s="18"/>
      <c r="H290" s="17"/>
    </row>
    <row r="291" spans="1:8" customFormat="1" x14ac:dyDescent="0.25">
      <c r="A291" s="3">
        <v>1588</v>
      </c>
      <c r="B291" s="9" t="s">
        <v>35</v>
      </c>
      <c r="C291" s="24">
        <v>3020999.9999999995</v>
      </c>
      <c r="D291" s="9">
        <v>42370</v>
      </c>
      <c r="E291" s="25">
        <v>29</v>
      </c>
      <c r="F291" s="44">
        <v>2015</v>
      </c>
      <c r="G291" s="18"/>
      <c r="H291" s="17"/>
    </row>
    <row r="292" spans="1:8" customFormat="1" x14ac:dyDescent="0.25">
      <c r="A292" s="3">
        <v>1588</v>
      </c>
      <c r="B292" s="9" t="s">
        <v>252</v>
      </c>
      <c r="C292" s="24">
        <v>3020999.9999999995</v>
      </c>
      <c r="D292" s="9">
        <v>42370</v>
      </c>
      <c r="E292" s="25">
        <v>10</v>
      </c>
      <c r="F292" s="44">
        <v>2015</v>
      </c>
      <c r="G292" s="18"/>
      <c r="H292" s="17"/>
    </row>
    <row r="293" spans="1:8" customFormat="1" x14ac:dyDescent="0.25">
      <c r="A293" s="3">
        <v>1588</v>
      </c>
      <c r="B293" s="9" t="s">
        <v>36</v>
      </c>
      <c r="C293" s="24">
        <v>3338999.9999999995</v>
      </c>
      <c r="D293" s="9">
        <v>42370</v>
      </c>
      <c r="E293" s="25">
        <v>20</v>
      </c>
      <c r="F293" s="44">
        <v>2015</v>
      </c>
      <c r="G293" s="18"/>
      <c r="H293" s="17"/>
    </row>
    <row r="294" spans="1:8" customFormat="1" x14ac:dyDescent="0.25">
      <c r="A294" s="3">
        <v>1588</v>
      </c>
      <c r="B294" s="9" t="s">
        <v>21</v>
      </c>
      <c r="C294" s="24">
        <v>3020999.9999999995</v>
      </c>
      <c r="D294" s="9">
        <v>42370</v>
      </c>
      <c r="E294" s="25">
        <v>20</v>
      </c>
      <c r="F294" s="44">
        <v>2015</v>
      </c>
      <c r="G294" s="18"/>
      <c r="H294" s="17"/>
    </row>
    <row r="295" spans="1:8" customFormat="1" x14ac:dyDescent="0.25">
      <c r="A295" s="3">
        <v>1588</v>
      </c>
      <c r="B295" s="9" t="s">
        <v>24</v>
      </c>
      <c r="C295" s="24">
        <v>2861999.9999999995</v>
      </c>
      <c r="D295" s="9">
        <v>42370</v>
      </c>
      <c r="E295" s="25">
        <v>29</v>
      </c>
      <c r="F295" s="44">
        <v>2015</v>
      </c>
      <c r="G295" s="18"/>
      <c r="H295" s="17"/>
    </row>
    <row r="296" spans="1:8" customFormat="1" x14ac:dyDescent="0.25">
      <c r="A296" s="3">
        <v>1723</v>
      </c>
      <c r="B296" s="9" t="s">
        <v>19</v>
      </c>
      <c r="C296" s="24">
        <v>4860000</v>
      </c>
      <c r="D296" s="9">
        <v>42614</v>
      </c>
      <c r="E296" s="25">
        <v>34</v>
      </c>
      <c r="F296" s="44">
        <v>2016</v>
      </c>
      <c r="G296" s="18"/>
      <c r="H296" s="17"/>
    </row>
    <row r="297" spans="1:8" customFormat="1" x14ac:dyDescent="0.25">
      <c r="A297" s="3">
        <v>1723</v>
      </c>
      <c r="B297" s="9" t="s">
        <v>94</v>
      </c>
      <c r="C297" s="24">
        <v>9000000</v>
      </c>
      <c r="D297" s="9">
        <v>42614</v>
      </c>
      <c r="E297" s="25">
        <v>34</v>
      </c>
      <c r="F297" s="44">
        <v>2016</v>
      </c>
      <c r="G297" s="18"/>
      <c r="H297" s="17"/>
    </row>
    <row r="298" spans="1:8" customFormat="1" x14ac:dyDescent="0.25">
      <c r="A298" s="3">
        <v>1723</v>
      </c>
      <c r="B298" s="9" t="s">
        <v>90</v>
      </c>
      <c r="C298" s="24">
        <v>766800</v>
      </c>
      <c r="D298" s="9">
        <v>42614</v>
      </c>
      <c r="E298" s="25">
        <v>34</v>
      </c>
      <c r="F298" s="44">
        <v>2016</v>
      </c>
      <c r="G298" s="18"/>
      <c r="H298" s="17"/>
    </row>
    <row r="299" spans="1:8" customFormat="1" x14ac:dyDescent="0.25">
      <c r="A299" s="3">
        <v>1723</v>
      </c>
      <c r="B299" s="9" t="s">
        <v>29</v>
      </c>
      <c r="C299" s="24">
        <v>3900000</v>
      </c>
      <c r="D299" s="9">
        <v>42614</v>
      </c>
      <c r="E299" s="25">
        <v>34</v>
      </c>
      <c r="F299" s="44">
        <v>2016</v>
      </c>
      <c r="G299" s="18"/>
      <c r="H299" s="17"/>
    </row>
    <row r="300" spans="1:8" customFormat="1" x14ac:dyDescent="0.25">
      <c r="A300" s="3">
        <v>1723</v>
      </c>
      <c r="B300" s="9" t="s">
        <v>95</v>
      </c>
      <c r="C300" s="24">
        <v>6150000</v>
      </c>
      <c r="D300" s="9">
        <v>42614</v>
      </c>
      <c r="E300" s="25">
        <v>24</v>
      </c>
      <c r="F300" s="44">
        <v>2016</v>
      </c>
      <c r="G300" s="18"/>
      <c r="H300" s="17"/>
    </row>
    <row r="301" spans="1:8" customFormat="1" x14ac:dyDescent="0.25">
      <c r="A301" s="3">
        <v>1723</v>
      </c>
      <c r="B301" s="9" t="s">
        <v>14</v>
      </c>
      <c r="C301" s="24">
        <v>2115000</v>
      </c>
      <c r="D301" s="9">
        <v>42767</v>
      </c>
      <c r="E301" s="25">
        <v>29</v>
      </c>
      <c r="F301" s="44">
        <v>2016</v>
      </c>
      <c r="G301" s="18"/>
      <c r="H301" s="17"/>
    </row>
    <row r="302" spans="1:8" customFormat="1" x14ac:dyDescent="0.25">
      <c r="A302" s="3">
        <v>1723</v>
      </c>
      <c r="B302" s="9" t="s">
        <v>39</v>
      </c>
      <c r="C302" s="24">
        <v>5100000</v>
      </c>
      <c r="D302" s="9">
        <v>42614</v>
      </c>
      <c r="E302" s="25">
        <v>34</v>
      </c>
      <c r="F302" s="44">
        <v>2016</v>
      </c>
      <c r="G302" s="18"/>
      <c r="H302" s="17"/>
    </row>
    <row r="303" spans="1:8" customFormat="1" x14ac:dyDescent="0.25">
      <c r="A303" s="3">
        <v>1723</v>
      </c>
      <c r="B303" s="9" t="s">
        <v>96</v>
      </c>
      <c r="C303" s="24">
        <v>2250000</v>
      </c>
      <c r="D303" s="9">
        <v>42614</v>
      </c>
      <c r="E303" s="25">
        <v>34</v>
      </c>
      <c r="F303" s="44">
        <v>2016</v>
      </c>
      <c r="G303" s="18"/>
      <c r="H303" s="17"/>
    </row>
    <row r="304" spans="1:8" customFormat="1" x14ac:dyDescent="0.25">
      <c r="A304" s="3">
        <v>1723</v>
      </c>
      <c r="B304" s="9" t="s">
        <v>35</v>
      </c>
      <c r="C304" s="24">
        <v>3497999.9999999995</v>
      </c>
      <c r="D304" s="9">
        <v>42614</v>
      </c>
      <c r="E304" s="25">
        <v>34</v>
      </c>
      <c r="F304" s="44">
        <v>2016</v>
      </c>
      <c r="G304" s="18"/>
      <c r="H304" s="17"/>
    </row>
    <row r="305" spans="1:8" customFormat="1" x14ac:dyDescent="0.25">
      <c r="A305" s="3">
        <v>1723</v>
      </c>
      <c r="B305" s="9" t="s">
        <v>97</v>
      </c>
      <c r="C305" s="24">
        <v>3211799.9999999995</v>
      </c>
      <c r="D305" s="9">
        <v>42614</v>
      </c>
      <c r="E305" s="25">
        <v>34</v>
      </c>
      <c r="F305" s="44">
        <v>2016</v>
      </c>
      <c r="G305" s="18"/>
      <c r="H305" s="17"/>
    </row>
    <row r="306" spans="1:8" customFormat="1" x14ac:dyDescent="0.25">
      <c r="A306" s="3">
        <v>1723</v>
      </c>
      <c r="B306" s="9" t="s">
        <v>79</v>
      </c>
      <c r="C306" s="24">
        <v>3211799.9999999995</v>
      </c>
      <c r="D306" s="9">
        <v>43160</v>
      </c>
      <c r="E306" s="25">
        <v>16</v>
      </c>
      <c r="F306" s="44">
        <v>2016</v>
      </c>
      <c r="G306" s="18"/>
      <c r="H306" s="17"/>
    </row>
    <row r="307" spans="1:8" customFormat="1" x14ac:dyDescent="0.25">
      <c r="A307" s="3">
        <v>1723</v>
      </c>
      <c r="B307" s="9" t="s">
        <v>23</v>
      </c>
      <c r="C307" s="24">
        <v>3497999.9999999995</v>
      </c>
      <c r="D307" s="9">
        <v>42767</v>
      </c>
      <c r="E307" s="25">
        <v>29</v>
      </c>
      <c r="F307" s="44">
        <v>2016</v>
      </c>
      <c r="G307" s="18"/>
      <c r="H307" s="17"/>
    </row>
    <row r="308" spans="1:8" customFormat="1" x14ac:dyDescent="0.25">
      <c r="A308" s="3">
        <v>1723</v>
      </c>
      <c r="B308" s="9" t="s">
        <v>98</v>
      </c>
      <c r="C308" s="24">
        <v>3732975</v>
      </c>
      <c r="D308" s="9">
        <v>43160</v>
      </c>
      <c r="E308" s="25">
        <v>2</v>
      </c>
      <c r="F308" s="44">
        <v>2018</v>
      </c>
      <c r="G308" s="18"/>
      <c r="H308" s="17"/>
    </row>
    <row r="309" spans="1:8" customFormat="1" x14ac:dyDescent="0.25">
      <c r="A309" s="3">
        <v>1723</v>
      </c>
      <c r="B309" s="9" t="s">
        <v>100</v>
      </c>
      <c r="C309" s="24">
        <v>5718600</v>
      </c>
      <c r="D309" s="9">
        <v>43160</v>
      </c>
      <c r="E309" s="25">
        <v>2</v>
      </c>
      <c r="F309" s="44">
        <v>2018</v>
      </c>
      <c r="G309" s="18"/>
      <c r="H309" s="17"/>
    </row>
    <row r="310" spans="1:8" customFormat="1" x14ac:dyDescent="0.25">
      <c r="A310" s="3">
        <v>1723</v>
      </c>
      <c r="B310" s="9" t="s">
        <v>101</v>
      </c>
      <c r="C310" s="24">
        <v>5499891</v>
      </c>
      <c r="D310" s="9">
        <v>43160</v>
      </c>
      <c r="E310" s="25">
        <v>10</v>
      </c>
      <c r="F310" s="44">
        <v>2018</v>
      </c>
      <c r="G310" s="18"/>
      <c r="H310" s="17"/>
    </row>
    <row r="311" spans="1:8" customFormat="1" x14ac:dyDescent="0.25">
      <c r="A311" s="3">
        <v>1723</v>
      </c>
      <c r="B311" s="9" t="s">
        <v>24</v>
      </c>
      <c r="C311" s="24">
        <v>3430739.82</v>
      </c>
      <c r="D311" s="9">
        <v>43160</v>
      </c>
      <c r="E311" s="25">
        <v>10</v>
      </c>
      <c r="F311" s="44">
        <v>2018</v>
      </c>
      <c r="G311" s="18"/>
      <c r="H311" s="17"/>
    </row>
    <row r="312" spans="1:8" customFormat="1" x14ac:dyDescent="0.25">
      <c r="A312" s="3">
        <v>1723</v>
      </c>
      <c r="B312" s="9" t="s">
        <v>102</v>
      </c>
      <c r="C312" s="24">
        <v>6719355</v>
      </c>
      <c r="D312" s="9">
        <v>43160</v>
      </c>
      <c r="E312" s="25">
        <v>8</v>
      </c>
      <c r="F312" s="44">
        <v>2018</v>
      </c>
      <c r="G312" s="18"/>
      <c r="H312" s="17"/>
    </row>
    <row r="313" spans="1:8" customFormat="1" x14ac:dyDescent="0.25">
      <c r="A313" s="3">
        <v>1723</v>
      </c>
      <c r="B313" s="9" t="s">
        <v>103</v>
      </c>
      <c r="C313" s="24">
        <v>5718600</v>
      </c>
      <c r="D313" s="9">
        <v>43191</v>
      </c>
      <c r="E313" s="25">
        <v>9</v>
      </c>
      <c r="F313" s="44">
        <v>2018</v>
      </c>
      <c r="G313" s="18"/>
      <c r="H313" s="17"/>
    </row>
    <row r="314" spans="1:8" customFormat="1" x14ac:dyDescent="0.25">
      <c r="A314" s="3">
        <v>1723</v>
      </c>
      <c r="B314" s="9" t="s">
        <v>104</v>
      </c>
      <c r="C314" s="24">
        <v>4546287</v>
      </c>
      <c r="D314" s="9">
        <v>43160</v>
      </c>
      <c r="E314" s="25">
        <v>6</v>
      </c>
      <c r="F314" s="44">
        <v>2018</v>
      </c>
      <c r="G314" s="18"/>
      <c r="H314" s="17"/>
    </row>
    <row r="315" spans="1:8" customFormat="1" x14ac:dyDescent="0.25">
      <c r="A315" s="3">
        <v>1723</v>
      </c>
      <c r="B315" s="9" t="s">
        <v>105</v>
      </c>
      <c r="C315" s="24">
        <v>469547.67</v>
      </c>
      <c r="D315" s="9">
        <v>43160</v>
      </c>
      <c r="E315" s="25">
        <v>1</v>
      </c>
      <c r="F315" s="44">
        <v>2018</v>
      </c>
      <c r="G315" s="18"/>
      <c r="H315" s="17"/>
    </row>
    <row r="316" spans="1:8" customFormat="1" x14ac:dyDescent="0.25">
      <c r="A316" s="3">
        <v>1723</v>
      </c>
      <c r="B316" s="9" t="s">
        <v>106</v>
      </c>
      <c r="C316" s="24">
        <v>3923277.3</v>
      </c>
      <c r="D316" s="9">
        <v>43160</v>
      </c>
      <c r="E316" s="25">
        <v>10</v>
      </c>
      <c r="F316" s="44">
        <v>2018</v>
      </c>
      <c r="G316" s="18"/>
      <c r="H316" s="17"/>
    </row>
    <row r="317" spans="1:8" customFormat="1" x14ac:dyDescent="0.25">
      <c r="A317" s="3">
        <v>1723</v>
      </c>
      <c r="B317" s="9" t="s">
        <v>24</v>
      </c>
      <c r="C317" s="24">
        <v>3468648.5999999996</v>
      </c>
      <c r="D317" s="9">
        <v>43160</v>
      </c>
      <c r="E317" s="25">
        <v>10</v>
      </c>
      <c r="F317" s="44">
        <v>2018</v>
      </c>
      <c r="G317" s="18"/>
      <c r="H317" s="17"/>
    </row>
    <row r="318" spans="1:8" customFormat="1" x14ac:dyDescent="0.25">
      <c r="A318" s="3">
        <v>1723</v>
      </c>
      <c r="B318" s="9" t="s">
        <v>19</v>
      </c>
      <c r="C318" s="24">
        <v>12849694.199999999</v>
      </c>
      <c r="D318" s="9">
        <v>43160</v>
      </c>
      <c r="E318" s="25">
        <v>10</v>
      </c>
      <c r="F318" s="44">
        <v>2018</v>
      </c>
      <c r="G318" s="18"/>
      <c r="H318" s="17"/>
    </row>
    <row r="319" spans="1:8" customFormat="1" x14ac:dyDescent="0.25">
      <c r="A319" s="3">
        <v>1723</v>
      </c>
      <c r="B319" s="9" t="s">
        <v>17</v>
      </c>
      <c r="C319" s="24">
        <v>3923277.3</v>
      </c>
      <c r="D319" s="9">
        <v>43160</v>
      </c>
      <c r="E319" s="25">
        <v>9</v>
      </c>
      <c r="F319" s="44">
        <v>2018</v>
      </c>
      <c r="G319" s="18"/>
      <c r="H319" s="17"/>
    </row>
    <row r="320" spans="1:8" customFormat="1" x14ac:dyDescent="0.25">
      <c r="A320" s="3">
        <v>1723</v>
      </c>
      <c r="B320" s="9" t="s">
        <v>17</v>
      </c>
      <c r="C320" s="24">
        <v>3923277.3</v>
      </c>
      <c r="D320" s="9">
        <v>43160</v>
      </c>
      <c r="E320" s="25">
        <v>10</v>
      </c>
      <c r="F320" s="44">
        <v>2018</v>
      </c>
      <c r="G320" s="18"/>
      <c r="H320" s="17"/>
    </row>
    <row r="321" spans="1:8" customFormat="1" x14ac:dyDescent="0.25">
      <c r="A321" s="3">
        <v>1723</v>
      </c>
      <c r="B321" s="9" t="s">
        <v>107</v>
      </c>
      <c r="C321" s="24">
        <v>5718600</v>
      </c>
      <c r="D321" s="9">
        <v>43191</v>
      </c>
      <c r="E321" s="25">
        <v>9</v>
      </c>
      <c r="F321" s="44">
        <v>2018</v>
      </c>
      <c r="G321" s="18"/>
      <c r="H321" s="17"/>
    </row>
    <row r="322" spans="1:8" customFormat="1" x14ac:dyDescent="0.25">
      <c r="A322" s="3">
        <v>1723</v>
      </c>
      <c r="B322" s="9" t="s">
        <v>107</v>
      </c>
      <c r="C322" s="24">
        <v>5718600</v>
      </c>
      <c r="D322" s="9">
        <v>43191</v>
      </c>
      <c r="E322" s="25">
        <v>9</v>
      </c>
      <c r="F322" s="44">
        <v>2018</v>
      </c>
      <c r="G322" s="18"/>
      <c r="H322" s="17"/>
    </row>
    <row r="323" spans="1:8" customFormat="1" x14ac:dyDescent="0.25">
      <c r="A323" s="3">
        <v>1723</v>
      </c>
      <c r="B323" s="9" t="s">
        <v>17</v>
      </c>
      <c r="C323" s="24">
        <v>3923277.3</v>
      </c>
      <c r="D323" s="9">
        <v>43191</v>
      </c>
      <c r="E323" s="25">
        <v>9</v>
      </c>
      <c r="F323" s="44">
        <v>2018</v>
      </c>
      <c r="G323" s="18"/>
      <c r="H323" s="17"/>
    </row>
    <row r="324" spans="1:8" customFormat="1" x14ac:dyDescent="0.25">
      <c r="A324" s="3">
        <v>1723</v>
      </c>
      <c r="B324" s="9" t="s">
        <v>17</v>
      </c>
      <c r="C324" s="24">
        <v>3923277.3</v>
      </c>
      <c r="D324" s="9">
        <v>43160</v>
      </c>
      <c r="E324" s="25">
        <v>10</v>
      </c>
      <c r="F324" s="44">
        <v>2018</v>
      </c>
      <c r="G324" s="18"/>
      <c r="H324" s="17"/>
    </row>
    <row r="325" spans="1:8" customFormat="1" x14ac:dyDescent="0.25">
      <c r="A325" s="3">
        <v>1723</v>
      </c>
      <c r="B325" s="9" t="s">
        <v>108</v>
      </c>
      <c r="C325" s="24">
        <v>5925000</v>
      </c>
      <c r="D325" s="9">
        <v>43221</v>
      </c>
      <c r="E325" s="25">
        <v>8</v>
      </c>
      <c r="F325" s="44">
        <v>2018</v>
      </c>
      <c r="G325" s="18"/>
      <c r="H325" s="17"/>
    </row>
    <row r="326" spans="1:8" customFormat="1" x14ac:dyDescent="0.25">
      <c r="A326" s="3">
        <v>1723</v>
      </c>
      <c r="B326" s="9" t="s">
        <v>108</v>
      </c>
      <c r="C326" s="24">
        <v>6221250</v>
      </c>
      <c r="D326" s="9">
        <v>43466</v>
      </c>
      <c r="E326" s="25">
        <v>2</v>
      </c>
      <c r="F326" s="44">
        <v>2019</v>
      </c>
      <c r="G326" s="18"/>
      <c r="H326" s="17"/>
    </row>
    <row r="327" spans="1:8" customFormat="1" x14ac:dyDescent="0.25">
      <c r="A327" s="3">
        <v>1723</v>
      </c>
      <c r="B327" s="9" t="s">
        <v>110</v>
      </c>
      <c r="C327" s="24">
        <v>5925000</v>
      </c>
      <c r="D327" s="9">
        <v>43221</v>
      </c>
      <c r="E327" s="25">
        <v>8</v>
      </c>
      <c r="F327" s="44">
        <v>2018</v>
      </c>
      <c r="G327" s="18"/>
      <c r="H327" s="17"/>
    </row>
    <row r="328" spans="1:8" customFormat="1" x14ac:dyDescent="0.25">
      <c r="A328" s="3">
        <v>1723</v>
      </c>
      <c r="B328" s="9" t="s">
        <v>110</v>
      </c>
      <c r="C328" s="24">
        <v>6221250</v>
      </c>
      <c r="D328" s="9">
        <v>43466</v>
      </c>
      <c r="E328" s="25">
        <v>4</v>
      </c>
      <c r="F328" s="44">
        <v>2019</v>
      </c>
      <c r="G328" s="18"/>
      <c r="H328" s="17"/>
    </row>
    <row r="329" spans="1:8" customFormat="1" x14ac:dyDescent="0.25">
      <c r="A329" s="3">
        <v>1723</v>
      </c>
      <c r="B329" s="9" t="s">
        <v>111</v>
      </c>
      <c r="C329" s="24">
        <v>5925000</v>
      </c>
      <c r="D329" s="9">
        <v>43221</v>
      </c>
      <c r="E329" s="25">
        <v>8</v>
      </c>
      <c r="F329" s="44">
        <v>2018</v>
      </c>
      <c r="G329" s="18"/>
      <c r="H329" s="17"/>
    </row>
    <row r="330" spans="1:8" customFormat="1" x14ac:dyDescent="0.25">
      <c r="A330" s="3">
        <v>1723</v>
      </c>
      <c r="B330" s="9" t="s">
        <v>111</v>
      </c>
      <c r="C330" s="24">
        <v>6221250</v>
      </c>
      <c r="D330" s="9">
        <v>43466</v>
      </c>
      <c r="E330" s="25">
        <v>1</v>
      </c>
      <c r="F330" s="44">
        <v>2019</v>
      </c>
      <c r="G330" s="18"/>
      <c r="H330" s="17"/>
    </row>
    <row r="331" spans="1:8" customFormat="1" x14ac:dyDescent="0.25">
      <c r="A331" s="3">
        <v>1723</v>
      </c>
      <c r="B331" s="9" t="s">
        <v>112</v>
      </c>
      <c r="C331" s="24">
        <v>6900000</v>
      </c>
      <c r="D331" s="9">
        <v>43221</v>
      </c>
      <c r="E331" s="25">
        <v>8</v>
      </c>
      <c r="F331" s="44">
        <v>2018</v>
      </c>
      <c r="G331" s="18"/>
      <c r="H331" s="17"/>
    </row>
    <row r="332" spans="1:8" customFormat="1" x14ac:dyDescent="0.25">
      <c r="A332" s="3">
        <v>1723</v>
      </c>
      <c r="B332" s="9" t="s">
        <v>113</v>
      </c>
      <c r="C332" s="24">
        <v>3927299.9999999995</v>
      </c>
      <c r="D332" s="9">
        <v>43221</v>
      </c>
      <c r="E332" s="25">
        <v>8</v>
      </c>
      <c r="F332" s="44">
        <v>2018</v>
      </c>
      <c r="G332" s="9"/>
      <c r="H332" s="17"/>
    </row>
    <row r="333" spans="1:8" customFormat="1" x14ac:dyDescent="0.25">
      <c r="A333" s="3">
        <v>1723</v>
      </c>
      <c r="B333" s="9" t="s">
        <v>113</v>
      </c>
      <c r="C333" s="24">
        <v>4123664.9999999995</v>
      </c>
      <c r="D333" s="9">
        <v>43466</v>
      </c>
      <c r="E333" s="25">
        <v>3</v>
      </c>
      <c r="F333" s="44">
        <v>2019</v>
      </c>
      <c r="G333" s="18"/>
      <c r="H333" s="17"/>
    </row>
    <row r="334" spans="1:8" customFormat="1" x14ac:dyDescent="0.25">
      <c r="A334" s="3">
        <v>1723</v>
      </c>
      <c r="B334" s="9" t="s">
        <v>23</v>
      </c>
      <c r="C334" s="24">
        <v>3927299.9999999995</v>
      </c>
      <c r="D334" s="9">
        <v>43221</v>
      </c>
      <c r="E334" s="25">
        <v>8</v>
      </c>
      <c r="F334" s="44">
        <v>2018</v>
      </c>
      <c r="G334" s="18"/>
      <c r="H334" s="17"/>
    </row>
    <row r="335" spans="1:8" customFormat="1" x14ac:dyDescent="0.25">
      <c r="A335" s="3">
        <v>1723</v>
      </c>
      <c r="B335" s="9" t="s">
        <v>23</v>
      </c>
      <c r="C335" s="24">
        <v>4123664.9999999995</v>
      </c>
      <c r="D335" s="9">
        <v>43466</v>
      </c>
      <c r="E335" s="25">
        <v>4</v>
      </c>
      <c r="F335" s="44">
        <v>2019</v>
      </c>
      <c r="G335" s="18"/>
      <c r="H335" s="17"/>
    </row>
    <row r="336" spans="1:8" customFormat="1" x14ac:dyDescent="0.25">
      <c r="A336" s="3">
        <v>1723</v>
      </c>
      <c r="B336" s="9" t="s">
        <v>114</v>
      </c>
      <c r="C336" s="24">
        <v>3927299.9999999995</v>
      </c>
      <c r="D336" s="9">
        <v>43221</v>
      </c>
      <c r="E336" s="25">
        <v>8</v>
      </c>
      <c r="F336" s="44">
        <v>2018</v>
      </c>
      <c r="G336" s="18"/>
      <c r="H336" s="17"/>
    </row>
    <row r="337" spans="1:8" customFormat="1" x14ac:dyDescent="0.25">
      <c r="A337" s="3">
        <v>1734</v>
      </c>
      <c r="B337" s="9" t="s">
        <v>19</v>
      </c>
      <c r="C337" s="24">
        <v>3240000</v>
      </c>
      <c r="D337" s="9">
        <v>42736</v>
      </c>
      <c r="E337" s="25">
        <v>49</v>
      </c>
      <c r="F337" s="44">
        <v>2017</v>
      </c>
      <c r="G337" s="18"/>
      <c r="H337" s="17"/>
    </row>
    <row r="338" spans="1:8" customFormat="1" x14ac:dyDescent="0.25">
      <c r="A338" s="3">
        <v>1734</v>
      </c>
      <c r="B338" s="9" t="s">
        <v>12</v>
      </c>
      <c r="C338" s="24">
        <v>9150000</v>
      </c>
      <c r="D338" s="9">
        <v>42736</v>
      </c>
      <c r="E338" s="25">
        <v>49</v>
      </c>
      <c r="F338" s="44">
        <v>2017</v>
      </c>
      <c r="G338" s="18"/>
      <c r="H338" s="17"/>
    </row>
    <row r="339" spans="1:8" customFormat="1" x14ac:dyDescent="0.25">
      <c r="A339" s="3">
        <v>1734</v>
      </c>
      <c r="B339" s="9" t="s">
        <v>30</v>
      </c>
      <c r="C339" s="24">
        <v>7232682</v>
      </c>
      <c r="D339" s="9">
        <v>43191</v>
      </c>
      <c r="E339" s="25">
        <v>34</v>
      </c>
      <c r="F339" s="44">
        <v>2018</v>
      </c>
      <c r="G339" s="18"/>
      <c r="H339" s="17"/>
    </row>
    <row r="340" spans="1:8" customFormat="1" x14ac:dyDescent="0.25">
      <c r="A340" s="3">
        <v>1734</v>
      </c>
      <c r="B340" s="9" t="s">
        <v>39</v>
      </c>
      <c r="C340" s="24">
        <v>7232682</v>
      </c>
      <c r="D340" s="9">
        <v>43132</v>
      </c>
      <c r="E340" s="25">
        <v>36</v>
      </c>
      <c r="F340" s="44">
        <v>2018</v>
      </c>
      <c r="G340" s="18"/>
      <c r="H340" s="17"/>
    </row>
    <row r="341" spans="1:8" customFormat="1" x14ac:dyDescent="0.25">
      <c r="A341" s="3">
        <v>1734</v>
      </c>
      <c r="B341" s="9" t="s">
        <v>34</v>
      </c>
      <c r="C341" s="24">
        <v>7232682</v>
      </c>
      <c r="D341" s="9">
        <v>43647</v>
      </c>
      <c r="E341" s="25">
        <v>21</v>
      </c>
      <c r="F341" s="44">
        <v>2018</v>
      </c>
      <c r="G341" s="18"/>
      <c r="H341" s="17"/>
    </row>
    <row r="342" spans="1:8" customFormat="1" x14ac:dyDescent="0.25">
      <c r="A342" s="3">
        <v>1734</v>
      </c>
      <c r="B342" s="9" t="s">
        <v>14</v>
      </c>
      <c r="C342" s="24">
        <v>6674293.5</v>
      </c>
      <c r="D342" s="9">
        <v>43647</v>
      </c>
      <c r="E342" s="25">
        <v>20</v>
      </c>
      <c r="F342" s="44">
        <v>2018</v>
      </c>
      <c r="G342" s="18"/>
      <c r="H342" s="17"/>
    </row>
    <row r="343" spans="1:8" customFormat="1" x14ac:dyDescent="0.25">
      <c r="A343" s="3">
        <v>1734</v>
      </c>
      <c r="B343" s="9" t="s">
        <v>117</v>
      </c>
      <c r="C343" s="24">
        <v>3553738.5</v>
      </c>
      <c r="D343" s="9">
        <v>43466</v>
      </c>
      <c r="E343" s="25">
        <v>25</v>
      </c>
      <c r="F343" s="44">
        <v>2018</v>
      </c>
      <c r="G343" s="18"/>
      <c r="H343" s="17"/>
    </row>
    <row r="344" spans="1:8" customFormat="1" x14ac:dyDescent="0.25">
      <c r="A344" s="3">
        <v>1734</v>
      </c>
      <c r="B344" s="9" t="s">
        <v>118</v>
      </c>
      <c r="C344" s="24">
        <v>3375252</v>
      </c>
      <c r="D344" s="9">
        <v>43374</v>
      </c>
      <c r="E344" s="25">
        <v>28</v>
      </c>
      <c r="F344" s="44">
        <v>2018</v>
      </c>
      <c r="G344" s="18"/>
      <c r="H344" s="17"/>
    </row>
    <row r="345" spans="1:8" customFormat="1" x14ac:dyDescent="0.25">
      <c r="A345" s="3">
        <v>1734</v>
      </c>
      <c r="B345" s="9" t="s">
        <v>38</v>
      </c>
      <c r="C345" s="24">
        <v>4599986.0699999994</v>
      </c>
      <c r="D345" s="9">
        <v>43132</v>
      </c>
      <c r="E345" s="25">
        <v>36</v>
      </c>
      <c r="F345" s="44">
        <v>2018</v>
      </c>
      <c r="G345" s="18"/>
      <c r="H345" s="17"/>
    </row>
    <row r="346" spans="1:8" customFormat="1" x14ac:dyDescent="0.25">
      <c r="A346" s="3">
        <v>1734</v>
      </c>
      <c r="B346" s="9" t="s">
        <v>79</v>
      </c>
      <c r="C346" s="24">
        <v>4599986.0699999994</v>
      </c>
      <c r="D346" s="9">
        <v>43497</v>
      </c>
      <c r="E346" s="25">
        <v>24</v>
      </c>
      <c r="F346" s="44">
        <v>2018</v>
      </c>
      <c r="G346" s="18"/>
      <c r="H346" s="17"/>
    </row>
    <row r="347" spans="1:8" customFormat="1" x14ac:dyDescent="0.25">
      <c r="A347" s="3">
        <v>1734</v>
      </c>
      <c r="B347" s="9" t="s">
        <v>23</v>
      </c>
      <c r="C347" s="24">
        <v>3441470.7299999995</v>
      </c>
      <c r="D347" s="9">
        <v>43647</v>
      </c>
      <c r="E347" s="25">
        <v>21</v>
      </c>
      <c r="F347" s="44">
        <v>2018</v>
      </c>
      <c r="G347" s="18"/>
      <c r="H347" s="17"/>
    </row>
    <row r="348" spans="1:8" customFormat="1" x14ac:dyDescent="0.25">
      <c r="A348" s="3">
        <v>1888</v>
      </c>
      <c r="B348" s="9" t="s">
        <v>19</v>
      </c>
      <c r="C348" s="24">
        <v>3019680</v>
      </c>
      <c r="D348" s="9">
        <v>43525</v>
      </c>
      <c r="E348" s="25">
        <v>16</v>
      </c>
      <c r="F348" s="44">
        <v>2018</v>
      </c>
      <c r="G348" s="18"/>
      <c r="H348" s="17"/>
    </row>
    <row r="349" spans="1:8" customFormat="1" x14ac:dyDescent="0.25">
      <c r="A349" s="3">
        <v>1888</v>
      </c>
      <c r="B349" s="9" t="s">
        <v>12</v>
      </c>
      <c r="C349" s="24">
        <v>8325000</v>
      </c>
      <c r="D349" s="9">
        <v>43525</v>
      </c>
      <c r="E349" s="25">
        <v>12</v>
      </c>
      <c r="F349" s="44">
        <v>2018</v>
      </c>
      <c r="G349" s="18"/>
      <c r="H349" s="17"/>
    </row>
    <row r="350" spans="1:8" customFormat="1" x14ac:dyDescent="0.25">
      <c r="A350" s="3">
        <v>1888</v>
      </c>
      <c r="B350" s="9" t="s">
        <v>39</v>
      </c>
      <c r="C350" s="24">
        <v>4500000</v>
      </c>
      <c r="D350" s="9">
        <v>43525</v>
      </c>
      <c r="E350" s="25">
        <v>12</v>
      </c>
      <c r="F350" s="44">
        <v>2018</v>
      </c>
      <c r="G350" s="18"/>
      <c r="H350" s="17"/>
    </row>
    <row r="351" spans="1:8" customFormat="1" x14ac:dyDescent="0.25">
      <c r="A351" s="3">
        <v>1888</v>
      </c>
      <c r="B351" s="9" t="s">
        <v>38</v>
      </c>
      <c r="C351" s="24">
        <v>3815999.9999999995</v>
      </c>
      <c r="D351" s="9">
        <v>43525</v>
      </c>
      <c r="E351" s="25">
        <v>11</v>
      </c>
      <c r="F351" s="44">
        <v>2018</v>
      </c>
      <c r="G351" s="18"/>
      <c r="H351" s="17"/>
    </row>
    <row r="352" spans="1:8" customFormat="1" x14ac:dyDescent="0.25">
      <c r="A352" s="3">
        <v>1888</v>
      </c>
      <c r="B352" s="9" t="s">
        <v>29</v>
      </c>
      <c r="C352" s="24">
        <v>1762500</v>
      </c>
      <c r="D352" s="9">
        <v>43525</v>
      </c>
      <c r="E352" s="25">
        <v>4</v>
      </c>
      <c r="F352" s="44">
        <v>2018</v>
      </c>
      <c r="G352" s="18"/>
      <c r="H352" s="17"/>
    </row>
    <row r="353" spans="1:8" customFormat="1" x14ac:dyDescent="0.25">
      <c r="A353" s="3">
        <v>1888</v>
      </c>
      <c r="B353" s="9" t="s">
        <v>169</v>
      </c>
      <c r="C353" s="24">
        <v>2460000</v>
      </c>
      <c r="D353" s="9">
        <v>43525</v>
      </c>
      <c r="E353" s="25">
        <v>4</v>
      </c>
      <c r="F353" s="44">
        <v>2018</v>
      </c>
      <c r="G353" s="18"/>
      <c r="H353" s="17"/>
    </row>
    <row r="354" spans="1:8" customFormat="1" x14ac:dyDescent="0.25">
      <c r="A354" s="3">
        <v>1891</v>
      </c>
      <c r="B354" s="9" t="s">
        <v>12</v>
      </c>
      <c r="C354" s="24">
        <v>11557087.5</v>
      </c>
      <c r="D354" s="9">
        <v>43497</v>
      </c>
      <c r="E354" s="25">
        <v>17</v>
      </c>
      <c r="F354" s="44">
        <v>2018</v>
      </c>
      <c r="G354" s="18"/>
      <c r="H354" s="17"/>
    </row>
    <row r="355" spans="1:8" customFormat="1" x14ac:dyDescent="0.25">
      <c r="A355" s="3">
        <v>1891</v>
      </c>
      <c r="B355" s="9" t="s">
        <v>26</v>
      </c>
      <c r="C355" s="24">
        <v>7054159.5</v>
      </c>
      <c r="D355" s="9">
        <v>43497</v>
      </c>
      <c r="E355" s="25">
        <v>24</v>
      </c>
      <c r="F355" s="44">
        <v>2018</v>
      </c>
      <c r="G355" s="18"/>
      <c r="H355" s="17"/>
    </row>
    <row r="356" spans="1:8" customFormat="1" x14ac:dyDescent="0.25">
      <c r="A356" s="3">
        <v>1891</v>
      </c>
      <c r="B356" s="9" t="s">
        <v>123</v>
      </c>
      <c r="C356" s="24">
        <v>7180971</v>
      </c>
      <c r="D356" s="9">
        <v>43497</v>
      </c>
      <c r="E356" s="25">
        <v>14</v>
      </c>
      <c r="F356" s="44">
        <v>2018</v>
      </c>
      <c r="G356" s="18"/>
      <c r="H356" s="17"/>
    </row>
    <row r="357" spans="1:8" customFormat="1" x14ac:dyDescent="0.25">
      <c r="A357" s="3">
        <v>1891</v>
      </c>
      <c r="B357" s="9" t="s">
        <v>39</v>
      </c>
      <c r="C357" s="24">
        <v>5227209</v>
      </c>
      <c r="D357" s="9">
        <v>43497</v>
      </c>
      <c r="E357" s="25">
        <v>17</v>
      </c>
      <c r="F357" s="44">
        <v>2018</v>
      </c>
      <c r="G357" s="18"/>
      <c r="H357" s="17"/>
    </row>
    <row r="358" spans="1:8" customFormat="1" x14ac:dyDescent="0.25">
      <c r="A358" s="3">
        <v>1891</v>
      </c>
      <c r="B358" s="9" t="s">
        <v>178</v>
      </c>
      <c r="C358" s="24">
        <v>4689208.5</v>
      </c>
      <c r="D358" s="9">
        <v>43497</v>
      </c>
      <c r="E358" s="25">
        <v>18</v>
      </c>
      <c r="F358" s="44">
        <v>2018</v>
      </c>
      <c r="G358" s="18"/>
      <c r="H358" s="17"/>
    </row>
    <row r="359" spans="1:8" customFormat="1" x14ac:dyDescent="0.25">
      <c r="A359" s="3">
        <v>1891</v>
      </c>
      <c r="B359" s="43" t="s">
        <v>59</v>
      </c>
      <c r="C359" s="24">
        <v>3068601</v>
      </c>
      <c r="D359" s="9">
        <v>43497</v>
      </c>
      <c r="E359" s="25">
        <v>25</v>
      </c>
      <c r="F359" s="44">
        <v>2018</v>
      </c>
      <c r="G359" s="18"/>
      <c r="H359" s="17"/>
    </row>
    <row r="360" spans="1:8" customFormat="1" x14ac:dyDescent="0.25">
      <c r="A360" s="3">
        <v>1891</v>
      </c>
      <c r="B360" s="9" t="s">
        <v>135</v>
      </c>
      <c r="C360" s="24">
        <v>3684045.8999999994</v>
      </c>
      <c r="D360" s="9">
        <v>43497</v>
      </c>
      <c r="E360" s="25">
        <v>20</v>
      </c>
      <c r="F360" s="44">
        <v>2018</v>
      </c>
      <c r="G360" s="18"/>
      <c r="H360" s="17"/>
    </row>
    <row r="361" spans="1:8" customFormat="1" x14ac:dyDescent="0.25">
      <c r="A361" s="3">
        <v>1891</v>
      </c>
      <c r="B361" s="9" t="s">
        <v>76</v>
      </c>
      <c r="C361" s="24">
        <v>3810635.34</v>
      </c>
      <c r="D361" s="9">
        <v>43497</v>
      </c>
      <c r="E361" s="25">
        <v>10</v>
      </c>
      <c r="F361" s="44">
        <v>2018</v>
      </c>
      <c r="G361" s="18"/>
      <c r="H361" s="17"/>
    </row>
    <row r="362" spans="1:8" customFormat="1" x14ac:dyDescent="0.25">
      <c r="A362" s="3">
        <v>1895</v>
      </c>
      <c r="B362" s="9" t="s">
        <v>19</v>
      </c>
      <c r="C362" s="24">
        <v>3076564.68</v>
      </c>
      <c r="D362" s="9">
        <v>43435</v>
      </c>
      <c r="E362" s="25">
        <v>3</v>
      </c>
      <c r="F362" s="44">
        <v>2018</v>
      </c>
      <c r="G362" s="18"/>
      <c r="H362" s="17"/>
    </row>
    <row r="363" spans="1:8" customFormat="1" x14ac:dyDescent="0.25">
      <c r="A363" s="3">
        <v>1895</v>
      </c>
      <c r="B363" s="9" t="s">
        <v>26</v>
      </c>
      <c r="C363" s="24">
        <v>5840100</v>
      </c>
      <c r="D363" s="9">
        <v>43435</v>
      </c>
      <c r="E363" s="25">
        <v>3</v>
      </c>
      <c r="F363" s="44">
        <v>2018</v>
      </c>
      <c r="G363" s="18"/>
      <c r="H363" s="17"/>
    </row>
    <row r="364" spans="1:8" customFormat="1" x14ac:dyDescent="0.25">
      <c r="A364" s="3">
        <v>1895</v>
      </c>
      <c r="B364" s="9" t="s">
        <v>59</v>
      </c>
      <c r="C364" s="24">
        <v>2254927.5</v>
      </c>
      <c r="D364" s="9">
        <v>43435</v>
      </c>
      <c r="E364" s="25">
        <v>3</v>
      </c>
      <c r="F364" s="44">
        <v>2018</v>
      </c>
      <c r="G364" s="18"/>
      <c r="H364" s="17"/>
    </row>
    <row r="365" spans="1:8" customFormat="1" x14ac:dyDescent="0.25">
      <c r="A365" s="3">
        <v>1846</v>
      </c>
      <c r="B365" s="9" t="s">
        <v>12</v>
      </c>
      <c r="C365" s="24">
        <v>18630000</v>
      </c>
      <c r="D365" s="9">
        <v>43405</v>
      </c>
      <c r="E365" s="25">
        <v>7</v>
      </c>
      <c r="F365" s="44">
        <v>2018</v>
      </c>
      <c r="G365" s="18"/>
      <c r="H365" s="17"/>
    </row>
    <row r="366" spans="1:8" customFormat="1" x14ac:dyDescent="0.25">
      <c r="A366" s="3">
        <v>1846</v>
      </c>
      <c r="B366" s="9" t="s">
        <v>271</v>
      </c>
      <c r="C366" s="24">
        <v>1380000</v>
      </c>
      <c r="D366" s="9">
        <v>43405</v>
      </c>
      <c r="E366" s="25">
        <v>3</v>
      </c>
      <c r="F366" s="44">
        <v>2018</v>
      </c>
      <c r="G366" s="18"/>
      <c r="H366" s="17"/>
    </row>
    <row r="367" spans="1:8" customFormat="1" x14ac:dyDescent="0.25">
      <c r="A367" s="3">
        <v>1846</v>
      </c>
      <c r="B367" s="9" t="s">
        <v>272</v>
      </c>
      <c r="C367" s="24">
        <v>3600000</v>
      </c>
      <c r="D367" s="9">
        <v>43405</v>
      </c>
      <c r="E367" s="25">
        <v>2</v>
      </c>
      <c r="F367" s="44">
        <v>2018</v>
      </c>
      <c r="G367" s="18"/>
      <c r="H367" s="17"/>
    </row>
    <row r="368" spans="1:8" customFormat="1" x14ac:dyDescent="0.25">
      <c r="A368" s="3">
        <v>1846</v>
      </c>
      <c r="B368" s="9" t="s">
        <v>273</v>
      </c>
      <c r="C368" s="24">
        <v>8036116.5</v>
      </c>
      <c r="D368" s="9">
        <v>43466</v>
      </c>
      <c r="E368" s="25">
        <v>2</v>
      </c>
      <c r="F368" s="44">
        <v>2018</v>
      </c>
      <c r="G368" s="18"/>
      <c r="H368" s="17"/>
    </row>
    <row r="369" spans="1:8" customFormat="1" x14ac:dyDescent="0.25">
      <c r="A369" s="3">
        <v>1846</v>
      </c>
      <c r="B369" s="9" t="s">
        <v>140</v>
      </c>
      <c r="C369" s="24">
        <v>5882999.9999999991</v>
      </c>
      <c r="D369" s="9">
        <v>43466</v>
      </c>
      <c r="E369" s="25">
        <v>2</v>
      </c>
      <c r="F369" s="44">
        <v>2018</v>
      </c>
      <c r="G369" s="18"/>
      <c r="H369" s="17"/>
    </row>
    <row r="370" spans="1:8" customFormat="1" x14ac:dyDescent="0.25">
      <c r="A370" s="3">
        <v>1893</v>
      </c>
      <c r="B370" s="9" t="s">
        <v>19</v>
      </c>
      <c r="C370" s="24">
        <v>1863324.0000000002</v>
      </c>
      <c r="D370" s="9">
        <v>43466</v>
      </c>
      <c r="E370" s="25">
        <v>15</v>
      </c>
      <c r="F370" s="44">
        <v>2018</v>
      </c>
      <c r="G370" s="18"/>
      <c r="H370" s="17"/>
    </row>
    <row r="371" spans="1:8" customFormat="1" x14ac:dyDescent="0.25">
      <c r="A371" s="3">
        <v>1893</v>
      </c>
      <c r="B371" s="9" t="s">
        <v>12</v>
      </c>
      <c r="C371" s="24">
        <v>8301000</v>
      </c>
      <c r="D371" s="9">
        <v>43466</v>
      </c>
      <c r="E371" s="25">
        <v>15</v>
      </c>
      <c r="F371" s="44">
        <v>2018</v>
      </c>
      <c r="G371" s="18"/>
      <c r="H371" s="17"/>
    </row>
    <row r="372" spans="1:8" customFormat="1" x14ac:dyDescent="0.25">
      <c r="A372" s="3">
        <v>1893</v>
      </c>
      <c r="B372" s="9" t="s">
        <v>275</v>
      </c>
      <c r="C372" s="24">
        <v>5857500</v>
      </c>
      <c r="D372" s="9">
        <v>43466</v>
      </c>
      <c r="E372" s="25">
        <v>15</v>
      </c>
      <c r="F372" s="44">
        <v>2018</v>
      </c>
      <c r="G372" s="18"/>
      <c r="H372" s="17"/>
    </row>
    <row r="373" spans="1:8" customFormat="1" x14ac:dyDescent="0.25">
      <c r="A373" s="3">
        <v>1893</v>
      </c>
      <c r="B373" s="9" t="s">
        <v>229</v>
      </c>
      <c r="C373" s="24">
        <v>3208770</v>
      </c>
      <c r="D373" s="9">
        <v>43466</v>
      </c>
      <c r="E373" s="25">
        <v>15</v>
      </c>
      <c r="F373" s="44">
        <v>2018</v>
      </c>
      <c r="G373" s="18"/>
      <c r="H373" s="17"/>
    </row>
    <row r="374" spans="1:8" customFormat="1" x14ac:dyDescent="0.25">
      <c r="A374" s="3">
        <v>1893</v>
      </c>
      <c r="B374" s="9" t="s">
        <v>38</v>
      </c>
      <c r="C374" s="24">
        <v>3401296.1999999997</v>
      </c>
      <c r="D374" s="9">
        <v>43466</v>
      </c>
      <c r="E374" s="25">
        <v>15</v>
      </c>
      <c r="F374" s="44">
        <v>2018</v>
      </c>
      <c r="G374" s="18"/>
      <c r="H374" s="17"/>
    </row>
    <row r="375" spans="1:8" customFormat="1" x14ac:dyDescent="0.25">
      <c r="A375" s="3">
        <v>1890</v>
      </c>
      <c r="B375" s="9" t="s">
        <v>19</v>
      </c>
      <c r="C375" s="24">
        <v>3683880.0000000005</v>
      </c>
      <c r="D375" s="9">
        <v>43466</v>
      </c>
      <c r="E375" s="25">
        <v>24</v>
      </c>
      <c r="F375" s="44">
        <v>2018</v>
      </c>
      <c r="G375" s="18"/>
      <c r="H375" s="17"/>
    </row>
    <row r="376" spans="1:8" customFormat="1" x14ac:dyDescent="0.25">
      <c r="A376" s="3">
        <v>1890</v>
      </c>
      <c r="B376" s="9" t="s">
        <v>12</v>
      </c>
      <c r="C376" s="24">
        <v>9000000</v>
      </c>
      <c r="D376" s="9">
        <v>43466</v>
      </c>
      <c r="E376" s="25">
        <v>24</v>
      </c>
      <c r="F376" s="44">
        <v>2018</v>
      </c>
      <c r="G376" s="18"/>
      <c r="H376" s="17"/>
    </row>
    <row r="377" spans="1:8" customFormat="1" x14ac:dyDescent="0.25">
      <c r="A377" s="3">
        <v>1890</v>
      </c>
      <c r="B377" s="9" t="s">
        <v>26</v>
      </c>
      <c r="C377" s="24">
        <v>5925000</v>
      </c>
      <c r="D377" s="9">
        <v>43831</v>
      </c>
      <c r="E377" s="25">
        <v>10</v>
      </c>
      <c r="F377" s="44">
        <v>2018</v>
      </c>
      <c r="G377" s="18"/>
      <c r="H377" s="17"/>
    </row>
    <row r="378" spans="1:8" customFormat="1" x14ac:dyDescent="0.25">
      <c r="A378" s="3">
        <v>1890</v>
      </c>
      <c r="B378" s="9" t="s">
        <v>39</v>
      </c>
      <c r="C378" s="24">
        <v>3900000</v>
      </c>
      <c r="D378" s="9">
        <v>43831</v>
      </c>
      <c r="E378" s="25">
        <v>12</v>
      </c>
      <c r="F378" s="44">
        <v>2018</v>
      </c>
      <c r="G378" s="18"/>
      <c r="H378" s="17"/>
    </row>
    <row r="379" spans="1:8" customFormat="1" x14ac:dyDescent="0.25">
      <c r="A379" s="3">
        <v>1890</v>
      </c>
      <c r="B379" s="9" t="s">
        <v>97</v>
      </c>
      <c r="C379" s="24">
        <v>3815999.9999999995</v>
      </c>
      <c r="D379" s="9">
        <v>43497</v>
      </c>
      <c r="E379" s="25">
        <v>21</v>
      </c>
      <c r="F379" s="44">
        <v>2018</v>
      </c>
      <c r="G379" s="18"/>
      <c r="H379" s="17"/>
    </row>
    <row r="380" spans="1:8" customFormat="1" x14ac:dyDescent="0.25">
      <c r="A380" s="3">
        <v>1890</v>
      </c>
      <c r="B380" s="9" t="s">
        <v>23</v>
      </c>
      <c r="C380" s="24">
        <v>3815999.9999999995</v>
      </c>
      <c r="D380" s="9">
        <v>43831</v>
      </c>
      <c r="E380" s="25">
        <v>10</v>
      </c>
      <c r="F380" s="44">
        <v>2018</v>
      </c>
      <c r="G380" s="18"/>
      <c r="H380" s="17"/>
    </row>
    <row r="381" spans="1:8" customFormat="1" x14ac:dyDescent="0.25">
      <c r="A381" s="3">
        <v>1618</v>
      </c>
      <c r="B381" s="9" t="s">
        <v>19</v>
      </c>
      <c r="C381" s="24">
        <v>5898109.7507954882</v>
      </c>
      <c r="D381" s="9">
        <v>43466</v>
      </c>
      <c r="E381" s="25">
        <v>1</v>
      </c>
      <c r="F381" s="44">
        <v>2019</v>
      </c>
      <c r="G381" s="18"/>
      <c r="H381" s="17"/>
    </row>
    <row r="382" spans="1:8" customFormat="1" x14ac:dyDescent="0.25">
      <c r="A382" s="3">
        <v>1618</v>
      </c>
      <c r="B382" s="9" t="s">
        <v>12</v>
      </c>
      <c r="C382" s="24">
        <v>10573456.644736286</v>
      </c>
      <c r="D382" s="9">
        <v>43466</v>
      </c>
      <c r="E382" s="25">
        <v>4</v>
      </c>
      <c r="F382" s="44">
        <v>2019</v>
      </c>
      <c r="G382" s="18"/>
      <c r="H382" s="17"/>
    </row>
    <row r="383" spans="1:8" customFormat="1" x14ac:dyDescent="0.25">
      <c r="A383" s="3">
        <v>1618</v>
      </c>
      <c r="B383" s="9" t="s">
        <v>41</v>
      </c>
      <c r="C383" s="24">
        <v>8420426.5965553131</v>
      </c>
      <c r="D383" s="9">
        <v>43466</v>
      </c>
      <c r="E383" s="25">
        <v>1</v>
      </c>
      <c r="F383" s="44">
        <v>2019</v>
      </c>
      <c r="G383" s="18"/>
      <c r="H383" s="17"/>
    </row>
    <row r="384" spans="1:8" customFormat="1" x14ac:dyDescent="0.25">
      <c r="A384" s="3">
        <v>1618</v>
      </c>
      <c r="B384" s="9" t="s">
        <v>26</v>
      </c>
      <c r="C384" s="24">
        <v>5968758.5524032004</v>
      </c>
      <c r="D384" s="9">
        <v>43466</v>
      </c>
      <c r="E384" s="25">
        <v>1</v>
      </c>
      <c r="F384" s="44">
        <v>2019</v>
      </c>
      <c r="G384" s="18"/>
      <c r="H384" s="17"/>
    </row>
    <row r="385" spans="1:8" customFormat="1" x14ac:dyDescent="0.25">
      <c r="A385" s="3">
        <v>1618</v>
      </c>
      <c r="B385" s="9" t="s">
        <v>29</v>
      </c>
      <c r="C385" s="24">
        <v>2694198.4714365834</v>
      </c>
      <c r="D385" s="9">
        <v>43466</v>
      </c>
      <c r="E385" s="25">
        <v>4</v>
      </c>
      <c r="F385" s="44">
        <v>2019</v>
      </c>
      <c r="G385" s="18"/>
      <c r="H385" s="17"/>
    </row>
    <row r="386" spans="1:8" customFormat="1" x14ac:dyDescent="0.25">
      <c r="A386" s="3">
        <v>1715</v>
      </c>
      <c r="B386" s="9" t="s">
        <v>19</v>
      </c>
      <c r="C386" s="24">
        <v>2992909.5</v>
      </c>
      <c r="D386" s="9">
        <v>43466</v>
      </c>
      <c r="E386" s="25">
        <v>4</v>
      </c>
      <c r="F386" s="44">
        <v>2019</v>
      </c>
      <c r="G386" s="18"/>
      <c r="H386" s="17"/>
    </row>
    <row r="387" spans="1:8" customFormat="1" x14ac:dyDescent="0.25">
      <c r="A387" s="3">
        <v>1715</v>
      </c>
      <c r="B387" s="9" t="s">
        <v>12</v>
      </c>
      <c r="C387" s="24">
        <v>2835000</v>
      </c>
      <c r="D387" s="9">
        <v>43466</v>
      </c>
      <c r="E387" s="25">
        <v>4</v>
      </c>
      <c r="F387" s="44">
        <v>2019</v>
      </c>
      <c r="G387" s="18"/>
      <c r="H387" s="17"/>
    </row>
    <row r="388" spans="1:8" customFormat="1" x14ac:dyDescent="0.25">
      <c r="A388" s="3">
        <v>1715</v>
      </c>
      <c r="B388" s="9" t="s">
        <v>39</v>
      </c>
      <c r="C388" s="24">
        <v>1228500</v>
      </c>
      <c r="D388" s="9">
        <v>43466</v>
      </c>
      <c r="E388" s="25">
        <v>4</v>
      </c>
      <c r="F388" s="44">
        <v>2019</v>
      </c>
      <c r="G388" s="18"/>
      <c r="H388" s="17"/>
    </row>
    <row r="389" spans="1:8" customFormat="1" x14ac:dyDescent="0.25">
      <c r="A389" s="3">
        <v>1715</v>
      </c>
      <c r="B389" s="9" t="s">
        <v>16</v>
      </c>
      <c r="C389" s="24">
        <v>1181250</v>
      </c>
      <c r="D389" s="9">
        <v>43466</v>
      </c>
      <c r="E389" s="25">
        <v>4</v>
      </c>
      <c r="F389" s="44">
        <v>2019</v>
      </c>
      <c r="G389" s="18"/>
      <c r="H389" s="17"/>
    </row>
    <row r="390" spans="1:8" customFormat="1" x14ac:dyDescent="0.25">
      <c r="A390" s="3">
        <v>1715</v>
      </c>
      <c r="B390" s="9" t="s">
        <v>19</v>
      </c>
      <c r="C390" s="24">
        <v>2494091.25</v>
      </c>
      <c r="D390" s="9">
        <v>43466</v>
      </c>
      <c r="E390" s="25">
        <v>4</v>
      </c>
      <c r="F390" s="44">
        <v>2019</v>
      </c>
      <c r="G390" s="18"/>
      <c r="H390" s="17"/>
    </row>
    <row r="391" spans="1:8" customFormat="1" x14ac:dyDescent="0.25">
      <c r="A391" s="3">
        <v>1715</v>
      </c>
      <c r="B391" s="9" t="s">
        <v>12</v>
      </c>
      <c r="C391" s="24">
        <v>2362500</v>
      </c>
      <c r="D391" s="9">
        <v>43466</v>
      </c>
      <c r="E391" s="25">
        <v>4</v>
      </c>
      <c r="F391" s="44">
        <v>2019</v>
      </c>
      <c r="G391" s="18"/>
      <c r="H391" s="17"/>
    </row>
    <row r="392" spans="1:8" customFormat="1" x14ac:dyDescent="0.25">
      <c r="A392" s="3">
        <v>1715</v>
      </c>
      <c r="B392" s="9" t="s">
        <v>39</v>
      </c>
      <c r="C392" s="24">
        <v>1023750</v>
      </c>
      <c r="D392" s="9">
        <v>43466</v>
      </c>
      <c r="E392" s="25">
        <v>4</v>
      </c>
      <c r="F392" s="44">
        <v>2019</v>
      </c>
      <c r="G392" s="18"/>
      <c r="H392" s="17"/>
    </row>
    <row r="393" spans="1:8" customFormat="1" x14ac:dyDescent="0.25">
      <c r="A393" s="3">
        <v>1715</v>
      </c>
      <c r="B393" s="9" t="s">
        <v>29</v>
      </c>
      <c r="C393" s="24">
        <v>708750</v>
      </c>
      <c r="D393" s="9">
        <v>43466</v>
      </c>
      <c r="E393" s="25">
        <v>4</v>
      </c>
      <c r="F393" s="44">
        <v>2019</v>
      </c>
      <c r="G393" s="18"/>
      <c r="H393" s="17"/>
    </row>
    <row r="394" spans="1:8" customFormat="1" x14ac:dyDescent="0.25">
      <c r="A394" s="3">
        <v>1715</v>
      </c>
      <c r="B394" s="9" t="s">
        <v>19</v>
      </c>
      <c r="C394" s="24">
        <v>1496454.75</v>
      </c>
      <c r="D394" s="9">
        <v>43466</v>
      </c>
      <c r="E394" s="25">
        <v>4</v>
      </c>
      <c r="F394" s="44">
        <v>2019</v>
      </c>
      <c r="G394" s="18"/>
      <c r="H394" s="17"/>
    </row>
    <row r="395" spans="1:8" customFormat="1" x14ac:dyDescent="0.25">
      <c r="A395" s="3">
        <v>1715</v>
      </c>
      <c r="B395" s="9" t="s">
        <v>12</v>
      </c>
      <c r="C395" s="24">
        <v>945000</v>
      </c>
      <c r="D395" s="9">
        <v>43466</v>
      </c>
      <c r="E395" s="25">
        <v>4</v>
      </c>
      <c r="F395" s="44">
        <v>2019</v>
      </c>
      <c r="G395" s="18"/>
      <c r="H395" s="17"/>
    </row>
    <row r="396" spans="1:8" customFormat="1" x14ac:dyDescent="0.25">
      <c r="A396" s="3">
        <v>1715</v>
      </c>
      <c r="B396" s="9" t="s">
        <v>39</v>
      </c>
      <c r="C396" s="24">
        <v>409500</v>
      </c>
      <c r="D396" s="9">
        <v>43466</v>
      </c>
      <c r="E396" s="25">
        <v>4</v>
      </c>
      <c r="F396" s="44">
        <v>2019</v>
      </c>
      <c r="G396" s="18"/>
      <c r="H396" s="17"/>
    </row>
    <row r="397" spans="1:8" customFormat="1" x14ac:dyDescent="0.25">
      <c r="A397" s="3">
        <v>1715</v>
      </c>
      <c r="B397" s="9" t="s">
        <v>277</v>
      </c>
      <c r="C397" s="24">
        <v>236250</v>
      </c>
      <c r="D397" s="9">
        <v>43466</v>
      </c>
      <c r="E397" s="25">
        <v>4</v>
      </c>
      <c r="F397" s="44">
        <v>2019</v>
      </c>
      <c r="G397" s="18"/>
      <c r="H397" s="17"/>
    </row>
    <row r="398" spans="1:8" customFormat="1" x14ac:dyDescent="0.25">
      <c r="A398" s="3">
        <v>1715</v>
      </c>
      <c r="B398" s="9" t="s">
        <v>19</v>
      </c>
      <c r="C398" s="24">
        <v>1496454.75</v>
      </c>
      <c r="D398" s="9">
        <v>43466</v>
      </c>
      <c r="E398" s="25">
        <v>4</v>
      </c>
      <c r="F398" s="44">
        <v>2019</v>
      </c>
      <c r="G398" s="18"/>
      <c r="H398" s="17"/>
    </row>
    <row r="399" spans="1:8" customFormat="1" x14ac:dyDescent="0.25">
      <c r="A399" s="3">
        <v>1715</v>
      </c>
      <c r="B399" s="9" t="s">
        <v>12</v>
      </c>
      <c r="C399" s="24">
        <v>1890000</v>
      </c>
      <c r="D399" s="9">
        <v>43466</v>
      </c>
      <c r="E399" s="25">
        <v>4</v>
      </c>
      <c r="F399" s="44">
        <v>2019</v>
      </c>
      <c r="G399" s="18"/>
      <c r="H399" s="17"/>
    </row>
    <row r="400" spans="1:8" customFormat="1" x14ac:dyDescent="0.25">
      <c r="A400" s="3">
        <v>1715</v>
      </c>
      <c r="B400" s="9" t="s">
        <v>39</v>
      </c>
      <c r="C400" s="24">
        <v>819000</v>
      </c>
      <c r="D400" s="9">
        <v>43466</v>
      </c>
      <c r="E400" s="25">
        <v>4</v>
      </c>
      <c r="F400" s="44">
        <v>2019</v>
      </c>
      <c r="G400" s="18"/>
      <c r="H400" s="17"/>
    </row>
    <row r="401" spans="1:8" customFormat="1" x14ac:dyDescent="0.25">
      <c r="A401" s="3">
        <v>1715</v>
      </c>
      <c r="B401" s="9" t="s">
        <v>91</v>
      </c>
      <c r="C401" s="24">
        <v>441000</v>
      </c>
      <c r="D401" s="9">
        <v>43466</v>
      </c>
      <c r="E401" s="25">
        <v>4</v>
      </c>
      <c r="F401" s="44">
        <v>2019</v>
      </c>
      <c r="G401" s="18"/>
      <c r="H401" s="17"/>
    </row>
    <row r="402" spans="1:8" customFormat="1" x14ac:dyDescent="0.25">
      <c r="A402" s="3">
        <v>1715</v>
      </c>
      <c r="B402" s="9" t="s">
        <v>29</v>
      </c>
      <c r="C402" s="24">
        <v>354375</v>
      </c>
      <c r="D402" s="9">
        <v>43466</v>
      </c>
      <c r="E402" s="25">
        <v>4</v>
      </c>
      <c r="F402" s="44">
        <v>2019</v>
      </c>
      <c r="G402" s="18"/>
      <c r="H402" s="17"/>
    </row>
    <row r="403" spans="1:8" customFormat="1" x14ac:dyDescent="0.25">
      <c r="A403" s="3">
        <v>1715</v>
      </c>
      <c r="B403" s="9" t="s">
        <v>19</v>
      </c>
      <c r="C403" s="24">
        <v>1496454.75</v>
      </c>
      <c r="D403" s="9">
        <v>43466</v>
      </c>
      <c r="E403" s="25">
        <v>4</v>
      </c>
      <c r="F403" s="44">
        <v>2019</v>
      </c>
      <c r="G403" s="18"/>
      <c r="H403" s="17"/>
    </row>
    <row r="404" spans="1:8" customFormat="1" x14ac:dyDescent="0.25">
      <c r="A404" s="3">
        <v>1715</v>
      </c>
      <c r="B404" s="9" t="s">
        <v>12</v>
      </c>
      <c r="C404" s="24">
        <v>1417500</v>
      </c>
      <c r="D404" s="9">
        <v>43466</v>
      </c>
      <c r="E404" s="25">
        <v>4</v>
      </c>
      <c r="F404" s="44">
        <v>2019</v>
      </c>
      <c r="G404" s="18"/>
      <c r="H404" s="17"/>
    </row>
    <row r="405" spans="1:8" customFormat="1" x14ac:dyDescent="0.25">
      <c r="A405" s="3">
        <v>1715</v>
      </c>
      <c r="B405" s="9" t="s">
        <v>39</v>
      </c>
      <c r="C405" s="24">
        <v>614250</v>
      </c>
      <c r="D405" s="9">
        <v>43466</v>
      </c>
      <c r="E405" s="25">
        <v>4</v>
      </c>
      <c r="F405" s="44">
        <v>2019</v>
      </c>
      <c r="G405" s="18"/>
      <c r="H405" s="17"/>
    </row>
    <row r="406" spans="1:8" customFormat="1" x14ac:dyDescent="0.25">
      <c r="A406" s="3">
        <v>1837</v>
      </c>
      <c r="B406" s="9" t="s">
        <v>290</v>
      </c>
      <c r="C406" s="24">
        <v>1693710</v>
      </c>
      <c r="D406" s="9">
        <v>43466</v>
      </c>
      <c r="E406" s="25">
        <v>12</v>
      </c>
      <c r="F406" s="44">
        <v>2018</v>
      </c>
      <c r="G406" s="18"/>
      <c r="H406" s="17"/>
    </row>
    <row r="407" spans="1:8" customFormat="1" x14ac:dyDescent="0.25">
      <c r="A407" s="3">
        <v>1837</v>
      </c>
      <c r="B407" s="9" t="s">
        <v>122</v>
      </c>
      <c r="C407" s="24">
        <v>7072500</v>
      </c>
      <c r="D407" s="9">
        <v>43466</v>
      </c>
      <c r="E407" s="25">
        <v>12</v>
      </c>
      <c r="F407" s="44">
        <v>2018</v>
      </c>
      <c r="G407" s="18"/>
      <c r="H407" s="17"/>
    </row>
    <row r="408" spans="1:8" customFormat="1" x14ac:dyDescent="0.25">
      <c r="A408" s="3">
        <v>1837</v>
      </c>
      <c r="B408" s="9" t="s">
        <v>164</v>
      </c>
      <c r="C408" s="24">
        <v>918187.5</v>
      </c>
      <c r="D408" s="9">
        <v>43466</v>
      </c>
      <c r="E408" s="25">
        <v>3</v>
      </c>
      <c r="F408" s="44">
        <v>2018</v>
      </c>
      <c r="G408" s="18"/>
      <c r="H408" s="17"/>
    </row>
    <row r="409" spans="1:8" customFormat="1" x14ac:dyDescent="0.25">
      <c r="A409" s="3">
        <v>1837</v>
      </c>
      <c r="B409" s="9" t="s">
        <v>135</v>
      </c>
      <c r="C409" s="24">
        <v>3585449.9999999995</v>
      </c>
      <c r="D409" s="9">
        <v>43466</v>
      </c>
      <c r="E409" s="25">
        <v>12</v>
      </c>
      <c r="F409" s="44">
        <v>2018</v>
      </c>
      <c r="G409" s="18"/>
      <c r="H409" s="17"/>
    </row>
    <row r="410" spans="1:8" customFormat="1" x14ac:dyDescent="0.25">
      <c r="A410" s="3">
        <v>1845</v>
      </c>
      <c r="B410" s="9" t="s">
        <v>19</v>
      </c>
      <c r="C410" s="24">
        <v>3818881.08</v>
      </c>
      <c r="D410" s="9">
        <v>43497</v>
      </c>
      <c r="E410" s="25">
        <v>10</v>
      </c>
      <c r="F410" s="44">
        <v>2019</v>
      </c>
      <c r="G410" s="18"/>
      <c r="H410" s="17"/>
    </row>
    <row r="411" spans="1:8" customFormat="1" x14ac:dyDescent="0.25">
      <c r="A411" s="3">
        <v>1845</v>
      </c>
      <c r="B411" s="9" t="s">
        <v>122</v>
      </c>
      <c r="C411" s="24">
        <v>6750000</v>
      </c>
      <c r="D411" s="9">
        <v>43497</v>
      </c>
      <c r="E411" s="25">
        <v>10</v>
      </c>
      <c r="F411" s="44">
        <v>2019</v>
      </c>
      <c r="G411" s="18"/>
      <c r="H411" s="17"/>
    </row>
    <row r="412" spans="1:8" customFormat="1" x14ac:dyDescent="0.25">
      <c r="A412" s="3">
        <v>1845</v>
      </c>
      <c r="B412" s="9" t="s">
        <v>29</v>
      </c>
      <c r="C412" s="24">
        <v>1961638.6500000001</v>
      </c>
      <c r="D412" s="9">
        <v>43497</v>
      </c>
      <c r="E412" s="25">
        <v>10</v>
      </c>
      <c r="F412" s="44">
        <v>2019</v>
      </c>
      <c r="G412" s="18"/>
      <c r="H412" s="17"/>
    </row>
    <row r="413" spans="1:8" customFormat="1" x14ac:dyDescent="0.25">
      <c r="A413" s="3">
        <v>1845</v>
      </c>
      <c r="B413" s="9" t="s">
        <v>39</v>
      </c>
      <c r="C413" s="24">
        <v>5271741.5887850448</v>
      </c>
      <c r="D413" s="9">
        <v>43497</v>
      </c>
      <c r="E413" s="25">
        <v>10</v>
      </c>
      <c r="F413" s="44">
        <v>2019</v>
      </c>
      <c r="G413" s="18"/>
      <c r="H413" s="17"/>
    </row>
    <row r="414" spans="1:8" customFormat="1" x14ac:dyDescent="0.25">
      <c r="A414" s="3">
        <v>1845</v>
      </c>
      <c r="B414" s="9" t="s">
        <v>38</v>
      </c>
      <c r="C414" s="24">
        <v>3855251.3759999997</v>
      </c>
      <c r="D414" s="9">
        <v>43497</v>
      </c>
      <c r="E414" s="25">
        <v>10</v>
      </c>
      <c r="F414" s="44">
        <v>2019</v>
      </c>
      <c r="G414" s="18"/>
      <c r="H414" s="17"/>
    </row>
    <row r="415" spans="1:8" customFormat="1" x14ac:dyDescent="0.25">
      <c r="A415" s="3">
        <v>1385</v>
      </c>
      <c r="B415" s="9" t="s">
        <v>301</v>
      </c>
      <c r="C415" s="24">
        <v>12298901</v>
      </c>
      <c r="D415" s="9">
        <v>43101</v>
      </c>
      <c r="E415" s="25">
        <v>17</v>
      </c>
      <c r="F415" s="44">
        <v>2018</v>
      </c>
      <c r="G415" s="18"/>
      <c r="H415" s="17"/>
    </row>
    <row r="416" spans="1:8" customFormat="1" x14ac:dyDescent="0.25">
      <c r="A416" s="3">
        <v>1385</v>
      </c>
      <c r="B416" s="9" t="s">
        <v>26</v>
      </c>
      <c r="C416" s="24">
        <v>6952928</v>
      </c>
      <c r="D416" s="9">
        <v>43101</v>
      </c>
      <c r="E416" s="25">
        <v>17</v>
      </c>
      <c r="F416" s="44">
        <v>2018</v>
      </c>
      <c r="G416" s="18"/>
      <c r="H416" s="17"/>
    </row>
    <row r="417" spans="1:8" customFormat="1" x14ac:dyDescent="0.25">
      <c r="A417" s="3">
        <v>1385</v>
      </c>
      <c r="B417" s="9" t="s">
        <v>26</v>
      </c>
      <c r="C417" s="24">
        <v>6952928</v>
      </c>
      <c r="D417" s="9">
        <v>43101</v>
      </c>
      <c r="E417" s="25">
        <v>17</v>
      </c>
      <c r="F417" s="44">
        <v>2018</v>
      </c>
      <c r="G417" s="18"/>
      <c r="H417" s="17"/>
    </row>
    <row r="418" spans="1:8" customFormat="1" x14ac:dyDescent="0.25">
      <c r="A418" s="3">
        <v>1385</v>
      </c>
      <c r="B418" s="9" t="s">
        <v>26</v>
      </c>
      <c r="C418" s="24">
        <v>6952928</v>
      </c>
      <c r="D418" s="9">
        <v>43101</v>
      </c>
      <c r="E418" s="25">
        <v>17</v>
      </c>
      <c r="F418" s="44">
        <v>2018</v>
      </c>
      <c r="G418" s="18"/>
      <c r="H418" s="17"/>
    </row>
    <row r="419" spans="1:8" customFormat="1" x14ac:dyDescent="0.25">
      <c r="A419" s="3">
        <v>1385</v>
      </c>
      <c r="B419" s="9" t="s">
        <v>39</v>
      </c>
      <c r="C419" s="24">
        <v>4966377</v>
      </c>
      <c r="D419" s="9">
        <v>43101</v>
      </c>
      <c r="E419" s="25">
        <v>17</v>
      </c>
      <c r="F419" s="44">
        <v>2018</v>
      </c>
      <c r="G419" s="18"/>
      <c r="H419" s="17"/>
    </row>
    <row r="420" spans="1:8" customFormat="1" x14ac:dyDescent="0.25">
      <c r="A420" s="3">
        <v>1385</v>
      </c>
      <c r="B420" s="9" t="s">
        <v>57</v>
      </c>
      <c r="C420" s="24">
        <v>4966377</v>
      </c>
      <c r="D420" s="9">
        <v>43101</v>
      </c>
      <c r="E420" s="25">
        <v>17</v>
      </c>
      <c r="F420" s="44">
        <v>2018</v>
      </c>
      <c r="G420" s="18"/>
      <c r="H420" s="17"/>
    </row>
    <row r="421" spans="1:8" customFormat="1" x14ac:dyDescent="0.25">
      <c r="A421" s="3">
        <v>1385</v>
      </c>
      <c r="B421" s="9" t="s">
        <v>58</v>
      </c>
      <c r="C421" s="24">
        <v>4897145</v>
      </c>
      <c r="D421" s="9">
        <v>43101</v>
      </c>
      <c r="E421" s="25">
        <v>17</v>
      </c>
      <c r="F421" s="44">
        <v>2018</v>
      </c>
      <c r="G421" s="18"/>
      <c r="H421" s="17"/>
    </row>
    <row r="422" spans="1:8" customFormat="1" x14ac:dyDescent="0.25">
      <c r="A422" s="3">
        <v>1385</v>
      </c>
      <c r="B422" s="9" t="s">
        <v>14</v>
      </c>
      <c r="C422" s="24">
        <v>9397914</v>
      </c>
      <c r="D422" s="9">
        <v>43101</v>
      </c>
      <c r="E422" s="25">
        <v>17</v>
      </c>
      <c r="F422" s="44">
        <v>2018</v>
      </c>
      <c r="G422" s="18"/>
      <c r="H422" s="17"/>
    </row>
    <row r="423" spans="1:8" customFormat="1" x14ac:dyDescent="0.25">
      <c r="A423" s="3">
        <v>1385</v>
      </c>
      <c r="B423" s="9" t="s">
        <v>117</v>
      </c>
      <c r="C423" s="24">
        <v>3399163</v>
      </c>
      <c r="D423" s="9">
        <v>43101</v>
      </c>
      <c r="E423" s="25">
        <v>17</v>
      </c>
      <c r="F423" s="44">
        <v>2018</v>
      </c>
      <c r="G423" s="18"/>
      <c r="H423" s="17"/>
    </row>
    <row r="424" spans="1:8" customFormat="1" x14ac:dyDescent="0.25">
      <c r="A424" s="3">
        <v>1385</v>
      </c>
      <c r="B424" s="9" t="s">
        <v>135</v>
      </c>
      <c r="C424" s="24">
        <v>4038898</v>
      </c>
      <c r="D424" s="9">
        <v>43101</v>
      </c>
      <c r="E424" s="25">
        <v>17</v>
      </c>
      <c r="F424" s="44">
        <v>2018</v>
      </c>
      <c r="G424" s="18"/>
      <c r="H424" s="17"/>
    </row>
    <row r="425" spans="1:8" customFormat="1" x14ac:dyDescent="0.25">
      <c r="A425" s="3">
        <v>1385</v>
      </c>
      <c r="B425" s="9" t="s">
        <v>97</v>
      </c>
      <c r="C425" s="24">
        <v>3188604</v>
      </c>
      <c r="D425" s="9">
        <v>43101</v>
      </c>
      <c r="E425" s="25">
        <v>17</v>
      </c>
      <c r="F425" s="44">
        <v>2018</v>
      </c>
      <c r="G425" s="18"/>
      <c r="H425" s="17"/>
    </row>
    <row r="426" spans="1:8" customFormat="1" x14ac:dyDescent="0.25">
      <c r="A426" s="3">
        <v>1385</v>
      </c>
      <c r="B426" s="9" t="s">
        <v>303</v>
      </c>
      <c r="C426" s="24">
        <v>3188604</v>
      </c>
      <c r="D426" s="9">
        <v>43101</v>
      </c>
      <c r="E426" s="25">
        <v>17</v>
      </c>
      <c r="F426" s="44">
        <v>2018</v>
      </c>
      <c r="G426" s="18"/>
      <c r="H426" s="17"/>
    </row>
    <row r="427" spans="1:8" customFormat="1" x14ac:dyDescent="0.25">
      <c r="A427" s="3">
        <v>1385</v>
      </c>
      <c r="B427" s="9" t="s">
        <v>304</v>
      </c>
      <c r="C427" s="24">
        <v>3188604</v>
      </c>
      <c r="D427" s="9">
        <v>43101</v>
      </c>
      <c r="E427" s="25">
        <v>17</v>
      </c>
      <c r="F427" s="44">
        <v>2018</v>
      </c>
      <c r="G427" s="18"/>
      <c r="H427" s="17"/>
    </row>
    <row r="428" spans="1:8" customFormat="1" x14ac:dyDescent="0.25">
      <c r="A428" s="3">
        <v>1385</v>
      </c>
      <c r="B428" s="9" t="s">
        <v>36</v>
      </c>
      <c r="C428" s="24">
        <v>3188604</v>
      </c>
      <c r="D428" s="9">
        <v>43101</v>
      </c>
      <c r="E428" s="25">
        <v>17</v>
      </c>
      <c r="F428" s="44">
        <v>2018</v>
      </c>
      <c r="G428" s="18"/>
      <c r="H428" s="17"/>
    </row>
    <row r="429" spans="1:8" customFormat="1" x14ac:dyDescent="0.25">
      <c r="A429" s="3">
        <v>1385</v>
      </c>
      <c r="B429" s="9" t="s">
        <v>305</v>
      </c>
      <c r="C429" s="24">
        <v>3188604</v>
      </c>
      <c r="D429" s="9">
        <v>43101</v>
      </c>
      <c r="E429" s="25">
        <v>17</v>
      </c>
      <c r="F429" s="44">
        <v>2018</v>
      </c>
      <c r="G429" s="18"/>
      <c r="H429" s="17"/>
    </row>
    <row r="430" spans="1:8" customFormat="1" x14ac:dyDescent="0.25">
      <c r="A430" s="3">
        <v>1385</v>
      </c>
      <c r="B430" s="9" t="s">
        <v>306</v>
      </c>
      <c r="C430" s="24">
        <v>3188604</v>
      </c>
      <c r="D430" s="9">
        <v>43101</v>
      </c>
      <c r="E430" s="25">
        <v>17</v>
      </c>
      <c r="F430" s="44">
        <v>2018</v>
      </c>
      <c r="G430" s="18"/>
      <c r="H430" s="17"/>
    </row>
    <row r="431" spans="1:8" customFormat="1" x14ac:dyDescent="0.25">
      <c r="A431" s="3">
        <v>1385</v>
      </c>
      <c r="B431" s="9" t="s">
        <v>83</v>
      </c>
      <c r="C431" s="24">
        <v>1895173</v>
      </c>
      <c r="D431" s="9">
        <v>43101</v>
      </c>
      <c r="E431" s="25">
        <v>17</v>
      </c>
      <c r="F431" s="44">
        <v>2018</v>
      </c>
      <c r="G431" s="18"/>
      <c r="H431" s="17"/>
    </row>
    <row r="432" spans="1:8" customFormat="1" x14ac:dyDescent="0.25">
      <c r="A432" s="3">
        <v>1385</v>
      </c>
      <c r="B432" s="9" t="s">
        <v>29</v>
      </c>
      <c r="C432" s="24">
        <v>6494493</v>
      </c>
      <c r="D432" s="9">
        <v>43101</v>
      </c>
      <c r="E432" s="25">
        <v>17</v>
      </c>
      <c r="F432" s="44">
        <v>2018</v>
      </c>
      <c r="G432" s="18"/>
      <c r="H432" s="17"/>
    </row>
    <row r="433" spans="1:8" customFormat="1" x14ac:dyDescent="0.25">
      <c r="A433" s="3">
        <v>1385</v>
      </c>
      <c r="B433" s="9" t="s">
        <v>26</v>
      </c>
      <c r="C433" s="24">
        <v>9359711</v>
      </c>
      <c r="D433" s="9">
        <v>43101</v>
      </c>
      <c r="E433" s="25">
        <v>17</v>
      </c>
      <c r="F433" s="44">
        <v>2018</v>
      </c>
      <c r="G433" s="18"/>
      <c r="H433" s="17"/>
    </row>
    <row r="434" spans="1:8" customFormat="1" x14ac:dyDescent="0.25">
      <c r="A434" s="3">
        <v>1385</v>
      </c>
      <c r="B434" s="9" t="s">
        <v>307</v>
      </c>
      <c r="C434" s="24">
        <v>9359711</v>
      </c>
      <c r="D434" s="9">
        <v>43101</v>
      </c>
      <c r="E434" s="25">
        <v>17</v>
      </c>
      <c r="F434" s="44">
        <v>2018</v>
      </c>
      <c r="G434" s="18"/>
      <c r="H434" s="17"/>
    </row>
    <row r="435" spans="1:8" customFormat="1" x14ac:dyDescent="0.25">
      <c r="A435" s="3">
        <v>1385</v>
      </c>
      <c r="B435" s="9" t="s">
        <v>307</v>
      </c>
      <c r="C435" s="24">
        <v>9359711</v>
      </c>
      <c r="D435" s="9">
        <v>43101</v>
      </c>
      <c r="E435" s="25">
        <v>17</v>
      </c>
      <c r="F435" s="44">
        <v>2018</v>
      </c>
      <c r="G435" s="18"/>
      <c r="H435" s="17"/>
    </row>
    <row r="436" spans="1:8" customFormat="1" x14ac:dyDescent="0.25">
      <c r="A436" s="3">
        <v>1385</v>
      </c>
      <c r="B436" s="9" t="s">
        <v>308</v>
      </c>
      <c r="C436" s="24">
        <v>7449566</v>
      </c>
      <c r="D436" s="9">
        <v>43101</v>
      </c>
      <c r="E436" s="25">
        <v>17</v>
      </c>
      <c r="F436" s="44">
        <v>2018</v>
      </c>
      <c r="G436" s="18"/>
      <c r="H436" s="17"/>
    </row>
    <row r="437" spans="1:8" customFormat="1" x14ac:dyDescent="0.25">
      <c r="A437" s="3">
        <v>1899</v>
      </c>
      <c r="B437" s="9" t="s">
        <v>19</v>
      </c>
      <c r="C437" s="24">
        <v>3184375.68</v>
      </c>
      <c r="D437" s="9">
        <v>43525</v>
      </c>
      <c r="E437" s="25">
        <v>5</v>
      </c>
      <c r="F437" s="44">
        <v>2019</v>
      </c>
      <c r="G437" s="18"/>
      <c r="H437" s="17"/>
    </row>
    <row r="438" spans="1:8" customFormat="1" x14ac:dyDescent="0.25">
      <c r="A438" s="3">
        <v>1899</v>
      </c>
      <c r="B438" s="9" t="s">
        <v>19</v>
      </c>
      <c r="C438" s="24">
        <v>4776563.5200000005</v>
      </c>
      <c r="D438" s="9">
        <v>43678</v>
      </c>
      <c r="E438" s="25">
        <v>20</v>
      </c>
      <c r="F438" s="44">
        <v>2019</v>
      </c>
      <c r="G438" s="18"/>
      <c r="H438" s="17"/>
    </row>
    <row r="439" spans="1:8" customFormat="1" x14ac:dyDescent="0.25">
      <c r="A439" s="3">
        <v>1899</v>
      </c>
      <c r="B439" s="9" t="s">
        <v>12</v>
      </c>
      <c r="C439" s="24">
        <v>6862500</v>
      </c>
      <c r="D439" s="9">
        <v>43525</v>
      </c>
      <c r="E439" s="25">
        <v>5</v>
      </c>
      <c r="F439" s="44">
        <v>2019</v>
      </c>
      <c r="G439" s="18"/>
      <c r="H439" s="17"/>
    </row>
    <row r="440" spans="1:8" customFormat="1" x14ac:dyDescent="0.25">
      <c r="A440" s="3">
        <v>1899</v>
      </c>
      <c r="B440" s="9" t="s">
        <v>12</v>
      </c>
      <c r="C440" s="24">
        <v>9150000</v>
      </c>
      <c r="D440" s="9">
        <v>43678</v>
      </c>
      <c r="E440" s="25">
        <v>20</v>
      </c>
      <c r="F440" s="44">
        <v>2019</v>
      </c>
      <c r="G440" s="18"/>
      <c r="H440" s="17"/>
    </row>
    <row r="441" spans="1:8" customFormat="1" x14ac:dyDescent="0.25">
      <c r="A441" s="3">
        <v>1899</v>
      </c>
      <c r="B441" s="9" t="s">
        <v>169</v>
      </c>
      <c r="C441" s="24">
        <v>6000000</v>
      </c>
      <c r="D441" s="9">
        <v>43525</v>
      </c>
      <c r="E441" s="25">
        <v>14</v>
      </c>
      <c r="F441" s="44">
        <v>2019</v>
      </c>
      <c r="G441" s="18"/>
      <c r="H441" s="17"/>
    </row>
    <row r="442" spans="1:8" customFormat="1" x14ac:dyDescent="0.25">
      <c r="A442" s="3">
        <v>1899</v>
      </c>
      <c r="B442" s="9" t="s">
        <v>14</v>
      </c>
      <c r="C442" s="24">
        <v>6000000</v>
      </c>
      <c r="D442" s="9">
        <v>43525</v>
      </c>
      <c r="E442" s="25">
        <v>12</v>
      </c>
      <c r="F442" s="44">
        <v>2019</v>
      </c>
      <c r="G442" s="18"/>
      <c r="H442" s="17"/>
    </row>
    <row r="443" spans="1:8" customFormat="1" x14ac:dyDescent="0.25">
      <c r="A443" s="3">
        <v>1899</v>
      </c>
      <c r="B443" s="9" t="s">
        <v>39</v>
      </c>
      <c r="C443" s="24">
        <v>3058762.5</v>
      </c>
      <c r="D443" s="9">
        <v>43525</v>
      </c>
      <c r="E443" s="25">
        <v>3</v>
      </c>
      <c r="F443" s="44">
        <v>2019</v>
      </c>
      <c r="G443" s="18"/>
      <c r="H443" s="17"/>
    </row>
    <row r="444" spans="1:8" customFormat="1" x14ac:dyDescent="0.25">
      <c r="A444" s="3">
        <v>1899</v>
      </c>
      <c r="B444" s="9" t="s">
        <v>39</v>
      </c>
      <c r="C444" s="24">
        <v>4078350</v>
      </c>
      <c r="D444" s="9">
        <v>43525</v>
      </c>
      <c r="E444" s="25">
        <v>20</v>
      </c>
      <c r="F444" s="44">
        <v>2019</v>
      </c>
      <c r="G444" s="18"/>
      <c r="H444" s="17"/>
    </row>
    <row r="445" spans="1:8" customFormat="1" x14ac:dyDescent="0.25">
      <c r="A445" s="3">
        <v>1899</v>
      </c>
      <c r="B445" s="9" t="s">
        <v>29</v>
      </c>
      <c r="C445" s="24">
        <v>2942457.75</v>
      </c>
      <c r="D445" s="9">
        <v>43160</v>
      </c>
      <c r="E445" s="25">
        <v>5</v>
      </c>
      <c r="F445" s="44">
        <v>2019</v>
      </c>
      <c r="G445" s="18"/>
      <c r="H445" s="17"/>
    </row>
    <row r="446" spans="1:8" customFormat="1" x14ac:dyDescent="0.25">
      <c r="A446" s="3">
        <v>1899</v>
      </c>
      <c r="B446" s="9" t="s">
        <v>29</v>
      </c>
      <c r="C446" s="24">
        <v>3923277</v>
      </c>
      <c r="D446" s="9">
        <v>43525</v>
      </c>
      <c r="E446" s="25">
        <v>7</v>
      </c>
      <c r="F446" s="44">
        <v>2019</v>
      </c>
      <c r="G446" s="18"/>
      <c r="H446" s="17"/>
    </row>
    <row r="447" spans="1:8" customFormat="1" x14ac:dyDescent="0.25">
      <c r="A447" s="3">
        <v>1899</v>
      </c>
      <c r="B447" s="9" t="s">
        <v>35</v>
      </c>
      <c r="C447" s="24">
        <v>3815999.9999999995</v>
      </c>
      <c r="D447" s="9">
        <v>43525</v>
      </c>
      <c r="E447" s="25">
        <v>24</v>
      </c>
      <c r="F447" s="44">
        <v>2019</v>
      </c>
      <c r="G447" s="18"/>
      <c r="H447" s="17"/>
    </row>
    <row r="448" spans="1:8" customFormat="1" x14ac:dyDescent="0.25">
      <c r="A448" s="3">
        <v>1900</v>
      </c>
      <c r="B448" s="9" t="s">
        <v>26</v>
      </c>
      <c r="C448" s="24">
        <v>5724000</v>
      </c>
      <c r="D448" s="9">
        <v>43556</v>
      </c>
      <c r="E448" s="25">
        <v>1</v>
      </c>
      <c r="F448" s="44">
        <v>2019</v>
      </c>
      <c r="G448" s="18"/>
      <c r="H448" s="17"/>
    </row>
    <row r="449" spans="1:8" customFormat="1" x14ac:dyDescent="0.25">
      <c r="A449" s="3">
        <v>1900</v>
      </c>
      <c r="B449" s="9" t="s">
        <v>39</v>
      </c>
      <c r="C449" s="24">
        <v>5271741</v>
      </c>
      <c r="D449" s="9">
        <v>43556</v>
      </c>
      <c r="E449" s="25">
        <v>1</v>
      </c>
      <c r="F449" s="44">
        <v>2019</v>
      </c>
      <c r="G449" s="18"/>
      <c r="H449" s="17"/>
    </row>
    <row r="450" spans="1:8" customFormat="1" x14ac:dyDescent="0.25">
      <c r="A450" s="3">
        <v>1900</v>
      </c>
      <c r="B450" s="9" t="s">
        <v>16</v>
      </c>
      <c r="C450" s="24">
        <v>1963650</v>
      </c>
      <c r="D450" s="9">
        <v>43556</v>
      </c>
      <c r="E450" s="25">
        <v>1</v>
      </c>
      <c r="F450" s="44">
        <v>2019</v>
      </c>
      <c r="G450" s="18"/>
      <c r="H450" s="17"/>
    </row>
    <row r="451" spans="1:8" customFormat="1" x14ac:dyDescent="0.25">
      <c r="A451" s="3">
        <v>1900</v>
      </c>
      <c r="B451" s="9" t="s">
        <v>19</v>
      </c>
      <c r="C451" s="24">
        <v>3183727.68</v>
      </c>
      <c r="D451" s="9">
        <v>43556</v>
      </c>
      <c r="E451" s="25">
        <v>10</v>
      </c>
      <c r="F451" s="44">
        <v>2019</v>
      </c>
      <c r="G451" s="18"/>
      <c r="H451" s="17"/>
    </row>
    <row r="452" spans="1:8" customFormat="1" x14ac:dyDescent="0.25">
      <c r="A452" s="3">
        <v>1900</v>
      </c>
      <c r="B452" s="9" t="s">
        <v>122</v>
      </c>
      <c r="C452" s="24">
        <v>6750000</v>
      </c>
      <c r="D452" s="9">
        <v>43556</v>
      </c>
      <c r="E452" s="25">
        <v>10</v>
      </c>
      <c r="F452" s="44">
        <v>2019</v>
      </c>
      <c r="G452" s="18"/>
      <c r="H452" s="17"/>
    </row>
    <row r="453" spans="1:8" customFormat="1" x14ac:dyDescent="0.25">
      <c r="A453" s="3">
        <v>1900</v>
      </c>
      <c r="B453" s="9" t="s">
        <v>29</v>
      </c>
      <c r="C453" s="24">
        <v>1961638.5</v>
      </c>
      <c r="D453" s="9">
        <v>43556</v>
      </c>
      <c r="E453" s="25">
        <v>7</v>
      </c>
      <c r="F453" s="44">
        <v>2019</v>
      </c>
      <c r="G453" s="18"/>
      <c r="H453" s="17"/>
    </row>
    <row r="454" spans="1:8" customFormat="1" x14ac:dyDescent="0.25">
      <c r="A454" s="3">
        <v>1900</v>
      </c>
      <c r="B454" s="9" t="s">
        <v>39</v>
      </c>
      <c r="C454" s="24">
        <v>4078350</v>
      </c>
      <c r="D454" s="9">
        <v>43556</v>
      </c>
      <c r="E454" s="25">
        <v>10</v>
      </c>
      <c r="F454" s="44">
        <v>2019</v>
      </c>
      <c r="G454" s="18"/>
      <c r="H454" s="17"/>
    </row>
    <row r="455" spans="1:8" customFormat="1" x14ac:dyDescent="0.25">
      <c r="A455" s="3">
        <v>1900</v>
      </c>
      <c r="B455" s="9" t="s">
        <v>38</v>
      </c>
      <c r="C455" s="24">
        <v>4626300.8879999993</v>
      </c>
      <c r="D455" s="9">
        <v>43556</v>
      </c>
      <c r="E455" s="25">
        <v>9</v>
      </c>
      <c r="F455" s="44">
        <v>2019</v>
      </c>
      <c r="G455" s="18"/>
      <c r="H455" s="17"/>
    </row>
    <row r="456" spans="1:8" customFormat="1" x14ac:dyDescent="0.25">
      <c r="A456" s="3">
        <v>1900</v>
      </c>
      <c r="B456" s="9" t="s">
        <v>26</v>
      </c>
      <c r="C456" s="24">
        <v>7512750</v>
      </c>
      <c r="D456" s="9">
        <v>43556</v>
      </c>
      <c r="E456" s="25">
        <v>4</v>
      </c>
      <c r="F456" s="44">
        <v>2019</v>
      </c>
      <c r="G456" s="18"/>
      <c r="H456" s="17"/>
    </row>
    <row r="457" spans="1:8" customFormat="1" x14ac:dyDescent="0.25">
      <c r="A457" s="3">
        <v>1900</v>
      </c>
      <c r="B457" s="9" t="s">
        <v>38</v>
      </c>
      <c r="C457" s="24">
        <v>5204588.4989999998</v>
      </c>
      <c r="D457" s="9">
        <v>43556</v>
      </c>
      <c r="E457" s="25">
        <v>3</v>
      </c>
      <c r="F457" s="44">
        <v>2019</v>
      </c>
      <c r="G457" s="18"/>
      <c r="H457" s="17"/>
    </row>
    <row r="458" spans="1:8" customFormat="1" x14ac:dyDescent="0.25">
      <c r="A458" s="3">
        <v>1790</v>
      </c>
      <c r="B458" s="9" t="s">
        <v>19</v>
      </c>
      <c r="C458" s="24">
        <v>2323944</v>
      </c>
      <c r="D458" s="9">
        <v>43556</v>
      </c>
      <c r="E458" s="25">
        <v>21</v>
      </c>
      <c r="F458" s="44">
        <v>2019</v>
      </c>
      <c r="G458" s="18"/>
      <c r="H458" s="17"/>
    </row>
    <row r="459" spans="1:8" customFormat="1" x14ac:dyDescent="0.25">
      <c r="A459" s="3">
        <v>1790</v>
      </c>
      <c r="B459" s="9" t="s">
        <v>19</v>
      </c>
      <c r="C459" s="24">
        <v>726232.5</v>
      </c>
      <c r="D459" s="9">
        <v>43556</v>
      </c>
      <c r="E459" s="25">
        <v>4</v>
      </c>
      <c r="F459" s="44">
        <v>2019</v>
      </c>
      <c r="G459" s="18"/>
      <c r="H459" s="17"/>
    </row>
    <row r="460" spans="1:8" customFormat="1" x14ac:dyDescent="0.25">
      <c r="A460" s="3">
        <v>1790</v>
      </c>
      <c r="B460" s="9" t="s">
        <v>173</v>
      </c>
      <c r="C460" s="24">
        <v>9883440</v>
      </c>
      <c r="D460" s="9">
        <v>43556</v>
      </c>
      <c r="E460" s="25">
        <v>25</v>
      </c>
      <c r="F460" s="44">
        <v>2019</v>
      </c>
      <c r="G460" s="18"/>
      <c r="H460" s="17"/>
    </row>
    <row r="461" spans="1:8" customFormat="1" x14ac:dyDescent="0.25">
      <c r="A461" s="3">
        <v>1790</v>
      </c>
      <c r="B461" s="9" t="s">
        <v>314</v>
      </c>
      <c r="C461" s="24">
        <v>5930064</v>
      </c>
      <c r="D461" s="9">
        <v>43556</v>
      </c>
      <c r="E461" s="25">
        <v>14</v>
      </c>
      <c r="F461" s="44">
        <v>2019</v>
      </c>
      <c r="G461" s="18"/>
      <c r="H461" s="17"/>
    </row>
    <row r="462" spans="1:8" customFormat="1" x14ac:dyDescent="0.25">
      <c r="A462" s="3">
        <v>1790</v>
      </c>
      <c r="B462" s="9" t="s">
        <v>315</v>
      </c>
      <c r="C462" s="24">
        <v>3916647</v>
      </c>
      <c r="D462" s="9">
        <v>43556</v>
      </c>
      <c r="E462" s="25">
        <v>13</v>
      </c>
      <c r="F462" s="44">
        <v>2019</v>
      </c>
      <c r="G462" s="18"/>
      <c r="H462" s="17"/>
    </row>
    <row r="463" spans="1:8" customFormat="1" x14ac:dyDescent="0.25">
      <c r="A463" s="3">
        <v>1790</v>
      </c>
      <c r="B463" s="9" t="s">
        <v>316</v>
      </c>
      <c r="C463" s="24">
        <v>7103634.4399999995</v>
      </c>
      <c r="D463" s="9">
        <v>43556</v>
      </c>
      <c r="E463" s="25">
        <v>15</v>
      </c>
      <c r="F463" s="44">
        <v>2019</v>
      </c>
      <c r="G463" s="18"/>
      <c r="H463" s="17"/>
    </row>
    <row r="464" spans="1:8" customFormat="1" x14ac:dyDescent="0.25">
      <c r="A464" s="3">
        <v>1790</v>
      </c>
      <c r="B464" s="9" t="s">
        <v>314</v>
      </c>
      <c r="C464" s="24">
        <v>5930064</v>
      </c>
      <c r="D464" s="9">
        <v>43556</v>
      </c>
      <c r="E464" s="25">
        <v>14</v>
      </c>
      <c r="F464" s="44">
        <v>2019</v>
      </c>
      <c r="G464" s="18"/>
      <c r="H464" s="17"/>
    </row>
    <row r="465" spans="1:8" customFormat="1" x14ac:dyDescent="0.25">
      <c r="A465" s="3">
        <v>1790</v>
      </c>
      <c r="B465" s="9" t="s">
        <v>59</v>
      </c>
      <c r="C465" s="24">
        <v>3847852</v>
      </c>
      <c r="D465" s="9">
        <v>43556</v>
      </c>
      <c r="E465" s="25">
        <v>21</v>
      </c>
      <c r="F465" s="44">
        <v>2019</v>
      </c>
      <c r="G465" s="18"/>
      <c r="H465" s="17"/>
    </row>
    <row r="466" spans="1:8" customFormat="1" x14ac:dyDescent="0.25">
      <c r="A466" s="3">
        <v>1790</v>
      </c>
      <c r="B466" s="9" t="s">
        <v>139</v>
      </c>
      <c r="C466" s="24">
        <v>6012426</v>
      </c>
      <c r="D466" s="9">
        <v>43556</v>
      </c>
      <c r="E466" s="25">
        <v>21</v>
      </c>
      <c r="F466" s="44">
        <v>2019</v>
      </c>
      <c r="G466" s="18"/>
      <c r="H466" s="17"/>
    </row>
    <row r="467" spans="1:8" customFormat="1" x14ac:dyDescent="0.25">
      <c r="A467" s="3">
        <v>1790</v>
      </c>
      <c r="B467" s="9" t="s">
        <v>317</v>
      </c>
      <c r="C467" s="24">
        <v>4941720</v>
      </c>
      <c r="D467" s="9">
        <v>43556</v>
      </c>
      <c r="E467" s="25">
        <v>16</v>
      </c>
      <c r="F467" s="44">
        <v>2019</v>
      </c>
      <c r="G467" s="18"/>
      <c r="H467" s="17"/>
    </row>
    <row r="468" spans="1:8" customFormat="1" x14ac:dyDescent="0.25">
      <c r="A468" s="3">
        <v>1790</v>
      </c>
      <c r="B468" s="9" t="s">
        <v>174</v>
      </c>
      <c r="C468" s="24">
        <v>4612272</v>
      </c>
      <c r="D468" s="9">
        <v>43556</v>
      </c>
      <c r="E468" s="25">
        <v>20</v>
      </c>
      <c r="F468" s="44">
        <v>2019</v>
      </c>
      <c r="G468" s="18"/>
      <c r="H468" s="17"/>
    </row>
    <row r="469" spans="1:8" customFormat="1" x14ac:dyDescent="0.25">
      <c r="A469" s="3">
        <v>1790</v>
      </c>
      <c r="B469" s="9" t="s">
        <v>135</v>
      </c>
      <c r="C469" s="24">
        <v>3669727.95</v>
      </c>
      <c r="D469" s="9">
        <v>43556</v>
      </c>
      <c r="E469" s="25">
        <v>16</v>
      </c>
      <c r="F469" s="44">
        <v>2019</v>
      </c>
      <c r="G469" s="18"/>
      <c r="H469" s="17"/>
    </row>
    <row r="470" spans="1:8" customFormat="1" x14ac:dyDescent="0.25">
      <c r="A470" s="3">
        <v>1790</v>
      </c>
      <c r="B470" s="9" t="s">
        <v>182</v>
      </c>
      <c r="C470" s="24">
        <v>3678242.4</v>
      </c>
      <c r="D470" s="9">
        <v>43556</v>
      </c>
      <c r="E470" s="25">
        <v>16</v>
      </c>
      <c r="F470" s="44">
        <v>2019</v>
      </c>
      <c r="G470" s="18"/>
      <c r="H470" s="17"/>
    </row>
    <row r="471" spans="1:8" customFormat="1" x14ac:dyDescent="0.25">
      <c r="A471" s="3">
        <v>1790</v>
      </c>
      <c r="B471" s="9" t="s">
        <v>318</v>
      </c>
      <c r="C471" s="24">
        <v>3678242.4</v>
      </c>
      <c r="D471" s="9">
        <v>43556</v>
      </c>
      <c r="E471" s="25">
        <v>9</v>
      </c>
      <c r="F471" s="44">
        <v>2019</v>
      </c>
      <c r="G471" s="18"/>
      <c r="H471" s="17"/>
    </row>
    <row r="472" spans="1:8" customFormat="1" x14ac:dyDescent="0.25">
      <c r="A472" s="3">
        <v>1507</v>
      </c>
      <c r="B472" s="9" t="s">
        <v>192</v>
      </c>
      <c r="C472" s="24">
        <v>577000000</v>
      </c>
      <c r="D472" s="9">
        <v>43617</v>
      </c>
      <c r="E472" s="25">
        <v>1</v>
      </c>
      <c r="F472" s="44"/>
      <c r="G472" s="18"/>
      <c r="H472" s="17"/>
    </row>
    <row r="473" spans="1:8" customFormat="1" x14ac:dyDescent="0.25">
      <c r="A473" s="3">
        <v>1580</v>
      </c>
      <c r="B473" s="9" t="s">
        <v>192</v>
      </c>
      <c r="C473" s="24">
        <v>29400000</v>
      </c>
      <c r="D473" s="9">
        <v>43405</v>
      </c>
      <c r="E473" s="25">
        <v>16</v>
      </c>
      <c r="F473" s="44"/>
      <c r="G473" s="18"/>
      <c r="H473" s="17"/>
    </row>
    <row r="474" spans="1:8" customFormat="1" x14ac:dyDescent="0.25">
      <c r="A474" s="3">
        <v>1596</v>
      </c>
      <c r="B474" s="9" t="s">
        <v>192</v>
      </c>
      <c r="C474" s="24">
        <v>21263797.894736841</v>
      </c>
      <c r="D474" s="9">
        <v>43070</v>
      </c>
      <c r="E474" s="25">
        <v>19</v>
      </c>
      <c r="F474" s="44"/>
      <c r="G474" s="18"/>
      <c r="H474" s="17"/>
    </row>
    <row r="475" spans="1:8" customFormat="1" x14ac:dyDescent="0.25">
      <c r="A475" s="3">
        <v>1687</v>
      </c>
      <c r="B475" s="9" t="s">
        <v>192</v>
      </c>
      <c r="C475" s="24">
        <v>32000000</v>
      </c>
      <c r="D475" s="9">
        <v>42552</v>
      </c>
      <c r="E475" s="25">
        <v>23</v>
      </c>
      <c r="F475" s="44"/>
      <c r="G475" s="18"/>
      <c r="H475" s="17"/>
    </row>
    <row r="476" spans="1:8" customFormat="1" x14ac:dyDescent="0.25">
      <c r="A476" s="3">
        <v>1689</v>
      </c>
      <c r="B476" s="9" t="s">
        <v>192</v>
      </c>
      <c r="C476" s="24">
        <v>15665740</v>
      </c>
      <c r="D476" s="9">
        <v>42583</v>
      </c>
      <c r="E476" s="25">
        <v>38</v>
      </c>
      <c r="F476" s="44"/>
      <c r="G476" s="18"/>
      <c r="H476" s="17"/>
    </row>
    <row r="477" spans="1:8" customFormat="1" x14ac:dyDescent="0.25">
      <c r="A477" s="3">
        <v>1701</v>
      </c>
      <c r="B477" s="43" t="s">
        <v>192</v>
      </c>
      <c r="C477" s="24">
        <v>22000000</v>
      </c>
      <c r="D477" s="9">
        <v>42614</v>
      </c>
      <c r="E477" s="25">
        <v>10</v>
      </c>
      <c r="F477" s="44"/>
      <c r="G477" s="18"/>
      <c r="H477" s="17"/>
    </row>
    <row r="478" spans="1:8" customFormat="1" x14ac:dyDescent="0.25">
      <c r="A478" s="3">
        <v>1713</v>
      </c>
      <c r="B478" s="43" t="s">
        <v>192</v>
      </c>
      <c r="C478" s="24">
        <v>24985000</v>
      </c>
      <c r="D478" s="9">
        <v>42644</v>
      </c>
      <c r="E478" s="25">
        <v>20</v>
      </c>
      <c r="F478" s="44"/>
      <c r="G478" s="18"/>
      <c r="H478" s="17"/>
    </row>
    <row r="479" spans="1:8" customFormat="1" x14ac:dyDescent="0.25">
      <c r="A479" s="3">
        <v>1744</v>
      </c>
      <c r="B479" s="43" t="s">
        <v>192</v>
      </c>
      <c r="C479" s="24">
        <v>35458635</v>
      </c>
      <c r="D479" s="9">
        <v>42767</v>
      </c>
      <c r="E479" s="25">
        <v>31</v>
      </c>
      <c r="F479" s="44"/>
      <c r="G479" s="18"/>
      <c r="H479" s="17"/>
    </row>
    <row r="480" spans="1:8" customFormat="1" x14ac:dyDescent="0.25">
      <c r="A480" s="3">
        <v>1751</v>
      </c>
      <c r="B480" s="43" t="s">
        <v>192</v>
      </c>
      <c r="C480" s="24">
        <v>15500000</v>
      </c>
      <c r="D480" s="9">
        <v>42795</v>
      </c>
      <c r="E480" s="25">
        <v>27</v>
      </c>
      <c r="F480" s="44"/>
      <c r="G480" s="18"/>
      <c r="H480" s="17"/>
    </row>
    <row r="481" spans="1:8" customFormat="1" x14ac:dyDescent="0.25">
      <c r="A481" s="3">
        <v>1753</v>
      </c>
      <c r="B481" s="43" t="s">
        <v>192</v>
      </c>
      <c r="C481" s="24">
        <v>10000000</v>
      </c>
      <c r="D481" s="9">
        <v>43282</v>
      </c>
      <c r="E481" s="25">
        <v>7</v>
      </c>
      <c r="F481" s="44"/>
      <c r="G481" s="18"/>
      <c r="H481" s="17"/>
    </row>
    <row r="482" spans="1:8" customFormat="1" x14ac:dyDescent="0.25">
      <c r="A482" s="3">
        <v>1756</v>
      </c>
      <c r="B482" s="43" t="s">
        <v>192</v>
      </c>
      <c r="C482" s="24">
        <v>62778573</v>
      </c>
      <c r="D482" s="9">
        <v>42826</v>
      </c>
      <c r="E482" s="25">
        <v>30</v>
      </c>
      <c r="F482" s="44"/>
      <c r="G482" s="18"/>
      <c r="H482" s="17"/>
    </row>
    <row r="483" spans="1:8" customFormat="1" x14ac:dyDescent="0.25">
      <c r="A483" s="3">
        <v>1758</v>
      </c>
      <c r="B483" s="43" t="s">
        <v>192</v>
      </c>
      <c r="C483" s="24">
        <v>16500000</v>
      </c>
      <c r="D483" s="9">
        <v>43009</v>
      </c>
      <c r="E483" s="25">
        <v>27</v>
      </c>
      <c r="F483" s="44"/>
      <c r="G483" s="18"/>
      <c r="H483" s="17"/>
    </row>
    <row r="484" spans="1:8" customFormat="1" x14ac:dyDescent="0.25">
      <c r="A484" s="3">
        <v>1789</v>
      </c>
      <c r="B484" s="43" t="s">
        <v>192</v>
      </c>
      <c r="C484" s="24">
        <v>15400000</v>
      </c>
      <c r="D484" s="9">
        <v>43009</v>
      </c>
      <c r="E484" s="25">
        <v>19</v>
      </c>
      <c r="F484" s="44"/>
      <c r="G484" s="18"/>
      <c r="H484" s="17"/>
    </row>
    <row r="485" spans="1:8" customFormat="1" x14ac:dyDescent="0.25">
      <c r="A485" s="3">
        <v>1802</v>
      </c>
      <c r="B485" s="43" t="s">
        <v>192</v>
      </c>
      <c r="C485" s="24">
        <v>21063300</v>
      </c>
      <c r="D485" s="9">
        <v>43070</v>
      </c>
      <c r="E485" s="25">
        <v>27</v>
      </c>
      <c r="F485" s="44"/>
      <c r="G485" s="18"/>
      <c r="H485" s="17"/>
    </row>
    <row r="486" spans="1:8" customFormat="1" x14ac:dyDescent="0.25">
      <c r="A486" s="3">
        <v>1804</v>
      </c>
      <c r="B486" s="43" t="s">
        <v>192</v>
      </c>
      <c r="C486" s="24">
        <v>29813870</v>
      </c>
      <c r="D486" s="9">
        <v>43040</v>
      </c>
      <c r="E486" s="25">
        <v>22</v>
      </c>
      <c r="F486" s="44"/>
      <c r="G486" s="18"/>
      <c r="H486" s="17"/>
    </row>
    <row r="487" spans="1:8" customFormat="1" x14ac:dyDescent="0.25">
      <c r="A487" s="3">
        <v>1813</v>
      </c>
      <c r="B487" s="43" t="s">
        <v>192</v>
      </c>
      <c r="C487" s="24">
        <v>39668026.912500001</v>
      </c>
      <c r="D487" s="9">
        <v>43132</v>
      </c>
      <c r="E487" s="25">
        <v>18</v>
      </c>
      <c r="F487" s="44"/>
      <c r="G487" s="18"/>
      <c r="H487" s="17"/>
    </row>
    <row r="488" spans="1:8" customFormat="1" x14ac:dyDescent="0.25">
      <c r="A488" s="3">
        <v>1813</v>
      </c>
      <c r="B488" s="43" t="s">
        <v>192</v>
      </c>
      <c r="C488" s="24">
        <v>86911842.894736797</v>
      </c>
      <c r="D488" s="9">
        <v>43132</v>
      </c>
      <c r="E488" s="25">
        <v>18</v>
      </c>
      <c r="F488" s="44"/>
      <c r="G488" s="18"/>
      <c r="H488" s="17"/>
    </row>
    <row r="489" spans="1:8" customFormat="1" x14ac:dyDescent="0.25">
      <c r="A489" s="3">
        <v>1818</v>
      </c>
      <c r="B489" s="43" t="s">
        <v>192</v>
      </c>
      <c r="C489" s="24">
        <v>5700000</v>
      </c>
      <c r="D489" s="9">
        <v>43282</v>
      </c>
      <c r="E489" s="25">
        <v>6</v>
      </c>
      <c r="F489" s="44"/>
      <c r="G489" s="18"/>
      <c r="H489" s="17"/>
    </row>
    <row r="490" spans="1:8" customFormat="1" x14ac:dyDescent="0.25">
      <c r="A490" s="3">
        <v>1818</v>
      </c>
      <c r="B490" s="43" t="s">
        <v>192</v>
      </c>
      <c r="C490" s="24">
        <v>14500000</v>
      </c>
      <c r="D490" s="9">
        <v>43466</v>
      </c>
      <c r="E490" s="25">
        <v>12</v>
      </c>
      <c r="F490" s="44"/>
      <c r="G490" s="18"/>
      <c r="H490" s="17"/>
    </row>
    <row r="491" spans="1:8" customFormat="1" x14ac:dyDescent="0.25">
      <c r="A491" s="3">
        <v>1829</v>
      </c>
      <c r="B491" s="43" t="s">
        <v>192</v>
      </c>
      <c r="C491" s="24">
        <v>13393000</v>
      </c>
      <c r="D491" s="9">
        <v>43160</v>
      </c>
      <c r="E491" s="25">
        <v>28</v>
      </c>
      <c r="F491" s="44"/>
      <c r="G491" s="18"/>
      <c r="H491" s="17"/>
    </row>
    <row r="492" spans="1:8" customFormat="1" x14ac:dyDescent="0.25">
      <c r="A492" s="3">
        <v>1829</v>
      </c>
      <c r="B492" s="43" t="s">
        <v>192</v>
      </c>
      <c r="C492" s="24">
        <v>2337394.9579831935</v>
      </c>
      <c r="D492" s="9">
        <v>43160</v>
      </c>
      <c r="E492" s="25">
        <v>28</v>
      </c>
      <c r="F492" s="44"/>
      <c r="G492" s="18"/>
      <c r="H492" s="17"/>
    </row>
    <row r="493" spans="1:8" customFormat="1" x14ac:dyDescent="0.25">
      <c r="A493" s="3">
        <v>1838</v>
      </c>
      <c r="B493" s="43" t="s">
        <v>192</v>
      </c>
      <c r="C493" s="24">
        <v>5797541</v>
      </c>
      <c r="D493" s="9">
        <v>43405</v>
      </c>
      <c r="E493" s="25">
        <v>5</v>
      </c>
      <c r="F493" s="44"/>
      <c r="G493" s="18"/>
      <c r="H493" s="17"/>
    </row>
    <row r="494" spans="1:8" customFormat="1" x14ac:dyDescent="0.25">
      <c r="A494" s="3">
        <v>1846</v>
      </c>
      <c r="B494" s="43" t="s">
        <v>192</v>
      </c>
      <c r="C494" s="24">
        <v>3005744</v>
      </c>
      <c r="D494" s="9">
        <v>43282</v>
      </c>
      <c r="E494" s="25">
        <v>4</v>
      </c>
      <c r="F494" s="44"/>
      <c r="G494" s="18"/>
      <c r="H494" s="17"/>
    </row>
    <row r="495" spans="1:8" customFormat="1" x14ac:dyDescent="0.25">
      <c r="A495" s="3">
        <v>1846</v>
      </c>
      <c r="B495" s="9" t="s">
        <v>192</v>
      </c>
      <c r="C495" s="24">
        <v>13500000</v>
      </c>
      <c r="D495" s="9">
        <v>43405</v>
      </c>
      <c r="E495" s="25">
        <v>2</v>
      </c>
      <c r="F495" s="44"/>
      <c r="G495" s="18"/>
      <c r="H495" s="17"/>
    </row>
    <row r="496" spans="1:8" customFormat="1" x14ac:dyDescent="0.25">
      <c r="A496" s="3">
        <v>1856</v>
      </c>
      <c r="B496" s="9" t="s">
        <v>192</v>
      </c>
      <c r="C496" s="24">
        <v>20000000</v>
      </c>
      <c r="D496" s="9">
        <v>43252</v>
      </c>
      <c r="E496" s="25">
        <v>32</v>
      </c>
      <c r="F496" s="44"/>
      <c r="G496" s="18"/>
      <c r="H496" s="17"/>
    </row>
    <row r="497" spans="1:8" customFormat="1" x14ac:dyDescent="0.25">
      <c r="A497" s="3">
        <v>1857</v>
      </c>
      <c r="B497" s="9" t="s">
        <v>192</v>
      </c>
      <c r="C497" s="24">
        <v>9800000</v>
      </c>
      <c r="D497" s="9">
        <v>43282</v>
      </c>
      <c r="E497" s="25">
        <v>15</v>
      </c>
      <c r="F497" s="44"/>
      <c r="G497" s="18"/>
      <c r="H497" s="17"/>
    </row>
    <row r="498" spans="1:8" customFormat="1" x14ac:dyDescent="0.25">
      <c r="A498" s="3">
        <v>1860</v>
      </c>
      <c r="B498" s="9" t="s">
        <v>192</v>
      </c>
      <c r="C498" s="24">
        <v>7700000</v>
      </c>
      <c r="D498" s="9">
        <v>43313</v>
      </c>
      <c r="E498" s="25">
        <v>33</v>
      </c>
      <c r="F498" s="44"/>
      <c r="G498" s="18"/>
      <c r="H498" s="17"/>
    </row>
    <row r="499" spans="1:8" customFormat="1" x14ac:dyDescent="0.25">
      <c r="A499" s="3">
        <v>1861</v>
      </c>
      <c r="B499" s="9" t="s">
        <v>192</v>
      </c>
      <c r="C499" s="24">
        <v>64030000</v>
      </c>
      <c r="D499" s="9">
        <v>43374</v>
      </c>
      <c r="E499" s="25">
        <v>6</v>
      </c>
      <c r="F499" s="44"/>
      <c r="G499" s="18"/>
      <c r="H499" s="17"/>
    </row>
    <row r="500" spans="1:8" customFormat="1" x14ac:dyDescent="0.25">
      <c r="A500" s="3">
        <v>1861</v>
      </c>
      <c r="B500" s="43" t="s">
        <v>192</v>
      </c>
      <c r="C500" s="24">
        <v>48811000</v>
      </c>
      <c r="D500" s="9">
        <v>43435</v>
      </c>
      <c r="E500" s="25">
        <v>25</v>
      </c>
      <c r="F500" s="44"/>
      <c r="G500" s="18"/>
      <c r="H500" s="17"/>
    </row>
    <row r="501" spans="1:8" customFormat="1" x14ac:dyDescent="0.25">
      <c r="A501" s="3">
        <v>1873</v>
      </c>
      <c r="B501" s="9" t="s">
        <v>192</v>
      </c>
      <c r="C501" s="24">
        <v>6950000</v>
      </c>
      <c r="D501" s="9">
        <v>43313</v>
      </c>
      <c r="E501" s="25">
        <v>17</v>
      </c>
      <c r="F501" s="44"/>
      <c r="G501" s="18"/>
      <c r="H501" s="17"/>
    </row>
    <row r="502" spans="1:8" customFormat="1" x14ac:dyDescent="0.25">
      <c r="A502" s="3">
        <v>1874</v>
      </c>
      <c r="B502" s="9" t="s">
        <v>192</v>
      </c>
      <c r="C502" s="24">
        <v>19400000</v>
      </c>
      <c r="D502" s="9">
        <v>43344</v>
      </c>
      <c r="E502" s="25">
        <v>14</v>
      </c>
      <c r="F502" s="44"/>
      <c r="G502" s="18"/>
      <c r="H502" s="17"/>
    </row>
    <row r="503" spans="1:8" customFormat="1" x14ac:dyDescent="0.25">
      <c r="A503" s="3">
        <v>1883</v>
      </c>
      <c r="B503" s="9" t="s">
        <v>192</v>
      </c>
      <c r="C503" s="24">
        <v>11029019</v>
      </c>
      <c r="D503" s="9">
        <v>43405</v>
      </c>
      <c r="E503" s="25">
        <v>28</v>
      </c>
      <c r="F503" s="44"/>
      <c r="G503" s="18"/>
      <c r="H503" s="17"/>
    </row>
    <row r="504" spans="1:8" customFormat="1" x14ac:dyDescent="0.25">
      <c r="A504" s="3">
        <v>1884</v>
      </c>
      <c r="B504" s="43" t="s">
        <v>192</v>
      </c>
      <c r="C504" s="24">
        <v>10920000</v>
      </c>
      <c r="D504" s="9">
        <v>43405</v>
      </c>
      <c r="E504" s="25">
        <v>15</v>
      </c>
      <c r="F504" s="44"/>
      <c r="G504" s="18"/>
      <c r="H504" s="17"/>
    </row>
    <row r="505" spans="1:8" customFormat="1" x14ac:dyDescent="0.25">
      <c r="A505" s="3">
        <v>1881</v>
      </c>
      <c r="B505" s="43" t="s">
        <v>192</v>
      </c>
      <c r="C505" s="24">
        <v>8200000</v>
      </c>
      <c r="D505" s="9">
        <v>43344</v>
      </c>
      <c r="E505" s="25">
        <v>23</v>
      </c>
      <c r="F505" s="44"/>
      <c r="G505" s="18"/>
      <c r="H505" s="17"/>
    </row>
    <row r="506" spans="1:8" customFormat="1" x14ac:dyDescent="0.25">
      <c r="A506" s="3">
        <v>1880</v>
      </c>
      <c r="B506" s="43" t="s">
        <v>192</v>
      </c>
      <c r="C506" s="24">
        <v>9080000</v>
      </c>
      <c r="D506" s="9">
        <v>43374</v>
      </c>
      <c r="E506" s="25">
        <v>9</v>
      </c>
      <c r="F506" s="44"/>
      <c r="G506" s="18"/>
      <c r="H506" s="17"/>
    </row>
    <row r="507" spans="1:8" customFormat="1" x14ac:dyDescent="0.25">
      <c r="A507" s="3">
        <v>1877</v>
      </c>
      <c r="B507" s="9" t="s">
        <v>192</v>
      </c>
      <c r="C507" s="24">
        <v>27800000</v>
      </c>
      <c r="D507" s="9">
        <v>43374</v>
      </c>
      <c r="E507" s="25">
        <v>18</v>
      </c>
      <c r="F507" s="44"/>
      <c r="G507" s="18"/>
      <c r="H507" s="17"/>
    </row>
    <row r="508" spans="1:8" customFormat="1" x14ac:dyDescent="0.25">
      <c r="A508" s="3">
        <v>1848</v>
      </c>
      <c r="B508" s="9" t="s">
        <v>192</v>
      </c>
      <c r="C508" s="24">
        <v>21328983.642500002</v>
      </c>
      <c r="D508" s="9">
        <v>43221</v>
      </c>
      <c r="E508" s="25">
        <v>1</v>
      </c>
      <c r="F508" s="44"/>
      <c r="G508" s="18"/>
      <c r="H508" s="17"/>
    </row>
    <row r="509" spans="1:8" customFormat="1" x14ac:dyDescent="0.25">
      <c r="A509" s="3">
        <v>1813</v>
      </c>
      <c r="B509" s="9" t="s">
        <v>192</v>
      </c>
      <c r="C509" s="24">
        <v>0</v>
      </c>
      <c r="D509" s="9">
        <v>43132</v>
      </c>
      <c r="E509" s="25">
        <v>18</v>
      </c>
      <c r="F509" s="44"/>
      <c r="G509" s="18"/>
      <c r="H509" s="17"/>
    </row>
    <row r="510" spans="1:8" customFormat="1" x14ac:dyDescent="0.25">
      <c r="A510" s="3">
        <v>1713</v>
      </c>
      <c r="B510" s="9" t="s">
        <v>192</v>
      </c>
      <c r="C510" s="24">
        <v>3705000</v>
      </c>
      <c r="D510" s="9">
        <v>42614</v>
      </c>
      <c r="E510" s="25">
        <v>1</v>
      </c>
      <c r="F510" s="44"/>
      <c r="G510" s="18"/>
      <c r="H510" s="17"/>
    </row>
    <row r="511" spans="1:8" customFormat="1" x14ac:dyDescent="0.25">
      <c r="A511" s="3">
        <v>1713</v>
      </c>
      <c r="B511" s="9" t="s">
        <v>192</v>
      </c>
      <c r="C511" s="24">
        <v>24977737</v>
      </c>
      <c r="D511" s="9">
        <v>43221</v>
      </c>
      <c r="E511" s="25">
        <v>6</v>
      </c>
      <c r="F511" s="44"/>
      <c r="G511" s="18"/>
      <c r="H511" s="17"/>
    </row>
    <row r="512" spans="1:8" customFormat="1" x14ac:dyDescent="0.25">
      <c r="A512" s="3">
        <v>1701</v>
      </c>
      <c r="B512" s="9" t="s">
        <v>192</v>
      </c>
      <c r="C512" s="24">
        <v>19000000</v>
      </c>
      <c r="D512" s="9">
        <v>42887</v>
      </c>
      <c r="E512" s="25">
        <v>31</v>
      </c>
      <c r="F512" s="44"/>
      <c r="G512" s="18"/>
      <c r="H512" s="17"/>
    </row>
    <row r="513" spans="1:8" customFormat="1" x14ac:dyDescent="0.25">
      <c r="A513" s="3">
        <v>1687</v>
      </c>
      <c r="B513" s="9" t="s">
        <v>192</v>
      </c>
      <c r="C513" s="24">
        <v>32000000</v>
      </c>
      <c r="D513" s="9">
        <v>43313</v>
      </c>
      <c r="E513" s="25">
        <v>6</v>
      </c>
      <c r="F513" s="44"/>
      <c r="G513" s="18"/>
      <c r="H513" s="17"/>
    </row>
    <row r="514" spans="1:8" customFormat="1" x14ac:dyDescent="0.25">
      <c r="A514" s="3">
        <v>1618</v>
      </c>
      <c r="B514" s="9" t="s">
        <v>192</v>
      </c>
      <c r="C514" s="24">
        <v>27000000</v>
      </c>
      <c r="D514" s="9">
        <v>42125</v>
      </c>
      <c r="E514" s="25">
        <v>26.83</v>
      </c>
      <c r="F514" s="44"/>
      <c r="G514" s="18"/>
      <c r="H514" s="17"/>
    </row>
    <row r="515" spans="1:8" customFormat="1" x14ac:dyDescent="0.25">
      <c r="A515" s="3">
        <v>1618</v>
      </c>
      <c r="B515" s="9" t="s">
        <v>192</v>
      </c>
      <c r="C515" s="24">
        <v>21000000</v>
      </c>
      <c r="D515" s="9">
        <v>43160</v>
      </c>
      <c r="E515" s="25">
        <v>3</v>
      </c>
      <c r="F515" s="44"/>
      <c r="G515" s="18"/>
      <c r="H515" s="17"/>
    </row>
    <row r="516" spans="1:8" customFormat="1" x14ac:dyDescent="0.25">
      <c r="A516" s="3">
        <v>1577</v>
      </c>
      <c r="B516" s="9" t="s">
        <v>192</v>
      </c>
      <c r="C516" s="24">
        <v>15000000</v>
      </c>
      <c r="D516" s="9">
        <v>41883</v>
      </c>
      <c r="E516" s="25">
        <v>7</v>
      </c>
      <c r="F516" s="44"/>
      <c r="G516" s="18"/>
      <c r="H516" s="17"/>
    </row>
    <row r="517" spans="1:8" customFormat="1" x14ac:dyDescent="0.25">
      <c r="A517" s="3">
        <v>1577</v>
      </c>
      <c r="B517" s="9" t="s">
        <v>192</v>
      </c>
      <c r="C517" s="24">
        <v>33000000</v>
      </c>
      <c r="D517" s="9">
        <v>42125</v>
      </c>
      <c r="E517" s="25">
        <v>49</v>
      </c>
      <c r="F517" s="44"/>
      <c r="G517" s="18"/>
      <c r="H517" s="17"/>
    </row>
    <row r="518" spans="1:8" customFormat="1" x14ac:dyDescent="0.25">
      <c r="A518" s="3">
        <v>1577</v>
      </c>
      <c r="B518" s="9" t="s">
        <v>192</v>
      </c>
      <c r="C518" s="24">
        <v>15000000</v>
      </c>
      <c r="D518" s="9">
        <v>43617</v>
      </c>
      <c r="E518" s="25">
        <v>2</v>
      </c>
      <c r="F518" s="44"/>
      <c r="G518" s="18"/>
      <c r="H518" s="17"/>
    </row>
    <row r="519" spans="1:8" customFormat="1" x14ac:dyDescent="0.25">
      <c r="A519" s="3">
        <v>1622</v>
      </c>
      <c r="B519" s="9" t="s">
        <v>192</v>
      </c>
      <c r="C519" s="24">
        <v>36049228</v>
      </c>
      <c r="D519" s="9">
        <v>43374</v>
      </c>
      <c r="E519" s="25">
        <v>6</v>
      </c>
      <c r="F519" s="44"/>
      <c r="G519" s="18"/>
      <c r="H519" s="17"/>
    </row>
    <row r="520" spans="1:8" customFormat="1" x14ac:dyDescent="0.25">
      <c r="A520" s="3">
        <v>1622</v>
      </c>
      <c r="B520" s="9" t="s">
        <v>192</v>
      </c>
      <c r="C520" s="24">
        <v>44700000</v>
      </c>
      <c r="D520" s="9">
        <v>43374</v>
      </c>
      <c r="E520" s="25">
        <v>7</v>
      </c>
      <c r="F520" s="44"/>
      <c r="G520" s="18"/>
      <c r="H520" s="17"/>
    </row>
    <row r="521" spans="1:8" customFormat="1" x14ac:dyDescent="0.25">
      <c r="A521" s="3">
        <v>1588</v>
      </c>
      <c r="B521" s="9" t="s">
        <v>192</v>
      </c>
      <c r="C521" s="24">
        <v>14800000</v>
      </c>
      <c r="D521" s="9">
        <v>42186</v>
      </c>
      <c r="E521" s="25">
        <v>6</v>
      </c>
      <c r="F521" s="44"/>
      <c r="G521" s="18"/>
      <c r="H521" s="17"/>
    </row>
    <row r="522" spans="1:8" customFormat="1" x14ac:dyDescent="0.25">
      <c r="A522" s="3">
        <v>1588</v>
      </c>
      <c r="B522" s="9" t="s">
        <v>192</v>
      </c>
      <c r="C522" s="24">
        <v>5000000</v>
      </c>
      <c r="D522" s="9">
        <v>42095</v>
      </c>
      <c r="E522" s="25">
        <v>6</v>
      </c>
      <c r="F522" s="44"/>
      <c r="G522" s="18"/>
      <c r="H522" s="17"/>
    </row>
    <row r="523" spans="1:8" customFormat="1" x14ac:dyDescent="0.25">
      <c r="A523" s="3">
        <v>1588</v>
      </c>
      <c r="B523" s="9" t="s">
        <v>192</v>
      </c>
      <c r="C523" s="24">
        <v>20430000</v>
      </c>
      <c r="D523" s="9">
        <v>42491</v>
      </c>
      <c r="E523" s="25">
        <v>41</v>
      </c>
      <c r="F523" s="44"/>
      <c r="G523" s="18"/>
      <c r="H523" s="17"/>
    </row>
    <row r="524" spans="1:8" customFormat="1" x14ac:dyDescent="0.25">
      <c r="A524" s="3">
        <v>1723</v>
      </c>
      <c r="B524" s="9" t="s">
        <v>192</v>
      </c>
      <c r="C524" s="24">
        <v>48600000</v>
      </c>
      <c r="D524" s="9">
        <v>42614</v>
      </c>
      <c r="E524" s="25">
        <v>34</v>
      </c>
      <c r="F524" s="44"/>
      <c r="G524" s="18"/>
      <c r="H524" s="17"/>
    </row>
    <row r="525" spans="1:8" customFormat="1" x14ac:dyDescent="0.25">
      <c r="A525" s="3">
        <v>1888</v>
      </c>
      <c r="B525" s="9" t="s">
        <v>192</v>
      </c>
      <c r="C525" s="24">
        <v>6040000</v>
      </c>
      <c r="D525" s="9">
        <v>43525</v>
      </c>
      <c r="E525" s="25">
        <v>4</v>
      </c>
      <c r="F525" s="44"/>
      <c r="G525" s="18"/>
      <c r="H525" s="17"/>
    </row>
    <row r="526" spans="1:8" customFormat="1" x14ac:dyDescent="0.25">
      <c r="A526" s="3">
        <v>1888</v>
      </c>
      <c r="B526" s="9" t="s">
        <v>192</v>
      </c>
      <c r="C526" s="24">
        <v>19220000</v>
      </c>
      <c r="D526" s="9">
        <v>43525</v>
      </c>
      <c r="E526" s="25">
        <v>12</v>
      </c>
      <c r="F526" s="44"/>
      <c r="G526" s="18"/>
      <c r="H526" s="17"/>
    </row>
    <row r="527" spans="1:8" customFormat="1" x14ac:dyDescent="0.25">
      <c r="A527" s="3">
        <v>1891</v>
      </c>
      <c r="B527" s="9" t="s">
        <v>192</v>
      </c>
      <c r="C527" s="24">
        <v>23250000</v>
      </c>
      <c r="D527" s="9">
        <v>43497</v>
      </c>
      <c r="E527" s="25">
        <v>25</v>
      </c>
      <c r="F527" s="44"/>
      <c r="G527" s="18"/>
      <c r="H527" s="17"/>
    </row>
    <row r="528" spans="1:8" customFormat="1" x14ac:dyDescent="0.25">
      <c r="A528" s="3">
        <v>1791</v>
      </c>
      <c r="B528" s="9" t="s">
        <v>192</v>
      </c>
      <c r="C528" s="24">
        <v>60561853.894285716</v>
      </c>
      <c r="D528" s="9">
        <v>42979</v>
      </c>
      <c r="E528" s="25">
        <v>28</v>
      </c>
      <c r="F528" s="44"/>
      <c r="G528" s="18"/>
      <c r="H528" s="17"/>
    </row>
    <row r="529" spans="1:8" customFormat="1" x14ac:dyDescent="0.25">
      <c r="A529" s="3">
        <v>1453</v>
      </c>
      <c r="B529" s="9" t="s">
        <v>192</v>
      </c>
      <c r="C529" s="24">
        <v>15250000</v>
      </c>
      <c r="D529" s="9">
        <v>43466</v>
      </c>
      <c r="E529" s="25">
        <v>12</v>
      </c>
      <c r="F529" s="44"/>
      <c r="G529" s="18"/>
      <c r="H529" s="17"/>
    </row>
    <row r="530" spans="1:8" customFormat="1" x14ac:dyDescent="0.25">
      <c r="A530" s="3">
        <v>1826</v>
      </c>
      <c r="B530" s="9" t="s">
        <v>192</v>
      </c>
      <c r="C530" s="24">
        <v>66315631</v>
      </c>
      <c r="D530" s="9">
        <v>43435</v>
      </c>
      <c r="E530" s="25">
        <v>1</v>
      </c>
      <c r="F530" s="44"/>
      <c r="G530" s="18"/>
      <c r="H530" s="17"/>
    </row>
    <row r="531" spans="1:8" customFormat="1" x14ac:dyDescent="0.25">
      <c r="A531" s="3">
        <v>1826</v>
      </c>
      <c r="B531" s="9" t="s">
        <v>192</v>
      </c>
      <c r="C531" s="24">
        <v>20341421</v>
      </c>
      <c r="D531" s="9">
        <v>43466</v>
      </c>
      <c r="E531" s="25">
        <v>3</v>
      </c>
      <c r="F531" s="44"/>
      <c r="G531" s="18"/>
      <c r="H531" s="17"/>
    </row>
    <row r="532" spans="1:8" customFormat="1" x14ac:dyDescent="0.25">
      <c r="A532" s="3">
        <v>1895</v>
      </c>
      <c r="B532" s="9" t="s">
        <v>192</v>
      </c>
      <c r="C532" s="24">
        <v>7100000</v>
      </c>
      <c r="D532" s="9">
        <v>43435</v>
      </c>
      <c r="E532" s="25">
        <v>2</v>
      </c>
      <c r="F532" s="44"/>
      <c r="G532" s="18"/>
      <c r="H532" s="17"/>
    </row>
    <row r="533" spans="1:8" customFormat="1" x14ac:dyDescent="0.25">
      <c r="A533" s="3">
        <v>1734</v>
      </c>
      <c r="B533" s="9" t="s">
        <v>192</v>
      </c>
      <c r="C533" s="24">
        <v>7000000</v>
      </c>
      <c r="D533" s="9">
        <v>42736</v>
      </c>
      <c r="E533" s="25">
        <v>1</v>
      </c>
      <c r="F533" s="44"/>
      <c r="G533" s="18"/>
      <c r="H533" s="17"/>
    </row>
    <row r="534" spans="1:8" customFormat="1" x14ac:dyDescent="0.25">
      <c r="A534" s="3">
        <v>1734</v>
      </c>
      <c r="B534" s="9" t="s">
        <v>192</v>
      </c>
      <c r="C534" s="24">
        <v>14000000</v>
      </c>
      <c r="D534" s="9">
        <v>42767</v>
      </c>
      <c r="E534" s="25">
        <v>1</v>
      </c>
      <c r="F534" s="44"/>
      <c r="G534" s="18"/>
      <c r="H534" s="17"/>
    </row>
    <row r="535" spans="1:8" customFormat="1" x14ac:dyDescent="0.25">
      <c r="A535" s="3">
        <v>1734</v>
      </c>
      <c r="B535" s="9" t="s">
        <v>192</v>
      </c>
      <c r="C535" s="24">
        <v>14000000</v>
      </c>
      <c r="D535" s="9">
        <v>42795</v>
      </c>
      <c r="E535" s="25">
        <v>1</v>
      </c>
      <c r="F535" s="44"/>
      <c r="G535" s="18"/>
      <c r="H535" s="17"/>
    </row>
    <row r="536" spans="1:8" customFormat="1" x14ac:dyDescent="0.25">
      <c r="A536" s="3">
        <v>1734</v>
      </c>
      <c r="B536" s="9" t="s">
        <v>192</v>
      </c>
      <c r="C536" s="24">
        <v>14000000</v>
      </c>
      <c r="D536" s="9">
        <v>42826</v>
      </c>
      <c r="E536" s="25">
        <v>1</v>
      </c>
      <c r="F536" s="44"/>
      <c r="G536" s="18"/>
      <c r="H536" s="17"/>
    </row>
    <row r="537" spans="1:8" customFormat="1" x14ac:dyDescent="0.25">
      <c r="A537" s="3">
        <v>1734</v>
      </c>
      <c r="B537" s="9" t="s">
        <v>192</v>
      </c>
      <c r="C537" s="24">
        <v>7000000</v>
      </c>
      <c r="D537" s="9">
        <v>42856</v>
      </c>
      <c r="E537" s="25">
        <v>1</v>
      </c>
      <c r="F537" s="44"/>
      <c r="G537" s="18"/>
      <c r="H537" s="17"/>
    </row>
    <row r="538" spans="1:8" customFormat="1" x14ac:dyDescent="0.25">
      <c r="A538" s="3">
        <v>1734</v>
      </c>
      <c r="B538" s="9" t="s">
        <v>192</v>
      </c>
      <c r="C538" s="24">
        <v>9000000</v>
      </c>
      <c r="D538" s="9">
        <v>43040</v>
      </c>
      <c r="E538" s="25">
        <v>1</v>
      </c>
      <c r="F538" s="44"/>
      <c r="G538" s="18"/>
      <c r="H538" s="17"/>
    </row>
    <row r="539" spans="1:8" customFormat="1" x14ac:dyDescent="0.25">
      <c r="A539" s="3">
        <v>1734</v>
      </c>
      <c r="B539" s="9" t="s">
        <v>192</v>
      </c>
      <c r="C539" s="24">
        <v>18000000</v>
      </c>
      <c r="D539" s="9">
        <v>43070</v>
      </c>
      <c r="E539" s="25">
        <v>1</v>
      </c>
      <c r="F539" s="44"/>
      <c r="G539" s="18"/>
      <c r="H539" s="17"/>
    </row>
    <row r="540" spans="1:8" customFormat="1" x14ac:dyDescent="0.25">
      <c r="A540" s="3">
        <v>1734</v>
      </c>
      <c r="B540" s="9" t="s">
        <v>192</v>
      </c>
      <c r="C540" s="24">
        <v>18000000</v>
      </c>
      <c r="D540" s="9">
        <v>43101</v>
      </c>
      <c r="E540" s="25">
        <v>1</v>
      </c>
      <c r="F540" s="44"/>
      <c r="G540" s="18"/>
      <c r="H540" s="17"/>
    </row>
    <row r="541" spans="1:8" customFormat="1" x14ac:dyDescent="0.25">
      <c r="A541" s="3">
        <v>1734</v>
      </c>
      <c r="B541" s="9" t="s">
        <v>192</v>
      </c>
      <c r="C541" s="24">
        <v>18000000</v>
      </c>
      <c r="D541" s="9">
        <v>43132</v>
      </c>
      <c r="E541" s="25">
        <v>1</v>
      </c>
      <c r="F541" s="44"/>
      <c r="G541" s="18"/>
      <c r="H541" s="17"/>
    </row>
    <row r="542" spans="1:8" customFormat="1" x14ac:dyDescent="0.25">
      <c r="A542" s="3">
        <v>1734</v>
      </c>
      <c r="B542" s="9" t="s">
        <v>192</v>
      </c>
      <c r="C542" s="24">
        <v>18000000</v>
      </c>
      <c r="D542" s="9">
        <v>43160</v>
      </c>
      <c r="E542" s="25">
        <v>1</v>
      </c>
      <c r="F542" s="44"/>
      <c r="G542" s="18"/>
      <c r="H542" s="17"/>
    </row>
    <row r="543" spans="1:8" customFormat="1" x14ac:dyDescent="0.25">
      <c r="A543" s="3">
        <v>1734</v>
      </c>
      <c r="B543" s="9" t="s">
        <v>192</v>
      </c>
      <c r="C543" s="24">
        <v>18000000</v>
      </c>
      <c r="D543" s="9">
        <v>43191</v>
      </c>
      <c r="E543" s="25">
        <v>1</v>
      </c>
      <c r="F543" s="44"/>
      <c r="G543" s="18"/>
      <c r="H543" s="17"/>
    </row>
    <row r="544" spans="1:8" customFormat="1" x14ac:dyDescent="0.25">
      <c r="A544" s="3">
        <v>1734</v>
      </c>
      <c r="B544" s="9" t="s">
        <v>192</v>
      </c>
      <c r="C544" s="24">
        <v>10662100.456621004</v>
      </c>
      <c r="D544" s="9">
        <v>43221</v>
      </c>
      <c r="E544" s="25">
        <v>1</v>
      </c>
      <c r="F544" s="44"/>
      <c r="G544" s="18"/>
      <c r="H544" s="17"/>
    </row>
    <row r="545" spans="1:8" customFormat="1" x14ac:dyDescent="0.25">
      <c r="A545" s="3">
        <v>1734</v>
      </c>
      <c r="B545" s="9" t="s">
        <v>192</v>
      </c>
      <c r="C545" s="24">
        <v>12502283.105022833</v>
      </c>
      <c r="D545" s="9">
        <v>43252</v>
      </c>
      <c r="E545" s="25">
        <v>1</v>
      </c>
      <c r="F545" s="44"/>
      <c r="G545" s="18"/>
      <c r="H545" s="17"/>
    </row>
    <row r="546" spans="1:8" customFormat="1" x14ac:dyDescent="0.25">
      <c r="A546" s="3">
        <v>1734</v>
      </c>
      <c r="B546" s="9" t="s">
        <v>192</v>
      </c>
      <c r="C546" s="24">
        <v>14342465.753424659</v>
      </c>
      <c r="D546" s="9">
        <v>43282</v>
      </c>
      <c r="E546" s="25">
        <v>1</v>
      </c>
      <c r="F546" s="44"/>
      <c r="G546" s="18"/>
      <c r="H546" s="17"/>
    </row>
    <row r="547" spans="1:8" customFormat="1" x14ac:dyDescent="0.25">
      <c r="A547" s="3">
        <v>1734</v>
      </c>
      <c r="B547" s="9" t="s">
        <v>192</v>
      </c>
      <c r="C547" s="24">
        <v>16034246.575342465</v>
      </c>
      <c r="D547" s="9">
        <v>43313</v>
      </c>
      <c r="E547" s="25">
        <v>1</v>
      </c>
      <c r="F547" s="44"/>
      <c r="G547" s="18"/>
      <c r="H547" s="17"/>
    </row>
    <row r="548" spans="1:8" customFormat="1" x14ac:dyDescent="0.25">
      <c r="A548" s="3">
        <v>1734</v>
      </c>
      <c r="B548" s="9" t="s">
        <v>192</v>
      </c>
      <c r="C548" s="24">
        <v>17251141.552511416</v>
      </c>
      <c r="D548" s="9">
        <v>43344</v>
      </c>
      <c r="E548" s="25">
        <v>1</v>
      </c>
      <c r="F548" s="44"/>
      <c r="G548" s="18"/>
      <c r="H548" s="17"/>
    </row>
    <row r="549" spans="1:8" customFormat="1" x14ac:dyDescent="0.25">
      <c r="A549" s="3">
        <v>1734</v>
      </c>
      <c r="B549" s="9" t="s">
        <v>192</v>
      </c>
      <c r="C549" s="24">
        <v>14609589.041095886</v>
      </c>
      <c r="D549" s="9">
        <v>43374</v>
      </c>
      <c r="E549" s="25">
        <v>1</v>
      </c>
      <c r="F549" s="44"/>
      <c r="G549" s="18"/>
      <c r="H549" s="17"/>
    </row>
    <row r="550" spans="1:8" customFormat="1" x14ac:dyDescent="0.25">
      <c r="A550" s="3">
        <v>1734</v>
      </c>
      <c r="B550" s="9" t="s">
        <v>192</v>
      </c>
      <c r="C550" s="24">
        <v>14609589.041095892</v>
      </c>
      <c r="D550" s="9">
        <v>43405</v>
      </c>
      <c r="E550" s="25">
        <v>1</v>
      </c>
      <c r="F550" s="44"/>
      <c r="G550" s="18"/>
      <c r="H550" s="17"/>
    </row>
    <row r="551" spans="1:8" customFormat="1" x14ac:dyDescent="0.25">
      <c r="A551" s="3">
        <v>1734</v>
      </c>
      <c r="B551" s="9" t="s">
        <v>192</v>
      </c>
      <c r="C551" s="24">
        <v>16805936.073059365</v>
      </c>
      <c r="D551" s="9">
        <v>43435</v>
      </c>
      <c r="E551" s="25">
        <v>1</v>
      </c>
      <c r="F551" s="44"/>
      <c r="G551" s="18"/>
      <c r="H551" s="17"/>
    </row>
    <row r="552" spans="1:8" customFormat="1" x14ac:dyDescent="0.25">
      <c r="A552" s="3">
        <v>1734</v>
      </c>
      <c r="B552" s="9" t="s">
        <v>192</v>
      </c>
      <c r="C552" s="24">
        <v>15173515.981735155</v>
      </c>
      <c r="D552" s="9">
        <v>43466</v>
      </c>
      <c r="E552" s="25">
        <v>1</v>
      </c>
      <c r="F552" s="44"/>
      <c r="G552" s="18"/>
      <c r="H552" s="17"/>
    </row>
    <row r="553" spans="1:8" customFormat="1" x14ac:dyDescent="0.25">
      <c r="A553" s="3">
        <v>1734</v>
      </c>
      <c r="B553" s="9" t="s">
        <v>192</v>
      </c>
      <c r="C553" s="24">
        <v>14609589.041095892</v>
      </c>
      <c r="D553" s="9">
        <v>43497</v>
      </c>
      <c r="E553" s="25">
        <v>1</v>
      </c>
      <c r="F553" s="44"/>
      <c r="G553" s="18"/>
      <c r="H553" s="17"/>
    </row>
    <row r="554" spans="1:8" customFormat="1" x14ac:dyDescent="0.25">
      <c r="A554" s="3">
        <v>1734</v>
      </c>
      <c r="B554" s="9" t="s">
        <v>192</v>
      </c>
      <c r="C554" s="24">
        <v>15203196.347031964</v>
      </c>
      <c r="D554" s="9">
        <v>43525</v>
      </c>
      <c r="E554" s="25">
        <v>1</v>
      </c>
      <c r="F554" s="44"/>
      <c r="G554" s="18"/>
      <c r="H554" s="17"/>
    </row>
    <row r="555" spans="1:8" customFormat="1" x14ac:dyDescent="0.25">
      <c r="A555" s="3">
        <v>1734</v>
      </c>
      <c r="B555" s="9" t="s">
        <v>192</v>
      </c>
      <c r="C555" s="24">
        <v>18824200.913242016</v>
      </c>
      <c r="D555" s="9">
        <v>43556</v>
      </c>
      <c r="E555" s="25">
        <v>1</v>
      </c>
      <c r="F555" s="44"/>
      <c r="G555" s="18"/>
      <c r="H555" s="17"/>
    </row>
    <row r="556" spans="1:8" customFormat="1" x14ac:dyDescent="0.25">
      <c r="A556" s="3">
        <v>1734</v>
      </c>
      <c r="B556" s="9" t="s">
        <v>192</v>
      </c>
      <c r="C556" s="24">
        <v>21317351.598173514</v>
      </c>
      <c r="D556" s="9">
        <v>43586</v>
      </c>
      <c r="E556" s="25">
        <v>1</v>
      </c>
      <c r="F556" s="44"/>
      <c r="G556" s="18"/>
      <c r="H556" s="17"/>
    </row>
    <row r="557" spans="1:8" customFormat="1" x14ac:dyDescent="0.25">
      <c r="A557" s="3">
        <v>1734</v>
      </c>
      <c r="B557" s="9" t="s">
        <v>192</v>
      </c>
      <c r="C557" s="24">
        <v>22860730.593607314</v>
      </c>
      <c r="D557" s="9">
        <v>43617</v>
      </c>
      <c r="E557" s="25">
        <v>1</v>
      </c>
      <c r="F557" s="44"/>
      <c r="G557" s="18"/>
      <c r="H557" s="17"/>
    </row>
    <row r="558" spans="1:8" customFormat="1" x14ac:dyDescent="0.25">
      <c r="A558" s="3">
        <v>1734</v>
      </c>
      <c r="B558" s="9" t="s">
        <v>192</v>
      </c>
      <c r="C558" s="24">
        <v>21079908.675799087</v>
      </c>
      <c r="D558" s="9">
        <v>43647</v>
      </c>
      <c r="E558" s="25">
        <v>1</v>
      </c>
      <c r="F558" s="44"/>
      <c r="G558" s="18"/>
      <c r="H558" s="17"/>
    </row>
    <row r="559" spans="1:8" customFormat="1" x14ac:dyDescent="0.25">
      <c r="A559" s="3">
        <v>1734</v>
      </c>
      <c r="B559" s="9" t="s">
        <v>192</v>
      </c>
      <c r="C559" s="24">
        <v>25917808.219178069</v>
      </c>
      <c r="D559" s="9">
        <v>43678</v>
      </c>
      <c r="E559" s="25">
        <v>1</v>
      </c>
      <c r="F559" s="44"/>
      <c r="G559" s="18"/>
      <c r="H559" s="17"/>
    </row>
    <row r="560" spans="1:8" customFormat="1" x14ac:dyDescent="0.25">
      <c r="A560" s="3">
        <v>1734</v>
      </c>
      <c r="B560" s="9" t="s">
        <v>192</v>
      </c>
      <c r="C560" s="24">
        <v>23216894.977168947</v>
      </c>
      <c r="D560" s="9">
        <v>43709</v>
      </c>
      <c r="E560" s="25">
        <v>1</v>
      </c>
      <c r="F560" s="44"/>
      <c r="G560" s="18"/>
      <c r="H560" s="17"/>
    </row>
    <row r="561" spans="1:8" customFormat="1" x14ac:dyDescent="0.25">
      <c r="A561" s="3">
        <v>1734</v>
      </c>
      <c r="B561" s="9" t="s">
        <v>192</v>
      </c>
      <c r="C561" s="24">
        <v>24226027.397260282</v>
      </c>
      <c r="D561" s="9">
        <v>43739</v>
      </c>
      <c r="E561" s="25">
        <v>1</v>
      </c>
      <c r="F561" s="44"/>
      <c r="G561" s="18"/>
      <c r="H561" s="17"/>
    </row>
    <row r="562" spans="1:8" customFormat="1" x14ac:dyDescent="0.25">
      <c r="A562" s="3">
        <v>1734</v>
      </c>
      <c r="B562" s="9" t="s">
        <v>192</v>
      </c>
      <c r="C562" s="24">
        <v>25977168.949771687</v>
      </c>
      <c r="D562" s="9">
        <v>43770</v>
      </c>
      <c r="E562" s="25">
        <v>1</v>
      </c>
      <c r="F562" s="44"/>
      <c r="G562" s="18"/>
      <c r="H562" s="17"/>
    </row>
    <row r="563" spans="1:8" customFormat="1" x14ac:dyDescent="0.25">
      <c r="A563" s="3">
        <v>1734</v>
      </c>
      <c r="B563" s="9" t="s">
        <v>192</v>
      </c>
      <c r="C563" s="24">
        <v>20456621.00456623</v>
      </c>
      <c r="D563" s="9">
        <v>43800</v>
      </c>
      <c r="E563" s="25">
        <v>1</v>
      </c>
      <c r="F563" s="44"/>
      <c r="G563" s="18"/>
      <c r="H563" s="17"/>
    </row>
    <row r="564" spans="1:8" customFormat="1" x14ac:dyDescent="0.25">
      <c r="A564" s="3">
        <v>1734</v>
      </c>
      <c r="B564" s="9" t="s">
        <v>192</v>
      </c>
      <c r="C564" s="24">
        <v>20812785.388127822</v>
      </c>
      <c r="D564" s="9">
        <v>43831</v>
      </c>
      <c r="E564" s="25">
        <v>1</v>
      </c>
      <c r="F564" s="44"/>
      <c r="G564" s="18"/>
      <c r="H564" s="17"/>
    </row>
    <row r="565" spans="1:8" customFormat="1" x14ac:dyDescent="0.25">
      <c r="A565" s="3">
        <v>1734</v>
      </c>
      <c r="B565" s="9" t="s">
        <v>192</v>
      </c>
      <c r="C565" s="24">
        <v>23038812.785388142</v>
      </c>
      <c r="D565" s="9">
        <v>43862</v>
      </c>
      <c r="E565" s="25">
        <v>1</v>
      </c>
      <c r="F565" s="44"/>
      <c r="G565" s="18"/>
      <c r="H565" s="17"/>
    </row>
    <row r="566" spans="1:8" customFormat="1" x14ac:dyDescent="0.25">
      <c r="A566" s="3">
        <v>1734</v>
      </c>
      <c r="B566" s="9" t="s">
        <v>192</v>
      </c>
      <c r="C566" s="24">
        <v>20219178.082191784</v>
      </c>
      <c r="D566" s="9">
        <v>43891</v>
      </c>
      <c r="E566" s="25">
        <v>1</v>
      </c>
      <c r="F566" s="44"/>
      <c r="G566" s="18"/>
      <c r="H566" s="17"/>
    </row>
    <row r="567" spans="1:8" customFormat="1" x14ac:dyDescent="0.25">
      <c r="A567" s="3">
        <v>1734</v>
      </c>
      <c r="B567" s="9" t="s">
        <v>192</v>
      </c>
      <c r="C567" s="24">
        <v>22415525.11415524</v>
      </c>
      <c r="D567" s="9">
        <v>43922</v>
      </c>
      <c r="E567" s="25">
        <v>1</v>
      </c>
      <c r="F567" s="44"/>
      <c r="G567" s="18"/>
      <c r="H567" s="17"/>
    </row>
    <row r="568" spans="1:8" customFormat="1" x14ac:dyDescent="0.25">
      <c r="A568" s="3">
        <v>1734</v>
      </c>
      <c r="B568" s="9" t="s">
        <v>192</v>
      </c>
      <c r="C568" s="24">
        <v>22920091.324200906</v>
      </c>
      <c r="D568" s="9">
        <v>43952</v>
      </c>
      <c r="E568" s="25">
        <v>1</v>
      </c>
      <c r="F568" s="44"/>
      <c r="G568" s="18"/>
      <c r="H568" s="17"/>
    </row>
    <row r="569" spans="1:8" customFormat="1" x14ac:dyDescent="0.25">
      <c r="A569" s="3">
        <v>1734</v>
      </c>
      <c r="B569" s="9" t="s">
        <v>192</v>
      </c>
      <c r="C569" s="24">
        <v>18468036.529680401</v>
      </c>
      <c r="D569" s="9">
        <v>43983</v>
      </c>
      <c r="E569" s="25">
        <v>1</v>
      </c>
      <c r="F569" s="44"/>
      <c r="G569" s="18"/>
      <c r="H569" s="17"/>
    </row>
    <row r="570" spans="1:8" customFormat="1" x14ac:dyDescent="0.25">
      <c r="A570" s="3">
        <v>1734</v>
      </c>
      <c r="B570" s="9" t="s">
        <v>192</v>
      </c>
      <c r="C570" s="24">
        <v>17013698.630136952</v>
      </c>
      <c r="D570" s="9">
        <v>44013</v>
      </c>
      <c r="E570" s="25">
        <v>1</v>
      </c>
      <c r="F570" s="44"/>
      <c r="G570" s="18"/>
      <c r="H570" s="17"/>
    </row>
    <row r="571" spans="1:8" customFormat="1" x14ac:dyDescent="0.25">
      <c r="A571" s="3">
        <v>1734</v>
      </c>
      <c r="B571" s="9" t="s">
        <v>192</v>
      </c>
      <c r="C571" s="24">
        <v>16894977.168949805</v>
      </c>
      <c r="D571" s="9">
        <v>44044</v>
      </c>
      <c r="E571" s="25">
        <v>1</v>
      </c>
      <c r="F571" s="44"/>
      <c r="G571" s="18"/>
      <c r="H571" s="17"/>
    </row>
    <row r="572" spans="1:8" customFormat="1" x14ac:dyDescent="0.25">
      <c r="A572" s="3">
        <v>1734</v>
      </c>
      <c r="B572" s="9" t="s">
        <v>192</v>
      </c>
      <c r="C572" s="24">
        <v>14609589.041095892</v>
      </c>
      <c r="D572" s="9">
        <v>44075</v>
      </c>
      <c r="E572" s="25">
        <v>1</v>
      </c>
      <c r="F572" s="44"/>
      <c r="G572" s="18"/>
      <c r="H572" s="17"/>
    </row>
    <row r="573" spans="1:8" customFormat="1" x14ac:dyDescent="0.25">
      <c r="A573" s="3">
        <v>1734</v>
      </c>
      <c r="B573" s="9" t="s">
        <v>192</v>
      </c>
      <c r="C573" s="24">
        <v>14668949.771689489</v>
      </c>
      <c r="D573" s="9">
        <v>44105</v>
      </c>
      <c r="E573" s="25">
        <v>1</v>
      </c>
      <c r="F573" s="44"/>
      <c r="G573" s="18"/>
      <c r="H573" s="17"/>
    </row>
    <row r="574" spans="1:8" customFormat="1" x14ac:dyDescent="0.25">
      <c r="A574" s="3">
        <v>1734</v>
      </c>
      <c r="B574" s="9" t="s">
        <v>192</v>
      </c>
      <c r="C574" s="24">
        <v>11789954.337899536</v>
      </c>
      <c r="D574" s="9">
        <v>44136</v>
      </c>
      <c r="E574" s="25">
        <v>1</v>
      </c>
      <c r="F574" s="44"/>
      <c r="G574" s="18"/>
      <c r="H574" s="17"/>
    </row>
    <row r="575" spans="1:8" customFormat="1" x14ac:dyDescent="0.25">
      <c r="A575" s="3">
        <v>1734</v>
      </c>
      <c r="B575" s="9" t="s">
        <v>192</v>
      </c>
      <c r="C575" s="24">
        <v>10929223.744292254</v>
      </c>
      <c r="D575" s="9">
        <v>44166</v>
      </c>
      <c r="E575" s="25">
        <v>1</v>
      </c>
      <c r="F575" s="44"/>
      <c r="G575" s="18"/>
      <c r="H575" s="17"/>
    </row>
    <row r="576" spans="1:8" customFormat="1" x14ac:dyDescent="0.25">
      <c r="A576" s="3">
        <v>1734</v>
      </c>
      <c r="B576" s="9" t="s">
        <v>192</v>
      </c>
      <c r="C576" s="24">
        <v>5538812.7853881111</v>
      </c>
      <c r="D576" s="9">
        <v>44197</v>
      </c>
      <c r="E576" s="25">
        <v>1</v>
      </c>
      <c r="F576" s="44"/>
      <c r="G576" s="18"/>
      <c r="H576" s="17"/>
    </row>
    <row r="577" spans="1:8" customFormat="1" x14ac:dyDescent="0.25">
      <c r="A577" s="3">
        <v>1846</v>
      </c>
      <c r="B577" s="9" t="s">
        <v>192</v>
      </c>
      <c r="C577" s="24">
        <v>29900000</v>
      </c>
      <c r="D577" s="9">
        <v>43466</v>
      </c>
      <c r="E577" s="25">
        <v>3</v>
      </c>
      <c r="F577" s="44"/>
      <c r="G577" s="18"/>
      <c r="H577" s="17"/>
    </row>
    <row r="578" spans="1:8" customFormat="1" x14ac:dyDescent="0.25">
      <c r="A578" s="3">
        <v>1858</v>
      </c>
      <c r="B578" s="9" t="s">
        <v>192</v>
      </c>
      <c r="C578" s="24">
        <v>26355994.699999999</v>
      </c>
      <c r="D578" s="9">
        <v>43374</v>
      </c>
      <c r="E578" s="25">
        <v>1</v>
      </c>
      <c r="F578" s="44"/>
      <c r="G578" s="18"/>
      <c r="H578" s="17"/>
    </row>
    <row r="579" spans="1:8" customFormat="1" x14ac:dyDescent="0.25">
      <c r="A579" s="3">
        <v>1858</v>
      </c>
      <c r="B579" s="9" t="s">
        <v>192</v>
      </c>
      <c r="C579" s="24">
        <v>39533992.049999997</v>
      </c>
      <c r="D579" s="9">
        <v>43405</v>
      </c>
      <c r="E579" s="25">
        <v>1</v>
      </c>
      <c r="F579" s="44"/>
      <c r="G579" s="18"/>
      <c r="H579" s="17"/>
    </row>
    <row r="580" spans="1:8" customFormat="1" x14ac:dyDescent="0.25">
      <c r="A580" s="3">
        <v>1858</v>
      </c>
      <c r="B580" s="9" t="s">
        <v>192</v>
      </c>
      <c r="C580" s="24">
        <v>158135968.20000002</v>
      </c>
      <c r="D580" s="9">
        <v>43435</v>
      </c>
      <c r="E580" s="25">
        <v>1</v>
      </c>
      <c r="F580" s="44"/>
      <c r="G580" s="18"/>
      <c r="H580" s="17"/>
    </row>
    <row r="581" spans="1:8" customFormat="1" x14ac:dyDescent="0.25">
      <c r="A581" s="3">
        <v>1858</v>
      </c>
      <c r="B581" s="9" t="s">
        <v>192</v>
      </c>
      <c r="C581" s="24">
        <v>118601976.15000001</v>
      </c>
      <c r="D581" s="9">
        <v>43466</v>
      </c>
      <c r="E581" s="25">
        <v>1</v>
      </c>
      <c r="F581" s="44"/>
      <c r="G581" s="18"/>
      <c r="H581" s="17"/>
    </row>
    <row r="582" spans="1:8" customFormat="1" x14ac:dyDescent="0.25">
      <c r="A582" s="3">
        <v>1858</v>
      </c>
      <c r="B582" s="9" t="s">
        <v>192</v>
      </c>
      <c r="C582" s="24">
        <v>197669960.25</v>
      </c>
      <c r="D582" s="9">
        <v>43497</v>
      </c>
      <c r="E582" s="25">
        <v>1</v>
      </c>
      <c r="F582" s="44"/>
      <c r="G582" s="18"/>
      <c r="H582" s="17"/>
    </row>
    <row r="583" spans="1:8" customFormat="1" x14ac:dyDescent="0.25">
      <c r="A583" s="3">
        <v>1858</v>
      </c>
      <c r="B583" s="9" t="s">
        <v>192</v>
      </c>
      <c r="C583" s="24">
        <v>171313965.55000007</v>
      </c>
      <c r="D583" s="9">
        <v>43525</v>
      </c>
      <c r="E583" s="25">
        <v>1</v>
      </c>
      <c r="F583" s="44"/>
      <c r="G583" s="18"/>
      <c r="H583" s="17"/>
    </row>
    <row r="584" spans="1:8" customFormat="1" x14ac:dyDescent="0.25">
      <c r="A584" s="3">
        <v>1858</v>
      </c>
      <c r="B584" s="9" t="s">
        <v>192</v>
      </c>
      <c r="C584" s="24">
        <v>210847957.5999999</v>
      </c>
      <c r="D584" s="9">
        <v>43556</v>
      </c>
      <c r="E584" s="25">
        <v>1</v>
      </c>
      <c r="F584" s="44"/>
      <c r="G584" s="18"/>
      <c r="H584" s="17"/>
    </row>
    <row r="585" spans="1:8" customFormat="1" x14ac:dyDescent="0.25">
      <c r="A585" s="3">
        <v>1858</v>
      </c>
      <c r="B585" s="9" t="s">
        <v>192</v>
      </c>
      <c r="C585" s="24">
        <v>79067984.100000024</v>
      </c>
      <c r="D585" s="9">
        <v>43586</v>
      </c>
      <c r="E585" s="25">
        <v>1</v>
      </c>
      <c r="F585" s="44"/>
      <c r="G585" s="18"/>
      <c r="H585" s="17"/>
    </row>
    <row r="586" spans="1:8" customFormat="1" x14ac:dyDescent="0.25">
      <c r="A586" s="3">
        <v>1858</v>
      </c>
      <c r="B586" s="9" t="s">
        <v>192</v>
      </c>
      <c r="C586" s="24">
        <v>184491962.89999998</v>
      </c>
      <c r="D586" s="9">
        <v>43617</v>
      </c>
      <c r="E586" s="25">
        <v>1</v>
      </c>
      <c r="F586" s="44"/>
      <c r="G586" s="18"/>
      <c r="H586" s="17"/>
    </row>
    <row r="587" spans="1:8" customFormat="1" x14ac:dyDescent="0.25">
      <c r="A587" s="3">
        <v>1858</v>
      </c>
      <c r="B587" s="9" t="s">
        <v>192</v>
      </c>
      <c r="C587" s="24">
        <v>105423978.79999995</v>
      </c>
      <c r="D587" s="9">
        <v>43647</v>
      </c>
      <c r="E587" s="25">
        <v>1</v>
      </c>
      <c r="F587" s="44"/>
      <c r="G587" s="18"/>
      <c r="H587" s="17"/>
    </row>
    <row r="588" spans="1:8" customFormat="1" x14ac:dyDescent="0.25">
      <c r="A588" s="3">
        <v>1858</v>
      </c>
      <c r="B588" s="9" t="s">
        <v>192</v>
      </c>
      <c r="C588" s="24">
        <v>26355994.700000048</v>
      </c>
      <c r="D588" s="9">
        <v>43678</v>
      </c>
      <c r="E588" s="25">
        <v>1</v>
      </c>
      <c r="F588" s="44"/>
      <c r="G588" s="18"/>
      <c r="H588" s="17"/>
    </row>
    <row r="589" spans="1:8" customFormat="1" x14ac:dyDescent="0.25">
      <c r="A589" s="3">
        <v>1893</v>
      </c>
      <c r="B589" s="9" t="s">
        <v>192</v>
      </c>
      <c r="C589" s="24">
        <v>14000000</v>
      </c>
      <c r="D589" s="9">
        <v>43466</v>
      </c>
      <c r="E589" s="25">
        <v>15</v>
      </c>
      <c r="F589" s="44"/>
      <c r="G589" s="18"/>
      <c r="H589" s="17"/>
    </row>
    <row r="590" spans="1:8" customFormat="1" x14ac:dyDescent="0.25">
      <c r="A590" s="3">
        <v>1890</v>
      </c>
      <c r="B590" s="9" t="s">
        <v>192</v>
      </c>
      <c r="C590" s="24">
        <v>12000000</v>
      </c>
      <c r="D590" s="9">
        <v>43466</v>
      </c>
      <c r="E590" s="25">
        <v>24</v>
      </c>
      <c r="F590" s="44"/>
      <c r="G590" s="18"/>
      <c r="H590" s="17"/>
    </row>
    <row r="591" spans="1:8" customFormat="1" x14ac:dyDescent="0.25">
      <c r="A591" s="3">
        <v>1715</v>
      </c>
      <c r="B591" s="9" t="s">
        <v>192</v>
      </c>
      <c r="C591" s="24">
        <v>7050296.2803877732</v>
      </c>
      <c r="D591" s="9">
        <v>43374</v>
      </c>
      <c r="E591" s="25">
        <v>7</v>
      </c>
      <c r="F591" s="44"/>
      <c r="G591" s="18"/>
      <c r="H591" s="17"/>
    </row>
    <row r="592" spans="1:8" customFormat="1" x14ac:dyDescent="0.25">
      <c r="A592" s="3">
        <v>1715</v>
      </c>
      <c r="B592" s="9" t="s">
        <v>192</v>
      </c>
      <c r="C592" s="24">
        <v>5301683.8089733012</v>
      </c>
      <c r="D592" s="9">
        <v>43374</v>
      </c>
      <c r="E592" s="25">
        <v>7</v>
      </c>
      <c r="F592" s="44"/>
      <c r="G592" s="18"/>
      <c r="H592" s="17"/>
    </row>
    <row r="593" spans="1:8" customFormat="1" x14ac:dyDescent="0.25">
      <c r="A593" s="3">
        <v>1715</v>
      </c>
      <c r="B593" s="9" t="s">
        <v>192</v>
      </c>
      <c r="C593" s="24">
        <v>7122595.6118260631</v>
      </c>
      <c r="D593" s="9">
        <v>43374</v>
      </c>
      <c r="E593" s="25">
        <v>7</v>
      </c>
      <c r="F593" s="44"/>
      <c r="G593" s="18"/>
      <c r="H593" s="17"/>
    </row>
    <row r="594" spans="1:8" customFormat="1" x14ac:dyDescent="0.25">
      <c r="A594" s="3">
        <v>1715</v>
      </c>
      <c r="B594" s="9" t="s">
        <v>192</v>
      </c>
      <c r="C594" s="24">
        <v>2753063.7872998388</v>
      </c>
      <c r="D594" s="9">
        <v>43374</v>
      </c>
      <c r="E594" s="25">
        <v>7</v>
      </c>
      <c r="F594" s="44"/>
      <c r="G594" s="18"/>
      <c r="H594" s="17"/>
    </row>
    <row r="595" spans="1:8" customFormat="1" x14ac:dyDescent="0.25">
      <c r="A595" s="3">
        <v>1715</v>
      </c>
      <c r="B595" s="9" t="s">
        <v>192</v>
      </c>
      <c r="C595" s="24">
        <v>4064763.0345789804</v>
      </c>
      <c r="D595" s="9">
        <v>43374</v>
      </c>
      <c r="E595" s="25">
        <v>7</v>
      </c>
      <c r="F595" s="44"/>
      <c r="G595" s="18"/>
      <c r="H595" s="17"/>
    </row>
    <row r="596" spans="1:8" customFormat="1" x14ac:dyDescent="0.25">
      <c r="A596" s="3">
        <v>1715</v>
      </c>
      <c r="B596" s="9" t="s">
        <v>192</v>
      </c>
      <c r="C596" s="24">
        <v>3114204.2269340428</v>
      </c>
      <c r="D596" s="9">
        <v>43374</v>
      </c>
      <c r="E596" s="25">
        <v>7</v>
      </c>
      <c r="F596" s="44"/>
      <c r="G596" s="18"/>
      <c r="H596" s="17"/>
    </row>
    <row r="597" spans="1:8" customFormat="1" x14ac:dyDescent="0.25">
      <c r="A597" s="3">
        <v>1848</v>
      </c>
      <c r="B597" s="9" t="s">
        <v>192</v>
      </c>
      <c r="C597" s="24">
        <v>21328983.642500002</v>
      </c>
      <c r="D597" s="9">
        <v>43252</v>
      </c>
      <c r="E597" s="25">
        <v>1</v>
      </c>
      <c r="F597" s="44"/>
      <c r="G597" s="18"/>
      <c r="H597" s="17"/>
    </row>
    <row r="598" spans="1:8" customFormat="1" x14ac:dyDescent="0.25">
      <c r="A598" s="3">
        <v>1848</v>
      </c>
      <c r="B598" s="9" t="s">
        <v>192</v>
      </c>
      <c r="C598" s="24">
        <v>21328983.642500002</v>
      </c>
      <c r="D598" s="9">
        <v>43282</v>
      </c>
      <c r="E598" s="25">
        <v>1</v>
      </c>
      <c r="F598" s="44"/>
      <c r="G598" s="18"/>
      <c r="H598" s="17"/>
    </row>
    <row r="599" spans="1:8" customFormat="1" x14ac:dyDescent="0.25">
      <c r="A599" s="3">
        <v>1848</v>
      </c>
      <c r="B599" s="9" t="s">
        <v>192</v>
      </c>
      <c r="C599" s="24">
        <v>21328983.642500002</v>
      </c>
      <c r="D599" s="9">
        <v>43313</v>
      </c>
      <c r="E599" s="25">
        <v>1</v>
      </c>
      <c r="F599" s="44"/>
      <c r="G599" s="18"/>
      <c r="H599" s="17"/>
    </row>
    <row r="600" spans="1:8" customFormat="1" x14ac:dyDescent="0.25">
      <c r="A600" s="3">
        <v>1848</v>
      </c>
      <c r="B600" s="9" t="s">
        <v>192</v>
      </c>
      <c r="C600" s="24">
        <v>21328983.642500002</v>
      </c>
      <c r="D600" s="9">
        <v>43344</v>
      </c>
      <c r="E600" s="25">
        <v>1</v>
      </c>
      <c r="F600" s="44"/>
      <c r="G600" s="18"/>
      <c r="H600" s="17"/>
    </row>
    <row r="601" spans="1:8" customFormat="1" x14ac:dyDescent="0.25">
      <c r="A601" s="3">
        <v>1848</v>
      </c>
      <c r="B601" s="9" t="s">
        <v>192</v>
      </c>
      <c r="C601" s="24">
        <v>21328983.642500002</v>
      </c>
      <c r="D601" s="9">
        <v>43374</v>
      </c>
      <c r="E601" s="25">
        <v>1</v>
      </c>
      <c r="F601" s="44"/>
      <c r="G601" s="18"/>
      <c r="H601" s="17"/>
    </row>
    <row r="602" spans="1:8" customFormat="1" x14ac:dyDescent="0.25">
      <c r="A602" s="3">
        <v>1848</v>
      </c>
      <c r="B602" s="9" t="s">
        <v>192</v>
      </c>
      <c r="C602" s="24">
        <v>21066483.785</v>
      </c>
      <c r="D602" s="9">
        <v>43405</v>
      </c>
      <c r="E602" s="25">
        <v>1</v>
      </c>
      <c r="F602" s="44"/>
      <c r="G602" s="18"/>
      <c r="H602" s="17"/>
    </row>
    <row r="603" spans="1:8" customFormat="1" x14ac:dyDescent="0.25">
      <c r="A603" s="3">
        <v>1848</v>
      </c>
      <c r="B603" s="9" t="s">
        <v>192</v>
      </c>
      <c r="C603" s="24">
        <v>17878984.1525</v>
      </c>
      <c r="D603" s="9">
        <v>43435</v>
      </c>
      <c r="E603" s="25">
        <v>1</v>
      </c>
      <c r="F603" s="44"/>
      <c r="G603" s="18"/>
      <c r="H603" s="17"/>
    </row>
    <row r="604" spans="1:8" customFormat="1" x14ac:dyDescent="0.25">
      <c r="A604" s="3">
        <v>1848</v>
      </c>
      <c r="B604" s="9" t="s">
        <v>192</v>
      </c>
      <c r="C604" s="24">
        <v>12773052.833333334</v>
      </c>
      <c r="D604" s="9">
        <v>43466</v>
      </c>
      <c r="E604" s="25">
        <v>1</v>
      </c>
      <c r="F604" s="44"/>
      <c r="G604" s="18"/>
      <c r="H604" s="17"/>
    </row>
    <row r="605" spans="1:8" customFormat="1" x14ac:dyDescent="0.25">
      <c r="A605" s="3">
        <v>1848</v>
      </c>
      <c r="B605" s="9" t="s">
        <v>192</v>
      </c>
      <c r="C605" s="24">
        <v>12773052.833333334</v>
      </c>
      <c r="D605" s="9">
        <v>43497</v>
      </c>
      <c r="E605" s="25">
        <v>1</v>
      </c>
      <c r="F605" s="44"/>
      <c r="G605" s="18"/>
      <c r="H605" s="17"/>
    </row>
    <row r="606" spans="1:8" customFormat="1" x14ac:dyDescent="0.25">
      <c r="A606" s="3">
        <v>1806</v>
      </c>
      <c r="B606" s="9" t="s">
        <v>192</v>
      </c>
      <c r="C606" s="24">
        <v>50000000</v>
      </c>
      <c r="D606" s="9">
        <v>43466</v>
      </c>
      <c r="E606" s="25">
        <v>5</v>
      </c>
      <c r="F606" s="44"/>
      <c r="G606" s="18"/>
      <c r="H606" s="17"/>
    </row>
    <row r="607" spans="1:8" customFormat="1" x14ac:dyDescent="0.25">
      <c r="A607" s="3">
        <v>1824</v>
      </c>
      <c r="B607" s="9" t="s">
        <v>192</v>
      </c>
      <c r="C607" s="24">
        <v>48166666.666666664</v>
      </c>
      <c r="D607" s="9">
        <v>43466</v>
      </c>
      <c r="E607" s="25">
        <v>6</v>
      </c>
      <c r="F607" s="44"/>
      <c r="G607" s="18"/>
      <c r="H607" s="17"/>
    </row>
    <row r="608" spans="1:8" customFormat="1" x14ac:dyDescent="0.25">
      <c r="A608" s="3">
        <v>1895</v>
      </c>
      <c r="B608" s="9" t="s">
        <v>192</v>
      </c>
      <c r="C608" s="24">
        <v>3053000</v>
      </c>
      <c r="D608" s="9">
        <v>43497</v>
      </c>
      <c r="E608" s="25">
        <v>1</v>
      </c>
      <c r="F608" s="44"/>
      <c r="G608" s="18"/>
      <c r="H608" s="17"/>
    </row>
    <row r="609" spans="1:8" customFormat="1" x14ac:dyDescent="0.25">
      <c r="A609" s="3">
        <v>1837</v>
      </c>
      <c r="B609" s="9" t="s">
        <v>192</v>
      </c>
      <c r="C609" s="24">
        <v>10500000</v>
      </c>
      <c r="D609" s="9">
        <v>43466</v>
      </c>
      <c r="E609" s="25">
        <v>17</v>
      </c>
      <c r="F609" s="44"/>
      <c r="G609" s="18"/>
      <c r="H609" s="17"/>
    </row>
    <row r="610" spans="1:8" customFormat="1" x14ac:dyDescent="0.25">
      <c r="A610" s="3">
        <v>1866</v>
      </c>
      <c r="B610" s="9" t="s">
        <v>192</v>
      </c>
      <c r="C610" s="24">
        <v>9800000</v>
      </c>
      <c r="D610" s="9">
        <v>43497</v>
      </c>
      <c r="E610" s="25">
        <v>14</v>
      </c>
      <c r="F610" s="44"/>
      <c r="G610" s="18"/>
      <c r="H610" s="17"/>
    </row>
    <row r="611" spans="1:8" customFormat="1" x14ac:dyDescent="0.25">
      <c r="A611" s="3">
        <v>1848</v>
      </c>
      <c r="B611" s="9" t="s">
        <v>192</v>
      </c>
      <c r="C611" s="24">
        <v>12773052.833333334</v>
      </c>
      <c r="D611" s="9">
        <v>43525</v>
      </c>
      <c r="E611" s="25">
        <v>1</v>
      </c>
      <c r="F611" s="44"/>
      <c r="G611" s="18"/>
      <c r="H611" s="17"/>
    </row>
    <row r="612" spans="1:8" customFormat="1" x14ac:dyDescent="0.25">
      <c r="A612" s="3">
        <v>1848</v>
      </c>
      <c r="B612" s="9" t="s">
        <v>192</v>
      </c>
      <c r="C612" s="24">
        <v>12773052.833333334</v>
      </c>
      <c r="D612" s="9">
        <v>43556</v>
      </c>
      <c r="E612" s="25">
        <v>1</v>
      </c>
      <c r="F612" s="44"/>
      <c r="G612" s="18"/>
      <c r="H612" s="17"/>
    </row>
    <row r="613" spans="1:8" customFormat="1" x14ac:dyDescent="0.25">
      <c r="A613" s="3">
        <v>1848</v>
      </c>
      <c r="B613" s="9" t="s">
        <v>192</v>
      </c>
      <c r="C613" s="24">
        <v>12773052.833333334</v>
      </c>
      <c r="D613" s="9">
        <v>43586</v>
      </c>
      <c r="E613" s="25">
        <v>1</v>
      </c>
      <c r="F613" s="44"/>
      <c r="G613" s="18"/>
      <c r="H613" s="17"/>
    </row>
    <row r="614" spans="1:8" customFormat="1" x14ac:dyDescent="0.25">
      <c r="A614" s="3">
        <v>1848</v>
      </c>
      <c r="B614" s="9" t="s">
        <v>192</v>
      </c>
      <c r="C614" s="24">
        <v>12773052.833333334</v>
      </c>
      <c r="D614" s="9">
        <v>43617</v>
      </c>
      <c r="E614" s="25">
        <v>6</v>
      </c>
      <c r="F614" s="44"/>
      <c r="G614" s="18"/>
      <c r="H614" s="17"/>
    </row>
    <row r="615" spans="1:8" customFormat="1" x14ac:dyDescent="0.25">
      <c r="A615" s="3">
        <v>1845</v>
      </c>
      <c r="B615" s="9" t="s">
        <v>192</v>
      </c>
      <c r="C615" s="24">
        <v>22250000</v>
      </c>
      <c r="D615" s="9">
        <v>43497</v>
      </c>
      <c r="E615" s="25">
        <v>10</v>
      </c>
      <c r="F615" s="44"/>
      <c r="G615" s="18"/>
      <c r="H615" s="17"/>
    </row>
    <row r="616" spans="1:8" customFormat="1" x14ac:dyDescent="0.25">
      <c r="A616" s="3">
        <v>1790</v>
      </c>
      <c r="B616" s="9" t="s">
        <v>192</v>
      </c>
      <c r="C616" s="24">
        <v>17160000</v>
      </c>
      <c r="D616" s="9">
        <v>43556</v>
      </c>
      <c r="E616" s="25">
        <v>25</v>
      </c>
      <c r="F616" s="44"/>
      <c r="G616" s="18"/>
      <c r="H616" s="17"/>
    </row>
    <row r="617" spans="1:8" customFormat="1" x14ac:dyDescent="0.25">
      <c r="A617" s="3">
        <v>1899</v>
      </c>
      <c r="B617" s="9" t="s">
        <v>192</v>
      </c>
      <c r="C617" s="24">
        <v>26936126</v>
      </c>
      <c r="D617" s="9">
        <v>43525</v>
      </c>
      <c r="E617" s="25">
        <v>25</v>
      </c>
      <c r="F617" s="44"/>
      <c r="G617" s="18"/>
      <c r="H617" s="17"/>
    </row>
    <row r="618" spans="1:8" customFormat="1" x14ac:dyDescent="0.25">
      <c r="A618" s="3">
        <v>1900</v>
      </c>
      <c r="B618" s="9" t="s">
        <v>192</v>
      </c>
      <c r="C618" s="24">
        <v>8700000</v>
      </c>
      <c r="D618" s="9">
        <v>43556</v>
      </c>
      <c r="E618" s="25">
        <v>1</v>
      </c>
      <c r="F618" s="44"/>
      <c r="G618" s="18"/>
      <c r="H618" s="17"/>
    </row>
    <row r="619" spans="1:8" customFormat="1" x14ac:dyDescent="0.25">
      <c r="A619" s="3">
        <v>1900</v>
      </c>
      <c r="B619" s="9" t="s">
        <v>192</v>
      </c>
      <c r="C619" s="24">
        <v>20600000</v>
      </c>
      <c r="D619" s="9">
        <v>43556</v>
      </c>
      <c r="E619" s="25">
        <v>10</v>
      </c>
      <c r="F619" s="44"/>
      <c r="G619" s="18"/>
      <c r="H619" s="17"/>
    </row>
    <row r="620" spans="1:8" customFormat="1" x14ac:dyDescent="0.25">
      <c r="A620" s="3">
        <v>1900</v>
      </c>
      <c r="B620" s="9" t="s">
        <v>192</v>
      </c>
      <c r="C620" s="24">
        <v>14200000</v>
      </c>
      <c r="D620" s="9">
        <v>43556</v>
      </c>
      <c r="E620" s="25">
        <v>4</v>
      </c>
      <c r="F620" s="44"/>
      <c r="G620" s="18"/>
      <c r="H620" s="17"/>
    </row>
    <row r="621" spans="1:8" customFormat="1" x14ac:dyDescent="0.25">
      <c r="A621" s="3">
        <v>1898</v>
      </c>
      <c r="B621" s="9" t="s">
        <v>192</v>
      </c>
      <c r="C621" s="24">
        <v>10000000</v>
      </c>
      <c r="D621" s="9">
        <v>43556</v>
      </c>
      <c r="E621" s="25">
        <v>3</v>
      </c>
      <c r="F621" s="44"/>
      <c r="G621" s="18"/>
      <c r="H621" s="17"/>
    </row>
    <row r="622" spans="1:8" customFormat="1" x14ac:dyDescent="0.25">
      <c r="A622" s="3"/>
      <c r="B622" s="9"/>
      <c r="C622" s="24"/>
      <c r="D622" s="9"/>
      <c r="E622" s="25"/>
      <c r="F622" s="44"/>
      <c r="G622" s="18"/>
      <c r="H622" s="17"/>
    </row>
    <row r="623" spans="1:8" customFormat="1" x14ac:dyDescent="0.25">
      <c r="A623" s="3"/>
      <c r="B623" s="9"/>
      <c r="C623" s="24"/>
      <c r="D623" s="9"/>
      <c r="E623" s="25"/>
      <c r="F623" s="44"/>
      <c r="G623" s="18"/>
      <c r="H623" s="17"/>
    </row>
    <row r="624" spans="1:8" customFormat="1" x14ac:dyDescent="0.25">
      <c r="A624" s="3"/>
      <c r="B624" s="9"/>
      <c r="C624" s="24"/>
      <c r="D624" s="9"/>
      <c r="E624" s="25"/>
      <c r="F624" s="44"/>
      <c r="G624" s="18"/>
      <c r="H624" s="17"/>
    </row>
    <row r="625" spans="1:8" customFormat="1" x14ac:dyDescent="0.25">
      <c r="A625" s="3"/>
      <c r="B625" s="9"/>
      <c r="C625" s="24"/>
      <c r="D625" s="9"/>
      <c r="E625" s="25"/>
      <c r="F625" s="44"/>
      <c r="G625" s="18"/>
      <c r="H625" s="17"/>
    </row>
    <row r="626" spans="1:8" customFormat="1" x14ac:dyDescent="0.25">
      <c r="A626" s="3"/>
      <c r="B626" s="9"/>
      <c r="C626" s="24"/>
      <c r="D626" s="9"/>
      <c r="E626" s="25"/>
      <c r="F626" s="44"/>
      <c r="G626" s="18"/>
      <c r="H626" s="17"/>
    </row>
    <row r="627" spans="1:8" customFormat="1" x14ac:dyDescent="0.25">
      <c r="A627" s="3"/>
      <c r="B627" s="9"/>
      <c r="C627" s="24"/>
      <c r="D627" s="9"/>
      <c r="E627" s="25"/>
      <c r="F627" s="44"/>
      <c r="G627" s="18"/>
      <c r="H627" s="17"/>
    </row>
    <row r="628" spans="1:8" customFormat="1" x14ac:dyDescent="0.25">
      <c r="A628" s="3"/>
      <c r="B628" s="9"/>
      <c r="C628" s="24"/>
      <c r="D628" s="9"/>
      <c r="E628" s="25"/>
      <c r="F628" s="44"/>
      <c r="G628" s="18"/>
      <c r="H628" s="17"/>
    </row>
    <row r="629" spans="1:8" customFormat="1" x14ac:dyDescent="0.25">
      <c r="A629" s="3"/>
      <c r="B629" s="9"/>
      <c r="C629" s="24"/>
      <c r="D629" s="9"/>
      <c r="E629" s="25"/>
      <c r="F629" s="44"/>
      <c r="G629" s="18"/>
      <c r="H629" s="17"/>
    </row>
    <row r="630" spans="1:8" customFormat="1" x14ac:dyDescent="0.25">
      <c r="A630" s="3"/>
      <c r="B630" s="9"/>
      <c r="C630" s="24"/>
      <c r="D630" s="9"/>
      <c r="E630" s="25"/>
      <c r="F630" s="44"/>
      <c r="G630" s="18"/>
      <c r="H630" s="17"/>
    </row>
    <row r="631" spans="1:8" customFormat="1" x14ac:dyDescent="0.25">
      <c r="A631" s="3"/>
      <c r="B631" s="9"/>
      <c r="C631" s="24"/>
      <c r="D631" s="9"/>
      <c r="E631" s="25"/>
      <c r="F631" s="44"/>
      <c r="G631" s="18"/>
      <c r="H631" s="17"/>
    </row>
    <row r="632" spans="1:8" customFormat="1" x14ac:dyDescent="0.25">
      <c r="A632" s="3"/>
      <c r="B632" s="9"/>
      <c r="C632" s="24"/>
      <c r="D632" s="9"/>
      <c r="E632" s="25"/>
      <c r="F632" s="44"/>
      <c r="G632" s="18"/>
      <c r="H632" s="17"/>
    </row>
    <row r="633" spans="1:8" customFormat="1" x14ac:dyDescent="0.25">
      <c r="A633" s="3"/>
      <c r="B633" s="9"/>
      <c r="C633" s="24"/>
      <c r="D633" s="9"/>
      <c r="E633" s="25"/>
      <c r="F633" s="44"/>
      <c r="G633" s="18"/>
      <c r="H633" s="17"/>
    </row>
    <row r="634" spans="1:8" customFormat="1" x14ac:dyDescent="0.25">
      <c r="A634" s="3"/>
      <c r="B634" s="9"/>
      <c r="C634" s="24"/>
      <c r="D634" s="9"/>
      <c r="E634" s="25"/>
      <c r="F634" s="44"/>
      <c r="G634" s="18"/>
      <c r="H634" s="17"/>
    </row>
    <row r="635" spans="1:8" customFormat="1" x14ac:dyDescent="0.25">
      <c r="A635" s="3"/>
      <c r="B635" s="9"/>
      <c r="C635" s="24"/>
      <c r="D635" s="9"/>
      <c r="E635" s="25"/>
      <c r="F635" s="44"/>
      <c r="G635" s="18"/>
      <c r="H635" s="17"/>
    </row>
    <row r="636" spans="1:8" customFormat="1" x14ac:dyDescent="0.25">
      <c r="A636" s="3"/>
      <c r="B636" s="9"/>
      <c r="C636" s="24"/>
      <c r="D636" s="9"/>
      <c r="E636" s="25"/>
      <c r="F636" s="44"/>
      <c r="G636" s="18"/>
      <c r="H636" s="17"/>
    </row>
    <row r="637" spans="1:8" customFormat="1" x14ac:dyDescent="0.25">
      <c r="A637" s="3"/>
      <c r="B637" s="9"/>
      <c r="C637" s="24"/>
      <c r="D637" s="9"/>
      <c r="E637" s="25"/>
      <c r="F637" s="44"/>
      <c r="G637" s="18"/>
      <c r="H637" s="17"/>
    </row>
    <row r="638" spans="1:8" customFormat="1" x14ac:dyDescent="0.25">
      <c r="A638" s="3"/>
      <c r="B638" s="9"/>
      <c r="C638" s="24"/>
      <c r="D638" s="9"/>
      <c r="E638" s="25"/>
      <c r="F638" s="44"/>
      <c r="G638" s="18"/>
      <c r="H638" s="17"/>
    </row>
    <row r="639" spans="1:8" customFormat="1" x14ac:dyDescent="0.25">
      <c r="A639" s="3"/>
      <c r="B639" s="9"/>
      <c r="C639" s="24"/>
      <c r="D639" s="9"/>
      <c r="E639" s="25"/>
      <c r="F639" s="44"/>
      <c r="G639" s="18"/>
      <c r="H639" s="17"/>
    </row>
    <row r="640" spans="1:8" customFormat="1" x14ac:dyDescent="0.25">
      <c r="A640" s="3"/>
      <c r="B640" s="9"/>
      <c r="C640" s="24"/>
      <c r="D640" s="9"/>
      <c r="E640" s="25"/>
      <c r="F640" s="44"/>
      <c r="G640" s="18"/>
      <c r="H640" s="17"/>
    </row>
    <row r="641" spans="1:8" customFormat="1" x14ac:dyDescent="0.25">
      <c r="A641" s="3"/>
      <c r="B641" s="9"/>
      <c r="C641" s="24"/>
      <c r="D641" s="9"/>
      <c r="E641" s="25"/>
      <c r="F641" s="44"/>
      <c r="G641" s="18"/>
      <c r="H641" s="17"/>
    </row>
    <row r="642" spans="1:8" customFormat="1" x14ac:dyDescent="0.25">
      <c r="A642" s="3"/>
      <c r="B642" s="9"/>
      <c r="C642" s="24"/>
      <c r="D642" s="9"/>
      <c r="E642" s="25"/>
      <c r="F642" s="44"/>
      <c r="G642" s="18"/>
      <c r="H642" s="17"/>
    </row>
    <row r="643" spans="1:8" customFormat="1" x14ac:dyDescent="0.25">
      <c r="A643" s="3"/>
      <c r="B643" s="9"/>
      <c r="C643" s="24"/>
      <c r="D643" s="9"/>
      <c r="E643" s="25"/>
      <c r="F643" s="44"/>
      <c r="G643" s="18"/>
      <c r="H643" s="17"/>
    </row>
    <row r="644" spans="1:8" customFormat="1" x14ac:dyDescent="0.25">
      <c r="A644" s="3"/>
      <c r="B644" s="9"/>
      <c r="C644" s="24"/>
      <c r="D644" s="9"/>
      <c r="E644" s="25"/>
      <c r="F644" s="44"/>
      <c r="G644" s="18"/>
      <c r="H644" s="17"/>
    </row>
    <row r="645" spans="1:8" customFormat="1" x14ac:dyDescent="0.25">
      <c r="A645" s="3"/>
      <c r="B645" s="9"/>
      <c r="C645" s="24"/>
      <c r="D645" s="9"/>
      <c r="E645" s="25"/>
      <c r="F645" s="44"/>
      <c r="G645" s="18"/>
      <c r="H645" s="17"/>
    </row>
    <row r="646" spans="1:8" customFormat="1" x14ac:dyDescent="0.25">
      <c r="A646" s="3"/>
      <c r="B646" s="9"/>
      <c r="C646" s="24"/>
      <c r="D646" s="9"/>
      <c r="E646" s="25"/>
      <c r="F646" s="44"/>
      <c r="G646" s="18"/>
      <c r="H646" s="17"/>
    </row>
    <row r="647" spans="1:8" customFormat="1" x14ac:dyDescent="0.25">
      <c r="A647" s="3"/>
      <c r="B647" s="9"/>
      <c r="C647" s="24"/>
      <c r="D647" s="9"/>
      <c r="E647" s="25"/>
      <c r="F647" s="44"/>
      <c r="G647" s="18"/>
      <c r="H647" s="17"/>
    </row>
    <row r="648" spans="1:8" customFormat="1" x14ac:dyDescent="0.25">
      <c r="A648" s="3"/>
      <c r="B648" s="9"/>
      <c r="C648" s="24"/>
      <c r="D648" s="9"/>
      <c r="E648" s="25"/>
      <c r="F648" s="44"/>
      <c r="G648" s="18"/>
      <c r="H648" s="17"/>
    </row>
    <row r="649" spans="1:8" customFormat="1" x14ac:dyDescent="0.25">
      <c r="A649" s="3"/>
      <c r="B649" s="9"/>
      <c r="C649" s="24"/>
      <c r="D649" s="9"/>
      <c r="E649" s="25"/>
      <c r="F649" s="44"/>
      <c r="G649" s="18"/>
      <c r="H649" s="17"/>
    </row>
    <row r="650" spans="1:8" customFormat="1" x14ac:dyDescent="0.25">
      <c r="A650" s="3"/>
      <c r="B650" s="9"/>
      <c r="C650" s="24"/>
      <c r="D650" s="9"/>
      <c r="E650" s="25"/>
      <c r="F650" s="44"/>
      <c r="G650" s="18"/>
      <c r="H650" s="17"/>
    </row>
    <row r="651" spans="1:8" customFormat="1" x14ac:dyDescent="0.25">
      <c r="A651" s="3"/>
      <c r="B651" s="9"/>
      <c r="C651" s="24"/>
      <c r="D651" s="9"/>
      <c r="E651" s="25"/>
      <c r="F651" s="44"/>
      <c r="G651" s="18"/>
      <c r="H651" s="17"/>
    </row>
    <row r="652" spans="1:8" customFormat="1" x14ac:dyDescent="0.25">
      <c r="A652" s="3"/>
      <c r="B652" s="9"/>
      <c r="C652" s="24"/>
      <c r="D652" s="9"/>
      <c r="E652" s="25"/>
      <c r="F652" s="44"/>
      <c r="G652" s="18"/>
      <c r="H652" s="17"/>
    </row>
    <row r="653" spans="1:8" customFormat="1" x14ac:dyDescent="0.25">
      <c r="A653" s="3"/>
      <c r="B653" s="9"/>
      <c r="C653" s="24"/>
      <c r="D653" s="9"/>
      <c r="E653" s="25"/>
      <c r="F653" s="44"/>
      <c r="G653" s="18"/>
      <c r="H653" s="17"/>
    </row>
    <row r="654" spans="1:8" customFormat="1" x14ac:dyDescent="0.25">
      <c r="A654" s="3"/>
      <c r="B654" s="9"/>
      <c r="C654" s="24"/>
      <c r="D654" s="9"/>
      <c r="E654" s="25"/>
      <c r="F654" s="44"/>
      <c r="G654" s="18"/>
      <c r="H654" s="17"/>
    </row>
    <row r="655" spans="1:8" customFormat="1" x14ac:dyDescent="0.25">
      <c r="A655" s="3"/>
      <c r="B655" s="9"/>
      <c r="C655" s="24"/>
      <c r="D655" s="9"/>
      <c r="E655" s="25"/>
      <c r="F655" s="44"/>
      <c r="G655" s="9"/>
      <c r="H655" s="17"/>
    </row>
    <row r="656" spans="1:8" customFormat="1" x14ac:dyDescent="0.25">
      <c r="A656" s="3"/>
      <c r="B656" s="9"/>
      <c r="C656" s="24"/>
      <c r="D656" s="9"/>
      <c r="E656" s="25"/>
      <c r="F656" s="44"/>
      <c r="G656" s="9"/>
      <c r="H656" s="17"/>
    </row>
    <row r="657" spans="1:8" customFormat="1" x14ac:dyDescent="0.25">
      <c r="A657" s="3"/>
      <c r="B657" s="9"/>
      <c r="C657" s="24"/>
      <c r="D657" s="9"/>
      <c r="E657" s="25"/>
      <c r="F657" s="44"/>
      <c r="G657" s="18"/>
      <c r="H657" s="17"/>
    </row>
    <row r="658" spans="1:8" customFormat="1" x14ac:dyDescent="0.25">
      <c r="A658" s="3"/>
      <c r="B658" s="9"/>
      <c r="C658" s="24"/>
      <c r="D658" s="9"/>
      <c r="E658" s="25"/>
      <c r="F658" s="44"/>
      <c r="G658" s="18"/>
      <c r="H658" s="17"/>
    </row>
    <row r="659" spans="1:8" customFormat="1" x14ac:dyDescent="0.25">
      <c r="A659" s="3"/>
      <c r="B659" s="9"/>
      <c r="C659" s="24"/>
      <c r="D659" s="9"/>
      <c r="E659" s="25"/>
      <c r="F659" s="44"/>
      <c r="G659" s="18"/>
      <c r="H659" s="17"/>
    </row>
    <row r="660" spans="1:8" customFormat="1" x14ac:dyDescent="0.25">
      <c r="A660" s="3"/>
      <c r="B660" s="9"/>
      <c r="C660" s="24"/>
      <c r="D660" s="9"/>
      <c r="E660" s="25"/>
      <c r="F660" s="44"/>
      <c r="G660" s="18"/>
      <c r="H660" s="17"/>
    </row>
    <row r="661" spans="1:8" customFormat="1" x14ac:dyDescent="0.25">
      <c r="A661" s="3"/>
      <c r="B661" s="9"/>
      <c r="C661" s="24"/>
      <c r="D661" s="9"/>
      <c r="E661" s="25"/>
      <c r="F661" s="44"/>
      <c r="G661" s="18"/>
      <c r="H661" s="17"/>
    </row>
    <row r="662" spans="1:8" customFormat="1" x14ac:dyDescent="0.25">
      <c r="A662" s="3"/>
      <c r="B662" s="9"/>
      <c r="C662" s="24"/>
      <c r="D662" s="9"/>
      <c r="E662" s="25"/>
      <c r="F662" s="44"/>
      <c r="G662" s="18"/>
      <c r="H662" s="17"/>
    </row>
    <row r="663" spans="1:8" customFormat="1" x14ac:dyDescent="0.25">
      <c r="A663" s="3"/>
      <c r="B663" s="9"/>
      <c r="C663" s="24"/>
      <c r="D663" s="9"/>
      <c r="E663" s="25"/>
      <c r="F663" s="44"/>
      <c r="G663" s="18"/>
      <c r="H663" s="17"/>
    </row>
    <row r="664" spans="1:8" customFormat="1" x14ac:dyDescent="0.25">
      <c r="A664" s="3"/>
      <c r="B664" s="9"/>
      <c r="C664" s="24"/>
      <c r="D664" s="9"/>
      <c r="E664" s="25"/>
      <c r="F664" s="44"/>
      <c r="G664" s="18"/>
      <c r="H664" s="17"/>
    </row>
    <row r="665" spans="1:8" customFormat="1" x14ac:dyDescent="0.25">
      <c r="A665" s="3"/>
      <c r="B665" s="9"/>
      <c r="C665" s="24"/>
      <c r="D665" s="9"/>
      <c r="E665" s="25"/>
      <c r="F665" s="44"/>
      <c r="G665" s="18"/>
      <c r="H665" s="17"/>
    </row>
    <row r="666" spans="1:8" customFormat="1" x14ac:dyDescent="0.25">
      <c r="A666" s="3"/>
      <c r="B666" s="9"/>
      <c r="C666" s="24"/>
      <c r="D666" s="9"/>
      <c r="E666" s="25"/>
      <c r="F666" s="44"/>
      <c r="G666" s="18"/>
      <c r="H666" s="17"/>
    </row>
    <row r="667" spans="1:8" customFormat="1" x14ac:dyDescent="0.25">
      <c r="A667" s="3"/>
      <c r="B667" s="9"/>
      <c r="C667" s="24"/>
      <c r="D667" s="9"/>
      <c r="E667" s="25"/>
      <c r="F667" s="44"/>
      <c r="G667" s="18"/>
      <c r="H667" s="17"/>
    </row>
    <row r="668" spans="1:8" customFormat="1" x14ac:dyDescent="0.25">
      <c r="A668" s="3"/>
      <c r="B668" s="9"/>
      <c r="C668" s="24"/>
      <c r="D668" s="9"/>
      <c r="E668" s="25"/>
      <c r="F668" s="44"/>
      <c r="G668" s="18"/>
      <c r="H668" s="17"/>
    </row>
    <row r="669" spans="1:8" customFormat="1" x14ac:dyDescent="0.25">
      <c r="A669" s="3"/>
      <c r="B669" s="9"/>
      <c r="C669" s="24"/>
      <c r="D669" s="9"/>
      <c r="E669" s="25"/>
      <c r="F669" s="44"/>
      <c r="G669" s="18"/>
      <c r="H669" s="17"/>
    </row>
    <row r="670" spans="1:8" customFormat="1" x14ac:dyDescent="0.25">
      <c r="A670" s="3"/>
      <c r="B670" s="9"/>
      <c r="C670" s="24"/>
      <c r="D670" s="9"/>
      <c r="E670" s="25"/>
      <c r="F670" s="44"/>
      <c r="G670" s="18"/>
      <c r="H670" s="17"/>
    </row>
    <row r="671" spans="1:8" customFormat="1" x14ac:dyDescent="0.25">
      <c r="A671" s="3"/>
      <c r="B671" s="9"/>
      <c r="C671" s="24"/>
      <c r="D671" s="9"/>
      <c r="E671" s="25"/>
      <c r="F671" s="44"/>
      <c r="G671" s="18"/>
      <c r="H671" s="17"/>
    </row>
    <row r="672" spans="1:8" customFormat="1" x14ac:dyDescent="0.25">
      <c r="A672" s="3"/>
      <c r="B672" s="9"/>
      <c r="C672" s="24"/>
      <c r="D672" s="9"/>
      <c r="E672" s="25"/>
      <c r="F672" s="44"/>
      <c r="G672" s="18"/>
      <c r="H672" s="17"/>
    </row>
    <row r="673" spans="1:8" customFormat="1" x14ac:dyDescent="0.25">
      <c r="A673" s="3"/>
      <c r="B673" s="9"/>
      <c r="C673" s="24"/>
      <c r="D673" s="9"/>
      <c r="E673" s="25"/>
      <c r="F673" s="44"/>
      <c r="G673" s="18"/>
      <c r="H673" s="17"/>
    </row>
    <row r="674" spans="1:8" customFormat="1" x14ac:dyDescent="0.25">
      <c r="A674" s="3"/>
      <c r="B674" s="9"/>
      <c r="C674" s="24"/>
      <c r="D674" s="9"/>
      <c r="E674" s="25"/>
      <c r="F674" s="44"/>
      <c r="G674" s="18"/>
      <c r="H674" s="17"/>
    </row>
    <row r="675" spans="1:8" customFormat="1" x14ac:dyDescent="0.25">
      <c r="A675" s="3"/>
      <c r="B675" s="9"/>
      <c r="C675" s="24"/>
      <c r="D675" s="9"/>
      <c r="E675" s="25"/>
      <c r="F675" s="44"/>
      <c r="G675" s="18"/>
      <c r="H675" s="17"/>
    </row>
    <row r="676" spans="1:8" customFormat="1" x14ac:dyDescent="0.25">
      <c r="A676" s="3"/>
      <c r="B676" s="9"/>
      <c r="C676" s="24"/>
      <c r="D676" s="9"/>
      <c r="E676" s="25"/>
      <c r="F676" s="44"/>
      <c r="G676" s="18"/>
      <c r="H676" s="17"/>
    </row>
    <row r="677" spans="1:8" customFormat="1" x14ac:dyDescent="0.25">
      <c r="A677" s="3"/>
      <c r="B677" s="9"/>
      <c r="C677" s="24"/>
      <c r="D677" s="9"/>
      <c r="E677" s="25"/>
      <c r="F677" s="44"/>
      <c r="G677" s="18"/>
      <c r="H677" s="17"/>
    </row>
    <row r="678" spans="1:8" customFormat="1" x14ac:dyDescent="0.25">
      <c r="A678" s="3"/>
      <c r="B678" s="9"/>
      <c r="C678" s="24"/>
      <c r="D678" s="9"/>
      <c r="E678" s="25"/>
      <c r="F678" s="44"/>
      <c r="G678" s="18"/>
      <c r="H678" s="17"/>
    </row>
    <row r="679" spans="1:8" customFormat="1" x14ac:dyDescent="0.25">
      <c r="A679" s="3"/>
      <c r="B679" s="9"/>
      <c r="C679" s="24"/>
      <c r="D679" s="9"/>
      <c r="E679" s="25"/>
      <c r="F679" s="44"/>
      <c r="G679" s="18"/>
      <c r="H679" s="17"/>
    </row>
    <row r="680" spans="1:8" customFormat="1" x14ac:dyDescent="0.25">
      <c r="A680" s="3"/>
      <c r="B680" s="9"/>
      <c r="C680" s="24"/>
      <c r="D680" s="9"/>
      <c r="E680" s="25"/>
      <c r="F680" s="44"/>
      <c r="G680" s="18"/>
      <c r="H680" s="17"/>
    </row>
    <row r="681" spans="1:8" customFormat="1" x14ac:dyDescent="0.25">
      <c r="A681" s="3"/>
      <c r="B681" s="9"/>
      <c r="C681" s="24"/>
      <c r="D681" s="9"/>
      <c r="E681" s="25"/>
      <c r="F681" s="44"/>
      <c r="G681" s="18"/>
      <c r="H681" s="17"/>
    </row>
    <row r="682" spans="1:8" customFormat="1" x14ac:dyDescent="0.25">
      <c r="A682" s="3"/>
      <c r="B682" s="9"/>
      <c r="C682" s="24"/>
      <c r="D682" s="9"/>
      <c r="E682" s="25"/>
      <c r="F682" s="44"/>
      <c r="G682" s="18"/>
      <c r="H682" s="17"/>
    </row>
    <row r="683" spans="1:8" customFormat="1" x14ac:dyDescent="0.25">
      <c r="A683" s="3"/>
      <c r="B683" s="9"/>
      <c r="C683" s="24"/>
      <c r="D683" s="9"/>
      <c r="E683" s="25"/>
      <c r="F683" s="44"/>
      <c r="G683" s="18"/>
      <c r="H683" s="17"/>
    </row>
    <row r="684" spans="1:8" customFormat="1" x14ac:dyDescent="0.25">
      <c r="A684" s="3"/>
      <c r="B684" s="9"/>
      <c r="C684" s="24"/>
      <c r="D684" s="9"/>
      <c r="E684" s="25"/>
      <c r="F684" s="44"/>
      <c r="G684" s="18"/>
      <c r="H684" s="17"/>
    </row>
    <row r="685" spans="1:8" customFormat="1" x14ac:dyDescent="0.25">
      <c r="A685" s="3"/>
      <c r="B685" s="9"/>
      <c r="C685" s="24"/>
      <c r="D685" s="9"/>
      <c r="E685" s="25"/>
      <c r="F685" s="44"/>
      <c r="G685" s="18"/>
      <c r="H685" s="17"/>
    </row>
    <row r="686" spans="1:8" customFormat="1" x14ac:dyDescent="0.25">
      <c r="A686" s="3"/>
      <c r="B686" s="9"/>
      <c r="C686" s="24"/>
      <c r="D686" s="9"/>
      <c r="E686" s="25"/>
      <c r="F686" s="44"/>
      <c r="G686" s="18"/>
      <c r="H686" s="17"/>
    </row>
    <row r="687" spans="1:8" customFormat="1" x14ac:dyDescent="0.25">
      <c r="A687" s="3"/>
      <c r="B687" s="9"/>
      <c r="C687" s="24"/>
      <c r="D687" s="9"/>
      <c r="E687" s="25"/>
      <c r="F687" s="44"/>
      <c r="G687" s="18"/>
      <c r="H687" s="17"/>
    </row>
    <row r="688" spans="1:8" customFormat="1" x14ac:dyDescent="0.25">
      <c r="A688" s="3"/>
      <c r="B688" s="9"/>
      <c r="C688" s="24"/>
      <c r="D688" s="9"/>
      <c r="E688" s="25"/>
      <c r="F688" s="44"/>
      <c r="G688" s="18"/>
      <c r="H688" s="17"/>
    </row>
    <row r="689" spans="1:8" customFormat="1" x14ac:dyDescent="0.25">
      <c r="A689" s="3"/>
      <c r="B689" s="9"/>
      <c r="C689" s="24"/>
      <c r="D689" s="9"/>
      <c r="E689" s="25"/>
      <c r="F689" s="44"/>
      <c r="G689" s="18"/>
      <c r="H689" s="17"/>
    </row>
    <row r="690" spans="1:8" customFormat="1" x14ac:dyDescent="0.25">
      <c r="A690" s="3"/>
      <c r="B690" s="9"/>
      <c r="C690" s="24"/>
      <c r="D690" s="9"/>
      <c r="E690" s="25"/>
      <c r="F690" s="44"/>
      <c r="G690" s="18"/>
      <c r="H690" s="17"/>
    </row>
    <row r="691" spans="1:8" customFormat="1" x14ac:dyDescent="0.25">
      <c r="A691" s="3"/>
      <c r="B691" s="9"/>
      <c r="C691" s="24"/>
      <c r="D691" s="9"/>
      <c r="E691" s="25"/>
      <c r="F691" s="44"/>
      <c r="G691" s="18"/>
      <c r="H691" s="17"/>
    </row>
    <row r="692" spans="1:8" customFormat="1" x14ac:dyDescent="0.25">
      <c r="A692" s="3"/>
      <c r="B692" s="9"/>
      <c r="C692" s="24"/>
      <c r="D692" s="9"/>
      <c r="E692" s="25"/>
      <c r="F692" s="44"/>
      <c r="G692" s="18"/>
      <c r="H692" s="17"/>
    </row>
    <row r="693" spans="1:8" customFormat="1" x14ac:dyDescent="0.25">
      <c r="A693" s="3"/>
      <c r="B693" s="9"/>
      <c r="C693" s="24"/>
      <c r="D693" s="9"/>
      <c r="E693" s="25"/>
      <c r="F693" s="44"/>
      <c r="G693" s="18"/>
      <c r="H693" s="17"/>
    </row>
    <row r="694" spans="1:8" customFormat="1" x14ac:dyDescent="0.25">
      <c r="A694" s="3"/>
      <c r="B694" s="9"/>
      <c r="C694" s="24"/>
      <c r="D694" s="9"/>
      <c r="E694" s="25"/>
      <c r="F694" s="44"/>
      <c r="G694" s="18"/>
      <c r="H694" s="17"/>
    </row>
    <row r="695" spans="1:8" customFormat="1" x14ac:dyDescent="0.25">
      <c r="A695" s="3"/>
      <c r="B695" s="9"/>
      <c r="C695" s="24"/>
      <c r="D695" s="9"/>
      <c r="E695" s="25"/>
      <c r="F695" s="44"/>
      <c r="G695" s="18"/>
      <c r="H695" s="17"/>
    </row>
    <row r="696" spans="1:8" customFormat="1" x14ac:dyDescent="0.25">
      <c r="A696" s="3"/>
      <c r="B696" s="9"/>
      <c r="C696" s="24"/>
      <c r="D696" s="9"/>
      <c r="E696" s="25"/>
      <c r="F696" s="44"/>
      <c r="G696" s="18"/>
      <c r="H696" s="17"/>
    </row>
    <row r="697" spans="1:8" customFormat="1" x14ac:dyDescent="0.25">
      <c r="A697" s="3"/>
      <c r="B697" s="9"/>
      <c r="C697" s="24"/>
      <c r="D697" s="9"/>
      <c r="E697" s="25"/>
      <c r="F697" s="44"/>
      <c r="G697" s="18"/>
      <c r="H697" s="17"/>
    </row>
    <row r="698" spans="1:8" customFormat="1" x14ac:dyDescent="0.25">
      <c r="A698" s="3"/>
      <c r="B698" s="9"/>
      <c r="C698" s="24"/>
      <c r="D698" s="9"/>
      <c r="E698" s="25"/>
      <c r="F698" s="44"/>
      <c r="G698" s="18"/>
      <c r="H698" s="17"/>
    </row>
    <row r="699" spans="1:8" customFormat="1" x14ac:dyDescent="0.25">
      <c r="A699" s="3"/>
      <c r="B699" s="9"/>
      <c r="C699" s="24"/>
      <c r="D699" s="9"/>
      <c r="E699" s="25"/>
      <c r="F699" s="44"/>
      <c r="G699" s="18"/>
      <c r="H699" s="17"/>
    </row>
    <row r="700" spans="1:8" customFormat="1" x14ac:dyDescent="0.25">
      <c r="A700" s="3"/>
      <c r="B700" s="9"/>
      <c r="C700" s="24"/>
      <c r="D700" s="9"/>
      <c r="E700" s="25"/>
      <c r="F700" s="44"/>
      <c r="G700" s="18"/>
      <c r="H700" s="17"/>
    </row>
    <row r="701" spans="1:8" customFormat="1" x14ac:dyDescent="0.25">
      <c r="A701" s="3"/>
      <c r="B701" s="9"/>
      <c r="C701" s="24"/>
      <c r="D701" s="9"/>
      <c r="E701" s="25"/>
      <c r="F701" s="44"/>
      <c r="G701" s="18"/>
      <c r="H701" s="17"/>
    </row>
    <row r="702" spans="1:8" customFormat="1" x14ac:dyDescent="0.25">
      <c r="A702" s="3"/>
      <c r="B702" s="9"/>
      <c r="C702" s="24"/>
      <c r="D702" s="9"/>
      <c r="E702" s="25"/>
      <c r="F702" s="44"/>
      <c r="G702" s="18"/>
      <c r="H702" s="17"/>
    </row>
    <row r="703" spans="1:8" customFormat="1" x14ac:dyDescent="0.25">
      <c r="A703" s="3"/>
      <c r="B703" s="9"/>
      <c r="C703" s="24"/>
      <c r="D703" s="9"/>
      <c r="E703" s="25"/>
      <c r="F703" s="44"/>
      <c r="G703" s="18"/>
      <c r="H703" s="17"/>
    </row>
    <row r="704" spans="1:8" customFormat="1" x14ac:dyDescent="0.25">
      <c r="A704" s="3"/>
      <c r="B704" s="9"/>
      <c r="C704" s="24"/>
      <c r="D704" s="9"/>
      <c r="E704" s="25"/>
      <c r="F704" s="44"/>
      <c r="G704" s="18"/>
      <c r="H704" s="17"/>
    </row>
    <row r="705" spans="1:8" customFormat="1" x14ac:dyDescent="0.25">
      <c r="A705" s="3"/>
      <c r="B705" s="9"/>
      <c r="C705" s="24"/>
      <c r="D705" s="9"/>
      <c r="E705" s="25"/>
      <c r="F705" s="44"/>
      <c r="G705" s="18"/>
      <c r="H705" s="17"/>
    </row>
    <row r="706" spans="1:8" customFormat="1" x14ac:dyDescent="0.25">
      <c r="A706" s="3"/>
      <c r="B706" s="9"/>
      <c r="C706" s="24"/>
      <c r="D706" s="9"/>
      <c r="E706" s="25"/>
      <c r="F706" s="44"/>
      <c r="G706" s="18"/>
      <c r="H706" s="17"/>
    </row>
    <row r="707" spans="1:8" customFormat="1" x14ac:dyDescent="0.25">
      <c r="A707" s="3"/>
      <c r="B707" s="9"/>
      <c r="C707" s="24"/>
      <c r="D707" s="9"/>
      <c r="E707" s="25"/>
      <c r="F707" s="44"/>
      <c r="G707" s="18"/>
      <c r="H707" s="17"/>
    </row>
    <row r="708" spans="1:8" customFormat="1" x14ac:dyDescent="0.25">
      <c r="A708" s="3"/>
      <c r="B708" s="9"/>
      <c r="C708" s="24"/>
      <c r="D708" s="9"/>
      <c r="E708" s="25"/>
      <c r="F708" s="44"/>
      <c r="G708" s="18"/>
      <c r="H708" s="17"/>
    </row>
    <row r="709" spans="1:8" customFormat="1" x14ac:dyDescent="0.25">
      <c r="A709" s="3"/>
      <c r="B709" s="9"/>
      <c r="C709" s="24"/>
      <c r="D709" s="9"/>
      <c r="E709" s="25"/>
      <c r="F709" s="44"/>
      <c r="G709" s="18"/>
      <c r="H709" s="17"/>
    </row>
    <row r="710" spans="1:8" customFormat="1" x14ac:dyDescent="0.25">
      <c r="A710" s="3"/>
      <c r="B710" s="9"/>
      <c r="C710" s="24"/>
      <c r="D710" s="9"/>
      <c r="E710" s="25"/>
      <c r="F710" s="44"/>
      <c r="G710" s="18"/>
      <c r="H710" s="17"/>
    </row>
    <row r="711" spans="1:8" customFormat="1" x14ac:dyDescent="0.25">
      <c r="A711" s="3"/>
      <c r="B711" s="9"/>
      <c r="C711" s="24"/>
      <c r="D711" s="9"/>
      <c r="E711" s="25"/>
      <c r="F711" s="44"/>
      <c r="G711" s="18"/>
      <c r="H711" s="17"/>
    </row>
    <row r="712" spans="1:8" customFormat="1" x14ac:dyDescent="0.25">
      <c r="A712" s="3"/>
      <c r="B712" s="9"/>
      <c r="C712" s="24"/>
      <c r="D712" s="9"/>
      <c r="E712" s="25"/>
      <c r="F712" s="44"/>
      <c r="G712" s="18"/>
      <c r="H712" s="17"/>
    </row>
    <row r="713" spans="1:8" customFormat="1" x14ac:dyDescent="0.25">
      <c r="A713" s="3"/>
      <c r="B713" s="9"/>
      <c r="C713" s="24"/>
      <c r="D713" s="9"/>
      <c r="E713" s="25"/>
      <c r="F713" s="44"/>
      <c r="G713" s="18"/>
      <c r="H713" s="17"/>
    </row>
    <row r="714" spans="1:8" customFormat="1" x14ac:dyDescent="0.25">
      <c r="A714" s="3"/>
      <c r="B714" s="9"/>
      <c r="C714" s="24"/>
      <c r="D714" s="9"/>
      <c r="E714" s="25"/>
      <c r="F714" s="44"/>
      <c r="G714" s="18"/>
      <c r="H714" s="17"/>
    </row>
    <row r="715" spans="1:8" x14ac:dyDescent="0.25">
      <c r="B715" s="39"/>
    </row>
    <row r="716" spans="1:8" x14ac:dyDescent="0.25">
      <c r="B716" s="39"/>
    </row>
    <row r="717" spans="1:8" x14ac:dyDescent="0.25">
      <c r="B717" s="39"/>
    </row>
    <row r="718" spans="1:8" x14ac:dyDescent="0.25">
      <c r="B718" s="39"/>
    </row>
    <row r="719" spans="1:8" x14ac:dyDescent="0.25">
      <c r="B719" s="39"/>
    </row>
    <row r="720" spans="1:8" x14ac:dyDescent="0.25">
      <c r="B720" s="39"/>
    </row>
    <row r="721" spans="2:2" x14ac:dyDescent="0.25">
      <c r="B721" s="39"/>
    </row>
    <row r="722" spans="2:2" x14ac:dyDescent="0.25">
      <c r="B722" s="39"/>
    </row>
    <row r="723" spans="2:2" x14ac:dyDescent="0.25">
      <c r="B723" s="39"/>
    </row>
    <row r="724" spans="2:2" x14ac:dyDescent="0.25">
      <c r="B724" s="39"/>
    </row>
    <row r="725" spans="2:2" x14ac:dyDescent="0.25">
      <c r="B725" s="39"/>
    </row>
    <row r="726" spans="2:2" x14ac:dyDescent="0.25">
      <c r="B726" s="39"/>
    </row>
    <row r="727" spans="2:2" x14ac:dyDescent="0.25">
      <c r="B727" s="39"/>
    </row>
    <row r="728" spans="2:2" x14ac:dyDescent="0.25">
      <c r="B728" s="39"/>
    </row>
    <row r="729" spans="2:2" x14ac:dyDescent="0.25">
      <c r="B729" s="39"/>
    </row>
    <row r="730" spans="2:2" x14ac:dyDescent="0.25">
      <c r="B730" s="39"/>
    </row>
    <row r="731" spans="2:2" x14ac:dyDescent="0.25">
      <c r="B731" s="39"/>
    </row>
    <row r="732" spans="2:2" x14ac:dyDescent="0.25">
      <c r="B732" s="39"/>
    </row>
    <row r="733" spans="2:2" x14ac:dyDescent="0.25">
      <c r="B733" s="39"/>
    </row>
    <row r="734" spans="2:2" x14ac:dyDescent="0.25">
      <c r="B734" s="39"/>
    </row>
    <row r="735" spans="2:2" x14ac:dyDescent="0.25">
      <c r="B735" s="39"/>
    </row>
    <row r="736" spans="2:2" x14ac:dyDescent="0.25">
      <c r="B736" s="39"/>
    </row>
    <row r="737" spans="2:2" x14ac:dyDescent="0.25">
      <c r="B737" s="39"/>
    </row>
    <row r="738" spans="2:2" x14ac:dyDescent="0.25">
      <c r="B738" s="39"/>
    </row>
    <row r="739" spans="2:2" x14ac:dyDescent="0.25">
      <c r="B739" s="39"/>
    </row>
    <row r="740" spans="2:2" x14ac:dyDescent="0.25">
      <c r="B740" s="39"/>
    </row>
    <row r="741" spans="2:2" x14ac:dyDescent="0.25">
      <c r="B741" s="39"/>
    </row>
    <row r="742" spans="2:2" x14ac:dyDescent="0.25">
      <c r="B742" s="39"/>
    </row>
    <row r="743" spans="2:2" x14ac:dyDescent="0.25">
      <c r="B743" s="39"/>
    </row>
    <row r="744" spans="2:2" x14ac:dyDescent="0.25">
      <c r="B744" s="39"/>
    </row>
    <row r="745" spans="2:2" x14ac:dyDescent="0.25">
      <c r="B745" s="39"/>
    </row>
    <row r="746" spans="2:2" x14ac:dyDescent="0.25">
      <c r="B746" s="39"/>
    </row>
    <row r="747" spans="2:2" x14ac:dyDescent="0.25">
      <c r="B747" s="39"/>
    </row>
    <row r="748" spans="2:2" x14ac:dyDescent="0.25">
      <c r="B748" s="39"/>
    </row>
    <row r="749" spans="2:2" x14ac:dyDescent="0.25">
      <c r="B749" s="39"/>
    </row>
    <row r="750" spans="2:2" x14ac:dyDescent="0.25">
      <c r="B750" s="39"/>
    </row>
    <row r="751" spans="2:2" x14ac:dyDescent="0.25">
      <c r="B751" s="39"/>
    </row>
    <row r="752" spans="2:2" x14ac:dyDescent="0.25">
      <c r="B752" s="39"/>
    </row>
    <row r="753" spans="2:2" x14ac:dyDescent="0.25">
      <c r="B753" s="39"/>
    </row>
    <row r="754" spans="2:2" x14ac:dyDescent="0.25">
      <c r="B754" s="39"/>
    </row>
    <row r="755" spans="2:2" x14ac:dyDescent="0.25">
      <c r="B755" s="39"/>
    </row>
    <row r="756" spans="2:2" x14ac:dyDescent="0.25">
      <c r="B756" s="39"/>
    </row>
    <row r="757" spans="2:2" x14ac:dyDescent="0.25">
      <c r="B757" s="39"/>
    </row>
    <row r="758" spans="2:2" x14ac:dyDescent="0.25">
      <c r="B758" s="39"/>
    </row>
    <row r="759" spans="2:2" x14ac:dyDescent="0.25">
      <c r="B759" s="39"/>
    </row>
    <row r="760" spans="2:2" x14ac:dyDescent="0.25">
      <c r="B760" s="39"/>
    </row>
    <row r="761" spans="2:2" x14ac:dyDescent="0.25">
      <c r="B761" s="39"/>
    </row>
    <row r="762" spans="2:2" x14ac:dyDescent="0.25">
      <c r="B762" s="39"/>
    </row>
    <row r="763" spans="2:2" x14ac:dyDescent="0.25">
      <c r="B763" s="39"/>
    </row>
    <row r="764" spans="2:2" x14ac:dyDescent="0.25">
      <c r="B764" s="39"/>
    </row>
    <row r="765" spans="2:2" x14ac:dyDescent="0.25">
      <c r="B765" s="39"/>
    </row>
    <row r="766" spans="2:2" x14ac:dyDescent="0.25">
      <c r="B766" s="39"/>
    </row>
    <row r="767" spans="2:2" x14ac:dyDescent="0.25">
      <c r="B767" s="39"/>
    </row>
    <row r="768" spans="2:2" x14ac:dyDescent="0.25">
      <c r="B768" s="39"/>
    </row>
    <row r="769" spans="2:2" x14ac:dyDescent="0.25">
      <c r="B769" s="39"/>
    </row>
    <row r="770" spans="2:2" x14ac:dyDescent="0.25">
      <c r="B770" s="39"/>
    </row>
    <row r="771" spans="2:2" x14ac:dyDescent="0.25">
      <c r="B771" s="39"/>
    </row>
    <row r="772" spans="2:2" x14ac:dyDescent="0.25">
      <c r="B772" s="39"/>
    </row>
    <row r="773" spans="2:2" x14ac:dyDescent="0.25">
      <c r="B773" s="39"/>
    </row>
    <row r="774" spans="2:2" x14ac:dyDescent="0.25">
      <c r="B774" s="39"/>
    </row>
    <row r="775" spans="2:2" x14ac:dyDescent="0.25">
      <c r="B775" s="39"/>
    </row>
    <row r="776" spans="2:2" x14ac:dyDescent="0.25">
      <c r="B776" s="39"/>
    </row>
    <row r="777" spans="2:2" x14ac:dyDescent="0.25">
      <c r="B777" s="39"/>
    </row>
    <row r="778" spans="2:2" x14ac:dyDescent="0.25">
      <c r="B778" s="39"/>
    </row>
    <row r="779" spans="2:2" x14ac:dyDescent="0.25">
      <c r="B779" s="39"/>
    </row>
    <row r="780" spans="2:2" x14ac:dyDescent="0.25">
      <c r="B780" s="39"/>
    </row>
    <row r="781" spans="2:2" x14ac:dyDescent="0.25">
      <c r="B781" s="39"/>
    </row>
    <row r="782" spans="2:2" x14ac:dyDescent="0.25">
      <c r="B782" s="39"/>
    </row>
    <row r="783" spans="2:2" x14ac:dyDescent="0.25">
      <c r="B783" s="39"/>
    </row>
    <row r="784" spans="2:2" x14ac:dyDescent="0.25">
      <c r="B784" s="39"/>
    </row>
    <row r="785" spans="2:2" x14ac:dyDescent="0.25">
      <c r="B785" s="39"/>
    </row>
    <row r="786" spans="2:2" x14ac:dyDescent="0.25">
      <c r="B786" s="39"/>
    </row>
    <row r="787" spans="2:2" x14ac:dyDescent="0.25">
      <c r="B787" s="39"/>
    </row>
    <row r="788" spans="2:2" x14ac:dyDescent="0.25">
      <c r="B788" s="39"/>
    </row>
    <row r="789" spans="2:2" x14ac:dyDescent="0.25">
      <c r="B789" s="39"/>
    </row>
    <row r="790" spans="2:2" x14ac:dyDescent="0.25">
      <c r="B790" s="39"/>
    </row>
    <row r="791" spans="2:2" x14ac:dyDescent="0.25">
      <c r="B791" s="39"/>
    </row>
    <row r="792" spans="2:2" x14ac:dyDescent="0.25">
      <c r="B792" s="39"/>
    </row>
    <row r="793" spans="2:2" x14ac:dyDescent="0.25">
      <c r="B793" s="39"/>
    </row>
    <row r="794" spans="2:2" x14ac:dyDescent="0.25">
      <c r="B794" s="39"/>
    </row>
    <row r="795" spans="2:2" x14ac:dyDescent="0.25">
      <c r="B795" s="39"/>
    </row>
    <row r="796" spans="2:2" x14ac:dyDescent="0.25">
      <c r="B796" s="39"/>
    </row>
    <row r="797" spans="2:2" x14ac:dyDescent="0.25">
      <c r="B797" s="39"/>
    </row>
    <row r="798" spans="2:2" x14ac:dyDescent="0.25">
      <c r="B798" s="39"/>
    </row>
    <row r="799" spans="2:2" x14ac:dyDescent="0.25">
      <c r="B799" s="39"/>
    </row>
    <row r="800" spans="2:2" x14ac:dyDescent="0.25">
      <c r="B800" s="39"/>
    </row>
    <row r="801" spans="2:2" x14ac:dyDescent="0.25">
      <c r="B801" s="39"/>
    </row>
    <row r="802" spans="2:2" x14ac:dyDescent="0.25">
      <c r="B802" s="39"/>
    </row>
    <row r="803" spans="2:2" x14ac:dyDescent="0.25">
      <c r="B803" s="39"/>
    </row>
    <row r="804" spans="2:2" x14ac:dyDescent="0.25">
      <c r="B804" s="39"/>
    </row>
    <row r="805" spans="2:2" x14ac:dyDescent="0.25">
      <c r="B805" s="39"/>
    </row>
    <row r="806" spans="2:2" x14ac:dyDescent="0.25">
      <c r="B806" s="39"/>
    </row>
    <row r="807" spans="2:2" x14ac:dyDescent="0.25">
      <c r="B807" s="39"/>
    </row>
    <row r="808" spans="2:2" x14ac:dyDescent="0.25">
      <c r="B808" s="39"/>
    </row>
    <row r="809" spans="2:2" x14ac:dyDescent="0.25">
      <c r="B809" s="39"/>
    </row>
    <row r="810" spans="2:2" x14ac:dyDescent="0.25">
      <c r="B810" s="39"/>
    </row>
    <row r="811" spans="2:2" x14ac:dyDescent="0.25">
      <c r="B811" s="39"/>
    </row>
    <row r="812" spans="2:2" x14ac:dyDescent="0.25">
      <c r="B812" s="39"/>
    </row>
    <row r="813" spans="2:2" x14ac:dyDescent="0.25">
      <c r="B813" s="39"/>
    </row>
    <row r="814" spans="2:2" x14ac:dyDescent="0.25">
      <c r="B814" s="39"/>
    </row>
    <row r="815" spans="2:2" x14ac:dyDescent="0.25">
      <c r="B815" s="39"/>
    </row>
    <row r="816" spans="2:2" x14ac:dyDescent="0.25">
      <c r="B816" s="39"/>
    </row>
    <row r="817" spans="2:2" x14ac:dyDescent="0.25">
      <c r="B817" s="39"/>
    </row>
    <row r="818" spans="2:2" x14ac:dyDescent="0.25">
      <c r="B818" s="39"/>
    </row>
    <row r="819" spans="2:2" x14ac:dyDescent="0.25">
      <c r="B819" s="39"/>
    </row>
    <row r="820" spans="2:2" x14ac:dyDescent="0.25">
      <c r="B820" s="39"/>
    </row>
    <row r="821" spans="2:2" x14ac:dyDescent="0.25">
      <c r="B821" s="39"/>
    </row>
    <row r="822" spans="2:2" x14ac:dyDescent="0.25">
      <c r="B822" s="39"/>
    </row>
    <row r="823" spans="2:2" x14ac:dyDescent="0.25">
      <c r="B823" s="39"/>
    </row>
    <row r="824" spans="2:2" x14ac:dyDescent="0.25">
      <c r="B824" s="39"/>
    </row>
    <row r="825" spans="2:2" x14ac:dyDescent="0.25">
      <c r="B825" s="39"/>
    </row>
    <row r="826" spans="2:2" x14ac:dyDescent="0.25">
      <c r="B826" s="39"/>
    </row>
    <row r="827" spans="2:2" x14ac:dyDescent="0.25">
      <c r="B827" s="39"/>
    </row>
    <row r="828" spans="2:2" x14ac:dyDescent="0.25">
      <c r="B828" s="39"/>
    </row>
    <row r="829" spans="2:2" x14ac:dyDescent="0.25">
      <c r="B829" s="39"/>
    </row>
    <row r="830" spans="2:2" x14ac:dyDescent="0.25">
      <c r="B830" s="39"/>
    </row>
    <row r="831" spans="2:2" x14ac:dyDescent="0.25">
      <c r="B831" s="39"/>
    </row>
    <row r="832" spans="2:2" x14ac:dyDescent="0.25">
      <c r="B832" s="39"/>
    </row>
    <row r="833" spans="2:2" x14ac:dyDescent="0.25">
      <c r="B833" s="39"/>
    </row>
    <row r="834" spans="2:2" x14ac:dyDescent="0.25">
      <c r="B834" s="39"/>
    </row>
    <row r="835" spans="2:2" x14ac:dyDescent="0.25">
      <c r="B835" s="39"/>
    </row>
    <row r="836" spans="2:2" x14ac:dyDescent="0.25">
      <c r="B836" s="39"/>
    </row>
    <row r="837" spans="2:2" x14ac:dyDescent="0.25">
      <c r="B837" s="39"/>
    </row>
    <row r="838" spans="2:2" x14ac:dyDescent="0.25">
      <c r="B838" s="39"/>
    </row>
    <row r="839" spans="2:2" x14ac:dyDescent="0.25">
      <c r="B839" s="39"/>
    </row>
    <row r="840" spans="2:2" x14ac:dyDescent="0.25">
      <c r="B840" s="39"/>
    </row>
    <row r="841" spans="2:2" x14ac:dyDescent="0.25">
      <c r="B841" s="39"/>
    </row>
    <row r="842" spans="2:2" x14ac:dyDescent="0.25">
      <c r="B842" s="39"/>
    </row>
    <row r="843" spans="2:2" x14ac:dyDescent="0.25">
      <c r="B843" s="39"/>
    </row>
    <row r="844" spans="2:2" x14ac:dyDescent="0.25">
      <c r="B844" s="39"/>
    </row>
    <row r="845" spans="2:2" x14ac:dyDescent="0.25">
      <c r="B845" s="39"/>
    </row>
    <row r="846" spans="2:2" x14ac:dyDescent="0.25">
      <c r="B846" s="39"/>
    </row>
    <row r="847" spans="2:2" x14ac:dyDescent="0.25">
      <c r="B847" s="39"/>
    </row>
    <row r="848" spans="2:2" x14ac:dyDescent="0.25">
      <c r="B848" s="39"/>
    </row>
    <row r="849" spans="2:2" x14ac:dyDescent="0.25">
      <c r="B849" s="39"/>
    </row>
    <row r="850" spans="2:2" x14ac:dyDescent="0.25">
      <c r="B850" s="39"/>
    </row>
    <row r="851" spans="2:2" x14ac:dyDescent="0.25">
      <c r="B851" s="39"/>
    </row>
    <row r="852" spans="2:2" x14ac:dyDescent="0.25">
      <c r="B852" s="39"/>
    </row>
    <row r="853" spans="2:2" x14ac:dyDescent="0.25">
      <c r="B853" s="39"/>
    </row>
    <row r="854" spans="2:2" x14ac:dyDescent="0.25">
      <c r="B854" s="39"/>
    </row>
    <row r="855" spans="2:2" x14ac:dyDescent="0.25">
      <c r="B855" s="39"/>
    </row>
    <row r="856" spans="2:2" x14ac:dyDescent="0.25">
      <c r="B856" s="39"/>
    </row>
    <row r="857" spans="2:2" x14ac:dyDescent="0.25">
      <c r="B857" s="39"/>
    </row>
    <row r="858" spans="2:2" x14ac:dyDescent="0.25">
      <c r="B858" s="39"/>
    </row>
    <row r="859" spans="2:2" x14ac:dyDescent="0.25">
      <c r="B859" s="39"/>
    </row>
    <row r="860" spans="2:2" x14ac:dyDescent="0.25">
      <c r="B860" s="39"/>
    </row>
    <row r="861" spans="2:2" x14ac:dyDescent="0.25">
      <c r="B861" s="39"/>
    </row>
    <row r="862" spans="2:2" x14ac:dyDescent="0.25">
      <c r="B862" s="39"/>
    </row>
    <row r="863" spans="2:2" x14ac:dyDescent="0.25">
      <c r="B863" s="39"/>
    </row>
    <row r="864" spans="2:2" x14ac:dyDescent="0.25">
      <c r="B864" s="39"/>
    </row>
    <row r="865" spans="2:2" x14ac:dyDescent="0.25">
      <c r="B865" s="39"/>
    </row>
    <row r="866" spans="2:2" x14ac:dyDescent="0.25">
      <c r="B866" s="39"/>
    </row>
    <row r="867" spans="2:2" x14ac:dyDescent="0.25">
      <c r="B867" s="39"/>
    </row>
    <row r="868" spans="2:2" x14ac:dyDescent="0.25">
      <c r="B868" s="39"/>
    </row>
    <row r="869" spans="2:2" x14ac:dyDescent="0.25">
      <c r="B869" s="39"/>
    </row>
    <row r="870" spans="2:2" x14ac:dyDescent="0.25">
      <c r="B870" s="39"/>
    </row>
    <row r="871" spans="2:2" x14ac:dyDescent="0.25">
      <c r="B871" s="39"/>
    </row>
    <row r="872" spans="2:2" x14ac:dyDescent="0.25">
      <c r="B872" s="39"/>
    </row>
    <row r="873" spans="2:2" x14ac:dyDescent="0.25">
      <c r="B873" s="39"/>
    </row>
    <row r="874" spans="2:2" x14ac:dyDescent="0.25">
      <c r="B874" s="39"/>
    </row>
    <row r="875" spans="2:2" x14ac:dyDescent="0.25">
      <c r="B875" s="39"/>
    </row>
    <row r="876" spans="2:2" x14ac:dyDescent="0.25">
      <c r="B876" s="39"/>
    </row>
    <row r="877" spans="2:2" x14ac:dyDescent="0.25">
      <c r="B877" s="39"/>
    </row>
    <row r="878" spans="2:2" x14ac:dyDescent="0.25">
      <c r="B878" s="39"/>
    </row>
    <row r="879" spans="2:2" x14ac:dyDescent="0.25">
      <c r="B879" s="39"/>
    </row>
    <row r="880" spans="2:2" x14ac:dyDescent="0.25">
      <c r="B880" s="39"/>
    </row>
    <row r="881" spans="2:2" x14ac:dyDescent="0.25">
      <c r="B881" s="39"/>
    </row>
    <row r="882" spans="2:2" x14ac:dyDescent="0.25">
      <c r="B882" s="39"/>
    </row>
    <row r="883" spans="2:2" x14ac:dyDescent="0.25">
      <c r="B883" s="39"/>
    </row>
    <row r="884" spans="2:2" x14ac:dyDescent="0.25">
      <c r="B884" s="39"/>
    </row>
    <row r="885" spans="2:2" x14ac:dyDescent="0.25">
      <c r="B885" s="39"/>
    </row>
    <row r="886" spans="2:2" x14ac:dyDescent="0.25">
      <c r="B886" s="39"/>
    </row>
    <row r="887" spans="2:2" x14ac:dyDescent="0.25">
      <c r="B887" s="39"/>
    </row>
    <row r="888" spans="2:2" x14ac:dyDescent="0.25">
      <c r="B888" s="39"/>
    </row>
    <row r="889" spans="2:2" x14ac:dyDescent="0.25">
      <c r="B889" s="39"/>
    </row>
    <row r="890" spans="2:2" x14ac:dyDescent="0.25">
      <c r="B890" s="39"/>
    </row>
    <row r="891" spans="2:2" x14ac:dyDescent="0.25">
      <c r="B891" s="39"/>
    </row>
    <row r="892" spans="2:2" x14ac:dyDescent="0.25">
      <c r="B892" s="39"/>
    </row>
    <row r="893" spans="2:2" x14ac:dyDescent="0.25">
      <c r="B893" s="39"/>
    </row>
    <row r="894" spans="2:2" x14ac:dyDescent="0.25">
      <c r="B894" s="39"/>
    </row>
    <row r="895" spans="2:2" x14ac:dyDescent="0.25">
      <c r="B895" s="39"/>
    </row>
    <row r="896" spans="2:2" x14ac:dyDescent="0.25">
      <c r="B896" s="39"/>
    </row>
    <row r="897" spans="2:2" x14ac:dyDescent="0.25">
      <c r="B897" s="39"/>
    </row>
    <row r="898" spans="2:2" x14ac:dyDescent="0.25">
      <c r="B898" s="39"/>
    </row>
    <row r="899" spans="2:2" x14ac:dyDescent="0.25">
      <c r="B899" s="39"/>
    </row>
    <row r="900" spans="2:2" x14ac:dyDescent="0.25">
      <c r="B900" s="39"/>
    </row>
    <row r="901" spans="2:2" x14ac:dyDescent="0.25">
      <c r="B901" s="39"/>
    </row>
    <row r="902" spans="2:2" x14ac:dyDescent="0.25">
      <c r="B902" s="39"/>
    </row>
    <row r="903" spans="2:2" x14ac:dyDescent="0.25">
      <c r="B903" s="39"/>
    </row>
    <row r="904" spans="2:2" x14ac:dyDescent="0.25">
      <c r="B904" s="39"/>
    </row>
    <row r="905" spans="2:2" x14ac:dyDescent="0.25">
      <c r="B905" s="39"/>
    </row>
    <row r="906" spans="2:2" x14ac:dyDescent="0.25">
      <c r="B906" s="39"/>
    </row>
    <row r="907" spans="2:2" x14ac:dyDescent="0.25">
      <c r="B907" s="39"/>
    </row>
    <row r="908" spans="2:2" x14ac:dyDescent="0.25">
      <c r="B908" s="39"/>
    </row>
    <row r="909" spans="2:2" x14ac:dyDescent="0.25">
      <c r="B909" s="39"/>
    </row>
    <row r="910" spans="2:2" x14ac:dyDescent="0.25">
      <c r="B910" s="39"/>
    </row>
    <row r="911" spans="2:2" x14ac:dyDescent="0.25">
      <c r="B911" s="39"/>
    </row>
    <row r="912" spans="2:2" x14ac:dyDescent="0.25">
      <c r="B912" s="39"/>
    </row>
    <row r="913" spans="2:2" x14ac:dyDescent="0.25">
      <c r="B913" s="39"/>
    </row>
    <row r="914" spans="2:2" x14ac:dyDescent="0.25">
      <c r="B914" s="39"/>
    </row>
    <row r="915" spans="2:2" x14ac:dyDescent="0.25">
      <c r="B915" s="39"/>
    </row>
    <row r="916" spans="2:2" x14ac:dyDescent="0.25">
      <c r="B916" s="39"/>
    </row>
    <row r="917" spans="2:2" x14ac:dyDescent="0.25">
      <c r="B917" s="39"/>
    </row>
    <row r="918" spans="2:2" x14ac:dyDescent="0.25">
      <c r="B918" s="39"/>
    </row>
    <row r="919" spans="2:2" x14ac:dyDescent="0.25">
      <c r="B919" s="39"/>
    </row>
    <row r="920" spans="2:2" x14ac:dyDescent="0.25">
      <c r="B920" s="39"/>
    </row>
    <row r="921" spans="2:2" x14ac:dyDescent="0.25">
      <c r="B921" s="39"/>
    </row>
    <row r="922" spans="2:2" x14ac:dyDescent="0.25">
      <c r="B922" s="39"/>
    </row>
    <row r="923" spans="2:2" x14ac:dyDescent="0.25">
      <c r="B923" s="39"/>
    </row>
    <row r="924" spans="2:2" x14ac:dyDescent="0.25">
      <c r="B924" s="39"/>
    </row>
    <row r="925" spans="2:2" x14ac:dyDescent="0.25">
      <c r="B925" s="39"/>
    </row>
    <row r="926" spans="2:2" x14ac:dyDescent="0.25">
      <c r="B926" s="39"/>
    </row>
    <row r="927" spans="2:2" x14ac:dyDescent="0.25">
      <c r="B927" s="39"/>
    </row>
    <row r="928" spans="2:2" x14ac:dyDescent="0.25">
      <c r="B928" s="39"/>
    </row>
    <row r="929" spans="2:2" x14ac:dyDescent="0.25">
      <c r="B929" s="39"/>
    </row>
    <row r="930" spans="2:2" x14ac:dyDescent="0.25">
      <c r="B930" s="39"/>
    </row>
    <row r="931" spans="2:2" x14ac:dyDescent="0.25">
      <c r="B931" s="39"/>
    </row>
    <row r="932" spans="2:2" x14ac:dyDescent="0.25">
      <c r="B932" s="39"/>
    </row>
    <row r="933" spans="2:2" x14ac:dyDescent="0.25">
      <c r="B933" s="39"/>
    </row>
    <row r="934" spans="2:2" x14ac:dyDescent="0.25">
      <c r="B934" s="39"/>
    </row>
    <row r="935" spans="2:2" x14ac:dyDescent="0.25">
      <c r="B935" s="39"/>
    </row>
    <row r="936" spans="2:2" x14ac:dyDescent="0.25">
      <c r="B936" s="39"/>
    </row>
    <row r="937" spans="2:2" x14ac:dyDescent="0.25">
      <c r="B937" s="39"/>
    </row>
    <row r="938" spans="2:2" x14ac:dyDescent="0.25">
      <c r="B938" s="39"/>
    </row>
    <row r="939" spans="2:2" x14ac:dyDescent="0.25">
      <c r="B939" s="39"/>
    </row>
    <row r="940" spans="2:2" x14ac:dyDescent="0.25">
      <c r="B940" s="39"/>
    </row>
    <row r="941" spans="2:2" x14ac:dyDescent="0.25">
      <c r="B941" s="39"/>
    </row>
    <row r="942" spans="2:2" x14ac:dyDescent="0.25">
      <c r="B942" s="39"/>
    </row>
    <row r="943" spans="2:2" x14ac:dyDescent="0.25">
      <c r="B943" s="39"/>
    </row>
    <row r="944" spans="2:2" x14ac:dyDescent="0.25">
      <c r="B944" s="39"/>
    </row>
    <row r="945" spans="2:2" x14ac:dyDescent="0.25">
      <c r="B945" s="39"/>
    </row>
    <row r="946" spans="2:2" x14ac:dyDescent="0.25">
      <c r="B946" s="39"/>
    </row>
    <row r="947" spans="2:2" x14ac:dyDescent="0.25">
      <c r="B947" s="39"/>
    </row>
    <row r="948" spans="2:2" x14ac:dyDescent="0.25">
      <c r="B948" s="39"/>
    </row>
    <row r="949" spans="2:2" x14ac:dyDescent="0.25">
      <c r="B949" s="39"/>
    </row>
    <row r="950" spans="2:2" x14ac:dyDescent="0.25">
      <c r="B950" s="39"/>
    </row>
    <row r="951" spans="2:2" x14ac:dyDescent="0.25">
      <c r="B951" s="39"/>
    </row>
    <row r="952" spans="2:2" x14ac:dyDescent="0.25">
      <c r="B952" s="39"/>
    </row>
    <row r="953" spans="2:2" x14ac:dyDescent="0.25">
      <c r="B953" s="39"/>
    </row>
    <row r="954" spans="2:2" x14ac:dyDescent="0.25">
      <c r="B954" s="39"/>
    </row>
    <row r="955" spans="2:2" x14ac:dyDescent="0.25">
      <c r="B955" s="39"/>
    </row>
    <row r="956" spans="2:2" x14ac:dyDescent="0.25">
      <c r="B956" s="39"/>
    </row>
    <row r="957" spans="2:2" x14ac:dyDescent="0.25">
      <c r="B957" s="39"/>
    </row>
    <row r="958" spans="2:2" x14ac:dyDescent="0.25">
      <c r="B958" s="39"/>
    </row>
    <row r="959" spans="2:2" x14ac:dyDescent="0.25">
      <c r="B959" s="39"/>
    </row>
    <row r="960" spans="2:2" x14ac:dyDescent="0.25">
      <c r="B960" s="39"/>
    </row>
    <row r="961" spans="2:2" x14ac:dyDescent="0.25">
      <c r="B961" s="39"/>
    </row>
    <row r="962" spans="2:2" x14ac:dyDescent="0.25">
      <c r="B962" s="39"/>
    </row>
    <row r="963" spans="2:2" x14ac:dyDescent="0.25">
      <c r="B963" s="39"/>
    </row>
    <row r="964" spans="2:2" x14ac:dyDescent="0.25">
      <c r="B964" s="39"/>
    </row>
    <row r="965" spans="2:2" x14ac:dyDescent="0.25">
      <c r="B965" s="39"/>
    </row>
    <row r="966" spans="2:2" x14ac:dyDescent="0.25">
      <c r="B966" s="39"/>
    </row>
    <row r="967" spans="2:2" x14ac:dyDescent="0.25">
      <c r="B967" s="39"/>
    </row>
    <row r="968" spans="2:2" x14ac:dyDescent="0.25">
      <c r="B968" s="39"/>
    </row>
    <row r="969" spans="2:2" x14ac:dyDescent="0.25">
      <c r="B969" s="39"/>
    </row>
    <row r="970" spans="2:2" x14ac:dyDescent="0.25">
      <c r="B970" s="39"/>
    </row>
    <row r="971" spans="2:2" x14ac:dyDescent="0.25">
      <c r="B971" s="39"/>
    </row>
    <row r="972" spans="2:2" x14ac:dyDescent="0.25">
      <c r="B972" s="39"/>
    </row>
    <row r="973" spans="2:2" x14ac:dyDescent="0.25">
      <c r="B973" s="39"/>
    </row>
    <row r="974" spans="2:2" x14ac:dyDescent="0.25">
      <c r="B974" s="39"/>
    </row>
    <row r="975" spans="2:2" x14ac:dyDescent="0.25">
      <c r="B975" s="39"/>
    </row>
    <row r="976" spans="2:2" x14ac:dyDescent="0.25">
      <c r="B976" s="39"/>
    </row>
    <row r="977" spans="2:2" x14ac:dyDescent="0.25">
      <c r="B977" s="39"/>
    </row>
    <row r="978" spans="2:2" x14ac:dyDescent="0.25">
      <c r="B978" s="39"/>
    </row>
    <row r="979" spans="2:2" x14ac:dyDescent="0.25">
      <c r="B979" s="39"/>
    </row>
    <row r="980" spans="2:2" x14ac:dyDescent="0.25">
      <c r="B980" s="39"/>
    </row>
    <row r="981" spans="2:2" x14ac:dyDescent="0.25">
      <c r="B981" s="39"/>
    </row>
    <row r="982" spans="2:2" x14ac:dyDescent="0.25">
      <c r="B982" s="39"/>
    </row>
    <row r="983" spans="2:2" x14ac:dyDescent="0.25">
      <c r="B983" s="39"/>
    </row>
    <row r="984" spans="2:2" x14ac:dyDescent="0.25">
      <c r="B984" s="39"/>
    </row>
    <row r="985" spans="2:2" x14ac:dyDescent="0.25">
      <c r="B985" s="39"/>
    </row>
    <row r="986" spans="2:2" x14ac:dyDescent="0.25">
      <c r="B986" s="39"/>
    </row>
    <row r="987" spans="2:2" x14ac:dyDescent="0.25">
      <c r="B987" s="39"/>
    </row>
    <row r="988" spans="2:2" x14ac:dyDescent="0.25">
      <c r="B988" s="39"/>
    </row>
    <row r="989" spans="2:2" x14ac:dyDescent="0.25">
      <c r="B989" s="39"/>
    </row>
    <row r="990" spans="2:2" x14ac:dyDescent="0.25">
      <c r="B990" s="39"/>
    </row>
    <row r="991" spans="2:2" x14ac:dyDescent="0.25">
      <c r="B991" s="39"/>
    </row>
    <row r="992" spans="2:2" x14ac:dyDescent="0.25">
      <c r="B992" s="39"/>
    </row>
    <row r="993" spans="2:2" x14ac:dyDescent="0.25">
      <c r="B993" s="39"/>
    </row>
    <row r="994" spans="2:2" x14ac:dyDescent="0.25">
      <c r="B994" s="39"/>
    </row>
    <row r="995" spans="2:2" x14ac:dyDescent="0.25">
      <c r="B995" s="39"/>
    </row>
    <row r="996" spans="2:2" x14ac:dyDescent="0.25">
      <c r="B996" s="39"/>
    </row>
    <row r="997" spans="2:2" x14ac:dyDescent="0.25">
      <c r="B997" s="39"/>
    </row>
    <row r="998" spans="2:2" x14ac:dyDescent="0.25">
      <c r="B998" s="39"/>
    </row>
    <row r="999" spans="2:2" x14ac:dyDescent="0.25">
      <c r="B999" s="39"/>
    </row>
    <row r="1000" spans="2:2" x14ac:dyDescent="0.25">
      <c r="B1000" s="39"/>
    </row>
    <row r="1001" spans="2:2" x14ac:dyDescent="0.25">
      <c r="B1001" s="39"/>
    </row>
    <row r="1002" spans="2:2" x14ac:dyDescent="0.25">
      <c r="B1002" s="39"/>
    </row>
    <row r="1003" spans="2:2" x14ac:dyDescent="0.25">
      <c r="B1003" s="39"/>
    </row>
    <row r="1004" spans="2:2" x14ac:dyDescent="0.25">
      <c r="B1004" s="39"/>
    </row>
    <row r="1005" spans="2:2" x14ac:dyDescent="0.25">
      <c r="B1005" s="39"/>
    </row>
    <row r="1006" spans="2:2" x14ac:dyDescent="0.25">
      <c r="B1006" s="39"/>
    </row>
    <row r="1007" spans="2:2" x14ac:dyDescent="0.25">
      <c r="B1007" s="39"/>
    </row>
    <row r="1008" spans="2:2" x14ac:dyDescent="0.25">
      <c r="B1008" s="39"/>
    </row>
    <row r="1009" spans="2:2" x14ac:dyDescent="0.25">
      <c r="B1009" s="39"/>
    </row>
    <row r="1010" spans="2:2" x14ac:dyDescent="0.25">
      <c r="B1010" s="39"/>
    </row>
    <row r="1011" spans="2:2" x14ac:dyDescent="0.25">
      <c r="B1011" s="39"/>
    </row>
    <row r="1012" spans="2:2" x14ac:dyDescent="0.25">
      <c r="B1012" s="39"/>
    </row>
    <row r="1013" spans="2:2" x14ac:dyDescent="0.25">
      <c r="B1013" s="39"/>
    </row>
    <row r="1014" spans="2:2" x14ac:dyDescent="0.25">
      <c r="B1014" s="39"/>
    </row>
    <row r="1015" spans="2:2" x14ac:dyDescent="0.25">
      <c r="B1015" s="39"/>
    </row>
    <row r="1016" spans="2:2" x14ac:dyDescent="0.25">
      <c r="B1016" s="39"/>
    </row>
    <row r="1017" spans="2:2" x14ac:dyDescent="0.25">
      <c r="B1017" s="39"/>
    </row>
    <row r="1018" spans="2:2" x14ac:dyDescent="0.25">
      <c r="B1018" s="39"/>
    </row>
    <row r="1019" spans="2:2" x14ac:dyDescent="0.25">
      <c r="B1019" s="39"/>
    </row>
    <row r="1020" spans="2:2" x14ac:dyDescent="0.25">
      <c r="B1020" s="39"/>
    </row>
    <row r="1021" spans="2:2" x14ac:dyDescent="0.25">
      <c r="B1021" s="39"/>
    </row>
    <row r="1022" spans="2:2" x14ac:dyDescent="0.25">
      <c r="B1022" s="39"/>
    </row>
    <row r="1023" spans="2:2" x14ac:dyDescent="0.25">
      <c r="B1023" s="39"/>
    </row>
    <row r="1024" spans="2:2" x14ac:dyDescent="0.25">
      <c r="B1024" s="39"/>
    </row>
    <row r="1025" spans="2:2" x14ac:dyDescent="0.25">
      <c r="B1025" s="39"/>
    </row>
    <row r="1026" spans="2:2" x14ac:dyDescent="0.25">
      <c r="B1026" s="39"/>
    </row>
    <row r="1027" spans="2:2" x14ac:dyDescent="0.25">
      <c r="B1027" s="39"/>
    </row>
    <row r="1028" spans="2:2" x14ac:dyDescent="0.25">
      <c r="B1028" s="39"/>
    </row>
    <row r="1029" spans="2:2" x14ac:dyDescent="0.25">
      <c r="B1029" s="39"/>
    </row>
    <row r="1030" spans="2:2" x14ac:dyDescent="0.25">
      <c r="B1030" s="39"/>
    </row>
    <row r="1031" spans="2:2" x14ac:dyDescent="0.25">
      <c r="B1031" s="39"/>
    </row>
    <row r="1032" spans="2:2" x14ac:dyDescent="0.25">
      <c r="B1032" s="39"/>
    </row>
    <row r="1033" spans="2:2" x14ac:dyDescent="0.25">
      <c r="B1033" s="39"/>
    </row>
    <row r="1034" spans="2:2" x14ac:dyDescent="0.25">
      <c r="B1034" s="39"/>
    </row>
    <row r="1035" spans="2:2" x14ac:dyDescent="0.25">
      <c r="B1035" s="39"/>
    </row>
    <row r="1036" spans="2:2" x14ac:dyDescent="0.25">
      <c r="B1036" s="39"/>
    </row>
    <row r="1037" spans="2:2" x14ac:dyDescent="0.25">
      <c r="B1037" s="39"/>
    </row>
    <row r="1038" spans="2:2" x14ac:dyDescent="0.25">
      <c r="B1038" s="39"/>
    </row>
    <row r="1039" spans="2:2" x14ac:dyDescent="0.25">
      <c r="B1039" s="39"/>
    </row>
    <row r="1040" spans="2:2" x14ac:dyDescent="0.25">
      <c r="B1040" s="39"/>
    </row>
    <row r="1041" spans="2:2" x14ac:dyDescent="0.25">
      <c r="B1041" s="39"/>
    </row>
    <row r="1042" spans="2:2" x14ac:dyDescent="0.25">
      <c r="B1042" s="39"/>
    </row>
    <row r="1043" spans="2:2" x14ac:dyDescent="0.25">
      <c r="B1043" s="39"/>
    </row>
    <row r="1044" spans="2:2" x14ac:dyDescent="0.25">
      <c r="B1044" s="39"/>
    </row>
    <row r="1045" spans="2:2" x14ac:dyDescent="0.25">
      <c r="B1045" s="39"/>
    </row>
    <row r="1046" spans="2:2" x14ac:dyDescent="0.25">
      <c r="B1046" s="39"/>
    </row>
    <row r="1047" spans="2:2" x14ac:dyDescent="0.25">
      <c r="B1047" s="39"/>
    </row>
    <row r="1048" spans="2:2" x14ac:dyDescent="0.25">
      <c r="B1048" s="39"/>
    </row>
    <row r="1049" spans="2:2" x14ac:dyDescent="0.25">
      <c r="B1049" s="39"/>
    </row>
    <row r="1050" spans="2:2" x14ac:dyDescent="0.25">
      <c r="B1050" s="39"/>
    </row>
    <row r="1051" spans="2:2" x14ac:dyDescent="0.25">
      <c r="B1051" s="39"/>
    </row>
    <row r="1052" spans="2:2" x14ac:dyDescent="0.25">
      <c r="B1052" s="39"/>
    </row>
    <row r="1053" spans="2:2" x14ac:dyDescent="0.25">
      <c r="B1053" s="39"/>
    </row>
    <row r="1054" spans="2:2" x14ac:dyDescent="0.25">
      <c r="B1054" s="39"/>
    </row>
    <row r="1055" spans="2:2" x14ac:dyDescent="0.25">
      <c r="B1055" s="39"/>
    </row>
    <row r="1056" spans="2:2" x14ac:dyDescent="0.25">
      <c r="B1056" s="39"/>
    </row>
    <row r="1057" spans="2:2" x14ac:dyDescent="0.25">
      <c r="B1057" s="39"/>
    </row>
    <row r="1058" spans="2:2" x14ac:dyDescent="0.25">
      <c r="B1058" s="39"/>
    </row>
    <row r="1059" spans="2:2" x14ac:dyDescent="0.25">
      <c r="B1059" s="39"/>
    </row>
    <row r="1060" spans="2:2" x14ac:dyDescent="0.25">
      <c r="B1060" s="39"/>
    </row>
    <row r="1061" spans="2:2" x14ac:dyDescent="0.25">
      <c r="B1061" s="39"/>
    </row>
    <row r="1062" spans="2:2" x14ac:dyDescent="0.25">
      <c r="B1062" s="39"/>
    </row>
    <row r="1063" spans="2:2" x14ac:dyDescent="0.25">
      <c r="B1063" s="39"/>
    </row>
    <row r="1064" spans="2:2" x14ac:dyDescent="0.25">
      <c r="B1064" s="39"/>
    </row>
    <row r="1065" spans="2:2" x14ac:dyDescent="0.25">
      <c r="B1065" s="39"/>
    </row>
    <row r="1066" spans="2:2" x14ac:dyDescent="0.25">
      <c r="B1066" s="39"/>
    </row>
    <row r="1067" spans="2:2" x14ac:dyDescent="0.25">
      <c r="B1067" s="39"/>
    </row>
    <row r="1068" spans="2:2" x14ac:dyDescent="0.25">
      <c r="B1068" s="39"/>
    </row>
    <row r="1069" spans="2:2" x14ac:dyDescent="0.25">
      <c r="B1069" s="39"/>
    </row>
    <row r="1070" spans="2:2" x14ac:dyDescent="0.25">
      <c r="B1070" s="39"/>
    </row>
    <row r="1071" spans="2:2" x14ac:dyDescent="0.25">
      <c r="B1071" s="39"/>
    </row>
    <row r="1072" spans="2:2" x14ac:dyDescent="0.25">
      <c r="B1072" s="39"/>
    </row>
    <row r="1073" spans="2:2" x14ac:dyDescent="0.25">
      <c r="B1073" s="39"/>
    </row>
    <row r="1074" spans="2:2" x14ac:dyDescent="0.25">
      <c r="B1074" s="39"/>
    </row>
    <row r="1075" spans="2:2" x14ac:dyDescent="0.25">
      <c r="B1075" s="39"/>
    </row>
    <row r="1076" spans="2:2" x14ac:dyDescent="0.25">
      <c r="B1076" s="39"/>
    </row>
    <row r="1077" spans="2:2" x14ac:dyDescent="0.25">
      <c r="B1077" s="39"/>
    </row>
    <row r="1078" spans="2:2" x14ac:dyDescent="0.25">
      <c r="B1078" s="39"/>
    </row>
    <row r="1079" spans="2:2" x14ac:dyDescent="0.25">
      <c r="B1079" s="39"/>
    </row>
    <row r="1080" spans="2:2" x14ac:dyDescent="0.25">
      <c r="B1080" s="39"/>
    </row>
    <row r="1081" spans="2:2" x14ac:dyDescent="0.25">
      <c r="B1081" s="39"/>
    </row>
    <row r="1082" spans="2:2" x14ac:dyDescent="0.25">
      <c r="B1082" s="39"/>
    </row>
    <row r="1083" spans="2:2" x14ac:dyDescent="0.25">
      <c r="B1083" s="39"/>
    </row>
    <row r="1084" spans="2:2" x14ac:dyDescent="0.25">
      <c r="B1084" s="39"/>
    </row>
    <row r="1085" spans="2:2" x14ac:dyDescent="0.25">
      <c r="B1085" s="39"/>
    </row>
    <row r="1086" spans="2:2" x14ac:dyDescent="0.25">
      <c r="B1086" s="39"/>
    </row>
    <row r="1087" spans="2:2" x14ac:dyDescent="0.25">
      <c r="B1087" s="39"/>
    </row>
    <row r="1088" spans="2:2" x14ac:dyDescent="0.25">
      <c r="B1088" s="39"/>
    </row>
    <row r="1089" spans="2:2" x14ac:dyDescent="0.25">
      <c r="B1089" s="39"/>
    </row>
    <row r="1090" spans="2:2" x14ac:dyDescent="0.25">
      <c r="B1090" s="39"/>
    </row>
    <row r="1091" spans="2:2" x14ac:dyDescent="0.25">
      <c r="B1091" s="39"/>
    </row>
    <row r="1092" spans="2:2" x14ac:dyDescent="0.25">
      <c r="B1092" s="39"/>
    </row>
    <row r="1093" spans="2:2" x14ac:dyDescent="0.25">
      <c r="B1093" s="39"/>
    </row>
    <row r="1094" spans="2:2" x14ac:dyDescent="0.25">
      <c r="B1094" s="39"/>
    </row>
    <row r="1095" spans="2:2" x14ac:dyDescent="0.25">
      <c r="B1095" s="39"/>
    </row>
    <row r="1096" spans="2:2" x14ac:dyDescent="0.25">
      <c r="B1096" s="39"/>
    </row>
    <row r="1097" spans="2:2" x14ac:dyDescent="0.25">
      <c r="B1097" s="39"/>
    </row>
    <row r="1098" spans="2:2" x14ac:dyDescent="0.25">
      <c r="B1098" s="39"/>
    </row>
    <row r="1099" spans="2:2" x14ac:dyDescent="0.25">
      <c r="B1099" s="39"/>
    </row>
    <row r="1100" spans="2:2" x14ac:dyDescent="0.25">
      <c r="B1100" s="39"/>
    </row>
    <row r="1101" spans="2:2" x14ac:dyDescent="0.25">
      <c r="B1101" s="39"/>
    </row>
    <row r="1102" spans="2:2" x14ac:dyDescent="0.25">
      <c r="B1102" s="39"/>
    </row>
    <row r="1103" spans="2:2" x14ac:dyDescent="0.25">
      <c r="B1103" s="39"/>
    </row>
    <row r="1104" spans="2:2" x14ac:dyDescent="0.25">
      <c r="B1104" s="39"/>
    </row>
    <row r="1105" spans="2:2" x14ac:dyDescent="0.25">
      <c r="B1105" s="39"/>
    </row>
    <row r="1106" spans="2:2" x14ac:dyDescent="0.25">
      <c r="B1106" s="39"/>
    </row>
    <row r="1107" spans="2:2" x14ac:dyDescent="0.25">
      <c r="B1107" s="39"/>
    </row>
    <row r="1108" spans="2:2" x14ac:dyDescent="0.25">
      <c r="B1108" s="39"/>
    </row>
    <row r="1109" spans="2:2" x14ac:dyDescent="0.25">
      <c r="B1109" s="39"/>
    </row>
    <row r="1110" spans="2:2" x14ac:dyDescent="0.25">
      <c r="B1110" s="39"/>
    </row>
    <row r="1111" spans="2:2" x14ac:dyDescent="0.25">
      <c r="B1111" s="39"/>
    </row>
    <row r="1112" spans="2:2" x14ac:dyDescent="0.25">
      <c r="B1112" s="39"/>
    </row>
    <row r="1113" spans="2:2" x14ac:dyDescent="0.25">
      <c r="B1113" s="39"/>
    </row>
    <row r="1114" spans="2:2" x14ac:dyDescent="0.25">
      <c r="B1114" s="39"/>
    </row>
    <row r="1115" spans="2:2" x14ac:dyDescent="0.25">
      <c r="B1115" s="39"/>
    </row>
    <row r="1116" spans="2:2" x14ac:dyDescent="0.25">
      <c r="B1116" s="39"/>
    </row>
    <row r="1117" spans="2:2" x14ac:dyDescent="0.25">
      <c r="B1117" s="39"/>
    </row>
    <row r="1118" spans="2:2" x14ac:dyDescent="0.25">
      <c r="B1118" s="39"/>
    </row>
    <row r="1119" spans="2:2" x14ac:dyDescent="0.25">
      <c r="B1119" s="39"/>
    </row>
    <row r="1120" spans="2:2" x14ac:dyDescent="0.25">
      <c r="B1120" s="39"/>
    </row>
    <row r="1121" spans="2:2" x14ac:dyDescent="0.25">
      <c r="B1121" s="39"/>
    </row>
    <row r="1122" spans="2:2" x14ac:dyDescent="0.25">
      <c r="B1122" s="39"/>
    </row>
    <row r="1123" spans="2:2" x14ac:dyDescent="0.25">
      <c r="B1123" s="39"/>
    </row>
    <row r="1124" spans="2:2" x14ac:dyDescent="0.25">
      <c r="B1124" s="39"/>
    </row>
    <row r="1125" spans="2:2" x14ac:dyDescent="0.25">
      <c r="B1125" s="39"/>
    </row>
    <row r="1126" spans="2:2" x14ac:dyDescent="0.25">
      <c r="B1126" s="39"/>
    </row>
    <row r="1127" spans="2:2" x14ac:dyDescent="0.25">
      <c r="B1127" s="39"/>
    </row>
    <row r="1128" spans="2:2" x14ac:dyDescent="0.25">
      <c r="B1128" s="39"/>
    </row>
    <row r="1129" spans="2:2" x14ac:dyDescent="0.25">
      <c r="B1129" s="39"/>
    </row>
    <row r="1130" spans="2:2" x14ac:dyDescent="0.25">
      <c r="B1130" s="39"/>
    </row>
    <row r="1131" spans="2:2" x14ac:dyDescent="0.25">
      <c r="B1131" s="39"/>
    </row>
    <row r="1132" spans="2:2" x14ac:dyDescent="0.25">
      <c r="B1132" s="39"/>
    </row>
    <row r="1133" spans="2:2" x14ac:dyDescent="0.25">
      <c r="B1133" s="39"/>
    </row>
    <row r="1134" spans="2:2" x14ac:dyDescent="0.25">
      <c r="B1134" s="39"/>
    </row>
    <row r="1135" spans="2:2" x14ac:dyDescent="0.25">
      <c r="B1135" s="39"/>
    </row>
    <row r="1136" spans="2:2" x14ac:dyDescent="0.25">
      <c r="B1136" s="39"/>
    </row>
    <row r="1137" spans="2:2" x14ac:dyDescent="0.25">
      <c r="B1137" s="39"/>
    </row>
    <row r="1138" spans="2:2" x14ac:dyDescent="0.25">
      <c r="B1138" s="39"/>
    </row>
    <row r="1139" spans="2:2" x14ac:dyDescent="0.25">
      <c r="B1139" s="39"/>
    </row>
    <row r="1140" spans="2:2" x14ac:dyDescent="0.25">
      <c r="B1140" s="39"/>
    </row>
    <row r="1141" spans="2:2" x14ac:dyDescent="0.25">
      <c r="B1141" s="39"/>
    </row>
    <row r="1142" spans="2:2" x14ac:dyDescent="0.25">
      <c r="B1142" s="39"/>
    </row>
    <row r="1143" spans="2:2" x14ac:dyDescent="0.25">
      <c r="B1143" s="39"/>
    </row>
    <row r="1144" spans="2:2" x14ac:dyDescent="0.25">
      <c r="B1144" s="39"/>
    </row>
    <row r="1145" spans="2:2" x14ac:dyDescent="0.25">
      <c r="B1145" s="39"/>
    </row>
    <row r="1146" spans="2:2" x14ac:dyDescent="0.25">
      <c r="B1146" s="39"/>
    </row>
    <row r="1147" spans="2:2" x14ac:dyDescent="0.25">
      <c r="B1147" s="39"/>
    </row>
    <row r="1148" spans="2:2" x14ac:dyDescent="0.25">
      <c r="B1148" s="39"/>
    </row>
    <row r="1149" spans="2:2" x14ac:dyDescent="0.25">
      <c r="B1149" s="39"/>
    </row>
    <row r="1150" spans="2:2" x14ac:dyDescent="0.25">
      <c r="B1150" s="39"/>
    </row>
    <row r="1151" spans="2:2" x14ac:dyDescent="0.25">
      <c r="B1151" s="39"/>
    </row>
    <row r="1152" spans="2:2" x14ac:dyDescent="0.25">
      <c r="B1152" s="39"/>
    </row>
    <row r="1153" spans="2:2" x14ac:dyDescent="0.25">
      <c r="B1153" s="39"/>
    </row>
    <row r="1154" spans="2:2" x14ac:dyDescent="0.25">
      <c r="B1154" s="39"/>
    </row>
    <row r="1155" spans="2:2" x14ac:dyDescent="0.25">
      <c r="B1155" s="39"/>
    </row>
    <row r="1156" spans="2:2" x14ac:dyDescent="0.25">
      <c r="B1156" s="39"/>
    </row>
    <row r="1157" spans="2:2" x14ac:dyDescent="0.25">
      <c r="B1157" s="39"/>
    </row>
    <row r="1158" spans="2:2" x14ac:dyDescent="0.25">
      <c r="B1158" s="39"/>
    </row>
    <row r="1159" spans="2:2" x14ac:dyDescent="0.25">
      <c r="B1159" s="39"/>
    </row>
    <row r="1160" spans="2:2" x14ac:dyDescent="0.25">
      <c r="B1160" s="39"/>
    </row>
    <row r="1161" spans="2:2" x14ac:dyDescent="0.25">
      <c r="B1161" s="39"/>
    </row>
    <row r="1162" spans="2:2" x14ac:dyDescent="0.25">
      <c r="B1162" s="39"/>
    </row>
    <row r="1163" spans="2:2" x14ac:dyDescent="0.25">
      <c r="B1163" s="39"/>
    </row>
    <row r="1164" spans="2:2" x14ac:dyDescent="0.25">
      <c r="B1164" s="39"/>
    </row>
    <row r="1165" spans="2:2" x14ac:dyDescent="0.25">
      <c r="B1165" s="39"/>
    </row>
    <row r="1166" spans="2:2" x14ac:dyDescent="0.25">
      <c r="B1166" s="39"/>
    </row>
    <row r="1167" spans="2:2" x14ac:dyDescent="0.25">
      <c r="B1167" s="39"/>
    </row>
    <row r="1168" spans="2:2" x14ac:dyDescent="0.25">
      <c r="B1168" s="39"/>
    </row>
    <row r="1169" spans="2:2" x14ac:dyDescent="0.25">
      <c r="B1169" s="39"/>
    </row>
    <row r="1170" spans="2:2" x14ac:dyDescent="0.25">
      <c r="B1170" s="39"/>
    </row>
    <row r="1171" spans="2:2" x14ac:dyDescent="0.25">
      <c r="B1171" s="39"/>
    </row>
    <row r="1172" spans="2:2" x14ac:dyDescent="0.25">
      <c r="B1172" s="39"/>
    </row>
    <row r="1173" spans="2:2" x14ac:dyDescent="0.25">
      <c r="B1173" s="39"/>
    </row>
    <row r="1174" spans="2:2" x14ac:dyDescent="0.25">
      <c r="B1174" s="39"/>
    </row>
    <row r="1175" spans="2:2" x14ac:dyDescent="0.25">
      <c r="B1175" s="39"/>
    </row>
    <row r="1176" spans="2:2" x14ac:dyDescent="0.25">
      <c r="B1176" s="39"/>
    </row>
    <row r="1177" spans="2:2" x14ac:dyDescent="0.25">
      <c r="B1177" s="39"/>
    </row>
    <row r="1178" spans="2:2" x14ac:dyDescent="0.25">
      <c r="B1178" s="39"/>
    </row>
    <row r="1179" spans="2:2" x14ac:dyDescent="0.25">
      <c r="B1179" s="39"/>
    </row>
    <row r="1180" spans="2:2" x14ac:dyDescent="0.25">
      <c r="B1180" s="39"/>
    </row>
    <row r="1181" spans="2:2" x14ac:dyDescent="0.25">
      <c r="B1181" s="39"/>
    </row>
    <row r="1182" spans="2:2" x14ac:dyDescent="0.25">
      <c r="B1182" s="39"/>
    </row>
    <row r="1183" spans="2:2" x14ac:dyDescent="0.25">
      <c r="B1183" s="39"/>
    </row>
    <row r="1184" spans="2:2" x14ac:dyDescent="0.25">
      <c r="B1184" s="39"/>
    </row>
    <row r="1185" spans="2:2" x14ac:dyDescent="0.25">
      <c r="B1185" s="39"/>
    </row>
    <row r="1186" spans="2:2" x14ac:dyDescent="0.25">
      <c r="B1186" s="39"/>
    </row>
    <row r="1187" spans="2:2" x14ac:dyDescent="0.25">
      <c r="B1187" s="39"/>
    </row>
    <row r="1188" spans="2:2" x14ac:dyDescent="0.25">
      <c r="B1188" s="39"/>
    </row>
    <row r="1189" spans="2:2" x14ac:dyDescent="0.25">
      <c r="B1189" s="39"/>
    </row>
    <row r="1190" spans="2:2" x14ac:dyDescent="0.25">
      <c r="B1190" s="39"/>
    </row>
    <row r="1191" spans="2:2" x14ac:dyDescent="0.25">
      <c r="B1191" s="39"/>
    </row>
    <row r="1192" spans="2:2" x14ac:dyDescent="0.25">
      <c r="B1192" s="39"/>
    </row>
    <row r="1193" spans="2:2" x14ac:dyDescent="0.25">
      <c r="B1193" s="39"/>
    </row>
    <row r="1194" spans="2:2" x14ac:dyDescent="0.25">
      <c r="B1194" s="39"/>
    </row>
    <row r="1195" spans="2:2" x14ac:dyDescent="0.25">
      <c r="B1195" s="39"/>
    </row>
    <row r="1196" spans="2:2" x14ac:dyDescent="0.25">
      <c r="B1196" s="39"/>
    </row>
    <row r="1197" spans="2:2" x14ac:dyDescent="0.25">
      <c r="B1197" s="39"/>
    </row>
    <row r="1198" spans="2:2" x14ac:dyDescent="0.25">
      <c r="B1198" s="39"/>
    </row>
    <row r="1199" spans="2:2" x14ac:dyDescent="0.25">
      <c r="B1199" s="39"/>
    </row>
    <row r="1200" spans="2:2" x14ac:dyDescent="0.25">
      <c r="B1200" s="39"/>
    </row>
    <row r="1201" spans="2:2" x14ac:dyDescent="0.25">
      <c r="B1201" s="39"/>
    </row>
    <row r="1202" spans="2:2" x14ac:dyDescent="0.25">
      <c r="B1202" s="39"/>
    </row>
    <row r="1203" spans="2:2" x14ac:dyDescent="0.25">
      <c r="B1203" s="39"/>
    </row>
    <row r="1204" spans="2:2" x14ac:dyDescent="0.25">
      <c r="B1204" s="39"/>
    </row>
    <row r="1205" spans="2:2" x14ac:dyDescent="0.25">
      <c r="B1205" s="39"/>
    </row>
    <row r="1206" spans="2:2" x14ac:dyDescent="0.25">
      <c r="B1206" s="39"/>
    </row>
    <row r="1207" spans="2:2" x14ac:dyDescent="0.25">
      <c r="B1207" s="39"/>
    </row>
    <row r="1208" spans="2:2" x14ac:dyDescent="0.25">
      <c r="B1208" s="39"/>
    </row>
    <row r="1209" spans="2:2" x14ac:dyDescent="0.25">
      <c r="B1209" s="39"/>
    </row>
    <row r="1210" spans="2:2" x14ac:dyDescent="0.25">
      <c r="B1210" s="39"/>
    </row>
    <row r="1211" spans="2:2" x14ac:dyDescent="0.25">
      <c r="B1211" s="39"/>
    </row>
    <row r="1212" spans="2:2" x14ac:dyDescent="0.25">
      <c r="B1212" s="39"/>
    </row>
    <row r="1213" spans="2:2" x14ac:dyDescent="0.25">
      <c r="B1213" s="39"/>
    </row>
    <row r="1214" spans="2:2" x14ac:dyDescent="0.25">
      <c r="B1214" s="39"/>
    </row>
    <row r="1215" spans="2:2" x14ac:dyDescent="0.25">
      <c r="B1215" s="39"/>
    </row>
    <row r="1216" spans="2:2" x14ac:dyDescent="0.25">
      <c r="B1216" s="39"/>
    </row>
    <row r="1217" spans="2:2" x14ac:dyDescent="0.25">
      <c r="B1217" s="39"/>
    </row>
    <row r="1218" spans="2:2" x14ac:dyDescent="0.25">
      <c r="B1218" s="39"/>
    </row>
    <row r="1219" spans="2:2" x14ac:dyDescent="0.25">
      <c r="B1219" s="39"/>
    </row>
    <row r="1220" spans="2:2" x14ac:dyDescent="0.25">
      <c r="B1220" s="39"/>
    </row>
    <row r="1221" spans="2:2" x14ac:dyDescent="0.25">
      <c r="B1221" s="39"/>
    </row>
    <row r="1222" spans="2:2" x14ac:dyDescent="0.25">
      <c r="B1222" s="39"/>
    </row>
    <row r="1223" spans="2:2" x14ac:dyDescent="0.25">
      <c r="B1223" s="39"/>
    </row>
    <row r="1224" spans="2:2" x14ac:dyDescent="0.25">
      <c r="B1224" s="39"/>
    </row>
    <row r="1225" spans="2:2" x14ac:dyDescent="0.25">
      <c r="B1225" s="39"/>
    </row>
    <row r="1226" spans="2:2" x14ac:dyDescent="0.25">
      <c r="B1226" s="39"/>
    </row>
    <row r="1227" spans="2:2" x14ac:dyDescent="0.25">
      <c r="B1227" s="39"/>
    </row>
    <row r="1228" spans="2:2" x14ac:dyDescent="0.25">
      <c r="B1228" s="39"/>
    </row>
    <row r="1229" spans="2:2" x14ac:dyDescent="0.25">
      <c r="B1229" s="39"/>
    </row>
    <row r="1230" spans="2:2" x14ac:dyDescent="0.25">
      <c r="B1230" s="39"/>
    </row>
    <row r="1231" spans="2:2" x14ac:dyDescent="0.25">
      <c r="B1231" s="39"/>
    </row>
    <row r="1232" spans="2:2" x14ac:dyDescent="0.25">
      <c r="B1232" s="39"/>
    </row>
    <row r="1233" spans="2:2" x14ac:dyDescent="0.25">
      <c r="B1233" s="39"/>
    </row>
    <row r="1234" spans="2:2" x14ac:dyDescent="0.25">
      <c r="B1234" s="39"/>
    </row>
    <row r="1235" spans="2:2" x14ac:dyDescent="0.25">
      <c r="B1235" s="39"/>
    </row>
    <row r="1236" spans="2:2" x14ac:dyDescent="0.25">
      <c r="B1236" s="39"/>
    </row>
    <row r="1237" spans="2:2" x14ac:dyDescent="0.25">
      <c r="B1237" s="39"/>
    </row>
    <row r="1238" spans="2:2" x14ac:dyDescent="0.25">
      <c r="B1238" s="39"/>
    </row>
    <row r="1239" spans="2:2" x14ac:dyDescent="0.25">
      <c r="B1239" s="39"/>
    </row>
    <row r="1240" spans="2:2" x14ac:dyDescent="0.25">
      <c r="B1240" s="39"/>
    </row>
    <row r="1241" spans="2:2" x14ac:dyDescent="0.25">
      <c r="B1241" s="39"/>
    </row>
    <row r="1242" spans="2:2" x14ac:dyDescent="0.25">
      <c r="B1242" s="39"/>
    </row>
    <row r="1243" spans="2:2" x14ac:dyDescent="0.25">
      <c r="B1243" s="39"/>
    </row>
    <row r="1244" spans="2:2" x14ac:dyDescent="0.25">
      <c r="B1244" s="39"/>
    </row>
    <row r="1245" spans="2:2" x14ac:dyDescent="0.25">
      <c r="B1245" s="39"/>
    </row>
    <row r="1246" spans="2:2" x14ac:dyDescent="0.25">
      <c r="B1246" s="39"/>
    </row>
    <row r="1247" spans="2:2" x14ac:dyDescent="0.25">
      <c r="B1247" s="39"/>
    </row>
    <row r="1248" spans="2:2" x14ac:dyDescent="0.25">
      <c r="B1248" s="39"/>
    </row>
    <row r="1249" spans="2:2" x14ac:dyDescent="0.25">
      <c r="B1249" s="39"/>
    </row>
    <row r="1250" spans="2:2" x14ac:dyDescent="0.25">
      <c r="B1250" s="39"/>
    </row>
    <row r="1251" spans="2:2" x14ac:dyDescent="0.25">
      <c r="B1251" s="39"/>
    </row>
    <row r="1252" spans="2:2" x14ac:dyDescent="0.25">
      <c r="B1252" s="39"/>
    </row>
    <row r="1253" spans="2:2" x14ac:dyDescent="0.25">
      <c r="B1253" s="39"/>
    </row>
    <row r="1254" spans="2:2" x14ac:dyDescent="0.25">
      <c r="B1254" s="39"/>
    </row>
    <row r="1255" spans="2:2" x14ac:dyDescent="0.25">
      <c r="B1255" s="39"/>
    </row>
    <row r="1256" spans="2:2" x14ac:dyDescent="0.25">
      <c r="B1256" s="39"/>
    </row>
    <row r="1257" spans="2:2" x14ac:dyDescent="0.25">
      <c r="B1257" s="39"/>
    </row>
    <row r="1258" spans="2:2" x14ac:dyDescent="0.25">
      <c r="B1258" s="39"/>
    </row>
    <row r="1259" spans="2:2" x14ac:dyDescent="0.25">
      <c r="B1259" s="39"/>
    </row>
    <row r="1260" spans="2:2" x14ac:dyDescent="0.25">
      <c r="B1260" s="39"/>
    </row>
    <row r="1261" spans="2:2" x14ac:dyDescent="0.25">
      <c r="B1261" s="39"/>
    </row>
    <row r="1262" spans="2:2" x14ac:dyDescent="0.25">
      <c r="B1262" s="39"/>
    </row>
    <row r="1263" spans="2:2" x14ac:dyDescent="0.25">
      <c r="B1263" s="39"/>
    </row>
    <row r="1264" spans="2:2" x14ac:dyDescent="0.25">
      <c r="B1264" s="39"/>
    </row>
    <row r="1265" spans="2:2" x14ac:dyDescent="0.25">
      <c r="B1265" s="39"/>
    </row>
    <row r="1266" spans="2:2" x14ac:dyDescent="0.25">
      <c r="B1266" s="39"/>
    </row>
    <row r="1267" spans="2:2" x14ac:dyDescent="0.25">
      <c r="B1267" s="39"/>
    </row>
    <row r="1268" spans="2:2" x14ac:dyDescent="0.25">
      <c r="B1268" s="39"/>
    </row>
    <row r="1269" spans="2:2" x14ac:dyDescent="0.25">
      <c r="B1269" s="39"/>
    </row>
    <row r="1270" spans="2:2" x14ac:dyDescent="0.25">
      <c r="B1270" s="39"/>
    </row>
    <row r="1271" spans="2:2" x14ac:dyDescent="0.25">
      <c r="B1271" s="39"/>
    </row>
    <row r="1272" spans="2:2" x14ac:dyDescent="0.25">
      <c r="B1272" s="39"/>
    </row>
    <row r="1273" spans="2:2" x14ac:dyDescent="0.25">
      <c r="B1273" s="39"/>
    </row>
    <row r="1274" spans="2:2" x14ac:dyDescent="0.25">
      <c r="B1274" s="39"/>
    </row>
    <row r="1275" spans="2:2" x14ac:dyDescent="0.25">
      <c r="B1275" s="39"/>
    </row>
    <row r="1276" spans="2:2" x14ac:dyDescent="0.25">
      <c r="B1276" s="39"/>
    </row>
    <row r="1277" spans="2:2" x14ac:dyDescent="0.25">
      <c r="B1277" s="39"/>
    </row>
    <row r="1278" spans="2:2" x14ac:dyDescent="0.25">
      <c r="B1278" s="39"/>
    </row>
    <row r="1279" spans="2:2" x14ac:dyDescent="0.25">
      <c r="B1279" s="39"/>
    </row>
    <row r="1280" spans="2:2" x14ac:dyDescent="0.25">
      <c r="B1280" s="39"/>
    </row>
    <row r="1281" spans="2:2" x14ac:dyDescent="0.25">
      <c r="B1281" s="39"/>
    </row>
    <row r="1282" spans="2:2" x14ac:dyDescent="0.25">
      <c r="B1282" s="39"/>
    </row>
    <row r="1283" spans="2:2" x14ac:dyDescent="0.25">
      <c r="B1283" s="39"/>
    </row>
    <row r="1284" spans="2:2" x14ac:dyDescent="0.25">
      <c r="B1284" s="39"/>
    </row>
    <row r="1285" spans="2:2" x14ac:dyDescent="0.25">
      <c r="B1285" s="39"/>
    </row>
    <row r="1286" spans="2:2" x14ac:dyDescent="0.25">
      <c r="B1286" s="39"/>
    </row>
    <row r="1287" spans="2:2" x14ac:dyDescent="0.25">
      <c r="B1287" s="39"/>
    </row>
    <row r="1288" spans="2:2" x14ac:dyDescent="0.25">
      <c r="B1288" s="39"/>
    </row>
    <row r="1289" spans="2:2" x14ac:dyDescent="0.25">
      <c r="B1289" s="39"/>
    </row>
    <row r="1290" spans="2:2" x14ac:dyDescent="0.25">
      <c r="B1290" s="39"/>
    </row>
    <row r="1291" spans="2:2" x14ac:dyDescent="0.25">
      <c r="B1291" s="39"/>
    </row>
    <row r="1292" spans="2:2" x14ac:dyDescent="0.25">
      <c r="B1292" s="39"/>
    </row>
    <row r="1293" spans="2:2" x14ac:dyDescent="0.25">
      <c r="B1293" s="39"/>
    </row>
    <row r="1294" spans="2:2" x14ac:dyDescent="0.25">
      <c r="B1294" s="39"/>
    </row>
    <row r="1295" spans="2:2" x14ac:dyDescent="0.25">
      <c r="B1295" s="39"/>
    </row>
    <row r="1296" spans="2:2" x14ac:dyDescent="0.25">
      <c r="B1296" s="39"/>
    </row>
    <row r="1297" spans="2:2" x14ac:dyDescent="0.25">
      <c r="B1297" s="39"/>
    </row>
    <row r="1298" spans="2:2" x14ac:dyDescent="0.25">
      <c r="B1298" s="39"/>
    </row>
    <row r="1299" spans="2:2" x14ac:dyDescent="0.25">
      <c r="B1299" s="39"/>
    </row>
    <row r="1300" spans="2:2" x14ac:dyDescent="0.25">
      <c r="B1300" s="39"/>
    </row>
    <row r="1301" spans="2:2" x14ac:dyDescent="0.25">
      <c r="B1301" s="39"/>
    </row>
    <row r="1302" spans="2:2" x14ac:dyDescent="0.25">
      <c r="B1302" s="39"/>
    </row>
    <row r="1303" spans="2:2" x14ac:dyDescent="0.25">
      <c r="B1303" s="39"/>
    </row>
    <row r="1304" spans="2:2" x14ac:dyDescent="0.25">
      <c r="B1304" s="39"/>
    </row>
    <row r="1305" spans="2:2" x14ac:dyDescent="0.25">
      <c r="B1305" s="39"/>
    </row>
    <row r="1306" spans="2:2" x14ac:dyDescent="0.25">
      <c r="B1306" s="39"/>
    </row>
    <row r="1307" spans="2:2" x14ac:dyDescent="0.25">
      <c r="B1307" s="39"/>
    </row>
    <row r="1308" spans="2:2" x14ac:dyDescent="0.25">
      <c r="B1308" s="39"/>
    </row>
    <row r="1309" spans="2:2" x14ac:dyDescent="0.25">
      <c r="B1309" s="39"/>
    </row>
    <row r="1310" spans="2:2" x14ac:dyDescent="0.25">
      <c r="B1310" s="39"/>
    </row>
    <row r="1311" spans="2:2" x14ac:dyDescent="0.25">
      <c r="B1311" s="39"/>
    </row>
    <row r="1312" spans="2:2" x14ac:dyDescent="0.25">
      <c r="B1312" s="39"/>
    </row>
    <row r="1313" spans="2:2" x14ac:dyDescent="0.25">
      <c r="B1313" s="39"/>
    </row>
    <row r="1314" spans="2:2" x14ac:dyDescent="0.25">
      <c r="B1314" s="39"/>
    </row>
    <row r="1315" spans="2:2" x14ac:dyDescent="0.25">
      <c r="B1315" s="39"/>
    </row>
    <row r="1316" spans="2:2" x14ac:dyDescent="0.25">
      <c r="B1316" s="39"/>
    </row>
    <row r="1317" spans="2:2" x14ac:dyDescent="0.25">
      <c r="B1317" s="39"/>
    </row>
    <row r="1318" spans="2:2" x14ac:dyDescent="0.25">
      <c r="B1318" s="39"/>
    </row>
    <row r="1319" spans="2:2" x14ac:dyDescent="0.25">
      <c r="B1319" s="39"/>
    </row>
    <row r="1320" spans="2:2" x14ac:dyDescent="0.25">
      <c r="B1320" s="39"/>
    </row>
    <row r="1321" spans="2:2" x14ac:dyDescent="0.25">
      <c r="B1321" s="39"/>
    </row>
    <row r="1322" spans="2:2" x14ac:dyDescent="0.25">
      <c r="B1322" s="39"/>
    </row>
    <row r="1323" spans="2:2" x14ac:dyDescent="0.25">
      <c r="B1323" s="39"/>
    </row>
    <row r="1324" spans="2:2" x14ac:dyDescent="0.25">
      <c r="B1324" s="39"/>
    </row>
    <row r="1325" spans="2:2" x14ac:dyDescent="0.25">
      <c r="B1325" s="39"/>
    </row>
    <row r="1326" spans="2:2" x14ac:dyDescent="0.25">
      <c r="B1326" s="39"/>
    </row>
    <row r="1327" spans="2:2" x14ac:dyDescent="0.25">
      <c r="B1327" s="39"/>
    </row>
    <row r="1328" spans="2:2" x14ac:dyDescent="0.25">
      <c r="B1328" s="39"/>
    </row>
    <row r="1329" spans="2:2" x14ac:dyDescent="0.25">
      <c r="B1329" s="39"/>
    </row>
    <row r="1330" spans="2:2" x14ac:dyDescent="0.25">
      <c r="B1330" s="39"/>
    </row>
    <row r="1331" spans="2:2" x14ac:dyDescent="0.25">
      <c r="B1331" s="39"/>
    </row>
    <row r="1332" spans="2:2" x14ac:dyDescent="0.25">
      <c r="B1332" s="39"/>
    </row>
    <row r="1333" spans="2:2" x14ac:dyDescent="0.25">
      <c r="B1333" s="39"/>
    </row>
    <row r="1334" spans="2:2" x14ac:dyDescent="0.25">
      <c r="B1334" s="39"/>
    </row>
    <row r="1335" spans="2:2" x14ac:dyDescent="0.25">
      <c r="B1335" s="39"/>
    </row>
    <row r="1336" spans="2:2" x14ac:dyDescent="0.25">
      <c r="B1336" s="39"/>
    </row>
    <row r="1337" spans="2:2" x14ac:dyDescent="0.25">
      <c r="B1337" s="39"/>
    </row>
    <row r="1338" spans="2:2" x14ac:dyDescent="0.25">
      <c r="B1338" s="39"/>
    </row>
    <row r="1339" spans="2:2" x14ac:dyDescent="0.25">
      <c r="B1339" s="39"/>
    </row>
    <row r="1340" spans="2:2" x14ac:dyDescent="0.25">
      <c r="B1340" s="39"/>
    </row>
    <row r="1341" spans="2:2" x14ac:dyDescent="0.25">
      <c r="B1341" s="39"/>
    </row>
    <row r="1342" spans="2:2" x14ac:dyDescent="0.25">
      <c r="B1342" s="39"/>
    </row>
    <row r="1343" spans="2:2" x14ac:dyDescent="0.25">
      <c r="B1343" s="39"/>
    </row>
    <row r="1344" spans="2:2" x14ac:dyDescent="0.25">
      <c r="B1344" s="39"/>
    </row>
    <row r="1345" spans="2:2" x14ac:dyDescent="0.25">
      <c r="B1345" s="39"/>
    </row>
    <row r="1346" spans="2:2" x14ac:dyDescent="0.25">
      <c r="B1346" s="39"/>
    </row>
    <row r="1347" spans="2:2" x14ac:dyDescent="0.25">
      <c r="B1347" s="39"/>
    </row>
    <row r="1348" spans="2:2" x14ac:dyDescent="0.25">
      <c r="B1348" s="39"/>
    </row>
    <row r="1349" spans="2:2" x14ac:dyDescent="0.25">
      <c r="B1349" s="39"/>
    </row>
    <row r="1350" spans="2:2" x14ac:dyDescent="0.25">
      <c r="B1350" s="39"/>
    </row>
    <row r="1351" spans="2:2" x14ac:dyDescent="0.25">
      <c r="B1351" s="39"/>
    </row>
    <row r="1352" spans="2:2" x14ac:dyDescent="0.25">
      <c r="B1352" s="39"/>
    </row>
    <row r="1353" spans="2:2" x14ac:dyDescent="0.25">
      <c r="B1353" s="39"/>
    </row>
    <row r="1354" spans="2:2" x14ac:dyDescent="0.25">
      <c r="B1354" s="39"/>
    </row>
    <row r="1355" spans="2:2" x14ac:dyDescent="0.25">
      <c r="B1355" s="39"/>
    </row>
    <row r="1356" spans="2:2" x14ac:dyDescent="0.25">
      <c r="B1356" s="39"/>
    </row>
    <row r="1357" spans="2:2" x14ac:dyDescent="0.25">
      <c r="B1357" s="39"/>
    </row>
    <row r="1358" spans="2:2" x14ac:dyDescent="0.25">
      <c r="B1358" s="39"/>
    </row>
    <row r="1359" spans="2:2" x14ac:dyDescent="0.25">
      <c r="B1359" s="39"/>
    </row>
    <row r="1360" spans="2:2" x14ac:dyDescent="0.25">
      <c r="B1360" s="39"/>
    </row>
    <row r="1361" spans="2:2" x14ac:dyDescent="0.25">
      <c r="B1361" s="39"/>
    </row>
    <row r="1362" spans="2:2" x14ac:dyDescent="0.25">
      <c r="B1362" s="39"/>
    </row>
    <row r="1363" spans="2:2" x14ac:dyDescent="0.25">
      <c r="B1363" s="39"/>
    </row>
    <row r="1364" spans="2:2" x14ac:dyDescent="0.25">
      <c r="B1364" s="39"/>
    </row>
    <row r="1365" spans="2:2" x14ac:dyDescent="0.25">
      <c r="B1365" s="39"/>
    </row>
    <row r="1366" spans="2:2" x14ac:dyDescent="0.25">
      <c r="B1366" s="39"/>
    </row>
    <row r="1367" spans="2:2" x14ac:dyDescent="0.25">
      <c r="B1367" s="39"/>
    </row>
    <row r="1368" spans="2:2" x14ac:dyDescent="0.25">
      <c r="B1368" s="39"/>
    </row>
    <row r="1369" spans="2:2" x14ac:dyDescent="0.25">
      <c r="B1369" s="39"/>
    </row>
    <row r="1370" spans="2:2" x14ac:dyDescent="0.25">
      <c r="B1370" s="39"/>
    </row>
    <row r="1371" spans="2:2" x14ac:dyDescent="0.25">
      <c r="B1371" s="39"/>
    </row>
    <row r="1372" spans="2:2" x14ac:dyDescent="0.25">
      <c r="B1372" s="39"/>
    </row>
    <row r="1373" spans="2:2" x14ac:dyDescent="0.25">
      <c r="B1373" s="39"/>
    </row>
    <row r="1374" spans="2:2" x14ac:dyDescent="0.25">
      <c r="B1374" s="39"/>
    </row>
    <row r="1375" spans="2:2" x14ac:dyDescent="0.25">
      <c r="B1375" s="39"/>
    </row>
    <row r="1376" spans="2:2" x14ac:dyDescent="0.25">
      <c r="B1376" s="39"/>
    </row>
    <row r="1377" spans="2:2" x14ac:dyDescent="0.25">
      <c r="B1377" s="39"/>
    </row>
    <row r="1378" spans="2:2" x14ac:dyDescent="0.25">
      <c r="B1378" s="39"/>
    </row>
    <row r="1379" spans="2:2" x14ac:dyDescent="0.25">
      <c r="B1379" s="39"/>
    </row>
    <row r="1380" spans="2:2" x14ac:dyDescent="0.25">
      <c r="B1380" s="39"/>
    </row>
    <row r="1381" spans="2:2" x14ac:dyDescent="0.25">
      <c r="B1381" s="39"/>
    </row>
    <row r="1382" spans="2:2" x14ac:dyDescent="0.25">
      <c r="B1382" s="39"/>
    </row>
    <row r="1383" spans="2:2" x14ac:dyDescent="0.25">
      <c r="B1383" s="39"/>
    </row>
    <row r="1384" spans="2:2" x14ac:dyDescent="0.25">
      <c r="B1384" s="39"/>
    </row>
    <row r="1385" spans="2:2" x14ac:dyDescent="0.25">
      <c r="B1385" s="39"/>
    </row>
    <row r="1386" spans="2:2" x14ac:dyDescent="0.25">
      <c r="B1386" s="39"/>
    </row>
    <row r="1387" spans="2:2" x14ac:dyDescent="0.25">
      <c r="B1387" s="39"/>
    </row>
    <row r="1388" spans="2:2" x14ac:dyDescent="0.25">
      <c r="B1388" s="39"/>
    </row>
    <row r="1389" spans="2:2" x14ac:dyDescent="0.25">
      <c r="B1389" s="39"/>
    </row>
    <row r="1390" spans="2:2" x14ac:dyDescent="0.25">
      <c r="B1390" s="39"/>
    </row>
    <row r="1391" spans="2:2" x14ac:dyDescent="0.25">
      <c r="B1391" s="39"/>
    </row>
    <row r="1392" spans="2:2" x14ac:dyDescent="0.25">
      <c r="B1392" s="39"/>
    </row>
    <row r="1393" spans="2:2" x14ac:dyDescent="0.25">
      <c r="B1393" s="39"/>
    </row>
    <row r="1394" spans="2:2" x14ac:dyDescent="0.25">
      <c r="B1394" s="39"/>
    </row>
    <row r="1395" spans="2:2" x14ac:dyDescent="0.25">
      <c r="B1395" s="39"/>
    </row>
    <row r="1396" spans="2:2" x14ac:dyDescent="0.25">
      <c r="B1396" s="39"/>
    </row>
    <row r="1397" spans="2:2" x14ac:dyDescent="0.25">
      <c r="B1397" s="39"/>
    </row>
    <row r="1398" spans="2:2" x14ac:dyDescent="0.25">
      <c r="B1398" s="39"/>
    </row>
    <row r="1399" spans="2:2" x14ac:dyDescent="0.25">
      <c r="B1399" s="39"/>
    </row>
    <row r="1400" spans="2:2" x14ac:dyDescent="0.25">
      <c r="B1400" s="39"/>
    </row>
    <row r="1401" spans="2:2" x14ac:dyDescent="0.25">
      <c r="B1401" s="39"/>
    </row>
    <row r="1402" spans="2:2" x14ac:dyDescent="0.25">
      <c r="B1402" s="39"/>
    </row>
    <row r="1403" spans="2:2" x14ac:dyDescent="0.25">
      <c r="B1403" s="39"/>
    </row>
    <row r="1404" spans="2:2" x14ac:dyDescent="0.25">
      <c r="B1404" s="39"/>
    </row>
    <row r="1405" spans="2:2" x14ac:dyDescent="0.25">
      <c r="B1405" s="39"/>
    </row>
    <row r="1406" spans="2:2" x14ac:dyDescent="0.25">
      <c r="B1406" s="39"/>
    </row>
    <row r="1407" spans="2:2" x14ac:dyDescent="0.25">
      <c r="B1407" s="39"/>
    </row>
    <row r="1408" spans="2:2" x14ac:dyDescent="0.25">
      <c r="B1408" s="39"/>
    </row>
    <row r="1409" spans="2:2" x14ac:dyDescent="0.25">
      <c r="B1409" s="39"/>
    </row>
    <row r="1410" spans="2:2" x14ac:dyDescent="0.25">
      <c r="B1410" s="39"/>
    </row>
    <row r="1411" spans="2:2" x14ac:dyDescent="0.25">
      <c r="B1411" s="39"/>
    </row>
    <row r="1412" spans="2:2" x14ac:dyDescent="0.25">
      <c r="B1412" s="39"/>
    </row>
    <row r="1413" spans="2:2" x14ac:dyDescent="0.25">
      <c r="B1413" s="39"/>
    </row>
    <row r="1414" spans="2:2" x14ac:dyDescent="0.25">
      <c r="B1414" s="39"/>
    </row>
    <row r="1415" spans="2:2" x14ac:dyDescent="0.25">
      <c r="B1415" s="39"/>
    </row>
    <row r="1416" spans="2:2" x14ac:dyDescent="0.25">
      <c r="B1416" s="39"/>
    </row>
    <row r="1417" spans="2:2" x14ac:dyDescent="0.25">
      <c r="B1417" s="39"/>
    </row>
    <row r="1418" spans="2:2" x14ac:dyDescent="0.25">
      <c r="B1418" s="39"/>
    </row>
    <row r="1419" spans="2:2" x14ac:dyDescent="0.25">
      <c r="B1419" s="39"/>
    </row>
    <row r="1420" spans="2:2" x14ac:dyDescent="0.25">
      <c r="B1420" s="39"/>
    </row>
    <row r="1421" spans="2:2" x14ac:dyDescent="0.25">
      <c r="B1421" s="39"/>
    </row>
    <row r="1422" spans="2:2" x14ac:dyDescent="0.25">
      <c r="B1422" s="39"/>
    </row>
    <row r="1423" spans="2:2" x14ac:dyDescent="0.25">
      <c r="B1423" s="39"/>
    </row>
    <row r="1424" spans="2:2" x14ac:dyDescent="0.25">
      <c r="B1424" s="39"/>
    </row>
    <row r="1425" spans="2:2" x14ac:dyDescent="0.25">
      <c r="B1425" s="39"/>
    </row>
    <row r="1426" spans="2:2" x14ac:dyDescent="0.25">
      <c r="B1426" s="39"/>
    </row>
    <row r="1427" spans="2:2" x14ac:dyDescent="0.25">
      <c r="B1427" s="39"/>
    </row>
    <row r="1428" spans="2:2" x14ac:dyDescent="0.25">
      <c r="B1428" s="39"/>
    </row>
    <row r="1429" spans="2:2" x14ac:dyDescent="0.25">
      <c r="B1429" s="39"/>
    </row>
    <row r="1430" spans="2:2" x14ac:dyDescent="0.25">
      <c r="B1430" s="39"/>
    </row>
    <row r="1431" spans="2:2" x14ac:dyDescent="0.25">
      <c r="B1431" s="39"/>
    </row>
    <row r="1432" spans="2:2" x14ac:dyDescent="0.25">
      <c r="B1432" s="39"/>
    </row>
    <row r="1433" spans="2:2" x14ac:dyDescent="0.25">
      <c r="B1433" s="39"/>
    </row>
    <row r="1434" spans="2:2" x14ac:dyDescent="0.25">
      <c r="B1434" s="39"/>
    </row>
    <row r="1435" spans="2:2" x14ac:dyDescent="0.25">
      <c r="B1435" s="39"/>
    </row>
    <row r="1436" spans="2:2" x14ac:dyDescent="0.25">
      <c r="B1436" s="39"/>
    </row>
    <row r="1437" spans="2:2" x14ac:dyDescent="0.25">
      <c r="B1437" s="39"/>
    </row>
    <row r="1438" spans="2:2" x14ac:dyDescent="0.25">
      <c r="B1438" s="39"/>
    </row>
    <row r="1439" spans="2:2" x14ac:dyDescent="0.25">
      <c r="B1439" s="39"/>
    </row>
    <row r="1440" spans="2:2" x14ac:dyDescent="0.25">
      <c r="B1440" s="39"/>
    </row>
    <row r="1441" spans="2:2" x14ac:dyDescent="0.25">
      <c r="B1441" s="39"/>
    </row>
    <row r="1442" spans="2:2" x14ac:dyDescent="0.25">
      <c r="B1442" s="39"/>
    </row>
    <row r="1443" spans="2:2" x14ac:dyDescent="0.25">
      <c r="B1443" s="39"/>
    </row>
    <row r="1444" spans="2:2" x14ac:dyDescent="0.25">
      <c r="B1444" s="39"/>
    </row>
    <row r="1445" spans="2:2" x14ac:dyDescent="0.25">
      <c r="B1445" s="39"/>
    </row>
    <row r="1446" spans="2:2" x14ac:dyDescent="0.25">
      <c r="B1446" s="39"/>
    </row>
    <row r="1447" spans="2:2" x14ac:dyDescent="0.25">
      <c r="B1447" s="39"/>
    </row>
    <row r="1448" spans="2:2" x14ac:dyDescent="0.25">
      <c r="B1448" s="39"/>
    </row>
    <row r="1449" spans="2:2" x14ac:dyDescent="0.25">
      <c r="B1449" s="39"/>
    </row>
    <row r="1450" spans="2:2" x14ac:dyDescent="0.25">
      <c r="B1450" s="39"/>
    </row>
    <row r="1451" spans="2:2" x14ac:dyDescent="0.25">
      <c r="B1451" s="39"/>
    </row>
    <row r="1452" spans="2:2" x14ac:dyDescent="0.25">
      <c r="B1452" s="39"/>
    </row>
    <row r="1453" spans="2:2" x14ac:dyDescent="0.25">
      <c r="B1453" s="39"/>
    </row>
    <row r="1454" spans="2:2" x14ac:dyDescent="0.25">
      <c r="B1454" s="39"/>
    </row>
    <row r="1455" spans="2:2" x14ac:dyDescent="0.25">
      <c r="B1455" s="39"/>
    </row>
    <row r="1456" spans="2:2" x14ac:dyDescent="0.25">
      <c r="B1456" s="39"/>
    </row>
    <row r="1457" spans="2:2" x14ac:dyDescent="0.25">
      <c r="B1457" s="39"/>
    </row>
    <row r="1458" spans="2:2" x14ac:dyDescent="0.25">
      <c r="B1458" s="39"/>
    </row>
    <row r="1459" spans="2:2" x14ac:dyDescent="0.25">
      <c r="B1459" s="39"/>
    </row>
    <row r="1460" spans="2:2" x14ac:dyDescent="0.25">
      <c r="B1460" s="39"/>
    </row>
    <row r="1461" spans="2:2" x14ac:dyDescent="0.25">
      <c r="B1461" s="39"/>
    </row>
    <row r="1462" spans="2:2" x14ac:dyDescent="0.25">
      <c r="B1462" s="39"/>
    </row>
    <row r="1463" spans="2:2" x14ac:dyDescent="0.25">
      <c r="B1463" s="39"/>
    </row>
    <row r="1464" spans="2:2" x14ac:dyDescent="0.25">
      <c r="B1464" s="39"/>
    </row>
    <row r="1465" spans="2:2" x14ac:dyDescent="0.25">
      <c r="B1465" s="39"/>
    </row>
    <row r="1466" spans="2:2" x14ac:dyDescent="0.25">
      <c r="B1466" s="39"/>
    </row>
    <row r="1467" spans="2:2" x14ac:dyDescent="0.25">
      <c r="B1467" s="39"/>
    </row>
    <row r="1468" spans="2:2" x14ac:dyDescent="0.25">
      <c r="B1468" s="39"/>
    </row>
    <row r="1469" spans="2:2" x14ac:dyDescent="0.25">
      <c r="B1469" s="39"/>
    </row>
    <row r="1470" spans="2:2" x14ac:dyDescent="0.25">
      <c r="B1470" s="39"/>
    </row>
    <row r="1471" spans="2:2" x14ac:dyDescent="0.25">
      <c r="B1471" s="39"/>
    </row>
    <row r="1472" spans="2:2" x14ac:dyDescent="0.25">
      <c r="B1472" s="39"/>
    </row>
    <row r="1473" spans="2:2" x14ac:dyDescent="0.25">
      <c r="B1473" s="39"/>
    </row>
    <row r="1474" spans="2:2" x14ac:dyDescent="0.25">
      <c r="B1474" s="39"/>
    </row>
    <row r="1475" spans="2:2" x14ac:dyDescent="0.25">
      <c r="B1475" s="39"/>
    </row>
    <row r="1476" spans="2:2" x14ac:dyDescent="0.25">
      <c r="B1476" s="39"/>
    </row>
    <row r="1477" spans="2:2" x14ac:dyDescent="0.25">
      <c r="B1477" s="39"/>
    </row>
    <row r="1478" spans="2:2" x14ac:dyDescent="0.25">
      <c r="B1478" s="39"/>
    </row>
    <row r="1479" spans="2:2" x14ac:dyDescent="0.25">
      <c r="B1479" s="39"/>
    </row>
    <row r="1480" spans="2:2" x14ac:dyDescent="0.25">
      <c r="B1480" s="39"/>
    </row>
    <row r="1481" spans="2:2" x14ac:dyDescent="0.25">
      <c r="B1481" s="39"/>
    </row>
    <row r="1482" spans="2:2" x14ac:dyDescent="0.25">
      <c r="B1482" s="39"/>
    </row>
    <row r="1483" spans="2:2" x14ac:dyDescent="0.25">
      <c r="B1483" s="39"/>
    </row>
    <row r="1484" spans="2:2" x14ac:dyDescent="0.25">
      <c r="B1484" s="39"/>
    </row>
    <row r="1485" spans="2:2" x14ac:dyDescent="0.25">
      <c r="B1485" s="39"/>
    </row>
    <row r="1486" spans="2:2" x14ac:dyDescent="0.25">
      <c r="B1486" s="39"/>
    </row>
    <row r="1487" spans="2:2" x14ac:dyDescent="0.25">
      <c r="B1487" s="39"/>
    </row>
    <row r="1488" spans="2:2" x14ac:dyDescent="0.25">
      <c r="B1488" s="39"/>
    </row>
    <row r="1489" spans="2:2" x14ac:dyDescent="0.25">
      <c r="B1489" s="39"/>
    </row>
    <row r="1490" spans="2:2" x14ac:dyDescent="0.25">
      <c r="B1490" s="39"/>
    </row>
    <row r="1491" spans="2:2" x14ac:dyDescent="0.25">
      <c r="B1491" s="39"/>
    </row>
    <row r="1492" spans="2:2" x14ac:dyDescent="0.25">
      <c r="B1492" s="39"/>
    </row>
    <row r="1493" spans="2:2" x14ac:dyDescent="0.25">
      <c r="B1493" s="39"/>
    </row>
    <row r="1494" spans="2:2" x14ac:dyDescent="0.25">
      <c r="B1494" s="39"/>
    </row>
    <row r="1495" spans="2:2" x14ac:dyDescent="0.25">
      <c r="B1495" s="39"/>
    </row>
    <row r="1496" spans="2:2" x14ac:dyDescent="0.25">
      <c r="B1496" s="39"/>
    </row>
    <row r="1497" spans="2:2" x14ac:dyDescent="0.25">
      <c r="B1497" s="39"/>
    </row>
    <row r="1498" spans="2:2" x14ac:dyDescent="0.25">
      <c r="B1498" s="39"/>
    </row>
    <row r="1499" spans="2:2" x14ac:dyDescent="0.25">
      <c r="B1499" s="39"/>
    </row>
    <row r="1500" spans="2:2" x14ac:dyDescent="0.25">
      <c r="B1500" s="39"/>
    </row>
    <row r="1501" spans="2:2" x14ac:dyDescent="0.25">
      <c r="B1501" s="39"/>
    </row>
    <row r="1502" spans="2:2" x14ac:dyDescent="0.25">
      <c r="B1502" s="39"/>
    </row>
    <row r="1503" spans="2:2" x14ac:dyDescent="0.25">
      <c r="B1503" s="39"/>
    </row>
    <row r="1504" spans="2:2" x14ac:dyDescent="0.25">
      <c r="B1504" s="39"/>
    </row>
    <row r="1505" spans="2:2" x14ac:dyDescent="0.25">
      <c r="B1505" s="39"/>
    </row>
    <row r="1506" spans="2:2" x14ac:dyDescent="0.25">
      <c r="B1506" s="39"/>
    </row>
    <row r="1507" spans="2:2" x14ac:dyDescent="0.25">
      <c r="B1507" s="39"/>
    </row>
    <row r="1508" spans="2:2" x14ac:dyDescent="0.25">
      <c r="B1508" s="39"/>
    </row>
    <row r="1509" spans="2:2" x14ac:dyDescent="0.25">
      <c r="B1509" s="39"/>
    </row>
    <row r="1510" spans="2:2" x14ac:dyDescent="0.25">
      <c r="B1510" s="39"/>
    </row>
    <row r="1511" spans="2:2" x14ac:dyDescent="0.25">
      <c r="B1511" s="39"/>
    </row>
    <row r="1512" spans="2:2" x14ac:dyDescent="0.25">
      <c r="B1512" s="39"/>
    </row>
    <row r="1513" spans="2:2" x14ac:dyDescent="0.25">
      <c r="B1513" s="39"/>
    </row>
    <row r="1514" spans="2:2" x14ac:dyDescent="0.25">
      <c r="B1514" s="39"/>
    </row>
    <row r="1515" spans="2:2" x14ac:dyDescent="0.25">
      <c r="B1515" s="39"/>
    </row>
    <row r="1516" spans="2:2" x14ac:dyDescent="0.25">
      <c r="B1516" s="39"/>
    </row>
    <row r="1517" spans="2:2" x14ac:dyDescent="0.25">
      <c r="B1517" s="39"/>
    </row>
    <row r="1518" spans="2:2" x14ac:dyDescent="0.25">
      <c r="B1518" s="39"/>
    </row>
    <row r="1519" spans="2:2" x14ac:dyDescent="0.25">
      <c r="B1519" s="39"/>
    </row>
    <row r="1520" spans="2:2" x14ac:dyDescent="0.25">
      <c r="B1520" s="39"/>
    </row>
    <row r="1521" spans="2:2" x14ac:dyDescent="0.25">
      <c r="B1521" s="39"/>
    </row>
    <row r="1522" spans="2:2" x14ac:dyDescent="0.25">
      <c r="B1522" s="39"/>
    </row>
    <row r="1523" spans="2:2" x14ac:dyDescent="0.25">
      <c r="B1523" s="39"/>
    </row>
    <row r="1524" spans="2:2" x14ac:dyDescent="0.25">
      <c r="B1524" s="39"/>
    </row>
    <row r="1525" spans="2:2" x14ac:dyDescent="0.25">
      <c r="B1525" s="39"/>
    </row>
    <row r="1526" spans="2:2" x14ac:dyDescent="0.25">
      <c r="B1526" s="39"/>
    </row>
    <row r="1527" spans="2:2" x14ac:dyDescent="0.25">
      <c r="B1527" s="39"/>
    </row>
    <row r="1528" spans="2:2" x14ac:dyDescent="0.25">
      <c r="B1528" s="39"/>
    </row>
    <row r="1529" spans="2:2" x14ac:dyDescent="0.25">
      <c r="B1529" s="39"/>
    </row>
    <row r="1530" spans="2:2" x14ac:dyDescent="0.25">
      <c r="B1530" s="39"/>
    </row>
    <row r="1531" spans="2:2" x14ac:dyDescent="0.25">
      <c r="B1531" s="39"/>
    </row>
    <row r="1532" spans="2:2" x14ac:dyDescent="0.25">
      <c r="B1532" s="39"/>
    </row>
    <row r="1533" spans="2:2" x14ac:dyDescent="0.25">
      <c r="B1533" s="39"/>
    </row>
    <row r="1534" spans="2:2" x14ac:dyDescent="0.25">
      <c r="B1534" s="39"/>
    </row>
    <row r="1535" spans="2:2" x14ac:dyDescent="0.25">
      <c r="B1535" s="39"/>
    </row>
    <row r="1536" spans="2:2" x14ac:dyDescent="0.25">
      <c r="B1536" s="39"/>
    </row>
    <row r="1537" spans="2:2" x14ac:dyDescent="0.25">
      <c r="B1537" s="39"/>
    </row>
    <row r="1538" spans="2:2" x14ac:dyDescent="0.25">
      <c r="B1538" s="39"/>
    </row>
    <row r="1539" spans="2:2" x14ac:dyDescent="0.25">
      <c r="B1539" s="39"/>
    </row>
    <row r="1540" spans="2:2" x14ac:dyDescent="0.25">
      <c r="B1540" s="39"/>
    </row>
    <row r="1541" spans="2:2" x14ac:dyDescent="0.25">
      <c r="B1541" s="39"/>
    </row>
    <row r="1542" spans="2:2" x14ac:dyDescent="0.25">
      <c r="B1542" s="39"/>
    </row>
    <row r="1543" spans="2:2" x14ac:dyDescent="0.25">
      <c r="B1543" s="39"/>
    </row>
    <row r="1544" spans="2:2" x14ac:dyDescent="0.25">
      <c r="B1544" s="39"/>
    </row>
    <row r="1545" spans="2:2" x14ac:dyDescent="0.25">
      <c r="B1545" s="39"/>
    </row>
    <row r="1546" spans="2:2" x14ac:dyDescent="0.25">
      <c r="B1546" s="39"/>
    </row>
    <row r="1547" spans="2:2" x14ac:dyDescent="0.25">
      <c r="B1547" s="39"/>
    </row>
    <row r="1548" spans="2:2" x14ac:dyDescent="0.25">
      <c r="B1548" s="39"/>
    </row>
    <row r="1549" spans="2:2" x14ac:dyDescent="0.25">
      <c r="B1549" s="39"/>
    </row>
    <row r="1550" spans="2:2" x14ac:dyDescent="0.25">
      <c r="B1550" s="39"/>
    </row>
    <row r="1551" spans="2:2" x14ac:dyDescent="0.25">
      <c r="B1551" s="39"/>
    </row>
    <row r="1552" spans="2:2" x14ac:dyDescent="0.25">
      <c r="B1552" s="39"/>
    </row>
    <row r="1553" spans="2:2" x14ac:dyDescent="0.25">
      <c r="B1553" s="39"/>
    </row>
    <row r="1554" spans="2:2" x14ac:dyDescent="0.25">
      <c r="B1554" s="39"/>
    </row>
    <row r="1555" spans="2:2" x14ac:dyDescent="0.25">
      <c r="B1555" s="39"/>
    </row>
    <row r="1556" spans="2:2" x14ac:dyDescent="0.25">
      <c r="B1556" s="39"/>
    </row>
    <row r="1557" spans="2:2" x14ac:dyDescent="0.25">
      <c r="B1557" s="39"/>
    </row>
    <row r="1558" spans="2:2" x14ac:dyDescent="0.25">
      <c r="B1558" s="39"/>
    </row>
    <row r="1559" spans="2:2" x14ac:dyDescent="0.25">
      <c r="B1559" s="39"/>
    </row>
    <row r="1560" spans="2:2" x14ac:dyDescent="0.25">
      <c r="B1560" s="39"/>
    </row>
    <row r="1561" spans="2:2" x14ac:dyDescent="0.25">
      <c r="B1561" s="39"/>
    </row>
    <row r="1562" spans="2:2" x14ac:dyDescent="0.25">
      <c r="B1562" s="39"/>
    </row>
    <row r="1563" spans="2:2" x14ac:dyDescent="0.25">
      <c r="B1563" s="39"/>
    </row>
    <row r="1564" spans="2:2" x14ac:dyDescent="0.25">
      <c r="B1564" s="39"/>
    </row>
    <row r="1565" spans="2:2" x14ac:dyDescent="0.25">
      <c r="B1565" s="39"/>
    </row>
    <row r="1566" spans="2:2" x14ac:dyDescent="0.25">
      <c r="B1566" s="39"/>
    </row>
    <row r="1567" spans="2:2" x14ac:dyDescent="0.25">
      <c r="B1567" s="39"/>
    </row>
    <row r="1568" spans="2:2" x14ac:dyDescent="0.25">
      <c r="B1568" s="39"/>
    </row>
    <row r="1569" spans="2:2" x14ac:dyDescent="0.25">
      <c r="B1569" s="39"/>
    </row>
    <row r="1570" spans="2:2" x14ac:dyDescent="0.25">
      <c r="B1570" s="39"/>
    </row>
    <row r="1571" spans="2:2" x14ac:dyDescent="0.25">
      <c r="B1571" s="39"/>
    </row>
    <row r="1572" spans="2:2" x14ac:dyDescent="0.25">
      <c r="B1572" s="39"/>
    </row>
    <row r="1573" spans="2:2" x14ac:dyDescent="0.25">
      <c r="B1573" s="39"/>
    </row>
    <row r="1574" spans="2:2" x14ac:dyDescent="0.25">
      <c r="B1574" s="39"/>
    </row>
    <row r="1575" spans="2:2" x14ac:dyDescent="0.25">
      <c r="B1575" s="39"/>
    </row>
    <row r="1576" spans="2:2" x14ac:dyDescent="0.25">
      <c r="B1576" s="39"/>
    </row>
    <row r="1577" spans="2:2" x14ac:dyDescent="0.25">
      <c r="B1577" s="39"/>
    </row>
    <row r="1578" spans="2:2" x14ac:dyDescent="0.25">
      <c r="B1578" s="39"/>
    </row>
    <row r="1579" spans="2:2" x14ac:dyDescent="0.25">
      <c r="B1579" s="39"/>
    </row>
    <row r="1580" spans="2:2" x14ac:dyDescent="0.25">
      <c r="B1580" s="39"/>
    </row>
    <row r="1581" spans="2:2" x14ac:dyDescent="0.25">
      <c r="B1581" s="39"/>
    </row>
    <row r="1582" spans="2:2" x14ac:dyDescent="0.25">
      <c r="B1582" s="39"/>
    </row>
    <row r="1583" spans="2:2" x14ac:dyDescent="0.25">
      <c r="B1583" s="39"/>
    </row>
    <row r="1584" spans="2:2" x14ac:dyDescent="0.25">
      <c r="B1584" s="39"/>
    </row>
    <row r="1585" spans="2:2" x14ac:dyDescent="0.25">
      <c r="B1585" s="39"/>
    </row>
    <row r="1586" spans="2:2" x14ac:dyDescent="0.25">
      <c r="B1586" s="39"/>
    </row>
    <row r="1587" spans="2:2" x14ac:dyDescent="0.25">
      <c r="B1587" s="39"/>
    </row>
    <row r="1588" spans="2:2" x14ac:dyDescent="0.25">
      <c r="B1588" s="39"/>
    </row>
    <row r="1589" spans="2:2" x14ac:dyDescent="0.25">
      <c r="B1589" s="39"/>
    </row>
    <row r="1590" spans="2:2" x14ac:dyDescent="0.25">
      <c r="B1590" s="39"/>
    </row>
    <row r="1591" spans="2:2" x14ac:dyDescent="0.25">
      <c r="B1591" s="39"/>
    </row>
    <row r="1592" spans="2:2" x14ac:dyDescent="0.25">
      <c r="B1592" s="39"/>
    </row>
    <row r="1593" spans="2:2" x14ac:dyDescent="0.25">
      <c r="B1593" s="39"/>
    </row>
    <row r="1594" spans="2:2" x14ac:dyDescent="0.25">
      <c r="B1594" s="39"/>
    </row>
    <row r="1595" spans="2:2" x14ac:dyDescent="0.25">
      <c r="B1595" s="39"/>
    </row>
    <row r="1596" spans="2:2" x14ac:dyDescent="0.25">
      <c r="B1596" s="39"/>
    </row>
    <row r="1597" spans="2:2" x14ac:dyDescent="0.25">
      <c r="B1597" s="39"/>
    </row>
    <row r="1598" spans="2:2" x14ac:dyDescent="0.25">
      <c r="B1598" s="39"/>
    </row>
    <row r="1599" spans="2:2" x14ac:dyDescent="0.25">
      <c r="B1599" s="39"/>
    </row>
    <row r="1600" spans="2:2" x14ac:dyDescent="0.25">
      <c r="B1600" s="39"/>
    </row>
    <row r="1601" spans="2:2" x14ac:dyDescent="0.25">
      <c r="B1601" s="39"/>
    </row>
    <row r="1602" spans="2:2" x14ac:dyDescent="0.25">
      <c r="B1602" s="39"/>
    </row>
    <row r="1603" spans="2:2" x14ac:dyDescent="0.25">
      <c r="B1603" s="39"/>
    </row>
    <row r="1604" spans="2:2" x14ac:dyDescent="0.25">
      <c r="B1604" s="39"/>
    </row>
    <row r="1605" spans="2:2" x14ac:dyDescent="0.25">
      <c r="B1605" s="39"/>
    </row>
    <row r="1606" spans="2:2" x14ac:dyDescent="0.25">
      <c r="B1606" s="39"/>
    </row>
    <row r="1607" spans="2:2" x14ac:dyDescent="0.25">
      <c r="B1607" s="39"/>
    </row>
    <row r="1608" spans="2:2" x14ac:dyDescent="0.25">
      <c r="B1608" s="39"/>
    </row>
    <row r="1609" spans="2:2" x14ac:dyDescent="0.25">
      <c r="B1609" s="39"/>
    </row>
    <row r="1610" spans="2:2" x14ac:dyDescent="0.25">
      <c r="B1610" s="39"/>
    </row>
    <row r="1611" spans="2:2" x14ac:dyDescent="0.25">
      <c r="B1611" s="39"/>
    </row>
    <row r="1612" spans="2:2" x14ac:dyDescent="0.25">
      <c r="B1612" s="39"/>
    </row>
    <row r="1613" spans="2:2" x14ac:dyDescent="0.25">
      <c r="B1613" s="39"/>
    </row>
    <row r="1614" spans="2:2" x14ac:dyDescent="0.25">
      <c r="B1614" s="39"/>
    </row>
    <row r="1615" spans="2:2" x14ac:dyDescent="0.25">
      <c r="B1615" s="39"/>
    </row>
    <row r="1616" spans="2:2" x14ac:dyDescent="0.25">
      <c r="B1616" s="39"/>
    </row>
    <row r="1617" spans="2:2" x14ac:dyDescent="0.25">
      <c r="B1617" s="39"/>
    </row>
    <row r="1618" spans="2:2" x14ac:dyDescent="0.25">
      <c r="B1618" s="39"/>
    </row>
    <row r="1619" spans="2:2" x14ac:dyDescent="0.25">
      <c r="B1619" s="39"/>
    </row>
    <row r="1620" spans="2:2" x14ac:dyDescent="0.25">
      <c r="B1620" s="39"/>
    </row>
    <row r="1621" spans="2:2" x14ac:dyDescent="0.25">
      <c r="B1621" s="39"/>
    </row>
    <row r="1622" spans="2:2" x14ac:dyDescent="0.25">
      <c r="B1622" s="39"/>
    </row>
    <row r="1623" spans="2:2" x14ac:dyDescent="0.25">
      <c r="B1623" s="39"/>
    </row>
    <row r="1624" spans="2:2" x14ac:dyDescent="0.25">
      <c r="B1624" s="39"/>
    </row>
    <row r="1625" spans="2:2" x14ac:dyDescent="0.25">
      <c r="B1625" s="39"/>
    </row>
    <row r="1626" spans="2:2" x14ac:dyDescent="0.25">
      <c r="B1626" s="39"/>
    </row>
    <row r="1627" spans="2:2" x14ac:dyDescent="0.25">
      <c r="B1627" s="39"/>
    </row>
    <row r="1628" spans="2:2" x14ac:dyDescent="0.25">
      <c r="B1628" s="39"/>
    </row>
    <row r="1629" spans="2:2" x14ac:dyDescent="0.25">
      <c r="B1629" s="39"/>
    </row>
    <row r="1630" spans="2:2" x14ac:dyDescent="0.25">
      <c r="B1630" s="39"/>
    </row>
    <row r="1631" spans="2:2" x14ac:dyDescent="0.25">
      <c r="B1631" s="39"/>
    </row>
    <row r="1632" spans="2:2" x14ac:dyDescent="0.25">
      <c r="B1632" s="39"/>
    </row>
    <row r="1633" spans="2:2" x14ac:dyDescent="0.25">
      <c r="B1633" s="39"/>
    </row>
    <row r="1634" spans="2:2" x14ac:dyDescent="0.25">
      <c r="B1634" s="39"/>
    </row>
    <row r="1635" spans="2:2" x14ac:dyDescent="0.25">
      <c r="B1635" s="39"/>
    </row>
    <row r="1636" spans="2:2" x14ac:dyDescent="0.25">
      <c r="B1636" s="39"/>
    </row>
    <row r="1637" spans="2:2" x14ac:dyDescent="0.25">
      <c r="B1637" s="39"/>
    </row>
    <row r="1638" spans="2:2" x14ac:dyDescent="0.25">
      <c r="B1638" s="39"/>
    </row>
    <row r="1639" spans="2:2" x14ac:dyDescent="0.25">
      <c r="B1639" s="39"/>
    </row>
    <row r="1640" spans="2:2" x14ac:dyDescent="0.25">
      <c r="B1640" s="39"/>
    </row>
    <row r="1641" spans="2:2" x14ac:dyDescent="0.25">
      <c r="B1641" s="39"/>
    </row>
    <row r="1642" spans="2:2" x14ac:dyDescent="0.25">
      <c r="B1642" s="39"/>
    </row>
    <row r="1643" spans="2:2" x14ac:dyDescent="0.25">
      <c r="B1643" s="39"/>
    </row>
    <row r="1644" spans="2:2" x14ac:dyDescent="0.25">
      <c r="B1644" s="39"/>
    </row>
    <row r="1645" spans="2:2" x14ac:dyDescent="0.25">
      <c r="B1645" s="39"/>
    </row>
    <row r="1646" spans="2:2" x14ac:dyDescent="0.25">
      <c r="B1646" s="39"/>
    </row>
    <row r="1647" spans="2:2" x14ac:dyDescent="0.25">
      <c r="B1647" s="39"/>
    </row>
    <row r="1648" spans="2:2" x14ac:dyDescent="0.25">
      <c r="B1648" s="39"/>
    </row>
    <row r="1649" spans="2:2" x14ac:dyDescent="0.25">
      <c r="B1649" s="39"/>
    </row>
    <row r="1650" spans="2:2" x14ac:dyDescent="0.25">
      <c r="B1650" s="39"/>
    </row>
    <row r="1651" spans="2:2" x14ac:dyDescent="0.25">
      <c r="B1651" s="39"/>
    </row>
    <row r="1652" spans="2:2" x14ac:dyDescent="0.25">
      <c r="B1652" s="39"/>
    </row>
    <row r="1653" spans="2:2" x14ac:dyDescent="0.25">
      <c r="B1653" s="39"/>
    </row>
    <row r="1654" spans="2:2" x14ac:dyDescent="0.25">
      <c r="B1654" s="39"/>
    </row>
    <row r="1655" spans="2:2" x14ac:dyDescent="0.25">
      <c r="B1655" s="39"/>
    </row>
    <row r="1656" spans="2:2" x14ac:dyDescent="0.25">
      <c r="B1656" s="39"/>
    </row>
    <row r="1657" spans="2:2" x14ac:dyDescent="0.25">
      <c r="B1657" s="39"/>
    </row>
    <row r="1658" spans="2:2" x14ac:dyDescent="0.25">
      <c r="B1658" s="39"/>
    </row>
    <row r="1659" spans="2:2" x14ac:dyDescent="0.25">
      <c r="B1659" s="39"/>
    </row>
    <row r="1660" spans="2:2" x14ac:dyDescent="0.25">
      <c r="B1660" s="39"/>
    </row>
    <row r="1661" spans="2:2" x14ac:dyDescent="0.25">
      <c r="B1661" s="39"/>
    </row>
    <row r="1662" spans="2:2" x14ac:dyDescent="0.25">
      <c r="B1662" s="39"/>
    </row>
    <row r="1663" spans="2:2" x14ac:dyDescent="0.25">
      <c r="B1663" s="39"/>
    </row>
    <row r="1664" spans="2:2" x14ac:dyDescent="0.25">
      <c r="B1664" s="39"/>
    </row>
    <row r="1665" spans="2:2" x14ac:dyDescent="0.25">
      <c r="B1665" s="39"/>
    </row>
    <row r="1666" spans="2:2" x14ac:dyDescent="0.25">
      <c r="B1666" s="39"/>
    </row>
    <row r="1667" spans="2:2" x14ac:dyDescent="0.25">
      <c r="B1667" s="39"/>
    </row>
    <row r="1668" spans="2:2" x14ac:dyDescent="0.25">
      <c r="B1668" s="39"/>
    </row>
    <row r="1669" spans="2:2" x14ac:dyDescent="0.25">
      <c r="B1669" s="39"/>
    </row>
    <row r="1670" spans="2:2" x14ac:dyDescent="0.25">
      <c r="B1670" s="39"/>
    </row>
    <row r="1671" spans="2:2" x14ac:dyDescent="0.25">
      <c r="B1671" s="39"/>
    </row>
    <row r="1672" spans="2:2" x14ac:dyDescent="0.25">
      <c r="B1672" s="39"/>
    </row>
    <row r="1673" spans="2:2" x14ac:dyDescent="0.25">
      <c r="B1673" s="39"/>
    </row>
    <row r="1674" spans="2:2" x14ac:dyDescent="0.25">
      <c r="B1674" s="39"/>
    </row>
    <row r="1675" spans="2:2" x14ac:dyDescent="0.25">
      <c r="B1675" s="39"/>
    </row>
    <row r="1676" spans="2:2" x14ac:dyDescent="0.25">
      <c r="B1676" s="39"/>
    </row>
    <row r="1677" spans="2:2" x14ac:dyDescent="0.25">
      <c r="B1677" s="39"/>
    </row>
    <row r="1678" spans="2:2" x14ac:dyDescent="0.25">
      <c r="B1678" s="39"/>
    </row>
    <row r="1679" spans="2:2" x14ac:dyDescent="0.25">
      <c r="B1679" s="39"/>
    </row>
    <row r="1680" spans="2:2" x14ac:dyDescent="0.25">
      <c r="B1680" s="39"/>
    </row>
    <row r="1681" spans="2:2" x14ac:dyDescent="0.25">
      <c r="B1681" s="39"/>
    </row>
    <row r="1682" spans="2:2" x14ac:dyDescent="0.25">
      <c r="B1682" s="39"/>
    </row>
    <row r="1683" spans="2:2" x14ac:dyDescent="0.25">
      <c r="B1683" s="39"/>
    </row>
    <row r="1684" spans="2:2" x14ac:dyDescent="0.25">
      <c r="B1684" s="39"/>
    </row>
    <row r="1685" spans="2:2" x14ac:dyDescent="0.25">
      <c r="B1685" s="39"/>
    </row>
    <row r="1686" spans="2:2" x14ac:dyDescent="0.25">
      <c r="B1686" s="39"/>
    </row>
    <row r="1687" spans="2:2" x14ac:dyDescent="0.25">
      <c r="B1687" s="39"/>
    </row>
    <row r="1688" spans="2:2" x14ac:dyDescent="0.25">
      <c r="B1688" s="39"/>
    </row>
    <row r="1689" spans="2:2" x14ac:dyDescent="0.25">
      <c r="B1689" s="39"/>
    </row>
    <row r="1690" spans="2:2" x14ac:dyDescent="0.25">
      <c r="B1690" s="39"/>
    </row>
    <row r="1691" spans="2:2" x14ac:dyDescent="0.25">
      <c r="B1691" s="39"/>
    </row>
    <row r="1692" spans="2:2" x14ac:dyDescent="0.25">
      <c r="B1692" s="39"/>
    </row>
    <row r="1693" spans="2:2" x14ac:dyDescent="0.25">
      <c r="B1693" s="39"/>
    </row>
    <row r="1694" spans="2:2" x14ac:dyDescent="0.25">
      <c r="B1694" s="39"/>
    </row>
    <row r="1695" spans="2:2" x14ac:dyDescent="0.25">
      <c r="B1695" s="39"/>
    </row>
    <row r="1696" spans="2:2" x14ac:dyDescent="0.25">
      <c r="B1696" s="39"/>
    </row>
    <row r="1697" spans="2:2" x14ac:dyDescent="0.25">
      <c r="B1697" s="39"/>
    </row>
    <row r="1698" spans="2:2" x14ac:dyDescent="0.25">
      <c r="B1698" s="39"/>
    </row>
    <row r="1699" spans="2:2" x14ac:dyDescent="0.25">
      <c r="B1699" s="39"/>
    </row>
    <row r="1700" spans="2:2" x14ac:dyDescent="0.25">
      <c r="B1700" s="39"/>
    </row>
    <row r="1701" spans="2:2" x14ac:dyDescent="0.25">
      <c r="B1701" s="39"/>
    </row>
    <row r="1702" spans="2:2" x14ac:dyDescent="0.25">
      <c r="B1702" s="39"/>
    </row>
    <row r="1703" spans="2:2" x14ac:dyDescent="0.25">
      <c r="B1703" s="39"/>
    </row>
    <row r="1704" spans="2:2" x14ac:dyDescent="0.25">
      <c r="B1704" s="39"/>
    </row>
    <row r="1705" spans="2:2" x14ac:dyDescent="0.25">
      <c r="B1705" s="39"/>
    </row>
    <row r="1706" spans="2:2" x14ac:dyDescent="0.25">
      <c r="B1706" s="39"/>
    </row>
    <row r="1707" spans="2:2" x14ac:dyDescent="0.25">
      <c r="B1707" s="39"/>
    </row>
    <row r="1708" spans="2:2" x14ac:dyDescent="0.25">
      <c r="B1708" s="39"/>
    </row>
    <row r="1709" spans="2:2" x14ac:dyDescent="0.25">
      <c r="B1709" s="39"/>
    </row>
    <row r="1710" spans="2:2" x14ac:dyDescent="0.25">
      <c r="B1710" s="39"/>
    </row>
    <row r="1711" spans="2:2" x14ac:dyDescent="0.25">
      <c r="B1711" s="39"/>
    </row>
    <row r="1712" spans="2:2" x14ac:dyDescent="0.25">
      <c r="B1712" s="39"/>
    </row>
    <row r="1713" spans="2:2" x14ac:dyDescent="0.25">
      <c r="B1713" s="39"/>
    </row>
    <row r="1714" spans="2:2" x14ac:dyDescent="0.25">
      <c r="B1714" s="39"/>
    </row>
    <row r="1715" spans="2:2" x14ac:dyDescent="0.25">
      <c r="B1715" s="39"/>
    </row>
    <row r="1716" spans="2:2" x14ac:dyDescent="0.25">
      <c r="B1716" s="39"/>
    </row>
    <row r="1717" spans="2:2" x14ac:dyDescent="0.25">
      <c r="B1717" s="39"/>
    </row>
    <row r="1718" spans="2:2" x14ac:dyDescent="0.25">
      <c r="B1718" s="39"/>
    </row>
    <row r="1719" spans="2:2" x14ac:dyDescent="0.25">
      <c r="B1719" s="39"/>
    </row>
    <row r="1720" spans="2:2" x14ac:dyDescent="0.25">
      <c r="B1720" s="39"/>
    </row>
    <row r="1721" spans="2:2" x14ac:dyDescent="0.25">
      <c r="B1721" s="39"/>
    </row>
    <row r="1722" spans="2:2" x14ac:dyDescent="0.25">
      <c r="B1722" s="39"/>
    </row>
    <row r="1723" spans="2:2" x14ac:dyDescent="0.25">
      <c r="B1723" s="39"/>
    </row>
    <row r="1724" spans="2:2" x14ac:dyDescent="0.25">
      <c r="B1724" s="39"/>
    </row>
    <row r="1725" spans="2:2" x14ac:dyDescent="0.25">
      <c r="B1725" s="39"/>
    </row>
    <row r="1726" spans="2:2" x14ac:dyDescent="0.25">
      <c r="B1726" s="39"/>
    </row>
    <row r="1727" spans="2:2" x14ac:dyDescent="0.25">
      <c r="B1727" s="39"/>
    </row>
    <row r="1728" spans="2:2" x14ac:dyDescent="0.25">
      <c r="B1728" s="39"/>
    </row>
    <row r="1729" spans="2:2" x14ac:dyDescent="0.25">
      <c r="B1729" s="39"/>
    </row>
    <row r="1730" spans="2:2" x14ac:dyDescent="0.25">
      <c r="B1730" s="39"/>
    </row>
    <row r="1731" spans="2:2" x14ac:dyDescent="0.25">
      <c r="B1731" s="39"/>
    </row>
    <row r="1732" spans="2:2" x14ac:dyDescent="0.25">
      <c r="B1732" s="39"/>
    </row>
    <row r="1733" spans="2:2" x14ac:dyDescent="0.25">
      <c r="B1733" s="39"/>
    </row>
    <row r="1734" spans="2:2" x14ac:dyDescent="0.25">
      <c r="B1734" s="39"/>
    </row>
    <row r="1735" spans="2:2" x14ac:dyDescent="0.25">
      <c r="B1735" s="39"/>
    </row>
    <row r="1736" spans="2:2" x14ac:dyDescent="0.25">
      <c r="B1736" s="39"/>
    </row>
    <row r="1737" spans="2:2" x14ac:dyDescent="0.25">
      <c r="B1737" s="39"/>
    </row>
    <row r="1738" spans="2:2" x14ac:dyDescent="0.25">
      <c r="B1738" s="39"/>
    </row>
    <row r="1739" spans="2:2" x14ac:dyDescent="0.25">
      <c r="B1739" s="39"/>
    </row>
    <row r="1740" spans="2:2" x14ac:dyDescent="0.25">
      <c r="B1740" s="39"/>
    </row>
    <row r="1741" spans="2:2" x14ac:dyDescent="0.25">
      <c r="B1741" s="39"/>
    </row>
    <row r="1742" spans="2:2" x14ac:dyDescent="0.25">
      <c r="B1742" s="39"/>
    </row>
    <row r="1743" spans="2:2" x14ac:dyDescent="0.25">
      <c r="B1743" s="39"/>
    </row>
    <row r="1744" spans="2:2" x14ac:dyDescent="0.25">
      <c r="B1744" s="39"/>
    </row>
    <row r="1745" spans="2:2" x14ac:dyDescent="0.25">
      <c r="B1745" s="39"/>
    </row>
    <row r="1746" spans="2:2" x14ac:dyDescent="0.25">
      <c r="B1746" s="39"/>
    </row>
    <row r="1747" spans="2:2" x14ac:dyDescent="0.25">
      <c r="B1747" s="39"/>
    </row>
    <row r="1748" spans="2:2" x14ac:dyDescent="0.25">
      <c r="B1748" s="39"/>
    </row>
    <row r="1749" spans="2:2" x14ac:dyDescent="0.25">
      <c r="B1749" s="39"/>
    </row>
    <row r="1750" spans="2:2" x14ac:dyDescent="0.25">
      <c r="B1750" s="39"/>
    </row>
    <row r="1751" spans="2:2" x14ac:dyDescent="0.25">
      <c r="B1751" s="39"/>
    </row>
    <row r="1752" spans="2:2" x14ac:dyDescent="0.25">
      <c r="B1752" s="39"/>
    </row>
    <row r="1753" spans="2:2" x14ac:dyDescent="0.25">
      <c r="B1753" s="39"/>
    </row>
    <row r="1754" spans="2:2" x14ac:dyDescent="0.25">
      <c r="B1754" s="39"/>
    </row>
    <row r="1755" spans="2:2" x14ac:dyDescent="0.25">
      <c r="B1755" s="39"/>
    </row>
    <row r="1756" spans="2:2" x14ac:dyDescent="0.25">
      <c r="B1756" s="39"/>
    </row>
    <row r="1757" spans="2:2" x14ac:dyDescent="0.25">
      <c r="B1757" s="39"/>
    </row>
    <row r="1758" spans="2:2" x14ac:dyDescent="0.25">
      <c r="B1758" s="39"/>
    </row>
    <row r="1759" spans="2:2" x14ac:dyDescent="0.25">
      <c r="B1759" s="39"/>
    </row>
    <row r="1760" spans="2:2" x14ac:dyDescent="0.25">
      <c r="B1760" s="39"/>
    </row>
    <row r="1761" spans="2:2" x14ac:dyDescent="0.25">
      <c r="B1761" s="39"/>
    </row>
    <row r="1762" spans="2:2" x14ac:dyDescent="0.25">
      <c r="B1762" s="39"/>
    </row>
    <row r="1763" spans="2:2" x14ac:dyDescent="0.25">
      <c r="B1763" s="39"/>
    </row>
    <row r="1764" spans="2:2" x14ac:dyDescent="0.25">
      <c r="B1764" s="39"/>
    </row>
    <row r="1765" spans="2:2" x14ac:dyDescent="0.25">
      <c r="B1765" s="39"/>
    </row>
    <row r="1766" spans="2:2" x14ac:dyDescent="0.25">
      <c r="B1766" s="39"/>
    </row>
    <row r="1767" spans="2:2" x14ac:dyDescent="0.25">
      <c r="B1767" s="39"/>
    </row>
    <row r="1768" spans="2:2" x14ac:dyDescent="0.25">
      <c r="B1768" s="39"/>
    </row>
    <row r="1769" spans="2:2" x14ac:dyDescent="0.25">
      <c r="B1769" s="39"/>
    </row>
    <row r="1770" spans="2:2" x14ac:dyDescent="0.25">
      <c r="B1770" s="39"/>
    </row>
    <row r="1771" spans="2:2" x14ac:dyDescent="0.25">
      <c r="B1771" s="39"/>
    </row>
    <row r="1772" spans="2:2" x14ac:dyDescent="0.25">
      <c r="B1772" s="39"/>
    </row>
    <row r="1773" spans="2:2" x14ac:dyDescent="0.25">
      <c r="B1773" s="39"/>
    </row>
    <row r="1774" spans="2:2" x14ac:dyDescent="0.25">
      <c r="B1774" s="39"/>
    </row>
    <row r="1775" spans="2:2" x14ac:dyDescent="0.25">
      <c r="B1775" s="39"/>
    </row>
    <row r="1776" spans="2:2" x14ac:dyDescent="0.25">
      <c r="B1776" s="39"/>
    </row>
    <row r="1777" spans="2:2" x14ac:dyDescent="0.25">
      <c r="B1777" s="39"/>
    </row>
    <row r="1778" spans="2:2" x14ac:dyDescent="0.25">
      <c r="B1778" s="39"/>
    </row>
    <row r="1779" spans="2:2" x14ac:dyDescent="0.25">
      <c r="B1779" s="39"/>
    </row>
    <row r="1780" spans="2:2" x14ac:dyDescent="0.25">
      <c r="B1780" s="39"/>
    </row>
    <row r="1781" spans="2:2" x14ac:dyDescent="0.25">
      <c r="B1781" s="39"/>
    </row>
    <row r="1782" spans="2:2" x14ac:dyDescent="0.25">
      <c r="B1782" s="39"/>
    </row>
    <row r="1783" spans="2:2" x14ac:dyDescent="0.25">
      <c r="B1783" s="39"/>
    </row>
    <row r="1784" spans="2:2" x14ac:dyDescent="0.25">
      <c r="B1784" s="39"/>
    </row>
    <row r="1785" spans="2:2" x14ac:dyDescent="0.25">
      <c r="B1785" s="39"/>
    </row>
    <row r="1786" spans="2:2" x14ac:dyDescent="0.25">
      <c r="B1786" s="39"/>
    </row>
    <row r="1787" spans="2:2" x14ac:dyDescent="0.25">
      <c r="B1787" s="39"/>
    </row>
    <row r="1788" spans="2:2" x14ac:dyDescent="0.25">
      <c r="B1788" s="39"/>
    </row>
    <row r="1789" spans="2:2" x14ac:dyDescent="0.25">
      <c r="B1789" s="39"/>
    </row>
    <row r="1790" spans="2:2" x14ac:dyDescent="0.25">
      <c r="B1790" s="39"/>
    </row>
    <row r="1791" spans="2:2" x14ac:dyDescent="0.25">
      <c r="B1791" s="39"/>
    </row>
    <row r="1792" spans="2:2" x14ac:dyDescent="0.25">
      <c r="B1792" s="39"/>
    </row>
    <row r="1793" spans="2:2" x14ac:dyDescent="0.25">
      <c r="B1793" s="39"/>
    </row>
    <row r="1794" spans="2:2" x14ac:dyDescent="0.25">
      <c r="B1794" s="39"/>
    </row>
    <row r="1795" spans="2:2" x14ac:dyDescent="0.25">
      <c r="B1795" s="39"/>
    </row>
    <row r="1796" spans="2:2" x14ac:dyDescent="0.25">
      <c r="B1796" s="39"/>
    </row>
    <row r="1797" spans="2:2" x14ac:dyDescent="0.25">
      <c r="B1797" s="39"/>
    </row>
    <row r="1798" spans="2:2" x14ac:dyDescent="0.25">
      <c r="B1798" s="39"/>
    </row>
    <row r="1799" spans="2:2" x14ac:dyDescent="0.25">
      <c r="B1799" s="39"/>
    </row>
    <row r="1800" spans="2:2" x14ac:dyDescent="0.25">
      <c r="B1800" s="39"/>
    </row>
    <row r="1801" spans="2:2" x14ac:dyDescent="0.25">
      <c r="B1801" s="39"/>
    </row>
    <row r="1802" spans="2:2" x14ac:dyDescent="0.25">
      <c r="B1802" s="39"/>
    </row>
    <row r="1803" spans="2:2" x14ac:dyDescent="0.25">
      <c r="B1803" s="39"/>
    </row>
    <row r="1804" spans="2:2" x14ac:dyDescent="0.25">
      <c r="B1804" s="39"/>
    </row>
    <row r="1805" spans="2:2" x14ac:dyDescent="0.25">
      <c r="B1805" s="39"/>
    </row>
    <row r="1806" spans="2:2" x14ac:dyDescent="0.25">
      <c r="B1806" s="39"/>
    </row>
    <row r="1807" spans="2:2" x14ac:dyDescent="0.25">
      <c r="B1807" s="39"/>
    </row>
    <row r="1808" spans="2:2" x14ac:dyDescent="0.25">
      <c r="B1808" s="39"/>
    </row>
    <row r="1809" spans="2:2" x14ac:dyDescent="0.25">
      <c r="B1809" s="39"/>
    </row>
    <row r="1810" spans="2:2" x14ac:dyDescent="0.25">
      <c r="B1810" s="39"/>
    </row>
    <row r="1811" spans="2:2" x14ac:dyDescent="0.25">
      <c r="B1811" s="39"/>
    </row>
    <row r="1812" spans="2:2" x14ac:dyDescent="0.25">
      <c r="B1812" s="39"/>
    </row>
    <row r="1813" spans="2:2" x14ac:dyDescent="0.25">
      <c r="B1813" s="39"/>
    </row>
    <row r="1814" spans="2:2" x14ac:dyDescent="0.25">
      <c r="B1814" s="39"/>
    </row>
    <row r="1815" spans="2:2" x14ac:dyDescent="0.25">
      <c r="B1815" s="39"/>
    </row>
    <row r="1816" spans="2:2" x14ac:dyDescent="0.25">
      <c r="B1816" s="39"/>
    </row>
    <row r="1817" spans="2:2" x14ac:dyDescent="0.25">
      <c r="B1817" s="39"/>
    </row>
    <row r="1818" spans="2:2" x14ac:dyDescent="0.25">
      <c r="B1818" s="39"/>
    </row>
    <row r="1819" spans="2:2" x14ac:dyDescent="0.25">
      <c r="B1819" s="39"/>
    </row>
    <row r="1820" spans="2:2" x14ac:dyDescent="0.25">
      <c r="B1820" s="39"/>
    </row>
    <row r="1821" spans="2:2" x14ac:dyDescent="0.25">
      <c r="B1821" s="39"/>
    </row>
    <row r="1822" spans="2:2" x14ac:dyDescent="0.25">
      <c r="B1822" s="39"/>
    </row>
    <row r="1823" spans="2:2" x14ac:dyDescent="0.25">
      <c r="B1823" s="39"/>
    </row>
    <row r="1824" spans="2:2" x14ac:dyDescent="0.25">
      <c r="B1824" s="39"/>
    </row>
    <row r="1825" spans="2:2" x14ac:dyDescent="0.25">
      <c r="B1825" s="39"/>
    </row>
    <row r="1826" spans="2:2" x14ac:dyDescent="0.25">
      <c r="B1826" s="39"/>
    </row>
    <row r="1827" spans="2:2" x14ac:dyDescent="0.25">
      <c r="B1827" s="39"/>
    </row>
    <row r="1828" spans="2:2" x14ac:dyDescent="0.25">
      <c r="B1828" s="39"/>
    </row>
    <row r="1829" spans="2:2" x14ac:dyDescent="0.25">
      <c r="B1829" s="39"/>
    </row>
    <row r="1830" spans="2:2" x14ac:dyDescent="0.25">
      <c r="B1830" s="39"/>
    </row>
    <row r="1831" spans="2:2" x14ac:dyDescent="0.25">
      <c r="B1831" s="39"/>
    </row>
    <row r="1832" spans="2:2" x14ac:dyDescent="0.25">
      <c r="B1832" s="39"/>
    </row>
    <row r="1833" spans="2:2" x14ac:dyDescent="0.25">
      <c r="B1833" s="39"/>
    </row>
    <row r="1834" spans="2:2" x14ac:dyDescent="0.25">
      <c r="B1834" s="39"/>
    </row>
    <row r="1835" spans="2:2" x14ac:dyDescent="0.25">
      <c r="B1835" s="39"/>
    </row>
    <row r="1836" spans="2:2" x14ac:dyDescent="0.25">
      <c r="B1836" s="39"/>
    </row>
    <row r="1837" spans="2:2" x14ac:dyDescent="0.25">
      <c r="B1837" s="39"/>
    </row>
    <row r="1838" spans="2:2" x14ac:dyDescent="0.25">
      <c r="B1838" s="39"/>
    </row>
    <row r="1839" spans="2:2" x14ac:dyDescent="0.25">
      <c r="B1839" s="39"/>
    </row>
    <row r="1840" spans="2:2" x14ac:dyDescent="0.25">
      <c r="B1840" s="39"/>
    </row>
    <row r="1841" spans="2:2" x14ac:dyDescent="0.25">
      <c r="B1841" s="39"/>
    </row>
    <row r="1842" spans="2:2" x14ac:dyDescent="0.25">
      <c r="B1842" s="39"/>
    </row>
    <row r="1843" spans="2:2" x14ac:dyDescent="0.25">
      <c r="B1843" s="39"/>
    </row>
    <row r="1844" spans="2:2" x14ac:dyDescent="0.25">
      <c r="B1844" s="39"/>
    </row>
    <row r="1845" spans="2:2" x14ac:dyDescent="0.25">
      <c r="B1845" s="39"/>
    </row>
    <row r="1846" spans="2:2" x14ac:dyDescent="0.25">
      <c r="B1846" s="39"/>
    </row>
    <row r="1847" spans="2:2" x14ac:dyDescent="0.25">
      <c r="B1847" s="39"/>
    </row>
    <row r="1848" spans="2:2" x14ac:dyDescent="0.25">
      <c r="B1848" s="39"/>
    </row>
    <row r="1849" spans="2:2" x14ac:dyDescent="0.25">
      <c r="B1849" s="39"/>
    </row>
    <row r="1850" spans="2:2" x14ac:dyDescent="0.25">
      <c r="B1850" s="39"/>
    </row>
    <row r="1851" spans="2:2" x14ac:dyDescent="0.25">
      <c r="B1851" s="39"/>
    </row>
    <row r="1852" spans="2:2" x14ac:dyDescent="0.25">
      <c r="B1852" s="39"/>
    </row>
    <row r="1853" spans="2:2" x14ac:dyDescent="0.25">
      <c r="B1853" s="39"/>
    </row>
    <row r="1854" spans="2:2" x14ac:dyDescent="0.25">
      <c r="B1854" s="39"/>
    </row>
    <row r="1855" spans="2:2" x14ac:dyDescent="0.25">
      <c r="B1855" s="39"/>
    </row>
    <row r="1856" spans="2:2" x14ac:dyDescent="0.25">
      <c r="B1856" s="39"/>
    </row>
    <row r="1857" spans="2:2" x14ac:dyDescent="0.25">
      <c r="B1857" s="39"/>
    </row>
    <row r="1858" spans="2:2" x14ac:dyDescent="0.25">
      <c r="B1858" s="39"/>
    </row>
    <row r="1859" spans="2:2" x14ac:dyDescent="0.25">
      <c r="B1859" s="39"/>
    </row>
    <row r="1860" spans="2:2" x14ac:dyDescent="0.25">
      <c r="B1860" s="39"/>
    </row>
    <row r="1861" spans="2:2" x14ac:dyDescent="0.25">
      <c r="B1861" s="39"/>
    </row>
    <row r="1862" spans="2:2" x14ac:dyDescent="0.25">
      <c r="B1862" s="39"/>
    </row>
    <row r="1863" spans="2:2" x14ac:dyDescent="0.25">
      <c r="B1863" s="39"/>
    </row>
    <row r="1864" spans="2:2" x14ac:dyDescent="0.25">
      <c r="B1864" s="39"/>
    </row>
    <row r="1865" spans="2:2" x14ac:dyDescent="0.25">
      <c r="B1865" s="39"/>
    </row>
    <row r="1866" spans="2:2" x14ac:dyDescent="0.25">
      <c r="B1866" s="39"/>
    </row>
    <row r="1867" spans="2:2" x14ac:dyDescent="0.25">
      <c r="B1867" s="39"/>
    </row>
    <row r="1868" spans="2:2" x14ac:dyDescent="0.25">
      <c r="B1868" s="39"/>
    </row>
    <row r="1869" spans="2:2" x14ac:dyDescent="0.25">
      <c r="B1869" s="39"/>
    </row>
    <row r="1870" spans="2:2" x14ac:dyDescent="0.25">
      <c r="B1870" s="39"/>
    </row>
    <row r="1871" spans="2:2" x14ac:dyDescent="0.25">
      <c r="B1871" s="39"/>
    </row>
    <row r="1872" spans="2:2" x14ac:dyDescent="0.25">
      <c r="B1872" s="39"/>
    </row>
    <row r="1873" spans="2:2" x14ac:dyDescent="0.25">
      <c r="B1873" s="39"/>
    </row>
    <row r="1874" spans="2:2" x14ac:dyDescent="0.25">
      <c r="B1874" s="39"/>
    </row>
    <row r="1875" spans="2:2" x14ac:dyDescent="0.25">
      <c r="B1875" s="39"/>
    </row>
    <row r="1876" spans="2:2" x14ac:dyDescent="0.25">
      <c r="B1876" s="39"/>
    </row>
    <row r="1877" spans="2:2" x14ac:dyDescent="0.25">
      <c r="B1877" s="39"/>
    </row>
    <row r="1878" spans="2:2" x14ac:dyDescent="0.25">
      <c r="B1878" s="39"/>
    </row>
    <row r="1879" spans="2:2" x14ac:dyDescent="0.25">
      <c r="B1879" s="39"/>
    </row>
    <row r="1880" spans="2:2" x14ac:dyDescent="0.25">
      <c r="B1880" s="39"/>
    </row>
    <row r="1881" spans="2:2" x14ac:dyDescent="0.25">
      <c r="B1881" s="39"/>
    </row>
    <row r="1882" spans="2:2" x14ac:dyDescent="0.25">
      <c r="B1882" s="39"/>
    </row>
    <row r="1883" spans="2:2" x14ac:dyDescent="0.25">
      <c r="B1883" s="39"/>
    </row>
    <row r="1884" spans="2:2" x14ac:dyDescent="0.25">
      <c r="B1884" s="39"/>
    </row>
    <row r="1885" spans="2:2" x14ac:dyDescent="0.25">
      <c r="B1885" s="39"/>
    </row>
    <row r="1886" spans="2:2" x14ac:dyDescent="0.25">
      <c r="B1886" s="39"/>
    </row>
    <row r="1887" spans="2:2" x14ac:dyDescent="0.25">
      <c r="B1887" s="39"/>
    </row>
    <row r="1888" spans="2:2" x14ac:dyDescent="0.25">
      <c r="B1888" s="39"/>
    </row>
    <row r="1889" spans="2:2" x14ac:dyDescent="0.25">
      <c r="B1889" s="39"/>
    </row>
    <row r="1890" spans="2:2" x14ac:dyDescent="0.25">
      <c r="B1890" s="39"/>
    </row>
    <row r="1891" spans="2:2" x14ac:dyDescent="0.25">
      <c r="B1891" s="39"/>
    </row>
    <row r="1892" spans="2:2" x14ac:dyDescent="0.25">
      <c r="B1892" s="39"/>
    </row>
    <row r="1893" spans="2:2" x14ac:dyDescent="0.25">
      <c r="B1893" s="39"/>
    </row>
    <row r="1894" spans="2:2" x14ac:dyDescent="0.25">
      <c r="B1894" s="39"/>
    </row>
    <row r="1895" spans="2:2" x14ac:dyDescent="0.25">
      <c r="B1895" s="39"/>
    </row>
    <row r="1896" spans="2:2" x14ac:dyDescent="0.25">
      <c r="B1896" s="39"/>
    </row>
    <row r="1897" spans="2:2" x14ac:dyDescent="0.25">
      <c r="B1897" s="39"/>
    </row>
    <row r="1898" spans="2:2" x14ac:dyDescent="0.25">
      <c r="B1898" s="39"/>
    </row>
    <row r="1899" spans="2:2" x14ac:dyDescent="0.25">
      <c r="B1899" s="39"/>
    </row>
    <row r="1900" spans="2:2" x14ac:dyDescent="0.25">
      <c r="B1900" s="39"/>
    </row>
    <row r="1901" spans="2:2" x14ac:dyDescent="0.25">
      <c r="B1901" s="39"/>
    </row>
    <row r="1902" spans="2:2" x14ac:dyDescent="0.25">
      <c r="B1902" s="39"/>
    </row>
    <row r="1903" spans="2:2" x14ac:dyDescent="0.25">
      <c r="B1903" s="39"/>
    </row>
    <row r="1904" spans="2:2" x14ac:dyDescent="0.25">
      <c r="B1904" s="39"/>
    </row>
    <row r="1905" spans="2:2" x14ac:dyDescent="0.25">
      <c r="B1905" s="39"/>
    </row>
    <row r="1906" spans="2:2" x14ac:dyDescent="0.25">
      <c r="B1906" s="39"/>
    </row>
    <row r="1907" spans="2:2" x14ac:dyDescent="0.25">
      <c r="B1907" s="39"/>
    </row>
    <row r="1908" spans="2:2" x14ac:dyDescent="0.25">
      <c r="B1908" s="39"/>
    </row>
    <row r="1909" spans="2:2" x14ac:dyDescent="0.25">
      <c r="B1909" s="39"/>
    </row>
    <row r="1910" spans="2:2" x14ac:dyDescent="0.25">
      <c r="B1910" s="39"/>
    </row>
    <row r="1911" spans="2:2" x14ac:dyDescent="0.25">
      <c r="B1911" s="39"/>
    </row>
    <row r="1912" spans="2:2" x14ac:dyDescent="0.25">
      <c r="B1912" s="39"/>
    </row>
    <row r="1913" spans="2:2" x14ac:dyDescent="0.25">
      <c r="B1913" s="39"/>
    </row>
    <row r="1914" spans="2:2" x14ac:dyDescent="0.25">
      <c r="B1914" s="39"/>
    </row>
    <row r="1915" spans="2:2" x14ac:dyDescent="0.25">
      <c r="B1915" s="39"/>
    </row>
    <row r="1916" spans="2:2" x14ac:dyDescent="0.25">
      <c r="B1916" s="39"/>
    </row>
    <row r="1917" spans="2:2" x14ac:dyDescent="0.25">
      <c r="B1917" s="39"/>
    </row>
    <row r="1918" spans="2:2" x14ac:dyDescent="0.25">
      <c r="B1918" s="39"/>
    </row>
    <row r="1919" spans="2:2" x14ac:dyDescent="0.25">
      <c r="B1919" s="39"/>
    </row>
    <row r="1920" spans="2:2" x14ac:dyDescent="0.25">
      <c r="B1920" s="39"/>
    </row>
    <row r="1921" spans="2:2" x14ac:dyDescent="0.25">
      <c r="B1921" s="39"/>
    </row>
    <row r="1922" spans="2:2" x14ac:dyDescent="0.25">
      <c r="B1922" s="39"/>
    </row>
    <row r="1923" spans="2:2" x14ac:dyDescent="0.25">
      <c r="B1923" s="39"/>
    </row>
    <row r="1924" spans="2:2" x14ac:dyDescent="0.25">
      <c r="B1924" s="39"/>
    </row>
    <row r="1925" spans="2:2" x14ac:dyDescent="0.25">
      <c r="B1925" s="39"/>
    </row>
    <row r="1926" spans="2:2" x14ac:dyDescent="0.25">
      <c r="B1926" s="39"/>
    </row>
    <row r="1927" spans="2:2" x14ac:dyDescent="0.25">
      <c r="B1927" s="39"/>
    </row>
    <row r="1928" spans="2:2" x14ac:dyDescent="0.25">
      <c r="B1928" s="39"/>
    </row>
    <row r="1929" spans="2:2" x14ac:dyDescent="0.25">
      <c r="B1929" s="39"/>
    </row>
    <row r="1930" spans="2:2" x14ac:dyDescent="0.25">
      <c r="B1930" s="39"/>
    </row>
    <row r="1931" spans="2:2" x14ac:dyDescent="0.25">
      <c r="B1931" s="39"/>
    </row>
    <row r="1932" spans="2:2" x14ac:dyDescent="0.25">
      <c r="B1932" s="39"/>
    </row>
    <row r="1933" spans="2:2" x14ac:dyDescent="0.25">
      <c r="B1933" s="39"/>
    </row>
    <row r="1934" spans="2:2" x14ac:dyDescent="0.25">
      <c r="B1934" s="39"/>
    </row>
    <row r="1935" spans="2:2" x14ac:dyDescent="0.25">
      <c r="B1935" s="39"/>
    </row>
    <row r="1936" spans="2:2" x14ac:dyDescent="0.25">
      <c r="B1936" s="39"/>
    </row>
    <row r="1937" spans="2:2" x14ac:dyDescent="0.25">
      <c r="B1937" s="39"/>
    </row>
    <row r="1938" spans="2:2" x14ac:dyDescent="0.25">
      <c r="B1938" s="39"/>
    </row>
    <row r="1939" spans="2:2" x14ac:dyDescent="0.25">
      <c r="B1939" s="39"/>
    </row>
    <row r="1940" spans="2:2" x14ac:dyDescent="0.25">
      <c r="B1940" s="39"/>
    </row>
    <row r="1941" spans="2:2" x14ac:dyDescent="0.25">
      <c r="B1941" s="39"/>
    </row>
    <row r="1942" spans="2:2" x14ac:dyDescent="0.25">
      <c r="B1942" s="39"/>
    </row>
    <row r="1943" spans="2:2" x14ac:dyDescent="0.25">
      <c r="B1943" s="39"/>
    </row>
    <row r="1944" spans="2:2" x14ac:dyDescent="0.25">
      <c r="B1944" s="39"/>
    </row>
    <row r="1945" spans="2:2" x14ac:dyDescent="0.25">
      <c r="B1945" s="39"/>
    </row>
    <row r="1946" spans="2:2" x14ac:dyDescent="0.25">
      <c r="B1946" s="39"/>
    </row>
    <row r="1947" spans="2:2" x14ac:dyDescent="0.25">
      <c r="B1947" s="39"/>
    </row>
    <row r="1948" spans="2:2" x14ac:dyDescent="0.25">
      <c r="B1948" s="39"/>
    </row>
    <row r="1949" spans="2:2" x14ac:dyDescent="0.25">
      <c r="B1949" s="39"/>
    </row>
    <row r="1950" spans="2:2" x14ac:dyDescent="0.25">
      <c r="B1950" s="39"/>
    </row>
    <row r="1951" spans="2:2" x14ac:dyDescent="0.25">
      <c r="B1951" s="39"/>
    </row>
    <row r="1952" spans="2:2" x14ac:dyDescent="0.25">
      <c r="B1952" s="39"/>
    </row>
    <row r="1953" spans="2:2" x14ac:dyDescent="0.25">
      <c r="B1953" s="39"/>
    </row>
    <row r="1954" spans="2:2" x14ac:dyDescent="0.25">
      <c r="B1954" s="39"/>
    </row>
    <row r="1955" spans="2:2" x14ac:dyDescent="0.25">
      <c r="B1955" s="39"/>
    </row>
    <row r="1956" spans="2:2" x14ac:dyDescent="0.25">
      <c r="B1956" s="39"/>
    </row>
    <row r="1957" spans="2:2" x14ac:dyDescent="0.25">
      <c r="B1957" s="39"/>
    </row>
    <row r="1958" spans="2:2" x14ac:dyDescent="0.25">
      <c r="B1958" s="39"/>
    </row>
    <row r="1959" spans="2:2" x14ac:dyDescent="0.25">
      <c r="B1959" s="39"/>
    </row>
    <row r="1960" spans="2:2" x14ac:dyDescent="0.25">
      <c r="B1960" s="39"/>
    </row>
    <row r="1961" spans="2:2" x14ac:dyDescent="0.25">
      <c r="B1961" s="39"/>
    </row>
    <row r="1962" spans="2:2" x14ac:dyDescent="0.25">
      <c r="B1962" s="39"/>
    </row>
    <row r="1963" spans="2:2" x14ac:dyDescent="0.25">
      <c r="B1963" s="39"/>
    </row>
    <row r="1964" spans="2:2" x14ac:dyDescent="0.25">
      <c r="B1964" s="39"/>
    </row>
    <row r="1965" spans="2:2" x14ac:dyDescent="0.25">
      <c r="B1965" s="39"/>
    </row>
    <row r="1966" spans="2:2" x14ac:dyDescent="0.25">
      <c r="B1966" s="39"/>
    </row>
    <row r="1967" spans="2:2" x14ac:dyDescent="0.25">
      <c r="B1967" s="39"/>
    </row>
    <row r="1968" spans="2:2" x14ac:dyDescent="0.25">
      <c r="B1968" s="39"/>
    </row>
    <row r="1969" spans="2:2" x14ac:dyDescent="0.25">
      <c r="B1969" s="39"/>
    </row>
    <row r="1970" spans="2:2" x14ac:dyDescent="0.25">
      <c r="B1970" s="39"/>
    </row>
    <row r="1971" spans="2:2" x14ac:dyDescent="0.25">
      <c r="B1971" s="39"/>
    </row>
    <row r="1972" spans="2:2" x14ac:dyDescent="0.25">
      <c r="B1972" s="39"/>
    </row>
    <row r="1973" spans="2:2" x14ac:dyDescent="0.25">
      <c r="B1973" s="39"/>
    </row>
    <row r="1974" spans="2:2" x14ac:dyDescent="0.25">
      <c r="B1974" s="39"/>
    </row>
    <row r="1975" spans="2:2" x14ac:dyDescent="0.25">
      <c r="B1975" s="39"/>
    </row>
    <row r="1976" spans="2:2" x14ac:dyDescent="0.25">
      <c r="B1976" s="39"/>
    </row>
    <row r="1977" spans="2:2" x14ac:dyDescent="0.25">
      <c r="B1977" s="39"/>
    </row>
    <row r="1978" spans="2:2" x14ac:dyDescent="0.25">
      <c r="B1978" s="39"/>
    </row>
    <row r="1979" spans="2:2" x14ac:dyDescent="0.25">
      <c r="B1979" s="39"/>
    </row>
    <row r="1980" spans="2:2" x14ac:dyDescent="0.25">
      <c r="B1980" s="39"/>
    </row>
    <row r="1981" spans="2:2" x14ac:dyDescent="0.25">
      <c r="B1981" s="39"/>
    </row>
    <row r="1982" spans="2:2" x14ac:dyDescent="0.25">
      <c r="B1982" s="39"/>
    </row>
    <row r="1983" spans="2:2" x14ac:dyDescent="0.25">
      <c r="B1983" s="39"/>
    </row>
    <row r="1984" spans="2:2" x14ac:dyDescent="0.25">
      <c r="B1984" s="39"/>
    </row>
    <row r="1985" spans="2:2" x14ac:dyDescent="0.25">
      <c r="B1985" s="39"/>
    </row>
    <row r="1986" spans="2:2" x14ac:dyDescent="0.25">
      <c r="B1986" s="39"/>
    </row>
    <row r="1987" spans="2:2" x14ac:dyDescent="0.25">
      <c r="B1987" s="39"/>
    </row>
    <row r="1988" spans="2:2" x14ac:dyDescent="0.25">
      <c r="B1988" s="39"/>
    </row>
    <row r="1989" spans="2:2" x14ac:dyDescent="0.25">
      <c r="B1989" s="39"/>
    </row>
    <row r="1990" spans="2:2" x14ac:dyDescent="0.25">
      <c r="B1990" s="39"/>
    </row>
    <row r="1991" spans="2:2" x14ac:dyDescent="0.25">
      <c r="B1991" s="39"/>
    </row>
    <row r="1992" spans="2:2" x14ac:dyDescent="0.25">
      <c r="B1992" s="39"/>
    </row>
    <row r="1993" spans="2:2" x14ac:dyDescent="0.25">
      <c r="B1993" s="39"/>
    </row>
    <row r="1994" spans="2:2" x14ac:dyDescent="0.25">
      <c r="B1994" s="39"/>
    </row>
    <row r="1995" spans="2:2" x14ac:dyDescent="0.25">
      <c r="B1995" s="39"/>
    </row>
    <row r="1996" spans="2:2" x14ac:dyDescent="0.25">
      <c r="B1996" s="39"/>
    </row>
    <row r="1997" spans="2:2" x14ac:dyDescent="0.25">
      <c r="B1997" s="39"/>
    </row>
    <row r="1998" spans="2:2" x14ac:dyDescent="0.25">
      <c r="B1998" s="39"/>
    </row>
    <row r="1999" spans="2:2" x14ac:dyDescent="0.25">
      <c r="B1999" s="39"/>
    </row>
    <row r="2000" spans="2:2" x14ac:dyDescent="0.25">
      <c r="B2000" s="39"/>
    </row>
    <row r="2001" spans="2:2" x14ac:dyDescent="0.25">
      <c r="B2001" s="39"/>
    </row>
    <row r="2002" spans="2:2" x14ac:dyDescent="0.25">
      <c r="B2002" s="39"/>
    </row>
    <row r="2003" spans="2:2" x14ac:dyDescent="0.25">
      <c r="B2003" s="39"/>
    </row>
    <row r="2004" spans="2:2" x14ac:dyDescent="0.25">
      <c r="B2004" s="39"/>
    </row>
    <row r="2005" spans="2:2" x14ac:dyDescent="0.25">
      <c r="B2005" s="39"/>
    </row>
    <row r="2006" spans="2:2" x14ac:dyDescent="0.25">
      <c r="B2006" s="39"/>
    </row>
    <row r="2007" spans="2:2" x14ac:dyDescent="0.25">
      <c r="B2007" s="39"/>
    </row>
    <row r="2008" spans="2:2" x14ac:dyDescent="0.25">
      <c r="B2008" s="39"/>
    </row>
    <row r="2009" spans="2:2" x14ac:dyDescent="0.25">
      <c r="B2009" s="39"/>
    </row>
    <row r="2010" spans="2:2" x14ac:dyDescent="0.25">
      <c r="B2010" s="39"/>
    </row>
    <row r="2011" spans="2:2" x14ac:dyDescent="0.25">
      <c r="B2011" s="39"/>
    </row>
    <row r="2012" spans="2:2" x14ac:dyDescent="0.25">
      <c r="B2012" s="39"/>
    </row>
    <row r="2013" spans="2:2" x14ac:dyDescent="0.25">
      <c r="B2013" s="39"/>
    </row>
    <row r="2014" spans="2:2" x14ac:dyDescent="0.25">
      <c r="B2014" s="39"/>
    </row>
    <row r="2015" spans="2:2" x14ac:dyDescent="0.25">
      <c r="B2015" s="39"/>
    </row>
    <row r="2016" spans="2:2" x14ac:dyDescent="0.25">
      <c r="B2016" s="39"/>
    </row>
    <row r="2017" spans="2:2" x14ac:dyDescent="0.25">
      <c r="B2017" s="39"/>
    </row>
    <row r="2018" spans="2:2" x14ac:dyDescent="0.25">
      <c r="B2018" s="39"/>
    </row>
    <row r="2019" spans="2:2" x14ac:dyDescent="0.25">
      <c r="B2019" s="39"/>
    </row>
    <row r="2020" spans="2:2" x14ac:dyDescent="0.25">
      <c r="B2020" s="39"/>
    </row>
    <row r="2021" spans="2:2" x14ac:dyDescent="0.25">
      <c r="B2021" s="39"/>
    </row>
    <row r="2022" spans="2:2" x14ac:dyDescent="0.25">
      <c r="B2022" s="39"/>
    </row>
    <row r="2023" spans="2:2" x14ac:dyDescent="0.25">
      <c r="B2023" s="39"/>
    </row>
    <row r="2024" spans="2:2" x14ac:dyDescent="0.25">
      <c r="B2024" s="39"/>
    </row>
    <row r="2025" spans="2:2" x14ac:dyDescent="0.25">
      <c r="B2025" s="39"/>
    </row>
    <row r="2026" spans="2:2" x14ac:dyDescent="0.25">
      <c r="B2026" s="39"/>
    </row>
    <row r="2027" spans="2:2" x14ac:dyDescent="0.25">
      <c r="B2027" s="39"/>
    </row>
    <row r="2028" spans="2:2" x14ac:dyDescent="0.25">
      <c r="B2028" s="39"/>
    </row>
    <row r="2029" spans="2:2" x14ac:dyDescent="0.25">
      <c r="B2029" s="39"/>
    </row>
    <row r="2030" spans="2:2" x14ac:dyDescent="0.25">
      <c r="B2030" s="39"/>
    </row>
    <row r="2031" spans="2:2" x14ac:dyDescent="0.25">
      <c r="B2031" s="39"/>
    </row>
    <row r="2032" spans="2:2" x14ac:dyDescent="0.25">
      <c r="B2032" s="39"/>
    </row>
    <row r="2033" spans="2:2" x14ac:dyDescent="0.25">
      <c r="B2033" s="39"/>
    </row>
    <row r="2034" spans="2:2" x14ac:dyDescent="0.25">
      <c r="B2034" s="39"/>
    </row>
    <row r="2035" spans="2:2" x14ac:dyDescent="0.25">
      <c r="B2035" s="39"/>
    </row>
    <row r="2036" spans="2:2" x14ac:dyDescent="0.25">
      <c r="B2036" s="39"/>
    </row>
    <row r="2037" spans="2:2" x14ac:dyDescent="0.25">
      <c r="B2037" s="39"/>
    </row>
    <row r="2038" spans="2:2" x14ac:dyDescent="0.25">
      <c r="B2038" s="39"/>
    </row>
    <row r="2039" spans="2:2" x14ac:dyDescent="0.25">
      <c r="B2039" s="39"/>
    </row>
    <row r="2040" spans="2:2" x14ac:dyDescent="0.25">
      <c r="B2040" s="39"/>
    </row>
    <row r="2041" spans="2:2" x14ac:dyDescent="0.25">
      <c r="B2041" s="39"/>
    </row>
    <row r="2042" spans="2:2" x14ac:dyDescent="0.25">
      <c r="B2042" s="39"/>
    </row>
    <row r="2043" spans="2:2" x14ac:dyDescent="0.25">
      <c r="B2043" s="39"/>
    </row>
    <row r="2044" spans="2:2" x14ac:dyDescent="0.25">
      <c r="B2044" s="39"/>
    </row>
    <row r="2045" spans="2:2" x14ac:dyDescent="0.25">
      <c r="B2045" s="39"/>
    </row>
    <row r="2046" spans="2:2" x14ac:dyDescent="0.25">
      <c r="B2046" s="39"/>
    </row>
    <row r="2047" spans="2:2" x14ac:dyDescent="0.25">
      <c r="B2047" s="39"/>
    </row>
    <row r="2048" spans="2:2" x14ac:dyDescent="0.25">
      <c r="B2048" s="39"/>
    </row>
    <row r="2049" spans="2:2" x14ac:dyDescent="0.25">
      <c r="B2049" s="39"/>
    </row>
    <row r="2050" spans="2:2" x14ac:dyDescent="0.25">
      <c r="B2050" s="39"/>
    </row>
    <row r="2051" spans="2:2" x14ac:dyDescent="0.25">
      <c r="B2051" s="39"/>
    </row>
    <row r="2052" spans="2:2" x14ac:dyDescent="0.25">
      <c r="B2052" s="39"/>
    </row>
    <row r="2053" spans="2:2" x14ac:dyDescent="0.25">
      <c r="B2053" s="39"/>
    </row>
    <row r="2054" spans="2:2" x14ac:dyDescent="0.25">
      <c r="B2054" s="39"/>
    </row>
    <row r="2055" spans="2:2" x14ac:dyDescent="0.25">
      <c r="B2055" s="39"/>
    </row>
    <row r="2056" spans="2:2" x14ac:dyDescent="0.25">
      <c r="B2056" s="39"/>
    </row>
    <row r="2057" spans="2:2" x14ac:dyDescent="0.25">
      <c r="B2057" s="39"/>
    </row>
    <row r="2058" spans="2:2" x14ac:dyDescent="0.25">
      <c r="B2058" s="39"/>
    </row>
    <row r="2059" spans="2:2" x14ac:dyDescent="0.25">
      <c r="B2059" s="39"/>
    </row>
    <row r="2060" spans="2:2" x14ac:dyDescent="0.25">
      <c r="B2060" s="39"/>
    </row>
    <row r="2061" spans="2:2" x14ac:dyDescent="0.25">
      <c r="B2061" s="39"/>
    </row>
    <row r="2062" spans="2:2" x14ac:dyDescent="0.25">
      <c r="B2062" s="39"/>
    </row>
    <row r="2063" spans="2:2" x14ac:dyDescent="0.25">
      <c r="B2063" s="39"/>
    </row>
    <row r="2064" spans="2:2" x14ac:dyDescent="0.25">
      <c r="B2064" s="39"/>
    </row>
    <row r="2065" spans="2:2" x14ac:dyDescent="0.25">
      <c r="B2065" s="39"/>
    </row>
    <row r="2066" spans="2:2" x14ac:dyDescent="0.25">
      <c r="B2066" s="39"/>
    </row>
    <row r="2067" spans="2:2" x14ac:dyDescent="0.25">
      <c r="B2067" s="39"/>
    </row>
    <row r="2068" spans="2:2" x14ac:dyDescent="0.25">
      <c r="B2068" s="39"/>
    </row>
    <row r="2069" spans="2:2" x14ac:dyDescent="0.25">
      <c r="B2069" s="39"/>
    </row>
    <row r="2070" spans="2:2" x14ac:dyDescent="0.25">
      <c r="B2070" s="39"/>
    </row>
    <row r="2071" spans="2:2" x14ac:dyDescent="0.25">
      <c r="B2071" s="39"/>
    </row>
    <row r="2072" spans="2:2" x14ac:dyDescent="0.25">
      <c r="B2072" s="39"/>
    </row>
    <row r="2073" spans="2:2" x14ac:dyDescent="0.25">
      <c r="B2073" s="39"/>
    </row>
    <row r="2074" spans="2:2" x14ac:dyDescent="0.25">
      <c r="B2074" s="39"/>
    </row>
    <row r="2075" spans="2:2" x14ac:dyDescent="0.25">
      <c r="B2075" s="39"/>
    </row>
    <row r="2076" spans="2:2" x14ac:dyDescent="0.25">
      <c r="B2076" s="39"/>
    </row>
    <row r="2077" spans="2:2" x14ac:dyDescent="0.25">
      <c r="B2077" s="39"/>
    </row>
    <row r="2078" spans="2:2" x14ac:dyDescent="0.25">
      <c r="B2078" s="39"/>
    </row>
    <row r="2079" spans="2:2" x14ac:dyDescent="0.25">
      <c r="B2079" s="39"/>
    </row>
    <row r="2080" spans="2:2" x14ac:dyDescent="0.25">
      <c r="B2080" s="39"/>
    </row>
    <row r="2081" spans="2:2" x14ac:dyDescent="0.25">
      <c r="B2081" s="39"/>
    </row>
    <row r="2082" spans="2:2" x14ac:dyDescent="0.25">
      <c r="B2082" s="39"/>
    </row>
    <row r="2083" spans="2:2" x14ac:dyDescent="0.25">
      <c r="B2083" s="39"/>
    </row>
    <row r="2084" spans="2:2" x14ac:dyDescent="0.25">
      <c r="B2084" s="39"/>
    </row>
    <row r="2085" spans="2:2" x14ac:dyDescent="0.25">
      <c r="B2085" s="39"/>
    </row>
    <row r="2086" spans="2:2" x14ac:dyDescent="0.25">
      <c r="B2086" s="39"/>
    </row>
    <row r="2087" spans="2:2" x14ac:dyDescent="0.25">
      <c r="B2087" s="39"/>
    </row>
    <row r="2088" spans="2:2" x14ac:dyDescent="0.25">
      <c r="B2088" s="39"/>
    </row>
    <row r="2089" spans="2:2" x14ac:dyDescent="0.25">
      <c r="B2089" s="39"/>
    </row>
    <row r="2090" spans="2:2" x14ac:dyDescent="0.25">
      <c r="B2090" s="39"/>
    </row>
    <row r="2091" spans="2:2" x14ac:dyDescent="0.25">
      <c r="B2091" s="39"/>
    </row>
    <row r="2092" spans="2:2" x14ac:dyDescent="0.25">
      <c r="B2092" s="39"/>
    </row>
    <row r="2093" spans="2:2" x14ac:dyDescent="0.25">
      <c r="B2093" s="39"/>
    </row>
    <row r="2094" spans="2:2" x14ac:dyDescent="0.25">
      <c r="B2094" s="39"/>
    </row>
    <row r="2095" spans="2:2" x14ac:dyDescent="0.25">
      <c r="B2095" s="39"/>
    </row>
    <row r="2096" spans="2:2" x14ac:dyDescent="0.25">
      <c r="B2096" s="39"/>
    </row>
    <row r="2097" spans="2:2" x14ac:dyDescent="0.25">
      <c r="B2097" s="39"/>
    </row>
    <row r="2098" spans="2:2" x14ac:dyDescent="0.25">
      <c r="B2098" s="39"/>
    </row>
    <row r="2099" spans="2:2" x14ac:dyDescent="0.25">
      <c r="B2099" s="39"/>
    </row>
    <row r="2100" spans="2:2" x14ac:dyDescent="0.25">
      <c r="B2100" s="39"/>
    </row>
    <row r="2101" spans="2:2" x14ac:dyDescent="0.25">
      <c r="B2101" s="39"/>
    </row>
    <row r="2102" spans="2:2" x14ac:dyDescent="0.25">
      <c r="B2102" s="39"/>
    </row>
    <row r="2103" spans="2:2" x14ac:dyDescent="0.25">
      <c r="B2103" s="39"/>
    </row>
    <row r="2104" spans="2:2" x14ac:dyDescent="0.25">
      <c r="B2104" s="39"/>
    </row>
    <row r="2105" spans="2:2" x14ac:dyDescent="0.25">
      <c r="B2105" s="39"/>
    </row>
    <row r="2106" spans="2:2" x14ac:dyDescent="0.25">
      <c r="B2106" s="39"/>
    </row>
    <row r="2107" spans="2:2" x14ac:dyDescent="0.25">
      <c r="B2107" s="39"/>
    </row>
    <row r="2108" spans="2:2" x14ac:dyDescent="0.25">
      <c r="B2108" s="39"/>
    </row>
    <row r="2109" spans="2:2" x14ac:dyDescent="0.25">
      <c r="B2109" s="39"/>
    </row>
    <row r="2110" spans="2:2" x14ac:dyDescent="0.25">
      <c r="B2110" s="39"/>
    </row>
    <row r="2111" spans="2:2" x14ac:dyDescent="0.25">
      <c r="B2111" s="39"/>
    </row>
    <row r="2112" spans="2:2" x14ac:dyDescent="0.25">
      <c r="B2112" s="39"/>
    </row>
    <row r="2113" spans="2:2" x14ac:dyDescent="0.25">
      <c r="B2113" s="39"/>
    </row>
    <row r="2114" spans="2:2" x14ac:dyDescent="0.25">
      <c r="B2114" s="39"/>
    </row>
    <row r="2115" spans="2:2" x14ac:dyDescent="0.25">
      <c r="B2115" s="39"/>
    </row>
    <row r="2116" spans="2:2" x14ac:dyDescent="0.25">
      <c r="B2116" s="39"/>
    </row>
    <row r="2117" spans="2:2" x14ac:dyDescent="0.25">
      <c r="B2117" s="39"/>
    </row>
    <row r="2118" spans="2:2" x14ac:dyDescent="0.25">
      <c r="B2118" s="39"/>
    </row>
    <row r="2119" spans="2:2" x14ac:dyDescent="0.25">
      <c r="B2119" s="39"/>
    </row>
    <row r="2120" spans="2:2" x14ac:dyDescent="0.25">
      <c r="B2120" s="39"/>
    </row>
    <row r="2121" spans="2:2" x14ac:dyDescent="0.25">
      <c r="B2121" s="39"/>
    </row>
    <row r="2122" spans="2:2" x14ac:dyDescent="0.25">
      <c r="B2122" s="39"/>
    </row>
    <row r="2123" spans="2:2" x14ac:dyDescent="0.25">
      <c r="B2123" s="39"/>
    </row>
    <row r="2124" spans="2:2" x14ac:dyDescent="0.25">
      <c r="B2124" s="39"/>
    </row>
    <row r="2125" spans="2:2" x14ac:dyDescent="0.25">
      <c r="B2125" s="39"/>
    </row>
    <row r="2126" spans="2:2" x14ac:dyDescent="0.25">
      <c r="B2126" s="39"/>
    </row>
    <row r="2127" spans="2:2" x14ac:dyDescent="0.25">
      <c r="B2127" s="39"/>
    </row>
    <row r="2128" spans="2:2" x14ac:dyDescent="0.25">
      <c r="B2128" s="39"/>
    </row>
    <row r="2129" spans="2:2" x14ac:dyDescent="0.25">
      <c r="B2129" s="39"/>
    </row>
    <row r="2130" spans="2:2" x14ac:dyDescent="0.25">
      <c r="B2130" s="39"/>
    </row>
    <row r="2131" spans="2:2" x14ac:dyDescent="0.25">
      <c r="B2131" s="39"/>
    </row>
    <row r="2132" spans="2:2" x14ac:dyDescent="0.25">
      <c r="B2132" s="39"/>
    </row>
    <row r="2133" spans="2:2" x14ac:dyDescent="0.25">
      <c r="B2133" s="39"/>
    </row>
    <row r="2134" spans="2:2" x14ac:dyDescent="0.25">
      <c r="B2134" s="39"/>
    </row>
    <row r="2135" spans="2:2" x14ac:dyDescent="0.25">
      <c r="B2135" s="39"/>
    </row>
    <row r="2136" spans="2:2" x14ac:dyDescent="0.25">
      <c r="B2136" s="39"/>
    </row>
    <row r="2137" spans="2:2" x14ac:dyDescent="0.25">
      <c r="B2137" s="39"/>
    </row>
    <row r="2138" spans="2:2" x14ac:dyDescent="0.25">
      <c r="B2138" s="39"/>
    </row>
    <row r="2139" spans="2:2" x14ac:dyDescent="0.25">
      <c r="B2139" s="39"/>
    </row>
    <row r="2140" spans="2:2" x14ac:dyDescent="0.25">
      <c r="B2140" s="39"/>
    </row>
    <row r="2141" spans="2:2" x14ac:dyDescent="0.25">
      <c r="B2141" s="39"/>
    </row>
    <row r="2142" spans="2:2" x14ac:dyDescent="0.25">
      <c r="B2142" s="39"/>
    </row>
    <row r="2143" spans="2:2" x14ac:dyDescent="0.25">
      <c r="B2143" s="39"/>
    </row>
    <row r="2144" spans="2:2" x14ac:dyDescent="0.25">
      <c r="B2144" s="39"/>
    </row>
    <row r="2145" spans="2:2" x14ac:dyDescent="0.25">
      <c r="B2145" s="39"/>
    </row>
    <row r="2146" spans="2:2" x14ac:dyDescent="0.25">
      <c r="B2146" s="39"/>
    </row>
    <row r="2147" spans="2:2" x14ac:dyDescent="0.25">
      <c r="B2147" s="39"/>
    </row>
    <row r="2148" spans="2:2" x14ac:dyDescent="0.25">
      <c r="B2148" s="39"/>
    </row>
    <row r="2149" spans="2:2" x14ac:dyDescent="0.25">
      <c r="B2149" s="39"/>
    </row>
    <row r="2150" spans="2:2" x14ac:dyDescent="0.25">
      <c r="B2150" s="39"/>
    </row>
    <row r="2151" spans="2:2" x14ac:dyDescent="0.25">
      <c r="B2151" s="39"/>
    </row>
    <row r="2152" spans="2:2" x14ac:dyDescent="0.25">
      <c r="B2152" s="39"/>
    </row>
    <row r="2153" spans="2:2" x14ac:dyDescent="0.25">
      <c r="B2153" s="39"/>
    </row>
    <row r="2154" spans="2:2" x14ac:dyDescent="0.25">
      <c r="B2154" s="39"/>
    </row>
    <row r="2155" spans="2:2" x14ac:dyDescent="0.25">
      <c r="B2155" s="39"/>
    </row>
    <row r="2156" spans="2:2" x14ac:dyDescent="0.25">
      <c r="B2156" s="39"/>
    </row>
    <row r="2157" spans="2:2" x14ac:dyDescent="0.25">
      <c r="B2157" s="39"/>
    </row>
    <row r="2158" spans="2:2" x14ac:dyDescent="0.25">
      <c r="B2158" s="39"/>
    </row>
    <row r="2159" spans="2:2" x14ac:dyDescent="0.25">
      <c r="B2159" s="39"/>
    </row>
    <row r="2160" spans="2:2" x14ac:dyDescent="0.25">
      <c r="B2160" s="39"/>
    </row>
    <row r="2161" spans="2:2" x14ac:dyDescent="0.25">
      <c r="B2161" s="39"/>
    </row>
    <row r="2162" spans="2:2" x14ac:dyDescent="0.25">
      <c r="B2162" s="39"/>
    </row>
    <row r="2163" spans="2:2" x14ac:dyDescent="0.25">
      <c r="B2163" s="39"/>
    </row>
    <row r="2164" spans="2:2" x14ac:dyDescent="0.25">
      <c r="B2164" s="39"/>
    </row>
    <row r="2165" spans="2:2" x14ac:dyDescent="0.25">
      <c r="B2165" s="39"/>
    </row>
    <row r="2166" spans="2:2" x14ac:dyDescent="0.25">
      <c r="B2166" s="39"/>
    </row>
    <row r="2167" spans="2:2" x14ac:dyDescent="0.25">
      <c r="B2167" s="39"/>
    </row>
    <row r="2168" spans="2:2" x14ac:dyDescent="0.25">
      <c r="B2168" s="39"/>
    </row>
    <row r="2169" spans="2:2" x14ac:dyDescent="0.25">
      <c r="B2169" s="39"/>
    </row>
    <row r="2170" spans="2:2" x14ac:dyDescent="0.25">
      <c r="B2170" s="39"/>
    </row>
    <row r="2171" spans="2:2" x14ac:dyDescent="0.25">
      <c r="B2171" s="39"/>
    </row>
    <row r="2172" spans="2:2" x14ac:dyDescent="0.25">
      <c r="B2172" s="39"/>
    </row>
    <row r="2173" spans="2:2" x14ac:dyDescent="0.25">
      <c r="B2173" s="39"/>
    </row>
    <row r="2174" spans="2:2" x14ac:dyDescent="0.25">
      <c r="B2174" s="39"/>
    </row>
    <row r="2175" spans="2:2" x14ac:dyDescent="0.25">
      <c r="B2175" s="39"/>
    </row>
    <row r="2176" spans="2:2" x14ac:dyDescent="0.25">
      <c r="B2176" s="39"/>
    </row>
    <row r="2177" spans="2:2" x14ac:dyDescent="0.25">
      <c r="B2177" s="39"/>
    </row>
    <row r="2178" spans="2:2" x14ac:dyDescent="0.25">
      <c r="B2178" s="39"/>
    </row>
    <row r="2179" spans="2:2" x14ac:dyDescent="0.25">
      <c r="B2179" s="39"/>
    </row>
    <row r="2180" spans="2:2" x14ac:dyDescent="0.25">
      <c r="B2180" s="39"/>
    </row>
    <row r="2181" spans="2:2" x14ac:dyDescent="0.25">
      <c r="B2181" s="39"/>
    </row>
    <row r="2182" spans="2:2" x14ac:dyDescent="0.25">
      <c r="B2182" s="39"/>
    </row>
    <row r="2183" spans="2:2" x14ac:dyDescent="0.25">
      <c r="B2183" s="39"/>
    </row>
    <row r="2184" spans="2:2" x14ac:dyDescent="0.25">
      <c r="B2184" s="39"/>
    </row>
    <row r="2185" spans="2:2" x14ac:dyDescent="0.25">
      <c r="B2185" s="39"/>
    </row>
    <row r="2186" spans="2:2" x14ac:dyDescent="0.25">
      <c r="B2186" s="39"/>
    </row>
    <row r="2187" spans="2:2" x14ac:dyDescent="0.25">
      <c r="B2187" s="39"/>
    </row>
    <row r="2188" spans="2:2" x14ac:dyDescent="0.25">
      <c r="B2188" s="39"/>
    </row>
    <row r="2189" spans="2:2" x14ac:dyDescent="0.25">
      <c r="B2189" s="39"/>
    </row>
    <row r="2190" spans="2:2" x14ac:dyDescent="0.25">
      <c r="B2190" s="39"/>
    </row>
    <row r="2191" spans="2:2" x14ac:dyDescent="0.25">
      <c r="B2191" s="39"/>
    </row>
    <row r="2192" spans="2:2" x14ac:dyDescent="0.25">
      <c r="B2192" s="39"/>
    </row>
    <row r="2193" spans="2:2" x14ac:dyDescent="0.25">
      <c r="B2193" s="39"/>
    </row>
    <row r="2194" spans="2:2" x14ac:dyDescent="0.25">
      <c r="B2194" s="39"/>
    </row>
    <row r="2195" spans="2:2" x14ac:dyDescent="0.25">
      <c r="B2195" s="39"/>
    </row>
    <row r="2196" spans="2:2" x14ac:dyDescent="0.25">
      <c r="B2196" s="39"/>
    </row>
    <row r="2197" spans="2:2" x14ac:dyDescent="0.25">
      <c r="B2197" s="39"/>
    </row>
    <row r="2198" spans="2:2" x14ac:dyDescent="0.25">
      <c r="B2198" s="39"/>
    </row>
    <row r="2199" spans="2:2" x14ac:dyDescent="0.25">
      <c r="B2199" s="39"/>
    </row>
    <row r="2200" spans="2:2" x14ac:dyDescent="0.25">
      <c r="B2200" s="39"/>
    </row>
    <row r="2201" spans="2:2" x14ac:dyDescent="0.25">
      <c r="B2201" s="39"/>
    </row>
    <row r="2202" spans="2:2" x14ac:dyDescent="0.25">
      <c r="B2202" s="39"/>
    </row>
    <row r="2203" spans="2:2" x14ac:dyDescent="0.25">
      <c r="B2203" s="39"/>
    </row>
    <row r="2204" spans="2:2" x14ac:dyDescent="0.25">
      <c r="B2204" s="39"/>
    </row>
    <row r="2205" spans="2:2" x14ac:dyDescent="0.25">
      <c r="B2205" s="39"/>
    </row>
    <row r="2206" spans="2:2" x14ac:dyDescent="0.25">
      <c r="B2206" s="39"/>
    </row>
    <row r="2207" spans="2:2" x14ac:dyDescent="0.25">
      <c r="B2207" s="39"/>
    </row>
    <row r="2208" spans="2:2" x14ac:dyDescent="0.25">
      <c r="B2208" s="39"/>
    </row>
    <row r="2209" spans="2:2" x14ac:dyDescent="0.25">
      <c r="B2209" s="39"/>
    </row>
    <row r="2210" spans="2:2" x14ac:dyDescent="0.25">
      <c r="B2210" s="39"/>
    </row>
    <row r="2211" spans="2:2" x14ac:dyDescent="0.25">
      <c r="B2211" s="39"/>
    </row>
    <row r="2212" spans="2:2" x14ac:dyDescent="0.25">
      <c r="B2212" s="39"/>
    </row>
    <row r="2213" spans="2:2" x14ac:dyDescent="0.25">
      <c r="B2213" s="39"/>
    </row>
    <row r="2214" spans="2:2" x14ac:dyDescent="0.25">
      <c r="B2214" s="39"/>
    </row>
    <row r="2215" spans="2:2" x14ac:dyDescent="0.25">
      <c r="B2215" s="39"/>
    </row>
    <row r="2216" spans="2:2" x14ac:dyDescent="0.25">
      <c r="B2216" s="39"/>
    </row>
    <row r="2217" spans="2:2" x14ac:dyDescent="0.25">
      <c r="B2217" s="39"/>
    </row>
    <row r="2218" spans="2:2" x14ac:dyDescent="0.25">
      <c r="B2218" s="39"/>
    </row>
    <row r="2219" spans="2:2" x14ac:dyDescent="0.25">
      <c r="B2219" s="39"/>
    </row>
    <row r="2220" spans="2:2" x14ac:dyDescent="0.25">
      <c r="B2220" s="39"/>
    </row>
    <row r="2221" spans="2:2" x14ac:dyDescent="0.25">
      <c r="B2221" s="39"/>
    </row>
    <row r="2222" spans="2:2" x14ac:dyDescent="0.25">
      <c r="B2222" s="39"/>
    </row>
    <row r="2223" spans="2:2" x14ac:dyDescent="0.25">
      <c r="B2223" s="39"/>
    </row>
    <row r="2224" spans="2:2" x14ac:dyDescent="0.25">
      <c r="B2224" s="39"/>
    </row>
    <row r="2225" spans="2:2" x14ac:dyDescent="0.25">
      <c r="B2225" s="39"/>
    </row>
    <row r="2226" spans="2:2" x14ac:dyDescent="0.25">
      <c r="B2226" s="39"/>
    </row>
    <row r="2227" spans="2:2" x14ac:dyDescent="0.25">
      <c r="B2227" s="39"/>
    </row>
    <row r="2228" spans="2:2" x14ac:dyDescent="0.25">
      <c r="B2228" s="39"/>
    </row>
    <row r="2229" spans="2:2" x14ac:dyDescent="0.25">
      <c r="B2229" s="39"/>
    </row>
    <row r="2230" spans="2:2" x14ac:dyDescent="0.25">
      <c r="B2230" s="39"/>
    </row>
    <row r="2231" spans="2:2" x14ac:dyDescent="0.25">
      <c r="B2231" s="39"/>
    </row>
    <row r="2232" spans="2:2" x14ac:dyDescent="0.25">
      <c r="B2232" s="39"/>
    </row>
    <row r="2233" spans="2:2" x14ac:dyDescent="0.25">
      <c r="B2233" s="39"/>
    </row>
    <row r="2234" spans="2:2" x14ac:dyDescent="0.25">
      <c r="B2234" s="39"/>
    </row>
    <row r="2235" spans="2:2" x14ac:dyDescent="0.25">
      <c r="B2235" s="39"/>
    </row>
    <row r="2236" spans="2:2" x14ac:dyDescent="0.25">
      <c r="B2236" s="39"/>
    </row>
    <row r="2237" spans="2:2" x14ac:dyDescent="0.25">
      <c r="B2237" s="39"/>
    </row>
    <row r="2238" spans="2:2" x14ac:dyDescent="0.25">
      <c r="B2238" s="39"/>
    </row>
    <row r="2239" spans="2:2" x14ac:dyDescent="0.25">
      <c r="B2239" s="39"/>
    </row>
    <row r="2240" spans="2:2" x14ac:dyDescent="0.25">
      <c r="B2240" s="39"/>
    </row>
    <row r="2241" spans="2:2" x14ac:dyDescent="0.25">
      <c r="B2241" s="39"/>
    </row>
    <row r="2242" spans="2:2" x14ac:dyDescent="0.25">
      <c r="B2242" s="39"/>
    </row>
    <row r="2243" spans="2:2" x14ac:dyDescent="0.25">
      <c r="B2243" s="39"/>
    </row>
    <row r="2244" spans="2:2" x14ac:dyDescent="0.25">
      <c r="B2244" s="39"/>
    </row>
    <row r="2245" spans="2:2" x14ac:dyDescent="0.25">
      <c r="B2245" s="39"/>
    </row>
    <row r="2246" spans="2:2" x14ac:dyDescent="0.25">
      <c r="B2246" s="39"/>
    </row>
    <row r="2247" spans="2:2" x14ac:dyDescent="0.25">
      <c r="B2247" s="39"/>
    </row>
    <row r="2248" spans="2:2" x14ac:dyDescent="0.25">
      <c r="B2248" s="39"/>
    </row>
    <row r="2249" spans="2:2" x14ac:dyDescent="0.25">
      <c r="B2249" s="39"/>
    </row>
    <row r="2250" spans="2:2" x14ac:dyDescent="0.25">
      <c r="B2250" s="39"/>
    </row>
    <row r="2251" spans="2:2" x14ac:dyDescent="0.25">
      <c r="B2251" s="39"/>
    </row>
    <row r="2252" spans="2:2" x14ac:dyDescent="0.25">
      <c r="B2252" s="39"/>
    </row>
    <row r="2253" spans="2:2" x14ac:dyDescent="0.25">
      <c r="B2253" s="39"/>
    </row>
    <row r="2254" spans="2:2" x14ac:dyDescent="0.25">
      <c r="B2254" s="39"/>
    </row>
    <row r="2255" spans="2:2" x14ac:dyDescent="0.25">
      <c r="B2255" s="39"/>
    </row>
    <row r="2256" spans="2:2" x14ac:dyDescent="0.25">
      <c r="B2256" s="39"/>
    </row>
    <row r="2257" spans="2:2" x14ac:dyDescent="0.25">
      <c r="B2257" s="39"/>
    </row>
    <row r="2258" spans="2:2" x14ac:dyDescent="0.25">
      <c r="B2258" s="39"/>
    </row>
    <row r="2259" spans="2:2" x14ac:dyDescent="0.25">
      <c r="B2259" s="39"/>
    </row>
    <row r="2260" spans="2:2" x14ac:dyDescent="0.25">
      <c r="B2260" s="39"/>
    </row>
    <row r="2261" spans="2:2" x14ac:dyDescent="0.25">
      <c r="B2261" s="39"/>
    </row>
    <row r="2262" spans="2:2" x14ac:dyDescent="0.25">
      <c r="B2262" s="39"/>
    </row>
    <row r="2263" spans="2:2" x14ac:dyDescent="0.25">
      <c r="B2263" s="39"/>
    </row>
    <row r="2264" spans="2:2" x14ac:dyDescent="0.25">
      <c r="B2264" s="39"/>
    </row>
    <row r="2265" spans="2:2" x14ac:dyDescent="0.25">
      <c r="B2265" s="39"/>
    </row>
    <row r="2266" spans="2:2" x14ac:dyDescent="0.25">
      <c r="B2266" s="39"/>
    </row>
    <row r="2267" spans="2:2" x14ac:dyDescent="0.25">
      <c r="B2267" s="39"/>
    </row>
    <row r="2268" spans="2:2" x14ac:dyDescent="0.25">
      <c r="B2268" s="39"/>
    </row>
    <row r="2269" spans="2:2" x14ac:dyDescent="0.25">
      <c r="B2269" s="39"/>
    </row>
    <row r="2270" spans="2:2" x14ac:dyDescent="0.25">
      <c r="B2270" s="39"/>
    </row>
    <row r="2271" spans="2:2" x14ac:dyDescent="0.25">
      <c r="B2271" s="39"/>
    </row>
    <row r="2272" spans="2:2" x14ac:dyDescent="0.25">
      <c r="B2272" s="39"/>
    </row>
    <row r="2273" spans="2:2" x14ac:dyDescent="0.25">
      <c r="B2273" s="39"/>
    </row>
    <row r="2274" spans="2:2" x14ac:dyDescent="0.25">
      <c r="B2274" s="39"/>
    </row>
    <row r="2275" spans="2:2" x14ac:dyDescent="0.25">
      <c r="B2275" s="39"/>
    </row>
    <row r="2276" spans="2:2" x14ac:dyDescent="0.25">
      <c r="B2276" s="39"/>
    </row>
    <row r="2277" spans="2:2" x14ac:dyDescent="0.25">
      <c r="B2277" s="39"/>
    </row>
    <row r="2278" spans="2:2" x14ac:dyDescent="0.25">
      <c r="B2278" s="39"/>
    </row>
    <row r="2279" spans="2:2" x14ac:dyDescent="0.25">
      <c r="B2279" s="39"/>
    </row>
    <row r="2280" spans="2:2" x14ac:dyDescent="0.25">
      <c r="B2280" s="39"/>
    </row>
    <row r="2281" spans="2:2" x14ac:dyDescent="0.25">
      <c r="B2281" s="39"/>
    </row>
    <row r="2282" spans="2:2" x14ac:dyDescent="0.25">
      <c r="B2282" s="39"/>
    </row>
    <row r="2283" spans="2:2" x14ac:dyDescent="0.25">
      <c r="B2283" s="39"/>
    </row>
    <row r="2284" spans="2:2" x14ac:dyDescent="0.25">
      <c r="B2284" s="39"/>
    </row>
    <row r="2285" spans="2:2" x14ac:dyDescent="0.25">
      <c r="B2285" s="39"/>
    </row>
    <row r="2286" spans="2:2" x14ac:dyDescent="0.25">
      <c r="B2286" s="39"/>
    </row>
    <row r="2287" spans="2:2" x14ac:dyDescent="0.25">
      <c r="B2287" s="39"/>
    </row>
    <row r="2288" spans="2:2" x14ac:dyDescent="0.25">
      <c r="B2288" s="39"/>
    </row>
    <row r="2289" spans="2:2" x14ac:dyDescent="0.25">
      <c r="B2289" s="39"/>
    </row>
    <row r="2290" spans="2:2" x14ac:dyDescent="0.25">
      <c r="B2290" s="39"/>
    </row>
    <row r="2291" spans="2:2" x14ac:dyDescent="0.25">
      <c r="B2291" s="39"/>
    </row>
    <row r="2292" spans="2:2" x14ac:dyDescent="0.25">
      <c r="B2292" s="39"/>
    </row>
    <row r="2293" spans="2:2" x14ac:dyDescent="0.25">
      <c r="B2293" s="39"/>
    </row>
    <row r="2294" spans="2:2" x14ac:dyDescent="0.25">
      <c r="B2294" s="39"/>
    </row>
    <row r="2295" spans="2:2" x14ac:dyDescent="0.25">
      <c r="B2295" s="39"/>
    </row>
    <row r="2296" spans="2:2" x14ac:dyDescent="0.25">
      <c r="B2296" s="39"/>
    </row>
    <row r="2297" spans="2:2" x14ac:dyDescent="0.25">
      <c r="B2297" s="39"/>
    </row>
    <row r="2298" spans="2:2" x14ac:dyDescent="0.25">
      <c r="B2298" s="39"/>
    </row>
    <row r="2299" spans="2:2" x14ac:dyDescent="0.25">
      <c r="B2299" s="39"/>
    </row>
    <row r="2300" spans="2:2" x14ac:dyDescent="0.25">
      <c r="B2300" s="39"/>
    </row>
    <row r="2301" spans="2:2" x14ac:dyDescent="0.25">
      <c r="B2301" s="39"/>
    </row>
    <row r="2302" spans="2:2" x14ac:dyDescent="0.25">
      <c r="B2302" s="39"/>
    </row>
    <row r="2303" spans="2:2" x14ac:dyDescent="0.25">
      <c r="B2303" s="39"/>
    </row>
    <row r="2304" spans="2:2" x14ac:dyDescent="0.25">
      <c r="B2304" s="39"/>
    </row>
    <row r="2305" spans="2:2" x14ac:dyDescent="0.25">
      <c r="B2305" s="39"/>
    </row>
    <row r="2306" spans="2:2" x14ac:dyDescent="0.25">
      <c r="B2306" s="39"/>
    </row>
    <row r="2307" spans="2:2" x14ac:dyDescent="0.25">
      <c r="B2307" s="39"/>
    </row>
    <row r="2308" spans="2:2" x14ac:dyDescent="0.25">
      <c r="B2308" s="39"/>
    </row>
    <row r="2309" spans="2:2" x14ac:dyDescent="0.25">
      <c r="B2309" s="39"/>
    </row>
    <row r="2310" spans="2:2" x14ac:dyDescent="0.25">
      <c r="B2310" s="39"/>
    </row>
    <row r="2311" spans="2:2" x14ac:dyDescent="0.25">
      <c r="B2311" s="39"/>
    </row>
    <row r="2312" spans="2:2" x14ac:dyDescent="0.25">
      <c r="B2312" s="39"/>
    </row>
    <row r="2313" spans="2:2" x14ac:dyDescent="0.25">
      <c r="B2313" s="39"/>
    </row>
    <row r="2314" spans="2:2" x14ac:dyDescent="0.25">
      <c r="B2314" s="39"/>
    </row>
    <row r="2315" spans="2:2" x14ac:dyDescent="0.25">
      <c r="B2315" s="39"/>
    </row>
    <row r="2316" spans="2:2" x14ac:dyDescent="0.25">
      <c r="B2316" s="39"/>
    </row>
    <row r="2317" spans="2:2" x14ac:dyDescent="0.25">
      <c r="B2317" s="39"/>
    </row>
    <row r="2318" spans="2:2" x14ac:dyDescent="0.25">
      <c r="B2318" s="39"/>
    </row>
    <row r="2319" spans="2:2" x14ac:dyDescent="0.25">
      <c r="B2319" s="39"/>
    </row>
    <row r="2320" spans="2:2" x14ac:dyDescent="0.25">
      <c r="B2320" s="39"/>
    </row>
    <row r="2321" spans="2:2" x14ac:dyDescent="0.25">
      <c r="B2321" s="39"/>
    </row>
    <row r="2322" spans="2:2" x14ac:dyDescent="0.25">
      <c r="B2322" s="39"/>
    </row>
    <row r="2323" spans="2:2" x14ac:dyDescent="0.25">
      <c r="B2323" s="39"/>
    </row>
    <row r="2324" spans="2:2" x14ac:dyDescent="0.25">
      <c r="B2324" s="39"/>
    </row>
    <row r="2325" spans="2:2" x14ac:dyDescent="0.25">
      <c r="B2325" s="39"/>
    </row>
    <row r="2326" spans="2:2" x14ac:dyDescent="0.25">
      <c r="B2326" s="39"/>
    </row>
    <row r="2327" spans="2:2" x14ac:dyDescent="0.25">
      <c r="B2327" s="39"/>
    </row>
    <row r="2328" spans="2:2" x14ac:dyDescent="0.25">
      <c r="B2328" s="39"/>
    </row>
    <row r="2329" spans="2:2" x14ac:dyDescent="0.25">
      <c r="B2329" s="39"/>
    </row>
    <row r="2330" spans="2:2" x14ac:dyDescent="0.25">
      <c r="B2330" s="39"/>
    </row>
    <row r="2331" spans="2:2" x14ac:dyDescent="0.25">
      <c r="B2331" s="39"/>
    </row>
    <row r="2332" spans="2:2" x14ac:dyDescent="0.25">
      <c r="B2332" s="39"/>
    </row>
    <row r="2333" spans="2:2" x14ac:dyDescent="0.25">
      <c r="B2333" s="39"/>
    </row>
    <row r="2334" spans="2:2" x14ac:dyDescent="0.25">
      <c r="B2334" s="39"/>
    </row>
    <row r="2335" spans="2:2" x14ac:dyDescent="0.25">
      <c r="B2335" s="39"/>
    </row>
    <row r="2336" spans="2:2" x14ac:dyDescent="0.25">
      <c r="B2336" s="39"/>
    </row>
    <row r="2337" spans="2:2" x14ac:dyDescent="0.25">
      <c r="B2337" s="39"/>
    </row>
    <row r="2338" spans="2:2" x14ac:dyDescent="0.25">
      <c r="B2338" s="39"/>
    </row>
    <row r="2339" spans="2:2" x14ac:dyDescent="0.25">
      <c r="B2339" s="39"/>
    </row>
    <row r="2340" spans="2:2" x14ac:dyDescent="0.25">
      <c r="B2340" s="39"/>
    </row>
    <row r="2341" spans="2:2" x14ac:dyDescent="0.25">
      <c r="B2341" s="39"/>
    </row>
    <row r="2342" spans="2:2" x14ac:dyDescent="0.25">
      <c r="B2342" s="39"/>
    </row>
    <row r="2343" spans="2:2" x14ac:dyDescent="0.25">
      <c r="B2343" s="39"/>
    </row>
    <row r="2344" spans="2:2" x14ac:dyDescent="0.25">
      <c r="B2344" s="39"/>
    </row>
    <row r="2345" spans="2:2" x14ac:dyDescent="0.25">
      <c r="B2345" s="39"/>
    </row>
    <row r="2346" spans="2:2" x14ac:dyDescent="0.25">
      <c r="B2346" s="39"/>
    </row>
    <row r="2347" spans="2:2" x14ac:dyDescent="0.25">
      <c r="B2347" s="39"/>
    </row>
    <row r="2348" spans="2:2" x14ac:dyDescent="0.25">
      <c r="B2348" s="39"/>
    </row>
    <row r="2349" spans="2:2" x14ac:dyDescent="0.25">
      <c r="B2349" s="39"/>
    </row>
    <row r="2350" spans="2:2" x14ac:dyDescent="0.25">
      <c r="B2350" s="39"/>
    </row>
    <row r="2351" spans="2:2" x14ac:dyDescent="0.25">
      <c r="B2351" s="39"/>
    </row>
    <row r="2352" spans="2:2" x14ac:dyDescent="0.25">
      <c r="B2352" s="39"/>
    </row>
    <row r="2353" spans="2:2" x14ac:dyDescent="0.25">
      <c r="B2353" s="39"/>
    </row>
    <row r="2354" spans="2:2" x14ac:dyDescent="0.25">
      <c r="B2354" s="39"/>
    </row>
    <row r="2355" spans="2:2" x14ac:dyDescent="0.25">
      <c r="B2355" s="39"/>
    </row>
    <row r="2356" spans="2:2" x14ac:dyDescent="0.25">
      <c r="B2356" s="39"/>
    </row>
    <row r="2357" spans="2:2" x14ac:dyDescent="0.25">
      <c r="B2357" s="39"/>
    </row>
    <row r="2358" spans="2:2" x14ac:dyDescent="0.25">
      <c r="B2358" s="39"/>
    </row>
    <row r="2359" spans="2:2" x14ac:dyDescent="0.25">
      <c r="B2359" s="39"/>
    </row>
    <row r="2360" spans="2:2" x14ac:dyDescent="0.25">
      <c r="B2360" s="39"/>
    </row>
    <row r="2361" spans="2:2" x14ac:dyDescent="0.25">
      <c r="B2361" s="39"/>
    </row>
    <row r="2362" spans="2:2" x14ac:dyDescent="0.25">
      <c r="B2362" s="39"/>
    </row>
    <row r="2363" spans="2:2" x14ac:dyDescent="0.25">
      <c r="B2363" s="39"/>
    </row>
    <row r="2364" spans="2:2" x14ac:dyDescent="0.25">
      <c r="B2364" s="39"/>
    </row>
    <row r="2365" spans="2:2" x14ac:dyDescent="0.25">
      <c r="B2365" s="39"/>
    </row>
    <row r="2366" spans="2:2" x14ac:dyDescent="0.25">
      <c r="B2366" s="39"/>
    </row>
    <row r="2367" spans="2:2" x14ac:dyDescent="0.25">
      <c r="B2367" s="39"/>
    </row>
    <row r="2368" spans="2:2" x14ac:dyDescent="0.25">
      <c r="B2368" s="39"/>
    </row>
    <row r="2369" spans="2:2" x14ac:dyDescent="0.25">
      <c r="B2369" s="39"/>
    </row>
    <row r="2370" spans="2:2" x14ac:dyDescent="0.25">
      <c r="B2370" s="39"/>
    </row>
    <row r="2371" spans="2:2" x14ac:dyDescent="0.25">
      <c r="B2371" s="39"/>
    </row>
    <row r="2372" spans="2:2" x14ac:dyDescent="0.25">
      <c r="B2372" s="39"/>
    </row>
    <row r="2373" spans="2:2" x14ac:dyDescent="0.25">
      <c r="B2373" s="39"/>
    </row>
    <row r="2374" spans="2:2" x14ac:dyDescent="0.25">
      <c r="B2374" s="39"/>
    </row>
    <row r="2375" spans="2:2" x14ac:dyDescent="0.25">
      <c r="B2375" s="39"/>
    </row>
    <row r="2376" spans="2:2" x14ac:dyDescent="0.25">
      <c r="B2376" s="39"/>
    </row>
    <row r="2377" spans="2:2" x14ac:dyDescent="0.25">
      <c r="B2377" s="39"/>
    </row>
    <row r="2378" spans="2:2" x14ac:dyDescent="0.25">
      <c r="B2378" s="39"/>
    </row>
    <row r="2379" spans="2:2" x14ac:dyDescent="0.25">
      <c r="B2379" s="39"/>
    </row>
    <row r="2380" spans="2:2" x14ac:dyDescent="0.25">
      <c r="B2380" s="39"/>
    </row>
    <row r="2381" spans="2:2" x14ac:dyDescent="0.25">
      <c r="B2381" s="39"/>
    </row>
    <row r="2382" spans="2:2" x14ac:dyDescent="0.25">
      <c r="B2382" s="39"/>
    </row>
    <row r="2383" spans="2:2" x14ac:dyDescent="0.25">
      <c r="B2383" s="39"/>
    </row>
    <row r="2384" spans="2:2" x14ac:dyDescent="0.25">
      <c r="B2384" s="39"/>
    </row>
    <row r="2385" spans="2:2" x14ac:dyDescent="0.25">
      <c r="B2385" s="39"/>
    </row>
    <row r="2386" spans="2:2" x14ac:dyDescent="0.25">
      <c r="B2386" s="39"/>
    </row>
    <row r="2387" spans="2:2" x14ac:dyDescent="0.25">
      <c r="B2387" s="39"/>
    </row>
    <row r="2388" spans="2:2" x14ac:dyDescent="0.25">
      <c r="B2388" s="39"/>
    </row>
    <row r="2389" spans="2:2" x14ac:dyDescent="0.25">
      <c r="B2389" s="39"/>
    </row>
    <row r="2390" spans="2:2" x14ac:dyDescent="0.25">
      <c r="B2390" s="39"/>
    </row>
    <row r="2391" spans="2:2" x14ac:dyDescent="0.25">
      <c r="B2391" s="39"/>
    </row>
    <row r="2392" spans="2:2" x14ac:dyDescent="0.25">
      <c r="B2392" s="39"/>
    </row>
    <row r="2393" spans="2:2" x14ac:dyDescent="0.25">
      <c r="B2393" s="39"/>
    </row>
    <row r="2394" spans="2:2" x14ac:dyDescent="0.25">
      <c r="B2394" s="39"/>
    </row>
    <row r="2395" spans="2:2" x14ac:dyDescent="0.25">
      <c r="B2395" s="39"/>
    </row>
    <row r="2396" spans="2:2" x14ac:dyDescent="0.25">
      <c r="B2396" s="39"/>
    </row>
    <row r="2397" spans="2:2" x14ac:dyDescent="0.25">
      <c r="B2397" s="39"/>
    </row>
    <row r="2398" spans="2:2" x14ac:dyDescent="0.25">
      <c r="B2398" s="39"/>
    </row>
    <row r="2399" spans="2:2" x14ac:dyDescent="0.25">
      <c r="B2399" s="39"/>
    </row>
    <row r="2400" spans="2:2" x14ac:dyDescent="0.25">
      <c r="B2400" s="39"/>
    </row>
    <row r="2401" spans="2:2" x14ac:dyDescent="0.25">
      <c r="B2401" s="39"/>
    </row>
    <row r="2402" spans="2:2" x14ac:dyDescent="0.25">
      <c r="B2402" s="39"/>
    </row>
    <row r="2403" spans="2:2" x14ac:dyDescent="0.25">
      <c r="B2403" s="39"/>
    </row>
    <row r="2404" spans="2:2" x14ac:dyDescent="0.25">
      <c r="B2404" s="39"/>
    </row>
    <row r="2405" spans="2:2" x14ac:dyDescent="0.25">
      <c r="B2405" s="39"/>
    </row>
    <row r="2406" spans="2:2" x14ac:dyDescent="0.25">
      <c r="B2406" s="39"/>
    </row>
    <row r="2407" spans="2:2" x14ac:dyDescent="0.25">
      <c r="B2407" s="39"/>
    </row>
    <row r="2408" spans="2:2" x14ac:dyDescent="0.25">
      <c r="B2408" s="39"/>
    </row>
    <row r="2409" spans="2:2" x14ac:dyDescent="0.25">
      <c r="B2409" s="39"/>
    </row>
    <row r="2410" spans="2:2" x14ac:dyDescent="0.25">
      <c r="B2410" s="39"/>
    </row>
    <row r="2411" spans="2:2" x14ac:dyDescent="0.25">
      <c r="B2411" s="39"/>
    </row>
    <row r="2412" spans="2:2" x14ac:dyDescent="0.25">
      <c r="B2412" s="39"/>
    </row>
    <row r="2413" spans="2:2" x14ac:dyDescent="0.25">
      <c r="B2413" s="39"/>
    </row>
    <row r="2414" spans="2:2" x14ac:dyDescent="0.25">
      <c r="B2414" s="39"/>
    </row>
    <row r="2415" spans="2:2" x14ac:dyDescent="0.25">
      <c r="B2415" s="39"/>
    </row>
    <row r="2416" spans="2:2" x14ac:dyDescent="0.25">
      <c r="B2416" s="39"/>
    </row>
    <row r="2417" spans="2:2" x14ac:dyDescent="0.25">
      <c r="B2417" s="39"/>
    </row>
    <row r="2418" spans="2:2" x14ac:dyDescent="0.25">
      <c r="B2418" s="39"/>
    </row>
    <row r="2419" spans="2:2" x14ac:dyDescent="0.25">
      <c r="B2419" s="39"/>
    </row>
    <row r="2420" spans="2:2" x14ac:dyDescent="0.25">
      <c r="B2420" s="39"/>
    </row>
    <row r="2421" spans="2:2" x14ac:dyDescent="0.25">
      <c r="B2421" s="39"/>
    </row>
    <row r="2422" spans="2:2" x14ac:dyDescent="0.25">
      <c r="B2422" s="39"/>
    </row>
    <row r="2423" spans="2:2" x14ac:dyDescent="0.25">
      <c r="B2423" s="39"/>
    </row>
    <row r="2424" spans="2:2" x14ac:dyDescent="0.25">
      <c r="B2424" s="39"/>
    </row>
    <row r="2425" spans="2:2" x14ac:dyDescent="0.25">
      <c r="B2425" s="39"/>
    </row>
    <row r="2426" spans="2:2" x14ac:dyDescent="0.25">
      <c r="B2426" s="39"/>
    </row>
    <row r="2427" spans="2:2" x14ac:dyDescent="0.25">
      <c r="B2427" s="39"/>
    </row>
    <row r="2428" spans="2:2" x14ac:dyDescent="0.25">
      <c r="B2428" s="39"/>
    </row>
    <row r="2429" spans="2:2" x14ac:dyDescent="0.25">
      <c r="B2429" s="39"/>
    </row>
    <row r="2430" spans="2:2" x14ac:dyDescent="0.25">
      <c r="B2430" s="39"/>
    </row>
    <row r="2431" spans="2:2" x14ac:dyDescent="0.25">
      <c r="B2431" s="39"/>
    </row>
    <row r="2432" spans="2:2" x14ac:dyDescent="0.25">
      <c r="B2432" s="39"/>
    </row>
    <row r="2433" spans="2:2" x14ac:dyDescent="0.25">
      <c r="B2433" s="39"/>
    </row>
    <row r="2434" spans="2:2" x14ac:dyDescent="0.25">
      <c r="B2434" s="39"/>
    </row>
    <row r="2435" spans="2:2" x14ac:dyDescent="0.25">
      <c r="B2435" s="39"/>
    </row>
    <row r="2436" spans="2:2" x14ac:dyDescent="0.25">
      <c r="B2436" s="39"/>
    </row>
    <row r="2437" spans="2:2" x14ac:dyDescent="0.25">
      <c r="B2437" s="39"/>
    </row>
    <row r="2438" spans="2:2" x14ac:dyDescent="0.25">
      <c r="B2438" s="39"/>
    </row>
    <row r="2439" spans="2:2" x14ac:dyDescent="0.25">
      <c r="B2439" s="39"/>
    </row>
    <row r="2440" spans="2:2" x14ac:dyDescent="0.25">
      <c r="B2440" s="39"/>
    </row>
    <row r="2441" spans="2:2" x14ac:dyDescent="0.25">
      <c r="B2441" s="39"/>
    </row>
    <row r="2442" spans="2:2" x14ac:dyDescent="0.25">
      <c r="B2442" s="39"/>
    </row>
    <row r="2443" spans="2:2" x14ac:dyDescent="0.25">
      <c r="B2443" s="39"/>
    </row>
    <row r="2444" spans="2:2" x14ac:dyDescent="0.25">
      <c r="B2444" s="39"/>
    </row>
    <row r="2445" spans="2:2" x14ac:dyDescent="0.25">
      <c r="B2445" s="39"/>
    </row>
    <row r="2446" spans="2:2" x14ac:dyDescent="0.25">
      <c r="B2446" s="39"/>
    </row>
    <row r="2447" spans="2:2" x14ac:dyDescent="0.25">
      <c r="B2447" s="39"/>
    </row>
    <row r="2448" spans="2:2" x14ac:dyDescent="0.25">
      <c r="B2448" s="39"/>
    </row>
    <row r="2449" spans="2:2" x14ac:dyDescent="0.25">
      <c r="B2449" s="39"/>
    </row>
    <row r="2450" spans="2:2" x14ac:dyDescent="0.25">
      <c r="B2450" s="39"/>
    </row>
    <row r="2451" spans="2:2" x14ac:dyDescent="0.25">
      <c r="B2451" s="39"/>
    </row>
    <row r="2452" spans="2:2" x14ac:dyDescent="0.25">
      <c r="B2452" s="39"/>
    </row>
    <row r="2453" spans="2:2" x14ac:dyDescent="0.25">
      <c r="B2453" s="39"/>
    </row>
    <row r="2454" spans="2:2" x14ac:dyDescent="0.25">
      <c r="B2454" s="39"/>
    </row>
    <row r="2455" spans="2:2" x14ac:dyDescent="0.25">
      <c r="B2455" s="39"/>
    </row>
    <row r="2456" spans="2:2" x14ac:dyDescent="0.25">
      <c r="B2456" s="39"/>
    </row>
    <row r="2457" spans="2:2" x14ac:dyDescent="0.25">
      <c r="B2457" s="39"/>
    </row>
    <row r="2458" spans="2:2" x14ac:dyDescent="0.25">
      <c r="B2458" s="39"/>
    </row>
    <row r="2459" spans="2:2" x14ac:dyDescent="0.25">
      <c r="B2459" s="39"/>
    </row>
    <row r="2460" spans="2:2" x14ac:dyDescent="0.25">
      <c r="B2460" s="39"/>
    </row>
    <row r="2461" spans="2:2" x14ac:dyDescent="0.25">
      <c r="B2461" s="39"/>
    </row>
    <row r="2462" spans="2:2" x14ac:dyDescent="0.25">
      <c r="B2462" s="39"/>
    </row>
    <row r="2463" spans="2:2" x14ac:dyDescent="0.25">
      <c r="B2463" s="39"/>
    </row>
    <row r="2464" spans="2:2" x14ac:dyDescent="0.25">
      <c r="B2464" s="39"/>
    </row>
    <row r="2465" spans="2:2" x14ac:dyDescent="0.25">
      <c r="B2465" s="39"/>
    </row>
    <row r="2466" spans="2:2" x14ac:dyDescent="0.25">
      <c r="B2466" s="39"/>
    </row>
    <row r="2467" spans="2:2" x14ac:dyDescent="0.25">
      <c r="B2467" s="39"/>
    </row>
    <row r="2468" spans="2:2" x14ac:dyDescent="0.25">
      <c r="B2468" s="39"/>
    </row>
    <row r="2469" spans="2:2" x14ac:dyDescent="0.25">
      <c r="B2469" s="39"/>
    </row>
    <row r="2470" spans="2:2" x14ac:dyDescent="0.25">
      <c r="B2470" s="39"/>
    </row>
    <row r="2471" spans="2:2" x14ac:dyDescent="0.25">
      <c r="B2471" s="39"/>
    </row>
    <row r="2472" spans="2:2" x14ac:dyDescent="0.25">
      <c r="B2472" s="39"/>
    </row>
    <row r="2473" spans="2:2" x14ac:dyDescent="0.25">
      <c r="B2473" s="39"/>
    </row>
    <row r="2474" spans="2:2" x14ac:dyDescent="0.25">
      <c r="B2474" s="39"/>
    </row>
    <row r="2475" spans="2:2" x14ac:dyDescent="0.25">
      <c r="B2475" s="39"/>
    </row>
    <row r="2476" spans="2:2" x14ac:dyDescent="0.25">
      <c r="B2476" s="39"/>
    </row>
    <row r="2477" spans="2:2" x14ac:dyDescent="0.25">
      <c r="B2477" s="39"/>
    </row>
    <row r="2478" spans="2:2" x14ac:dyDescent="0.25">
      <c r="B2478" s="39"/>
    </row>
    <row r="2479" spans="2:2" x14ac:dyDescent="0.25">
      <c r="B2479" s="39"/>
    </row>
    <row r="2480" spans="2:2" x14ac:dyDescent="0.25">
      <c r="B2480" s="39"/>
    </row>
    <row r="2481" spans="2:2" x14ac:dyDescent="0.25">
      <c r="B2481" s="39"/>
    </row>
    <row r="2482" spans="2:2" x14ac:dyDescent="0.25">
      <c r="B2482" s="39"/>
    </row>
    <row r="2483" spans="2:2" x14ac:dyDescent="0.25">
      <c r="B2483" s="39"/>
    </row>
    <row r="2484" spans="2:2" x14ac:dyDescent="0.25">
      <c r="B2484" s="39"/>
    </row>
    <row r="2485" spans="2:2" x14ac:dyDescent="0.25">
      <c r="B2485" s="39"/>
    </row>
    <row r="2486" spans="2:2" x14ac:dyDescent="0.25">
      <c r="B2486" s="39"/>
    </row>
    <row r="2487" spans="2:2" x14ac:dyDescent="0.25">
      <c r="B2487" s="39"/>
    </row>
    <row r="2488" spans="2:2" x14ac:dyDescent="0.25">
      <c r="B2488" s="39"/>
    </row>
    <row r="2489" spans="2:2" x14ac:dyDescent="0.25">
      <c r="B2489" s="39"/>
    </row>
    <row r="2490" spans="2:2" x14ac:dyDescent="0.25">
      <c r="B2490" s="39"/>
    </row>
    <row r="2491" spans="2:2" x14ac:dyDescent="0.25">
      <c r="B2491" s="39"/>
    </row>
    <row r="2492" spans="2:2" x14ac:dyDescent="0.25">
      <c r="B2492" s="39"/>
    </row>
    <row r="2493" spans="2:2" x14ac:dyDescent="0.25">
      <c r="B2493" s="39"/>
    </row>
    <row r="2494" spans="2:2" x14ac:dyDescent="0.25">
      <c r="B2494" s="39"/>
    </row>
    <row r="2495" spans="2:2" x14ac:dyDescent="0.25">
      <c r="B2495" s="39"/>
    </row>
    <row r="2496" spans="2:2" x14ac:dyDescent="0.25">
      <c r="B2496" s="39"/>
    </row>
    <row r="2497" spans="2:2" x14ac:dyDescent="0.25">
      <c r="B2497" s="39"/>
    </row>
    <row r="2498" spans="2:2" x14ac:dyDescent="0.25">
      <c r="B2498" s="39"/>
    </row>
    <row r="2499" spans="2:2" x14ac:dyDescent="0.25">
      <c r="B2499" s="39"/>
    </row>
    <row r="2500" spans="2:2" x14ac:dyDescent="0.25">
      <c r="B2500" s="39"/>
    </row>
    <row r="2501" spans="2:2" x14ac:dyDescent="0.25">
      <c r="B2501" s="39"/>
    </row>
    <row r="2502" spans="2:2" x14ac:dyDescent="0.25">
      <c r="B2502" s="39"/>
    </row>
    <row r="2503" spans="2:2" x14ac:dyDescent="0.25">
      <c r="B2503" s="39"/>
    </row>
    <row r="2504" spans="2:2" x14ac:dyDescent="0.25">
      <c r="B2504" s="39"/>
    </row>
    <row r="2505" spans="2:2" x14ac:dyDescent="0.25">
      <c r="B2505" s="39"/>
    </row>
    <row r="2506" spans="2:2" x14ac:dyDescent="0.25">
      <c r="B2506" s="39"/>
    </row>
    <row r="2507" spans="2:2" x14ac:dyDescent="0.25">
      <c r="B2507" s="39"/>
    </row>
    <row r="2508" spans="2:2" x14ac:dyDescent="0.25">
      <c r="B2508" s="39"/>
    </row>
    <row r="2509" spans="2:2" x14ac:dyDescent="0.25">
      <c r="B2509" s="39"/>
    </row>
    <row r="2510" spans="2:2" x14ac:dyDescent="0.25">
      <c r="B2510" s="39"/>
    </row>
    <row r="2511" spans="2:2" x14ac:dyDescent="0.25">
      <c r="B2511" s="39"/>
    </row>
    <row r="2512" spans="2:2" x14ac:dyDescent="0.25">
      <c r="B2512" s="39"/>
    </row>
    <row r="2513" spans="2:2" x14ac:dyDescent="0.25">
      <c r="B2513" s="39"/>
    </row>
    <row r="2514" spans="2:2" x14ac:dyDescent="0.25">
      <c r="B2514" s="39"/>
    </row>
    <row r="2515" spans="2:2" x14ac:dyDescent="0.25">
      <c r="B2515" s="39"/>
    </row>
    <row r="2516" spans="2:2" x14ac:dyDescent="0.25">
      <c r="B2516" s="39"/>
    </row>
    <row r="2517" spans="2:2" x14ac:dyDescent="0.25">
      <c r="B2517" s="39"/>
    </row>
    <row r="2518" spans="2:2" x14ac:dyDescent="0.25">
      <c r="B2518" s="39"/>
    </row>
    <row r="2519" spans="2:2" x14ac:dyDescent="0.25">
      <c r="B2519" s="39"/>
    </row>
    <row r="2520" spans="2:2" x14ac:dyDescent="0.25">
      <c r="B2520" s="39"/>
    </row>
    <row r="2521" spans="2:2" x14ac:dyDescent="0.25">
      <c r="B2521" s="39"/>
    </row>
    <row r="2522" spans="2:2" x14ac:dyDescent="0.25">
      <c r="B2522" s="39"/>
    </row>
    <row r="2523" spans="2:2" x14ac:dyDescent="0.25">
      <c r="B2523" s="39"/>
    </row>
    <row r="2524" spans="2:2" x14ac:dyDescent="0.25">
      <c r="B2524" s="39"/>
    </row>
    <row r="2525" spans="2:2" x14ac:dyDescent="0.25">
      <c r="B2525" s="39"/>
    </row>
    <row r="2526" spans="2:2" x14ac:dyDescent="0.25">
      <c r="B2526" s="39"/>
    </row>
    <row r="2527" spans="2:2" x14ac:dyDescent="0.25">
      <c r="B2527" s="39"/>
    </row>
    <row r="2528" spans="2:2" x14ac:dyDescent="0.25">
      <c r="B2528" s="39"/>
    </row>
    <row r="2529" spans="2:2" x14ac:dyDescent="0.25">
      <c r="B2529" s="39"/>
    </row>
    <row r="2530" spans="2:2" x14ac:dyDescent="0.25">
      <c r="B2530" s="39"/>
    </row>
    <row r="2531" spans="2:2" x14ac:dyDescent="0.25">
      <c r="B2531" s="39"/>
    </row>
    <row r="2532" spans="2:2" x14ac:dyDescent="0.25">
      <c r="B2532" s="39"/>
    </row>
    <row r="2533" spans="2:2" x14ac:dyDescent="0.25">
      <c r="B2533" s="39"/>
    </row>
    <row r="2534" spans="2:2" x14ac:dyDescent="0.25">
      <c r="B2534" s="39"/>
    </row>
    <row r="2535" spans="2:2" x14ac:dyDescent="0.25">
      <c r="B2535" s="39"/>
    </row>
    <row r="2536" spans="2:2" x14ac:dyDescent="0.25">
      <c r="B2536" s="39"/>
    </row>
    <row r="2537" spans="2:2" x14ac:dyDescent="0.25">
      <c r="B2537" s="39"/>
    </row>
    <row r="2538" spans="2:2" x14ac:dyDescent="0.25">
      <c r="B2538" s="39"/>
    </row>
    <row r="2539" spans="2:2" x14ac:dyDescent="0.25">
      <c r="B2539" s="39"/>
    </row>
    <row r="2540" spans="2:2" x14ac:dyDescent="0.25">
      <c r="B2540" s="39"/>
    </row>
    <row r="2541" spans="2:2" x14ac:dyDescent="0.25">
      <c r="B2541" s="39"/>
    </row>
    <row r="2542" spans="2:2" x14ac:dyDescent="0.25">
      <c r="B2542" s="39"/>
    </row>
    <row r="2543" spans="2:2" x14ac:dyDescent="0.25">
      <c r="B2543" s="39"/>
    </row>
    <row r="2544" spans="2:2" x14ac:dyDescent="0.25">
      <c r="B2544" s="39"/>
    </row>
    <row r="2545" spans="2:2" x14ac:dyDescent="0.25">
      <c r="B2545" s="39"/>
    </row>
    <row r="2546" spans="2:2" x14ac:dyDescent="0.25">
      <c r="B2546" s="39"/>
    </row>
    <row r="2547" spans="2:2" x14ac:dyDescent="0.25">
      <c r="B2547" s="39"/>
    </row>
    <row r="2548" spans="2:2" x14ac:dyDescent="0.25">
      <c r="B2548" s="39"/>
    </row>
    <row r="2549" spans="2:2" x14ac:dyDescent="0.25">
      <c r="B2549" s="39"/>
    </row>
    <row r="2550" spans="2:2" x14ac:dyDescent="0.25">
      <c r="B2550" s="39"/>
    </row>
    <row r="2551" spans="2:2" x14ac:dyDescent="0.25">
      <c r="B2551" s="39"/>
    </row>
    <row r="2552" spans="2:2" x14ac:dyDescent="0.25">
      <c r="B2552" s="39"/>
    </row>
    <row r="2553" spans="2:2" x14ac:dyDescent="0.25">
      <c r="B2553" s="39"/>
    </row>
    <row r="2554" spans="2:2" x14ac:dyDescent="0.25">
      <c r="B2554" s="39"/>
    </row>
    <row r="2555" spans="2:2" x14ac:dyDescent="0.25">
      <c r="B2555" s="39"/>
    </row>
    <row r="2556" spans="2:2" x14ac:dyDescent="0.25">
      <c r="B2556" s="39"/>
    </row>
    <row r="2557" spans="2:2" x14ac:dyDescent="0.25">
      <c r="B2557" s="39"/>
    </row>
    <row r="2558" spans="2:2" x14ac:dyDescent="0.25">
      <c r="B2558" s="39"/>
    </row>
    <row r="2559" spans="2:2" x14ac:dyDescent="0.25">
      <c r="B2559" s="39"/>
    </row>
    <row r="2560" spans="2:2" x14ac:dyDescent="0.25">
      <c r="B2560" s="39"/>
    </row>
    <row r="2561" spans="2:2" x14ac:dyDescent="0.25">
      <c r="B2561" s="39"/>
    </row>
    <row r="2562" spans="2:2" x14ac:dyDescent="0.25">
      <c r="B2562" s="39"/>
    </row>
    <row r="2563" spans="2:2" x14ac:dyDescent="0.25">
      <c r="B2563" s="39"/>
    </row>
    <row r="2564" spans="2:2" x14ac:dyDescent="0.25">
      <c r="B2564" s="39"/>
    </row>
    <row r="2565" spans="2:2" x14ac:dyDescent="0.25">
      <c r="B2565" s="39"/>
    </row>
    <row r="2566" spans="2:2" x14ac:dyDescent="0.25">
      <c r="B2566" s="39"/>
    </row>
    <row r="2567" spans="2:2" x14ac:dyDescent="0.25">
      <c r="B2567" s="39"/>
    </row>
    <row r="2568" spans="2:2" x14ac:dyDescent="0.25">
      <c r="B2568" s="39"/>
    </row>
    <row r="2569" spans="2:2" x14ac:dyDescent="0.25">
      <c r="B2569" s="39"/>
    </row>
    <row r="2570" spans="2:2" x14ac:dyDescent="0.25">
      <c r="B2570" s="39"/>
    </row>
    <row r="2571" spans="2:2" x14ac:dyDescent="0.25">
      <c r="B2571" s="39"/>
    </row>
    <row r="2572" spans="2:2" x14ac:dyDescent="0.25">
      <c r="B2572" s="39"/>
    </row>
    <row r="2573" spans="2:2" x14ac:dyDescent="0.25">
      <c r="B2573" s="39"/>
    </row>
    <row r="2574" spans="2:2" x14ac:dyDescent="0.25">
      <c r="B2574" s="39"/>
    </row>
    <row r="2575" spans="2:2" x14ac:dyDescent="0.25">
      <c r="B2575" s="39"/>
    </row>
    <row r="2576" spans="2:2" x14ac:dyDescent="0.25">
      <c r="B2576" s="39"/>
    </row>
    <row r="2577" spans="2:2" x14ac:dyDescent="0.25">
      <c r="B2577" s="39"/>
    </row>
    <row r="2578" spans="2:2" x14ac:dyDescent="0.25">
      <c r="B2578" s="39"/>
    </row>
    <row r="2579" spans="2:2" x14ac:dyDescent="0.25">
      <c r="B2579" s="39"/>
    </row>
    <row r="2580" spans="2:2" x14ac:dyDescent="0.25">
      <c r="B2580" s="39"/>
    </row>
    <row r="2581" spans="2:2" x14ac:dyDescent="0.25">
      <c r="B2581" s="39"/>
    </row>
    <row r="2582" spans="2:2" x14ac:dyDescent="0.25">
      <c r="B2582" s="39"/>
    </row>
    <row r="2583" spans="2:2" x14ac:dyDescent="0.25">
      <c r="B2583" s="39"/>
    </row>
    <row r="2584" spans="2:2" x14ac:dyDescent="0.25">
      <c r="B2584" s="39"/>
    </row>
    <row r="2585" spans="2:2" x14ac:dyDescent="0.25">
      <c r="B2585" s="39"/>
    </row>
    <row r="2586" spans="2:2" x14ac:dyDescent="0.25">
      <c r="B2586" s="39"/>
    </row>
    <row r="2587" spans="2:2" x14ac:dyDescent="0.25">
      <c r="B2587" s="39"/>
    </row>
    <row r="2588" spans="2:2" x14ac:dyDescent="0.25">
      <c r="B2588" s="39"/>
    </row>
    <row r="2589" spans="2:2" x14ac:dyDescent="0.25">
      <c r="B2589" s="39"/>
    </row>
    <row r="2590" spans="2:2" x14ac:dyDescent="0.25">
      <c r="B2590" s="39"/>
    </row>
    <row r="2591" spans="2:2" x14ac:dyDescent="0.25">
      <c r="B2591" s="39"/>
    </row>
    <row r="2592" spans="2:2" x14ac:dyDescent="0.25">
      <c r="B2592" s="39"/>
    </row>
    <row r="2593" spans="2:2" x14ac:dyDescent="0.25">
      <c r="B2593" s="39"/>
    </row>
    <row r="2594" spans="2:2" x14ac:dyDescent="0.25">
      <c r="B2594" s="39"/>
    </row>
    <row r="2595" spans="2:2" x14ac:dyDescent="0.25">
      <c r="B2595" s="39"/>
    </row>
    <row r="2596" spans="2:2" x14ac:dyDescent="0.25">
      <c r="B2596" s="39"/>
    </row>
    <row r="2597" spans="2:2" x14ac:dyDescent="0.25">
      <c r="B2597" s="39"/>
    </row>
    <row r="2598" spans="2:2" x14ac:dyDescent="0.25">
      <c r="B2598" s="39"/>
    </row>
    <row r="2599" spans="2:2" x14ac:dyDescent="0.25">
      <c r="B2599" s="39"/>
    </row>
    <row r="2600" spans="2:2" x14ac:dyDescent="0.25">
      <c r="B2600" s="39"/>
    </row>
    <row r="2601" spans="2:2" x14ac:dyDescent="0.25">
      <c r="B2601" s="39"/>
    </row>
    <row r="2602" spans="2:2" x14ac:dyDescent="0.25">
      <c r="B2602" s="39"/>
    </row>
    <row r="2603" spans="2:2" x14ac:dyDescent="0.25">
      <c r="B2603" s="39"/>
    </row>
    <row r="2604" spans="2:2" x14ac:dyDescent="0.25">
      <c r="B2604" s="39"/>
    </row>
    <row r="2605" spans="2:2" x14ac:dyDescent="0.25">
      <c r="B2605" s="39"/>
    </row>
    <row r="2606" spans="2:2" x14ac:dyDescent="0.25">
      <c r="B2606" s="39"/>
    </row>
    <row r="2607" spans="2:2" x14ac:dyDescent="0.25">
      <c r="B2607" s="39"/>
    </row>
    <row r="2608" spans="2:2" x14ac:dyDescent="0.25">
      <c r="B2608" s="39"/>
    </row>
    <row r="2609" spans="2:2" x14ac:dyDescent="0.25">
      <c r="B2609" s="39"/>
    </row>
    <row r="2610" spans="2:2" x14ac:dyDescent="0.25">
      <c r="B2610" s="39"/>
    </row>
    <row r="2611" spans="2:2" x14ac:dyDescent="0.25">
      <c r="B2611" s="39"/>
    </row>
    <row r="2612" spans="2:2" x14ac:dyDescent="0.25">
      <c r="B2612" s="39"/>
    </row>
    <row r="2613" spans="2:2" x14ac:dyDescent="0.25">
      <c r="B2613" s="39"/>
    </row>
    <row r="2614" spans="2:2" x14ac:dyDescent="0.25">
      <c r="B2614" s="39"/>
    </row>
    <row r="2615" spans="2:2" x14ac:dyDescent="0.25">
      <c r="B2615" s="39"/>
    </row>
    <row r="2616" spans="2:2" x14ac:dyDescent="0.25">
      <c r="B2616" s="39"/>
    </row>
    <row r="2617" spans="2:2" x14ac:dyDescent="0.25">
      <c r="B2617" s="39"/>
    </row>
    <row r="2618" spans="2:2" x14ac:dyDescent="0.25">
      <c r="B2618" s="39"/>
    </row>
    <row r="2619" spans="2:2" x14ac:dyDescent="0.25">
      <c r="B2619" s="39"/>
    </row>
    <row r="2620" spans="2:2" x14ac:dyDescent="0.25">
      <c r="B2620" s="39"/>
    </row>
    <row r="2621" spans="2:2" x14ac:dyDescent="0.25">
      <c r="B2621" s="39"/>
    </row>
    <row r="2622" spans="2:2" x14ac:dyDescent="0.25">
      <c r="B2622" s="39"/>
    </row>
    <row r="2623" spans="2:2" x14ac:dyDescent="0.25">
      <c r="B2623" s="39"/>
    </row>
    <row r="2624" spans="2:2" x14ac:dyDescent="0.25">
      <c r="B2624" s="39"/>
    </row>
    <row r="2625" spans="2:2" x14ac:dyDescent="0.25">
      <c r="B2625" s="39"/>
    </row>
    <row r="2626" spans="2:2" x14ac:dyDescent="0.25">
      <c r="B2626" s="39"/>
    </row>
    <row r="2627" spans="2:2" x14ac:dyDescent="0.25">
      <c r="B2627" s="39"/>
    </row>
    <row r="2628" spans="2:2" x14ac:dyDescent="0.25">
      <c r="B2628" s="39"/>
    </row>
    <row r="2629" spans="2:2" x14ac:dyDescent="0.25">
      <c r="B2629" s="39"/>
    </row>
    <row r="2630" spans="2:2" x14ac:dyDescent="0.25">
      <c r="B2630" s="39"/>
    </row>
    <row r="2631" spans="2:2" x14ac:dyDescent="0.25">
      <c r="B2631" s="39"/>
    </row>
    <row r="2632" spans="2:2" x14ac:dyDescent="0.25">
      <c r="B2632" s="39"/>
    </row>
    <row r="2633" spans="2:2" x14ac:dyDescent="0.25">
      <c r="B2633" s="39"/>
    </row>
    <row r="2634" spans="2:2" x14ac:dyDescent="0.25">
      <c r="B2634" s="39"/>
    </row>
    <row r="2635" spans="2:2" x14ac:dyDescent="0.25">
      <c r="B2635" s="39"/>
    </row>
    <row r="2636" spans="2:2" x14ac:dyDescent="0.25">
      <c r="B2636" s="39"/>
    </row>
    <row r="2637" spans="2:2" x14ac:dyDescent="0.25">
      <c r="B2637" s="39"/>
    </row>
    <row r="2638" spans="2:2" x14ac:dyDescent="0.25">
      <c r="B2638" s="39"/>
    </row>
    <row r="2639" spans="2:2" x14ac:dyDescent="0.25">
      <c r="B2639" s="39"/>
    </row>
    <row r="2640" spans="2:2" x14ac:dyDescent="0.25">
      <c r="B2640" s="39"/>
    </row>
    <row r="2641" spans="2:2" x14ac:dyDescent="0.25">
      <c r="B2641" s="39"/>
    </row>
    <row r="2642" spans="2:2" x14ac:dyDescent="0.25">
      <c r="B2642" s="39"/>
    </row>
    <row r="2643" spans="2:2" x14ac:dyDescent="0.25">
      <c r="B2643" s="39"/>
    </row>
    <row r="2644" spans="2:2" x14ac:dyDescent="0.25">
      <c r="B2644" s="39"/>
    </row>
    <row r="2645" spans="2:2" x14ac:dyDescent="0.25">
      <c r="B2645" s="39"/>
    </row>
    <row r="2646" spans="2:2" x14ac:dyDescent="0.25">
      <c r="B2646" s="39"/>
    </row>
    <row r="2647" spans="2:2" x14ac:dyDescent="0.25">
      <c r="B2647" s="39"/>
    </row>
    <row r="2648" spans="2:2" x14ac:dyDescent="0.25">
      <c r="B2648" s="39"/>
    </row>
    <row r="2649" spans="2:2" x14ac:dyDescent="0.25">
      <c r="B2649" s="39"/>
    </row>
    <row r="2650" spans="2:2" x14ac:dyDescent="0.25">
      <c r="B2650" s="39"/>
    </row>
    <row r="2651" spans="2:2" x14ac:dyDescent="0.25">
      <c r="B2651" s="39"/>
    </row>
    <row r="2652" spans="2:2" x14ac:dyDescent="0.25">
      <c r="B2652" s="39"/>
    </row>
    <row r="2653" spans="2:2" x14ac:dyDescent="0.25">
      <c r="B2653" s="39"/>
    </row>
    <row r="2654" spans="2:2" x14ac:dyDescent="0.25">
      <c r="B2654" s="39"/>
    </row>
    <row r="2655" spans="2:2" x14ac:dyDescent="0.25">
      <c r="B2655" s="39"/>
    </row>
    <row r="2656" spans="2:2" x14ac:dyDescent="0.25">
      <c r="B2656" s="39"/>
    </row>
    <row r="2657" spans="2:2" x14ac:dyDescent="0.25">
      <c r="B2657" s="39"/>
    </row>
    <row r="2658" spans="2:2" x14ac:dyDescent="0.25">
      <c r="B2658" s="39"/>
    </row>
    <row r="2659" spans="2:2" x14ac:dyDescent="0.25">
      <c r="B2659" s="39"/>
    </row>
    <row r="2660" spans="2:2" x14ac:dyDescent="0.25">
      <c r="B2660" s="39"/>
    </row>
    <row r="2661" spans="2:2" x14ac:dyDescent="0.25">
      <c r="B2661" s="39"/>
    </row>
    <row r="2662" spans="2:2" x14ac:dyDescent="0.25">
      <c r="B2662" s="39"/>
    </row>
    <row r="2663" spans="2:2" x14ac:dyDescent="0.25">
      <c r="B2663" s="39"/>
    </row>
    <row r="2664" spans="2:2" x14ac:dyDescent="0.25">
      <c r="B2664" s="39"/>
    </row>
    <row r="2665" spans="2:2" x14ac:dyDescent="0.25">
      <c r="B2665" s="39"/>
    </row>
    <row r="2666" spans="2:2" x14ac:dyDescent="0.25">
      <c r="B2666" s="39"/>
    </row>
    <row r="2667" spans="2:2" x14ac:dyDescent="0.25">
      <c r="B2667" s="39"/>
    </row>
    <row r="2668" spans="2:2" x14ac:dyDescent="0.25">
      <c r="B2668" s="39"/>
    </row>
    <row r="2669" spans="2:2" x14ac:dyDescent="0.25">
      <c r="B2669" s="39"/>
    </row>
    <row r="2670" spans="2:2" x14ac:dyDescent="0.25">
      <c r="B2670" s="39"/>
    </row>
    <row r="2671" spans="2:2" x14ac:dyDescent="0.25">
      <c r="B2671" s="39"/>
    </row>
    <row r="2672" spans="2:2" x14ac:dyDescent="0.25">
      <c r="B2672" s="39"/>
    </row>
    <row r="2673" spans="2:2" x14ac:dyDescent="0.25">
      <c r="B2673" s="39"/>
    </row>
    <row r="2674" spans="2:2" x14ac:dyDescent="0.25">
      <c r="B2674" s="39"/>
    </row>
    <row r="2675" spans="2:2" x14ac:dyDescent="0.25">
      <c r="B2675" s="39"/>
    </row>
    <row r="2676" spans="2:2" x14ac:dyDescent="0.25">
      <c r="B2676" s="39"/>
    </row>
    <row r="2677" spans="2:2" x14ac:dyDescent="0.25">
      <c r="B2677" s="39"/>
    </row>
    <row r="2678" spans="2:2" x14ac:dyDescent="0.25">
      <c r="B2678" s="39"/>
    </row>
    <row r="2679" spans="2:2" x14ac:dyDescent="0.25">
      <c r="B2679" s="39"/>
    </row>
    <row r="2680" spans="2:2" x14ac:dyDescent="0.25">
      <c r="B2680" s="39"/>
    </row>
    <row r="2681" spans="2:2" x14ac:dyDescent="0.25">
      <c r="B2681" s="39"/>
    </row>
    <row r="2682" spans="2:2" x14ac:dyDescent="0.25">
      <c r="B2682" s="39"/>
    </row>
    <row r="2683" spans="2:2" x14ac:dyDescent="0.25">
      <c r="B2683" s="39"/>
    </row>
    <row r="2684" spans="2:2" x14ac:dyDescent="0.25">
      <c r="B2684" s="39"/>
    </row>
    <row r="2685" spans="2:2" x14ac:dyDescent="0.25">
      <c r="B2685" s="39"/>
    </row>
    <row r="2686" spans="2:2" x14ac:dyDescent="0.25">
      <c r="B2686" s="39"/>
    </row>
    <row r="2687" spans="2:2" x14ac:dyDescent="0.25">
      <c r="B2687" s="39"/>
    </row>
    <row r="2688" spans="2:2" x14ac:dyDescent="0.25">
      <c r="B2688" s="39"/>
    </row>
    <row r="2689" spans="2:2" x14ac:dyDescent="0.25">
      <c r="B2689" s="39"/>
    </row>
    <row r="2690" spans="2:2" x14ac:dyDescent="0.25">
      <c r="B2690" s="39"/>
    </row>
    <row r="2691" spans="2:2" x14ac:dyDescent="0.25">
      <c r="B2691" s="39"/>
    </row>
    <row r="2692" spans="2:2" x14ac:dyDescent="0.25">
      <c r="B2692" s="39"/>
    </row>
    <row r="2693" spans="2:2" x14ac:dyDescent="0.25">
      <c r="B2693" s="39"/>
    </row>
    <row r="2694" spans="2:2" x14ac:dyDescent="0.25">
      <c r="B2694" s="39"/>
    </row>
    <row r="2695" spans="2:2" x14ac:dyDescent="0.25">
      <c r="B2695" s="39"/>
    </row>
    <row r="2696" spans="2:2" x14ac:dyDescent="0.25">
      <c r="B2696" s="39"/>
    </row>
    <row r="2697" spans="2:2" x14ac:dyDescent="0.25">
      <c r="B2697" s="39"/>
    </row>
    <row r="2698" spans="2:2" x14ac:dyDescent="0.25">
      <c r="B2698" s="39"/>
    </row>
    <row r="2699" spans="2:2" x14ac:dyDescent="0.25">
      <c r="B2699" s="39"/>
    </row>
    <row r="2700" spans="2:2" x14ac:dyDescent="0.25">
      <c r="B2700" s="39"/>
    </row>
    <row r="2701" spans="2:2" x14ac:dyDescent="0.25">
      <c r="B2701" s="39"/>
    </row>
    <row r="2702" spans="2:2" x14ac:dyDescent="0.25">
      <c r="B2702" s="39"/>
    </row>
    <row r="2703" spans="2:2" x14ac:dyDescent="0.25">
      <c r="B2703" s="39"/>
    </row>
    <row r="2704" spans="2:2" x14ac:dyDescent="0.25">
      <c r="B2704" s="39"/>
    </row>
    <row r="2705" spans="2:2" x14ac:dyDescent="0.25">
      <c r="B2705" s="39"/>
    </row>
    <row r="2706" spans="2:2" x14ac:dyDescent="0.25">
      <c r="B2706" s="39"/>
    </row>
    <row r="2707" spans="2:2" x14ac:dyDescent="0.25">
      <c r="B2707" s="39"/>
    </row>
    <row r="2708" spans="2:2" x14ac:dyDescent="0.25">
      <c r="B2708" s="39"/>
    </row>
    <row r="2709" spans="2:2" x14ac:dyDescent="0.25">
      <c r="B2709" s="39"/>
    </row>
    <row r="2710" spans="2:2" x14ac:dyDescent="0.25">
      <c r="B2710" s="39"/>
    </row>
    <row r="2711" spans="2:2" x14ac:dyDescent="0.25">
      <c r="B2711" s="39"/>
    </row>
    <row r="2712" spans="2:2" x14ac:dyDescent="0.25">
      <c r="B2712" s="39"/>
    </row>
    <row r="2713" spans="2:2" x14ac:dyDescent="0.25">
      <c r="B2713" s="39"/>
    </row>
    <row r="2714" spans="2:2" x14ac:dyDescent="0.25">
      <c r="B2714" s="39"/>
    </row>
    <row r="2715" spans="2:2" x14ac:dyDescent="0.25">
      <c r="B2715" s="39"/>
    </row>
    <row r="2716" spans="2:2" x14ac:dyDescent="0.25">
      <c r="B2716" s="39"/>
    </row>
    <row r="2717" spans="2:2" x14ac:dyDescent="0.25">
      <c r="B2717" s="39"/>
    </row>
    <row r="2718" spans="2:2" x14ac:dyDescent="0.25">
      <c r="B2718" s="39"/>
    </row>
    <row r="2719" spans="2:2" x14ac:dyDescent="0.25">
      <c r="B2719" s="39"/>
    </row>
    <row r="2720" spans="2:2" x14ac:dyDescent="0.25">
      <c r="B2720" s="39"/>
    </row>
    <row r="2721" spans="2:2" x14ac:dyDescent="0.25">
      <c r="B2721" s="39"/>
    </row>
    <row r="2722" spans="2:2" x14ac:dyDescent="0.25">
      <c r="B2722" s="39"/>
    </row>
    <row r="2723" spans="2:2" x14ac:dyDescent="0.25">
      <c r="B2723" s="39"/>
    </row>
    <row r="2724" spans="2:2" x14ac:dyDescent="0.25">
      <c r="B2724" s="39"/>
    </row>
    <row r="2725" spans="2:2" x14ac:dyDescent="0.25">
      <c r="B2725" s="39"/>
    </row>
    <row r="2726" spans="2:2" x14ac:dyDescent="0.25">
      <c r="B2726" s="39"/>
    </row>
    <row r="2727" spans="2:2" x14ac:dyDescent="0.25">
      <c r="B2727" s="39"/>
    </row>
    <row r="2728" spans="2:2" x14ac:dyDescent="0.25">
      <c r="B2728" s="39"/>
    </row>
    <row r="2729" spans="2:2" x14ac:dyDescent="0.25">
      <c r="B2729" s="39"/>
    </row>
    <row r="2730" spans="2:2" x14ac:dyDescent="0.25">
      <c r="B2730" s="39"/>
    </row>
    <row r="2731" spans="2:2" x14ac:dyDescent="0.25">
      <c r="B2731" s="39"/>
    </row>
    <row r="2732" spans="2:2" x14ac:dyDescent="0.25">
      <c r="B2732" s="39"/>
    </row>
    <row r="2733" spans="2:2" x14ac:dyDescent="0.25">
      <c r="B2733" s="39"/>
    </row>
    <row r="2734" spans="2:2" x14ac:dyDescent="0.25">
      <c r="B2734" s="39"/>
    </row>
    <row r="2735" spans="2:2" x14ac:dyDescent="0.25">
      <c r="B2735" s="39"/>
    </row>
    <row r="2736" spans="2:2" x14ac:dyDescent="0.25">
      <c r="B2736" s="39"/>
    </row>
    <row r="2737" spans="2:2" x14ac:dyDescent="0.25">
      <c r="B2737" s="39"/>
    </row>
    <row r="2738" spans="2:2" x14ac:dyDescent="0.25">
      <c r="B2738" s="39"/>
    </row>
    <row r="2739" spans="2:2" x14ac:dyDescent="0.25">
      <c r="B2739" s="39"/>
    </row>
    <row r="2740" spans="2:2" x14ac:dyDescent="0.25">
      <c r="B2740" s="39"/>
    </row>
    <row r="2741" spans="2:2" x14ac:dyDescent="0.25">
      <c r="B2741" s="39"/>
    </row>
    <row r="2742" spans="2:2" x14ac:dyDescent="0.25">
      <c r="B2742" s="39"/>
    </row>
    <row r="2743" spans="2:2" x14ac:dyDescent="0.25">
      <c r="B2743" s="39"/>
    </row>
    <row r="2744" spans="2:2" x14ac:dyDescent="0.25">
      <c r="B2744" s="39"/>
    </row>
    <row r="2745" spans="2:2" x14ac:dyDescent="0.25">
      <c r="B2745" s="39"/>
    </row>
    <row r="2746" spans="2:2" x14ac:dyDescent="0.25">
      <c r="B2746" s="39"/>
    </row>
    <row r="2747" spans="2:2" x14ac:dyDescent="0.25">
      <c r="B2747" s="39"/>
    </row>
    <row r="2748" spans="2:2" x14ac:dyDescent="0.25">
      <c r="B2748" s="39"/>
    </row>
    <row r="2749" spans="2:2" x14ac:dyDescent="0.25">
      <c r="B2749" s="39"/>
    </row>
    <row r="2750" spans="2:2" x14ac:dyDescent="0.25">
      <c r="B2750" s="39"/>
    </row>
    <row r="2751" spans="2:2" x14ac:dyDescent="0.25">
      <c r="B2751" s="39"/>
    </row>
    <row r="2752" spans="2:2" x14ac:dyDescent="0.25">
      <c r="B2752" s="39"/>
    </row>
    <row r="2753" spans="2:2" x14ac:dyDescent="0.25">
      <c r="B2753" s="39"/>
    </row>
    <row r="2754" spans="2:2" x14ac:dyDescent="0.25">
      <c r="B2754" s="39"/>
    </row>
    <row r="2755" spans="2:2" x14ac:dyDescent="0.25">
      <c r="B2755" s="39"/>
    </row>
    <row r="2756" spans="2:2" x14ac:dyDescent="0.25">
      <c r="B2756" s="39"/>
    </row>
    <row r="2757" spans="2:2" x14ac:dyDescent="0.25">
      <c r="B2757" s="39"/>
    </row>
    <row r="2758" spans="2:2" x14ac:dyDescent="0.25">
      <c r="B2758" s="39"/>
    </row>
    <row r="2759" spans="2:2" x14ac:dyDescent="0.25">
      <c r="B2759" s="39"/>
    </row>
    <row r="2760" spans="2:2" x14ac:dyDescent="0.25">
      <c r="B2760" s="39"/>
    </row>
    <row r="2761" spans="2:2" x14ac:dyDescent="0.25">
      <c r="B2761" s="39"/>
    </row>
    <row r="2762" spans="2:2" x14ac:dyDescent="0.25">
      <c r="B2762" s="39"/>
    </row>
    <row r="2763" spans="2:2" x14ac:dyDescent="0.25">
      <c r="B2763" s="39"/>
    </row>
    <row r="2764" spans="2:2" x14ac:dyDescent="0.25">
      <c r="B2764" s="39"/>
    </row>
    <row r="2765" spans="2:2" x14ac:dyDescent="0.25">
      <c r="B2765" s="39"/>
    </row>
    <row r="2766" spans="2:2" x14ac:dyDescent="0.25">
      <c r="B2766" s="39"/>
    </row>
    <row r="2767" spans="2:2" x14ac:dyDescent="0.25">
      <c r="B2767" s="39"/>
    </row>
    <row r="2768" spans="2:2" x14ac:dyDescent="0.25">
      <c r="B2768" s="39"/>
    </row>
    <row r="2769" spans="2:2" x14ac:dyDescent="0.25">
      <c r="B2769" s="39"/>
    </row>
    <row r="2770" spans="2:2" x14ac:dyDescent="0.25">
      <c r="B2770" s="39"/>
    </row>
    <row r="2771" spans="2:2" x14ac:dyDescent="0.25">
      <c r="B2771" s="39"/>
    </row>
    <row r="2772" spans="2:2" x14ac:dyDescent="0.25">
      <c r="B2772" s="39"/>
    </row>
    <row r="2773" spans="2:2" x14ac:dyDescent="0.25">
      <c r="B2773" s="39"/>
    </row>
    <row r="2774" spans="2:2" x14ac:dyDescent="0.25">
      <c r="B2774" s="39"/>
    </row>
    <row r="2775" spans="2:2" x14ac:dyDescent="0.25">
      <c r="B2775" s="39"/>
    </row>
    <row r="2776" spans="2:2" x14ac:dyDescent="0.25">
      <c r="B2776" s="39"/>
    </row>
    <row r="2777" spans="2:2" x14ac:dyDescent="0.25">
      <c r="B2777" s="39"/>
    </row>
    <row r="2778" spans="2:2" x14ac:dyDescent="0.25">
      <c r="B2778" s="39"/>
    </row>
    <row r="2779" spans="2:2" x14ac:dyDescent="0.25">
      <c r="B2779" s="39"/>
    </row>
    <row r="2780" spans="2:2" x14ac:dyDescent="0.25">
      <c r="B2780" s="39"/>
    </row>
    <row r="2781" spans="2:2" x14ac:dyDescent="0.25">
      <c r="B2781" s="39"/>
    </row>
    <row r="2782" spans="2:2" x14ac:dyDescent="0.25">
      <c r="B2782" s="39"/>
    </row>
    <row r="2783" spans="2:2" x14ac:dyDescent="0.25">
      <c r="B2783" s="39"/>
    </row>
    <row r="2784" spans="2:2" x14ac:dyDescent="0.25">
      <c r="B2784" s="39"/>
    </row>
    <row r="2785" spans="2:2" x14ac:dyDescent="0.25">
      <c r="B2785" s="39"/>
    </row>
    <row r="2786" spans="2:2" x14ac:dyDescent="0.25">
      <c r="B2786" s="39"/>
    </row>
    <row r="2787" spans="2:2" x14ac:dyDescent="0.25">
      <c r="B2787" s="39"/>
    </row>
    <row r="2788" spans="2:2" x14ac:dyDescent="0.25">
      <c r="B2788" s="39"/>
    </row>
    <row r="2789" spans="2:2" x14ac:dyDescent="0.25">
      <c r="B2789" s="39"/>
    </row>
    <row r="2790" spans="2:2" x14ac:dyDescent="0.25">
      <c r="B2790" s="39"/>
    </row>
    <row r="2791" spans="2:2" x14ac:dyDescent="0.25">
      <c r="B2791" s="39"/>
    </row>
    <row r="2792" spans="2:2" x14ac:dyDescent="0.25">
      <c r="B2792" s="39"/>
    </row>
    <row r="2793" spans="2:2" x14ac:dyDescent="0.25">
      <c r="B2793" s="39"/>
    </row>
    <row r="2794" spans="2:2" x14ac:dyDescent="0.25">
      <c r="B2794" s="39"/>
    </row>
    <row r="2795" spans="2:2" x14ac:dyDescent="0.25">
      <c r="B2795" s="39"/>
    </row>
    <row r="2796" spans="2:2" x14ac:dyDescent="0.25">
      <c r="B2796" s="39"/>
    </row>
    <row r="2797" spans="2:2" x14ac:dyDescent="0.25">
      <c r="B2797" s="39"/>
    </row>
    <row r="2798" spans="2:2" x14ac:dyDescent="0.25">
      <c r="B2798" s="39"/>
    </row>
    <row r="2799" spans="2:2" x14ac:dyDescent="0.25">
      <c r="B2799" s="39"/>
    </row>
    <row r="2800" spans="2:2" x14ac:dyDescent="0.25">
      <c r="B2800" s="39"/>
    </row>
    <row r="2801" spans="2:2" x14ac:dyDescent="0.25">
      <c r="B2801" s="39"/>
    </row>
    <row r="2802" spans="2:2" x14ac:dyDescent="0.25">
      <c r="B2802" s="39"/>
    </row>
    <row r="2803" spans="2:2" x14ac:dyDescent="0.25">
      <c r="B2803" s="39"/>
    </row>
    <row r="2804" spans="2:2" x14ac:dyDescent="0.25">
      <c r="B2804" s="39"/>
    </row>
    <row r="2805" spans="2:2" x14ac:dyDescent="0.25">
      <c r="B2805" s="39"/>
    </row>
    <row r="2806" spans="2:2" x14ac:dyDescent="0.25">
      <c r="B2806" s="39"/>
    </row>
    <row r="2807" spans="2:2" x14ac:dyDescent="0.25">
      <c r="B2807" s="39"/>
    </row>
    <row r="2808" spans="2:2" x14ac:dyDescent="0.25">
      <c r="B2808" s="39"/>
    </row>
    <row r="2809" spans="2:2" x14ac:dyDescent="0.25">
      <c r="B2809" s="39"/>
    </row>
    <row r="2810" spans="2:2" x14ac:dyDescent="0.25">
      <c r="B2810" s="39"/>
    </row>
    <row r="2811" spans="2:2" x14ac:dyDescent="0.25">
      <c r="B2811" s="39"/>
    </row>
    <row r="2812" spans="2:2" x14ac:dyDescent="0.25">
      <c r="B2812" s="39"/>
    </row>
    <row r="2813" spans="2:2" x14ac:dyDescent="0.25">
      <c r="B2813" s="39"/>
    </row>
    <row r="2814" spans="2:2" x14ac:dyDescent="0.25">
      <c r="B2814" s="39"/>
    </row>
    <row r="2815" spans="2:2" x14ac:dyDescent="0.25">
      <c r="B2815" s="39"/>
    </row>
    <row r="2816" spans="2:2" x14ac:dyDescent="0.25">
      <c r="B2816" s="39"/>
    </row>
    <row r="2817" spans="2:2" x14ac:dyDescent="0.25">
      <c r="B2817" s="39"/>
    </row>
    <row r="2818" spans="2:2" x14ac:dyDescent="0.25">
      <c r="B2818" s="39"/>
    </row>
    <row r="2819" spans="2:2" x14ac:dyDescent="0.25">
      <c r="B2819" s="39"/>
    </row>
    <row r="2820" spans="2:2" x14ac:dyDescent="0.25">
      <c r="B2820" s="39"/>
    </row>
    <row r="2821" spans="2:2" x14ac:dyDescent="0.25">
      <c r="B2821" s="39"/>
    </row>
    <row r="2822" spans="2:2" x14ac:dyDescent="0.25">
      <c r="B2822" s="39"/>
    </row>
    <row r="2823" spans="2:2" x14ac:dyDescent="0.25">
      <c r="B2823" s="39"/>
    </row>
    <row r="2824" spans="2:2" x14ac:dyDescent="0.25">
      <c r="B2824" s="39"/>
    </row>
    <row r="2825" spans="2:2" x14ac:dyDescent="0.25">
      <c r="B2825" s="39"/>
    </row>
    <row r="2826" spans="2:2" x14ac:dyDescent="0.25">
      <c r="B2826" s="39"/>
    </row>
    <row r="2827" spans="2:2" x14ac:dyDescent="0.25">
      <c r="B2827" s="39"/>
    </row>
    <row r="2828" spans="2:2" x14ac:dyDescent="0.25">
      <c r="B2828" s="39"/>
    </row>
    <row r="2829" spans="2:2" x14ac:dyDescent="0.25">
      <c r="B2829" s="39"/>
    </row>
    <row r="2830" spans="2:2" x14ac:dyDescent="0.25">
      <c r="B2830" s="39"/>
    </row>
    <row r="2831" spans="2:2" x14ac:dyDescent="0.25">
      <c r="B2831" s="39"/>
    </row>
    <row r="2832" spans="2:2" x14ac:dyDescent="0.25">
      <c r="B2832" s="39"/>
    </row>
    <row r="2833" spans="2:2" x14ac:dyDescent="0.25">
      <c r="B2833" s="39"/>
    </row>
    <row r="2834" spans="2:2" x14ac:dyDescent="0.25">
      <c r="B2834" s="39"/>
    </row>
    <row r="2835" spans="2:2" x14ac:dyDescent="0.25">
      <c r="B2835" s="39"/>
    </row>
    <row r="2836" spans="2:2" x14ac:dyDescent="0.25">
      <c r="B2836" s="39"/>
    </row>
    <row r="2837" spans="2:2" x14ac:dyDescent="0.25">
      <c r="B2837" s="39"/>
    </row>
    <row r="2838" spans="2:2" x14ac:dyDescent="0.25">
      <c r="B2838" s="39"/>
    </row>
    <row r="2839" spans="2:2" x14ac:dyDescent="0.25">
      <c r="B2839" s="39"/>
    </row>
    <row r="2840" spans="2:2" x14ac:dyDescent="0.25">
      <c r="B2840" s="39"/>
    </row>
    <row r="2841" spans="2:2" x14ac:dyDescent="0.25">
      <c r="B2841" s="39"/>
    </row>
    <row r="2842" spans="2:2" x14ac:dyDescent="0.25">
      <c r="B2842" s="39"/>
    </row>
    <row r="2843" spans="2:2" x14ac:dyDescent="0.25">
      <c r="B2843" s="39"/>
    </row>
    <row r="2844" spans="2:2" x14ac:dyDescent="0.25">
      <c r="B2844" s="39"/>
    </row>
    <row r="2845" spans="2:2" x14ac:dyDescent="0.25">
      <c r="B2845" s="39"/>
    </row>
    <row r="2846" spans="2:2" x14ac:dyDescent="0.25">
      <c r="B2846" s="39"/>
    </row>
    <row r="2847" spans="2:2" x14ac:dyDescent="0.25">
      <c r="B2847" s="39"/>
    </row>
    <row r="2848" spans="2:2" x14ac:dyDescent="0.25">
      <c r="B2848" s="39"/>
    </row>
    <row r="2849" spans="2:2" x14ac:dyDescent="0.25">
      <c r="B2849" s="39"/>
    </row>
    <row r="2850" spans="2:2" x14ac:dyDescent="0.25">
      <c r="B2850" s="39"/>
    </row>
    <row r="2851" spans="2:2" x14ac:dyDescent="0.25">
      <c r="B2851" s="39"/>
    </row>
    <row r="2852" spans="2:2" x14ac:dyDescent="0.25">
      <c r="B2852" s="39"/>
    </row>
    <row r="2853" spans="2:2" x14ac:dyDescent="0.25">
      <c r="B2853" s="39"/>
    </row>
    <row r="2854" spans="2:2" x14ac:dyDescent="0.25">
      <c r="B2854" s="39"/>
    </row>
    <row r="2855" spans="2:2" x14ac:dyDescent="0.25">
      <c r="B2855" s="39"/>
    </row>
    <row r="2856" spans="2:2" x14ac:dyDescent="0.25">
      <c r="B2856" s="39"/>
    </row>
    <row r="2857" spans="2:2" x14ac:dyDescent="0.25">
      <c r="B2857" s="39"/>
    </row>
    <row r="2858" spans="2:2" x14ac:dyDescent="0.25">
      <c r="B2858" s="39"/>
    </row>
    <row r="2859" spans="2:2" x14ac:dyDescent="0.25">
      <c r="B2859" s="39"/>
    </row>
    <row r="2860" spans="2:2" x14ac:dyDescent="0.25">
      <c r="B2860" s="39"/>
    </row>
    <row r="2861" spans="2:2" x14ac:dyDescent="0.25">
      <c r="B2861" s="39"/>
    </row>
    <row r="2862" spans="2:2" x14ac:dyDescent="0.25">
      <c r="B2862" s="39"/>
    </row>
    <row r="2863" spans="2:2" x14ac:dyDescent="0.25">
      <c r="B2863" s="39"/>
    </row>
    <row r="2864" spans="2:2" x14ac:dyDescent="0.25">
      <c r="B2864" s="39"/>
    </row>
    <row r="2865" spans="2:2" x14ac:dyDescent="0.25">
      <c r="B2865" s="39"/>
    </row>
    <row r="2866" spans="2:2" x14ac:dyDescent="0.25">
      <c r="B2866" s="39"/>
    </row>
    <row r="2867" spans="2:2" x14ac:dyDescent="0.25">
      <c r="B2867" s="39"/>
    </row>
    <row r="2868" spans="2:2" x14ac:dyDescent="0.25">
      <c r="B2868" s="39"/>
    </row>
    <row r="2869" spans="2:2" x14ac:dyDescent="0.25">
      <c r="B2869" s="39"/>
    </row>
    <row r="2870" spans="2:2" x14ac:dyDescent="0.25">
      <c r="B2870" s="39"/>
    </row>
    <row r="2871" spans="2:2" x14ac:dyDescent="0.25">
      <c r="B2871" s="39"/>
    </row>
    <row r="2872" spans="2:2" x14ac:dyDescent="0.25">
      <c r="B2872" s="39"/>
    </row>
    <row r="2873" spans="2:2" x14ac:dyDescent="0.25">
      <c r="B2873" s="39"/>
    </row>
    <row r="2874" spans="2:2" x14ac:dyDescent="0.25">
      <c r="B2874" s="39"/>
    </row>
    <row r="2875" spans="2:2" x14ac:dyDescent="0.25">
      <c r="B2875" s="39"/>
    </row>
    <row r="2876" spans="2:2" x14ac:dyDescent="0.25">
      <c r="B2876" s="39"/>
    </row>
    <row r="2877" spans="2:2" x14ac:dyDescent="0.25">
      <c r="B2877" s="39"/>
    </row>
    <row r="2878" spans="2:2" x14ac:dyDescent="0.25">
      <c r="B2878" s="39"/>
    </row>
    <row r="2879" spans="2:2" x14ac:dyDescent="0.25">
      <c r="B2879" s="39"/>
    </row>
    <row r="2880" spans="2:2" x14ac:dyDescent="0.25">
      <c r="B2880" s="39"/>
    </row>
    <row r="2881" spans="2:2" x14ac:dyDescent="0.25">
      <c r="B2881" s="39"/>
    </row>
    <row r="2882" spans="2:2" x14ac:dyDescent="0.25">
      <c r="B2882" s="39"/>
    </row>
    <row r="2883" spans="2:2" x14ac:dyDescent="0.25">
      <c r="B2883" s="39"/>
    </row>
    <row r="2884" spans="2:2" x14ac:dyDescent="0.25">
      <c r="B2884" s="39"/>
    </row>
    <row r="2885" spans="2:2" x14ac:dyDescent="0.25">
      <c r="B2885" s="39"/>
    </row>
    <row r="2886" spans="2:2" x14ac:dyDescent="0.25">
      <c r="B2886" s="39"/>
    </row>
    <row r="2887" spans="2:2" x14ac:dyDescent="0.25">
      <c r="B2887" s="39"/>
    </row>
    <row r="2888" spans="2:2" x14ac:dyDescent="0.25">
      <c r="B2888" s="39"/>
    </row>
    <row r="2889" spans="2:2" x14ac:dyDescent="0.25">
      <c r="B2889" s="39"/>
    </row>
    <row r="2890" spans="2:2" x14ac:dyDescent="0.25">
      <c r="B2890" s="39"/>
    </row>
    <row r="2891" spans="2:2" x14ac:dyDescent="0.25">
      <c r="B2891" s="39"/>
    </row>
    <row r="2892" spans="2:2" x14ac:dyDescent="0.25">
      <c r="B2892" s="39"/>
    </row>
    <row r="2893" spans="2:2" x14ac:dyDescent="0.25">
      <c r="B2893" s="39"/>
    </row>
    <row r="2894" spans="2:2" x14ac:dyDescent="0.25">
      <c r="B2894" s="39"/>
    </row>
    <row r="2895" spans="2:2" x14ac:dyDescent="0.25">
      <c r="B2895" s="39"/>
    </row>
    <row r="2896" spans="2:2" x14ac:dyDescent="0.25">
      <c r="B2896" s="39"/>
    </row>
    <row r="2897" spans="2:2" x14ac:dyDescent="0.25">
      <c r="B2897" s="39"/>
    </row>
    <row r="2898" spans="2:2" x14ac:dyDescent="0.25">
      <c r="B2898" s="39"/>
    </row>
    <row r="2899" spans="2:2" x14ac:dyDescent="0.25">
      <c r="B2899" s="39"/>
    </row>
    <row r="2900" spans="2:2" x14ac:dyDescent="0.25">
      <c r="B2900" s="39"/>
    </row>
    <row r="2901" spans="2:2" x14ac:dyDescent="0.25">
      <c r="B2901" s="39"/>
    </row>
    <row r="2902" spans="2:2" x14ac:dyDescent="0.25">
      <c r="B2902" s="39"/>
    </row>
    <row r="2903" spans="2:2" x14ac:dyDescent="0.25">
      <c r="B2903" s="39"/>
    </row>
    <row r="2904" spans="2:2" x14ac:dyDescent="0.25">
      <c r="B2904" s="39"/>
    </row>
    <row r="2905" spans="2:2" x14ac:dyDescent="0.25">
      <c r="B2905" s="39"/>
    </row>
    <row r="2906" spans="2:2" x14ac:dyDescent="0.25">
      <c r="B2906" s="39"/>
    </row>
    <row r="2907" spans="2:2" x14ac:dyDescent="0.25">
      <c r="B2907" s="39"/>
    </row>
    <row r="2908" spans="2:2" x14ac:dyDescent="0.25">
      <c r="B2908" s="39"/>
    </row>
    <row r="2909" spans="2:2" x14ac:dyDescent="0.25">
      <c r="B2909" s="39"/>
    </row>
    <row r="2910" spans="2:2" x14ac:dyDescent="0.25">
      <c r="B2910" s="39"/>
    </row>
    <row r="2911" spans="2:2" x14ac:dyDescent="0.25">
      <c r="B2911" s="39"/>
    </row>
    <row r="2912" spans="2:2" x14ac:dyDescent="0.25">
      <c r="B2912" s="39"/>
    </row>
    <row r="2913" spans="2:2" x14ac:dyDescent="0.25">
      <c r="B2913" s="39"/>
    </row>
    <row r="2914" spans="2:2" x14ac:dyDescent="0.25">
      <c r="B2914" s="39"/>
    </row>
    <row r="2915" spans="2:2" x14ac:dyDescent="0.25">
      <c r="B2915" s="39"/>
    </row>
    <row r="2916" spans="2:2" x14ac:dyDescent="0.25">
      <c r="B2916" s="39"/>
    </row>
    <row r="2917" spans="2:2" x14ac:dyDescent="0.25">
      <c r="B2917" s="39"/>
    </row>
    <row r="2918" spans="2:2" x14ac:dyDescent="0.25">
      <c r="B2918" s="39"/>
    </row>
    <row r="2919" spans="2:2" x14ac:dyDescent="0.25">
      <c r="B2919" s="39"/>
    </row>
    <row r="2920" spans="2:2" x14ac:dyDescent="0.25">
      <c r="B2920" s="39"/>
    </row>
    <row r="2921" spans="2:2" x14ac:dyDescent="0.25">
      <c r="B2921" s="39"/>
    </row>
    <row r="2922" spans="2:2" x14ac:dyDescent="0.25">
      <c r="B2922" s="39"/>
    </row>
    <row r="2923" spans="2:2" x14ac:dyDescent="0.25">
      <c r="B2923" s="39"/>
    </row>
    <row r="2924" spans="2:2" x14ac:dyDescent="0.25">
      <c r="B2924" s="39"/>
    </row>
    <row r="2925" spans="2:2" x14ac:dyDescent="0.25">
      <c r="B2925" s="39"/>
    </row>
    <row r="2926" spans="2:2" x14ac:dyDescent="0.25">
      <c r="B2926" s="39"/>
    </row>
    <row r="2927" spans="2:2" x14ac:dyDescent="0.25">
      <c r="B2927" s="39"/>
    </row>
    <row r="2928" spans="2:2" x14ac:dyDescent="0.25">
      <c r="B2928" s="39"/>
    </row>
    <row r="2929" spans="2:2" x14ac:dyDescent="0.25">
      <c r="B2929" s="39"/>
    </row>
    <row r="2930" spans="2:2" x14ac:dyDescent="0.25">
      <c r="B2930" s="39"/>
    </row>
    <row r="2931" spans="2:2" x14ac:dyDescent="0.25">
      <c r="B2931" s="39"/>
    </row>
    <row r="2932" spans="2:2" x14ac:dyDescent="0.25">
      <c r="B2932" s="39"/>
    </row>
    <row r="2933" spans="2:2" x14ac:dyDescent="0.25">
      <c r="B2933" s="39"/>
    </row>
    <row r="2934" spans="2:2" x14ac:dyDescent="0.25">
      <c r="B2934" s="39"/>
    </row>
    <row r="2935" spans="2:2" x14ac:dyDescent="0.25">
      <c r="B2935" s="39"/>
    </row>
    <row r="2936" spans="2:2" x14ac:dyDescent="0.25">
      <c r="B2936" s="39"/>
    </row>
    <row r="2937" spans="2:2" x14ac:dyDescent="0.25">
      <c r="B2937" s="39"/>
    </row>
    <row r="2938" spans="2:2" x14ac:dyDescent="0.25">
      <c r="B2938" s="39"/>
    </row>
    <row r="2939" spans="2:2" x14ac:dyDescent="0.25">
      <c r="B2939" s="39"/>
    </row>
    <row r="2940" spans="2:2" x14ac:dyDescent="0.25">
      <c r="B2940" s="39"/>
    </row>
    <row r="2941" spans="2:2" x14ac:dyDescent="0.25">
      <c r="B2941" s="39"/>
    </row>
    <row r="2942" spans="2:2" x14ac:dyDescent="0.25">
      <c r="B2942" s="39"/>
    </row>
    <row r="2943" spans="2:2" x14ac:dyDescent="0.25">
      <c r="B2943" s="39"/>
    </row>
    <row r="2944" spans="2:2" x14ac:dyDescent="0.25">
      <c r="B2944" s="39"/>
    </row>
    <row r="2945" spans="2:2" x14ac:dyDescent="0.25">
      <c r="B2945" s="39"/>
    </row>
    <row r="2946" spans="2:2" x14ac:dyDescent="0.25">
      <c r="B2946" s="39"/>
    </row>
    <row r="2947" spans="2:2" x14ac:dyDescent="0.25">
      <c r="B2947" s="39"/>
    </row>
    <row r="2948" spans="2:2" x14ac:dyDescent="0.25">
      <c r="B2948" s="39"/>
    </row>
    <row r="2949" spans="2:2" x14ac:dyDescent="0.25">
      <c r="B2949" s="39"/>
    </row>
    <row r="2950" spans="2:2" x14ac:dyDescent="0.25">
      <c r="B2950" s="39"/>
    </row>
    <row r="2951" spans="2:2" x14ac:dyDescent="0.25">
      <c r="B2951" s="39"/>
    </row>
    <row r="2952" spans="2:2" x14ac:dyDescent="0.25">
      <c r="B2952" s="39"/>
    </row>
    <row r="2953" spans="2:2" x14ac:dyDescent="0.25">
      <c r="B2953" s="39"/>
    </row>
    <row r="2954" spans="2:2" x14ac:dyDescent="0.25">
      <c r="B2954" s="39"/>
    </row>
    <row r="2955" spans="2:2" x14ac:dyDescent="0.25">
      <c r="B2955" s="39"/>
    </row>
    <row r="2956" spans="2:2" x14ac:dyDescent="0.25">
      <c r="B2956" s="39"/>
    </row>
    <row r="2957" spans="2:2" x14ac:dyDescent="0.25">
      <c r="B2957" s="39"/>
    </row>
    <row r="2958" spans="2:2" x14ac:dyDescent="0.25">
      <c r="B2958" s="39"/>
    </row>
    <row r="2959" spans="2:2" x14ac:dyDescent="0.25">
      <c r="B2959" s="39"/>
    </row>
    <row r="2960" spans="2:2" x14ac:dyDescent="0.25">
      <c r="B2960" s="39"/>
    </row>
    <row r="2961" spans="2:2" x14ac:dyDescent="0.25">
      <c r="B2961" s="39"/>
    </row>
    <row r="2962" spans="2:2" x14ac:dyDescent="0.25">
      <c r="B2962" s="39"/>
    </row>
    <row r="2963" spans="2:2" x14ac:dyDescent="0.25">
      <c r="B2963" s="39"/>
    </row>
    <row r="2964" spans="2:2" x14ac:dyDescent="0.25">
      <c r="B2964" s="39"/>
    </row>
    <row r="2965" spans="2:2" x14ac:dyDescent="0.25">
      <c r="B2965" s="39"/>
    </row>
    <row r="2966" spans="2:2" x14ac:dyDescent="0.25">
      <c r="B2966" s="39"/>
    </row>
    <row r="2967" spans="2:2" x14ac:dyDescent="0.25">
      <c r="B2967" s="39"/>
    </row>
    <row r="2968" spans="2:2" x14ac:dyDescent="0.25">
      <c r="B2968" s="39"/>
    </row>
    <row r="2969" spans="2:2" x14ac:dyDescent="0.25">
      <c r="B2969" s="39"/>
    </row>
    <row r="2970" spans="2:2" x14ac:dyDescent="0.25">
      <c r="B2970" s="39"/>
    </row>
    <row r="2971" spans="2:2" x14ac:dyDescent="0.25">
      <c r="B2971" s="39"/>
    </row>
    <row r="2972" spans="2:2" x14ac:dyDescent="0.25">
      <c r="B2972" s="39"/>
    </row>
    <row r="2973" spans="2:2" x14ac:dyDescent="0.25">
      <c r="B2973" s="39"/>
    </row>
    <row r="2974" spans="2:2" x14ac:dyDescent="0.25">
      <c r="B2974" s="39"/>
    </row>
    <row r="2975" spans="2:2" x14ac:dyDescent="0.25">
      <c r="B2975" s="39"/>
    </row>
    <row r="2976" spans="2:2" x14ac:dyDescent="0.25">
      <c r="B2976" s="39"/>
    </row>
    <row r="2977" spans="2:2" x14ac:dyDescent="0.25">
      <c r="B2977" s="39"/>
    </row>
    <row r="2978" spans="2:2" x14ac:dyDescent="0.25">
      <c r="B2978" s="39"/>
    </row>
    <row r="2979" spans="2:2" x14ac:dyDescent="0.25">
      <c r="B2979" s="39"/>
    </row>
    <row r="2980" spans="2:2" x14ac:dyDescent="0.25">
      <c r="B2980" s="39"/>
    </row>
    <row r="2981" spans="2:2" x14ac:dyDescent="0.25">
      <c r="B2981" s="39"/>
    </row>
    <row r="2982" spans="2:2" x14ac:dyDescent="0.25">
      <c r="B2982" s="39"/>
    </row>
    <row r="2983" spans="2:2" x14ac:dyDescent="0.25">
      <c r="B2983" s="39"/>
    </row>
    <row r="2984" spans="2:2" x14ac:dyDescent="0.25">
      <c r="B2984" s="39"/>
    </row>
    <row r="2985" spans="2:2" x14ac:dyDescent="0.25">
      <c r="B2985" s="39"/>
    </row>
    <row r="2986" spans="2:2" x14ac:dyDescent="0.25">
      <c r="B2986" s="39"/>
    </row>
    <row r="2987" spans="2:2" x14ac:dyDescent="0.25">
      <c r="B2987" s="39"/>
    </row>
    <row r="2988" spans="2:2" x14ac:dyDescent="0.25">
      <c r="B2988" s="39"/>
    </row>
    <row r="2989" spans="2:2" x14ac:dyDescent="0.25">
      <c r="B2989" s="39"/>
    </row>
    <row r="2990" spans="2:2" x14ac:dyDescent="0.25">
      <c r="B2990" s="39"/>
    </row>
    <row r="2991" spans="2:2" x14ac:dyDescent="0.25">
      <c r="B2991" s="39"/>
    </row>
    <row r="2992" spans="2:2" x14ac:dyDescent="0.25">
      <c r="B2992" s="39"/>
    </row>
    <row r="2993" spans="2:2" x14ac:dyDescent="0.25">
      <c r="B2993" s="39"/>
    </row>
    <row r="2994" spans="2:2" x14ac:dyDescent="0.25">
      <c r="B2994" s="39"/>
    </row>
    <row r="2995" spans="2:2" x14ac:dyDescent="0.25">
      <c r="B2995" s="39"/>
    </row>
    <row r="2996" spans="2:2" x14ac:dyDescent="0.25">
      <c r="B2996" s="39"/>
    </row>
    <row r="2997" spans="2:2" x14ac:dyDescent="0.25">
      <c r="B2997" s="39"/>
    </row>
    <row r="2998" spans="2:2" x14ac:dyDescent="0.25">
      <c r="B2998" s="39"/>
    </row>
    <row r="2999" spans="2:2" x14ac:dyDescent="0.25">
      <c r="B2999" s="39"/>
    </row>
    <row r="3000" spans="2:2" x14ac:dyDescent="0.25">
      <c r="B3000" s="39"/>
    </row>
    <row r="3001" spans="2:2" x14ac:dyDescent="0.25">
      <c r="B3001" s="39"/>
    </row>
    <row r="3002" spans="2:2" x14ac:dyDescent="0.25">
      <c r="B3002" s="39"/>
    </row>
    <row r="3003" spans="2:2" x14ac:dyDescent="0.25">
      <c r="B3003" s="39"/>
    </row>
    <row r="3004" spans="2:2" x14ac:dyDescent="0.25">
      <c r="B3004" s="39"/>
    </row>
    <row r="3005" spans="2:2" x14ac:dyDescent="0.25">
      <c r="B3005" s="39"/>
    </row>
    <row r="3006" spans="2:2" x14ac:dyDescent="0.25">
      <c r="B3006" s="39"/>
    </row>
    <row r="3007" spans="2:2" x14ac:dyDescent="0.25">
      <c r="B3007" s="39"/>
    </row>
    <row r="3008" spans="2:2" x14ac:dyDescent="0.25">
      <c r="B3008" s="39"/>
    </row>
    <row r="3009" spans="2:2" x14ac:dyDescent="0.25">
      <c r="B3009" s="39"/>
    </row>
    <row r="3010" spans="2:2" x14ac:dyDescent="0.25">
      <c r="B3010" s="39"/>
    </row>
    <row r="3011" spans="2:2" x14ac:dyDescent="0.25">
      <c r="B3011" s="39"/>
    </row>
    <row r="3012" spans="2:2" x14ac:dyDescent="0.25">
      <c r="B3012" s="39"/>
    </row>
    <row r="3013" spans="2:2" x14ac:dyDescent="0.25">
      <c r="B3013" s="39"/>
    </row>
    <row r="3014" spans="2:2" x14ac:dyDescent="0.25">
      <c r="B3014" s="39"/>
    </row>
    <row r="3015" spans="2:2" x14ac:dyDescent="0.25">
      <c r="B3015" s="39"/>
    </row>
    <row r="3016" spans="2:2" x14ac:dyDescent="0.25">
      <c r="B3016" s="39"/>
    </row>
    <row r="3017" spans="2:2" x14ac:dyDescent="0.25">
      <c r="B3017" s="39"/>
    </row>
    <row r="3018" spans="2:2" x14ac:dyDescent="0.25">
      <c r="B3018" s="39"/>
    </row>
    <row r="3019" spans="2:2" x14ac:dyDescent="0.25">
      <c r="B3019" s="39"/>
    </row>
    <row r="3020" spans="2:2" x14ac:dyDescent="0.25">
      <c r="B3020" s="39"/>
    </row>
    <row r="3021" spans="2:2" x14ac:dyDescent="0.25">
      <c r="B3021" s="39"/>
    </row>
    <row r="3022" spans="2:2" x14ac:dyDescent="0.25">
      <c r="B3022" s="39"/>
    </row>
    <row r="3023" spans="2:2" x14ac:dyDescent="0.25">
      <c r="B3023" s="39"/>
    </row>
    <row r="3024" spans="2:2" x14ac:dyDescent="0.25">
      <c r="B3024" s="39"/>
    </row>
    <row r="3025" spans="2:2" x14ac:dyDescent="0.25">
      <c r="B3025" s="39"/>
    </row>
    <row r="3026" spans="2:2" x14ac:dyDescent="0.25">
      <c r="B3026" s="39"/>
    </row>
    <row r="3027" spans="2:2" x14ac:dyDescent="0.25">
      <c r="B3027" s="39"/>
    </row>
    <row r="3028" spans="2:2" x14ac:dyDescent="0.25">
      <c r="B3028" s="39"/>
    </row>
    <row r="3029" spans="2:2" x14ac:dyDescent="0.25">
      <c r="B3029" s="39"/>
    </row>
    <row r="3030" spans="2:2" x14ac:dyDescent="0.25">
      <c r="B3030" s="39"/>
    </row>
    <row r="3031" spans="2:2" x14ac:dyDescent="0.25">
      <c r="B3031" s="39"/>
    </row>
    <row r="3032" spans="2:2" x14ac:dyDescent="0.25">
      <c r="B3032" s="39"/>
    </row>
    <row r="3033" spans="2:2" x14ac:dyDescent="0.25">
      <c r="B3033" s="39"/>
    </row>
    <row r="3034" spans="2:2" x14ac:dyDescent="0.25">
      <c r="B3034" s="39"/>
    </row>
    <row r="3035" spans="2:2" x14ac:dyDescent="0.25">
      <c r="B3035" s="39"/>
    </row>
    <row r="3036" spans="2:2" x14ac:dyDescent="0.25">
      <c r="B3036" s="39"/>
    </row>
    <row r="3037" spans="2:2" x14ac:dyDescent="0.25">
      <c r="B3037" s="39"/>
    </row>
    <row r="3038" spans="2:2" x14ac:dyDescent="0.25">
      <c r="B3038" s="39"/>
    </row>
    <row r="3039" spans="2:2" x14ac:dyDescent="0.25">
      <c r="B3039" s="39"/>
    </row>
    <row r="3040" spans="2:2" x14ac:dyDescent="0.25">
      <c r="B3040" s="39"/>
    </row>
    <row r="3041" spans="2:2" x14ac:dyDescent="0.25">
      <c r="B3041" s="39"/>
    </row>
    <row r="3042" spans="2:2" x14ac:dyDescent="0.25">
      <c r="B3042" s="39"/>
    </row>
    <row r="3043" spans="2:2" x14ac:dyDescent="0.25">
      <c r="B3043" s="39"/>
    </row>
    <row r="3044" spans="2:2" x14ac:dyDescent="0.25">
      <c r="B3044" s="39"/>
    </row>
    <row r="3045" spans="2:2" x14ac:dyDescent="0.25">
      <c r="B3045" s="39"/>
    </row>
    <row r="3046" spans="2:2" x14ac:dyDescent="0.25">
      <c r="B3046" s="39"/>
    </row>
    <row r="3047" spans="2:2" x14ac:dyDescent="0.25">
      <c r="B3047" s="39"/>
    </row>
    <row r="3048" spans="2:2" x14ac:dyDescent="0.25">
      <c r="B3048" s="39"/>
    </row>
    <row r="3049" spans="2:2" x14ac:dyDescent="0.25">
      <c r="B3049" s="39"/>
    </row>
    <row r="3050" spans="2:2" x14ac:dyDescent="0.25">
      <c r="B3050" s="39"/>
    </row>
    <row r="3051" spans="2:2" x14ac:dyDescent="0.25">
      <c r="B3051" s="39"/>
    </row>
    <row r="3052" spans="2:2" x14ac:dyDescent="0.25">
      <c r="B3052" s="39"/>
    </row>
    <row r="3053" spans="2:2" x14ac:dyDescent="0.25">
      <c r="B3053" s="39"/>
    </row>
    <row r="3054" spans="2:2" x14ac:dyDescent="0.25">
      <c r="B3054" s="39"/>
    </row>
    <row r="3055" spans="2:2" x14ac:dyDescent="0.25">
      <c r="B3055" s="39"/>
    </row>
    <row r="3056" spans="2:2" x14ac:dyDescent="0.25">
      <c r="B3056" s="39"/>
    </row>
    <row r="3057" spans="2:2" x14ac:dyDescent="0.25">
      <c r="B3057" s="39"/>
    </row>
    <row r="3058" spans="2:2" x14ac:dyDescent="0.25">
      <c r="B3058" s="39"/>
    </row>
    <row r="3059" spans="2:2" x14ac:dyDescent="0.25">
      <c r="B3059" s="39"/>
    </row>
    <row r="3060" spans="2:2" x14ac:dyDescent="0.25">
      <c r="B3060" s="39"/>
    </row>
    <row r="3061" spans="2:2" x14ac:dyDescent="0.25">
      <c r="B3061" s="39"/>
    </row>
    <row r="3062" spans="2:2" x14ac:dyDescent="0.25">
      <c r="B3062" s="39"/>
    </row>
    <row r="3063" spans="2:2" x14ac:dyDescent="0.25">
      <c r="B3063" s="39"/>
    </row>
    <row r="3064" spans="2:2" x14ac:dyDescent="0.25">
      <c r="B3064" s="39"/>
    </row>
    <row r="3065" spans="2:2" x14ac:dyDescent="0.25">
      <c r="B3065" s="39"/>
    </row>
    <row r="3066" spans="2:2" x14ac:dyDescent="0.25">
      <c r="B3066" s="39"/>
    </row>
    <row r="3067" spans="2:2" x14ac:dyDescent="0.25">
      <c r="B3067" s="39"/>
    </row>
    <row r="3068" spans="2:2" x14ac:dyDescent="0.25">
      <c r="B3068" s="39"/>
    </row>
    <row r="3069" spans="2:2" x14ac:dyDescent="0.25">
      <c r="B3069" s="39"/>
    </row>
    <row r="3070" spans="2:2" x14ac:dyDescent="0.25">
      <c r="B3070" s="39"/>
    </row>
    <row r="3071" spans="2:2" x14ac:dyDescent="0.25">
      <c r="B3071" s="39"/>
    </row>
    <row r="3072" spans="2:2" x14ac:dyDescent="0.25">
      <c r="B3072" s="39"/>
    </row>
    <row r="3073" spans="2:2" x14ac:dyDescent="0.25">
      <c r="B3073" s="39"/>
    </row>
    <row r="3074" spans="2:2" x14ac:dyDescent="0.25">
      <c r="B3074" s="39"/>
    </row>
    <row r="3075" spans="2:2" x14ac:dyDescent="0.25">
      <c r="B3075" s="39"/>
    </row>
    <row r="3076" spans="2:2" x14ac:dyDescent="0.25">
      <c r="B3076" s="39"/>
    </row>
    <row r="3077" spans="2:2" x14ac:dyDescent="0.25">
      <c r="B3077" s="39"/>
    </row>
    <row r="3078" spans="2:2" x14ac:dyDescent="0.25">
      <c r="B3078" s="39"/>
    </row>
    <row r="3079" spans="2:2" x14ac:dyDescent="0.25">
      <c r="B3079" s="39"/>
    </row>
    <row r="3080" spans="2:2" x14ac:dyDescent="0.25">
      <c r="B3080" s="39"/>
    </row>
    <row r="3081" spans="2:2" x14ac:dyDescent="0.25">
      <c r="B3081" s="39"/>
    </row>
    <row r="3082" spans="2:2" x14ac:dyDescent="0.25">
      <c r="B3082" s="39"/>
    </row>
    <row r="3083" spans="2:2" x14ac:dyDescent="0.25">
      <c r="B3083" s="39"/>
    </row>
    <row r="3084" spans="2:2" x14ac:dyDescent="0.25">
      <c r="B3084" s="39"/>
    </row>
    <row r="3085" spans="2:2" x14ac:dyDescent="0.25">
      <c r="B3085" s="39"/>
    </row>
    <row r="3086" spans="2:2" x14ac:dyDescent="0.25">
      <c r="B3086" s="39"/>
    </row>
    <row r="3087" spans="2:2" x14ac:dyDescent="0.25">
      <c r="B3087" s="39"/>
    </row>
    <row r="3088" spans="2:2" x14ac:dyDescent="0.25">
      <c r="B3088" s="39"/>
    </row>
    <row r="3089" spans="2:2" x14ac:dyDescent="0.25">
      <c r="B3089" s="39"/>
    </row>
    <row r="3090" spans="2:2" x14ac:dyDescent="0.25">
      <c r="B3090" s="39"/>
    </row>
    <row r="3091" spans="2:2" x14ac:dyDescent="0.25">
      <c r="B3091" s="39"/>
    </row>
    <row r="3092" spans="2:2" x14ac:dyDescent="0.25">
      <c r="B3092" s="39"/>
    </row>
    <row r="3093" spans="2:2" x14ac:dyDescent="0.25">
      <c r="B3093" s="39"/>
    </row>
    <row r="3094" spans="2:2" x14ac:dyDescent="0.25">
      <c r="B3094" s="39"/>
    </row>
    <row r="3095" spans="2:2" x14ac:dyDescent="0.25">
      <c r="B3095" s="39"/>
    </row>
    <row r="3096" spans="2:2" x14ac:dyDescent="0.25">
      <c r="B3096" s="39"/>
    </row>
    <row r="3097" spans="2:2" x14ac:dyDescent="0.25">
      <c r="B3097" s="39"/>
    </row>
    <row r="3098" spans="2:2" x14ac:dyDescent="0.25">
      <c r="B3098" s="39"/>
    </row>
    <row r="3099" spans="2:2" x14ac:dyDescent="0.25">
      <c r="B3099" s="39"/>
    </row>
    <row r="3100" spans="2:2" x14ac:dyDescent="0.25">
      <c r="B3100" s="39"/>
    </row>
    <row r="3101" spans="2:2" x14ac:dyDescent="0.25">
      <c r="B3101" s="39"/>
    </row>
    <row r="3102" spans="2:2" x14ac:dyDescent="0.25">
      <c r="B3102" s="39"/>
    </row>
    <row r="3103" spans="2:2" x14ac:dyDescent="0.25">
      <c r="B3103" s="39"/>
    </row>
    <row r="3104" spans="2:2" x14ac:dyDescent="0.25">
      <c r="B3104" s="39"/>
    </row>
    <row r="3105" spans="2:2" x14ac:dyDescent="0.25">
      <c r="B3105" s="39"/>
    </row>
    <row r="3106" spans="2:2" x14ac:dyDescent="0.25">
      <c r="B3106" s="39"/>
    </row>
    <row r="3107" spans="2:2" x14ac:dyDescent="0.25">
      <c r="B3107" s="39"/>
    </row>
    <row r="3108" spans="2:2" x14ac:dyDescent="0.25">
      <c r="B3108" s="39"/>
    </row>
    <row r="3109" spans="2:2" x14ac:dyDescent="0.25">
      <c r="B3109" s="39"/>
    </row>
    <row r="3110" spans="2:2" x14ac:dyDescent="0.25">
      <c r="B3110" s="39"/>
    </row>
    <row r="3111" spans="2:2" x14ac:dyDescent="0.25">
      <c r="B3111" s="39"/>
    </row>
    <row r="3112" spans="2:2" x14ac:dyDescent="0.25">
      <c r="B3112" s="39"/>
    </row>
    <row r="3113" spans="2:2" x14ac:dyDescent="0.25">
      <c r="B3113" s="39"/>
    </row>
    <row r="3114" spans="2:2" x14ac:dyDescent="0.25">
      <c r="B3114" s="39"/>
    </row>
    <row r="3115" spans="2:2" x14ac:dyDescent="0.25">
      <c r="B3115" s="39"/>
    </row>
    <row r="3116" spans="2:2" x14ac:dyDescent="0.25">
      <c r="B3116" s="39"/>
    </row>
    <row r="3117" spans="2:2" x14ac:dyDescent="0.25">
      <c r="B3117" s="39"/>
    </row>
    <row r="3118" spans="2:2" x14ac:dyDescent="0.25">
      <c r="B3118" s="39"/>
    </row>
    <row r="3119" spans="2:2" x14ac:dyDescent="0.25">
      <c r="B3119" s="39"/>
    </row>
    <row r="3120" spans="2:2" x14ac:dyDescent="0.25">
      <c r="B3120" s="39"/>
    </row>
    <row r="3121" spans="2:2" x14ac:dyDescent="0.25">
      <c r="B3121" s="39"/>
    </row>
    <row r="3122" spans="2:2" x14ac:dyDescent="0.25">
      <c r="B3122" s="39"/>
    </row>
    <row r="3123" spans="2:2" x14ac:dyDescent="0.25">
      <c r="B3123" s="39"/>
    </row>
    <row r="3124" spans="2:2" x14ac:dyDescent="0.25">
      <c r="B3124" s="39"/>
    </row>
    <row r="3125" spans="2:2" x14ac:dyDescent="0.25">
      <c r="B3125" s="39"/>
    </row>
    <row r="3126" spans="2:2" x14ac:dyDescent="0.25">
      <c r="B3126" s="39"/>
    </row>
    <row r="3127" spans="2:2" x14ac:dyDescent="0.25">
      <c r="B3127" s="39"/>
    </row>
    <row r="3128" spans="2:2" x14ac:dyDescent="0.25">
      <c r="B3128" s="39"/>
    </row>
    <row r="3129" spans="2:2" x14ac:dyDescent="0.25">
      <c r="B3129" s="39"/>
    </row>
    <row r="3130" spans="2:2" x14ac:dyDescent="0.25">
      <c r="B3130" s="39"/>
    </row>
    <row r="3131" spans="2:2" x14ac:dyDescent="0.25">
      <c r="B3131" s="39"/>
    </row>
    <row r="3132" spans="2:2" x14ac:dyDescent="0.25">
      <c r="B3132" s="39"/>
    </row>
    <row r="3133" spans="2:2" x14ac:dyDescent="0.25">
      <c r="B3133" s="39"/>
    </row>
    <row r="3134" spans="2:2" x14ac:dyDescent="0.25">
      <c r="B3134" s="39"/>
    </row>
    <row r="3135" spans="2:2" x14ac:dyDescent="0.25">
      <c r="B3135" s="39"/>
    </row>
    <row r="3136" spans="2:2" x14ac:dyDescent="0.25">
      <c r="B3136" s="39"/>
    </row>
    <row r="3137" spans="2:2" x14ac:dyDescent="0.25">
      <c r="B3137" s="39"/>
    </row>
    <row r="3138" spans="2:2" x14ac:dyDescent="0.25">
      <c r="B3138" s="39"/>
    </row>
    <row r="3139" spans="2:2" x14ac:dyDescent="0.25">
      <c r="B3139" s="39"/>
    </row>
    <row r="3140" spans="2:2" x14ac:dyDescent="0.25">
      <c r="B3140" s="39"/>
    </row>
    <row r="3141" spans="2:2" x14ac:dyDescent="0.25">
      <c r="B3141" s="39"/>
    </row>
    <row r="3142" spans="2:2" x14ac:dyDescent="0.25">
      <c r="B3142" s="39"/>
    </row>
    <row r="3143" spans="2:2" x14ac:dyDescent="0.25">
      <c r="B3143" s="39"/>
    </row>
    <row r="3144" spans="2:2" x14ac:dyDescent="0.25">
      <c r="B3144" s="39"/>
    </row>
    <row r="3145" spans="2:2" x14ac:dyDescent="0.25">
      <c r="B3145" s="39"/>
    </row>
    <row r="3146" spans="2:2" x14ac:dyDescent="0.25">
      <c r="B3146" s="39"/>
    </row>
    <row r="3147" spans="2:2" x14ac:dyDescent="0.25">
      <c r="B3147" s="39"/>
    </row>
    <row r="3148" spans="2:2" x14ac:dyDescent="0.25">
      <c r="B3148" s="39"/>
    </row>
    <row r="3149" spans="2:2" x14ac:dyDescent="0.25">
      <c r="B3149" s="39"/>
    </row>
    <row r="3150" spans="2:2" x14ac:dyDescent="0.25">
      <c r="B3150" s="39"/>
    </row>
    <row r="3151" spans="2:2" x14ac:dyDescent="0.25">
      <c r="B3151" s="39"/>
    </row>
    <row r="3152" spans="2:2" x14ac:dyDescent="0.25">
      <c r="B3152" s="39"/>
    </row>
    <row r="3153" spans="2:2" x14ac:dyDescent="0.25">
      <c r="B3153" s="39"/>
    </row>
    <row r="3154" spans="2:2" x14ac:dyDescent="0.25">
      <c r="B3154" s="39"/>
    </row>
    <row r="3155" spans="2:2" x14ac:dyDescent="0.25">
      <c r="B3155" s="39"/>
    </row>
    <row r="3156" spans="2:2" x14ac:dyDescent="0.25">
      <c r="B3156" s="39"/>
    </row>
    <row r="3157" spans="2:2" x14ac:dyDescent="0.25">
      <c r="B3157" s="39"/>
    </row>
    <row r="3158" spans="2:2" x14ac:dyDescent="0.25">
      <c r="B3158" s="39"/>
    </row>
    <row r="3159" spans="2:2" x14ac:dyDescent="0.25">
      <c r="B3159" s="39"/>
    </row>
    <row r="3160" spans="2:2" x14ac:dyDescent="0.25">
      <c r="B3160" s="39"/>
    </row>
    <row r="3161" spans="2:2" x14ac:dyDescent="0.25">
      <c r="B3161" s="39"/>
    </row>
    <row r="3162" spans="2:2" x14ac:dyDescent="0.25">
      <c r="B3162" s="39"/>
    </row>
    <row r="3163" spans="2:2" x14ac:dyDescent="0.25">
      <c r="B3163" s="39"/>
    </row>
    <row r="3164" spans="2:2" x14ac:dyDescent="0.25">
      <c r="B3164" s="39"/>
    </row>
    <row r="3165" spans="2:2" x14ac:dyDescent="0.25">
      <c r="B3165" s="39"/>
    </row>
    <row r="3166" spans="2:2" x14ac:dyDescent="0.25">
      <c r="B3166" s="39"/>
    </row>
    <row r="3167" spans="2:2" x14ac:dyDescent="0.25">
      <c r="B3167" s="39"/>
    </row>
    <row r="3168" spans="2:2" x14ac:dyDescent="0.25">
      <c r="B3168" s="39"/>
    </row>
    <row r="3169" spans="2:2" x14ac:dyDescent="0.25">
      <c r="B3169" s="39"/>
    </row>
    <row r="3170" spans="2:2" x14ac:dyDescent="0.25">
      <c r="B3170" s="39"/>
    </row>
    <row r="3171" spans="2:2" x14ac:dyDescent="0.25">
      <c r="B3171" s="39"/>
    </row>
    <row r="3172" spans="2:2" x14ac:dyDescent="0.25">
      <c r="B3172" s="39"/>
    </row>
    <row r="3173" spans="2:2" x14ac:dyDescent="0.25">
      <c r="B3173" s="39"/>
    </row>
    <row r="3174" spans="2:2" x14ac:dyDescent="0.25">
      <c r="B3174" s="39"/>
    </row>
    <row r="3175" spans="2:2" x14ac:dyDescent="0.25">
      <c r="B3175" s="39"/>
    </row>
    <row r="3176" spans="2:2" x14ac:dyDescent="0.25">
      <c r="B3176" s="39"/>
    </row>
    <row r="3177" spans="2:2" x14ac:dyDescent="0.25">
      <c r="B3177" s="39"/>
    </row>
    <row r="3178" spans="2:2" x14ac:dyDescent="0.25">
      <c r="B3178" s="39"/>
    </row>
    <row r="3179" spans="2:2" x14ac:dyDescent="0.25">
      <c r="B3179" s="39"/>
    </row>
    <row r="3180" spans="2:2" x14ac:dyDescent="0.25">
      <c r="B3180" s="39"/>
    </row>
    <row r="3181" spans="2:2" x14ac:dyDescent="0.25">
      <c r="B3181" s="39"/>
    </row>
    <row r="3182" spans="2:2" x14ac:dyDescent="0.25">
      <c r="B3182" s="39"/>
    </row>
    <row r="3183" spans="2:2" x14ac:dyDescent="0.25">
      <c r="B3183" s="39"/>
    </row>
    <row r="3184" spans="2:2" x14ac:dyDescent="0.25">
      <c r="B3184" s="39"/>
    </row>
    <row r="3185" spans="2:2" x14ac:dyDescent="0.25">
      <c r="B3185" s="39"/>
    </row>
    <row r="3186" spans="2:2" x14ac:dyDescent="0.25">
      <c r="B3186" s="39"/>
    </row>
    <row r="3187" spans="2:2" x14ac:dyDescent="0.25">
      <c r="B3187" s="39"/>
    </row>
    <row r="3188" spans="2:2" x14ac:dyDescent="0.25">
      <c r="B3188" s="39"/>
    </row>
    <row r="3189" spans="2:2" x14ac:dyDescent="0.25">
      <c r="B3189" s="39"/>
    </row>
    <row r="3190" spans="2:2" x14ac:dyDescent="0.25">
      <c r="B3190" s="39"/>
    </row>
    <row r="3191" spans="2:2" x14ac:dyDescent="0.25">
      <c r="B3191" s="39"/>
    </row>
    <row r="3192" spans="2:2" x14ac:dyDescent="0.25">
      <c r="B3192" s="39"/>
    </row>
    <row r="3193" spans="2:2" x14ac:dyDescent="0.25">
      <c r="B3193" s="39"/>
    </row>
    <row r="3194" spans="2:2" x14ac:dyDescent="0.25">
      <c r="B3194" s="39"/>
    </row>
    <row r="3195" spans="2:2" x14ac:dyDescent="0.25">
      <c r="B3195" s="39"/>
    </row>
    <row r="3196" spans="2:2" x14ac:dyDescent="0.25">
      <c r="B3196" s="39"/>
    </row>
    <row r="3197" spans="2:2" x14ac:dyDescent="0.25">
      <c r="B3197" s="39"/>
    </row>
    <row r="3198" spans="2:2" x14ac:dyDescent="0.25">
      <c r="B3198" s="39"/>
    </row>
    <row r="3199" spans="2:2" x14ac:dyDescent="0.25">
      <c r="B3199" s="39"/>
    </row>
    <row r="3200" spans="2:2" x14ac:dyDescent="0.25">
      <c r="B3200" s="39"/>
    </row>
    <row r="3201" spans="2:2" x14ac:dyDescent="0.25">
      <c r="B3201" s="39"/>
    </row>
    <row r="3202" spans="2:2" x14ac:dyDescent="0.25">
      <c r="B3202" s="39"/>
    </row>
    <row r="3203" spans="2:2" x14ac:dyDescent="0.25">
      <c r="B3203" s="39"/>
    </row>
    <row r="3204" spans="2:2" x14ac:dyDescent="0.25">
      <c r="B3204" s="39"/>
    </row>
    <row r="3205" spans="2:2" x14ac:dyDescent="0.25">
      <c r="B3205" s="39"/>
    </row>
    <row r="3206" spans="2:2" x14ac:dyDescent="0.25">
      <c r="B3206" s="39"/>
    </row>
    <row r="3207" spans="2:2" x14ac:dyDescent="0.25">
      <c r="B3207" s="39"/>
    </row>
    <row r="3208" spans="2:2" x14ac:dyDescent="0.25">
      <c r="B3208" s="39"/>
    </row>
    <row r="3209" spans="2:2" x14ac:dyDescent="0.25">
      <c r="B3209" s="39"/>
    </row>
    <row r="3210" spans="2:2" x14ac:dyDescent="0.25">
      <c r="B3210" s="39"/>
    </row>
    <row r="3211" spans="2:2" x14ac:dyDescent="0.25">
      <c r="B3211" s="39"/>
    </row>
    <row r="3212" spans="2:2" x14ac:dyDescent="0.25">
      <c r="B3212" s="39"/>
    </row>
    <row r="3213" spans="2:2" x14ac:dyDescent="0.25">
      <c r="B3213" s="39"/>
    </row>
    <row r="3214" spans="2:2" x14ac:dyDescent="0.25">
      <c r="B3214" s="39"/>
    </row>
    <row r="3215" spans="2:2" x14ac:dyDescent="0.25">
      <c r="B3215" s="39"/>
    </row>
    <row r="3216" spans="2:2" x14ac:dyDescent="0.25">
      <c r="B3216" s="39"/>
    </row>
    <row r="3217" spans="2:2" x14ac:dyDescent="0.25">
      <c r="B3217" s="39"/>
    </row>
    <row r="3218" spans="2:2" x14ac:dyDescent="0.25">
      <c r="B3218" s="39"/>
    </row>
    <row r="3219" spans="2:2" x14ac:dyDescent="0.25">
      <c r="B3219" s="39"/>
    </row>
    <row r="3220" spans="2:2" x14ac:dyDescent="0.25">
      <c r="B3220" s="39"/>
    </row>
    <row r="3221" spans="2:2" x14ac:dyDescent="0.25">
      <c r="B3221" s="39"/>
    </row>
    <row r="3222" spans="2:2" x14ac:dyDescent="0.25">
      <c r="B3222" s="39"/>
    </row>
    <row r="3223" spans="2:2" x14ac:dyDescent="0.25">
      <c r="B3223" s="39"/>
    </row>
    <row r="3224" spans="2:2" x14ac:dyDescent="0.25">
      <c r="B3224" s="39"/>
    </row>
    <row r="3225" spans="2:2" x14ac:dyDescent="0.25">
      <c r="B3225" s="39"/>
    </row>
    <row r="3226" spans="2:2" x14ac:dyDescent="0.25">
      <c r="B3226" s="39"/>
    </row>
    <row r="3227" spans="2:2" x14ac:dyDescent="0.25">
      <c r="B3227" s="39"/>
    </row>
    <row r="3228" spans="2:2" x14ac:dyDescent="0.25">
      <c r="B3228" s="39"/>
    </row>
    <row r="3229" spans="2:2" x14ac:dyDescent="0.25">
      <c r="B3229" s="39"/>
    </row>
    <row r="3230" spans="2:2" x14ac:dyDescent="0.25">
      <c r="B3230" s="39"/>
    </row>
    <row r="3231" spans="2:2" x14ac:dyDescent="0.25">
      <c r="B3231" s="39"/>
    </row>
    <row r="3232" spans="2:2" x14ac:dyDescent="0.25">
      <c r="B3232" s="39"/>
    </row>
    <row r="3233" spans="2:2" x14ac:dyDescent="0.25">
      <c r="B3233" s="39"/>
    </row>
    <row r="3234" spans="2:2" x14ac:dyDescent="0.25">
      <c r="B3234" s="39"/>
    </row>
    <row r="3235" spans="2:2" x14ac:dyDescent="0.25">
      <c r="B3235" s="39"/>
    </row>
    <row r="3236" spans="2:2" x14ac:dyDescent="0.25">
      <c r="B3236" s="39"/>
    </row>
    <row r="3237" spans="2:2" x14ac:dyDescent="0.25">
      <c r="B3237" s="39"/>
    </row>
    <row r="3238" spans="2:2" x14ac:dyDescent="0.25">
      <c r="B3238" s="39"/>
    </row>
    <row r="3239" spans="2:2" x14ac:dyDescent="0.25">
      <c r="B3239" s="39"/>
    </row>
    <row r="3240" spans="2:2" x14ac:dyDescent="0.25">
      <c r="B3240" s="39"/>
    </row>
    <row r="3241" spans="2:2" x14ac:dyDescent="0.25">
      <c r="B3241" s="39"/>
    </row>
    <row r="3242" spans="2:2" x14ac:dyDescent="0.25">
      <c r="B3242" s="39"/>
    </row>
    <row r="3243" spans="2:2" x14ac:dyDescent="0.25">
      <c r="B3243" s="39"/>
    </row>
    <row r="3244" spans="2:2" x14ac:dyDescent="0.25">
      <c r="B3244" s="39"/>
    </row>
    <row r="3245" spans="2:2" x14ac:dyDescent="0.25">
      <c r="B3245" s="39"/>
    </row>
    <row r="3246" spans="2:2" x14ac:dyDescent="0.25">
      <c r="B3246" s="39"/>
    </row>
    <row r="3247" spans="2:2" x14ac:dyDescent="0.25">
      <c r="B3247" s="39"/>
    </row>
    <row r="3248" spans="2:2" x14ac:dyDescent="0.25">
      <c r="B3248" s="39"/>
    </row>
    <row r="3249" spans="2:2" x14ac:dyDescent="0.25">
      <c r="B3249" s="39"/>
    </row>
    <row r="3250" spans="2:2" x14ac:dyDescent="0.25">
      <c r="B3250" s="39"/>
    </row>
    <row r="3251" spans="2:2" x14ac:dyDescent="0.25">
      <c r="B3251" s="39"/>
    </row>
    <row r="3252" spans="2:2" x14ac:dyDescent="0.25">
      <c r="B3252" s="39"/>
    </row>
    <row r="3253" spans="2:2" x14ac:dyDescent="0.25">
      <c r="B3253" s="39"/>
    </row>
    <row r="3254" spans="2:2" x14ac:dyDescent="0.25">
      <c r="B3254" s="39"/>
    </row>
    <row r="3255" spans="2:2" x14ac:dyDescent="0.25">
      <c r="B3255" s="39"/>
    </row>
    <row r="3256" spans="2:2" x14ac:dyDescent="0.25">
      <c r="B3256" s="39"/>
    </row>
    <row r="3257" spans="2:2" x14ac:dyDescent="0.25">
      <c r="B3257" s="39"/>
    </row>
    <row r="3258" spans="2:2" x14ac:dyDescent="0.25">
      <c r="B3258" s="39"/>
    </row>
    <row r="3259" spans="2:2" x14ac:dyDescent="0.25">
      <c r="B3259" s="39"/>
    </row>
    <row r="3260" spans="2:2" x14ac:dyDescent="0.25">
      <c r="B3260" s="39"/>
    </row>
    <row r="3261" spans="2:2" x14ac:dyDescent="0.25">
      <c r="B3261" s="39"/>
    </row>
    <row r="3262" spans="2:2" x14ac:dyDescent="0.25">
      <c r="B3262" s="39"/>
    </row>
    <row r="3263" spans="2:2" x14ac:dyDescent="0.25">
      <c r="B3263" s="39"/>
    </row>
    <row r="3264" spans="2:2" x14ac:dyDescent="0.25">
      <c r="B3264" s="39"/>
    </row>
    <row r="3265" spans="2:2" x14ac:dyDescent="0.25">
      <c r="B3265" s="39"/>
    </row>
    <row r="3266" spans="2:2" x14ac:dyDescent="0.25">
      <c r="B3266" s="39"/>
    </row>
    <row r="3267" spans="2:2" x14ac:dyDescent="0.25">
      <c r="B3267" s="39"/>
    </row>
    <row r="3268" spans="2:2" x14ac:dyDescent="0.25">
      <c r="B3268" s="39"/>
    </row>
    <row r="3269" spans="2:2" x14ac:dyDescent="0.25">
      <c r="B3269" s="39"/>
    </row>
    <row r="3270" spans="2:2" x14ac:dyDescent="0.25">
      <c r="B3270" s="39"/>
    </row>
    <row r="3271" spans="2:2" x14ac:dyDescent="0.25">
      <c r="B3271" s="39"/>
    </row>
    <row r="3272" spans="2:2" x14ac:dyDescent="0.25">
      <c r="B3272" s="39"/>
    </row>
    <row r="3273" spans="2:2" x14ac:dyDescent="0.25">
      <c r="B3273" s="39"/>
    </row>
    <row r="3274" spans="2:2" x14ac:dyDescent="0.25">
      <c r="B3274" s="39"/>
    </row>
    <row r="3275" spans="2:2" x14ac:dyDescent="0.25">
      <c r="B3275" s="39"/>
    </row>
    <row r="3276" spans="2:2" x14ac:dyDescent="0.25">
      <c r="B3276" s="39"/>
    </row>
    <row r="3277" spans="2:2" x14ac:dyDescent="0.25">
      <c r="B3277" s="39"/>
    </row>
    <row r="3278" spans="2:2" x14ac:dyDescent="0.25">
      <c r="B3278" s="39"/>
    </row>
    <row r="3279" spans="2:2" x14ac:dyDescent="0.25">
      <c r="B3279" s="39"/>
    </row>
    <row r="3280" spans="2:2" x14ac:dyDescent="0.25">
      <c r="B3280" s="39"/>
    </row>
    <row r="3281" spans="2:2" x14ac:dyDescent="0.25">
      <c r="B3281" s="39"/>
    </row>
    <row r="3282" spans="2:2" x14ac:dyDescent="0.25">
      <c r="B3282" s="39"/>
    </row>
    <row r="3283" spans="2:2" x14ac:dyDescent="0.25">
      <c r="B3283" s="39"/>
    </row>
    <row r="3284" spans="2:2" x14ac:dyDescent="0.25">
      <c r="B3284" s="39"/>
    </row>
    <row r="3285" spans="2:2" x14ac:dyDescent="0.25">
      <c r="B3285" s="39"/>
    </row>
    <row r="3286" spans="2:2" x14ac:dyDescent="0.25">
      <c r="B3286" s="39"/>
    </row>
    <row r="3287" spans="2:2" x14ac:dyDescent="0.25">
      <c r="B3287" s="39"/>
    </row>
    <row r="3288" spans="2:2" x14ac:dyDescent="0.25">
      <c r="B3288" s="39"/>
    </row>
    <row r="3289" spans="2:2" x14ac:dyDescent="0.25">
      <c r="B3289" s="39"/>
    </row>
    <row r="3290" spans="2:2" x14ac:dyDescent="0.25">
      <c r="B3290" s="39"/>
    </row>
    <row r="3291" spans="2:2" x14ac:dyDescent="0.25">
      <c r="B3291" s="39"/>
    </row>
    <row r="3292" spans="2:2" x14ac:dyDescent="0.25">
      <c r="B3292" s="39"/>
    </row>
    <row r="3293" spans="2:2" x14ac:dyDescent="0.25">
      <c r="B3293" s="39"/>
    </row>
    <row r="3294" spans="2:2" x14ac:dyDescent="0.25">
      <c r="B3294" s="39"/>
    </row>
    <row r="3295" spans="2:2" x14ac:dyDescent="0.25">
      <c r="B3295" s="39"/>
    </row>
    <row r="3296" spans="2:2" x14ac:dyDescent="0.25">
      <c r="B3296" s="39"/>
    </row>
    <row r="3297" spans="2:2" x14ac:dyDescent="0.25">
      <c r="B3297" s="39"/>
    </row>
    <row r="3298" spans="2:2" x14ac:dyDescent="0.25">
      <c r="B3298" s="39"/>
    </row>
    <row r="3299" spans="2:2" x14ac:dyDescent="0.25">
      <c r="B3299" s="39"/>
    </row>
    <row r="3300" spans="2:2" x14ac:dyDescent="0.25">
      <c r="B3300" s="39"/>
    </row>
    <row r="3301" spans="2:2" x14ac:dyDescent="0.25">
      <c r="B3301" s="39"/>
    </row>
    <row r="3302" spans="2:2" x14ac:dyDescent="0.25">
      <c r="B3302" s="39"/>
    </row>
    <row r="3303" spans="2:2" x14ac:dyDescent="0.25">
      <c r="B3303" s="39"/>
    </row>
    <row r="3304" spans="2:2" x14ac:dyDescent="0.25">
      <c r="B3304" s="39"/>
    </row>
    <row r="3305" spans="2:2" x14ac:dyDescent="0.25">
      <c r="B3305" s="39"/>
    </row>
    <row r="3306" spans="2:2" x14ac:dyDescent="0.25">
      <c r="B3306" s="39"/>
    </row>
    <row r="3307" spans="2:2" x14ac:dyDescent="0.25">
      <c r="B3307" s="39"/>
    </row>
    <row r="3308" spans="2:2" x14ac:dyDescent="0.25">
      <c r="B3308" s="39"/>
    </row>
    <row r="3309" spans="2:2" x14ac:dyDescent="0.25">
      <c r="B3309" s="39"/>
    </row>
    <row r="3310" spans="2:2" x14ac:dyDescent="0.25">
      <c r="B3310" s="39"/>
    </row>
    <row r="3311" spans="2:2" x14ac:dyDescent="0.25">
      <c r="B3311" s="39"/>
    </row>
    <row r="3312" spans="2:2" x14ac:dyDescent="0.25">
      <c r="B3312" s="39"/>
    </row>
    <row r="3313" spans="2:2" x14ac:dyDescent="0.25">
      <c r="B3313" s="39"/>
    </row>
    <row r="3314" spans="2:2" x14ac:dyDescent="0.25">
      <c r="B3314" s="39"/>
    </row>
    <row r="3315" spans="2:2" x14ac:dyDescent="0.25">
      <c r="B3315" s="39"/>
    </row>
    <row r="3316" spans="2:2" x14ac:dyDescent="0.25">
      <c r="B3316" s="39"/>
    </row>
    <row r="3317" spans="2:2" x14ac:dyDescent="0.25">
      <c r="B3317" s="39"/>
    </row>
    <row r="3318" spans="2:2" x14ac:dyDescent="0.25">
      <c r="B3318" s="39"/>
    </row>
    <row r="3319" spans="2:2" x14ac:dyDescent="0.25">
      <c r="B3319" s="39"/>
    </row>
    <row r="3320" spans="2:2" x14ac:dyDescent="0.25">
      <c r="B3320" s="39"/>
    </row>
    <row r="3321" spans="2:2" x14ac:dyDescent="0.25">
      <c r="B3321" s="39"/>
    </row>
    <row r="3322" spans="2:2" x14ac:dyDescent="0.25">
      <c r="B3322" s="39"/>
    </row>
    <row r="3323" spans="2:2" x14ac:dyDescent="0.25">
      <c r="B3323" s="39"/>
    </row>
    <row r="3324" spans="2:2" x14ac:dyDescent="0.25">
      <c r="B3324" s="39"/>
    </row>
    <row r="3325" spans="2:2" x14ac:dyDescent="0.25">
      <c r="B3325" s="39"/>
    </row>
    <row r="3326" spans="2:2" x14ac:dyDescent="0.25">
      <c r="B3326" s="39"/>
    </row>
    <row r="3327" spans="2:2" x14ac:dyDescent="0.25">
      <c r="B3327" s="39"/>
    </row>
    <row r="3328" spans="2:2" x14ac:dyDescent="0.25">
      <c r="B3328" s="39"/>
    </row>
    <row r="3329" spans="2:2" x14ac:dyDescent="0.25">
      <c r="B3329" s="39"/>
    </row>
    <row r="3330" spans="2:2" x14ac:dyDescent="0.25">
      <c r="B3330" s="39"/>
    </row>
    <row r="3331" spans="2:2" x14ac:dyDescent="0.25">
      <c r="B3331" s="39"/>
    </row>
    <row r="3332" spans="2:2" x14ac:dyDescent="0.25">
      <c r="B3332" s="39"/>
    </row>
    <row r="3333" spans="2:2" x14ac:dyDescent="0.25">
      <c r="B3333" s="39"/>
    </row>
    <row r="3334" spans="2:2" x14ac:dyDescent="0.25">
      <c r="B3334" s="39"/>
    </row>
    <row r="3335" spans="2:2" x14ac:dyDescent="0.25">
      <c r="B3335" s="39"/>
    </row>
    <row r="3336" spans="2:2" x14ac:dyDescent="0.25">
      <c r="B3336" s="39"/>
    </row>
    <row r="3337" spans="2:2" x14ac:dyDescent="0.25">
      <c r="B3337" s="39"/>
    </row>
    <row r="3338" spans="2:2" x14ac:dyDescent="0.25">
      <c r="B3338" s="39"/>
    </row>
    <row r="3339" spans="2:2" x14ac:dyDescent="0.25">
      <c r="B3339" s="39"/>
    </row>
    <row r="3340" spans="2:2" x14ac:dyDescent="0.25">
      <c r="B3340" s="39"/>
    </row>
    <row r="3341" spans="2:2" x14ac:dyDescent="0.25">
      <c r="B3341" s="39"/>
    </row>
    <row r="3342" spans="2:2" x14ac:dyDescent="0.25">
      <c r="B3342" s="39"/>
    </row>
    <row r="3343" spans="2:2" x14ac:dyDescent="0.25">
      <c r="B3343" s="39"/>
    </row>
    <row r="3344" spans="2:2" x14ac:dyDescent="0.25">
      <c r="B3344" s="39"/>
    </row>
    <row r="3345" spans="2:2" x14ac:dyDescent="0.25">
      <c r="B3345" s="39"/>
    </row>
    <row r="3346" spans="2:2" x14ac:dyDescent="0.25">
      <c r="B3346" s="39"/>
    </row>
    <row r="3347" spans="2:2" x14ac:dyDescent="0.25">
      <c r="B3347" s="39"/>
    </row>
    <row r="3348" spans="2:2" x14ac:dyDescent="0.25">
      <c r="B3348" s="39"/>
    </row>
    <row r="3349" spans="2:2" x14ac:dyDescent="0.25">
      <c r="B3349" s="39"/>
    </row>
    <row r="3350" spans="2:2" x14ac:dyDescent="0.25">
      <c r="B3350" s="39"/>
    </row>
    <row r="3351" spans="2:2" x14ac:dyDescent="0.25">
      <c r="B3351" s="39"/>
    </row>
    <row r="3352" spans="2:2" x14ac:dyDescent="0.25">
      <c r="B3352" s="39"/>
    </row>
    <row r="3353" spans="2:2" x14ac:dyDescent="0.25">
      <c r="B3353" s="39"/>
    </row>
    <row r="3354" spans="2:2" x14ac:dyDescent="0.25">
      <c r="B3354" s="39"/>
    </row>
    <row r="3355" spans="2:2" x14ac:dyDescent="0.25">
      <c r="B3355" s="39"/>
    </row>
    <row r="3356" spans="2:2" x14ac:dyDescent="0.25">
      <c r="B3356" s="39"/>
    </row>
    <row r="3357" spans="2:2" x14ac:dyDescent="0.25">
      <c r="B3357" s="39"/>
    </row>
    <row r="3358" spans="2:2" x14ac:dyDescent="0.25">
      <c r="B3358" s="39"/>
    </row>
    <row r="3359" spans="2:2" x14ac:dyDescent="0.25">
      <c r="B3359" s="39"/>
    </row>
    <row r="3360" spans="2:2" x14ac:dyDescent="0.25">
      <c r="B3360" s="39"/>
    </row>
    <row r="3361" spans="2:2" x14ac:dyDescent="0.25">
      <c r="B3361" s="39"/>
    </row>
    <row r="3362" spans="2:2" x14ac:dyDescent="0.25">
      <c r="B3362" s="39"/>
    </row>
    <row r="3363" spans="2:2" x14ac:dyDescent="0.25">
      <c r="B3363" s="39"/>
    </row>
    <row r="3364" spans="2:2" x14ac:dyDescent="0.25">
      <c r="B3364" s="39"/>
    </row>
    <row r="3365" spans="2:2" x14ac:dyDescent="0.25">
      <c r="B3365" s="39"/>
    </row>
    <row r="3366" spans="2:2" x14ac:dyDescent="0.25">
      <c r="B3366" s="39"/>
    </row>
    <row r="3367" spans="2:2" x14ac:dyDescent="0.25">
      <c r="B3367" s="39"/>
    </row>
    <row r="3368" spans="2:2" x14ac:dyDescent="0.25">
      <c r="B3368" s="39"/>
    </row>
    <row r="3369" spans="2:2" x14ac:dyDescent="0.25">
      <c r="B3369" s="39"/>
    </row>
    <row r="3370" spans="2:2" x14ac:dyDescent="0.25">
      <c r="B3370" s="39"/>
    </row>
    <row r="3371" spans="2:2" x14ac:dyDescent="0.25">
      <c r="B3371" s="39"/>
    </row>
    <row r="3372" spans="2:2" x14ac:dyDescent="0.25">
      <c r="B3372" s="39"/>
    </row>
    <row r="3373" spans="2:2" x14ac:dyDescent="0.25">
      <c r="B3373" s="39"/>
    </row>
    <row r="3374" spans="2:2" x14ac:dyDescent="0.25">
      <c r="B3374" s="39"/>
    </row>
    <row r="3375" spans="2:2" x14ac:dyDescent="0.25">
      <c r="B3375" s="39"/>
    </row>
    <row r="3376" spans="2:2" x14ac:dyDescent="0.25">
      <c r="B3376" s="39"/>
    </row>
    <row r="3377" spans="2:2" x14ac:dyDescent="0.25">
      <c r="B3377" s="39"/>
    </row>
    <row r="3378" spans="2:2" x14ac:dyDescent="0.25">
      <c r="B3378" s="39"/>
    </row>
    <row r="3379" spans="2:2" x14ac:dyDescent="0.25">
      <c r="B3379" s="39"/>
    </row>
    <row r="3380" spans="2:2" x14ac:dyDescent="0.25">
      <c r="B3380" s="39"/>
    </row>
    <row r="3381" spans="2:2" x14ac:dyDescent="0.25">
      <c r="B3381" s="39"/>
    </row>
    <row r="3382" spans="2:2" x14ac:dyDescent="0.25">
      <c r="B3382" s="39"/>
    </row>
    <row r="3383" spans="2:2" x14ac:dyDescent="0.25">
      <c r="B3383" s="39"/>
    </row>
    <row r="3384" spans="2:2" x14ac:dyDescent="0.25">
      <c r="B3384" s="39"/>
    </row>
    <row r="3385" spans="2:2" x14ac:dyDescent="0.25">
      <c r="B3385" s="39"/>
    </row>
    <row r="3386" spans="2:2" x14ac:dyDescent="0.25">
      <c r="B3386" s="39"/>
    </row>
    <row r="3387" spans="2:2" x14ac:dyDescent="0.25">
      <c r="B3387" s="39"/>
    </row>
    <row r="3388" spans="2:2" x14ac:dyDescent="0.25">
      <c r="B3388" s="39"/>
    </row>
    <row r="3389" spans="2:2" x14ac:dyDescent="0.25">
      <c r="B3389" s="39"/>
    </row>
    <row r="3390" spans="2:2" x14ac:dyDescent="0.25">
      <c r="B3390" s="39"/>
    </row>
    <row r="3391" spans="2:2" x14ac:dyDescent="0.25">
      <c r="B3391" s="39"/>
    </row>
    <row r="3392" spans="2:2" x14ac:dyDescent="0.25">
      <c r="B3392" s="39"/>
    </row>
    <row r="3393" spans="2:2" x14ac:dyDescent="0.25">
      <c r="B3393" s="39"/>
    </row>
    <row r="3394" spans="2:2" x14ac:dyDescent="0.25">
      <c r="B3394" s="39"/>
    </row>
    <row r="3395" spans="2:2" x14ac:dyDescent="0.25">
      <c r="B3395" s="39"/>
    </row>
    <row r="3396" spans="2:2" x14ac:dyDescent="0.25">
      <c r="B3396" s="39"/>
    </row>
    <row r="3397" spans="2:2" x14ac:dyDescent="0.25">
      <c r="B3397" s="39"/>
    </row>
    <row r="3398" spans="2:2" x14ac:dyDescent="0.25">
      <c r="B3398" s="39"/>
    </row>
    <row r="3399" spans="2:2" x14ac:dyDescent="0.25">
      <c r="B3399" s="39"/>
    </row>
    <row r="3400" spans="2:2" x14ac:dyDescent="0.25">
      <c r="B3400" s="39"/>
    </row>
    <row r="3401" spans="2:2" x14ac:dyDescent="0.25">
      <c r="B3401" s="39"/>
    </row>
    <row r="3402" spans="2:2" x14ac:dyDescent="0.25">
      <c r="B3402" s="39"/>
    </row>
    <row r="3403" spans="2:2" x14ac:dyDescent="0.25">
      <c r="B3403" s="39"/>
    </row>
    <row r="3404" spans="2:2" x14ac:dyDescent="0.25">
      <c r="B3404" s="39"/>
    </row>
    <row r="3405" spans="2:2" x14ac:dyDescent="0.25">
      <c r="B3405" s="39"/>
    </row>
    <row r="3406" spans="2:2" x14ac:dyDescent="0.25">
      <c r="B3406" s="39"/>
    </row>
    <row r="3407" spans="2:2" x14ac:dyDescent="0.25">
      <c r="B3407" s="39"/>
    </row>
    <row r="3408" spans="2:2" x14ac:dyDescent="0.25">
      <c r="B3408" s="39"/>
    </row>
    <row r="3409" spans="2:2" x14ac:dyDescent="0.25">
      <c r="B3409" s="39"/>
    </row>
    <row r="3410" spans="2:2" x14ac:dyDescent="0.25">
      <c r="B3410" s="39"/>
    </row>
    <row r="3411" spans="2:2" x14ac:dyDescent="0.25">
      <c r="B3411" s="39"/>
    </row>
    <row r="3412" spans="2:2" x14ac:dyDescent="0.25">
      <c r="B3412" s="39"/>
    </row>
    <row r="3413" spans="2:2" x14ac:dyDescent="0.25">
      <c r="B3413" s="39"/>
    </row>
    <row r="3414" spans="2:2" x14ac:dyDescent="0.25">
      <c r="B3414" s="39"/>
    </row>
    <row r="3415" spans="2:2" x14ac:dyDescent="0.25">
      <c r="B3415" s="39"/>
    </row>
    <row r="3416" spans="2:2" x14ac:dyDescent="0.25">
      <c r="B3416" s="39"/>
    </row>
    <row r="3417" spans="2:2" x14ac:dyDescent="0.25">
      <c r="B3417" s="39"/>
    </row>
    <row r="3418" spans="2:2" x14ac:dyDescent="0.25">
      <c r="B3418" s="39"/>
    </row>
    <row r="3419" spans="2:2" x14ac:dyDescent="0.25">
      <c r="B3419" s="39"/>
    </row>
    <row r="3420" spans="2:2" x14ac:dyDescent="0.25">
      <c r="B3420" s="39"/>
    </row>
    <row r="3421" spans="2:2" x14ac:dyDescent="0.25">
      <c r="B3421" s="39"/>
    </row>
    <row r="3422" spans="2:2" x14ac:dyDescent="0.25">
      <c r="B3422" s="39"/>
    </row>
    <row r="3423" spans="2:2" x14ac:dyDescent="0.25">
      <c r="B3423" s="39"/>
    </row>
    <row r="3424" spans="2:2" x14ac:dyDescent="0.25">
      <c r="B3424" s="39"/>
    </row>
    <row r="3425" spans="2:2" x14ac:dyDescent="0.25">
      <c r="B3425" s="39"/>
    </row>
    <row r="3426" spans="2:2" x14ac:dyDescent="0.25">
      <c r="B3426" s="39"/>
    </row>
    <row r="3427" spans="2:2" x14ac:dyDescent="0.25">
      <c r="B3427" s="39"/>
    </row>
    <row r="3428" spans="2:2" x14ac:dyDescent="0.25">
      <c r="B3428" s="39"/>
    </row>
    <row r="3429" spans="2:2" x14ac:dyDescent="0.25">
      <c r="B3429" s="39"/>
    </row>
    <row r="3430" spans="2:2" x14ac:dyDescent="0.25">
      <c r="B3430" s="39"/>
    </row>
    <row r="3431" spans="2:2" x14ac:dyDescent="0.25">
      <c r="B3431" s="39"/>
    </row>
    <row r="3432" spans="2:2" x14ac:dyDescent="0.25">
      <c r="B3432" s="39"/>
    </row>
    <row r="3433" spans="2:2" x14ac:dyDescent="0.25">
      <c r="B3433" s="39"/>
    </row>
    <row r="3434" spans="2:2" x14ac:dyDescent="0.25">
      <c r="B3434" s="39"/>
    </row>
    <row r="3435" spans="2:2" x14ac:dyDescent="0.25">
      <c r="B3435" s="39"/>
    </row>
    <row r="3436" spans="2:2" x14ac:dyDescent="0.25">
      <c r="B3436" s="39"/>
    </row>
    <row r="3437" spans="2:2" x14ac:dyDescent="0.25">
      <c r="B3437" s="39"/>
    </row>
    <row r="3438" spans="2:2" x14ac:dyDescent="0.25">
      <c r="B3438" s="39"/>
    </row>
    <row r="3439" spans="2:2" x14ac:dyDescent="0.25">
      <c r="B3439" s="39"/>
    </row>
    <row r="3440" spans="2:2" x14ac:dyDescent="0.25">
      <c r="B3440" s="39"/>
    </row>
    <row r="3441" spans="2:2" x14ac:dyDescent="0.25">
      <c r="B3441" s="39"/>
    </row>
    <row r="3442" spans="2:2" x14ac:dyDescent="0.25">
      <c r="B3442" s="39"/>
    </row>
    <row r="3443" spans="2:2" x14ac:dyDescent="0.25">
      <c r="B3443" s="39"/>
    </row>
    <row r="3444" spans="2:2" x14ac:dyDescent="0.25">
      <c r="B3444" s="39"/>
    </row>
    <row r="3445" spans="2:2" x14ac:dyDescent="0.25">
      <c r="B3445" s="39"/>
    </row>
    <row r="3446" spans="2:2" x14ac:dyDescent="0.25">
      <c r="B3446" s="39"/>
    </row>
    <row r="3447" spans="2:2" x14ac:dyDescent="0.25">
      <c r="B3447" s="39"/>
    </row>
    <row r="3448" spans="2:2" x14ac:dyDescent="0.25">
      <c r="B3448" s="39"/>
    </row>
    <row r="3449" spans="2:2" x14ac:dyDescent="0.25">
      <c r="B3449" s="39"/>
    </row>
    <row r="3450" spans="2:2" x14ac:dyDescent="0.25">
      <c r="B3450" s="39"/>
    </row>
    <row r="3451" spans="2:2" x14ac:dyDescent="0.25">
      <c r="B3451" s="39"/>
    </row>
    <row r="3452" spans="2:2" x14ac:dyDescent="0.25">
      <c r="B3452" s="39"/>
    </row>
    <row r="3453" spans="2:2" x14ac:dyDescent="0.25">
      <c r="B3453" s="39"/>
    </row>
    <row r="3454" spans="2:2" x14ac:dyDescent="0.25">
      <c r="B3454" s="39"/>
    </row>
    <row r="3455" spans="2:2" x14ac:dyDescent="0.25">
      <c r="B3455" s="39"/>
    </row>
    <row r="3456" spans="2:2" x14ac:dyDescent="0.25">
      <c r="B3456" s="39"/>
    </row>
    <row r="3457" spans="2:2" x14ac:dyDescent="0.25">
      <c r="B3457" s="39"/>
    </row>
    <row r="3458" spans="2:2" x14ac:dyDescent="0.25">
      <c r="B3458" s="39"/>
    </row>
    <row r="3459" spans="2:2" x14ac:dyDescent="0.25">
      <c r="B3459" s="39"/>
    </row>
    <row r="3460" spans="2:2" x14ac:dyDescent="0.25">
      <c r="B3460" s="39"/>
    </row>
    <row r="3461" spans="2:2" x14ac:dyDescent="0.25">
      <c r="B3461" s="39"/>
    </row>
    <row r="3462" spans="2:2" x14ac:dyDescent="0.25">
      <c r="B3462" s="39"/>
    </row>
    <row r="3463" spans="2:2" x14ac:dyDescent="0.25">
      <c r="B3463" s="39"/>
    </row>
    <row r="3464" spans="2:2" x14ac:dyDescent="0.25">
      <c r="B3464" s="39"/>
    </row>
    <row r="3465" spans="2:2" x14ac:dyDescent="0.25">
      <c r="B3465" s="39"/>
    </row>
    <row r="3466" spans="2:2" x14ac:dyDescent="0.25">
      <c r="B3466" s="39"/>
    </row>
    <row r="3467" spans="2:2" x14ac:dyDescent="0.25">
      <c r="B3467" s="39"/>
    </row>
    <row r="3468" spans="2:2" x14ac:dyDescent="0.25">
      <c r="B3468" s="39"/>
    </row>
    <row r="3469" spans="2:2" x14ac:dyDescent="0.25">
      <c r="B3469" s="39"/>
    </row>
    <row r="3470" spans="2:2" x14ac:dyDescent="0.25">
      <c r="B3470" s="39"/>
    </row>
    <row r="3471" spans="2:2" x14ac:dyDescent="0.25">
      <c r="B3471" s="39"/>
    </row>
    <row r="3472" spans="2:2" x14ac:dyDescent="0.25">
      <c r="B3472" s="39"/>
    </row>
    <row r="3473" spans="2:2" x14ac:dyDescent="0.25">
      <c r="B3473" s="39"/>
    </row>
    <row r="3474" spans="2:2" x14ac:dyDescent="0.25">
      <c r="B3474" s="39"/>
    </row>
    <row r="3475" spans="2:2" x14ac:dyDescent="0.25">
      <c r="B3475" s="39"/>
    </row>
    <row r="3476" spans="2:2" x14ac:dyDescent="0.25">
      <c r="B3476" s="39"/>
    </row>
    <row r="3477" spans="2:2" x14ac:dyDescent="0.25">
      <c r="B3477" s="39"/>
    </row>
    <row r="3478" spans="2:2" x14ac:dyDescent="0.25">
      <c r="B3478" s="39"/>
    </row>
    <row r="3479" spans="2:2" x14ac:dyDescent="0.25">
      <c r="B3479" s="39"/>
    </row>
    <row r="3480" spans="2:2" x14ac:dyDescent="0.25">
      <c r="B3480" s="39"/>
    </row>
    <row r="3481" spans="2:2" x14ac:dyDescent="0.25">
      <c r="B3481" s="39"/>
    </row>
    <row r="3482" spans="2:2" x14ac:dyDescent="0.25">
      <c r="B3482" s="39"/>
    </row>
    <row r="3483" spans="2:2" x14ac:dyDescent="0.25">
      <c r="B3483" s="39"/>
    </row>
    <row r="3484" spans="2:2" x14ac:dyDescent="0.25">
      <c r="B3484" s="39"/>
    </row>
    <row r="3485" spans="2:2" x14ac:dyDescent="0.25">
      <c r="B3485" s="39"/>
    </row>
    <row r="3486" spans="2:2" x14ac:dyDescent="0.25">
      <c r="B3486" s="39"/>
    </row>
    <row r="3487" spans="2:2" x14ac:dyDescent="0.25">
      <c r="B3487" s="39"/>
    </row>
    <row r="3488" spans="2:2" x14ac:dyDescent="0.25">
      <c r="B3488" s="39"/>
    </row>
    <row r="3489" spans="2:2" x14ac:dyDescent="0.25">
      <c r="B3489" s="39"/>
    </row>
    <row r="3490" spans="2:2" x14ac:dyDescent="0.25">
      <c r="B3490" s="39"/>
    </row>
    <row r="3491" spans="2:2" x14ac:dyDescent="0.25">
      <c r="B3491" s="39"/>
    </row>
    <row r="3492" spans="2:2" x14ac:dyDescent="0.25">
      <c r="B3492" s="39"/>
    </row>
    <row r="3493" spans="2:2" x14ac:dyDescent="0.25">
      <c r="B3493" s="39"/>
    </row>
    <row r="3494" spans="2:2" x14ac:dyDescent="0.25">
      <c r="B3494" s="39"/>
    </row>
    <row r="3495" spans="2:2" x14ac:dyDescent="0.25">
      <c r="B3495" s="39"/>
    </row>
    <row r="3496" spans="2:2" x14ac:dyDescent="0.25">
      <c r="B3496" s="39"/>
    </row>
    <row r="3497" spans="2:2" x14ac:dyDescent="0.25">
      <c r="B3497" s="39"/>
    </row>
    <row r="3498" spans="2:2" x14ac:dyDescent="0.25">
      <c r="B3498" s="39"/>
    </row>
    <row r="3499" spans="2:2" x14ac:dyDescent="0.25">
      <c r="B3499" s="39"/>
    </row>
    <row r="3500" spans="2:2" x14ac:dyDescent="0.25">
      <c r="B3500" s="39"/>
    </row>
    <row r="3501" spans="2:2" x14ac:dyDescent="0.25">
      <c r="B3501" s="39"/>
    </row>
    <row r="3502" spans="2:2" x14ac:dyDescent="0.25">
      <c r="B3502" s="39"/>
    </row>
    <row r="3503" spans="2:2" x14ac:dyDescent="0.25">
      <c r="B3503" s="39"/>
    </row>
    <row r="3504" spans="2:2" x14ac:dyDescent="0.25">
      <c r="B3504" s="39"/>
    </row>
    <row r="3505" spans="2:2" x14ac:dyDescent="0.25">
      <c r="B3505" s="39"/>
    </row>
    <row r="3506" spans="2:2" x14ac:dyDescent="0.25">
      <c r="B3506" s="39"/>
    </row>
    <row r="3507" spans="2:2" x14ac:dyDescent="0.25">
      <c r="B3507" s="39"/>
    </row>
    <row r="3508" spans="2:2" x14ac:dyDescent="0.25">
      <c r="B3508" s="39"/>
    </row>
    <row r="3509" spans="2:2" x14ac:dyDescent="0.25">
      <c r="B3509" s="39"/>
    </row>
    <row r="3510" spans="2:2" x14ac:dyDescent="0.25">
      <c r="B3510" s="39"/>
    </row>
    <row r="3511" spans="2:2" x14ac:dyDescent="0.25">
      <c r="B3511" s="39"/>
    </row>
    <row r="3512" spans="2:2" x14ac:dyDescent="0.25">
      <c r="B3512" s="39"/>
    </row>
    <row r="3513" spans="2:2" x14ac:dyDescent="0.25">
      <c r="B3513" s="39"/>
    </row>
    <row r="3514" spans="2:2" x14ac:dyDescent="0.25">
      <c r="B3514" s="39"/>
    </row>
    <row r="3515" spans="2:2" x14ac:dyDescent="0.25">
      <c r="B3515" s="39"/>
    </row>
    <row r="3516" spans="2:2" x14ac:dyDescent="0.25">
      <c r="B3516" s="39"/>
    </row>
    <row r="3517" spans="2:2" x14ac:dyDescent="0.25">
      <c r="B3517" s="39"/>
    </row>
    <row r="3518" spans="2:2" x14ac:dyDescent="0.25">
      <c r="B3518" s="39"/>
    </row>
    <row r="3519" spans="2:2" x14ac:dyDescent="0.25">
      <c r="B3519" s="39"/>
    </row>
    <row r="3520" spans="2:2" x14ac:dyDescent="0.25">
      <c r="B3520" s="39"/>
    </row>
    <row r="3521" spans="2:2" x14ac:dyDescent="0.25">
      <c r="B3521" s="39"/>
    </row>
    <row r="3522" spans="2:2" x14ac:dyDescent="0.25">
      <c r="B3522" s="39"/>
    </row>
    <row r="3523" spans="2:2" x14ac:dyDescent="0.25">
      <c r="B3523" s="39"/>
    </row>
    <row r="3524" spans="2:2" x14ac:dyDescent="0.25">
      <c r="B3524" s="39"/>
    </row>
    <row r="3525" spans="2:2" x14ac:dyDescent="0.25">
      <c r="B3525" s="39"/>
    </row>
    <row r="3526" spans="2:2" x14ac:dyDescent="0.25">
      <c r="B3526" s="39"/>
    </row>
    <row r="3527" spans="2:2" x14ac:dyDescent="0.25">
      <c r="B3527" s="39"/>
    </row>
    <row r="3528" spans="2:2" x14ac:dyDescent="0.25">
      <c r="B3528" s="39"/>
    </row>
    <row r="3529" spans="2:2" x14ac:dyDescent="0.25">
      <c r="B3529" s="39"/>
    </row>
    <row r="3530" spans="2:2" x14ac:dyDescent="0.25">
      <c r="B3530" s="39"/>
    </row>
    <row r="3531" spans="2:2" x14ac:dyDescent="0.25">
      <c r="B3531" s="39"/>
    </row>
    <row r="3532" spans="2:2" x14ac:dyDescent="0.25">
      <c r="B3532" s="39"/>
    </row>
    <row r="3533" spans="2:2" x14ac:dyDescent="0.25">
      <c r="B3533" s="39"/>
    </row>
    <row r="3534" spans="2:2" x14ac:dyDescent="0.25">
      <c r="B3534" s="39"/>
    </row>
    <row r="3535" spans="2:2" x14ac:dyDescent="0.25">
      <c r="B3535" s="39"/>
    </row>
    <row r="3536" spans="2:2" x14ac:dyDescent="0.25">
      <c r="B3536" s="39"/>
    </row>
    <row r="3537" spans="2:2" x14ac:dyDescent="0.25">
      <c r="B3537" s="39"/>
    </row>
    <row r="3538" spans="2:2" x14ac:dyDescent="0.25">
      <c r="B3538" s="39"/>
    </row>
    <row r="3539" spans="2:2" x14ac:dyDescent="0.25">
      <c r="B3539" s="39"/>
    </row>
    <row r="3540" spans="2:2" x14ac:dyDescent="0.25">
      <c r="B3540" s="39"/>
    </row>
    <row r="3541" spans="2:2" x14ac:dyDescent="0.25">
      <c r="B3541" s="39"/>
    </row>
    <row r="3542" spans="2:2" x14ac:dyDescent="0.25">
      <c r="B3542" s="39"/>
    </row>
    <row r="3543" spans="2:2" x14ac:dyDescent="0.25">
      <c r="B3543" s="39"/>
    </row>
    <row r="3544" spans="2:2" x14ac:dyDescent="0.25">
      <c r="B3544" s="39"/>
    </row>
    <row r="3545" spans="2:2" x14ac:dyDescent="0.25">
      <c r="B3545" s="39"/>
    </row>
    <row r="3546" spans="2:2" x14ac:dyDescent="0.25">
      <c r="B3546" s="39"/>
    </row>
    <row r="3547" spans="2:2" x14ac:dyDescent="0.25">
      <c r="B3547" s="39"/>
    </row>
    <row r="3548" spans="2:2" x14ac:dyDescent="0.25">
      <c r="B3548" s="39"/>
    </row>
    <row r="3549" spans="2:2" x14ac:dyDescent="0.25">
      <c r="B3549" s="39"/>
    </row>
    <row r="3550" spans="2:2" x14ac:dyDescent="0.25">
      <c r="B3550" s="39"/>
    </row>
    <row r="3551" spans="2:2" x14ac:dyDescent="0.25">
      <c r="B3551" s="39"/>
    </row>
    <row r="3552" spans="2:2" x14ac:dyDescent="0.25">
      <c r="B3552" s="39"/>
    </row>
    <row r="3553" spans="2:2" x14ac:dyDescent="0.25">
      <c r="B3553" s="39"/>
    </row>
    <row r="3554" spans="2:2" x14ac:dyDescent="0.25">
      <c r="B3554" s="39"/>
    </row>
    <row r="3555" spans="2:2" x14ac:dyDescent="0.25">
      <c r="B3555" s="39"/>
    </row>
    <row r="3556" spans="2:2" x14ac:dyDescent="0.25">
      <c r="B3556" s="39"/>
    </row>
    <row r="3557" spans="2:2" x14ac:dyDescent="0.25">
      <c r="B3557" s="39"/>
    </row>
    <row r="3558" spans="2:2" x14ac:dyDescent="0.25">
      <c r="B3558" s="39"/>
    </row>
    <row r="3559" spans="2:2" x14ac:dyDescent="0.25">
      <c r="B3559" s="39"/>
    </row>
    <row r="3560" spans="2:2" x14ac:dyDescent="0.25">
      <c r="B3560" s="39"/>
    </row>
    <row r="3561" spans="2:2" x14ac:dyDescent="0.25">
      <c r="B3561" s="39"/>
    </row>
    <row r="3562" spans="2:2" x14ac:dyDescent="0.25">
      <c r="B3562" s="39"/>
    </row>
    <row r="3563" spans="2:2" x14ac:dyDescent="0.25">
      <c r="B3563" s="39"/>
    </row>
    <row r="3564" spans="2:2" x14ac:dyDescent="0.25">
      <c r="B3564" s="39"/>
    </row>
    <row r="3565" spans="2:2" x14ac:dyDescent="0.25">
      <c r="B3565" s="39"/>
    </row>
    <row r="3566" spans="2:2" x14ac:dyDescent="0.25">
      <c r="B3566" s="39"/>
    </row>
    <row r="3567" spans="2:2" x14ac:dyDescent="0.25">
      <c r="B3567" s="39"/>
    </row>
    <row r="3568" spans="2:2" x14ac:dyDescent="0.25">
      <c r="B3568" s="39"/>
    </row>
    <row r="3569" spans="2:2" x14ac:dyDescent="0.25">
      <c r="B3569" s="39"/>
    </row>
    <row r="3570" spans="2:2" x14ac:dyDescent="0.25">
      <c r="B3570" s="39"/>
    </row>
    <row r="3571" spans="2:2" x14ac:dyDescent="0.25">
      <c r="B3571" s="39"/>
    </row>
    <row r="3572" spans="2:2" x14ac:dyDescent="0.25">
      <c r="B3572" s="39"/>
    </row>
    <row r="3573" spans="2:2" x14ac:dyDescent="0.25">
      <c r="B3573" s="39"/>
    </row>
    <row r="3574" spans="2:2" x14ac:dyDescent="0.25">
      <c r="B3574" s="39"/>
    </row>
    <row r="3575" spans="2:2" x14ac:dyDescent="0.25">
      <c r="B3575" s="39"/>
    </row>
    <row r="3576" spans="2:2" x14ac:dyDescent="0.25">
      <c r="B3576" s="39"/>
    </row>
    <row r="3577" spans="2:2" x14ac:dyDescent="0.25">
      <c r="B3577" s="39"/>
    </row>
    <row r="3578" spans="2:2" x14ac:dyDescent="0.25">
      <c r="B3578" s="39"/>
    </row>
    <row r="3579" spans="2:2" x14ac:dyDescent="0.25">
      <c r="B3579" s="39"/>
    </row>
    <row r="3580" spans="2:2" x14ac:dyDescent="0.25">
      <c r="B3580" s="39"/>
    </row>
    <row r="3581" spans="2:2" x14ac:dyDescent="0.25">
      <c r="B3581" s="39"/>
    </row>
    <row r="3582" spans="2:2" x14ac:dyDescent="0.25">
      <c r="B3582" s="39"/>
    </row>
    <row r="3583" spans="2:2" x14ac:dyDescent="0.25">
      <c r="B3583" s="39"/>
    </row>
    <row r="3584" spans="2:2" x14ac:dyDescent="0.25">
      <c r="B3584" s="39"/>
    </row>
    <row r="3585" spans="2:2" x14ac:dyDescent="0.25">
      <c r="B3585" s="39"/>
    </row>
    <row r="3586" spans="2:2" x14ac:dyDescent="0.25">
      <c r="B3586" s="39"/>
    </row>
    <row r="3587" spans="2:2" x14ac:dyDescent="0.25">
      <c r="B3587" s="39"/>
    </row>
    <row r="3588" spans="2:2" x14ac:dyDescent="0.25">
      <c r="B3588" s="39"/>
    </row>
    <row r="3589" spans="2:2" x14ac:dyDescent="0.25">
      <c r="B3589" s="39"/>
    </row>
    <row r="3590" spans="2:2" x14ac:dyDescent="0.25">
      <c r="B3590" s="39"/>
    </row>
    <row r="3591" spans="2:2" x14ac:dyDescent="0.25">
      <c r="B3591" s="39"/>
    </row>
    <row r="3592" spans="2:2" x14ac:dyDescent="0.25">
      <c r="B3592" s="39"/>
    </row>
    <row r="3593" spans="2:2" x14ac:dyDescent="0.25">
      <c r="B3593" s="39"/>
    </row>
    <row r="3594" spans="2:2" x14ac:dyDescent="0.25">
      <c r="B3594" s="39"/>
    </row>
    <row r="3595" spans="2:2" x14ac:dyDescent="0.25">
      <c r="B3595" s="39"/>
    </row>
    <row r="3596" spans="2:2" x14ac:dyDescent="0.25">
      <c r="B3596" s="39"/>
    </row>
    <row r="3597" spans="2:2" x14ac:dyDescent="0.25">
      <c r="B3597" s="39"/>
    </row>
    <row r="3598" spans="2:2" x14ac:dyDescent="0.25">
      <c r="B3598" s="39"/>
    </row>
    <row r="3599" spans="2:2" x14ac:dyDescent="0.25">
      <c r="B3599" s="39"/>
    </row>
    <row r="3600" spans="2:2" x14ac:dyDescent="0.25">
      <c r="B3600" s="39"/>
    </row>
    <row r="3601" spans="2:2" x14ac:dyDescent="0.25">
      <c r="B3601" s="39"/>
    </row>
    <row r="3602" spans="2:2" x14ac:dyDescent="0.25">
      <c r="B3602" s="39"/>
    </row>
    <row r="3603" spans="2:2" x14ac:dyDescent="0.25">
      <c r="B3603" s="39"/>
    </row>
    <row r="3604" spans="2:2" x14ac:dyDescent="0.25">
      <c r="B3604" s="39"/>
    </row>
    <row r="3605" spans="2:2" x14ac:dyDescent="0.25">
      <c r="B3605" s="39"/>
    </row>
    <row r="3606" spans="2:2" x14ac:dyDescent="0.25">
      <c r="B3606" s="39"/>
    </row>
    <row r="3607" spans="2:2" x14ac:dyDescent="0.25">
      <c r="B3607" s="39"/>
    </row>
    <row r="3608" spans="2:2" x14ac:dyDescent="0.25">
      <c r="B3608" s="39"/>
    </row>
    <row r="3609" spans="2:2" x14ac:dyDescent="0.25">
      <c r="B3609" s="39"/>
    </row>
    <row r="3610" spans="2:2" x14ac:dyDescent="0.25">
      <c r="B3610" s="39"/>
    </row>
    <row r="3611" spans="2:2" x14ac:dyDescent="0.25">
      <c r="B3611" s="39"/>
    </row>
    <row r="3612" spans="2:2" x14ac:dyDescent="0.25">
      <c r="B3612" s="39"/>
    </row>
    <row r="3613" spans="2:2" x14ac:dyDescent="0.25">
      <c r="B3613" s="39"/>
    </row>
    <row r="3614" spans="2:2" x14ac:dyDescent="0.25">
      <c r="B3614" s="39"/>
    </row>
    <row r="3615" spans="2:2" x14ac:dyDescent="0.25">
      <c r="B3615" s="39"/>
    </row>
    <row r="3616" spans="2:2" x14ac:dyDescent="0.25">
      <c r="B3616" s="39"/>
    </row>
    <row r="3617" spans="2:2" x14ac:dyDescent="0.25">
      <c r="B3617" s="39"/>
    </row>
    <row r="3618" spans="2:2" x14ac:dyDescent="0.25">
      <c r="B3618" s="39"/>
    </row>
    <row r="3619" spans="2:2" x14ac:dyDescent="0.25">
      <c r="B3619" s="39"/>
    </row>
    <row r="3620" spans="2:2" x14ac:dyDescent="0.25">
      <c r="B3620" s="39"/>
    </row>
    <row r="3621" spans="2:2" x14ac:dyDescent="0.25">
      <c r="B3621" s="39"/>
    </row>
    <row r="3622" spans="2:2" x14ac:dyDescent="0.25">
      <c r="B3622" s="39"/>
    </row>
    <row r="3623" spans="2:2" x14ac:dyDescent="0.25">
      <c r="B3623" s="39"/>
    </row>
    <row r="3624" spans="2:2" x14ac:dyDescent="0.25">
      <c r="B3624" s="39"/>
    </row>
    <row r="3625" spans="2:2" x14ac:dyDescent="0.25">
      <c r="B3625" s="39"/>
    </row>
    <row r="3626" spans="2:2" x14ac:dyDescent="0.25">
      <c r="B3626" s="39"/>
    </row>
    <row r="3627" spans="2:2" x14ac:dyDescent="0.25">
      <c r="B3627" s="39"/>
    </row>
    <row r="3628" spans="2:2" x14ac:dyDescent="0.25">
      <c r="B3628" s="39"/>
    </row>
    <row r="3629" spans="2:2" x14ac:dyDescent="0.25">
      <c r="B3629" s="39"/>
    </row>
    <row r="3630" spans="2:2" x14ac:dyDescent="0.25">
      <c r="B3630" s="39"/>
    </row>
    <row r="3631" spans="2:2" x14ac:dyDescent="0.25">
      <c r="B3631" s="39"/>
    </row>
    <row r="3632" spans="2:2" x14ac:dyDescent="0.25">
      <c r="B3632" s="39"/>
    </row>
    <row r="3633" spans="2:2" x14ac:dyDescent="0.25">
      <c r="B3633" s="39"/>
    </row>
    <row r="3634" spans="2:2" x14ac:dyDescent="0.25">
      <c r="B3634" s="39"/>
    </row>
    <row r="3635" spans="2:2" x14ac:dyDescent="0.25">
      <c r="B3635" s="39"/>
    </row>
    <row r="3636" spans="2:2" x14ac:dyDescent="0.25">
      <c r="B3636" s="39"/>
    </row>
    <row r="3637" spans="2:2" x14ac:dyDescent="0.25">
      <c r="B3637" s="39"/>
    </row>
    <row r="3638" spans="2:2" x14ac:dyDescent="0.25">
      <c r="B3638" s="39"/>
    </row>
    <row r="3639" spans="2:2" x14ac:dyDescent="0.25">
      <c r="B3639" s="39"/>
    </row>
    <row r="3640" spans="2:2" x14ac:dyDescent="0.25">
      <c r="B3640" s="39"/>
    </row>
    <row r="3641" spans="2:2" x14ac:dyDescent="0.25">
      <c r="B3641" s="39"/>
    </row>
    <row r="3642" spans="2:2" x14ac:dyDescent="0.25">
      <c r="B3642" s="39"/>
    </row>
    <row r="3643" spans="2:2" x14ac:dyDescent="0.25">
      <c r="B3643" s="39"/>
    </row>
    <row r="3644" spans="2:2" x14ac:dyDescent="0.25">
      <c r="B3644" s="39"/>
    </row>
    <row r="3645" spans="2:2" x14ac:dyDescent="0.25">
      <c r="B3645" s="39"/>
    </row>
    <row r="3646" spans="2:2" x14ac:dyDescent="0.25">
      <c r="B3646" s="39"/>
    </row>
    <row r="3647" spans="2:2" x14ac:dyDescent="0.25">
      <c r="B3647" s="39"/>
    </row>
    <row r="3648" spans="2:2" x14ac:dyDescent="0.25">
      <c r="B3648" s="39"/>
    </row>
    <row r="3649" spans="2:2" x14ac:dyDescent="0.25">
      <c r="B3649" s="39"/>
    </row>
    <row r="3650" spans="2:2" x14ac:dyDescent="0.25">
      <c r="B3650" s="39"/>
    </row>
    <row r="3651" spans="2:2" x14ac:dyDescent="0.25">
      <c r="B3651" s="39"/>
    </row>
    <row r="3652" spans="2:2" x14ac:dyDescent="0.25">
      <c r="B3652" s="39"/>
    </row>
    <row r="3653" spans="2:2" x14ac:dyDescent="0.25">
      <c r="B3653" s="39"/>
    </row>
    <row r="3654" spans="2:2" x14ac:dyDescent="0.25">
      <c r="B3654" s="39"/>
    </row>
    <row r="3655" spans="2:2" x14ac:dyDescent="0.25">
      <c r="B3655" s="39"/>
    </row>
    <row r="3656" spans="2:2" x14ac:dyDescent="0.25">
      <c r="B3656" s="39"/>
    </row>
    <row r="3657" spans="2:2" x14ac:dyDescent="0.25">
      <c r="B3657" s="39"/>
    </row>
    <row r="3658" spans="2:2" x14ac:dyDescent="0.25">
      <c r="B3658" s="39"/>
    </row>
    <row r="3659" spans="2:2" x14ac:dyDescent="0.25">
      <c r="B3659" s="39"/>
    </row>
    <row r="3660" spans="2:2" x14ac:dyDescent="0.25">
      <c r="B3660" s="39"/>
    </row>
    <row r="3661" spans="2:2" x14ac:dyDescent="0.25">
      <c r="B3661" s="39"/>
    </row>
    <row r="3662" spans="2:2" x14ac:dyDescent="0.25">
      <c r="B3662" s="39"/>
    </row>
    <row r="3663" spans="2:2" x14ac:dyDescent="0.25">
      <c r="B3663" s="39"/>
    </row>
    <row r="3664" spans="2:2" x14ac:dyDescent="0.25">
      <c r="B3664" s="39"/>
    </row>
    <row r="3665" spans="2:2" x14ac:dyDescent="0.25">
      <c r="B3665" s="39"/>
    </row>
    <row r="3666" spans="2:2" x14ac:dyDescent="0.25">
      <c r="B3666" s="39"/>
    </row>
    <row r="3667" spans="2:2" x14ac:dyDescent="0.25">
      <c r="B3667" s="39"/>
    </row>
    <row r="3668" spans="2:2" x14ac:dyDescent="0.25">
      <c r="B3668" s="39"/>
    </row>
    <row r="3669" spans="2:2" x14ac:dyDescent="0.25">
      <c r="B3669" s="39"/>
    </row>
    <row r="3670" spans="2:2" x14ac:dyDescent="0.25">
      <c r="B3670" s="39"/>
    </row>
    <row r="3671" spans="2:2" x14ac:dyDescent="0.25">
      <c r="B3671" s="39"/>
    </row>
    <row r="3672" spans="2:2" x14ac:dyDescent="0.25">
      <c r="B3672" s="39"/>
    </row>
    <row r="3673" spans="2:2" x14ac:dyDescent="0.25">
      <c r="B3673" s="39"/>
    </row>
    <row r="3674" spans="2:2" x14ac:dyDescent="0.25">
      <c r="B3674" s="39"/>
    </row>
    <row r="3675" spans="2:2" x14ac:dyDescent="0.25">
      <c r="B3675" s="39"/>
    </row>
    <row r="3676" spans="2:2" x14ac:dyDescent="0.25">
      <c r="B3676" s="39"/>
    </row>
    <row r="3677" spans="2:2" x14ac:dyDescent="0.25">
      <c r="B3677" s="39"/>
    </row>
    <row r="3678" spans="2:2" x14ac:dyDescent="0.25">
      <c r="B3678" s="39"/>
    </row>
    <row r="3679" spans="2:2" x14ac:dyDescent="0.25">
      <c r="B3679" s="39"/>
    </row>
    <row r="3680" spans="2:2" x14ac:dyDescent="0.25">
      <c r="B3680" s="39"/>
    </row>
    <row r="3681" spans="2:2" x14ac:dyDescent="0.25">
      <c r="B3681" s="39"/>
    </row>
    <row r="3682" spans="2:2" x14ac:dyDescent="0.25">
      <c r="B3682" s="39"/>
    </row>
    <row r="3683" spans="2:2" x14ac:dyDescent="0.25">
      <c r="B3683" s="39"/>
    </row>
    <row r="3684" spans="2:2" x14ac:dyDescent="0.25">
      <c r="B3684" s="39"/>
    </row>
    <row r="3685" spans="2:2" x14ac:dyDescent="0.25">
      <c r="B3685" s="39"/>
    </row>
    <row r="3686" spans="2:2" x14ac:dyDescent="0.25">
      <c r="B3686" s="39"/>
    </row>
    <row r="3687" spans="2:2" x14ac:dyDescent="0.25">
      <c r="B3687" s="39"/>
    </row>
    <row r="3688" spans="2:2" x14ac:dyDescent="0.25">
      <c r="B3688" s="39"/>
    </row>
    <row r="3689" spans="2:2" x14ac:dyDescent="0.25">
      <c r="B3689" s="39"/>
    </row>
    <row r="3690" spans="2:2" x14ac:dyDescent="0.25">
      <c r="B3690" s="39"/>
    </row>
    <row r="3691" spans="2:2" x14ac:dyDescent="0.25">
      <c r="B3691" s="39"/>
    </row>
    <row r="3692" spans="2:2" x14ac:dyDescent="0.25">
      <c r="B3692" s="39"/>
    </row>
    <row r="3693" spans="2:2" x14ac:dyDescent="0.25">
      <c r="B3693" s="39"/>
    </row>
    <row r="3694" spans="2:2" x14ac:dyDescent="0.25">
      <c r="B3694" s="39"/>
    </row>
    <row r="3695" spans="2:2" x14ac:dyDescent="0.25">
      <c r="B3695" s="39"/>
    </row>
    <row r="3696" spans="2:2" x14ac:dyDescent="0.25">
      <c r="B3696" s="39"/>
    </row>
    <row r="3697" spans="2:2" x14ac:dyDescent="0.25">
      <c r="B3697" s="39"/>
    </row>
    <row r="3698" spans="2:2" x14ac:dyDescent="0.25">
      <c r="B3698" s="39"/>
    </row>
    <row r="3699" spans="2:2" x14ac:dyDescent="0.25">
      <c r="B3699" s="39"/>
    </row>
    <row r="3700" spans="2:2" x14ac:dyDescent="0.25">
      <c r="B3700" s="39"/>
    </row>
    <row r="3701" spans="2:2" x14ac:dyDescent="0.25">
      <c r="B3701" s="39"/>
    </row>
    <row r="3702" spans="2:2" x14ac:dyDescent="0.25">
      <c r="B3702" s="39"/>
    </row>
    <row r="3703" spans="2:2" x14ac:dyDescent="0.25">
      <c r="B3703" s="39"/>
    </row>
    <row r="3704" spans="2:2" x14ac:dyDescent="0.25">
      <c r="B3704" s="39"/>
    </row>
    <row r="3705" spans="2:2" x14ac:dyDescent="0.25">
      <c r="B3705" s="39"/>
    </row>
    <row r="3706" spans="2:2" x14ac:dyDescent="0.25">
      <c r="B3706" s="39"/>
    </row>
    <row r="3707" spans="2:2" x14ac:dyDescent="0.25">
      <c r="B3707" s="39"/>
    </row>
    <row r="3708" spans="2:2" x14ac:dyDescent="0.25">
      <c r="B3708" s="39"/>
    </row>
    <row r="3709" spans="2:2" x14ac:dyDescent="0.25">
      <c r="B3709" s="39"/>
    </row>
    <row r="3710" spans="2:2" x14ac:dyDescent="0.25">
      <c r="B3710" s="39"/>
    </row>
    <row r="3711" spans="2:2" x14ac:dyDescent="0.25">
      <c r="B3711" s="39"/>
    </row>
    <row r="3712" spans="2:2" x14ac:dyDescent="0.25">
      <c r="B3712" s="39"/>
    </row>
    <row r="3713" spans="2:2" x14ac:dyDescent="0.25">
      <c r="B3713" s="39"/>
    </row>
    <row r="3714" spans="2:2" x14ac:dyDescent="0.25">
      <c r="B3714" s="39"/>
    </row>
    <row r="3715" spans="2:2" x14ac:dyDescent="0.25">
      <c r="B3715" s="39"/>
    </row>
    <row r="3716" spans="2:2" x14ac:dyDescent="0.25">
      <c r="B3716" s="39"/>
    </row>
    <row r="3717" spans="2:2" x14ac:dyDescent="0.25">
      <c r="B3717" s="39"/>
    </row>
    <row r="3718" spans="2:2" x14ac:dyDescent="0.25">
      <c r="B3718" s="39"/>
    </row>
    <row r="3719" spans="2:2" x14ac:dyDescent="0.25">
      <c r="B3719" s="39"/>
    </row>
    <row r="3720" spans="2:2" x14ac:dyDescent="0.25">
      <c r="B3720" s="39"/>
    </row>
    <row r="3721" spans="2:2" x14ac:dyDescent="0.25">
      <c r="B3721" s="39"/>
    </row>
    <row r="3722" spans="2:2" x14ac:dyDescent="0.25">
      <c r="B3722" s="39"/>
    </row>
    <row r="3723" spans="2:2" x14ac:dyDescent="0.25">
      <c r="B3723" s="39"/>
    </row>
    <row r="3724" spans="2:2" x14ac:dyDescent="0.25">
      <c r="B3724" s="39"/>
    </row>
    <row r="3725" spans="2:2" x14ac:dyDescent="0.25">
      <c r="B3725" s="39"/>
    </row>
    <row r="3726" spans="2:2" x14ac:dyDescent="0.25">
      <c r="B3726" s="39"/>
    </row>
    <row r="3727" spans="2:2" x14ac:dyDescent="0.25">
      <c r="B3727" s="39"/>
    </row>
    <row r="3728" spans="2:2" x14ac:dyDescent="0.25">
      <c r="B3728" s="39"/>
    </row>
    <row r="3729" spans="2:2" x14ac:dyDescent="0.25">
      <c r="B3729" s="39"/>
    </row>
    <row r="3730" spans="2:2" x14ac:dyDescent="0.25">
      <c r="B3730" s="39"/>
    </row>
    <row r="3731" spans="2:2" x14ac:dyDescent="0.25">
      <c r="B3731" s="39"/>
    </row>
    <row r="3732" spans="2:2" x14ac:dyDescent="0.25">
      <c r="B3732" s="39"/>
    </row>
    <row r="3733" spans="2:2" x14ac:dyDescent="0.25">
      <c r="B3733" s="39"/>
    </row>
    <row r="3734" spans="2:2" x14ac:dyDescent="0.25">
      <c r="B3734" s="39"/>
    </row>
    <row r="3735" spans="2:2" x14ac:dyDescent="0.25">
      <c r="B3735" s="39"/>
    </row>
    <row r="3736" spans="2:2" x14ac:dyDescent="0.25">
      <c r="B3736" s="39"/>
    </row>
    <row r="3737" spans="2:2" x14ac:dyDescent="0.25">
      <c r="B3737" s="39"/>
    </row>
    <row r="3738" spans="2:2" x14ac:dyDescent="0.25">
      <c r="B3738" s="39"/>
    </row>
    <row r="3739" spans="2:2" x14ac:dyDescent="0.25">
      <c r="B3739" s="39"/>
    </row>
    <row r="3740" spans="2:2" x14ac:dyDescent="0.25">
      <c r="B3740" s="39"/>
    </row>
    <row r="3741" spans="2:2" x14ac:dyDescent="0.25">
      <c r="B3741" s="39"/>
    </row>
    <row r="3742" spans="2:2" x14ac:dyDescent="0.25">
      <c r="B3742" s="39"/>
    </row>
    <row r="3743" spans="2:2" x14ac:dyDescent="0.25">
      <c r="B3743" s="39"/>
    </row>
    <row r="3744" spans="2:2" x14ac:dyDescent="0.25">
      <c r="B3744" s="39"/>
    </row>
    <row r="3745" spans="2:2" x14ac:dyDescent="0.25">
      <c r="B3745" s="39"/>
    </row>
    <row r="3746" spans="2:2" x14ac:dyDescent="0.25">
      <c r="B3746" s="39"/>
    </row>
    <row r="3747" spans="2:2" x14ac:dyDescent="0.25">
      <c r="B3747" s="39"/>
    </row>
    <row r="3748" spans="2:2" x14ac:dyDescent="0.25">
      <c r="B3748" s="39"/>
    </row>
    <row r="3749" spans="2:2" x14ac:dyDescent="0.25">
      <c r="B3749" s="39"/>
    </row>
    <row r="3750" spans="2:2" x14ac:dyDescent="0.25">
      <c r="B3750" s="39"/>
    </row>
    <row r="3751" spans="2:2" x14ac:dyDescent="0.25">
      <c r="B3751" s="39"/>
    </row>
    <row r="3752" spans="2:2" x14ac:dyDescent="0.25">
      <c r="B3752" s="39"/>
    </row>
    <row r="3753" spans="2:2" x14ac:dyDescent="0.25">
      <c r="B3753" s="39"/>
    </row>
    <row r="3754" spans="2:2" x14ac:dyDescent="0.25">
      <c r="B3754" s="39"/>
    </row>
    <row r="3755" spans="2:2" x14ac:dyDescent="0.25">
      <c r="B3755" s="39"/>
    </row>
    <row r="3756" spans="2:2" x14ac:dyDescent="0.25">
      <c r="B3756" s="39"/>
    </row>
    <row r="3757" spans="2:2" x14ac:dyDescent="0.25">
      <c r="B3757" s="39"/>
    </row>
    <row r="3758" spans="2:2" x14ac:dyDescent="0.25">
      <c r="B3758" s="39"/>
    </row>
    <row r="3759" spans="2:2" x14ac:dyDescent="0.25">
      <c r="B3759" s="39"/>
    </row>
    <row r="3760" spans="2:2" x14ac:dyDescent="0.25">
      <c r="B3760" s="39"/>
    </row>
    <row r="3761" spans="2:2" x14ac:dyDescent="0.25">
      <c r="B3761" s="39"/>
    </row>
    <row r="3762" spans="2:2" x14ac:dyDescent="0.25">
      <c r="B3762" s="39"/>
    </row>
    <row r="3763" spans="2:2" x14ac:dyDescent="0.25">
      <c r="B3763" s="39"/>
    </row>
    <row r="3764" spans="2:2" x14ac:dyDescent="0.25">
      <c r="B3764" s="39"/>
    </row>
    <row r="3765" spans="2:2" x14ac:dyDescent="0.25">
      <c r="B3765" s="39"/>
    </row>
    <row r="3766" spans="2:2" x14ac:dyDescent="0.25">
      <c r="B3766" s="39"/>
    </row>
    <row r="3767" spans="2:2" x14ac:dyDescent="0.25">
      <c r="B3767" s="39"/>
    </row>
    <row r="3768" spans="2:2" x14ac:dyDescent="0.25">
      <c r="B3768" s="39"/>
    </row>
    <row r="3769" spans="2:2" x14ac:dyDescent="0.25">
      <c r="B3769" s="39"/>
    </row>
    <row r="3770" spans="2:2" x14ac:dyDescent="0.25">
      <c r="B3770" s="39"/>
    </row>
    <row r="3771" spans="2:2" x14ac:dyDescent="0.25">
      <c r="B3771" s="39"/>
    </row>
    <row r="3772" spans="2:2" x14ac:dyDescent="0.25">
      <c r="B3772" s="39"/>
    </row>
    <row r="3773" spans="2:2" x14ac:dyDescent="0.25">
      <c r="B3773" s="39"/>
    </row>
    <row r="3774" spans="2:2" x14ac:dyDescent="0.25">
      <c r="B3774" s="39"/>
    </row>
    <row r="3775" spans="2:2" x14ac:dyDescent="0.25">
      <c r="B3775" s="39"/>
    </row>
    <row r="3776" spans="2:2" x14ac:dyDescent="0.25">
      <c r="B3776" s="39"/>
    </row>
    <row r="3777" spans="2:2" x14ac:dyDescent="0.25">
      <c r="B3777" s="39"/>
    </row>
    <row r="3778" spans="2:2" x14ac:dyDescent="0.25">
      <c r="B3778" s="39"/>
    </row>
    <row r="3779" spans="2:2" x14ac:dyDescent="0.25">
      <c r="B3779" s="39"/>
    </row>
    <row r="3780" spans="2:2" x14ac:dyDescent="0.25">
      <c r="B3780" s="39"/>
    </row>
    <row r="3781" spans="2:2" x14ac:dyDescent="0.25">
      <c r="B3781" s="39"/>
    </row>
    <row r="3782" spans="2:2" x14ac:dyDescent="0.25">
      <c r="B3782" s="39"/>
    </row>
    <row r="3783" spans="2:2" x14ac:dyDescent="0.25">
      <c r="B3783" s="39"/>
    </row>
    <row r="3784" spans="2:2" x14ac:dyDescent="0.25">
      <c r="B3784" s="39"/>
    </row>
    <row r="3785" spans="2:2" x14ac:dyDescent="0.25">
      <c r="B3785" s="39"/>
    </row>
    <row r="3786" spans="2:2" x14ac:dyDescent="0.25">
      <c r="B3786" s="39"/>
    </row>
    <row r="3787" spans="2:2" x14ac:dyDescent="0.25">
      <c r="B3787" s="39"/>
    </row>
    <row r="3788" spans="2:2" x14ac:dyDescent="0.25">
      <c r="B3788" s="39"/>
    </row>
    <row r="3789" spans="2:2" x14ac:dyDescent="0.25">
      <c r="B3789" s="39"/>
    </row>
    <row r="3790" spans="2:2" x14ac:dyDescent="0.25">
      <c r="B3790" s="39"/>
    </row>
    <row r="3791" spans="2:2" x14ac:dyDescent="0.25">
      <c r="B3791" s="39"/>
    </row>
    <row r="3792" spans="2:2" x14ac:dyDescent="0.25">
      <c r="B3792" s="39"/>
    </row>
    <row r="3793" spans="2:2" x14ac:dyDescent="0.25">
      <c r="B3793" s="39"/>
    </row>
    <row r="3794" spans="2:2" x14ac:dyDescent="0.25">
      <c r="B3794" s="39"/>
    </row>
    <row r="3795" spans="2:2" x14ac:dyDescent="0.25">
      <c r="B3795" s="39"/>
    </row>
    <row r="3796" spans="2:2" x14ac:dyDescent="0.25">
      <c r="B3796" s="39"/>
    </row>
    <row r="3797" spans="2:2" x14ac:dyDescent="0.25">
      <c r="B3797" s="39"/>
    </row>
    <row r="3798" spans="2:2" x14ac:dyDescent="0.25">
      <c r="B3798" s="39"/>
    </row>
    <row r="3799" spans="2:2" x14ac:dyDescent="0.25">
      <c r="B3799" s="39"/>
    </row>
    <row r="3800" spans="2:2" x14ac:dyDescent="0.25">
      <c r="B3800" s="39"/>
    </row>
    <row r="3801" spans="2:2" x14ac:dyDescent="0.25">
      <c r="B3801" s="39"/>
    </row>
    <row r="3802" spans="2:2" x14ac:dyDescent="0.25">
      <c r="B3802" s="39"/>
    </row>
    <row r="3803" spans="2:2" x14ac:dyDescent="0.25">
      <c r="B3803" s="39"/>
    </row>
    <row r="3804" spans="2:2" x14ac:dyDescent="0.25">
      <c r="B3804" s="39"/>
    </row>
    <row r="3805" spans="2:2" x14ac:dyDescent="0.25">
      <c r="B3805" s="39"/>
    </row>
    <row r="3806" spans="2:2" x14ac:dyDescent="0.25">
      <c r="B3806" s="39"/>
    </row>
    <row r="3807" spans="2:2" x14ac:dyDescent="0.25">
      <c r="B3807" s="39"/>
    </row>
    <row r="3808" spans="2:2" x14ac:dyDescent="0.25">
      <c r="B3808" s="39"/>
    </row>
    <row r="3809" spans="2:2" x14ac:dyDescent="0.25">
      <c r="B3809" s="39"/>
    </row>
    <row r="3810" spans="2:2" x14ac:dyDescent="0.25">
      <c r="B3810" s="39"/>
    </row>
    <row r="3811" spans="2:2" x14ac:dyDescent="0.25">
      <c r="B3811" s="39"/>
    </row>
    <row r="3812" spans="2:2" x14ac:dyDescent="0.25">
      <c r="B3812" s="39"/>
    </row>
    <row r="3813" spans="2:2" x14ac:dyDescent="0.25">
      <c r="B3813" s="39"/>
    </row>
    <row r="3814" spans="2:2" x14ac:dyDescent="0.25">
      <c r="B3814" s="39"/>
    </row>
    <row r="3815" spans="2:2" x14ac:dyDescent="0.25">
      <c r="B3815" s="39"/>
    </row>
    <row r="3816" spans="2:2" x14ac:dyDescent="0.25">
      <c r="B3816" s="39"/>
    </row>
    <row r="3817" spans="2:2" x14ac:dyDescent="0.25">
      <c r="B3817" s="39"/>
    </row>
    <row r="3818" spans="2:2" x14ac:dyDescent="0.25">
      <c r="B3818" s="39"/>
    </row>
    <row r="3819" spans="2:2" x14ac:dyDescent="0.25">
      <c r="B3819" s="39"/>
    </row>
    <row r="3820" spans="2:2" x14ac:dyDescent="0.25">
      <c r="B3820" s="39"/>
    </row>
    <row r="3821" spans="2:2" x14ac:dyDescent="0.25">
      <c r="B3821" s="39"/>
    </row>
    <row r="3822" spans="2:2" x14ac:dyDescent="0.25">
      <c r="B3822" s="39"/>
    </row>
    <row r="3823" spans="2:2" x14ac:dyDescent="0.25">
      <c r="B3823" s="39"/>
    </row>
    <row r="3824" spans="2:2" x14ac:dyDescent="0.25">
      <c r="B3824" s="39"/>
    </row>
    <row r="3825" spans="2:2" x14ac:dyDescent="0.25">
      <c r="B3825" s="39"/>
    </row>
    <row r="3826" spans="2:2" x14ac:dyDescent="0.25">
      <c r="B3826" s="39"/>
    </row>
    <row r="3827" spans="2:2" x14ac:dyDescent="0.25">
      <c r="B3827" s="39"/>
    </row>
    <row r="3828" spans="2:2" x14ac:dyDescent="0.25">
      <c r="B3828" s="39"/>
    </row>
    <row r="3829" spans="2:2" x14ac:dyDescent="0.25">
      <c r="B3829" s="39"/>
    </row>
    <row r="3830" spans="2:2" x14ac:dyDescent="0.25">
      <c r="B3830" s="39"/>
    </row>
    <row r="3831" spans="2:2" x14ac:dyDescent="0.25">
      <c r="B3831" s="39"/>
    </row>
    <row r="3832" spans="2:2" x14ac:dyDescent="0.25">
      <c r="B3832" s="39"/>
    </row>
    <row r="3833" spans="2:2" x14ac:dyDescent="0.25">
      <c r="B3833" s="39"/>
    </row>
    <row r="3834" spans="2:2" x14ac:dyDescent="0.25">
      <c r="B3834" s="39"/>
    </row>
    <row r="3835" spans="2:2" x14ac:dyDescent="0.25">
      <c r="B3835" s="39"/>
    </row>
    <row r="3836" spans="2:2" x14ac:dyDescent="0.25">
      <c r="B3836" s="39"/>
    </row>
    <row r="3837" spans="2:2" x14ac:dyDescent="0.25">
      <c r="B3837" s="39"/>
    </row>
    <row r="3838" spans="2:2" x14ac:dyDescent="0.25">
      <c r="B3838" s="39"/>
    </row>
    <row r="3839" spans="2:2" x14ac:dyDescent="0.25">
      <c r="B3839" s="39"/>
    </row>
    <row r="3840" spans="2:2" x14ac:dyDescent="0.25">
      <c r="B3840" s="39"/>
    </row>
    <row r="3841" spans="2:2" x14ac:dyDescent="0.25">
      <c r="B3841" s="39"/>
    </row>
    <row r="3842" spans="2:2" x14ac:dyDescent="0.25">
      <c r="B3842" s="39"/>
    </row>
    <row r="3843" spans="2:2" x14ac:dyDescent="0.25">
      <c r="B3843" s="39"/>
    </row>
    <row r="3844" spans="2:2" x14ac:dyDescent="0.25">
      <c r="B3844" s="39"/>
    </row>
    <row r="3845" spans="2:2" x14ac:dyDescent="0.25">
      <c r="B3845" s="39"/>
    </row>
    <row r="3846" spans="2:2" x14ac:dyDescent="0.25">
      <c r="B3846" s="39"/>
    </row>
    <row r="3847" spans="2:2" x14ac:dyDescent="0.25">
      <c r="B3847" s="39"/>
    </row>
    <row r="3848" spans="2:2" x14ac:dyDescent="0.25">
      <c r="B3848" s="39"/>
    </row>
    <row r="3849" spans="2:2" x14ac:dyDescent="0.25">
      <c r="B3849" s="39"/>
    </row>
    <row r="3850" spans="2:2" x14ac:dyDescent="0.25">
      <c r="B3850" s="39"/>
    </row>
    <row r="3851" spans="2:2" x14ac:dyDescent="0.25">
      <c r="B3851" s="39"/>
    </row>
    <row r="3852" spans="2:2" x14ac:dyDescent="0.25">
      <c r="B3852" s="39"/>
    </row>
    <row r="3853" spans="2:2" x14ac:dyDescent="0.25">
      <c r="B3853" s="39"/>
    </row>
    <row r="3854" spans="2:2" x14ac:dyDescent="0.25">
      <c r="B3854" s="39"/>
    </row>
    <row r="3855" spans="2:2" x14ac:dyDescent="0.25">
      <c r="B3855" s="39"/>
    </row>
    <row r="3856" spans="2:2" x14ac:dyDescent="0.25">
      <c r="B3856" s="39"/>
    </row>
    <row r="3857" spans="2:2" x14ac:dyDescent="0.25">
      <c r="B3857" s="39"/>
    </row>
    <row r="3858" spans="2:2" x14ac:dyDescent="0.25">
      <c r="B3858" s="39"/>
    </row>
    <row r="3859" spans="2:2" x14ac:dyDescent="0.25">
      <c r="B3859" s="39"/>
    </row>
    <row r="3860" spans="2:2" x14ac:dyDescent="0.25">
      <c r="B3860" s="39"/>
    </row>
    <row r="3861" spans="2:2" x14ac:dyDescent="0.25">
      <c r="B3861" s="39"/>
    </row>
    <row r="3862" spans="2:2" x14ac:dyDescent="0.25">
      <c r="B3862" s="39"/>
    </row>
    <row r="3863" spans="2:2" x14ac:dyDescent="0.25">
      <c r="B3863" s="39"/>
    </row>
    <row r="3864" spans="2:2" x14ac:dyDescent="0.25">
      <c r="B3864" s="39"/>
    </row>
    <row r="3865" spans="2:2" x14ac:dyDescent="0.25">
      <c r="B3865" s="39"/>
    </row>
    <row r="3866" spans="2:2" x14ac:dyDescent="0.25">
      <c r="B3866" s="39"/>
    </row>
    <row r="3867" spans="2:2" x14ac:dyDescent="0.25">
      <c r="B3867" s="39"/>
    </row>
    <row r="3868" spans="2:2" x14ac:dyDescent="0.25">
      <c r="B3868" s="39"/>
    </row>
    <row r="3869" spans="2:2" x14ac:dyDescent="0.25">
      <c r="B3869" s="39"/>
    </row>
    <row r="3870" spans="2:2" x14ac:dyDescent="0.25">
      <c r="B3870" s="39"/>
    </row>
    <row r="3871" spans="2:2" x14ac:dyDescent="0.25">
      <c r="B3871" s="39"/>
    </row>
    <row r="3872" spans="2:2" x14ac:dyDescent="0.25">
      <c r="B3872" s="39"/>
    </row>
    <row r="3873" spans="2:2" x14ac:dyDescent="0.25">
      <c r="B3873" s="39"/>
    </row>
    <row r="3874" spans="2:2" x14ac:dyDescent="0.25">
      <c r="B3874" s="39"/>
    </row>
    <row r="3875" spans="2:2" x14ac:dyDescent="0.25">
      <c r="B3875" s="39"/>
    </row>
    <row r="3876" spans="2:2" x14ac:dyDescent="0.25">
      <c r="B3876" s="39"/>
    </row>
    <row r="3877" spans="2:2" x14ac:dyDescent="0.25">
      <c r="B3877" s="39"/>
    </row>
    <row r="3878" spans="2:2" x14ac:dyDescent="0.25">
      <c r="B3878" s="39"/>
    </row>
    <row r="3879" spans="2:2" x14ac:dyDescent="0.25">
      <c r="B3879" s="39"/>
    </row>
    <row r="3880" spans="2:2" x14ac:dyDescent="0.25">
      <c r="B3880" s="39"/>
    </row>
    <row r="3881" spans="2:2" x14ac:dyDescent="0.25">
      <c r="B3881" s="39"/>
    </row>
    <row r="3882" spans="2:2" x14ac:dyDescent="0.25">
      <c r="B3882" s="39"/>
    </row>
    <row r="3883" spans="2:2" x14ac:dyDescent="0.25">
      <c r="B3883" s="39"/>
    </row>
    <row r="3884" spans="2:2" x14ac:dyDescent="0.25">
      <c r="B3884" s="39"/>
    </row>
    <row r="3885" spans="2:2" x14ac:dyDescent="0.25">
      <c r="B3885" s="39"/>
    </row>
    <row r="3886" spans="2:2" x14ac:dyDescent="0.25">
      <c r="B3886" s="39"/>
    </row>
    <row r="3887" spans="2:2" x14ac:dyDescent="0.25">
      <c r="B3887" s="39"/>
    </row>
    <row r="3888" spans="2:2" x14ac:dyDescent="0.25">
      <c r="B3888" s="39"/>
    </row>
    <row r="3889" spans="2:2" x14ac:dyDescent="0.25">
      <c r="B3889" s="39"/>
    </row>
    <row r="3890" spans="2:2" x14ac:dyDescent="0.25">
      <c r="B3890" s="39"/>
    </row>
    <row r="3891" spans="2:2" x14ac:dyDescent="0.25">
      <c r="B3891" s="39"/>
    </row>
    <row r="3892" spans="2:2" x14ac:dyDescent="0.25">
      <c r="B3892" s="39"/>
    </row>
    <row r="3893" spans="2:2" x14ac:dyDescent="0.25">
      <c r="B3893" s="39"/>
    </row>
    <row r="3894" spans="2:2" x14ac:dyDescent="0.25">
      <c r="B3894" s="39"/>
    </row>
    <row r="3895" spans="2:2" x14ac:dyDescent="0.25">
      <c r="B3895" s="39"/>
    </row>
    <row r="3896" spans="2:2" x14ac:dyDescent="0.25">
      <c r="B3896" s="39"/>
    </row>
    <row r="3897" spans="2:2" x14ac:dyDescent="0.25">
      <c r="B3897" s="39"/>
    </row>
    <row r="3898" spans="2:2" x14ac:dyDescent="0.25">
      <c r="B3898" s="39"/>
    </row>
    <row r="3899" spans="2:2" x14ac:dyDescent="0.25">
      <c r="B3899" s="39"/>
    </row>
    <row r="3900" spans="2:2" x14ac:dyDescent="0.25">
      <c r="B3900" s="39"/>
    </row>
    <row r="3901" spans="2:2" x14ac:dyDescent="0.25">
      <c r="B3901" s="39"/>
    </row>
    <row r="3902" spans="2:2" x14ac:dyDescent="0.25">
      <c r="B3902" s="39"/>
    </row>
    <row r="3903" spans="2:2" x14ac:dyDescent="0.25">
      <c r="B3903" s="39"/>
    </row>
    <row r="3904" spans="2:2" x14ac:dyDescent="0.25">
      <c r="B3904" s="39"/>
    </row>
    <row r="3905" spans="2:2" x14ac:dyDescent="0.25">
      <c r="B3905" s="39"/>
    </row>
    <row r="3906" spans="2:2" x14ac:dyDescent="0.25">
      <c r="B3906" s="39"/>
    </row>
    <row r="3907" spans="2:2" x14ac:dyDescent="0.25">
      <c r="B3907" s="39"/>
    </row>
    <row r="3908" spans="2:2" x14ac:dyDescent="0.25">
      <c r="B3908" s="39"/>
    </row>
    <row r="3909" spans="2:2" x14ac:dyDescent="0.25">
      <c r="B3909" s="39"/>
    </row>
    <row r="3910" spans="2:2" x14ac:dyDescent="0.25">
      <c r="B3910" s="39"/>
    </row>
    <row r="3911" spans="2:2" x14ac:dyDescent="0.25">
      <c r="B3911" s="39"/>
    </row>
    <row r="3912" spans="2:2" x14ac:dyDescent="0.25">
      <c r="B3912" s="39"/>
    </row>
    <row r="3913" spans="2:2" x14ac:dyDescent="0.25">
      <c r="B3913" s="39"/>
    </row>
    <row r="3914" spans="2:2" x14ac:dyDescent="0.25">
      <c r="B3914" s="39"/>
    </row>
    <row r="3915" spans="2:2" x14ac:dyDescent="0.25">
      <c r="B3915" s="39"/>
    </row>
    <row r="3916" spans="2:2" x14ac:dyDescent="0.25">
      <c r="B3916" s="39"/>
    </row>
    <row r="3917" spans="2:2" x14ac:dyDescent="0.25">
      <c r="B3917" s="39"/>
    </row>
    <row r="3918" spans="2:2" x14ac:dyDescent="0.25">
      <c r="B3918" s="39"/>
    </row>
    <row r="3919" spans="2:2" x14ac:dyDescent="0.25">
      <c r="B3919" s="39"/>
    </row>
    <row r="3920" spans="2:2" x14ac:dyDescent="0.25">
      <c r="B3920" s="39"/>
    </row>
    <row r="3921" spans="2:2" x14ac:dyDescent="0.25">
      <c r="B3921" s="39"/>
    </row>
    <row r="3922" spans="2:2" x14ac:dyDescent="0.25">
      <c r="B3922" s="39"/>
    </row>
    <row r="3923" spans="2:2" x14ac:dyDescent="0.25">
      <c r="B3923" s="39"/>
    </row>
    <row r="3924" spans="2:2" x14ac:dyDescent="0.25">
      <c r="B3924" s="39"/>
    </row>
    <row r="3925" spans="2:2" x14ac:dyDescent="0.25">
      <c r="B3925" s="39"/>
    </row>
    <row r="3926" spans="2:2" x14ac:dyDescent="0.25">
      <c r="B3926" s="39"/>
    </row>
    <row r="3927" spans="2:2" x14ac:dyDescent="0.25">
      <c r="B3927" s="39"/>
    </row>
    <row r="3928" spans="2:2" x14ac:dyDescent="0.25">
      <c r="B3928" s="39"/>
    </row>
    <row r="3929" spans="2:2" x14ac:dyDescent="0.25">
      <c r="B3929" s="39"/>
    </row>
    <row r="3930" spans="2:2" x14ac:dyDescent="0.25">
      <c r="B3930" s="39"/>
    </row>
    <row r="3931" spans="2:2" x14ac:dyDescent="0.25">
      <c r="B3931" s="39"/>
    </row>
    <row r="3932" spans="2:2" x14ac:dyDescent="0.25">
      <c r="B3932" s="39"/>
    </row>
    <row r="3933" spans="2:2" x14ac:dyDescent="0.25">
      <c r="B3933" s="39"/>
    </row>
    <row r="3934" spans="2:2" x14ac:dyDescent="0.25">
      <c r="B3934" s="39"/>
    </row>
    <row r="3935" spans="2:2" x14ac:dyDescent="0.25">
      <c r="B3935" s="39"/>
    </row>
    <row r="3936" spans="2:2" x14ac:dyDescent="0.25">
      <c r="B3936" s="39"/>
    </row>
    <row r="3937" spans="2:2" x14ac:dyDescent="0.25">
      <c r="B3937" s="39"/>
    </row>
    <row r="3938" spans="2:2" x14ac:dyDescent="0.25">
      <c r="B3938" s="39"/>
    </row>
    <row r="3939" spans="2:2" x14ac:dyDescent="0.25">
      <c r="B3939" s="39"/>
    </row>
    <row r="3940" spans="2:2" x14ac:dyDescent="0.25">
      <c r="B3940" s="39"/>
    </row>
    <row r="3941" spans="2:2" x14ac:dyDescent="0.25">
      <c r="B3941" s="39"/>
    </row>
    <row r="3942" spans="2:2" x14ac:dyDescent="0.25">
      <c r="B3942" s="39"/>
    </row>
    <row r="3943" spans="2:2" x14ac:dyDescent="0.25">
      <c r="B3943" s="39"/>
    </row>
    <row r="3944" spans="2:2" x14ac:dyDescent="0.25">
      <c r="B3944" s="39"/>
    </row>
    <row r="3945" spans="2:2" x14ac:dyDescent="0.25">
      <c r="B3945" s="39"/>
    </row>
    <row r="3946" spans="2:2" x14ac:dyDescent="0.25">
      <c r="B3946" s="39"/>
    </row>
    <row r="3947" spans="2:2" x14ac:dyDescent="0.25">
      <c r="B3947" s="39"/>
    </row>
    <row r="3948" spans="2:2" x14ac:dyDescent="0.25">
      <c r="B3948" s="39"/>
    </row>
    <row r="3949" spans="2:2" x14ac:dyDescent="0.25">
      <c r="B3949" s="39"/>
    </row>
    <row r="3950" spans="2:2" x14ac:dyDescent="0.25">
      <c r="B3950" s="39"/>
    </row>
    <row r="3951" spans="2:2" x14ac:dyDescent="0.25">
      <c r="B3951" s="39"/>
    </row>
    <row r="3952" spans="2:2" x14ac:dyDescent="0.25">
      <c r="B3952" s="39"/>
    </row>
    <row r="3953" spans="2:2" x14ac:dyDescent="0.25">
      <c r="B3953" s="39"/>
    </row>
    <row r="3954" spans="2:2" x14ac:dyDescent="0.25">
      <c r="B3954" s="39"/>
    </row>
    <row r="3955" spans="2:2" x14ac:dyDescent="0.25">
      <c r="B3955" s="39"/>
    </row>
    <row r="3956" spans="2:2" x14ac:dyDescent="0.25">
      <c r="B3956" s="39"/>
    </row>
    <row r="3957" spans="2:2" x14ac:dyDescent="0.25">
      <c r="B3957" s="39"/>
    </row>
    <row r="3958" spans="2:2" x14ac:dyDescent="0.25">
      <c r="B3958" s="39"/>
    </row>
    <row r="3959" spans="2:2" x14ac:dyDescent="0.25">
      <c r="B3959" s="39"/>
    </row>
    <row r="3960" spans="2:2" x14ac:dyDescent="0.25">
      <c r="B3960" s="39"/>
    </row>
    <row r="3961" spans="2:2" x14ac:dyDescent="0.25">
      <c r="B3961" s="39"/>
    </row>
    <row r="3962" spans="2:2" x14ac:dyDescent="0.25">
      <c r="B3962" s="39"/>
    </row>
    <row r="3963" spans="2:2" x14ac:dyDescent="0.25">
      <c r="B3963" s="39"/>
    </row>
    <row r="3964" spans="2:2" x14ac:dyDescent="0.25">
      <c r="B3964" s="39"/>
    </row>
    <row r="3965" spans="2:2" x14ac:dyDescent="0.25">
      <c r="B3965" s="39"/>
    </row>
    <row r="3966" spans="2:2" x14ac:dyDescent="0.25">
      <c r="B3966" s="39"/>
    </row>
    <row r="3967" spans="2:2" x14ac:dyDescent="0.25">
      <c r="B3967" s="39"/>
    </row>
    <row r="3968" spans="2:2" x14ac:dyDescent="0.25">
      <c r="B3968" s="39"/>
    </row>
    <row r="3969" spans="2:2" x14ac:dyDescent="0.25">
      <c r="B3969" s="39"/>
    </row>
    <row r="3970" spans="2:2" x14ac:dyDescent="0.25">
      <c r="B3970" s="39"/>
    </row>
    <row r="3971" spans="2:2" x14ac:dyDescent="0.25">
      <c r="B3971" s="39"/>
    </row>
    <row r="3972" spans="2:2" x14ac:dyDescent="0.25">
      <c r="B3972" s="39"/>
    </row>
    <row r="3973" spans="2:2" x14ac:dyDescent="0.25">
      <c r="B3973" s="39"/>
    </row>
    <row r="3974" spans="2:2" x14ac:dyDescent="0.25">
      <c r="B3974" s="39"/>
    </row>
    <row r="3975" spans="2:2" x14ac:dyDescent="0.25">
      <c r="B3975" s="39"/>
    </row>
    <row r="3976" spans="2:2" x14ac:dyDescent="0.25">
      <c r="B3976" s="39"/>
    </row>
    <row r="3977" spans="2:2" x14ac:dyDescent="0.25">
      <c r="B3977" s="39"/>
    </row>
    <row r="3978" spans="2:2" x14ac:dyDescent="0.25">
      <c r="B3978" s="39"/>
    </row>
    <row r="3979" spans="2:2" x14ac:dyDescent="0.25">
      <c r="B3979" s="39"/>
    </row>
    <row r="3980" spans="2:2" x14ac:dyDescent="0.25">
      <c r="B3980" s="39"/>
    </row>
    <row r="3981" spans="2:2" x14ac:dyDescent="0.25">
      <c r="B3981" s="39"/>
    </row>
    <row r="3982" spans="2:2" x14ac:dyDescent="0.25">
      <c r="B3982" s="39"/>
    </row>
    <row r="3983" spans="2:2" x14ac:dyDescent="0.25">
      <c r="B3983" s="39"/>
    </row>
    <row r="3984" spans="2:2" x14ac:dyDescent="0.25">
      <c r="B3984" s="39"/>
    </row>
    <row r="3985" spans="2:2" x14ac:dyDescent="0.25">
      <c r="B3985" s="39"/>
    </row>
    <row r="3986" spans="2:2" x14ac:dyDescent="0.25">
      <c r="B3986" s="39"/>
    </row>
    <row r="3987" spans="2:2" x14ac:dyDescent="0.25">
      <c r="B3987" s="39"/>
    </row>
    <row r="3988" spans="2:2" x14ac:dyDescent="0.25">
      <c r="B3988" s="39"/>
    </row>
    <row r="3989" spans="2:2" x14ac:dyDescent="0.25">
      <c r="B3989" s="39"/>
    </row>
    <row r="3990" spans="2:2" x14ac:dyDescent="0.25">
      <c r="B3990" s="39"/>
    </row>
    <row r="3991" spans="2:2" x14ac:dyDescent="0.25">
      <c r="B3991" s="39"/>
    </row>
    <row r="3992" spans="2:2" x14ac:dyDescent="0.25">
      <c r="B3992" s="39"/>
    </row>
    <row r="3993" spans="2:2" x14ac:dyDescent="0.25">
      <c r="B3993" s="39"/>
    </row>
    <row r="3994" spans="2:2" x14ac:dyDescent="0.25">
      <c r="B3994" s="39"/>
    </row>
    <row r="3995" spans="2:2" x14ac:dyDescent="0.25">
      <c r="B3995" s="39"/>
    </row>
    <row r="3996" spans="2:2" x14ac:dyDescent="0.25">
      <c r="B3996" s="39"/>
    </row>
    <row r="3997" spans="2:2" x14ac:dyDescent="0.25">
      <c r="B3997" s="39"/>
    </row>
    <row r="3998" spans="2:2" x14ac:dyDescent="0.25">
      <c r="B3998" s="39"/>
    </row>
    <row r="3999" spans="2:2" x14ac:dyDescent="0.25">
      <c r="B3999" s="39"/>
    </row>
    <row r="4000" spans="2:2" x14ac:dyDescent="0.25">
      <c r="B4000" s="39"/>
    </row>
    <row r="4001" spans="2:2" x14ac:dyDescent="0.25">
      <c r="B4001" s="39"/>
    </row>
    <row r="4002" spans="2:2" x14ac:dyDescent="0.25">
      <c r="B4002" s="39"/>
    </row>
    <row r="4003" spans="2:2" x14ac:dyDescent="0.25">
      <c r="B4003" s="39"/>
    </row>
    <row r="4004" spans="2:2" x14ac:dyDescent="0.25">
      <c r="B4004" s="39"/>
    </row>
    <row r="4005" spans="2:2" x14ac:dyDescent="0.25">
      <c r="B4005" s="39"/>
    </row>
    <row r="4006" spans="2:2" x14ac:dyDescent="0.25">
      <c r="B4006" s="39"/>
    </row>
    <row r="4007" spans="2:2" x14ac:dyDescent="0.25">
      <c r="B4007" s="39"/>
    </row>
    <row r="4008" spans="2:2" x14ac:dyDescent="0.25">
      <c r="B4008" s="39"/>
    </row>
    <row r="4009" spans="2:2" x14ac:dyDescent="0.25">
      <c r="B4009" s="39"/>
    </row>
    <row r="4010" spans="2:2" x14ac:dyDescent="0.25">
      <c r="B4010" s="39"/>
    </row>
    <row r="4011" spans="2:2" x14ac:dyDescent="0.25">
      <c r="B4011" s="39"/>
    </row>
    <row r="4012" spans="2:2" x14ac:dyDescent="0.25">
      <c r="B4012" s="39"/>
    </row>
    <row r="4013" spans="2:2" x14ac:dyDescent="0.25">
      <c r="B4013" s="39"/>
    </row>
    <row r="4014" spans="2:2" x14ac:dyDescent="0.25">
      <c r="B4014" s="39"/>
    </row>
    <row r="4015" spans="2:2" x14ac:dyDescent="0.25">
      <c r="B4015" s="39"/>
    </row>
    <row r="4016" spans="2:2" x14ac:dyDescent="0.25">
      <c r="B4016" s="39"/>
    </row>
    <row r="4017" spans="2:2" x14ac:dyDescent="0.25">
      <c r="B4017" s="39"/>
    </row>
    <row r="4018" spans="2:2" x14ac:dyDescent="0.25">
      <c r="B4018" s="39"/>
    </row>
    <row r="4019" spans="2:2" x14ac:dyDescent="0.25">
      <c r="B4019" s="39"/>
    </row>
    <row r="4020" spans="2:2" x14ac:dyDescent="0.25">
      <c r="B4020" s="39"/>
    </row>
    <row r="4021" spans="2:2" x14ac:dyDescent="0.25">
      <c r="B4021" s="39"/>
    </row>
    <row r="4022" spans="2:2" x14ac:dyDescent="0.25">
      <c r="B4022" s="39"/>
    </row>
    <row r="4023" spans="2:2" x14ac:dyDescent="0.25">
      <c r="B4023" s="39"/>
    </row>
    <row r="4024" spans="2:2" x14ac:dyDescent="0.25">
      <c r="B4024" s="39"/>
    </row>
    <row r="4025" spans="2:2" x14ac:dyDescent="0.25">
      <c r="B4025" s="39"/>
    </row>
    <row r="4026" spans="2:2" x14ac:dyDescent="0.25">
      <c r="B4026" s="39"/>
    </row>
    <row r="4027" spans="2:2" x14ac:dyDescent="0.25">
      <c r="B4027" s="39"/>
    </row>
    <row r="4028" spans="2:2" x14ac:dyDescent="0.25">
      <c r="B4028" s="39"/>
    </row>
    <row r="4029" spans="2:2" x14ac:dyDescent="0.25">
      <c r="B4029" s="39"/>
    </row>
    <row r="4030" spans="2:2" x14ac:dyDescent="0.25">
      <c r="B4030" s="39"/>
    </row>
    <row r="4031" spans="2:2" x14ac:dyDescent="0.25">
      <c r="B4031" s="39"/>
    </row>
    <row r="4032" spans="2:2" x14ac:dyDescent="0.25">
      <c r="B4032" s="39"/>
    </row>
    <row r="4033" spans="2:2" x14ac:dyDescent="0.25">
      <c r="B4033" s="39"/>
    </row>
    <row r="4034" spans="2:2" x14ac:dyDescent="0.25">
      <c r="B4034" s="39"/>
    </row>
    <row r="4035" spans="2:2" x14ac:dyDescent="0.25">
      <c r="B4035" s="39"/>
    </row>
    <row r="4036" spans="2:2" x14ac:dyDescent="0.25">
      <c r="B4036" s="39"/>
    </row>
    <row r="4037" spans="2:2" x14ac:dyDescent="0.25">
      <c r="B4037" s="39"/>
    </row>
    <row r="4038" spans="2:2" x14ac:dyDescent="0.25">
      <c r="B4038" s="39"/>
    </row>
    <row r="4039" spans="2:2" x14ac:dyDescent="0.25">
      <c r="B4039" s="39"/>
    </row>
    <row r="4040" spans="2:2" x14ac:dyDescent="0.25">
      <c r="B4040" s="39"/>
    </row>
    <row r="4041" spans="2:2" x14ac:dyDescent="0.25">
      <c r="B4041" s="39"/>
    </row>
    <row r="4042" spans="2:2" x14ac:dyDescent="0.25">
      <c r="B4042" s="39"/>
    </row>
    <row r="4043" spans="2:2" x14ac:dyDescent="0.25">
      <c r="B4043" s="39"/>
    </row>
    <row r="4044" spans="2:2" x14ac:dyDescent="0.25">
      <c r="B4044" s="39"/>
    </row>
    <row r="4045" spans="2:2" x14ac:dyDescent="0.25">
      <c r="B4045" s="39"/>
    </row>
    <row r="4046" spans="2:2" x14ac:dyDescent="0.25">
      <c r="B4046" s="39"/>
    </row>
    <row r="4047" spans="2:2" x14ac:dyDescent="0.25">
      <c r="B4047" s="39"/>
    </row>
    <row r="4048" spans="2:2" x14ac:dyDescent="0.25">
      <c r="B4048" s="39"/>
    </row>
    <row r="4049" spans="2:2" x14ac:dyDescent="0.25">
      <c r="B4049" s="39"/>
    </row>
    <row r="4050" spans="2:2" x14ac:dyDescent="0.25">
      <c r="B4050" s="39"/>
    </row>
    <row r="4051" spans="2:2" x14ac:dyDescent="0.25">
      <c r="B4051" s="39"/>
    </row>
    <row r="4052" spans="2:2" x14ac:dyDescent="0.25">
      <c r="B4052" s="39"/>
    </row>
    <row r="4053" spans="2:2" x14ac:dyDescent="0.25">
      <c r="B4053" s="39"/>
    </row>
    <row r="4054" spans="2:2" x14ac:dyDescent="0.25">
      <c r="B4054" s="39"/>
    </row>
    <row r="4055" spans="2:2" x14ac:dyDescent="0.25">
      <c r="B4055" s="39"/>
    </row>
    <row r="4056" spans="2:2" x14ac:dyDescent="0.25">
      <c r="B4056" s="39"/>
    </row>
    <row r="4057" spans="2:2" x14ac:dyDescent="0.25">
      <c r="B4057" s="39"/>
    </row>
    <row r="4058" spans="2:2" x14ac:dyDescent="0.25">
      <c r="B4058" s="39"/>
    </row>
    <row r="4059" spans="2:2" x14ac:dyDescent="0.25">
      <c r="B4059" s="39"/>
    </row>
    <row r="4060" spans="2:2" x14ac:dyDescent="0.25">
      <c r="B4060" s="39"/>
    </row>
    <row r="4061" spans="2:2" x14ac:dyDescent="0.25">
      <c r="B4061" s="39"/>
    </row>
    <row r="4062" spans="2:2" x14ac:dyDescent="0.25">
      <c r="B4062" s="39"/>
    </row>
    <row r="4063" spans="2:2" x14ac:dyDescent="0.25">
      <c r="B4063" s="39"/>
    </row>
    <row r="4064" spans="2:2" x14ac:dyDescent="0.25">
      <c r="B4064" s="39"/>
    </row>
    <row r="4065" spans="2:2" x14ac:dyDescent="0.25">
      <c r="B4065" s="39"/>
    </row>
    <row r="4066" spans="2:2" x14ac:dyDescent="0.25">
      <c r="B4066" s="39"/>
    </row>
    <row r="4067" spans="2:2" x14ac:dyDescent="0.25">
      <c r="B4067" s="39"/>
    </row>
    <row r="4068" spans="2:2" x14ac:dyDescent="0.25">
      <c r="B4068" s="39"/>
    </row>
    <row r="4069" spans="2:2" x14ac:dyDescent="0.25">
      <c r="B4069" s="39"/>
    </row>
    <row r="4070" spans="2:2" x14ac:dyDescent="0.25">
      <c r="B4070" s="39"/>
    </row>
    <row r="4071" spans="2:2" x14ac:dyDescent="0.25">
      <c r="B4071" s="39"/>
    </row>
    <row r="4072" spans="2:2" x14ac:dyDescent="0.25">
      <c r="B4072" s="39"/>
    </row>
    <row r="4073" spans="2:2" x14ac:dyDescent="0.25">
      <c r="B4073" s="39"/>
    </row>
    <row r="4074" spans="2:2" x14ac:dyDescent="0.25">
      <c r="B4074" s="39"/>
    </row>
    <row r="4075" spans="2:2" x14ac:dyDescent="0.25">
      <c r="B4075" s="39"/>
    </row>
    <row r="4076" spans="2:2" x14ac:dyDescent="0.25">
      <c r="B4076" s="39"/>
    </row>
    <row r="4077" spans="2:2" x14ac:dyDescent="0.25">
      <c r="B4077" s="39"/>
    </row>
    <row r="4078" spans="2:2" x14ac:dyDescent="0.25">
      <c r="B4078" s="39"/>
    </row>
    <row r="4079" spans="2:2" x14ac:dyDescent="0.25">
      <c r="B4079" s="39"/>
    </row>
    <row r="4080" spans="2:2" x14ac:dyDescent="0.25">
      <c r="B4080" s="39"/>
    </row>
    <row r="4081" spans="2:2" x14ac:dyDescent="0.25">
      <c r="B4081" s="39"/>
    </row>
    <row r="4082" spans="2:2" x14ac:dyDescent="0.25">
      <c r="B4082" s="39"/>
    </row>
    <row r="4083" spans="2:2" x14ac:dyDescent="0.25">
      <c r="B4083" s="39"/>
    </row>
    <row r="4084" spans="2:2" x14ac:dyDescent="0.25">
      <c r="B4084" s="39"/>
    </row>
    <row r="4085" spans="2:2" x14ac:dyDescent="0.25">
      <c r="B4085" s="39"/>
    </row>
    <row r="4086" spans="2:2" x14ac:dyDescent="0.25">
      <c r="B4086" s="39"/>
    </row>
    <row r="4087" spans="2:2" x14ac:dyDescent="0.25">
      <c r="B4087" s="39"/>
    </row>
    <row r="4088" spans="2:2" x14ac:dyDescent="0.25">
      <c r="B4088" s="39"/>
    </row>
    <row r="4089" spans="2:2" x14ac:dyDescent="0.25">
      <c r="B4089" s="39"/>
    </row>
    <row r="4090" spans="2:2" x14ac:dyDescent="0.25">
      <c r="B4090" s="39"/>
    </row>
    <row r="4091" spans="2:2" x14ac:dyDescent="0.25">
      <c r="B4091" s="39"/>
    </row>
    <row r="4092" spans="2:2" x14ac:dyDescent="0.25">
      <c r="B4092" s="39"/>
    </row>
    <row r="4093" spans="2:2" x14ac:dyDescent="0.25">
      <c r="B4093" s="39"/>
    </row>
    <row r="4094" spans="2:2" x14ac:dyDescent="0.25">
      <c r="B4094" s="39"/>
    </row>
    <row r="4095" spans="2:2" x14ac:dyDescent="0.25">
      <c r="B4095" s="39"/>
    </row>
    <row r="4096" spans="2:2" x14ac:dyDescent="0.25">
      <c r="B4096" s="39"/>
    </row>
    <row r="4097" spans="2:2" x14ac:dyDescent="0.25">
      <c r="B4097" s="39"/>
    </row>
    <row r="4098" spans="2:2" x14ac:dyDescent="0.25">
      <c r="B4098" s="39"/>
    </row>
    <row r="4099" spans="2:2" x14ac:dyDescent="0.25">
      <c r="B4099" s="39"/>
    </row>
    <row r="4100" spans="2:2" x14ac:dyDescent="0.25">
      <c r="B4100" s="39"/>
    </row>
    <row r="4101" spans="2:2" x14ac:dyDescent="0.25">
      <c r="B4101" s="39"/>
    </row>
    <row r="4102" spans="2:2" x14ac:dyDescent="0.25">
      <c r="B4102" s="39"/>
    </row>
    <row r="4103" spans="2:2" x14ac:dyDescent="0.25">
      <c r="B4103" s="39"/>
    </row>
    <row r="4104" spans="2:2" x14ac:dyDescent="0.25">
      <c r="B4104" s="39"/>
    </row>
    <row r="4105" spans="2:2" x14ac:dyDescent="0.25">
      <c r="B4105" s="39"/>
    </row>
    <row r="4106" spans="2:2" x14ac:dyDescent="0.25">
      <c r="B4106" s="39"/>
    </row>
    <row r="4107" spans="2:2" x14ac:dyDescent="0.25">
      <c r="B4107" s="39"/>
    </row>
    <row r="4108" spans="2:2" x14ac:dyDescent="0.25">
      <c r="B4108" s="39"/>
    </row>
    <row r="4109" spans="2:2" x14ac:dyDescent="0.25">
      <c r="B4109" s="39"/>
    </row>
    <row r="4110" spans="2:2" x14ac:dyDescent="0.25">
      <c r="B4110" s="39"/>
    </row>
    <row r="4111" spans="2:2" x14ac:dyDescent="0.25">
      <c r="B4111" s="39"/>
    </row>
    <row r="4112" spans="2:2" x14ac:dyDescent="0.25">
      <c r="B4112" s="39"/>
    </row>
    <row r="4113" spans="2:2" x14ac:dyDescent="0.25">
      <c r="B4113" s="39"/>
    </row>
    <row r="4114" spans="2:2" x14ac:dyDescent="0.25">
      <c r="B4114" s="39"/>
    </row>
    <row r="4115" spans="2:2" x14ac:dyDescent="0.25">
      <c r="B4115" s="39"/>
    </row>
    <row r="4116" spans="2:2" x14ac:dyDescent="0.25">
      <c r="B4116" s="39"/>
    </row>
    <row r="4117" spans="2:2" x14ac:dyDescent="0.25">
      <c r="B4117" s="39"/>
    </row>
    <row r="4118" spans="2:2" x14ac:dyDescent="0.25">
      <c r="B4118" s="39"/>
    </row>
    <row r="4119" spans="2:2" x14ac:dyDescent="0.25">
      <c r="B4119" s="39"/>
    </row>
    <row r="4120" spans="2:2" x14ac:dyDescent="0.25">
      <c r="B4120" s="39"/>
    </row>
    <row r="4121" spans="2:2" x14ac:dyDescent="0.25">
      <c r="B4121" s="39"/>
    </row>
    <row r="4122" spans="2:2" x14ac:dyDescent="0.25">
      <c r="B4122" s="39"/>
    </row>
    <row r="4123" spans="2:2" x14ac:dyDescent="0.25">
      <c r="B4123" s="39"/>
    </row>
    <row r="4124" spans="2:2" x14ac:dyDescent="0.25">
      <c r="B4124" s="39"/>
    </row>
    <row r="4125" spans="2:2" x14ac:dyDescent="0.25">
      <c r="B4125" s="39"/>
    </row>
    <row r="4126" spans="2:2" x14ac:dyDescent="0.25">
      <c r="B4126" s="39"/>
    </row>
    <row r="4127" spans="2:2" x14ac:dyDescent="0.25">
      <c r="B4127" s="39"/>
    </row>
    <row r="4128" spans="2:2" x14ac:dyDescent="0.25">
      <c r="B4128" s="39"/>
    </row>
    <row r="4129" spans="2:2" x14ac:dyDescent="0.25">
      <c r="B4129" s="39"/>
    </row>
    <row r="4130" spans="2:2" x14ac:dyDescent="0.25">
      <c r="B4130" s="39"/>
    </row>
    <row r="4131" spans="2:2" x14ac:dyDescent="0.25">
      <c r="B4131" s="39"/>
    </row>
    <row r="4132" spans="2:2" x14ac:dyDescent="0.25">
      <c r="B4132" s="39"/>
    </row>
    <row r="4133" spans="2:2" x14ac:dyDescent="0.25">
      <c r="B4133" s="39"/>
    </row>
    <row r="4134" spans="2:2" x14ac:dyDescent="0.25">
      <c r="B4134" s="39"/>
    </row>
    <row r="4135" spans="2:2" x14ac:dyDescent="0.25">
      <c r="B4135" s="39"/>
    </row>
    <row r="4136" spans="2:2" x14ac:dyDescent="0.25">
      <c r="B4136" s="39"/>
    </row>
    <row r="4137" spans="2:2" x14ac:dyDescent="0.25">
      <c r="B4137" s="39"/>
    </row>
    <row r="4138" spans="2:2" x14ac:dyDescent="0.25">
      <c r="B4138" s="39"/>
    </row>
    <row r="4139" spans="2:2" x14ac:dyDescent="0.25">
      <c r="B4139" s="39"/>
    </row>
    <row r="4140" spans="2:2" x14ac:dyDescent="0.25">
      <c r="B4140" s="39"/>
    </row>
    <row r="4141" spans="2:2" x14ac:dyDescent="0.25">
      <c r="B4141" s="39"/>
    </row>
    <row r="4142" spans="2:2" x14ac:dyDescent="0.25">
      <c r="B4142" s="39"/>
    </row>
    <row r="4143" spans="2:2" x14ac:dyDescent="0.25">
      <c r="B4143" s="39"/>
    </row>
    <row r="4144" spans="2:2" x14ac:dyDescent="0.25">
      <c r="B4144" s="39"/>
    </row>
    <row r="4145" spans="2:2" x14ac:dyDescent="0.25">
      <c r="B4145" s="39"/>
    </row>
    <row r="4146" spans="2:2" x14ac:dyDescent="0.25">
      <c r="B4146" s="39"/>
    </row>
    <row r="4147" spans="2:2" x14ac:dyDescent="0.25">
      <c r="B4147" s="39"/>
    </row>
    <row r="4148" spans="2:2" x14ac:dyDescent="0.25">
      <c r="B4148" s="39"/>
    </row>
    <row r="4149" spans="2:2" x14ac:dyDescent="0.25">
      <c r="B4149" s="39"/>
    </row>
    <row r="4150" spans="2:2" x14ac:dyDescent="0.25">
      <c r="B4150" s="39"/>
    </row>
    <row r="4151" spans="2:2" x14ac:dyDescent="0.25">
      <c r="B4151" s="39"/>
    </row>
    <row r="4152" spans="2:2" x14ac:dyDescent="0.25">
      <c r="B4152" s="39"/>
    </row>
    <row r="4153" spans="2:2" x14ac:dyDescent="0.25">
      <c r="B4153" s="39"/>
    </row>
    <row r="4154" spans="2:2" x14ac:dyDescent="0.25">
      <c r="B4154" s="39"/>
    </row>
    <row r="4155" spans="2:2" x14ac:dyDescent="0.25">
      <c r="B4155" s="39"/>
    </row>
    <row r="4156" spans="2:2" x14ac:dyDescent="0.25">
      <c r="B4156" s="39"/>
    </row>
    <row r="4157" spans="2:2" x14ac:dyDescent="0.25">
      <c r="B4157" s="39"/>
    </row>
    <row r="4158" spans="2:2" x14ac:dyDescent="0.25">
      <c r="B4158" s="39"/>
    </row>
    <row r="4159" spans="2:2" x14ac:dyDescent="0.25">
      <c r="B4159" s="39"/>
    </row>
    <row r="4160" spans="2:2" x14ac:dyDescent="0.25">
      <c r="B4160" s="39"/>
    </row>
    <row r="4161" spans="2:2" x14ac:dyDescent="0.25">
      <c r="B4161" s="39"/>
    </row>
    <row r="4162" spans="2:2" x14ac:dyDescent="0.25">
      <c r="B4162" s="39"/>
    </row>
    <row r="4163" spans="2:2" x14ac:dyDescent="0.25">
      <c r="B4163" s="39"/>
    </row>
    <row r="4164" spans="2:2" x14ac:dyDescent="0.25">
      <c r="B4164" s="39"/>
    </row>
    <row r="4165" spans="2:2" x14ac:dyDescent="0.25">
      <c r="B4165" s="39"/>
    </row>
    <row r="4166" spans="2:2" x14ac:dyDescent="0.25">
      <c r="B4166" s="39"/>
    </row>
    <row r="4167" spans="2:2" x14ac:dyDescent="0.25">
      <c r="B4167" s="39"/>
    </row>
    <row r="4168" spans="2:2" x14ac:dyDescent="0.25">
      <c r="B4168" s="39"/>
    </row>
    <row r="4169" spans="2:2" x14ac:dyDescent="0.25">
      <c r="B4169" s="39"/>
    </row>
    <row r="4170" spans="2:2" x14ac:dyDescent="0.25">
      <c r="B4170" s="39"/>
    </row>
    <row r="4171" spans="2:2" x14ac:dyDescent="0.25">
      <c r="B4171" s="39"/>
    </row>
    <row r="4172" spans="2:2" x14ac:dyDescent="0.25">
      <c r="B4172" s="39"/>
    </row>
    <row r="4173" spans="2:2" x14ac:dyDescent="0.25">
      <c r="B4173" s="39"/>
    </row>
    <row r="4174" spans="2:2" x14ac:dyDescent="0.25">
      <c r="B4174" s="39"/>
    </row>
    <row r="4175" spans="2:2" x14ac:dyDescent="0.25">
      <c r="B4175" s="39"/>
    </row>
    <row r="4176" spans="2:2" x14ac:dyDescent="0.25">
      <c r="B4176" s="39"/>
    </row>
    <row r="4177" spans="2:2" x14ac:dyDescent="0.25">
      <c r="B4177" s="39"/>
    </row>
    <row r="4178" spans="2:2" x14ac:dyDescent="0.25">
      <c r="B4178" s="39"/>
    </row>
    <row r="4179" spans="2:2" x14ac:dyDescent="0.25">
      <c r="B4179" s="39"/>
    </row>
    <row r="4180" spans="2:2" x14ac:dyDescent="0.25">
      <c r="B4180" s="39"/>
    </row>
    <row r="4181" spans="2:2" x14ac:dyDescent="0.25">
      <c r="B4181" s="39"/>
    </row>
    <row r="4182" spans="2:2" x14ac:dyDescent="0.25">
      <c r="B4182" s="39"/>
    </row>
    <row r="4183" spans="2:2" x14ac:dyDescent="0.25">
      <c r="B4183" s="39"/>
    </row>
    <row r="4184" spans="2:2" x14ac:dyDescent="0.25">
      <c r="B4184" s="39"/>
    </row>
    <row r="4185" spans="2:2" x14ac:dyDescent="0.25">
      <c r="B4185" s="39"/>
    </row>
    <row r="4186" spans="2:2" x14ac:dyDescent="0.25">
      <c r="B4186" s="39"/>
    </row>
    <row r="4187" spans="2:2" x14ac:dyDescent="0.25">
      <c r="B4187" s="39"/>
    </row>
    <row r="4188" spans="2:2" x14ac:dyDescent="0.25">
      <c r="B4188" s="39"/>
    </row>
    <row r="4189" spans="2:2" x14ac:dyDescent="0.25">
      <c r="B4189" s="39"/>
    </row>
    <row r="4190" spans="2:2" x14ac:dyDescent="0.25">
      <c r="B4190" s="39"/>
    </row>
    <row r="4191" spans="2:2" x14ac:dyDescent="0.25">
      <c r="B4191" s="39"/>
    </row>
    <row r="4192" spans="2:2" x14ac:dyDescent="0.25">
      <c r="B4192" s="39"/>
    </row>
    <row r="4193" spans="2:2" x14ac:dyDescent="0.25">
      <c r="B4193" s="39"/>
    </row>
    <row r="4194" spans="2:2" x14ac:dyDescent="0.25">
      <c r="B4194" s="39"/>
    </row>
    <row r="4195" spans="2:2" x14ac:dyDescent="0.25">
      <c r="B4195" s="39"/>
    </row>
    <row r="4196" spans="2:2" x14ac:dyDescent="0.25">
      <c r="B4196" s="39"/>
    </row>
    <row r="4197" spans="2:2" x14ac:dyDescent="0.25">
      <c r="B4197" s="39"/>
    </row>
    <row r="4198" spans="2:2" x14ac:dyDescent="0.25">
      <c r="B4198" s="39"/>
    </row>
    <row r="4199" spans="2:2" x14ac:dyDescent="0.25">
      <c r="B4199" s="39"/>
    </row>
    <row r="4200" spans="2:2" x14ac:dyDescent="0.25">
      <c r="B4200" s="39"/>
    </row>
    <row r="4201" spans="2:2" x14ac:dyDescent="0.25">
      <c r="B4201" s="39"/>
    </row>
    <row r="4202" spans="2:2" x14ac:dyDescent="0.25">
      <c r="B4202" s="39"/>
    </row>
    <row r="4203" spans="2:2" x14ac:dyDescent="0.25">
      <c r="B4203" s="39"/>
    </row>
    <row r="4204" spans="2:2" x14ac:dyDescent="0.25">
      <c r="B4204" s="39"/>
    </row>
    <row r="4205" spans="2:2" x14ac:dyDescent="0.25">
      <c r="B4205" s="39"/>
    </row>
    <row r="4206" spans="2:2" x14ac:dyDescent="0.25">
      <c r="B4206" s="39"/>
    </row>
    <row r="4207" spans="2:2" x14ac:dyDescent="0.25">
      <c r="B4207" s="39"/>
    </row>
    <row r="4208" spans="2:2" x14ac:dyDescent="0.25">
      <c r="B4208" s="39"/>
    </row>
    <row r="4209" spans="2:2" x14ac:dyDescent="0.25">
      <c r="B4209" s="39"/>
    </row>
    <row r="4210" spans="2:2" x14ac:dyDescent="0.25">
      <c r="B4210" s="39"/>
    </row>
    <row r="4211" spans="2:2" x14ac:dyDescent="0.25">
      <c r="B4211" s="39"/>
    </row>
    <row r="4212" spans="2:2" x14ac:dyDescent="0.25">
      <c r="B4212" s="39"/>
    </row>
    <row r="4213" spans="2:2" x14ac:dyDescent="0.25">
      <c r="B4213" s="39"/>
    </row>
    <row r="4214" spans="2:2" x14ac:dyDescent="0.25">
      <c r="B4214" s="39"/>
    </row>
    <row r="4215" spans="2:2" x14ac:dyDescent="0.25">
      <c r="B4215" s="39"/>
    </row>
    <row r="4216" spans="2:2" x14ac:dyDescent="0.25">
      <c r="B4216" s="39"/>
    </row>
    <row r="4217" spans="2:2" x14ac:dyDescent="0.25">
      <c r="B4217" s="39"/>
    </row>
    <row r="4218" spans="2:2" x14ac:dyDescent="0.25">
      <c r="B4218" s="39"/>
    </row>
    <row r="4219" spans="2:2" x14ac:dyDescent="0.25">
      <c r="B4219" s="39"/>
    </row>
    <row r="4220" spans="2:2" x14ac:dyDescent="0.25">
      <c r="B4220" s="39"/>
    </row>
    <row r="4221" spans="2:2" x14ac:dyDescent="0.25">
      <c r="B4221" s="39"/>
    </row>
    <row r="4222" spans="2:2" x14ac:dyDescent="0.25">
      <c r="B4222" s="39"/>
    </row>
    <row r="4223" spans="2:2" x14ac:dyDescent="0.25">
      <c r="B4223" s="39"/>
    </row>
    <row r="4224" spans="2:2" x14ac:dyDescent="0.25">
      <c r="B4224" s="39"/>
    </row>
    <row r="4225" spans="2:2" x14ac:dyDescent="0.25">
      <c r="B4225" s="39"/>
    </row>
    <row r="4226" spans="2:2" x14ac:dyDescent="0.25">
      <c r="B4226" s="39"/>
    </row>
    <row r="4227" spans="2:2" x14ac:dyDescent="0.25">
      <c r="B4227" s="39"/>
    </row>
    <row r="4228" spans="2:2" x14ac:dyDescent="0.25">
      <c r="B4228" s="39"/>
    </row>
    <row r="4229" spans="2:2" x14ac:dyDescent="0.25">
      <c r="B4229" s="39"/>
    </row>
    <row r="4230" spans="2:2" x14ac:dyDescent="0.25">
      <c r="B4230" s="39"/>
    </row>
    <row r="4231" spans="2:2" x14ac:dyDescent="0.25">
      <c r="B4231" s="39"/>
    </row>
    <row r="4232" spans="2:2" x14ac:dyDescent="0.25">
      <c r="B4232" s="39"/>
    </row>
    <row r="4233" spans="2:2" x14ac:dyDescent="0.25">
      <c r="B4233" s="39"/>
    </row>
    <row r="4234" spans="2:2" x14ac:dyDescent="0.25">
      <c r="B4234" s="39"/>
    </row>
    <row r="4235" spans="2:2" x14ac:dyDescent="0.25">
      <c r="B4235" s="39"/>
    </row>
    <row r="4236" spans="2:2" x14ac:dyDescent="0.25">
      <c r="B4236" s="39"/>
    </row>
    <row r="4237" spans="2:2" x14ac:dyDescent="0.25">
      <c r="B4237" s="39"/>
    </row>
    <row r="4238" spans="2:2" x14ac:dyDescent="0.25">
      <c r="B4238" s="39"/>
    </row>
    <row r="4239" spans="2:2" x14ac:dyDescent="0.25">
      <c r="B4239" s="39"/>
    </row>
    <row r="4240" spans="2:2" x14ac:dyDescent="0.25">
      <c r="B4240" s="39"/>
    </row>
    <row r="4241" spans="2:2" x14ac:dyDescent="0.25">
      <c r="B4241" s="39"/>
    </row>
    <row r="4242" spans="2:2" x14ac:dyDescent="0.25">
      <c r="B4242" s="39"/>
    </row>
    <row r="4243" spans="2:2" x14ac:dyDescent="0.25">
      <c r="B4243" s="39"/>
    </row>
    <row r="4244" spans="2:2" x14ac:dyDescent="0.25">
      <c r="B4244" s="39"/>
    </row>
    <row r="4245" spans="2:2" x14ac:dyDescent="0.25">
      <c r="B4245" s="39"/>
    </row>
    <row r="4246" spans="2:2" x14ac:dyDescent="0.25">
      <c r="B4246" s="39"/>
    </row>
    <row r="4247" spans="2:2" x14ac:dyDescent="0.25">
      <c r="B4247" s="39"/>
    </row>
    <row r="4248" spans="2:2" x14ac:dyDescent="0.25">
      <c r="B4248" s="39"/>
    </row>
    <row r="4249" spans="2:2" x14ac:dyDescent="0.25">
      <c r="B4249" s="39"/>
    </row>
    <row r="4250" spans="2:2" x14ac:dyDescent="0.25">
      <c r="B4250" s="39"/>
    </row>
    <row r="4251" spans="2:2" x14ac:dyDescent="0.25">
      <c r="B4251" s="39"/>
    </row>
    <row r="4252" spans="2:2" x14ac:dyDescent="0.25">
      <c r="B4252" s="39"/>
    </row>
    <row r="4253" spans="2:2" x14ac:dyDescent="0.25">
      <c r="B4253" s="39"/>
    </row>
    <row r="4254" spans="2:2" x14ac:dyDescent="0.25">
      <c r="B4254" s="39"/>
    </row>
    <row r="4255" spans="2:2" x14ac:dyDescent="0.25">
      <c r="B4255" s="39"/>
    </row>
    <row r="4256" spans="2:2" x14ac:dyDescent="0.25">
      <c r="B4256" s="39"/>
    </row>
    <row r="4257" spans="2:2" x14ac:dyDescent="0.25">
      <c r="B4257" s="39"/>
    </row>
    <row r="4258" spans="2:2" x14ac:dyDescent="0.25">
      <c r="B4258" s="39"/>
    </row>
    <row r="4259" spans="2:2" x14ac:dyDescent="0.25">
      <c r="B4259" s="39"/>
    </row>
    <row r="4260" spans="2:2" x14ac:dyDescent="0.25">
      <c r="B4260" s="39"/>
    </row>
    <row r="4261" spans="2:2" x14ac:dyDescent="0.25">
      <c r="B4261" s="39"/>
    </row>
    <row r="4262" spans="2:2" x14ac:dyDescent="0.25">
      <c r="B4262" s="39"/>
    </row>
    <row r="4263" spans="2:2" x14ac:dyDescent="0.25">
      <c r="B4263" s="39"/>
    </row>
    <row r="4264" spans="2:2" x14ac:dyDescent="0.25">
      <c r="B4264" s="39"/>
    </row>
    <row r="4265" spans="2:2" x14ac:dyDescent="0.25">
      <c r="B4265" s="39"/>
    </row>
    <row r="4266" spans="2:2" x14ac:dyDescent="0.25">
      <c r="B4266" s="39"/>
    </row>
    <row r="4267" spans="2:2" x14ac:dyDescent="0.25">
      <c r="B4267" s="39"/>
    </row>
    <row r="4268" spans="2:2" x14ac:dyDescent="0.25">
      <c r="B4268" s="39"/>
    </row>
    <row r="4269" spans="2:2" x14ac:dyDescent="0.25">
      <c r="B4269" s="39"/>
    </row>
    <row r="4270" spans="2:2" x14ac:dyDescent="0.25">
      <c r="B4270" s="39"/>
    </row>
    <row r="4271" spans="2:2" x14ac:dyDescent="0.25">
      <c r="B4271" s="39"/>
    </row>
    <row r="4272" spans="2:2" x14ac:dyDescent="0.25">
      <c r="B4272" s="39"/>
    </row>
    <row r="4273" spans="2:2" x14ac:dyDescent="0.25">
      <c r="B4273" s="39"/>
    </row>
    <row r="4274" spans="2:2" x14ac:dyDescent="0.25">
      <c r="B4274" s="39"/>
    </row>
    <row r="4275" spans="2:2" x14ac:dyDescent="0.25">
      <c r="B4275" s="39"/>
    </row>
    <row r="4276" spans="2:2" x14ac:dyDescent="0.25">
      <c r="B4276" s="39"/>
    </row>
    <row r="4277" spans="2:2" x14ac:dyDescent="0.25">
      <c r="B4277" s="39"/>
    </row>
    <row r="4278" spans="2:2" x14ac:dyDescent="0.25">
      <c r="B4278" s="39"/>
    </row>
    <row r="4279" spans="2:2" x14ac:dyDescent="0.25">
      <c r="B4279" s="39"/>
    </row>
    <row r="4280" spans="2:2" x14ac:dyDescent="0.25">
      <c r="B4280" s="39"/>
    </row>
    <row r="4281" spans="2:2" x14ac:dyDescent="0.25">
      <c r="B4281" s="39"/>
    </row>
    <row r="4282" spans="2:2" x14ac:dyDescent="0.25">
      <c r="B4282" s="39"/>
    </row>
    <row r="4283" spans="2:2" x14ac:dyDescent="0.25">
      <c r="B4283" s="39"/>
    </row>
    <row r="4284" spans="2:2" x14ac:dyDescent="0.25">
      <c r="B4284" s="39"/>
    </row>
    <row r="4285" spans="2:2" x14ac:dyDescent="0.25">
      <c r="B4285" s="39"/>
    </row>
    <row r="4286" spans="2:2" x14ac:dyDescent="0.25">
      <c r="B4286" s="39"/>
    </row>
    <row r="4287" spans="2:2" x14ac:dyDescent="0.25">
      <c r="B4287" s="39"/>
    </row>
    <row r="4288" spans="2:2" x14ac:dyDescent="0.25">
      <c r="B4288" s="39"/>
    </row>
    <row r="4289" spans="2:2" x14ac:dyDescent="0.25">
      <c r="B4289" s="39"/>
    </row>
    <row r="4290" spans="2:2" x14ac:dyDescent="0.25">
      <c r="B4290" s="39"/>
    </row>
    <row r="4291" spans="2:2" x14ac:dyDescent="0.25">
      <c r="B4291" s="39"/>
    </row>
    <row r="4292" spans="2:2" x14ac:dyDescent="0.25">
      <c r="B4292" s="39"/>
    </row>
    <row r="4293" spans="2:2" x14ac:dyDescent="0.25">
      <c r="B4293" s="39"/>
    </row>
    <row r="4294" spans="2:2" x14ac:dyDescent="0.25">
      <c r="B4294" s="39"/>
    </row>
    <row r="4295" spans="2:2" x14ac:dyDescent="0.25">
      <c r="B4295" s="39"/>
    </row>
    <row r="4296" spans="2:2" x14ac:dyDescent="0.25">
      <c r="B4296" s="39"/>
    </row>
    <row r="4297" spans="2:2" x14ac:dyDescent="0.25">
      <c r="B4297" s="39"/>
    </row>
    <row r="4298" spans="2:2" x14ac:dyDescent="0.25">
      <c r="B4298" s="39"/>
    </row>
    <row r="4299" spans="2:2" x14ac:dyDescent="0.25">
      <c r="B4299" s="39"/>
    </row>
    <row r="4300" spans="2:2" x14ac:dyDescent="0.25">
      <c r="B4300" s="39"/>
    </row>
    <row r="4301" spans="2:2" x14ac:dyDescent="0.25">
      <c r="B4301" s="39"/>
    </row>
    <row r="4302" spans="2:2" x14ac:dyDescent="0.25">
      <c r="B4302" s="39"/>
    </row>
    <row r="4303" spans="2:2" x14ac:dyDescent="0.25">
      <c r="B4303" s="39"/>
    </row>
    <row r="4304" spans="2:2" x14ac:dyDescent="0.25">
      <c r="B4304" s="39"/>
    </row>
    <row r="4305" spans="2:2" x14ac:dyDescent="0.25">
      <c r="B4305" s="39"/>
    </row>
    <row r="4306" spans="2:2" x14ac:dyDescent="0.25">
      <c r="B4306" s="39"/>
    </row>
    <row r="4307" spans="2:2" x14ac:dyDescent="0.25">
      <c r="B4307" s="39"/>
    </row>
    <row r="4308" spans="2:2" x14ac:dyDescent="0.25">
      <c r="B4308" s="39"/>
    </row>
    <row r="4309" spans="2:2" x14ac:dyDescent="0.25">
      <c r="B4309" s="39"/>
    </row>
    <row r="4310" spans="2:2" x14ac:dyDescent="0.25">
      <c r="B4310" s="39"/>
    </row>
    <row r="4311" spans="2:2" x14ac:dyDescent="0.25">
      <c r="B4311" s="39"/>
    </row>
    <row r="4312" spans="2:2" x14ac:dyDescent="0.25">
      <c r="B4312" s="39"/>
    </row>
    <row r="4313" spans="2:2" x14ac:dyDescent="0.25">
      <c r="B4313" s="39"/>
    </row>
    <row r="4314" spans="2:2" x14ac:dyDescent="0.25">
      <c r="B4314" s="39"/>
    </row>
    <row r="4315" spans="2:2" x14ac:dyDescent="0.25">
      <c r="B4315" s="39"/>
    </row>
    <row r="4316" spans="2:2" x14ac:dyDescent="0.25">
      <c r="B4316" s="39"/>
    </row>
    <row r="4317" spans="2:2" x14ac:dyDescent="0.25">
      <c r="B4317" s="39"/>
    </row>
    <row r="4318" spans="2:2" x14ac:dyDescent="0.25">
      <c r="B4318" s="39"/>
    </row>
    <row r="4319" spans="2:2" x14ac:dyDescent="0.25">
      <c r="B4319" s="39"/>
    </row>
    <row r="4320" spans="2:2" x14ac:dyDescent="0.25">
      <c r="B4320" s="39"/>
    </row>
    <row r="4321" spans="2:2" x14ac:dyDescent="0.25">
      <c r="B4321" s="39"/>
    </row>
    <row r="4322" spans="2:2" x14ac:dyDescent="0.25">
      <c r="B4322" s="39"/>
    </row>
    <row r="4323" spans="2:2" x14ac:dyDescent="0.25">
      <c r="B4323" s="39"/>
    </row>
    <row r="4324" spans="2:2" x14ac:dyDescent="0.25">
      <c r="B4324" s="39"/>
    </row>
    <row r="4325" spans="2:2" x14ac:dyDescent="0.25">
      <c r="B4325" s="39"/>
    </row>
    <row r="4326" spans="2:2" x14ac:dyDescent="0.25">
      <c r="B4326" s="39"/>
    </row>
    <row r="4327" spans="2:2" x14ac:dyDescent="0.25">
      <c r="B4327" s="39"/>
    </row>
    <row r="4328" spans="2:2" x14ac:dyDescent="0.25">
      <c r="B4328" s="39"/>
    </row>
    <row r="4329" spans="2:2" x14ac:dyDescent="0.25">
      <c r="B4329" s="39"/>
    </row>
    <row r="4330" spans="2:2" x14ac:dyDescent="0.25">
      <c r="B4330" s="39"/>
    </row>
    <row r="4331" spans="2:2" x14ac:dyDescent="0.25">
      <c r="B4331" s="39"/>
    </row>
    <row r="4332" spans="2:2" x14ac:dyDescent="0.25">
      <c r="B4332" s="39"/>
    </row>
    <row r="4333" spans="2:2" x14ac:dyDescent="0.25">
      <c r="B4333" s="39"/>
    </row>
    <row r="4334" spans="2:2" x14ac:dyDescent="0.25">
      <c r="B4334" s="39"/>
    </row>
    <row r="4335" spans="2:2" x14ac:dyDescent="0.25">
      <c r="B4335" s="39"/>
    </row>
    <row r="4336" spans="2:2" x14ac:dyDescent="0.25">
      <c r="B4336" s="39"/>
    </row>
    <row r="4337" spans="2:2" x14ac:dyDescent="0.25">
      <c r="B4337" s="39"/>
    </row>
    <row r="4338" spans="2:2" x14ac:dyDescent="0.25">
      <c r="B4338" s="39"/>
    </row>
    <row r="4339" spans="2:2" x14ac:dyDescent="0.25">
      <c r="B4339" s="39"/>
    </row>
    <row r="4340" spans="2:2" x14ac:dyDescent="0.25">
      <c r="B4340" s="39"/>
    </row>
    <row r="4341" spans="2:2" x14ac:dyDescent="0.25">
      <c r="B4341" s="39"/>
    </row>
    <row r="4342" spans="2:2" x14ac:dyDescent="0.25">
      <c r="B4342" s="39"/>
    </row>
    <row r="4343" spans="2:2" x14ac:dyDescent="0.25">
      <c r="B4343" s="39"/>
    </row>
    <row r="4344" spans="2:2" x14ac:dyDescent="0.25">
      <c r="B4344" s="39"/>
    </row>
    <row r="4345" spans="2:2" x14ac:dyDescent="0.25">
      <c r="B4345" s="39"/>
    </row>
    <row r="4346" spans="2:2" x14ac:dyDescent="0.25">
      <c r="B4346" s="39"/>
    </row>
    <row r="4347" spans="2:2" x14ac:dyDescent="0.25">
      <c r="B4347" s="39"/>
    </row>
    <row r="4348" spans="2:2" x14ac:dyDescent="0.25">
      <c r="B4348" s="39"/>
    </row>
    <row r="4349" spans="2:2" x14ac:dyDescent="0.25">
      <c r="B4349" s="39"/>
    </row>
    <row r="4350" spans="2:2" x14ac:dyDescent="0.25">
      <c r="B4350" s="39"/>
    </row>
    <row r="4351" spans="2:2" x14ac:dyDescent="0.25">
      <c r="B4351" s="39"/>
    </row>
    <row r="4352" spans="2:2" x14ac:dyDescent="0.25">
      <c r="B4352" s="39"/>
    </row>
    <row r="4353" spans="2:2" x14ac:dyDescent="0.25">
      <c r="B4353" s="39"/>
    </row>
    <row r="4354" spans="2:2" x14ac:dyDescent="0.25">
      <c r="B4354" s="39"/>
    </row>
    <row r="4355" spans="2:2" x14ac:dyDescent="0.25">
      <c r="B4355" s="39"/>
    </row>
    <row r="4356" spans="2:2" x14ac:dyDescent="0.25">
      <c r="B4356" s="39"/>
    </row>
    <row r="4357" spans="2:2" x14ac:dyDescent="0.25">
      <c r="B4357" s="39"/>
    </row>
    <row r="4358" spans="2:2" x14ac:dyDescent="0.25">
      <c r="B4358" s="39"/>
    </row>
    <row r="4359" spans="2:2" x14ac:dyDescent="0.25">
      <c r="B4359" s="39"/>
    </row>
    <row r="4360" spans="2:2" x14ac:dyDescent="0.25">
      <c r="B4360" s="39"/>
    </row>
    <row r="4361" spans="2:2" x14ac:dyDescent="0.25">
      <c r="B4361" s="39"/>
    </row>
    <row r="4362" spans="2:2" x14ac:dyDescent="0.25">
      <c r="B4362" s="39"/>
    </row>
    <row r="4363" spans="2:2" x14ac:dyDescent="0.25">
      <c r="B4363" s="39"/>
    </row>
    <row r="4364" spans="2:2" x14ac:dyDescent="0.25">
      <c r="B4364" s="39"/>
    </row>
    <row r="4365" spans="2:2" x14ac:dyDescent="0.25">
      <c r="B4365" s="39"/>
    </row>
    <row r="4366" spans="2:2" x14ac:dyDescent="0.25">
      <c r="B4366" s="39"/>
    </row>
    <row r="4367" spans="2:2" x14ac:dyDescent="0.25">
      <c r="B4367" s="39"/>
    </row>
    <row r="4368" spans="2:2" x14ac:dyDescent="0.25">
      <c r="B4368" s="39"/>
    </row>
    <row r="4369" spans="2:2" x14ac:dyDescent="0.25">
      <c r="B4369" s="39"/>
    </row>
    <row r="4370" spans="2:2" x14ac:dyDescent="0.25">
      <c r="B4370" s="39"/>
    </row>
    <row r="4371" spans="2:2" x14ac:dyDescent="0.25">
      <c r="B4371" s="39"/>
    </row>
    <row r="4372" spans="2:2" x14ac:dyDescent="0.25">
      <c r="B4372" s="39"/>
    </row>
    <row r="4373" spans="2:2" x14ac:dyDescent="0.25">
      <c r="B4373" s="39"/>
    </row>
    <row r="4374" spans="2:2" x14ac:dyDescent="0.25">
      <c r="B4374" s="39"/>
    </row>
    <row r="4375" spans="2:2" x14ac:dyDescent="0.25">
      <c r="B4375" s="39"/>
    </row>
    <row r="4376" spans="2:2" x14ac:dyDescent="0.25">
      <c r="B4376" s="39"/>
    </row>
    <row r="4377" spans="2:2" x14ac:dyDescent="0.25">
      <c r="B4377" s="39"/>
    </row>
    <row r="4378" spans="2:2" x14ac:dyDescent="0.25">
      <c r="B4378" s="39"/>
    </row>
    <row r="4379" spans="2:2" x14ac:dyDescent="0.25">
      <c r="B4379" s="39"/>
    </row>
    <row r="4380" spans="2:2" x14ac:dyDescent="0.25">
      <c r="B4380" s="39"/>
    </row>
    <row r="4381" spans="2:2" x14ac:dyDescent="0.25">
      <c r="B4381" s="39"/>
    </row>
    <row r="4382" spans="2:2" x14ac:dyDescent="0.25">
      <c r="B4382" s="39"/>
    </row>
    <row r="4383" spans="2:2" x14ac:dyDescent="0.25">
      <c r="B4383" s="39"/>
    </row>
    <row r="4384" spans="2:2" x14ac:dyDescent="0.25">
      <c r="B4384" s="39"/>
    </row>
    <row r="4385" spans="2:2" x14ac:dyDescent="0.25">
      <c r="B4385" s="39"/>
    </row>
    <row r="4386" spans="2:2" x14ac:dyDescent="0.25">
      <c r="B4386" s="39"/>
    </row>
    <row r="4387" spans="2:2" x14ac:dyDescent="0.25">
      <c r="B4387" s="39"/>
    </row>
    <row r="4388" spans="2:2" x14ac:dyDescent="0.25">
      <c r="B4388" s="39"/>
    </row>
    <row r="4389" spans="2:2" x14ac:dyDescent="0.25">
      <c r="B4389" s="39"/>
    </row>
    <row r="4390" spans="2:2" x14ac:dyDescent="0.25">
      <c r="B4390" s="39"/>
    </row>
    <row r="4391" spans="2:2" x14ac:dyDescent="0.25">
      <c r="B4391" s="39"/>
    </row>
    <row r="4392" spans="2:2" x14ac:dyDescent="0.25">
      <c r="B4392" s="39"/>
    </row>
    <row r="4393" spans="2:2" x14ac:dyDescent="0.25">
      <c r="B4393" s="39"/>
    </row>
    <row r="4394" spans="2:2" x14ac:dyDescent="0.25">
      <c r="B4394" s="39"/>
    </row>
    <row r="4395" spans="2:2" x14ac:dyDescent="0.25">
      <c r="B4395" s="39"/>
    </row>
    <row r="4396" spans="2:2" x14ac:dyDescent="0.25">
      <c r="B4396" s="39"/>
    </row>
    <row r="4397" spans="2:2" x14ac:dyDescent="0.25">
      <c r="B4397" s="39"/>
    </row>
    <row r="4398" spans="2:2" x14ac:dyDescent="0.25">
      <c r="B4398" s="39"/>
    </row>
    <row r="4399" spans="2:2" x14ac:dyDescent="0.25">
      <c r="B4399" s="39"/>
    </row>
    <row r="4400" spans="2:2" x14ac:dyDescent="0.25">
      <c r="B4400" s="39"/>
    </row>
    <row r="4401" spans="2:2" x14ac:dyDescent="0.25">
      <c r="B4401" s="39"/>
    </row>
    <row r="4402" spans="2:2" x14ac:dyDescent="0.25">
      <c r="B4402" s="39"/>
    </row>
    <row r="4403" spans="2:2" x14ac:dyDescent="0.25">
      <c r="B4403" s="39"/>
    </row>
    <row r="4404" spans="2:2" x14ac:dyDescent="0.25">
      <c r="B4404" s="39"/>
    </row>
    <row r="4405" spans="2:2" x14ac:dyDescent="0.25">
      <c r="B4405" s="39"/>
    </row>
    <row r="4406" spans="2:2" x14ac:dyDescent="0.25">
      <c r="B4406" s="39"/>
    </row>
    <row r="4407" spans="2:2" x14ac:dyDescent="0.25">
      <c r="B4407" s="39"/>
    </row>
    <row r="4408" spans="2:2" x14ac:dyDescent="0.25">
      <c r="B4408" s="39"/>
    </row>
    <row r="4409" spans="2:2" x14ac:dyDescent="0.25">
      <c r="B4409" s="39"/>
    </row>
    <row r="4410" spans="2:2" x14ac:dyDescent="0.25">
      <c r="B4410" s="39"/>
    </row>
    <row r="4411" spans="2:2" x14ac:dyDescent="0.25">
      <c r="B4411" s="39"/>
    </row>
    <row r="4412" spans="2:2" x14ac:dyDescent="0.25">
      <c r="B4412" s="39"/>
    </row>
    <row r="4413" spans="2:2" x14ac:dyDescent="0.25">
      <c r="B4413" s="39"/>
    </row>
    <row r="4414" spans="2:2" x14ac:dyDescent="0.25">
      <c r="B4414" s="39"/>
    </row>
    <row r="4415" spans="2:2" x14ac:dyDescent="0.25">
      <c r="B4415" s="39"/>
    </row>
    <row r="4416" spans="2:2" x14ac:dyDescent="0.25">
      <c r="B4416" s="39"/>
    </row>
    <row r="4417" spans="2:2" x14ac:dyDescent="0.25">
      <c r="B4417" s="39"/>
    </row>
    <row r="4418" spans="2:2" x14ac:dyDescent="0.25">
      <c r="B4418" s="39"/>
    </row>
    <row r="4419" spans="2:2" x14ac:dyDescent="0.25">
      <c r="B4419" s="39"/>
    </row>
    <row r="4420" spans="2:2" x14ac:dyDescent="0.25">
      <c r="B4420" s="39"/>
    </row>
    <row r="4421" spans="2:2" x14ac:dyDescent="0.25">
      <c r="B4421" s="39"/>
    </row>
    <row r="4422" spans="2:2" x14ac:dyDescent="0.25">
      <c r="B4422" s="39"/>
    </row>
    <row r="4423" spans="2:2" x14ac:dyDescent="0.25">
      <c r="B4423" s="39"/>
    </row>
    <row r="4424" spans="2:2" x14ac:dyDescent="0.25">
      <c r="B4424" s="39"/>
    </row>
    <row r="4425" spans="2:2" x14ac:dyDescent="0.25">
      <c r="B4425" s="39"/>
    </row>
    <row r="4426" spans="2:2" x14ac:dyDescent="0.25">
      <c r="B4426" s="39"/>
    </row>
    <row r="4427" spans="2:2" x14ac:dyDescent="0.25">
      <c r="B4427" s="39"/>
    </row>
    <row r="4428" spans="2:2" x14ac:dyDescent="0.25">
      <c r="B4428" s="39"/>
    </row>
    <row r="4429" spans="2:2" x14ac:dyDescent="0.25">
      <c r="B4429" s="39"/>
    </row>
    <row r="4430" spans="2:2" x14ac:dyDescent="0.25">
      <c r="B4430" s="39"/>
    </row>
    <row r="4431" spans="2:2" x14ac:dyDescent="0.25">
      <c r="B4431" s="39"/>
    </row>
    <row r="4432" spans="2:2" x14ac:dyDescent="0.25">
      <c r="B4432" s="39"/>
    </row>
    <row r="4433" spans="2:2" x14ac:dyDescent="0.25">
      <c r="B4433" s="39"/>
    </row>
    <row r="4434" spans="2:2" x14ac:dyDescent="0.25">
      <c r="B4434" s="39"/>
    </row>
    <row r="4435" spans="2:2" x14ac:dyDescent="0.25">
      <c r="B4435" s="39"/>
    </row>
    <row r="4436" spans="2:2" x14ac:dyDescent="0.25">
      <c r="B4436" s="39"/>
    </row>
    <row r="4437" spans="2:2" x14ac:dyDescent="0.25">
      <c r="B4437" s="39"/>
    </row>
    <row r="4438" spans="2:2" x14ac:dyDescent="0.25">
      <c r="B4438" s="39"/>
    </row>
    <row r="4439" spans="2:2" x14ac:dyDescent="0.25">
      <c r="B4439" s="39"/>
    </row>
    <row r="4440" spans="2:2" x14ac:dyDescent="0.25">
      <c r="B4440" s="39"/>
    </row>
    <row r="4441" spans="2:2" x14ac:dyDescent="0.25">
      <c r="B4441" s="39"/>
    </row>
    <row r="4442" spans="2:2" x14ac:dyDescent="0.25">
      <c r="B4442" s="39"/>
    </row>
    <row r="4443" spans="2:2" x14ac:dyDescent="0.25">
      <c r="B4443" s="39"/>
    </row>
    <row r="4444" spans="2:2" x14ac:dyDescent="0.25">
      <c r="B4444" s="39"/>
    </row>
    <row r="4445" spans="2:2" x14ac:dyDescent="0.25">
      <c r="B4445" s="39"/>
    </row>
    <row r="4446" spans="2:2" x14ac:dyDescent="0.25">
      <c r="B4446" s="39"/>
    </row>
    <row r="4447" spans="2:2" x14ac:dyDescent="0.25">
      <c r="B4447" s="39"/>
    </row>
    <row r="4448" spans="2:2" x14ac:dyDescent="0.25">
      <c r="B4448" s="39"/>
    </row>
    <row r="4449" spans="2:2" x14ac:dyDescent="0.25">
      <c r="B4449" s="39"/>
    </row>
    <row r="4450" spans="2:2" x14ac:dyDescent="0.25">
      <c r="B4450" s="39"/>
    </row>
    <row r="4451" spans="2:2" x14ac:dyDescent="0.25">
      <c r="B4451" s="39"/>
    </row>
    <row r="4452" spans="2:2" x14ac:dyDescent="0.25">
      <c r="B4452" s="39"/>
    </row>
    <row r="4453" spans="2:2" x14ac:dyDescent="0.25">
      <c r="B4453" s="39"/>
    </row>
    <row r="4454" spans="2:2" x14ac:dyDescent="0.25">
      <c r="B4454" s="39"/>
    </row>
    <row r="4455" spans="2:2" x14ac:dyDescent="0.25">
      <c r="B4455" s="39"/>
    </row>
    <row r="4456" spans="2:2" x14ac:dyDescent="0.25">
      <c r="B4456" s="39"/>
    </row>
    <row r="4457" spans="2:2" x14ac:dyDescent="0.25">
      <c r="B4457" s="39"/>
    </row>
    <row r="4458" spans="2:2" x14ac:dyDescent="0.25">
      <c r="B4458" s="39"/>
    </row>
    <row r="4459" spans="2:2" x14ac:dyDescent="0.25">
      <c r="B4459" s="39"/>
    </row>
    <row r="4460" spans="2:2" x14ac:dyDescent="0.25">
      <c r="B4460" s="39"/>
    </row>
    <row r="4461" spans="2:2" x14ac:dyDescent="0.25">
      <c r="B4461" s="39"/>
    </row>
    <row r="4462" spans="2:2" x14ac:dyDescent="0.25">
      <c r="B4462" s="39"/>
    </row>
    <row r="4463" spans="2:2" x14ac:dyDescent="0.25">
      <c r="B4463" s="39"/>
    </row>
    <row r="4464" spans="2:2" x14ac:dyDescent="0.25">
      <c r="B4464" s="39"/>
    </row>
    <row r="4465" spans="2:2" x14ac:dyDescent="0.25">
      <c r="B4465" s="39"/>
    </row>
    <row r="4466" spans="2:2" x14ac:dyDescent="0.25">
      <c r="B4466" s="39"/>
    </row>
    <row r="4467" spans="2:2" x14ac:dyDescent="0.25">
      <c r="B4467" s="39"/>
    </row>
    <row r="4468" spans="2:2" x14ac:dyDescent="0.25">
      <c r="B4468" s="39"/>
    </row>
    <row r="4469" spans="2:2" x14ac:dyDescent="0.25">
      <c r="B4469" s="39"/>
    </row>
    <row r="4470" spans="2:2" x14ac:dyDescent="0.25">
      <c r="B4470" s="39"/>
    </row>
    <row r="4471" spans="2:2" x14ac:dyDescent="0.25">
      <c r="B4471" s="39"/>
    </row>
    <row r="4472" spans="2:2" x14ac:dyDescent="0.25">
      <c r="B4472" s="39"/>
    </row>
    <row r="4473" spans="2:2" x14ac:dyDescent="0.25">
      <c r="B4473" s="39"/>
    </row>
    <row r="4474" spans="2:2" x14ac:dyDescent="0.25">
      <c r="B4474" s="39"/>
    </row>
    <row r="4475" spans="2:2" x14ac:dyDescent="0.25">
      <c r="B4475" s="39"/>
    </row>
    <row r="4476" spans="2:2" x14ac:dyDescent="0.25">
      <c r="B4476" s="39"/>
    </row>
    <row r="4477" spans="2:2" x14ac:dyDescent="0.25">
      <c r="B4477" s="39"/>
    </row>
    <row r="4478" spans="2:2" x14ac:dyDescent="0.25">
      <c r="B4478" s="39"/>
    </row>
    <row r="4479" spans="2:2" x14ac:dyDescent="0.25">
      <c r="B4479" s="39"/>
    </row>
    <row r="4480" spans="2:2" x14ac:dyDescent="0.25">
      <c r="B4480" s="39"/>
    </row>
    <row r="4481" spans="2:2" x14ac:dyDescent="0.25">
      <c r="B4481" s="39"/>
    </row>
    <row r="4482" spans="2:2" x14ac:dyDescent="0.25">
      <c r="B4482" s="39"/>
    </row>
    <row r="4483" spans="2:2" x14ac:dyDescent="0.25">
      <c r="B4483" s="39"/>
    </row>
    <row r="4484" spans="2:2" x14ac:dyDescent="0.25">
      <c r="B4484" s="39"/>
    </row>
    <row r="4485" spans="2:2" x14ac:dyDescent="0.25">
      <c r="B4485" s="39"/>
    </row>
    <row r="4486" spans="2:2" x14ac:dyDescent="0.25">
      <c r="B4486" s="39"/>
    </row>
    <row r="4487" spans="2:2" x14ac:dyDescent="0.25">
      <c r="B4487" s="39"/>
    </row>
    <row r="4488" spans="2:2" x14ac:dyDescent="0.25">
      <c r="B4488" s="39"/>
    </row>
    <row r="4489" spans="2:2" x14ac:dyDescent="0.25">
      <c r="B4489" s="39"/>
    </row>
    <row r="4490" spans="2:2" x14ac:dyDescent="0.25">
      <c r="B4490" s="39"/>
    </row>
    <row r="4491" spans="2:2" x14ac:dyDescent="0.25">
      <c r="B4491" s="39"/>
    </row>
    <row r="4492" spans="2:2" x14ac:dyDescent="0.25">
      <c r="B4492" s="39"/>
    </row>
    <row r="4493" spans="2:2" x14ac:dyDescent="0.25">
      <c r="B4493" s="39"/>
    </row>
    <row r="4494" spans="2:2" x14ac:dyDescent="0.25">
      <c r="B4494" s="39"/>
    </row>
    <row r="4495" spans="2:2" x14ac:dyDescent="0.25">
      <c r="B4495" s="39"/>
    </row>
    <row r="4496" spans="2:2" x14ac:dyDescent="0.25">
      <c r="B4496" s="39"/>
    </row>
    <row r="4497" spans="2:2" x14ac:dyDescent="0.25">
      <c r="B4497" s="39"/>
    </row>
    <row r="4498" spans="2:2" x14ac:dyDescent="0.25">
      <c r="B4498" s="39"/>
    </row>
    <row r="4499" spans="2:2" x14ac:dyDescent="0.25">
      <c r="B4499" s="39"/>
    </row>
    <row r="4500" spans="2:2" x14ac:dyDescent="0.25">
      <c r="B4500" s="39"/>
    </row>
    <row r="4501" spans="2:2" x14ac:dyDescent="0.25">
      <c r="B4501" s="39"/>
    </row>
    <row r="4502" spans="2:2" x14ac:dyDescent="0.25">
      <c r="B4502" s="39"/>
    </row>
    <row r="4503" spans="2:2" x14ac:dyDescent="0.25">
      <c r="B4503" s="39"/>
    </row>
    <row r="4504" spans="2:2" x14ac:dyDescent="0.25">
      <c r="B4504" s="39"/>
    </row>
    <row r="4505" spans="2:2" x14ac:dyDescent="0.25">
      <c r="B4505" s="39"/>
    </row>
    <row r="4506" spans="2:2" x14ac:dyDescent="0.25">
      <c r="B4506" s="39"/>
    </row>
    <row r="4507" spans="2:2" x14ac:dyDescent="0.25">
      <c r="B4507" s="39"/>
    </row>
    <row r="4508" spans="2:2" x14ac:dyDescent="0.25">
      <c r="B4508" s="39"/>
    </row>
    <row r="4509" spans="2:2" x14ac:dyDescent="0.25">
      <c r="B4509" s="39"/>
    </row>
    <row r="4510" spans="2:2" x14ac:dyDescent="0.25">
      <c r="B4510" s="39"/>
    </row>
    <row r="4511" spans="2:2" x14ac:dyDescent="0.25">
      <c r="B4511" s="39"/>
    </row>
    <row r="4512" spans="2:2" x14ac:dyDescent="0.25">
      <c r="B4512" s="39"/>
    </row>
    <row r="4513" spans="2:2" x14ac:dyDescent="0.25">
      <c r="B4513" s="39"/>
    </row>
    <row r="4514" spans="2:2" x14ac:dyDescent="0.25">
      <c r="B4514" s="39"/>
    </row>
    <row r="4515" spans="2:2" x14ac:dyDescent="0.25">
      <c r="B4515" s="39"/>
    </row>
    <row r="4516" spans="2:2" x14ac:dyDescent="0.25">
      <c r="B4516" s="39"/>
    </row>
    <row r="4517" spans="2:2" x14ac:dyDescent="0.25">
      <c r="B4517" s="39"/>
    </row>
    <row r="4518" spans="2:2" x14ac:dyDescent="0.25">
      <c r="B4518" s="39"/>
    </row>
    <row r="4519" spans="2:2" x14ac:dyDescent="0.25">
      <c r="B4519" s="39"/>
    </row>
    <row r="4520" spans="2:2" x14ac:dyDescent="0.25">
      <c r="B4520" s="39"/>
    </row>
    <row r="4521" spans="2:2" x14ac:dyDescent="0.25">
      <c r="B4521" s="39"/>
    </row>
    <row r="4522" spans="2:2" x14ac:dyDescent="0.25">
      <c r="B4522" s="39"/>
    </row>
    <row r="4523" spans="2:2" x14ac:dyDescent="0.25">
      <c r="B4523" s="39"/>
    </row>
    <row r="4524" spans="2:2" x14ac:dyDescent="0.25">
      <c r="B4524" s="39"/>
    </row>
    <row r="4525" spans="2:2" x14ac:dyDescent="0.25">
      <c r="B4525" s="39"/>
    </row>
    <row r="4526" spans="2:2" x14ac:dyDescent="0.25">
      <c r="B4526" s="39"/>
    </row>
    <row r="4527" spans="2:2" x14ac:dyDescent="0.25">
      <c r="B4527" s="39"/>
    </row>
    <row r="4528" spans="2:2" x14ac:dyDescent="0.25">
      <c r="B4528" s="39"/>
    </row>
    <row r="4529" spans="2:2" x14ac:dyDescent="0.25">
      <c r="B4529" s="39"/>
    </row>
    <row r="4530" spans="2:2" x14ac:dyDescent="0.25">
      <c r="B4530" s="39"/>
    </row>
    <row r="4531" spans="2:2" x14ac:dyDescent="0.25">
      <c r="B4531" s="39"/>
    </row>
    <row r="4532" spans="2:2" x14ac:dyDescent="0.25">
      <c r="B4532" s="39"/>
    </row>
    <row r="4533" spans="2:2" x14ac:dyDescent="0.25">
      <c r="B4533" s="39"/>
    </row>
    <row r="4534" spans="2:2" x14ac:dyDescent="0.25">
      <c r="B4534" s="39"/>
    </row>
    <row r="4535" spans="2:2" x14ac:dyDescent="0.25">
      <c r="B4535" s="39"/>
    </row>
    <row r="4536" spans="2:2" x14ac:dyDescent="0.25">
      <c r="B4536" s="39"/>
    </row>
    <row r="4537" spans="2:2" x14ac:dyDescent="0.25">
      <c r="B4537" s="39"/>
    </row>
    <row r="4538" spans="2:2" x14ac:dyDescent="0.25">
      <c r="B4538" s="39"/>
    </row>
    <row r="4539" spans="2:2" x14ac:dyDescent="0.25">
      <c r="B4539" s="39"/>
    </row>
    <row r="4540" spans="2:2" x14ac:dyDescent="0.25">
      <c r="B4540" s="39"/>
    </row>
    <row r="4541" spans="2:2" x14ac:dyDescent="0.25">
      <c r="B4541" s="39"/>
    </row>
    <row r="4542" spans="2:2" x14ac:dyDescent="0.25">
      <c r="B4542" s="39"/>
    </row>
    <row r="4543" spans="2:2" x14ac:dyDescent="0.25">
      <c r="B4543" s="39"/>
    </row>
    <row r="4544" spans="2:2" x14ac:dyDescent="0.25">
      <c r="B4544" s="39"/>
    </row>
    <row r="4545" spans="2:2" x14ac:dyDescent="0.25">
      <c r="B4545" s="39"/>
    </row>
    <row r="4546" spans="2:2" x14ac:dyDescent="0.25">
      <c r="B4546" s="39"/>
    </row>
    <row r="4547" spans="2:2" x14ac:dyDescent="0.25">
      <c r="B4547" s="39"/>
    </row>
    <row r="4548" spans="2:2" x14ac:dyDescent="0.25">
      <c r="B4548" s="39"/>
    </row>
    <row r="4549" spans="2:2" x14ac:dyDescent="0.25">
      <c r="B4549" s="39"/>
    </row>
    <row r="4550" spans="2:2" x14ac:dyDescent="0.25">
      <c r="B4550" s="39"/>
    </row>
    <row r="4551" spans="2:2" x14ac:dyDescent="0.25">
      <c r="B4551" s="39"/>
    </row>
    <row r="4552" spans="2:2" x14ac:dyDescent="0.25">
      <c r="B4552" s="39"/>
    </row>
    <row r="4553" spans="2:2" x14ac:dyDescent="0.25">
      <c r="B4553" s="39"/>
    </row>
    <row r="4554" spans="2:2" x14ac:dyDescent="0.25">
      <c r="B4554" s="39"/>
    </row>
    <row r="4555" spans="2:2" x14ac:dyDescent="0.25">
      <c r="B4555" s="39"/>
    </row>
    <row r="4556" spans="2:2" x14ac:dyDescent="0.25">
      <c r="B4556" s="39"/>
    </row>
    <row r="4557" spans="2:2" x14ac:dyDescent="0.25">
      <c r="B4557" s="39"/>
    </row>
    <row r="4558" spans="2:2" x14ac:dyDescent="0.25">
      <c r="B4558" s="39"/>
    </row>
    <row r="4559" spans="2:2" x14ac:dyDescent="0.25">
      <c r="B4559" s="39"/>
    </row>
    <row r="4560" spans="2:2" x14ac:dyDescent="0.25">
      <c r="B4560" s="39"/>
    </row>
    <row r="4561" spans="2:2" x14ac:dyDescent="0.25">
      <c r="B4561" s="39"/>
    </row>
    <row r="4562" spans="2:2" x14ac:dyDescent="0.25">
      <c r="B4562" s="39"/>
    </row>
    <row r="4563" spans="2:2" x14ac:dyDescent="0.25">
      <c r="B4563" s="39"/>
    </row>
    <row r="4564" spans="2:2" x14ac:dyDescent="0.25">
      <c r="B4564" s="39"/>
    </row>
    <row r="4565" spans="2:2" x14ac:dyDescent="0.25">
      <c r="B4565" s="39"/>
    </row>
    <row r="4566" spans="2:2" x14ac:dyDescent="0.25">
      <c r="B4566" s="39"/>
    </row>
    <row r="4567" spans="2:2" x14ac:dyDescent="0.25">
      <c r="B4567" s="39"/>
    </row>
    <row r="4568" spans="2:2" x14ac:dyDescent="0.25">
      <c r="B4568" s="39"/>
    </row>
    <row r="4569" spans="2:2" x14ac:dyDescent="0.25">
      <c r="B4569" s="39"/>
    </row>
    <row r="4570" spans="2:2" x14ac:dyDescent="0.25">
      <c r="B4570" s="39"/>
    </row>
    <row r="4571" spans="2:2" x14ac:dyDescent="0.25">
      <c r="B4571" s="39"/>
    </row>
    <row r="4572" spans="2:2" x14ac:dyDescent="0.25">
      <c r="B4572" s="39"/>
    </row>
    <row r="4573" spans="2:2" x14ac:dyDescent="0.25">
      <c r="B4573" s="39"/>
    </row>
    <row r="4574" spans="2:2" x14ac:dyDescent="0.25">
      <c r="B4574" s="39"/>
    </row>
    <row r="4575" spans="2:2" x14ac:dyDescent="0.25">
      <c r="B4575" s="39"/>
    </row>
    <row r="4576" spans="2:2" x14ac:dyDescent="0.25">
      <c r="B4576" s="39"/>
    </row>
    <row r="4577" spans="2:2" x14ac:dyDescent="0.25">
      <c r="B4577" s="39"/>
    </row>
    <row r="4578" spans="2:2" x14ac:dyDescent="0.25">
      <c r="B4578" s="39"/>
    </row>
    <row r="4579" spans="2:2" x14ac:dyDescent="0.25">
      <c r="B4579" s="39"/>
    </row>
    <row r="4580" spans="2:2" x14ac:dyDescent="0.25">
      <c r="B4580" s="39"/>
    </row>
    <row r="4581" spans="2:2" x14ac:dyDescent="0.25">
      <c r="B4581" s="39"/>
    </row>
    <row r="4582" spans="2:2" x14ac:dyDescent="0.25">
      <c r="B4582" s="39"/>
    </row>
    <row r="4583" spans="2:2" x14ac:dyDescent="0.25">
      <c r="B4583" s="39"/>
    </row>
    <row r="4584" spans="2:2" x14ac:dyDescent="0.25">
      <c r="B4584" s="39"/>
    </row>
    <row r="4585" spans="2:2" x14ac:dyDescent="0.25">
      <c r="B4585" s="39"/>
    </row>
    <row r="4586" spans="2:2" x14ac:dyDescent="0.25">
      <c r="B4586" s="39"/>
    </row>
    <row r="4587" spans="2:2" x14ac:dyDescent="0.25">
      <c r="B4587" s="39"/>
    </row>
    <row r="4588" spans="2:2" x14ac:dyDescent="0.25">
      <c r="B4588" s="39"/>
    </row>
    <row r="4589" spans="2:2" x14ac:dyDescent="0.25">
      <c r="B4589" s="39"/>
    </row>
    <row r="4590" spans="2:2" x14ac:dyDescent="0.25">
      <c r="B4590" s="39"/>
    </row>
    <row r="4591" spans="2:2" x14ac:dyDescent="0.25">
      <c r="B4591" s="39"/>
    </row>
    <row r="4592" spans="2:2" x14ac:dyDescent="0.25">
      <c r="B4592" s="39"/>
    </row>
    <row r="4593" spans="2:2" x14ac:dyDescent="0.25">
      <c r="B4593" s="39"/>
    </row>
    <row r="4594" spans="2:2" x14ac:dyDescent="0.25">
      <c r="B4594" s="39"/>
    </row>
    <row r="4595" spans="2:2" x14ac:dyDescent="0.25">
      <c r="B4595" s="39"/>
    </row>
    <row r="4596" spans="2:2" x14ac:dyDescent="0.25">
      <c r="B4596" s="39"/>
    </row>
    <row r="4597" spans="2:2" x14ac:dyDescent="0.25">
      <c r="B4597" s="39"/>
    </row>
    <row r="4598" spans="2:2" x14ac:dyDescent="0.25">
      <c r="B4598" s="39"/>
    </row>
    <row r="4599" spans="2:2" x14ac:dyDescent="0.25">
      <c r="B4599" s="39"/>
    </row>
    <row r="4600" spans="2:2" x14ac:dyDescent="0.25">
      <c r="B4600" s="39"/>
    </row>
    <row r="4601" spans="2:2" x14ac:dyDescent="0.25">
      <c r="B4601" s="39"/>
    </row>
    <row r="4602" spans="2:2" x14ac:dyDescent="0.25">
      <c r="B4602" s="39"/>
    </row>
    <row r="4603" spans="2:2" x14ac:dyDescent="0.25">
      <c r="B4603" s="39"/>
    </row>
    <row r="4604" spans="2:2" x14ac:dyDescent="0.25">
      <c r="B4604" s="39"/>
    </row>
    <row r="4605" spans="2:2" x14ac:dyDescent="0.25">
      <c r="B4605" s="39"/>
    </row>
    <row r="4606" spans="2:2" x14ac:dyDescent="0.25">
      <c r="B4606" s="39"/>
    </row>
    <row r="4607" spans="2:2" x14ac:dyDescent="0.25">
      <c r="B4607" s="39"/>
    </row>
    <row r="4608" spans="2:2" x14ac:dyDescent="0.25">
      <c r="B4608" s="39"/>
    </row>
    <row r="4609" spans="2:2" x14ac:dyDescent="0.25">
      <c r="B4609" s="39"/>
    </row>
    <row r="4610" spans="2:2" x14ac:dyDescent="0.25">
      <c r="B4610" s="39"/>
    </row>
    <row r="4611" spans="2:2" x14ac:dyDescent="0.25">
      <c r="B4611" s="39"/>
    </row>
    <row r="4612" spans="2:2" x14ac:dyDescent="0.25">
      <c r="B4612" s="39"/>
    </row>
    <row r="4613" spans="2:2" x14ac:dyDescent="0.25">
      <c r="B4613" s="39"/>
    </row>
    <row r="4614" spans="2:2" x14ac:dyDescent="0.25">
      <c r="B4614" s="39"/>
    </row>
    <row r="4615" spans="2:2" x14ac:dyDescent="0.25">
      <c r="B4615" s="39"/>
    </row>
    <row r="4616" spans="2:2" x14ac:dyDescent="0.25">
      <c r="B4616" s="39"/>
    </row>
    <row r="4617" spans="2:2" x14ac:dyDescent="0.25">
      <c r="B4617" s="39"/>
    </row>
    <row r="4618" spans="2:2" x14ac:dyDescent="0.25">
      <c r="B4618" s="39"/>
    </row>
    <row r="4619" spans="2:2" x14ac:dyDescent="0.25">
      <c r="B4619" s="39"/>
    </row>
    <row r="4620" spans="2:2" x14ac:dyDescent="0.25">
      <c r="B4620" s="39"/>
    </row>
    <row r="4621" spans="2:2" x14ac:dyDescent="0.25">
      <c r="B4621" s="39"/>
    </row>
    <row r="4622" spans="2:2" x14ac:dyDescent="0.25">
      <c r="B4622" s="39"/>
    </row>
    <row r="4623" spans="2:2" x14ac:dyDescent="0.25">
      <c r="B4623" s="39"/>
    </row>
    <row r="4624" spans="2:2" x14ac:dyDescent="0.25">
      <c r="B4624" s="39"/>
    </row>
    <row r="4625" spans="2:2" x14ac:dyDescent="0.25">
      <c r="B4625" s="39"/>
    </row>
    <row r="4626" spans="2:2" x14ac:dyDescent="0.25">
      <c r="B4626" s="39"/>
    </row>
    <row r="4627" spans="2:2" x14ac:dyDescent="0.25">
      <c r="B4627" s="39"/>
    </row>
    <row r="4628" spans="2:2" x14ac:dyDescent="0.25">
      <c r="B4628" s="39"/>
    </row>
    <row r="4629" spans="2:2" x14ac:dyDescent="0.25">
      <c r="B4629" s="39"/>
    </row>
    <row r="4630" spans="2:2" x14ac:dyDescent="0.25">
      <c r="B4630" s="39"/>
    </row>
    <row r="4631" spans="2:2" x14ac:dyDescent="0.25">
      <c r="B4631" s="39"/>
    </row>
    <row r="4632" spans="2:2" x14ac:dyDescent="0.25">
      <c r="B4632" s="39"/>
    </row>
    <row r="4633" spans="2:2" x14ac:dyDescent="0.25">
      <c r="B4633" s="39"/>
    </row>
    <row r="4634" spans="2:2" x14ac:dyDescent="0.25">
      <c r="B4634" s="39"/>
    </row>
    <row r="4635" spans="2:2" x14ac:dyDescent="0.25">
      <c r="B4635" s="39"/>
    </row>
    <row r="4636" spans="2:2" x14ac:dyDescent="0.25">
      <c r="B4636" s="39"/>
    </row>
    <row r="4637" spans="2:2" x14ac:dyDescent="0.25">
      <c r="B4637" s="39"/>
    </row>
    <row r="4638" spans="2:2" x14ac:dyDescent="0.25">
      <c r="B4638" s="39"/>
    </row>
    <row r="4639" spans="2:2" x14ac:dyDescent="0.25">
      <c r="B4639" s="39"/>
    </row>
    <row r="4640" spans="2:2" x14ac:dyDescent="0.25">
      <c r="B4640" s="39"/>
    </row>
    <row r="4641" spans="2:2" x14ac:dyDescent="0.25">
      <c r="B4641" s="39"/>
    </row>
    <row r="4642" spans="2:2" x14ac:dyDescent="0.25">
      <c r="B4642" s="39"/>
    </row>
    <row r="4643" spans="2:2" x14ac:dyDescent="0.25">
      <c r="B4643" s="39"/>
    </row>
    <row r="4644" spans="2:2" x14ac:dyDescent="0.25">
      <c r="B4644" s="39"/>
    </row>
    <row r="4645" spans="2:2" x14ac:dyDescent="0.25">
      <c r="B4645" s="39"/>
    </row>
    <row r="4646" spans="2:2" x14ac:dyDescent="0.25">
      <c r="B4646" s="39"/>
    </row>
    <row r="4647" spans="2:2" x14ac:dyDescent="0.25">
      <c r="B4647" s="39"/>
    </row>
    <row r="4648" spans="2:2" x14ac:dyDescent="0.25">
      <c r="B4648" s="39"/>
    </row>
    <row r="4649" spans="2:2" x14ac:dyDescent="0.25">
      <c r="B4649" s="39"/>
    </row>
    <row r="4650" spans="2:2" x14ac:dyDescent="0.25">
      <c r="B4650" s="39"/>
    </row>
    <row r="4651" spans="2:2" x14ac:dyDescent="0.25">
      <c r="B4651" s="39"/>
    </row>
    <row r="4652" spans="2:2" x14ac:dyDescent="0.25">
      <c r="B4652" s="39"/>
    </row>
    <row r="4653" spans="2:2" x14ac:dyDescent="0.25">
      <c r="B4653" s="39"/>
    </row>
    <row r="4654" spans="2:2" x14ac:dyDescent="0.25">
      <c r="B4654" s="39"/>
    </row>
    <row r="4655" spans="2:2" x14ac:dyDescent="0.25">
      <c r="B4655" s="39"/>
    </row>
    <row r="4656" spans="2:2" x14ac:dyDescent="0.25">
      <c r="B4656" s="39"/>
    </row>
    <row r="4657" spans="2:2" x14ac:dyDescent="0.25">
      <c r="B4657" s="39"/>
    </row>
    <row r="4658" spans="2:2" x14ac:dyDescent="0.25">
      <c r="B4658" s="39"/>
    </row>
    <row r="4659" spans="2:2" x14ac:dyDescent="0.25">
      <c r="B4659" s="39"/>
    </row>
    <row r="4660" spans="2:2" x14ac:dyDescent="0.25">
      <c r="B4660" s="39"/>
    </row>
    <row r="4661" spans="2:2" x14ac:dyDescent="0.25">
      <c r="B4661" s="39"/>
    </row>
    <row r="4662" spans="2:2" x14ac:dyDescent="0.25">
      <c r="B4662" s="39"/>
    </row>
    <row r="4663" spans="2:2" x14ac:dyDescent="0.25">
      <c r="B4663" s="39"/>
    </row>
    <row r="4664" spans="2:2" x14ac:dyDescent="0.25">
      <c r="B4664" s="39"/>
    </row>
    <row r="4665" spans="2:2" x14ac:dyDescent="0.25">
      <c r="B4665" s="39"/>
    </row>
    <row r="4666" spans="2:2" x14ac:dyDescent="0.25">
      <c r="B4666" s="39"/>
    </row>
    <row r="4667" spans="2:2" x14ac:dyDescent="0.25">
      <c r="B4667" s="39"/>
    </row>
    <row r="4668" spans="2:2" x14ac:dyDescent="0.25">
      <c r="B4668" s="39"/>
    </row>
    <row r="4669" spans="2:2" x14ac:dyDescent="0.25">
      <c r="B4669" s="39"/>
    </row>
    <row r="4670" spans="2:2" x14ac:dyDescent="0.25">
      <c r="B4670" s="39"/>
    </row>
    <row r="4671" spans="2:2" x14ac:dyDescent="0.25">
      <c r="B4671" s="39"/>
    </row>
    <row r="4672" spans="2:2" x14ac:dyDescent="0.25">
      <c r="B4672" s="39"/>
    </row>
    <row r="4673" spans="2:2" x14ac:dyDescent="0.25">
      <c r="B4673" s="39"/>
    </row>
    <row r="4674" spans="2:2" x14ac:dyDescent="0.25">
      <c r="B4674" s="39"/>
    </row>
    <row r="4675" spans="2:2" x14ac:dyDescent="0.25">
      <c r="B4675" s="39"/>
    </row>
    <row r="4676" spans="2:2" x14ac:dyDescent="0.25">
      <c r="B4676" s="39"/>
    </row>
    <row r="4677" spans="2:2" x14ac:dyDescent="0.25">
      <c r="B4677" s="39"/>
    </row>
    <row r="4678" spans="2:2" x14ac:dyDescent="0.25">
      <c r="B4678" s="39"/>
    </row>
    <row r="4679" spans="2:2" x14ac:dyDescent="0.25">
      <c r="B4679" s="39"/>
    </row>
    <row r="4680" spans="2:2" x14ac:dyDescent="0.25">
      <c r="B4680" s="39"/>
    </row>
    <row r="4681" spans="2:2" x14ac:dyDescent="0.25">
      <c r="B4681" s="39"/>
    </row>
    <row r="4682" spans="2:2" x14ac:dyDescent="0.25">
      <c r="B4682" s="39"/>
    </row>
    <row r="4683" spans="2:2" x14ac:dyDescent="0.25">
      <c r="B4683" s="39"/>
    </row>
    <row r="4684" spans="2:2" x14ac:dyDescent="0.25">
      <c r="B4684" s="39"/>
    </row>
    <row r="4685" spans="2:2" x14ac:dyDescent="0.25">
      <c r="B4685" s="39"/>
    </row>
    <row r="4686" spans="2:2" x14ac:dyDescent="0.25">
      <c r="B4686" s="39"/>
    </row>
    <row r="4687" spans="2:2" x14ac:dyDescent="0.25">
      <c r="B4687" s="39"/>
    </row>
    <row r="4688" spans="2:2" x14ac:dyDescent="0.25">
      <c r="B4688" s="39"/>
    </row>
    <row r="4689" spans="2:2" x14ac:dyDescent="0.25">
      <c r="B4689" s="39"/>
    </row>
    <row r="4690" spans="2:2" x14ac:dyDescent="0.25">
      <c r="B4690" s="39"/>
    </row>
    <row r="4691" spans="2:2" x14ac:dyDescent="0.25">
      <c r="B4691" s="39"/>
    </row>
    <row r="4692" spans="2:2" x14ac:dyDescent="0.25">
      <c r="B4692" s="39"/>
    </row>
    <row r="4693" spans="2:2" x14ac:dyDescent="0.25">
      <c r="B4693" s="39"/>
    </row>
    <row r="4694" spans="2:2" x14ac:dyDescent="0.25">
      <c r="B4694" s="39"/>
    </row>
    <row r="4695" spans="2:2" x14ac:dyDescent="0.25">
      <c r="B4695" s="39"/>
    </row>
    <row r="4696" spans="2:2" x14ac:dyDescent="0.25">
      <c r="B4696" s="39"/>
    </row>
    <row r="4697" spans="2:2" x14ac:dyDescent="0.25">
      <c r="B4697" s="39"/>
    </row>
    <row r="4698" spans="2:2" x14ac:dyDescent="0.25">
      <c r="B4698" s="39"/>
    </row>
    <row r="4699" spans="2:2" x14ac:dyDescent="0.25">
      <c r="B4699" s="39"/>
    </row>
    <row r="4700" spans="2:2" x14ac:dyDescent="0.25">
      <c r="B4700" s="39"/>
    </row>
    <row r="4701" spans="2:2" x14ac:dyDescent="0.25">
      <c r="B4701" s="39"/>
    </row>
    <row r="4702" spans="2:2" x14ac:dyDescent="0.25">
      <c r="B4702" s="39"/>
    </row>
    <row r="4703" spans="2:2" x14ac:dyDescent="0.25">
      <c r="B4703" s="39"/>
    </row>
    <row r="4704" spans="2:2" x14ac:dyDescent="0.25">
      <c r="B4704" s="39"/>
    </row>
    <row r="4705" spans="2:2" x14ac:dyDescent="0.25">
      <c r="B4705" s="39"/>
    </row>
    <row r="4706" spans="2:2" x14ac:dyDescent="0.25">
      <c r="B4706" s="39"/>
    </row>
    <row r="4707" spans="2:2" x14ac:dyDescent="0.25">
      <c r="B4707" s="39"/>
    </row>
    <row r="4708" spans="2:2" x14ac:dyDescent="0.25">
      <c r="B4708" s="39"/>
    </row>
    <row r="4709" spans="2:2" x14ac:dyDescent="0.25">
      <c r="B4709" s="39"/>
    </row>
    <row r="4710" spans="2:2" x14ac:dyDescent="0.25">
      <c r="B4710" s="39"/>
    </row>
    <row r="4711" spans="2:2" x14ac:dyDescent="0.25">
      <c r="B4711" s="39"/>
    </row>
    <row r="4712" spans="2:2" x14ac:dyDescent="0.25">
      <c r="B4712" s="39"/>
    </row>
    <row r="4713" spans="2:2" x14ac:dyDescent="0.25">
      <c r="B4713" s="39"/>
    </row>
    <row r="4714" spans="2:2" x14ac:dyDescent="0.25">
      <c r="B4714" s="39"/>
    </row>
    <row r="4715" spans="2:2" x14ac:dyDescent="0.25">
      <c r="B4715" s="39"/>
    </row>
    <row r="4716" spans="2:2" x14ac:dyDescent="0.25">
      <c r="B4716" s="39"/>
    </row>
    <row r="4717" spans="2:2" x14ac:dyDescent="0.25">
      <c r="B4717" s="39"/>
    </row>
    <row r="4718" spans="2:2" x14ac:dyDescent="0.25">
      <c r="B4718" s="39"/>
    </row>
    <row r="4719" spans="2:2" x14ac:dyDescent="0.25">
      <c r="B4719" s="39"/>
    </row>
    <row r="4720" spans="2:2" x14ac:dyDescent="0.25">
      <c r="B4720" s="39"/>
    </row>
    <row r="4721" spans="2:2" x14ac:dyDescent="0.25">
      <c r="B4721" s="39"/>
    </row>
    <row r="4722" spans="2:2" x14ac:dyDescent="0.25">
      <c r="B4722" s="39"/>
    </row>
    <row r="4723" spans="2:2" x14ac:dyDescent="0.25">
      <c r="B4723" s="39"/>
    </row>
    <row r="4724" spans="2:2" x14ac:dyDescent="0.25">
      <c r="B4724" s="39"/>
    </row>
    <row r="4725" spans="2:2" x14ac:dyDescent="0.25">
      <c r="B4725" s="39"/>
    </row>
    <row r="4726" spans="2:2" x14ac:dyDescent="0.25">
      <c r="B4726" s="39"/>
    </row>
    <row r="4727" spans="2:2" x14ac:dyDescent="0.25">
      <c r="B4727" s="39"/>
    </row>
    <row r="4728" spans="2:2" x14ac:dyDescent="0.25">
      <c r="B4728" s="39"/>
    </row>
    <row r="4729" spans="2:2" x14ac:dyDescent="0.25">
      <c r="B4729" s="39"/>
    </row>
    <row r="4730" spans="2:2" x14ac:dyDescent="0.25">
      <c r="B4730" s="39"/>
    </row>
    <row r="4731" spans="2:2" x14ac:dyDescent="0.25">
      <c r="B4731" s="39"/>
    </row>
    <row r="4732" spans="2:2" x14ac:dyDescent="0.25">
      <c r="B4732" s="39"/>
    </row>
    <row r="4733" spans="2:2" x14ac:dyDescent="0.25">
      <c r="B4733" s="39"/>
    </row>
    <row r="4734" spans="2:2" x14ac:dyDescent="0.25">
      <c r="B4734" s="39"/>
    </row>
    <row r="4735" spans="2:2" x14ac:dyDescent="0.25">
      <c r="B4735" s="39"/>
    </row>
    <row r="4736" spans="2:2" x14ac:dyDescent="0.25">
      <c r="B4736" s="39"/>
    </row>
    <row r="4737" spans="2:2" x14ac:dyDescent="0.25">
      <c r="B4737" s="39"/>
    </row>
    <row r="4738" spans="2:2" x14ac:dyDescent="0.25">
      <c r="B4738" s="39"/>
    </row>
    <row r="4739" spans="2:2" x14ac:dyDescent="0.25">
      <c r="B4739" s="39"/>
    </row>
    <row r="4740" spans="2:2" x14ac:dyDescent="0.25">
      <c r="B4740" s="39"/>
    </row>
    <row r="4741" spans="2:2" x14ac:dyDescent="0.25">
      <c r="B4741" s="39"/>
    </row>
    <row r="4742" spans="2:2" x14ac:dyDescent="0.25">
      <c r="B4742" s="39"/>
    </row>
    <row r="4743" spans="2:2" x14ac:dyDescent="0.25">
      <c r="B4743" s="39"/>
    </row>
    <row r="4744" spans="2:2" x14ac:dyDescent="0.25">
      <c r="B4744" s="39"/>
    </row>
    <row r="4745" spans="2:2" x14ac:dyDescent="0.25">
      <c r="B4745" s="39"/>
    </row>
    <row r="4746" spans="2:2" x14ac:dyDescent="0.25">
      <c r="B4746" s="39"/>
    </row>
    <row r="4747" spans="2:2" x14ac:dyDescent="0.25">
      <c r="B4747" s="39"/>
    </row>
    <row r="4748" spans="2:2" x14ac:dyDescent="0.25">
      <c r="B4748" s="39"/>
    </row>
    <row r="4749" spans="2:2" x14ac:dyDescent="0.25">
      <c r="B4749" s="39"/>
    </row>
    <row r="4750" spans="2:2" x14ac:dyDescent="0.25">
      <c r="B4750" s="39"/>
    </row>
    <row r="4751" spans="2:2" x14ac:dyDescent="0.25">
      <c r="B4751" s="39"/>
    </row>
    <row r="4752" spans="2:2" x14ac:dyDescent="0.25">
      <c r="B4752" s="39"/>
    </row>
    <row r="4753" spans="2:2" x14ac:dyDescent="0.25">
      <c r="B4753" s="39"/>
    </row>
    <row r="4754" spans="2:2" x14ac:dyDescent="0.25">
      <c r="B4754" s="39"/>
    </row>
    <row r="4755" spans="2:2" x14ac:dyDescent="0.25">
      <c r="B4755" s="39"/>
    </row>
    <row r="4756" spans="2:2" x14ac:dyDescent="0.25">
      <c r="B4756" s="39"/>
    </row>
    <row r="4757" spans="2:2" x14ac:dyDescent="0.25">
      <c r="B4757" s="39"/>
    </row>
    <row r="4758" spans="2:2" x14ac:dyDescent="0.25">
      <c r="B4758" s="39"/>
    </row>
    <row r="4759" spans="2:2" x14ac:dyDescent="0.25">
      <c r="B4759" s="39"/>
    </row>
    <row r="4760" spans="2:2" x14ac:dyDescent="0.25">
      <c r="B4760" s="39"/>
    </row>
    <row r="4761" spans="2:2" x14ac:dyDescent="0.25">
      <c r="B4761" s="39"/>
    </row>
    <row r="4762" spans="2:2" x14ac:dyDescent="0.25">
      <c r="B4762" s="39"/>
    </row>
    <row r="4763" spans="2:2" x14ac:dyDescent="0.25">
      <c r="B4763" s="39"/>
    </row>
    <row r="4764" spans="2:2" x14ac:dyDescent="0.25">
      <c r="B4764" s="39"/>
    </row>
    <row r="4765" spans="2:2" x14ac:dyDescent="0.25">
      <c r="B4765" s="39"/>
    </row>
    <row r="4766" spans="2:2" x14ac:dyDescent="0.25">
      <c r="B4766" s="39"/>
    </row>
    <row r="4767" spans="2:2" x14ac:dyDescent="0.25">
      <c r="B4767" s="39"/>
    </row>
    <row r="4768" spans="2:2" x14ac:dyDescent="0.25">
      <c r="B4768" s="39"/>
    </row>
    <row r="4769" spans="2:2" x14ac:dyDescent="0.25">
      <c r="B4769" s="39"/>
    </row>
    <row r="4770" spans="2:2" x14ac:dyDescent="0.25">
      <c r="B4770" s="39"/>
    </row>
    <row r="4771" spans="2:2" x14ac:dyDescent="0.25">
      <c r="B4771" s="39"/>
    </row>
    <row r="4772" spans="2:2" x14ac:dyDescent="0.25">
      <c r="B4772" s="39"/>
    </row>
    <row r="4773" spans="2:2" x14ac:dyDescent="0.25">
      <c r="B4773" s="39"/>
    </row>
    <row r="4774" spans="2:2" x14ac:dyDescent="0.25">
      <c r="B4774" s="39"/>
    </row>
    <row r="4775" spans="2:2" x14ac:dyDescent="0.25">
      <c r="B4775" s="39"/>
    </row>
    <row r="4776" spans="2:2" x14ac:dyDescent="0.25">
      <c r="B4776" s="39"/>
    </row>
    <row r="4777" spans="2:2" x14ac:dyDescent="0.25">
      <c r="B4777" s="39"/>
    </row>
    <row r="4778" spans="2:2" x14ac:dyDescent="0.25">
      <c r="B4778" s="39"/>
    </row>
    <row r="4779" spans="2:2" x14ac:dyDescent="0.25">
      <c r="B4779" s="39"/>
    </row>
    <row r="4780" spans="2:2" x14ac:dyDescent="0.25">
      <c r="B4780" s="39"/>
    </row>
    <row r="4781" spans="2:2" x14ac:dyDescent="0.25">
      <c r="B4781" s="39"/>
    </row>
    <row r="4782" spans="2:2" x14ac:dyDescent="0.25">
      <c r="B4782" s="39"/>
    </row>
    <row r="4783" spans="2:2" x14ac:dyDescent="0.25">
      <c r="B4783" s="39"/>
    </row>
    <row r="4784" spans="2:2" x14ac:dyDescent="0.25">
      <c r="B4784" s="39"/>
    </row>
    <row r="4785" spans="2:2" x14ac:dyDescent="0.25">
      <c r="B4785" s="39"/>
    </row>
    <row r="4786" spans="2:2" x14ac:dyDescent="0.25">
      <c r="B4786" s="39"/>
    </row>
    <row r="4787" spans="2:2" x14ac:dyDescent="0.25">
      <c r="B4787" s="39"/>
    </row>
    <row r="4788" spans="2:2" x14ac:dyDescent="0.25">
      <c r="B4788" s="39"/>
    </row>
    <row r="4789" spans="2:2" x14ac:dyDescent="0.25">
      <c r="B4789" s="39"/>
    </row>
    <row r="4790" spans="2:2" x14ac:dyDescent="0.25">
      <c r="B4790" s="39"/>
    </row>
    <row r="4791" spans="2:2" x14ac:dyDescent="0.25">
      <c r="B4791" s="39"/>
    </row>
    <row r="4792" spans="2:2" x14ac:dyDescent="0.25">
      <c r="B4792" s="39"/>
    </row>
    <row r="4793" spans="2:2" x14ac:dyDescent="0.25">
      <c r="B4793" s="39"/>
    </row>
    <row r="4794" spans="2:2" x14ac:dyDescent="0.25">
      <c r="B4794" s="39"/>
    </row>
    <row r="4795" spans="2:2" x14ac:dyDescent="0.25">
      <c r="B4795" s="39"/>
    </row>
    <row r="4796" spans="2:2" x14ac:dyDescent="0.25">
      <c r="B4796" s="39"/>
    </row>
    <row r="4797" spans="2:2" x14ac:dyDescent="0.25">
      <c r="B4797" s="39"/>
    </row>
    <row r="4798" spans="2:2" x14ac:dyDescent="0.25">
      <c r="B4798" s="39"/>
    </row>
    <row r="4799" spans="2:2" x14ac:dyDescent="0.25">
      <c r="B4799" s="39"/>
    </row>
    <row r="4800" spans="2:2" x14ac:dyDescent="0.25">
      <c r="B4800" s="39"/>
    </row>
    <row r="4801" spans="2:2" x14ac:dyDescent="0.25">
      <c r="B4801" s="39"/>
    </row>
    <row r="4802" spans="2:2" x14ac:dyDescent="0.25">
      <c r="B4802" s="39"/>
    </row>
    <row r="4803" spans="2:2" x14ac:dyDescent="0.25">
      <c r="B4803" s="39"/>
    </row>
    <row r="4804" spans="2:2" x14ac:dyDescent="0.25">
      <c r="B4804" s="39"/>
    </row>
    <row r="4805" spans="2:2" x14ac:dyDescent="0.25">
      <c r="B4805" s="39"/>
    </row>
    <row r="4806" spans="2:2" x14ac:dyDescent="0.25">
      <c r="B4806" s="39"/>
    </row>
    <row r="4807" spans="2:2" x14ac:dyDescent="0.25">
      <c r="B4807" s="39"/>
    </row>
    <row r="4808" spans="2:2" x14ac:dyDescent="0.25">
      <c r="B4808" s="39"/>
    </row>
    <row r="4809" spans="2:2" x14ac:dyDescent="0.25">
      <c r="B4809" s="39"/>
    </row>
    <row r="4810" spans="2:2" x14ac:dyDescent="0.25">
      <c r="B4810" s="39"/>
    </row>
    <row r="4811" spans="2:2" x14ac:dyDescent="0.25">
      <c r="B4811" s="39"/>
    </row>
    <row r="4812" spans="2:2" x14ac:dyDescent="0.25">
      <c r="B4812" s="39"/>
    </row>
    <row r="4813" spans="2:2" x14ac:dyDescent="0.25">
      <c r="B4813" s="39"/>
    </row>
    <row r="4814" spans="2:2" x14ac:dyDescent="0.25">
      <c r="B4814" s="39"/>
    </row>
    <row r="4815" spans="2:2" x14ac:dyDescent="0.25">
      <c r="B4815" s="39"/>
    </row>
    <row r="4816" spans="2:2" x14ac:dyDescent="0.25">
      <c r="B4816" s="39"/>
    </row>
    <row r="4817" spans="2:2" x14ac:dyDescent="0.25">
      <c r="B4817" s="39"/>
    </row>
    <row r="4818" spans="2:2" x14ac:dyDescent="0.25">
      <c r="B4818" s="39"/>
    </row>
    <row r="4819" spans="2:2" x14ac:dyDescent="0.25">
      <c r="B4819" s="39"/>
    </row>
    <row r="4820" spans="2:2" x14ac:dyDescent="0.25">
      <c r="B4820" s="39"/>
    </row>
    <row r="4821" spans="2:2" x14ac:dyDescent="0.25">
      <c r="B4821" s="39"/>
    </row>
    <row r="4822" spans="2:2" x14ac:dyDescent="0.25">
      <c r="B4822" s="39"/>
    </row>
    <row r="4823" spans="2:2" x14ac:dyDescent="0.25">
      <c r="B4823" s="39"/>
    </row>
    <row r="4824" spans="2:2" x14ac:dyDescent="0.25">
      <c r="B4824" s="39"/>
    </row>
    <row r="4825" spans="2:2" x14ac:dyDescent="0.25">
      <c r="B4825" s="39"/>
    </row>
    <row r="4826" spans="2:2" x14ac:dyDescent="0.25">
      <c r="B4826" s="39"/>
    </row>
    <row r="4827" spans="2:2" x14ac:dyDescent="0.25">
      <c r="B4827" s="39"/>
    </row>
    <row r="4828" spans="2:2" x14ac:dyDescent="0.25">
      <c r="B4828" s="39"/>
    </row>
    <row r="4829" spans="2:2" x14ac:dyDescent="0.25">
      <c r="B4829" s="39"/>
    </row>
    <row r="4830" spans="2:2" x14ac:dyDescent="0.25">
      <c r="B4830" s="39"/>
    </row>
    <row r="4831" spans="2:2" x14ac:dyDescent="0.25">
      <c r="B4831" s="39"/>
    </row>
    <row r="4832" spans="2:2" x14ac:dyDescent="0.25">
      <c r="B4832" s="39"/>
    </row>
    <row r="4833" spans="2:2" x14ac:dyDescent="0.25">
      <c r="B4833" s="39"/>
    </row>
    <row r="4834" spans="2:2" x14ac:dyDescent="0.25">
      <c r="B4834" s="39"/>
    </row>
    <row r="4835" spans="2:2" x14ac:dyDescent="0.25">
      <c r="B4835" s="39"/>
    </row>
    <row r="4836" spans="2:2" x14ac:dyDescent="0.25">
      <c r="B4836" s="39"/>
    </row>
    <row r="4837" spans="2:2" x14ac:dyDescent="0.25">
      <c r="B4837" s="39"/>
    </row>
    <row r="4838" spans="2:2" x14ac:dyDescent="0.25">
      <c r="B4838" s="39"/>
    </row>
    <row r="4839" spans="2:2" x14ac:dyDescent="0.25">
      <c r="B4839" s="39"/>
    </row>
    <row r="4840" spans="2:2" x14ac:dyDescent="0.25">
      <c r="B4840" s="39"/>
    </row>
    <row r="4841" spans="2:2" x14ac:dyDescent="0.25">
      <c r="B4841" s="39"/>
    </row>
    <row r="4842" spans="2:2" x14ac:dyDescent="0.25">
      <c r="B4842" s="39"/>
    </row>
    <row r="4843" spans="2:2" x14ac:dyDescent="0.25">
      <c r="B4843" s="39"/>
    </row>
    <row r="4844" spans="2:2" x14ac:dyDescent="0.25">
      <c r="B4844" s="39"/>
    </row>
    <row r="4845" spans="2:2" x14ac:dyDescent="0.25">
      <c r="B4845" s="39"/>
    </row>
    <row r="4846" spans="2:2" x14ac:dyDescent="0.25">
      <c r="B4846" s="39"/>
    </row>
    <row r="4847" spans="2:2" x14ac:dyDescent="0.25">
      <c r="B4847" s="39"/>
    </row>
    <row r="4848" spans="2:2" x14ac:dyDescent="0.25">
      <c r="B4848" s="39"/>
    </row>
    <row r="4849" spans="2:2" x14ac:dyDescent="0.25">
      <c r="B4849" s="39"/>
    </row>
    <row r="4850" spans="2:2" x14ac:dyDescent="0.25">
      <c r="B4850" s="39"/>
    </row>
    <row r="4851" spans="2:2" x14ac:dyDescent="0.25">
      <c r="B4851" s="39"/>
    </row>
    <row r="4852" spans="2:2" x14ac:dyDescent="0.25">
      <c r="B4852" s="39"/>
    </row>
    <row r="4853" spans="2:2" x14ac:dyDescent="0.25">
      <c r="B4853" s="39"/>
    </row>
    <row r="4854" spans="2:2" x14ac:dyDescent="0.25">
      <c r="B4854" s="39"/>
    </row>
    <row r="4855" spans="2:2" x14ac:dyDescent="0.25">
      <c r="B4855" s="39"/>
    </row>
    <row r="4856" spans="2:2" x14ac:dyDescent="0.25">
      <c r="B4856" s="39"/>
    </row>
    <row r="4857" spans="2:2" x14ac:dyDescent="0.25">
      <c r="B4857" s="39"/>
    </row>
    <row r="4858" spans="2:2" x14ac:dyDescent="0.25">
      <c r="B4858" s="39"/>
    </row>
    <row r="4859" spans="2:2" x14ac:dyDescent="0.25">
      <c r="B4859" s="39"/>
    </row>
    <row r="4860" spans="2:2" x14ac:dyDescent="0.25">
      <c r="B4860" s="39"/>
    </row>
    <row r="4861" spans="2:2" x14ac:dyDescent="0.25">
      <c r="B4861" s="39"/>
    </row>
    <row r="4862" spans="2:2" x14ac:dyDescent="0.25">
      <c r="B4862" s="39"/>
    </row>
    <row r="4863" spans="2:2" x14ac:dyDescent="0.25">
      <c r="B4863" s="39"/>
    </row>
    <row r="4864" spans="2:2" x14ac:dyDescent="0.25">
      <c r="B4864" s="39"/>
    </row>
    <row r="4865" spans="2:2" x14ac:dyDescent="0.25">
      <c r="B4865" s="39"/>
    </row>
    <row r="4866" spans="2:2" x14ac:dyDescent="0.25">
      <c r="B4866" s="39"/>
    </row>
    <row r="4867" spans="2:2" x14ac:dyDescent="0.25">
      <c r="B4867" s="39"/>
    </row>
    <row r="4868" spans="2:2" x14ac:dyDescent="0.25">
      <c r="B4868" s="39"/>
    </row>
    <row r="4869" spans="2:2" x14ac:dyDescent="0.25">
      <c r="B4869" s="39"/>
    </row>
    <row r="4870" spans="2:2" x14ac:dyDescent="0.25">
      <c r="B4870" s="39"/>
    </row>
    <row r="4871" spans="2:2" x14ac:dyDescent="0.25">
      <c r="B4871" s="39"/>
    </row>
    <row r="4872" spans="2:2" x14ac:dyDescent="0.25">
      <c r="B4872" s="39"/>
    </row>
    <row r="4873" spans="2:2" x14ac:dyDescent="0.25">
      <c r="B4873" s="39"/>
    </row>
    <row r="4874" spans="2:2" x14ac:dyDescent="0.25">
      <c r="B4874" s="39"/>
    </row>
    <row r="4875" spans="2:2" x14ac:dyDescent="0.25">
      <c r="B4875" s="39"/>
    </row>
    <row r="4876" spans="2:2" x14ac:dyDescent="0.25">
      <c r="B4876" s="39"/>
    </row>
    <row r="4877" spans="2:2" x14ac:dyDescent="0.25">
      <c r="B4877" s="39"/>
    </row>
    <row r="4878" spans="2:2" x14ac:dyDescent="0.25">
      <c r="B4878" s="39"/>
    </row>
    <row r="4879" spans="2:2" x14ac:dyDescent="0.25">
      <c r="B4879" s="39"/>
    </row>
    <row r="4880" spans="2:2" x14ac:dyDescent="0.25">
      <c r="B4880" s="39"/>
    </row>
    <row r="4881" spans="2:2" x14ac:dyDescent="0.25">
      <c r="B4881" s="39"/>
    </row>
    <row r="4882" spans="2:2" x14ac:dyDescent="0.25">
      <c r="B4882" s="39"/>
    </row>
    <row r="4883" spans="2:2" x14ac:dyDescent="0.25">
      <c r="B4883" s="39"/>
    </row>
    <row r="4884" spans="2:2" x14ac:dyDescent="0.25">
      <c r="B4884" s="39"/>
    </row>
    <row r="4885" spans="2:2" x14ac:dyDescent="0.25">
      <c r="B4885" s="39"/>
    </row>
    <row r="4886" spans="2:2" x14ac:dyDescent="0.25">
      <c r="B4886" s="39"/>
    </row>
    <row r="4887" spans="2:2" x14ac:dyDescent="0.25">
      <c r="B4887" s="39"/>
    </row>
    <row r="4888" spans="2:2" x14ac:dyDescent="0.25">
      <c r="B4888" s="39"/>
    </row>
    <row r="4889" spans="2:2" x14ac:dyDescent="0.25">
      <c r="B4889" s="39"/>
    </row>
    <row r="4890" spans="2:2" x14ac:dyDescent="0.25">
      <c r="B4890" s="39"/>
    </row>
    <row r="4891" spans="2:2" x14ac:dyDescent="0.25">
      <c r="B4891" s="39"/>
    </row>
    <row r="4892" spans="2:2" x14ac:dyDescent="0.25">
      <c r="B4892" s="39"/>
    </row>
    <row r="4893" spans="2:2" x14ac:dyDescent="0.25">
      <c r="B4893" s="39"/>
    </row>
    <row r="4894" spans="2:2" x14ac:dyDescent="0.25">
      <c r="B4894" s="39"/>
    </row>
    <row r="4895" spans="2:2" x14ac:dyDescent="0.25">
      <c r="B4895" s="39"/>
    </row>
    <row r="4896" spans="2:2" x14ac:dyDescent="0.25">
      <c r="B4896" s="39"/>
    </row>
    <row r="4897" spans="2:2" x14ac:dyDescent="0.25">
      <c r="B4897" s="39"/>
    </row>
    <row r="4898" spans="2:2" x14ac:dyDescent="0.25">
      <c r="B4898" s="39"/>
    </row>
    <row r="4899" spans="2:2" x14ac:dyDescent="0.25">
      <c r="B4899" s="39"/>
    </row>
    <row r="4900" spans="2:2" x14ac:dyDescent="0.25">
      <c r="B4900" s="39"/>
    </row>
    <row r="4901" spans="2:2" x14ac:dyDescent="0.25">
      <c r="B4901" s="39"/>
    </row>
    <row r="4902" spans="2:2" x14ac:dyDescent="0.25">
      <c r="B4902" s="39"/>
    </row>
    <row r="4903" spans="2:2" x14ac:dyDescent="0.25">
      <c r="B4903" s="39"/>
    </row>
    <row r="4904" spans="2:2" x14ac:dyDescent="0.25">
      <c r="B4904" s="39"/>
    </row>
    <row r="4905" spans="2:2" x14ac:dyDescent="0.25">
      <c r="B4905" s="39"/>
    </row>
    <row r="4906" spans="2:2" x14ac:dyDescent="0.25">
      <c r="B4906" s="39"/>
    </row>
    <row r="4907" spans="2:2" x14ac:dyDescent="0.25">
      <c r="B4907" s="39"/>
    </row>
    <row r="4908" spans="2:2" x14ac:dyDescent="0.25">
      <c r="B4908" s="39"/>
    </row>
    <row r="4909" spans="2:2" x14ac:dyDescent="0.25">
      <c r="B4909" s="39"/>
    </row>
    <row r="4910" spans="2:2" x14ac:dyDescent="0.25">
      <c r="B4910" s="39"/>
    </row>
    <row r="4911" spans="2:2" x14ac:dyDescent="0.25">
      <c r="B4911" s="39"/>
    </row>
    <row r="4912" spans="2:2" x14ac:dyDescent="0.25">
      <c r="B4912" s="39"/>
    </row>
    <row r="4913" spans="2:2" x14ac:dyDescent="0.25">
      <c r="B4913" s="39"/>
    </row>
    <row r="4914" spans="2:2" x14ac:dyDescent="0.25">
      <c r="B4914" s="39"/>
    </row>
    <row r="4915" spans="2:2" x14ac:dyDescent="0.25">
      <c r="B4915" s="39"/>
    </row>
    <row r="4916" spans="2:2" x14ac:dyDescent="0.25">
      <c r="B4916" s="39"/>
    </row>
    <row r="4917" spans="2:2" x14ac:dyDescent="0.25">
      <c r="B4917" s="39"/>
    </row>
    <row r="4918" spans="2:2" x14ac:dyDescent="0.25">
      <c r="B4918" s="39"/>
    </row>
    <row r="4919" spans="2:2" x14ac:dyDescent="0.25">
      <c r="B4919" s="39"/>
    </row>
    <row r="4920" spans="2:2" x14ac:dyDescent="0.25">
      <c r="B4920" s="39"/>
    </row>
    <row r="4921" spans="2:2" x14ac:dyDescent="0.25">
      <c r="B4921" s="39"/>
    </row>
    <row r="4922" spans="2:2" x14ac:dyDescent="0.25">
      <c r="B4922" s="39"/>
    </row>
    <row r="4923" spans="2:2" x14ac:dyDescent="0.25">
      <c r="B4923" s="39"/>
    </row>
    <row r="4924" spans="2:2" x14ac:dyDescent="0.25">
      <c r="B4924" s="39"/>
    </row>
    <row r="4925" spans="2:2" x14ac:dyDescent="0.25">
      <c r="B4925" s="39"/>
    </row>
    <row r="4926" spans="2:2" x14ac:dyDescent="0.25">
      <c r="B4926" s="39"/>
    </row>
    <row r="4927" spans="2:2" x14ac:dyDescent="0.25">
      <c r="B4927" s="39"/>
    </row>
    <row r="4928" spans="2:2" x14ac:dyDescent="0.25">
      <c r="B4928" s="39"/>
    </row>
    <row r="4929" spans="2:2" x14ac:dyDescent="0.25">
      <c r="B4929" s="39"/>
    </row>
    <row r="4930" spans="2:2" x14ac:dyDescent="0.25">
      <c r="B4930" s="39"/>
    </row>
    <row r="4931" spans="2:2" x14ac:dyDescent="0.25">
      <c r="B4931" s="39"/>
    </row>
    <row r="4932" spans="2:2" x14ac:dyDescent="0.25">
      <c r="B4932" s="39"/>
    </row>
    <row r="4933" spans="2:2" x14ac:dyDescent="0.25">
      <c r="B4933" s="39"/>
    </row>
    <row r="4934" spans="2:2" x14ac:dyDescent="0.25">
      <c r="B4934" s="39"/>
    </row>
    <row r="4935" spans="2:2" x14ac:dyDescent="0.25">
      <c r="B4935" s="39"/>
    </row>
    <row r="4936" spans="2:2" x14ac:dyDescent="0.25">
      <c r="B4936" s="39"/>
    </row>
    <row r="4937" spans="2:2" x14ac:dyDescent="0.25">
      <c r="B4937" s="39"/>
    </row>
    <row r="4938" spans="2:2" x14ac:dyDescent="0.25">
      <c r="B4938" s="39"/>
    </row>
    <row r="4939" spans="2:2" x14ac:dyDescent="0.25">
      <c r="B4939" s="39"/>
    </row>
    <row r="4940" spans="2:2" x14ac:dyDescent="0.25">
      <c r="B4940" s="39"/>
    </row>
    <row r="4941" spans="2:2" x14ac:dyDescent="0.25">
      <c r="B4941" s="39"/>
    </row>
    <row r="4942" spans="2:2" x14ac:dyDescent="0.25">
      <c r="B4942" s="39"/>
    </row>
    <row r="4943" spans="2:2" x14ac:dyDescent="0.25">
      <c r="B4943" s="39"/>
    </row>
    <row r="4944" spans="2:2" x14ac:dyDescent="0.25">
      <c r="B4944" s="39"/>
    </row>
    <row r="4945" spans="2:2" x14ac:dyDescent="0.25">
      <c r="B4945" s="39"/>
    </row>
    <row r="4946" spans="2:2" x14ac:dyDescent="0.25">
      <c r="B4946" s="39"/>
    </row>
    <row r="4947" spans="2:2" x14ac:dyDescent="0.25">
      <c r="B4947" s="39"/>
    </row>
    <row r="4948" spans="2:2" x14ac:dyDescent="0.25">
      <c r="B4948" s="39"/>
    </row>
    <row r="4949" spans="2:2" x14ac:dyDescent="0.25">
      <c r="B4949" s="39"/>
    </row>
    <row r="4950" spans="2:2" x14ac:dyDescent="0.25">
      <c r="B4950" s="39"/>
    </row>
    <row r="4951" spans="2:2" x14ac:dyDescent="0.25">
      <c r="B4951" s="39"/>
    </row>
    <row r="4952" spans="2:2" x14ac:dyDescent="0.25">
      <c r="B4952" s="39"/>
    </row>
    <row r="4953" spans="2:2" x14ac:dyDescent="0.25">
      <c r="B4953" s="39"/>
    </row>
    <row r="4954" spans="2:2" x14ac:dyDescent="0.25">
      <c r="B4954" s="39"/>
    </row>
    <row r="4955" spans="2:2" x14ac:dyDescent="0.25">
      <c r="B4955" s="39"/>
    </row>
    <row r="4956" spans="2:2" x14ac:dyDescent="0.25">
      <c r="B4956" s="39"/>
    </row>
    <row r="4957" spans="2:2" x14ac:dyDescent="0.25">
      <c r="B4957" s="39"/>
    </row>
    <row r="4958" spans="2:2" x14ac:dyDescent="0.25">
      <c r="B4958" s="39"/>
    </row>
    <row r="4959" spans="2:2" x14ac:dyDescent="0.25">
      <c r="B4959" s="39"/>
    </row>
    <row r="4960" spans="2:2" x14ac:dyDescent="0.25">
      <c r="B4960" s="39"/>
    </row>
    <row r="4961" spans="2:2" x14ac:dyDescent="0.25">
      <c r="B4961" s="39"/>
    </row>
    <row r="4962" spans="2:2" x14ac:dyDescent="0.25">
      <c r="B4962" s="39"/>
    </row>
    <row r="4963" spans="2:2" x14ac:dyDescent="0.25">
      <c r="B4963" s="39"/>
    </row>
    <row r="4964" spans="2:2" x14ac:dyDescent="0.25">
      <c r="B4964" s="39"/>
    </row>
    <row r="4965" spans="2:2" x14ac:dyDescent="0.25">
      <c r="B4965" s="39"/>
    </row>
    <row r="4966" spans="2:2" x14ac:dyDescent="0.25">
      <c r="B4966" s="39"/>
    </row>
    <row r="4967" spans="2:2" x14ac:dyDescent="0.25">
      <c r="B4967" s="39"/>
    </row>
    <row r="4968" spans="2:2" x14ac:dyDescent="0.25">
      <c r="B4968" s="39"/>
    </row>
    <row r="4969" spans="2:2" x14ac:dyDescent="0.25">
      <c r="B4969" s="39"/>
    </row>
    <row r="4970" spans="2:2" x14ac:dyDescent="0.25">
      <c r="B4970" s="39"/>
    </row>
    <row r="4971" spans="2:2" x14ac:dyDescent="0.25">
      <c r="B4971" s="39"/>
    </row>
    <row r="4972" spans="2:2" x14ac:dyDescent="0.25">
      <c r="B4972" s="39"/>
    </row>
    <row r="4973" spans="2:2" x14ac:dyDescent="0.25">
      <c r="B4973" s="39"/>
    </row>
    <row r="4974" spans="2:2" x14ac:dyDescent="0.25">
      <c r="B4974" s="39"/>
    </row>
    <row r="4975" spans="2:2" x14ac:dyDescent="0.25">
      <c r="B4975" s="39"/>
    </row>
    <row r="4976" spans="2:2" x14ac:dyDescent="0.25">
      <c r="B4976" s="39"/>
    </row>
    <row r="4977" spans="2:2" x14ac:dyDescent="0.25">
      <c r="B4977" s="39"/>
    </row>
    <row r="4978" spans="2:2" x14ac:dyDescent="0.25">
      <c r="B4978" s="39"/>
    </row>
    <row r="4979" spans="2:2" x14ac:dyDescent="0.25">
      <c r="B4979" s="39"/>
    </row>
    <row r="4980" spans="2:2" x14ac:dyDescent="0.25">
      <c r="B4980" s="39"/>
    </row>
    <row r="4981" spans="2:2" x14ac:dyDescent="0.25">
      <c r="B4981" s="39"/>
    </row>
    <row r="4982" spans="2:2" x14ac:dyDescent="0.25">
      <c r="B4982" s="39"/>
    </row>
    <row r="4983" spans="2:2" x14ac:dyDescent="0.25">
      <c r="B4983" s="39"/>
    </row>
    <row r="4984" spans="2:2" x14ac:dyDescent="0.25">
      <c r="B4984" s="39"/>
    </row>
    <row r="4985" spans="2:2" x14ac:dyDescent="0.25">
      <c r="B4985" s="39"/>
    </row>
    <row r="4986" spans="2:2" x14ac:dyDescent="0.25">
      <c r="B4986" s="39"/>
    </row>
    <row r="4987" spans="2:2" x14ac:dyDescent="0.25">
      <c r="B4987" s="39"/>
    </row>
    <row r="4988" spans="2:2" x14ac:dyDescent="0.25">
      <c r="B4988" s="39"/>
    </row>
    <row r="4989" spans="2:2" x14ac:dyDescent="0.25">
      <c r="B4989" s="39"/>
    </row>
    <row r="4990" spans="2:2" x14ac:dyDescent="0.25">
      <c r="B4990" s="39"/>
    </row>
    <row r="4991" spans="2:2" x14ac:dyDescent="0.25">
      <c r="B4991" s="39"/>
    </row>
    <row r="4992" spans="2:2" x14ac:dyDescent="0.25">
      <c r="B4992" s="39"/>
    </row>
    <row r="4993" spans="2:2" x14ac:dyDescent="0.25">
      <c r="B4993" s="39"/>
    </row>
    <row r="4994" spans="2:2" x14ac:dyDescent="0.25">
      <c r="B4994" s="39"/>
    </row>
    <row r="4995" spans="2:2" x14ac:dyDescent="0.25">
      <c r="B4995" s="39"/>
    </row>
    <row r="4996" spans="2:2" x14ac:dyDescent="0.25">
      <c r="B4996" s="39"/>
    </row>
    <row r="4997" spans="2:2" x14ac:dyDescent="0.25">
      <c r="B4997" s="39"/>
    </row>
    <row r="4998" spans="2:2" x14ac:dyDescent="0.25">
      <c r="B4998" s="39"/>
    </row>
    <row r="4999" spans="2:2" x14ac:dyDescent="0.25">
      <c r="B4999" s="39"/>
    </row>
    <row r="5000" spans="2:2" x14ac:dyDescent="0.25">
      <c r="B5000" s="39"/>
    </row>
    <row r="5001" spans="2:2" x14ac:dyDescent="0.25">
      <c r="B5001" s="39"/>
    </row>
    <row r="5002" spans="2:2" x14ac:dyDescent="0.25">
      <c r="B5002" s="39"/>
    </row>
    <row r="5003" spans="2:2" x14ac:dyDescent="0.25">
      <c r="B5003" s="39"/>
    </row>
    <row r="5004" spans="2:2" x14ac:dyDescent="0.25">
      <c r="B5004" s="39"/>
    </row>
    <row r="5005" spans="2:2" x14ac:dyDescent="0.25">
      <c r="B5005" s="39"/>
    </row>
    <row r="5006" spans="2:2" x14ac:dyDescent="0.25">
      <c r="B5006" s="39"/>
    </row>
    <row r="5007" spans="2:2" x14ac:dyDescent="0.25">
      <c r="B5007" s="39"/>
    </row>
    <row r="5008" spans="2:2" x14ac:dyDescent="0.25">
      <c r="B5008" s="39"/>
    </row>
    <row r="5009" spans="2:2" x14ac:dyDescent="0.25">
      <c r="B5009" s="39"/>
    </row>
    <row r="5010" spans="2:2" x14ac:dyDescent="0.25">
      <c r="B5010" s="39"/>
    </row>
    <row r="5011" spans="2:2" x14ac:dyDescent="0.25">
      <c r="B5011" s="39"/>
    </row>
    <row r="5012" spans="2:2" x14ac:dyDescent="0.25">
      <c r="B5012" s="39"/>
    </row>
    <row r="5013" spans="2:2" x14ac:dyDescent="0.25">
      <c r="B5013" s="39"/>
    </row>
    <row r="5014" spans="2:2" x14ac:dyDescent="0.25">
      <c r="B5014" s="39"/>
    </row>
    <row r="5015" spans="2:2" x14ac:dyDescent="0.25">
      <c r="B5015" s="39"/>
    </row>
    <row r="5016" spans="2:2" x14ac:dyDescent="0.25">
      <c r="B5016" s="39"/>
    </row>
    <row r="5017" spans="2:2" x14ac:dyDescent="0.25">
      <c r="B5017" s="39"/>
    </row>
    <row r="5018" spans="2:2" x14ac:dyDescent="0.25">
      <c r="B5018" s="39"/>
    </row>
    <row r="5019" spans="2:2" x14ac:dyDescent="0.25">
      <c r="B5019" s="39"/>
    </row>
    <row r="5020" spans="2:2" x14ac:dyDescent="0.25">
      <c r="B5020" s="39"/>
    </row>
    <row r="5021" spans="2:2" x14ac:dyDescent="0.25">
      <c r="B5021" s="39"/>
    </row>
    <row r="5022" spans="2:2" x14ac:dyDescent="0.25">
      <c r="B5022" s="39"/>
    </row>
    <row r="5023" spans="2:2" x14ac:dyDescent="0.25">
      <c r="B5023" s="39"/>
    </row>
    <row r="5024" spans="2:2" x14ac:dyDescent="0.25">
      <c r="B5024" s="39"/>
    </row>
    <row r="5025" spans="2:2" x14ac:dyDescent="0.25">
      <c r="B5025" s="39"/>
    </row>
    <row r="5026" spans="2:2" x14ac:dyDescent="0.25">
      <c r="B5026" s="39"/>
    </row>
    <row r="5027" spans="2:2" x14ac:dyDescent="0.25">
      <c r="B5027" s="39"/>
    </row>
    <row r="5028" spans="2:2" x14ac:dyDescent="0.25">
      <c r="B5028" s="39"/>
    </row>
    <row r="5029" spans="2:2" x14ac:dyDescent="0.25">
      <c r="B5029" s="39"/>
    </row>
    <row r="5030" spans="2:2" x14ac:dyDescent="0.25">
      <c r="B5030" s="39"/>
    </row>
    <row r="5031" spans="2:2" x14ac:dyDescent="0.25">
      <c r="B5031" s="39"/>
    </row>
    <row r="5032" spans="2:2" x14ac:dyDescent="0.25">
      <c r="B5032" s="39"/>
    </row>
    <row r="5033" spans="2:2" x14ac:dyDescent="0.25">
      <c r="B5033" s="39"/>
    </row>
    <row r="5034" spans="2:2" x14ac:dyDescent="0.25">
      <c r="B5034" s="39"/>
    </row>
    <row r="5035" spans="2:2" x14ac:dyDescent="0.25">
      <c r="B5035" s="39"/>
    </row>
    <row r="5036" spans="2:2" x14ac:dyDescent="0.25">
      <c r="B5036" s="39"/>
    </row>
    <row r="5037" spans="2:2" x14ac:dyDescent="0.25">
      <c r="B5037" s="39"/>
    </row>
    <row r="5038" spans="2:2" x14ac:dyDescent="0.25">
      <c r="B5038" s="39"/>
    </row>
    <row r="5039" spans="2:2" x14ac:dyDescent="0.25">
      <c r="B5039" s="39"/>
    </row>
    <row r="5040" spans="2:2" x14ac:dyDescent="0.25">
      <c r="B5040" s="39"/>
    </row>
    <row r="5041" spans="2:2" x14ac:dyDescent="0.25">
      <c r="B5041" s="39"/>
    </row>
    <row r="5042" spans="2:2" x14ac:dyDescent="0.25">
      <c r="B5042" s="39"/>
    </row>
    <row r="5043" spans="2:2" x14ac:dyDescent="0.25">
      <c r="B5043" s="39"/>
    </row>
    <row r="5044" spans="2:2" x14ac:dyDescent="0.25">
      <c r="B5044" s="39"/>
    </row>
    <row r="5045" spans="2:2" x14ac:dyDescent="0.25">
      <c r="B5045" s="39"/>
    </row>
    <row r="5046" spans="2:2" x14ac:dyDescent="0.25">
      <c r="B5046" s="39"/>
    </row>
    <row r="5047" spans="2:2" x14ac:dyDescent="0.25">
      <c r="B5047" s="39"/>
    </row>
    <row r="5048" spans="2:2" x14ac:dyDescent="0.25">
      <c r="B5048" s="39"/>
    </row>
    <row r="5049" spans="2:2" x14ac:dyDescent="0.25">
      <c r="B5049" s="39"/>
    </row>
    <row r="5050" spans="2:2" x14ac:dyDescent="0.25">
      <c r="B5050" s="39"/>
    </row>
    <row r="5051" spans="2:2" x14ac:dyDescent="0.25">
      <c r="B5051" s="39"/>
    </row>
    <row r="5052" spans="2:2" x14ac:dyDescent="0.25">
      <c r="B5052" s="39"/>
    </row>
    <row r="5053" spans="2:2" x14ac:dyDescent="0.25">
      <c r="B5053" s="39"/>
    </row>
    <row r="5054" spans="2:2" x14ac:dyDescent="0.25">
      <c r="B5054" s="39"/>
    </row>
    <row r="5055" spans="2:2" x14ac:dyDescent="0.25">
      <c r="B5055" s="39"/>
    </row>
    <row r="5056" spans="2:2" x14ac:dyDescent="0.25">
      <c r="B5056" s="39"/>
    </row>
    <row r="5057" spans="2:2" x14ac:dyDescent="0.25">
      <c r="B5057" s="39"/>
    </row>
    <row r="5058" spans="2:2" x14ac:dyDescent="0.25">
      <c r="B5058" s="39"/>
    </row>
    <row r="5059" spans="2:2" x14ac:dyDescent="0.25">
      <c r="B5059" s="39"/>
    </row>
    <row r="5060" spans="2:2" x14ac:dyDescent="0.25">
      <c r="B5060" s="39"/>
    </row>
    <row r="5061" spans="2:2" x14ac:dyDescent="0.25">
      <c r="B5061" s="39"/>
    </row>
    <row r="5062" spans="2:2" x14ac:dyDescent="0.25">
      <c r="B5062" s="39"/>
    </row>
    <row r="5063" spans="2:2" x14ac:dyDescent="0.25">
      <c r="B5063" s="39"/>
    </row>
    <row r="5064" spans="2:2" x14ac:dyDescent="0.25">
      <c r="B5064" s="39"/>
    </row>
    <row r="5065" spans="2:2" x14ac:dyDescent="0.25">
      <c r="B5065" s="39"/>
    </row>
    <row r="5066" spans="2:2" x14ac:dyDescent="0.25">
      <c r="B5066" s="39"/>
    </row>
    <row r="5067" spans="2:2" x14ac:dyDescent="0.25">
      <c r="B5067" s="39"/>
    </row>
    <row r="5068" spans="2:2" x14ac:dyDescent="0.25">
      <c r="B5068" s="39"/>
    </row>
    <row r="5069" spans="2:2" x14ac:dyDescent="0.25">
      <c r="B5069" s="39"/>
    </row>
    <row r="5070" spans="2:2" x14ac:dyDescent="0.25">
      <c r="B5070" s="39"/>
    </row>
    <row r="5071" spans="2:2" x14ac:dyDescent="0.25">
      <c r="B5071" s="39"/>
    </row>
    <row r="5072" spans="2:2" x14ac:dyDescent="0.25">
      <c r="B5072" s="39"/>
    </row>
    <row r="5073" spans="2:2" x14ac:dyDescent="0.25">
      <c r="B5073" s="39"/>
    </row>
    <row r="5074" spans="2:2" x14ac:dyDescent="0.25">
      <c r="B5074" s="39"/>
    </row>
    <row r="5075" spans="2:2" x14ac:dyDescent="0.25">
      <c r="B5075" s="39"/>
    </row>
    <row r="5076" spans="2:2" x14ac:dyDescent="0.25">
      <c r="B5076" s="39"/>
    </row>
    <row r="5077" spans="2:2" x14ac:dyDescent="0.25">
      <c r="B5077" s="39"/>
    </row>
    <row r="5078" spans="2:2" x14ac:dyDescent="0.25">
      <c r="B5078" s="39"/>
    </row>
    <row r="5079" spans="2:2" x14ac:dyDescent="0.25">
      <c r="B5079" s="39"/>
    </row>
    <row r="5080" spans="2:2" x14ac:dyDescent="0.25">
      <c r="B5080" s="39"/>
    </row>
    <row r="5081" spans="2:2" x14ac:dyDescent="0.25">
      <c r="B5081" s="39"/>
    </row>
    <row r="5082" spans="2:2" x14ac:dyDescent="0.25">
      <c r="B5082" s="39"/>
    </row>
    <row r="5083" spans="2:2" x14ac:dyDescent="0.25">
      <c r="B5083" s="39"/>
    </row>
    <row r="5084" spans="2:2" x14ac:dyDescent="0.25">
      <c r="B5084" s="39"/>
    </row>
    <row r="5085" spans="2:2" x14ac:dyDescent="0.25">
      <c r="B5085" s="39"/>
    </row>
    <row r="5086" spans="2:2" x14ac:dyDescent="0.25">
      <c r="B5086" s="39"/>
    </row>
    <row r="5087" spans="2:2" x14ac:dyDescent="0.25">
      <c r="B5087" s="39"/>
    </row>
    <row r="5088" spans="2:2" x14ac:dyDescent="0.25">
      <c r="B5088" s="39"/>
    </row>
    <row r="5089" spans="2:2" x14ac:dyDescent="0.25">
      <c r="B5089" s="39"/>
    </row>
    <row r="5090" spans="2:2" x14ac:dyDescent="0.25">
      <c r="B5090" s="39"/>
    </row>
    <row r="5091" spans="2:2" x14ac:dyDescent="0.25">
      <c r="B5091" s="39"/>
    </row>
    <row r="5092" spans="2:2" x14ac:dyDescent="0.25">
      <c r="B5092" s="39"/>
    </row>
    <row r="5093" spans="2:2" x14ac:dyDescent="0.25">
      <c r="B5093" s="39"/>
    </row>
    <row r="5094" spans="2:2" x14ac:dyDescent="0.25">
      <c r="B5094" s="39"/>
    </row>
    <row r="5095" spans="2:2" x14ac:dyDescent="0.25">
      <c r="B5095" s="39"/>
    </row>
    <row r="5096" spans="2:2" x14ac:dyDescent="0.25">
      <c r="B5096" s="39"/>
    </row>
    <row r="5097" spans="2:2" x14ac:dyDescent="0.25">
      <c r="B5097" s="39"/>
    </row>
    <row r="5098" spans="2:2" x14ac:dyDescent="0.25">
      <c r="B5098" s="39"/>
    </row>
    <row r="5099" spans="2:2" x14ac:dyDescent="0.25">
      <c r="B5099" s="39"/>
    </row>
    <row r="5100" spans="2:2" x14ac:dyDescent="0.25">
      <c r="B5100" s="39"/>
    </row>
    <row r="5101" spans="2:2" x14ac:dyDescent="0.25">
      <c r="B5101" s="39"/>
    </row>
    <row r="5102" spans="2:2" x14ac:dyDescent="0.25">
      <c r="B5102" s="39"/>
    </row>
    <row r="5103" spans="2:2" x14ac:dyDescent="0.25">
      <c r="B5103" s="39"/>
    </row>
    <row r="5104" spans="2:2" x14ac:dyDescent="0.25">
      <c r="B5104" s="39"/>
    </row>
    <row r="5105" spans="2:2" x14ac:dyDescent="0.25">
      <c r="B5105" s="39"/>
    </row>
    <row r="5106" spans="2:2" x14ac:dyDescent="0.25">
      <c r="B5106" s="39"/>
    </row>
    <row r="5107" spans="2:2" x14ac:dyDescent="0.25">
      <c r="B5107" s="39"/>
    </row>
    <row r="5108" spans="2:2" x14ac:dyDescent="0.25">
      <c r="B5108" s="39"/>
    </row>
    <row r="5109" spans="2:2" x14ac:dyDescent="0.25">
      <c r="B5109" s="39"/>
    </row>
    <row r="5110" spans="2:2" x14ac:dyDescent="0.25">
      <c r="B5110" s="39"/>
    </row>
    <row r="5111" spans="2:2" x14ac:dyDescent="0.25">
      <c r="B5111" s="39"/>
    </row>
    <row r="5112" spans="2:2" x14ac:dyDescent="0.25">
      <c r="B5112" s="39"/>
    </row>
    <row r="5113" spans="2:2" x14ac:dyDescent="0.25">
      <c r="B5113" s="39"/>
    </row>
    <row r="5114" spans="2:2" x14ac:dyDescent="0.25">
      <c r="B5114" s="39"/>
    </row>
    <row r="5115" spans="2:2" x14ac:dyDescent="0.25">
      <c r="B5115" s="39"/>
    </row>
    <row r="5116" spans="2:2" x14ac:dyDescent="0.25">
      <c r="B5116" s="39"/>
    </row>
    <row r="5117" spans="2:2" x14ac:dyDescent="0.25">
      <c r="B5117" s="39"/>
    </row>
    <row r="5118" spans="2:2" x14ac:dyDescent="0.25">
      <c r="B5118" s="39"/>
    </row>
    <row r="5119" spans="2:2" x14ac:dyDescent="0.25">
      <c r="B5119" s="39"/>
    </row>
    <row r="5120" spans="2:2" x14ac:dyDescent="0.25">
      <c r="B5120" s="39"/>
    </row>
    <row r="5121" spans="2:2" x14ac:dyDescent="0.25">
      <c r="B5121" s="39"/>
    </row>
    <row r="5122" spans="2:2" x14ac:dyDescent="0.25">
      <c r="B5122" s="39"/>
    </row>
    <row r="5123" spans="2:2" x14ac:dyDescent="0.25">
      <c r="B5123" s="39"/>
    </row>
    <row r="5124" spans="2:2" x14ac:dyDescent="0.25">
      <c r="B5124" s="39"/>
    </row>
    <row r="5125" spans="2:2" x14ac:dyDescent="0.25">
      <c r="B5125" s="39"/>
    </row>
    <row r="5126" spans="2:2" x14ac:dyDescent="0.25">
      <c r="B5126" s="39"/>
    </row>
    <row r="5127" spans="2:2" x14ac:dyDescent="0.25">
      <c r="B5127" s="39"/>
    </row>
    <row r="5128" spans="2:2" x14ac:dyDescent="0.25">
      <c r="B5128" s="39"/>
    </row>
    <row r="5129" spans="2:2" x14ac:dyDescent="0.25">
      <c r="B5129" s="39"/>
    </row>
    <row r="5130" spans="2:2" x14ac:dyDescent="0.25">
      <c r="B5130" s="39"/>
    </row>
    <row r="5131" spans="2:2" x14ac:dyDescent="0.25">
      <c r="B5131" s="39"/>
    </row>
    <row r="5132" spans="2:2" x14ac:dyDescent="0.25">
      <c r="B5132" s="39"/>
    </row>
    <row r="5133" spans="2:2" x14ac:dyDescent="0.25">
      <c r="B5133" s="39"/>
    </row>
    <row r="5134" spans="2:2" x14ac:dyDescent="0.25">
      <c r="B5134" s="39"/>
    </row>
    <row r="5135" spans="2:2" x14ac:dyDescent="0.25">
      <c r="B5135" s="39"/>
    </row>
    <row r="5136" spans="2:2" x14ac:dyDescent="0.25">
      <c r="B5136" s="39"/>
    </row>
    <row r="5137" spans="2:2" x14ac:dyDescent="0.25">
      <c r="B5137" s="39"/>
    </row>
    <row r="5138" spans="2:2" x14ac:dyDescent="0.25">
      <c r="B5138" s="39"/>
    </row>
    <row r="5139" spans="2:2" x14ac:dyDescent="0.25">
      <c r="B5139" s="39"/>
    </row>
    <row r="5140" spans="2:2" x14ac:dyDescent="0.25">
      <c r="B5140" s="39"/>
    </row>
    <row r="5141" spans="2:2" x14ac:dyDescent="0.25">
      <c r="B5141" s="39"/>
    </row>
    <row r="5142" spans="2:2" x14ac:dyDescent="0.25">
      <c r="B5142" s="39"/>
    </row>
    <row r="5143" spans="2:2" x14ac:dyDescent="0.25">
      <c r="B5143" s="39"/>
    </row>
    <row r="5144" spans="2:2" x14ac:dyDescent="0.25">
      <c r="B5144" s="39"/>
    </row>
    <row r="5145" spans="2:2" x14ac:dyDescent="0.25">
      <c r="B5145" s="39"/>
    </row>
    <row r="5146" spans="2:2" x14ac:dyDescent="0.25">
      <c r="B5146" s="39"/>
    </row>
    <row r="5147" spans="2:2" x14ac:dyDescent="0.25">
      <c r="B5147" s="39"/>
    </row>
    <row r="5148" spans="2:2" x14ac:dyDescent="0.25">
      <c r="B5148" s="39"/>
    </row>
    <row r="5149" spans="2:2" x14ac:dyDescent="0.25">
      <c r="B5149" s="39"/>
    </row>
    <row r="5150" spans="2:2" x14ac:dyDescent="0.25">
      <c r="B5150" s="39"/>
    </row>
    <row r="5151" spans="2:2" x14ac:dyDescent="0.25">
      <c r="B5151" s="39"/>
    </row>
    <row r="5152" spans="2:2" x14ac:dyDescent="0.25">
      <c r="B5152" s="39"/>
    </row>
    <row r="5153" spans="2:2" x14ac:dyDescent="0.25">
      <c r="B5153" s="39"/>
    </row>
    <row r="5154" spans="2:2" x14ac:dyDescent="0.25">
      <c r="B5154" s="39"/>
    </row>
    <row r="5155" spans="2:2" x14ac:dyDescent="0.25">
      <c r="B5155" s="39"/>
    </row>
    <row r="5156" spans="2:2" x14ac:dyDescent="0.25">
      <c r="B5156" s="39"/>
    </row>
    <row r="5157" spans="2:2" x14ac:dyDescent="0.25">
      <c r="B5157" s="39"/>
    </row>
    <row r="5158" spans="2:2" x14ac:dyDescent="0.25">
      <c r="B5158" s="39"/>
    </row>
    <row r="5159" spans="2:2" x14ac:dyDescent="0.25">
      <c r="B5159" s="39"/>
    </row>
    <row r="5160" spans="2:2" x14ac:dyDescent="0.25">
      <c r="B5160" s="39"/>
    </row>
    <row r="5161" spans="2:2" x14ac:dyDescent="0.25">
      <c r="B5161" s="39"/>
    </row>
    <row r="5162" spans="2:2" x14ac:dyDescent="0.25">
      <c r="B5162" s="39"/>
    </row>
    <row r="5163" spans="2:2" x14ac:dyDescent="0.25">
      <c r="B5163" s="39"/>
    </row>
    <row r="5164" spans="2:2" x14ac:dyDescent="0.25">
      <c r="B5164" s="39"/>
    </row>
    <row r="5165" spans="2:2" x14ac:dyDescent="0.25">
      <c r="B5165" s="39"/>
    </row>
    <row r="5166" spans="2:2" x14ac:dyDescent="0.25">
      <c r="B5166" s="39"/>
    </row>
    <row r="5167" spans="2:2" x14ac:dyDescent="0.25">
      <c r="B5167" s="39"/>
    </row>
    <row r="5168" spans="2:2" x14ac:dyDescent="0.25">
      <c r="B5168" s="39"/>
    </row>
    <row r="5169" spans="2:2" x14ac:dyDescent="0.25">
      <c r="B5169" s="39"/>
    </row>
    <row r="5170" spans="2:2" x14ac:dyDescent="0.25">
      <c r="B5170" s="39"/>
    </row>
    <row r="5171" spans="2:2" x14ac:dyDescent="0.25">
      <c r="B5171" s="39"/>
    </row>
    <row r="5172" spans="2:2" x14ac:dyDescent="0.25">
      <c r="B5172" s="39"/>
    </row>
    <row r="5173" spans="2:2" x14ac:dyDescent="0.25">
      <c r="B5173" s="39"/>
    </row>
    <row r="5174" spans="2:2" x14ac:dyDescent="0.25">
      <c r="B5174" s="39"/>
    </row>
    <row r="5175" spans="2:2" x14ac:dyDescent="0.25">
      <c r="B5175" s="39"/>
    </row>
    <row r="5176" spans="2:2" x14ac:dyDescent="0.25">
      <c r="B5176" s="39"/>
    </row>
    <row r="5177" spans="2:2" x14ac:dyDescent="0.25">
      <c r="B5177" s="39"/>
    </row>
    <row r="5178" spans="2:2" x14ac:dyDescent="0.25">
      <c r="B5178" s="39"/>
    </row>
    <row r="5179" spans="2:2" x14ac:dyDescent="0.25">
      <c r="B5179" s="39"/>
    </row>
    <row r="5180" spans="2:2" x14ac:dyDescent="0.25">
      <c r="B5180" s="39"/>
    </row>
    <row r="5181" spans="2:2" x14ac:dyDescent="0.25">
      <c r="B5181" s="39"/>
    </row>
    <row r="5182" spans="2:2" x14ac:dyDescent="0.25">
      <c r="B5182" s="39"/>
    </row>
    <row r="5183" spans="2:2" x14ac:dyDescent="0.25">
      <c r="B5183" s="39"/>
    </row>
    <row r="5184" spans="2:2" x14ac:dyDescent="0.25">
      <c r="B5184" s="39"/>
    </row>
    <row r="5185" spans="2:2" x14ac:dyDescent="0.25">
      <c r="B5185" s="39"/>
    </row>
    <row r="5186" spans="2:2" x14ac:dyDescent="0.25">
      <c r="B5186" s="39"/>
    </row>
    <row r="5187" spans="2:2" x14ac:dyDescent="0.25">
      <c r="B5187" s="39"/>
    </row>
    <row r="5188" spans="2:2" x14ac:dyDescent="0.25">
      <c r="B5188" s="39"/>
    </row>
    <row r="5189" spans="2:2" x14ac:dyDescent="0.25">
      <c r="B5189" s="39"/>
    </row>
    <row r="5190" spans="2:2" x14ac:dyDescent="0.25">
      <c r="B5190" s="39"/>
    </row>
    <row r="5191" spans="2:2" x14ac:dyDescent="0.25">
      <c r="B5191" s="39"/>
    </row>
    <row r="5192" spans="2:2" x14ac:dyDescent="0.25">
      <c r="B5192" s="39"/>
    </row>
    <row r="5193" spans="2:2" x14ac:dyDescent="0.25">
      <c r="B5193" s="39"/>
    </row>
    <row r="5194" spans="2:2" x14ac:dyDescent="0.25">
      <c r="B5194" s="39"/>
    </row>
    <row r="5195" spans="2:2" x14ac:dyDescent="0.25">
      <c r="B5195" s="39"/>
    </row>
    <row r="5196" spans="2:2" x14ac:dyDescent="0.25">
      <c r="B5196" s="39"/>
    </row>
    <row r="5197" spans="2:2" x14ac:dyDescent="0.25">
      <c r="B5197" s="39"/>
    </row>
    <row r="5198" spans="2:2" x14ac:dyDescent="0.25">
      <c r="B5198" s="39"/>
    </row>
    <row r="5199" spans="2:2" x14ac:dyDescent="0.25">
      <c r="B5199" s="39"/>
    </row>
    <row r="5200" spans="2:2" x14ac:dyDescent="0.25">
      <c r="B5200" s="39"/>
    </row>
    <row r="5201" spans="2:2" x14ac:dyDescent="0.25">
      <c r="B5201" s="39"/>
    </row>
    <row r="5202" spans="2:2" x14ac:dyDescent="0.25">
      <c r="B5202" s="39"/>
    </row>
    <row r="5203" spans="2:2" x14ac:dyDescent="0.25">
      <c r="B5203" s="39"/>
    </row>
    <row r="5204" spans="2:2" x14ac:dyDescent="0.25">
      <c r="B5204" s="39"/>
    </row>
    <row r="5205" spans="2:2" x14ac:dyDescent="0.25">
      <c r="B5205" s="39"/>
    </row>
    <row r="5206" spans="2:2" x14ac:dyDescent="0.25">
      <c r="B5206" s="39"/>
    </row>
    <row r="5207" spans="2:2" x14ac:dyDescent="0.25">
      <c r="B5207" s="39"/>
    </row>
    <row r="5208" spans="2:2" x14ac:dyDescent="0.25">
      <c r="B5208" s="39"/>
    </row>
    <row r="5209" spans="2:2" x14ac:dyDescent="0.25">
      <c r="B5209" s="39"/>
    </row>
    <row r="5210" spans="2:2" x14ac:dyDescent="0.25">
      <c r="B5210" s="39"/>
    </row>
    <row r="5211" spans="2:2" x14ac:dyDescent="0.25">
      <c r="B5211" s="39"/>
    </row>
    <row r="5212" spans="2:2" x14ac:dyDescent="0.25">
      <c r="B5212" s="39"/>
    </row>
    <row r="5213" spans="2:2" x14ac:dyDescent="0.25">
      <c r="B5213" s="39"/>
    </row>
    <row r="5214" spans="2:2" x14ac:dyDescent="0.25">
      <c r="B5214" s="39"/>
    </row>
    <row r="5215" spans="2:2" x14ac:dyDescent="0.25">
      <c r="B5215" s="39"/>
    </row>
    <row r="5216" spans="2:2" x14ac:dyDescent="0.25">
      <c r="B5216" s="39"/>
    </row>
    <row r="5217" spans="2:2" x14ac:dyDescent="0.25">
      <c r="B5217" s="39"/>
    </row>
    <row r="5218" spans="2:2" x14ac:dyDescent="0.25">
      <c r="B5218" s="39"/>
    </row>
    <row r="5219" spans="2:2" x14ac:dyDescent="0.25">
      <c r="B5219" s="39"/>
    </row>
    <row r="5220" spans="2:2" x14ac:dyDescent="0.25">
      <c r="B5220" s="39"/>
    </row>
    <row r="5221" spans="2:2" x14ac:dyDescent="0.25">
      <c r="B5221" s="39"/>
    </row>
    <row r="5222" spans="2:2" x14ac:dyDescent="0.25">
      <c r="B5222" s="39"/>
    </row>
    <row r="5223" spans="2:2" x14ac:dyDescent="0.25">
      <c r="B5223" s="39"/>
    </row>
    <row r="5224" spans="2:2" x14ac:dyDescent="0.25">
      <c r="B5224" s="39"/>
    </row>
    <row r="5225" spans="2:2" x14ac:dyDescent="0.25">
      <c r="B5225" s="39"/>
    </row>
    <row r="5226" spans="2:2" x14ac:dyDescent="0.25">
      <c r="B5226" s="39"/>
    </row>
    <row r="5227" spans="2:2" x14ac:dyDescent="0.25">
      <c r="B5227" s="39"/>
    </row>
    <row r="5228" spans="2:2" x14ac:dyDescent="0.25">
      <c r="B5228" s="39"/>
    </row>
    <row r="5229" spans="2:2" x14ac:dyDescent="0.25">
      <c r="B5229" s="39"/>
    </row>
    <row r="5230" spans="2:2" x14ac:dyDescent="0.25">
      <c r="B5230" s="39"/>
    </row>
    <row r="5231" spans="2:2" x14ac:dyDescent="0.25">
      <c r="B5231" s="39"/>
    </row>
    <row r="5232" spans="2:2" x14ac:dyDescent="0.25">
      <c r="B5232" s="39"/>
    </row>
    <row r="5233" spans="2:2" x14ac:dyDescent="0.25">
      <c r="B5233" s="39"/>
    </row>
    <row r="5234" spans="2:2" x14ac:dyDescent="0.25">
      <c r="B5234" s="39"/>
    </row>
    <row r="5235" spans="2:2" x14ac:dyDescent="0.25">
      <c r="B5235" s="39"/>
    </row>
    <row r="5236" spans="2:2" x14ac:dyDescent="0.25">
      <c r="B5236" s="39"/>
    </row>
    <row r="5237" spans="2:2" x14ac:dyDescent="0.25">
      <c r="B5237" s="39"/>
    </row>
    <row r="5238" spans="2:2" x14ac:dyDescent="0.25">
      <c r="B5238" s="39"/>
    </row>
    <row r="5239" spans="2:2" x14ac:dyDescent="0.25">
      <c r="B5239" s="39"/>
    </row>
    <row r="5240" spans="2:2" x14ac:dyDescent="0.25">
      <c r="B5240" s="39"/>
    </row>
    <row r="5241" spans="2:2" x14ac:dyDescent="0.25">
      <c r="B5241" s="39"/>
    </row>
    <row r="5242" spans="2:2" x14ac:dyDescent="0.25">
      <c r="B5242" s="39"/>
    </row>
    <row r="5243" spans="2:2" x14ac:dyDescent="0.25">
      <c r="B5243" s="39"/>
    </row>
    <row r="5244" spans="2:2" x14ac:dyDescent="0.25">
      <c r="B5244" s="39"/>
    </row>
    <row r="5245" spans="2:2" x14ac:dyDescent="0.25">
      <c r="B5245" s="39"/>
    </row>
    <row r="5246" spans="2:2" x14ac:dyDescent="0.25">
      <c r="B5246" s="39"/>
    </row>
    <row r="5247" spans="2:2" x14ac:dyDescent="0.25">
      <c r="B5247" s="39"/>
    </row>
    <row r="5248" spans="2:2" x14ac:dyDescent="0.25">
      <c r="B5248" s="39"/>
    </row>
    <row r="5249" spans="2:2" x14ac:dyDescent="0.25">
      <c r="B5249" s="39"/>
    </row>
    <row r="5250" spans="2:2" x14ac:dyDescent="0.25">
      <c r="B5250" s="39"/>
    </row>
    <row r="5251" spans="2:2" x14ac:dyDescent="0.25">
      <c r="B5251" s="39"/>
    </row>
    <row r="5252" spans="2:2" x14ac:dyDescent="0.25">
      <c r="B5252" s="39"/>
    </row>
    <row r="5253" spans="2:2" x14ac:dyDescent="0.25">
      <c r="B5253" s="39"/>
    </row>
    <row r="5254" spans="2:2" x14ac:dyDescent="0.25">
      <c r="B5254" s="39"/>
    </row>
    <row r="5255" spans="2:2" x14ac:dyDescent="0.25">
      <c r="B5255" s="39"/>
    </row>
    <row r="5256" spans="2:2" x14ac:dyDescent="0.25">
      <c r="B5256" s="39"/>
    </row>
    <row r="5257" spans="2:2" x14ac:dyDescent="0.25">
      <c r="B5257" s="39"/>
    </row>
    <row r="5258" spans="2:2" x14ac:dyDescent="0.25">
      <c r="B5258" s="39"/>
    </row>
    <row r="5259" spans="2:2" x14ac:dyDescent="0.25">
      <c r="B5259" s="39"/>
    </row>
    <row r="5260" spans="2:2" x14ac:dyDescent="0.25">
      <c r="B5260" s="39"/>
    </row>
    <row r="5261" spans="2:2" x14ac:dyDescent="0.25">
      <c r="B5261" s="39"/>
    </row>
    <row r="5262" spans="2:2" x14ac:dyDescent="0.25">
      <c r="B5262" s="39"/>
    </row>
    <row r="5263" spans="2:2" x14ac:dyDescent="0.25">
      <c r="B5263" s="39"/>
    </row>
    <row r="5264" spans="2:2" x14ac:dyDescent="0.25">
      <c r="B5264" s="39"/>
    </row>
    <row r="5265" spans="2:2" x14ac:dyDescent="0.25">
      <c r="B5265" s="39"/>
    </row>
    <row r="5266" spans="2:2" x14ac:dyDescent="0.25">
      <c r="B5266" s="39"/>
    </row>
    <row r="5267" spans="2:2" x14ac:dyDescent="0.25">
      <c r="B5267" s="39"/>
    </row>
    <row r="5268" spans="2:2" x14ac:dyDescent="0.25">
      <c r="B5268" s="39"/>
    </row>
    <row r="5269" spans="2:2" x14ac:dyDescent="0.25">
      <c r="B5269" s="39"/>
    </row>
    <row r="5270" spans="2:2" x14ac:dyDescent="0.25">
      <c r="B5270" s="39"/>
    </row>
    <row r="5271" spans="2:2" x14ac:dyDescent="0.25">
      <c r="B5271" s="39"/>
    </row>
    <row r="5272" spans="2:2" x14ac:dyDescent="0.25">
      <c r="B5272" s="39"/>
    </row>
    <row r="5273" spans="2:2" x14ac:dyDescent="0.25">
      <c r="B5273" s="39"/>
    </row>
    <row r="5274" spans="2:2" x14ac:dyDescent="0.25">
      <c r="B5274" s="39"/>
    </row>
    <row r="5275" spans="2:2" x14ac:dyDescent="0.25">
      <c r="B5275" s="39"/>
    </row>
    <row r="5276" spans="2:2" x14ac:dyDescent="0.25">
      <c r="B5276" s="39"/>
    </row>
    <row r="5277" spans="2:2" x14ac:dyDescent="0.25">
      <c r="B5277" s="39"/>
    </row>
    <row r="5278" spans="2:2" x14ac:dyDescent="0.25">
      <c r="B5278" s="39"/>
    </row>
    <row r="5279" spans="2:2" x14ac:dyDescent="0.25">
      <c r="B5279" s="39"/>
    </row>
    <row r="5280" spans="2:2" x14ac:dyDescent="0.25">
      <c r="B5280" s="39"/>
    </row>
    <row r="5281" spans="2:2" x14ac:dyDescent="0.25">
      <c r="B5281" s="39"/>
    </row>
    <row r="5282" spans="2:2" x14ac:dyDescent="0.25">
      <c r="B5282" s="39"/>
    </row>
    <row r="5283" spans="2:2" x14ac:dyDescent="0.25">
      <c r="B5283" s="39"/>
    </row>
    <row r="5284" spans="2:2" x14ac:dyDescent="0.25">
      <c r="B5284" s="39"/>
    </row>
    <row r="5285" spans="2:2" x14ac:dyDescent="0.25">
      <c r="B5285" s="39"/>
    </row>
    <row r="5286" spans="2:2" x14ac:dyDescent="0.25">
      <c r="B5286" s="39"/>
    </row>
    <row r="5287" spans="2:2" x14ac:dyDescent="0.25">
      <c r="B5287" s="39"/>
    </row>
    <row r="5288" spans="2:2" x14ac:dyDescent="0.25">
      <c r="B5288" s="39"/>
    </row>
    <row r="5289" spans="2:2" x14ac:dyDescent="0.25">
      <c r="B5289" s="39"/>
    </row>
    <row r="5290" spans="2:2" x14ac:dyDescent="0.25">
      <c r="B5290" s="39"/>
    </row>
    <row r="5291" spans="2:2" x14ac:dyDescent="0.25">
      <c r="B5291" s="39"/>
    </row>
    <row r="5292" spans="2:2" x14ac:dyDescent="0.25">
      <c r="B5292" s="39"/>
    </row>
    <row r="5293" spans="2:2" x14ac:dyDescent="0.25">
      <c r="B5293" s="39"/>
    </row>
    <row r="5294" spans="2:2" x14ac:dyDescent="0.25">
      <c r="B5294" s="39"/>
    </row>
    <row r="5295" spans="2:2" x14ac:dyDescent="0.25">
      <c r="B5295" s="39"/>
    </row>
    <row r="5296" spans="2:2" x14ac:dyDescent="0.25">
      <c r="B5296" s="39"/>
    </row>
    <row r="5297" spans="2:2" x14ac:dyDescent="0.25">
      <c r="B5297" s="39"/>
    </row>
    <row r="5298" spans="2:2" x14ac:dyDescent="0.25">
      <c r="B5298" s="39"/>
    </row>
    <row r="5299" spans="2:2" x14ac:dyDescent="0.25">
      <c r="B5299" s="39"/>
    </row>
    <row r="5300" spans="2:2" x14ac:dyDescent="0.25">
      <c r="B5300" s="39"/>
    </row>
    <row r="5301" spans="2:2" x14ac:dyDescent="0.25">
      <c r="B5301" s="39"/>
    </row>
    <row r="5302" spans="2:2" x14ac:dyDescent="0.25">
      <c r="B5302" s="39"/>
    </row>
    <row r="5303" spans="2:2" x14ac:dyDescent="0.25">
      <c r="B5303" s="39"/>
    </row>
    <row r="5304" spans="2:2" x14ac:dyDescent="0.25">
      <c r="B5304" s="39"/>
    </row>
    <row r="5305" spans="2:2" x14ac:dyDescent="0.25">
      <c r="B5305" s="39"/>
    </row>
    <row r="5306" spans="2:2" x14ac:dyDescent="0.25">
      <c r="B5306" s="39"/>
    </row>
    <row r="5307" spans="2:2" x14ac:dyDescent="0.25">
      <c r="B5307" s="39"/>
    </row>
    <row r="5308" spans="2:2" x14ac:dyDescent="0.25">
      <c r="B5308" s="39"/>
    </row>
    <row r="5309" spans="2:2" x14ac:dyDescent="0.25">
      <c r="B5309" s="39"/>
    </row>
    <row r="5310" spans="2:2" x14ac:dyDescent="0.25">
      <c r="B5310" s="39"/>
    </row>
    <row r="5311" spans="2:2" x14ac:dyDescent="0.25">
      <c r="B5311" s="39"/>
    </row>
    <row r="5312" spans="2:2" x14ac:dyDescent="0.25">
      <c r="B5312" s="39"/>
    </row>
    <row r="5313" spans="2:2" x14ac:dyDescent="0.25">
      <c r="B5313" s="39"/>
    </row>
    <row r="5314" spans="2:2" x14ac:dyDescent="0.25">
      <c r="B5314" s="39"/>
    </row>
    <row r="5315" spans="2:2" x14ac:dyDescent="0.25">
      <c r="B5315" s="39"/>
    </row>
    <row r="5316" spans="2:2" x14ac:dyDescent="0.25">
      <c r="B5316" s="39"/>
    </row>
    <row r="5317" spans="2:2" x14ac:dyDescent="0.25">
      <c r="B5317" s="39"/>
    </row>
    <row r="5318" spans="2:2" x14ac:dyDescent="0.25">
      <c r="B5318" s="39"/>
    </row>
    <row r="5319" spans="2:2" x14ac:dyDescent="0.25">
      <c r="B5319" s="39"/>
    </row>
    <row r="5320" spans="2:2" x14ac:dyDescent="0.25">
      <c r="B5320" s="39"/>
    </row>
    <row r="5321" spans="2:2" x14ac:dyDescent="0.25">
      <c r="B5321" s="39"/>
    </row>
    <row r="5322" spans="2:2" x14ac:dyDescent="0.25">
      <c r="B5322" s="39"/>
    </row>
    <row r="5323" spans="2:2" x14ac:dyDescent="0.25">
      <c r="B5323" s="39"/>
    </row>
    <row r="5324" spans="2:2" x14ac:dyDescent="0.25">
      <c r="B5324" s="39"/>
    </row>
    <row r="5325" spans="2:2" x14ac:dyDescent="0.25">
      <c r="B5325" s="39"/>
    </row>
    <row r="5326" spans="2:2" x14ac:dyDescent="0.25">
      <c r="B5326" s="39"/>
    </row>
    <row r="5327" spans="2:2" x14ac:dyDescent="0.25">
      <c r="B5327" s="39"/>
    </row>
    <row r="5328" spans="2:2" x14ac:dyDescent="0.25">
      <c r="B5328" s="39"/>
    </row>
    <row r="5329" spans="2:2" x14ac:dyDescent="0.25">
      <c r="B5329" s="39"/>
    </row>
    <row r="5330" spans="2:2" x14ac:dyDescent="0.25">
      <c r="B5330" s="39"/>
    </row>
    <row r="5331" spans="2:2" x14ac:dyDescent="0.25">
      <c r="B5331" s="39"/>
    </row>
    <row r="5332" spans="2:2" x14ac:dyDescent="0.25">
      <c r="B5332" s="39"/>
    </row>
    <row r="5333" spans="2:2" x14ac:dyDescent="0.25">
      <c r="B5333" s="39"/>
    </row>
    <row r="5334" spans="2:2" x14ac:dyDescent="0.25">
      <c r="B5334" s="39"/>
    </row>
    <row r="5335" spans="2:2" x14ac:dyDescent="0.25">
      <c r="B5335" s="39"/>
    </row>
    <row r="5336" spans="2:2" x14ac:dyDescent="0.25">
      <c r="B5336" s="39"/>
    </row>
    <row r="5337" spans="2:2" x14ac:dyDescent="0.25">
      <c r="B5337" s="39"/>
    </row>
    <row r="5338" spans="2:2" x14ac:dyDescent="0.25">
      <c r="B5338" s="39"/>
    </row>
    <row r="5339" spans="2:2" x14ac:dyDescent="0.25">
      <c r="B5339" s="39"/>
    </row>
    <row r="5340" spans="2:2" x14ac:dyDescent="0.25">
      <c r="B5340" s="39"/>
    </row>
    <row r="5341" spans="2:2" x14ac:dyDescent="0.25">
      <c r="B5341" s="39"/>
    </row>
    <row r="5342" spans="2:2" x14ac:dyDescent="0.25">
      <c r="B5342" s="39"/>
    </row>
    <row r="5343" spans="2:2" x14ac:dyDescent="0.25">
      <c r="B5343" s="39"/>
    </row>
    <row r="5344" spans="2:2" x14ac:dyDescent="0.25">
      <c r="B5344" s="39"/>
    </row>
    <row r="5345" spans="2:2" x14ac:dyDescent="0.25">
      <c r="B5345" s="39"/>
    </row>
    <row r="5346" spans="2:2" x14ac:dyDescent="0.25">
      <c r="B5346" s="39"/>
    </row>
    <row r="5347" spans="2:2" x14ac:dyDescent="0.25">
      <c r="B5347" s="39"/>
    </row>
    <row r="5348" spans="2:2" x14ac:dyDescent="0.25">
      <c r="B5348" s="39"/>
    </row>
    <row r="5349" spans="2:2" x14ac:dyDescent="0.25">
      <c r="B5349" s="39"/>
    </row>
    <row r="5350" spans="2:2" x14ac:dyDescent="0.25">
      <c r="B5350" s="39"/>
    </row>
    <row r="5351" spans="2:2" x14ac:dyDescent="0.25">
      <c r="B5351" s="39"/>
    </row>
    <row r="5352" spans="2:2" x14ac:dyDescent="0.25">
      <c r="B5352" s="39"/>
    </row>
    <row r="5353" spans="2:2" x14ac:dyDescent="0.25">
      <c r="B5353" s="39"/>
    </row>
    <row r="5354" spans="2:2" x14ac:dyDescent="0.25">
      <c r="B5354" s="39"/>
    </row>
    <row r="5355" spans="2:2" x14ac:dyDescent="0.25">
      <c r="B5355" s="39"/>
    </row>
    <row r="5356" spans="2:2" x14ac:dyDescent="0.25">
      <c r="B5356" s="39"/>
    </row>
    <row r="5357" spans="2:2" x14ac:dyDescent="0.25">
      <c r="B5357" s="39"/>
    </row>
    <row r="5358" spans="2:2" x14ac:dyDescent="0.25">
      <c r="B5358" s="39"/>
    </row>
    <row r="5359" spans="2:2" x14ac:dyDescent="0.25">
      <c r="B5359" s="39"/>
    </row>
    <row r="5360" spans="2:2" x14ac:dyDescent="0.25">
      <c r="B5360" s="39"/>
    </row>
    <row r="5361" spans="2:2" x14ac:dyDescent="0.25">
      <c r="B5361" s="39"/>
    </row>
    <row r="5362" spans="2:2" x14ac:dyDescent="0.25">
      <c r="B5362" s="39"/>
    </row>
    <row r="5363" spans="2:2" x14ac:dyDescent="0.25">
      <c r="B5363" s="39"/>
    </row>
    <row r="5364" spans="2:2" x14ac:dyDescent="0.25">
      <c r="B5364" s="39"/>
    </row>
    <row r="5365" spans="2:2" x14ac:dyDescent="0.25">
      <c r="B5365" s="39"/>
    </row>
    <row r="5366" spans="2:2" x14ac:dyDescent="0.25">
      <c r="B5366" s="39"/>
    </row>
    <row r="5367" spans="2:2" x14ac:dyDescent="0.25">
      <c r="B5367" s="39"/>
    </row>
    <row r="5368" spans="2:2" x14ac:dyDescent="0.25">
      <c r="B5368" s="39"/>
    </row>
    <row r="5369" spans="2:2" x14ac:dyDescent="0.25">
      <c r="B5369" s="39"/>
    </row>
    <row r="5370" spans="2:2" x14ac:dyDescent="0.25">
      <c r="B5370" s="39"/>
    </row>
    <row r="5371" spans="2:2" x14ac:dyDescent="0.25">
      <c r="B5371" s="39"/>
    </row>
    <row r="5372" spans="2:2" x14ac:dyDescent="0.25">
      <c r="B5372" s="39"/>
    </row>
    <row r="5373" spans="2:2" x14ac:dyDescent="0.25">
      <c r="B5373" s="39"/>
    </row>
    <row r="5374" spans="2:2" x14ac:dyDescent="0.25">
      <c r="B5374" s="39"/>
    </row>
    <row r="5375" spans="2:2" x14ac:dyDescent="0.25">
      <c r="B5375" s="39"/>
    </row>
    <row r="5376" spans="2:2" x14ac:dyDescent="0.25">
      <c r="B5376" s="39"/>
    </row>
    <row r="5377" spans="2:2" x14ac:dyDescent="0.25">
      <c r="B5377" s="39"/>
    </row>
    <row r="5378" spans="2:2" x14ac:dyDescent="0.25">
      <c r="B5378" s="39"/>
    </row>
    <row r="5379" spans="2:2" x14ac:dyDescent="0.25">
      <c r="B5379" s="39"/>
    </row>
    <row r="5380" spans="2:2" x14ac:dyDescent="0.25">
      <c r="B5380" s="39"/>
    </row>
    <row r="5381" spans="2:2" x14ac:dyDescent="0.25">
      <c r="B5381" s="39"/>
    </row>
    <row r="5382" spans="2:2" x14ac:dyDescent="0.25">
      <c r="B5382" s="39"/>
    </row>
    <row r="5383" spans="2:2" x14ac:dyDescent="0.25">
      <c r="B5383" s="39"/>
    </row>
    <row r="5384" spans="2:2" x14ac:dyDescent="0.25">
      <c r="B5384" s="39"/>
    </row>
    <row r="5385" spans="2:2" x14ac:dyDescent="0.25">
      <c r="B5385" s="39"/>
    </row>
    <row r="5386" spans="2:2" x14ac:dyDescent="0.25">
      <c r="B5386" s="39"/>
    </row>
    <row r="5387" spans="2:2" x14ac:dyDescent="0.25">
      <c r="B5387" s="39"/>
    </row>
    <row r="5388" spans="2:2" x14ac:dyDescent="0.25">
      <c r="B5388" s="39"/>
    </row>
    <row r="5389" spans="2:2" x14ac:dyDescent="0.25">
      <c r="B5389" s="39"/>
    </row>
    <row r="5390" spans="2:2" x14ac:dyDescent="0.25">
      <c r="B5390" s="39"/>
    </row>
    <row r="5391" spans="2:2" x14ac:dyDescent="0.25">
      <c r="B5391" s="39"/>
    </row>
    <row r="5392" spans="2:2" x14ac:dyDescent="0.25">
      <c r="B5392" s="39"/>
    </row>
    <row r="5393" spans="2:2" x14ac:dyDescent="0.25">
      <c r="B5393" s="39"/>
    </row>
    <row r="5394" spans="2:2" x14ac:dyDescent="0.25">
      <c r="B5394" s="39"/>
    </row>
    <row r="5395" spans="2:2" x14ac:dyDescent="0.25">
      <c r="B5395" s="39"/>
    </row>
    <row r="5396" spans="2:2" x14ac:dyDescent="0.25">
      <c r="B5396" s="39"/>
    </row>
    <row r="5397" spans="2:2" x14ac:dyDescent="0.25">
      <c r="B5397" s="39"/>
    </row>
    <row r="5398" spans="2:2" x14ac:dyDescent="0.25">
      <c r="B5398" s="39"/>
    </row>
    <row r="5399" spans="2:2" x14ac:dyDescent="0.25">
      <c r="B5399" s="39"/>
    </row>
    <row r="5400" spans="2:2" x14ac:dyDescent="0.25">
      <c r="B5400" s="39"/>
    </row>
    <row r="5401" spans="2:2" x14ac:dyDescent="0.25">
      <c r="B5401" s="39"/>
    </row>
    <row r="5402" spans="2:2" x14ac:dyDescent="0.25">
      <c r="B5402" s="39"/>
    </row>
    <row r="5403" spans="2:2" x14ac:dyDescent="0.25">
      <c r="B5403" s="39"/>
    </row>
    <row r="5404" spans="2:2" x14ac:dyDescent="0.25">
      <c r="B5404" s="39"/>
    </row>
    <row r="5405" spans="2:2" x14ac:dyDescent="0.25">
      <c r="B5405" s="39"/>
    </row>
    <row r="5406" spans="2:2" x14ac:dyDescent="0.25">
      <c r="B5406" s="39"/>
    </row>
    <row r="5407" spans="2:2" x14ac:dyDescent="0.25">
      <c r="B5407" s="39"/>
    </row>
    <row r="5408" spans="2:2" x14ac:dyDescent="0.25">
      <c r="B5408" s="39"/>
    </row>
    <row r="5409" spans="2:2" x14ac:dyDescent="0.25">
      <c r="B5409" s="39"/>
    </row>
    <row r="5410" spans="2:2" x14ac:dyDescent="0.25">
      <c r="B5410" s="39"/>
    </row>
    <row r="5411" spans="2:2" x14ac:dyDescent="0.25">
      <c r="B5411" s="39"/>
    </row>
    <row r="5412" spans="2:2" x14ac:dyDescent="0.25">
      <c r="B5412" s="39"/>
    </row>
    <row r="5413" spans="2:2" x14ac:dyDescent="0.25">
      <c r="B5413" s="39"/>
    </row>
    <row r="5414" spans="2:2" x14ac:dyDescent="0.25">
      <c r="B5414" s="39"/>
    </row>
    <row r="5415" spans="2:2" x14ac:dyDescent="0.25">
      <c r="B5415" s="39"/>
    </row>
    <row r="5416" spans="2:2" x14ac:dyDescent="0.25">
      <c r="B5416" s="39"/>
    </row>
    <row r="5417" spans="2:2" x14ac:dyDescent="0.25">
      <c r="B5417" s="39"/>
    </row>
    <row r="5418" spans="2:2" x14ac:dyDescent="0.25">
      <c r="B5418" s="39"/>
    </row>
    <row r="5419" spans="2:2" x14ac:dyDescent="0.25">
      <c r="B5419" s="39"/>
    </row>
    <row r="5420" spans="2:2" x14ac:dyDescent="0.25">
      <c r="B5420" s="39"/>
    </row>
    <row r="5421" spans="2:2" x14ac:dyDescent="0.25">
      <c r="B5421" s="39"/>
    </row>
    <row r="5422" spans="2:2" x14ac:dyDescent="0.25">
      <c r="B5422" s="39"/>
    </row>
    <row r="5423" spans="2:2" x14ac:dyDescent="0.25">
      <c r="B5423" s="39"/>
    </row>
    <row r="5424" spans="2:2" x14ac:dyDescent="0.25">
      <c r="B5424" s="39"/>
    </row>
    <row r="5425" spans="2:2" x14ac:dyDescent="0.25">
      <c r="B5425" s="39"/>
    </row>
    <row r="5426" spans="2:2" x14ac:dyDescent="0.25">
      <c r="B5426" s="39"/>
    </row>
    <row r="5427" spans="2:2" x14ac:dyDescent="0.25">
      <c r="B5427" s="39"/>
    </row>
    <row r="5428" spans="2:2" x14ac:dyDescent="0.25">
      <c r="B5428" s="39"/>
    </row>
    <row r="5429" spans="2:2" x14ac:dyDescent="0.25">
      <c r="B5429" s="39"/>
    </row>
    <row r="5430" spans="2:2" x14ac:dyDescent="0.25">
      <c r="B5430" s="39"/>
    </row>
    <row r="5431" spans="2:2" x14ac:dyDescent="0.25">
      <c r="B5431" s="39"/>
    </row>
    <row r="5432" spans="2:2" x14ac:dyDescent="0.25">
      <c r="B5432" s="39"/>
    </row>
    <row r="5433" spans="2:2" x14ac:dyDescent="0.25">
      <c r="B5433" s="39"/>
    </row>
    <row r="5434" spans="2:2" x14ac:dyDescent="0.25">
      <c r="B5434" s="39"/>
    </row>
    <row r="5435" spans="2:2" x14ac:dyDescent="0.25">
      <c r="B5435" s="39"/>
    </row>
    <row r="5436" spans="2:2" x14ac:dyDescent="0.25">
      <c r="B5436" s="39"/>
    </row>
    <row r="5437" spans="2:2" x14ac:dyDescent="0.25">
      <c r="B5437" s="39"/>
    </row>
    <row r="5438" spans="2:2" x14ac:dyDescent="0.25">
      <c r="B5438" s="39"/>
    </row>
    <row r="5439" spans="2:2" x14ac:dyDescent="0.25">
      <c r="B5439" s="39"/>
    </row>
    <row r="5440" spans="2:2" x14ac:dyDescent="0.25">
      <c r="B5440" s="39"/>
    </row>
    <row r="5441" spans="2:2" x14ac:dyDescent="0.25">
      <c r="B5441" s="39"/>
    </row>
    <row r="5442" spans="2:2" x14ac:dyDescent="0.25">
      <c r="B5442" s="39"/>
    </row>
    <row r="5443" spans="2:2" x14ac:dyDescent="0.25">
      <c r="B5443" s="39"/>
    </row>
    <row r="5444" spans="2:2" x14ac:dyDescent="0.25">
      <c r="B5444" s="39"/>
    </row>
    <row r="5445" spans="2:2" x14ac:dyDescent="0.25">
      <c r="B5445" s="39"/>
    </row>
    <row r="5446" spans="2:2" x14ac:dyDescent="0.25">
      <c r="B5446" s="39"/>
    </row>
    <row r="5447" spans="2:2" x14ac:dyDescent="0.25">
      <c r="B5447" s="39"/>
    </row>
    <row r="5448" spans="2:2" x14ac:dyDescent="0.25">
      <c r="B5448" s="39"/>
    </row>
    <row r="5449" spans="2:2" x14ac:dyDescent="0.25">
      <c r="B5449" s="39"/>
    </row>
    <row r="5450" spans="2:2" x14ac:dyDescent="0.25">
      <c r="B5450" s="39"/>
    </row>
    <row r="5451" spans="2:2" x14ac:dyDescent="0.25">
      <c r="B5451" s="39"/>
    </row>
    <row r="5452" spans="2:2" x14ac:dyDescent="0.25">
      <c r="B5452" s="39"/>
    </row>
    <row r="5453" spans="2:2" x14ac:dyDescent="0.25">
      <c r="B5453" s="39"/>
    </row>
    <row r="5454" spans="2:2" x14ac:dyDescent="0.25">
      <c r="B5454" s="39"/>
    </row>
    <row r="5455" spans="2:2" x14ac:dyDescent="0.25">
      <c r="B5455" s="39"/>
    </row>
    <row r="5456" spans="2:2" x14ac:dyDescent="0.25">
      <c r="B5456" s="39"/>
    </row>
    <row r="5457" spans="2:2" x14ac:dyDescent="0.25">
      <c r="B5457" s="39"/>
    </row>
    <row r="5458" spans="2:2" x14ac:dyDescent="0.25">
      <c r="B5458" s="39"/>
    </row>
    <row r="5459" spans="2:2" x14ac:dyDescent="0.25">
      <c r="B5459" s="39"/>
    </row>
    <row r="5460" spans="2:2" x14ac:dyDescent="0.25">
      <c r="B5460" s="39"/>
    </row>
    <row r="5461" spans="2:2" x14ac:dyDescent="0.25">
      <c r="B5461" s="39"/>
    </row>
    <row r="5462" spans="2:2" x14ac:dyDescent="0.25">
      <c r="B5462" s="39"/>
    </row>
    <row r="5463" spans="2:2" x14ac:dyDescent="0.25">
      <c r="B5463" s="39"/>
    </row>
    <row r="5464" spans="2:2" x14ac:dyDescent="0.25">
      <c r="B5464" s="39"/>
    </row>
    <row r="5465" spans="2:2" x14ac:dyDescent="0.25">
      <c r="B5465" s="39"/>
    </row>
    <row r="5466" spans="2:2" x14ac:dyDescent="0.25">
      <c r="B5466" s="39"/>
    </row>
    <row r="5467" spans="2:2" x14ac:dyDescent="0.25">
      <c r="B5467" s="39"/>
    </row>
    <row r="5468" spans="2:2" x14ac:dyDescent="0.25">
      <c r="B5468" s="39"/>
    </row>
    <row r="5469" spans="2:2" x14ac:dyDescent="0.25">
      <c r="B5469" s="39"/>
    </row>
    <row r="5470" spans="2:2" x14ac:dyDescent="0.25">
      <c r="B5470" s="39"/>
    </row>
    <row r="5471" spans="2:2" x14ac:dyDescent="0.25">
      <c r="B5471" s="39"/>
    </row>
    <row r="5472" spans="2:2" x14ac:dyDescent="0.25">
      <c r="B5472" s="39"/>
    </row>
    <row r="5473" spans="2:2" x14ac:dyDescent="0.25">
      <c r="B5473" s="39"/>
    </row>
    <row r="5474" spans="2:2" x14ac:dyDescent="0.25">
      <c r="B5474" s="39"/>
    </row>
    <row r="5475" spans="2:2" x14ac:dyDescent="0.25">
      <c r="B5475" s="39"/>
    </row>
    <row r="5476" spans="2:2" x14ac:dyDescent="0.25">
      <c r="B5476" s="39"/>
    </row>
    <row r="5477" spans="2:2" x14ac:dyDescent="0.25">
      <c r="B5477" s="39"/>
    </row>
    <row r="5478" spans="2:2" x14ac:dyDescent="0.25">
      <c r="B5478" s="39"/>
    </row>
    <row r="5479" spans="2:2" x14ac:dyDescent="0.25">
      <c r="B5479" s="39"/>
    </row>
    <row r="5480" spans="2:2" x14ac:dyDescent="0.25">
      <c r="B5480" s="39"/>
    </row>
    <row r="5481" spans="2:2" x14ac:dyDescent="0.25">
      <c r="B5481" s="39"/>
    </row>
    <row r="5482" spans="2:2" x14ac:dyDescent="0.25">
      <c r="B5482" s="39"/>
    </row>
    <row r="5483" spans="2:2" x14ac:dyDescent="0.25">
      <c r="B5483" s="39"/>
    </row>
    <row r="5484" spans="2:2" x14ac:dyDescent="0.25">
      <c r="B5484" s="39"/>
    </row>
    <row r="5485" spans="2:2" x14ac:dyDescent="0.25">
      <c r="B5485" s="39"/>
    </row>
    <row r="5486" spans="2:2" x14ac:dyDescent="0.25">
      <c r="B5486" s="39"/>
    </row>
    <row r="5487" spans="2:2" x14ac:dyDescent="0.25">
      <c r="B5487" s="39"/>
    </row>
    <row r="5488" spans="2:2" x14ac:dyDescent="0.25">
      <c r="B5488" s="39"/>
    </row>
    <row r="5489" spans="2:2" x14ac:dyDescent="0.25">
      <c r="B5489" s="39"/>
    </row>
    <row r="5490" spans="2:2" x14ac:dyDescent="0.25">
      <c r="B5490" s="39"/>
    </row>
    <row r="5491" spans="2:2" x14ac:dyDescent="0.25">
      <c r="B5491" s="39"/>
    </row>
    <row r="5492" spans="2:2" x14ac:dyDescent="0.25">
      <c r="B5492" s="39"/>
    </row>
    <row r="5493" spans="2:2" x14ac:dyDescent="0.25">
      <c r="B5493" s="39"/>
    </row>
    <row r="5494" spans="2:2" x14ac:dyDescent="0.25">
      <c r="B5494" s="39"/>
    </row>
    <row r="5495" spans="2:2" x14ac:dyDescent="0.25">
      <c r="B5495" s="39"/>
    </row>
    <row r="5496" spans="2:2" x14ac:dyDescent="0.25">
      <c r="B5496" s="39"/>
    </row>
    <row r="5497" spans="2:2" x14ac:dyDescent="0.25">
      <c r="B5497" s="39"/>
    </row>
    <row r="5498" spans="2:2" x14ac:dyDescent="0.25">
      <c r="B5498" s="39"/>
    </row>
    <row r="5499" spans="2:2" x14ac:dyDescent="0.25">
      <c r="B5499" s="39"/>
    </row>
    <row r="5500" spans="2:2" x14ac:dyDescent="0.25">
      <c r="B5500" s="39"/>
    </row>
    <row r="5501" spans="2:2" x14ac:dyDescent="0.25">
      <c r="B5501" s="39"/>
    </row>
    <row r="5502" spans="2:2" x14ac:dyDescent="0.25">
      <c r="B5502" s="39"/>
    </row>
    <row r="5503" spans="2:2" x14ac:dyDescent="0.25">
      <c r="B5503" s="39"/>
    </row>
    <row r="5504" spans="2:2" x14ac:dyDescent="0.25">
      <c r="B5504" s="39"/>
    </row>
    <row r="5505" spans="2:2" x14ac:dyDescent="0.25">
      <c r="B5505" s="39"/>
    </row>
    <row r="5506" spans="2:2" x14ac:dyDescent="0.25">
      <c r="B5506" s="39"/>
    </row>
    <row r="5507" spans="2:2" x14ac:dyDescent="0.25">
      <c r="B5507" s="39"/>
    </row>
    <row r="5508" spans="2:2" x14ac:dyDescent="0.25">
      <c r="B5508" s="39"/>
    </row>
    <row r="5509" spans="2:2" x14ac:dyDescent="0.25">
      <c r="B5509" s="39"/>
    </row>
    <row r="5510" spans="2:2" x14ac:dyDescent="0.25">
      <c r="B5510" s="39"/>
    </row>
    <row r="5511" spans="2:2" x14ac:dyDescent="0.25">
      <c r="B5511" s="39"/>
    </row>
    <row r="5512" spans="2:2" x14ac:dyDescent="0.25">
      <c r="B5512" s="39"/>
    </row>
    <row r="5513" spans="2:2" x14ac:dyDescent="0.25">
      <c r="B5513" s="39"/>
    </row>
    <row r="5514" spans="2:2" x14ac:dyDescent="0.25">
      <c r="B5514" s="39"/>
    </row>
    <row r="5515" spans="2:2" x14ac:dyDescent="0.25">
      <c r="B5515" s="39"/>
    </row>
    <row r="5516" spans="2:2" x14ac:dyDescent="0.25">
      <c r="B5516" s="39"/>
    </row>
    <row r="5517" spans="2:2" x14ac:dyDescent="0.25">
      <c r="B5517" s="39"/>
    </row>
    <row r="5518" spans="2:2" x14ac:dyDescent="0.25">
      <c r="B5518" s="39"/>
    </row>
    <row r="5519" spans="2:2" x14ac:dyDescent="0.25">
      <c r="B5519" s="39"/>
    </row>
    <row r="5520" spans="2:2" x14ac:dyDescent="0.25">
      <c r="B5520" s="39"/>
    </row>
    <row r="5521" spans="2:2" x14ac:dyDescent="0.25">
      <c r="B5521" s="39"/>
    </row>
    <row r="5522" spans="2:2" x14ac:dyDescent="0.25">
      <c r="B5522" s="39"/>
    </row>
    <row r="5523" spans="2:2" x14ac:dyDescent="0.25">
      <c r="B5523" s="39"/>
    </row>
    <row r="5524" spans="2:2" x14ac:dyDescent="0.25">
      <c r="B5524" s="39"/>
    </row>
    <row r="5525" spans="2:2" x14ac:dyDescent="0.25">
      <c r="B5525" s="39"/>
    </row>
    <row r="5526" spans="2:2" x14ac:dyDescent="0.25">
      <c r="B5526" s="39"/>
    </row>
    <row r="5527" spans="2:2" x14ac:dyDescent="0.25">
      <c r="B5527" s="39"/>
    </row>
    <row r="5528" spans="2:2" x14ac:dyDescent="0.25">
      <c r="B5528" s="39"/>
    </row>
    <row r="5529" spans="2:2" x14ac:dyDescent="0.25">
      <c r="B5529" s="39"/>
    </row>
    <row r="5530" spans="2:2" x14ac:dyDescent="0.25">
      <c r="B5530" s="39"/>
    </row>
    <row r="5531" spans="2:2" x14ac:dyDescent="0.25">
      <c r="B5531" s="39"/>
    </row>
    <row r="5532" spans="2:2" x14ac:dyDescent="0.25">
      <c r="B5532" s="39"/>
    </row>
    <row r="5533" spans="2:2" x14ac:dyDescent="0.25">
      <c r="B5533" s="39"/>
    </row>
    <row r="5534" spans="2:2" x14ac:dyDescent="0.25">
      <c r="B5534" s="39"/>
    </row>
    <row r="5535" spans="2:2" x14ac:dyDescent="0.25">
      <c r="B5535" s="39"/>
    </row>
    <row r="5536" spans="2:2" x14ac:dyDescent="0.25">
      <c r="B5536" s="39"/>
    </row>
    <row r="5537" spans="2:2" x14ac:dyDescent="0.25">
      <c r="B5537" s="39"/>
    </row>
    <row r="5538" spans="2:2" x14ac:dyDescent="0.25">
      <c r="B5538" s="39"/>
    </row>
    <row r="5539" spans="2:2" x14ac:dyDescent="0.25">
      <c r="B5539" s="39"/>
    </row>
    <row r="5540" spans="2:2" x14ac:dyDescent="0.25">
      <c r="B5540" s="39"/>
    </row>
    <row r="5541" spans="2:2" x14ac:dyDescent="0.25">
      <c r="B5541" s="39"/>
    </row>
    <row r="5542" spans="2:2" x14ac:dyDescent="0.25">
      <c r="B5542" s="39"/>
    </row>
    <row r="5543" spans="2:2" x14ac:dyDescent="0.25">
      <c r="B5543" s="39"/>
    </row>
    <row r="5544" spans="2:2" x14ac:dyDescent="0.25">
      <c r="B5544" s="39"/>
    </row>
    <row r="5545" spans="2:2" x14ac:dyDescent="0.25">
      <c r="B5545" s="39"/>
    </row>
    <row r="5546" spans="2:2" x14ac:dyDescent="0.25">
      <c r="B5546" s="39"/>
    </row>
    <row r="5547" spans="2:2" x14ac:dyDescent="0.25">
      <c r="B5547" s="39"/>
    </row>
    <row r="5548" spans="2:2" x14ac:dyDescent="0.25">
      <c r="B5548" s="39"/>
    </row>
    <row r="5549" spans="2:2" x14ac:dyDescent="0.25">
      <c r="B5549" s="39"/>
    </row>
    <row r="5550" spans="2:2" x14ac:dyDescent="0.25">
      <c r="B5550" s="39"/>
    </row>
    <row r="5551" spans="2:2" x14ac:dyDescent="0.25">
      <c r="B5551" s="39"/>
    </row>
    <row r="5552" spans="2:2" x14ac:dyDescent="0.25">
      <c r="B5552" s="39"/>
    </row>
    <row r="5553" spans="2:2" x14ac:dyDescent="0.25">
      <c r="B5553" s="39"/>
    </row>
    <row r="5554" spans="2:2" x14ac:dyDescent="0.25">
      <c r="B5554" s="39"/>
    </row>
    <row r="5555" spans="2:2" x14ac:dyDescent="0.25">
      <c r="B5555" s="39"/>
    </row>
    <row r="5556" spans="2:2" x14ac:dyDescent="0.25">
      <c r="B5556" s="39"/>
    </row>
    <row r="5557" spans="2:2" x14ac:dyDescent="0.25">
      <c r="B5557" s="39"/>
    </row>
    <row r="5558" spans="2:2" x14ac:dyDescent="0.25">
      <c r="B5558" s="39"/>
    </row>
    <row r="5559" spans="2:2" x14ac:dyDescent="0.25">
      <c r="B5559" s="39"/>
    </row>
    <row r="5560" spans="2:2" x14ac:dyDescent="0.25">
      <c r="B5560" s="39"/>
    </row>
    <row r="5561" spans="2:2" x14ac:dyDescent="0.25">
      <c r="B5561" s="39"/>
    </row>
    <row r="5562" spans="2:2" x14ac:dyDescent="0.25">
      <c r="B5562" s="39"/>
    </row>
    <row r="5563" spans="2:2" x14ac:dyDescent="0.25">
      <c r="B5563" s="39"/>
    </row>
    <row r="5564" spans="2:2" x14ac:dyDescent="0.25">
      <c r="B5564" s="39"/>
    </row>
    <row r="5565" spans="2:2" x14ac:dyDescent="0.25">
      <c r="B5565" s="39"/>
    </row>
    <row r="5566" spans="2:2" x14ac:dyDescent="0.25">
      <c r="B5566" s="39"/>
    </row>
    <row r="5567" spans="2:2" x14ac:dyDescent="0.25">
      <c r="B5567" s="39"/>
    </row>
    <row r="5568" spans="2:2" x14ac:dyDescent="0.25">
      <c r="B5568" s="39"/>
    </row>
    <row r="5569" spans="2:2" x14ac:dyDescent="0.25">
      <c r="B5569" s="39"/>
    </row>
    <row r="5570" spans="2:2" x14ac:dyDescent="0.25">
      <c r="B5570" s="39"/>
    </row>
    <row r="5571" spans="2:2" x14ac:dyDescent="0.25">
      <c r="B5571" s="39"/>
    </row>
    <row r="5572" spans="2:2" x14ac:dyDescent="0.25">
      <c r="B5572" s="39"/>
    </row>
    <row r="5573" spans="2:2" x14ac:dyDescent="0.25">
      <c r="B5573" s="39"/>
    </row>
    <row r="5574" spans="2:2" x14ac:dyDescent="0.25">
      <c r="B5574" s="39"/>
    </row>
    <row r="5575" spans="2:2" x14ac:dyDescent="0.25">
      <c r="B5575" s="39"/>
    </row>
    <row r="5576" spans="2:2" x14ac:dyDescent="0.25">
      <c r="B5576" s="39"/>
    </row>
    <row r="5577" spans="2:2" x14ac:dyDescent="0.25">
      <c r="B5577" s="39"/>
    </row>
    <row r="5578" spans="2:2" x14ac:dyDescent="0.25">
      <c r="B5578" s="39"/>
    </row>
    <row r="5579" spans="2:2" x14ac:dyDescent="0.25">
      <c r="B5579" s="39"/>
    </row>
    <row r="5580" spans="2:2" x14ac:dyDescent="0.25">
      <c r="B5580" s="39"/>
    </row>
    <row r="5581" spans="2:2" x14ac:dyDescent="0.25">
      <c r="B5581" s="39"/>
    </row>
    <row r="5582" spans="2:2" x14ac:dyDescent="0.25">
      <c r="B5582" s="39"/>
    </row>
    <row r="5583" spans="2:2" x14ac:dyDescent="0.25">
      <c r="B5583" s="39"/>
    </row>
    <row r="5584" spans="2:2" x14ac:dyDescent="0.25">
      <c r="B5584" s="39"/>
    </row>
    <row r="5585" spans="2:2" x14ac:dyDescent="0.25">
      <c r="B5585" s="39"/>
    </row>
    <row r="5586" spans="2:2" x14ac:dyDescent="0.25">
      <c r="B5586" s="39"/>
    </row>
    <row r="5587" spans="2:2" x14ac:dyDescent="0.25">
      <c r="B5587" s="39"/>
    </row>
    <row r="5588" spans="2:2" x14ac:dyDescent="0.25">
      <c r="B5588" s="39"/>
    </row>
    <row r="5589" spans="2:2" x14ac:dyDescent="0.25">
      <c r="B5589" s="39"/>
    </row>
    <row r="5590" spans="2:2" x14ac:dyDescent="0.25">
      <c r="B5590" s="39"/>
    </row>
    <row r="5591" spans="2:2" x14ac:dyDescent="0.25">
      <c r="B5591" s="39"/>
    </row>
    <row r="5592" spans="2:2" x14ac:dyDescent="0.25">
      <c r="B5592" s="39"/>
    </row>
    <row r="5593" spans="2:2" x14ac:dyDescent="0.25">
      <c r="B5593" s="39"/>
    </row>
    <row r="5594" spans="2:2" x14ac:dyDescent="0.25">
      <c r="B5594" s="39"/>
    </row>
    <row r="5595" spans="2:2" x14ac:dyDescent="0.25">
      <c r="B5595" s="39"/>
    </row>
    <row r="5596" spans="2:2" x14ac:dyDescent="0.25">
      <c r="B5596" s="39"/>
    </row>
    <row r="5597" spans="2:2" x14ac:dyDescent="0.25">
      <c r="B5597" s="39"/>
    </row>
    <row r="5598" spans="2:2" x14ac:dyDescent="0.25">
      <c r="B5598" s="39"/>
    </row>
    <row r="5599" spans="2:2" x14ac:dyDescent="0.25">
      <c r="B5599" s="39"/>
    </row>
    <row r="5600" spans="2:2" x14ac:dyDescent="0.25">
      <c r="B5600" s="39"/>
    </row>
    <row r="5601" spans="2:2" x14ac:dyDescent="0.25">
      <c r="B5601" s="39"/>
    </row>
    <row r="5602" spans="2:2" x14ac:dyDescent="0.25">
      <c r="B5602" s="39"/>
    </row>
    <row r="5603" spans="2:2" x14ac:dyDescent="0.25">
      <c r="B5603" s="39"/>
    </row>
    <row r="5604" spans="2:2" x14ac:dyDescent="0.25">
      <c r="B5604" s="39"/>
    </row>
    <row r="5605" spans="2:2" x14ac:dyDescent="0.25">
      <c r="B5605" s="39"/>
    </row>
    <row r="5606" spans="2:2" x14ac:dyDescent="0.25">
      <c r="B5606" s="39"/>
    </row>
    <row r="5607" spans="2:2" x14ac:dyDescent="0.25">
      <c r="B5607" s="39"/>
    </row>
    <row r="5608" spans="2:2" x14ac:dyDescent="0.25">
      <c r="B5608" s="39"/>
    </row>
    <row r="5609" spans="2:2" x14ac:dyDescent="0.25">
      <c r="B5609" s="39"/>
    </row>
    <row r="5610" spans="2:2" x14ac:dyDescent="0.25">
      <c r="B5610" s="39"/>
    </row>
    <row r="5611" spans="2:2" x14ac:dyDescent="0.25">
      <c r="B5611" s="39"/>
    </row>
    <row r="5612" spans="2:2" x14ac:dyDescent="0.25">
      <c r="B5612" s="39"/>
    </row>
    <row r="5613" spans="2:2" x14ac:dyDescent="0.25">
      <c r="B5613" s="39"/>
    </row>
    <row r="5614" spans="2:2" x14ac:dyDescent="0.25">
      <c r="B5614" s="39"/>
    </row>
    <row r="5615" spans="2:2" x14ac:dyDescent="0.25">
      <c r="B5615" s="39"/>
    </row>
    <row r="5616" spans="2:2" x14ac:dyDescent="0.25">
      <c r="B5616" s="39"/>
    </row>
    <row r="5617" spans="2:2" x14ac:dyDescent="0.25">
      <c r="B5617" s="39"/>
    </row>
    <row r="5618" spans="2:2" x14ac:dyDescent="0.25">
      <c r="B5618" s="39"/>
    </row>
    <row r="5619" spans="2:2" x14ac:dyDescent="0.25">
      <c r="B5619" s="39"/>
    </row>
    <row r="5620" spans="2:2" x14ac:dyDescent="0.25">
      <c r="B5620" s="39"/>
    </row>
    <row r="5621" spans="2:2" x14ac:dyDescent="0.25">
      <c r="B5621" s="39"/>
    </row>
    <row r="5622" spans="2:2" x14ac:dyDescent="0.25">
      <c r="B5622" s="39"/>
    </row>
    <row r="5623" spans="2:2" x14ac:dyDescent="0.25">
      <c r="B5623" s="39"/>
    </row>
    <row r="5624" spans="2:2" x14ac:dyDescent="0.25">
      <c r="B5624" s="39"/>
    </row>
    <row r="5625" spans="2:2" x14ac:dyDescent="0.25">
      <c r="B5625" s="39"/>
    </row>
    <row r="5626" spans="2:2" x14ac:dyDescent="0.25">
      <c r="B5626" s="39"/>
    </row>
    <row r="5627" spans="2:2" x14ac:dyDescent="0.25">
      <c r="B5627" s="39"/>
    </row>
    <row r="5628" spans="2:2" x14ac:dyDescent="0.25">
      <c r="B5628" s="39"/>
    </row>
    <row r="5629" spans="2:2" x14ac:dyDescent="0.25">
      <c r="B5629" s="39"/>
    </row>
    <row r="5630" spans="2:2" x14ac:dyDescent="0.25">
      <c r="B5630" s="39"/>
    </row>
    <row r="5631" spans="2:2" x14ac:dyDescent="0.25">
      <c r="B5631" s="39"/>
    </row>
    <row r="5632" spans="2:2" x14ac:dyDescent="0.25">
      <c r="B5632" s="39"/>
    </row>
    <row r="5633" spans="2:2" x14ac:dyDescent="0.25">
      <c r="B5633" s="39"/>
    </row>
    <row r="5634" spans="2:2" x14ac:dyDescent="0.25">
      <c r="B5634" s="39"/>
    </row>
    <row r="5635" spans="2:2" x14ac:dyDescent="0.25">
      <c r="B5635" s="39"/>
    </row>
    <row r="5636" spans="2:2" x14ac:dyDescent="0.25">
      <c r="B5636" s="39"/>
    </row>
    <row r="5637" spans="2:2" x14ac:dyDescent="0.25">
      <c r="B5637" s="39"/>
    </row>
    <row r="5638" spans="2:2" x14ac:dyDescent="0.25">
      <c r="B5638" s="39"/>
    </row>
    <row r="5639" spans="2:2" x14ac:dyDescent="0.25">
      <c r="B5639" s="39"/>
    </row>
    <row r="5640" spans="2:2" x14ac:dyDescent="0.25">
      <c r="B5640" s="39"/>
    </row>
    <row r="5641" spans="2:2" x14ac:dyDescent="0.25">
      <c r="B5641" s="39"/>
    </row>
    <row r="5642" spans="2:2" x14ac:dyDescent="0.25">
      <c r="B5642" s="39"/>
    </row>
    <row r="5643" spans="2:2" x14ac:dyDescent="0.25">
      <c r="B5643" s="39"/>
    </row>
    <row r="5644" spans="2:2" x14ac:dyDescent="0.25">
      <c r="B5644" s="39"/>
    </row>
    <row r="5645" spans="2:2" x14ac:dyDescent="0.25">
      <c r="B5645" s="39"/>
    </row>
    <row r="5646" spans="2:2" x14ac:dyDescent="0.25">
      <c r="B5646" s="39"/>
    </row>
    <row r="5647" spans="2:2" x14ac:dyDescent="0.25">
      <c r="B5647" s="39"/>
    </row>
    <row r="5648" spans="2:2" x14ac:dyDescent="0.25">
      <c r="B5648" s="39"/>
    </row>
    <row r="5649" spans="2:2" x14ac:dyDescent="0.25">
      <c r="B5649" s="39"/>
    </row>
    <row r="5650" spans="2:2" x14ac:dyDescent="0.25">
      <c r="B5650" s="39"/>
    </row>
    <row r="5651" spans="2:2" x14ac:dyDescent="0.25">
      <c r="B5651" s="39"/>
    </row>
    <row r="5652" spans="2:2" x14ac:dyDescent="0.25">
      <c r="B5652" s="39"/>
    </row>
    <row r="5653" spans="2:2" x14ac:dyDescent="0.25">
      <c r="B5653" s="39"/>
    </row>
    <row r="5654" spans="2:2" x14ac:dyDescent="0.25">
      <c r="B5654" s="39"/>
    </row>
    <row r="5655" spans="2:2" x14ac:dyDescent="0.25">
      <c r="B5655" s="39"/>
    </row>
    <row r="5656" spans="2:2" x14ac:dyDescent="0.25">
      <c r="B5656" s="39"/>
    </row>
    <row r="5657" spans="2:2" x14ac:dyDescent="0.25">
      <c r="B5657" s="39"/>
    </row>
    <row r="5658" spans="2:2" x14ac:dyDescent="0.25">
      <c r="B5658" s="39"/>
    </row>
    <row r="5659" spans="2:2" x14ac:dyDescent="0.25">
      <c r="B5659" s="39"/>
    </row>
    <row r="5660" spans="2:2" x14ac:dyDescent="0.25">
      <c r="B5660" s="39"/>
    </row>
    <row r="5661" spans="2:2" x14ac:dyDescent="0.25">
      <c r="B5661" s="39"/>
    </row>
    <row r="5662" spans="2:2" x14ac:dyDescent="0.25">
      <c r="B5662" s="39"/>
    </row>
    <row r="5663" spans="2:2" x14ac:dyDescent="0.25">
      <c r="B5663" s="39"/>
    </row>
    <row r="5664" spans="2:2" x14ac:dyDescent="0.25">
      <c r="B5664" s="39"/>
    </row>
    <row r="5665" spans="2:2" x14ac:dyDescent="0.25">
      <c r="B5665" s="39"/>
    </row>
    <row r="5666" spans="2:2" x14ac:dyDescent="0.25">
      <c r="B5666" s="39"/>
    </row>
    <row r="5667" spans="2:2" x14ac:dyDescent="0.25">
      <c r="B5667" s="39"/>
    </row>
    <row r="5668" spans="2:2" x14ac:dyDescent="0.25">
      <c r="B5668" s="39"/>
    </row>
    <row r="5669" spans="2:2" x14ac:dyDescent="0.25">
      <c r="B5669" s="39"/>
    </row>
    <row r="5670" spans="2:2" x14ac:dyDescent="0.25">
      <c r="B5670" s="39"/>
    </row>
    <row r="5671" spans="2:2" x14ac:dyDescent="0.25">
      <c r="B5671" s="39"/>
    </row>
    <row r="5672" spans="2:2" x14ac:dyDescent="0.25">
      <c r="B5672" s="39"/>
    </row>
    <row r="5673" spans="2:2" x14ac:dyDescent="0.25">
      <c r="B5673" s="39"/>
    </row>
    <row r="5674" spans="2:2" x14ac:dyDescent="0.25">
      <c r="B5674" s="39"/>
    </row>
    <row r="5675" spans="2:2" x14ac:dyDescent="0.25">
      <c r="B5675" s="39"/>
    </row>
    <row r="5676" spans="2:2" x14ac:dyDescent="0.25">
      <c r="B5676" s="39"/>
    </row>
    <row r="5677" spans="2:2" x14ac:dyDescent="0.25">
      <c r="B5677" s="39"/>
    </row>
    <row r="5678" spans="2:2" x14ac:dyDescent="0.25">
      <c r="B5678" s="39"/>
    </row>
    <row r="5679" spans="2:2" x14ac:dyDescent="0.25">
      <c r="B5679" s="39"/>
    </row>
    <row r="5680" spans="2:2" x14ac:dyDescent="0.25">
      <c r="B5680" s="39"/>
    </row>
    <row r="5681" spans="2:2" x14ac:dyDescent="0.25">
      <c r="B5681" s="39"/>
    </row>
    <row r="5682" spans="2:2" x14ac:dyDescent="0.25">
      <c r="B5682" s="39"/>
    </row>
    <row r="5683" spans="2:2" x14ac:dyDescent="0.25">
      <c r="B5683" s="39"/>
    </row>
    <row r="5684" spans="2:2" x14ac:dyDescent="0.25">
      <c r="B5684" s="39"/>
    </row>
    <row r="5685" spans="2:2" x14ac:dyDescent="0.25">
      <c r="B5685" s="39"/>
    </row>
    <row r="5686" spans="2:2" x14ac:dyDescent="0.25">
      <c r="B5686" s="39"/>
    </row>
    <row r="5687" spans="2:2" x14ac:dyDescent="0.25">
      <c r="B5687" s="39"/>
    </row>
    <row r="5688" spans="2:2" x14ac:dyDescent="0.25">
      <c r="B5688" s="39"/>
    </row>
    <row r="5689" spans="2:2" x14ac:dyDescent="0.25">
      <c r="B5689" s="39"/>
    </row>
    <row r="5690" spans="2:2" x14ac:dyDescent="0.25">
      <c r="B5690" s="39"/>
    </row>
    <row r="5691" spans="2:2" x14ac:dyDescent="0.25">
      <c r="B5691" s="39"/>
    </row>
    <row r="5692" spans="2:2" x14ac:dyDescent="0.25">
      <c r="B5692" s="39"/>
    </row>
    <row r="5693" spans="2:2" x14ac:dyDescent="0.25">
      <c r="B5693" s="39"/>
    </row>
    <row r="5694" spans="2:2" x14ac:dyDescent="0.25">
      <c r="B5694" s="39"/>
    </row>
    <row r="5695" spans="2:2" x14ac:dyDescent="0.25">
      <c r="B5695" s="39"/>
    </row>
    <row r="5696" spans="2:2" x14ac:dyDescent="0.25">
      <c r="B5696" s="39"/>
    </row>
    <row r="5697" spans="2:2" x14ac:dyDescent="0.25">
      <c r="B5697" s="39"/>
    </row>
    <row r="5698" spans="2:2" x14ac:dyDescent="0.25">
      <c r="B5698" s="39"/>
    </row>
    <row r="5699" spans="2:2" x14ac:dyDescent="0.25">
      <c r="B5699" s="39"/>
    </row>
    <row r="5700" spans="2:2" x14ac:dyDescent="0.25">
      <c r="B5700" s="39"/>
    </row>
    <row r="5701" spans="2:2" x14ac:dyDescent="0.25">
      <c r="B5701" s="39"/>
    </row>
    <row r="5702" spans="2:2" x14ac:dyDescent="0.25">
      <c r="B5702" s="39"/>
    </row>
    <row r="5703" spans="2:2" x14ac:dyDescent="0.25">
      <c r="B5703" s="39"/>
    </row>
    <row r="5704" spans="2:2" x14ac:dyDescent="0.25">
      <c r="B5704" s="39"/>
    </row>
    <row r="5705" spans="2:2" x14ac:dyDescent="0.25">
      <c r="B5705" s="39"/>
    </row>
    <row r="5706" spans="2:2" x14ac:dyDescent="0.25">
      <c r="B5706" s="39"/>
    </row>
    <row r="5707" spans="2:2" x14ac:dyDescent="0.25">
      <c r="B5707" s="39"/>
    </row>
    <row r="5708" spans="2:2" x14ac:dyDescent="0.25">
      <c r="B5708" s="39"/>
    </row>
    <row r="5709" spans="2:2" x14ac:dyDescent="0.25">
      <c r="B5709" s="39"/>
    </row>
    <row r="5710" spans="2:2" x14ac:dyDescent="0.25">
      <c r="B5710" s="39"/>
    </row>
    <row r="5711" spans="2:2" x14ac:dyDescent="0.25">
      <c r="B5711" s="39"/>
    </row>
    <row r="5712" spans="2:2" x14ac:dyDescent="0.25">
      <c r="B5712" s="39"/>
    </row>
    <row r="5713" spans="2:2" x14ac:dyDescent="0.25">
      <c r="B5713" s="39"/>
    </row>
    <row r="5714" spans="2:2" x14ac:dyDescent="0.25">
      <c r="B5714" s="39"/>
    </row>
    <row r="5715" spans="2:2" x14ac:dyDescent="0.25">
      <c r="B5715" s="39"/>
    </row>
    <row r="5716" spans="2:2" x14ac:dyDescent="0.25">
      <c r="B5716" s="39"/>
    </row>
    <row r="5717" spans="2:2" x14ac:dyDescent="0.25">
      <c r="B5717" s="39"/>
    </row>
    <row r="5718" spans="2:2" x14ac:dyDescent="0.25">
      <c r="B5718" s="39"/>
    </row>
    <row r="5719" spans="2:2" x14ac:dyDescent="0.25">
      <c r="B5719" s="39"/>
    </row>
    <row r="5720" spans="2:2" x14ac:dyDescent="0.25">
      <c r="B5720" s="39"/>
    </row>
    <row r="5721" spans="2:2" x14ac:dyDescent="0.25">
      <c r="B5721" s="39"/>
    </row>
    <row r="5722" spans="2:2" x14ac:dyDescent="0.25">
      <c r="B5722" s="39"/>
    </row>
    <row r="5723" spans="2:2" x14ac:dyDescent="0.25">
      <c r="B5723" s="39"/>
    </row>
    <row r="5724" spans="2:2" x14ac:dyDescent="0.25">
      <c r="B5724" s="39"/>
    </row>
    <row r="5725" spans="2:2" x14ac:dyDescent="0.25">
      <c r="B5725" s="39"/>
    </row>
    <row r="5726" spans="2:2" x14ac:dyDescent="0.25">
      <c r="B5726" s="39"/>
    </row>
    <row r="5727" spans="2:2" x14ac:dyDescent="0.25">
      <c r="B5727" s="39"/>
    </row>
    <row r="5728" spans="2:2" x14ac:dyDescent="0.25">
      <c r="B5728" s="39"/>
    </row>
    <row r="5729" spans="2:2" x14ac:dyDescent="0.25">
      <c r="B5729" s="39"/>
    </row>
    <row r="5730" spans="2:2" x14ac:dyDescent="0.25">
      <c r="B5730" s="39"/>
    </row>
    <row r="5731" spans="2:2" x14ac:dyDescent="0.25">
      <c r="B5731" s="39"/>
    </row>
    <row r="5732" spans="2:2" x14ac:dyDescent="0.25">
      <c r="B5732" s="39"/>
    </row>
    <row r="5733" spans="2:2" x14ac:dyDescent="0.25">
      <c r="B5733" s="39"/>
    </row>
    <row r="5734" spans="2:2" x14ac:dyDescent="0.25">
      <c r="B5734" s="39"/>
    </row>
    <row r="5735" spans="2:2" x14ac:dyDescent="0.25">
      <c r="B5735" s="39"/>
    </row>
    <row r="5736" spans="2:2" x14ac:dyDescent="0.25">
      <c r="B5736" s="39"/>
    </row>
    <row r="5737" spans="2:2" x14ac:dyDescent="0.25">
      <c r="B5737" s="39"/>
    </row>
    <row r="5738" spans="2:2" x14ac:dyDescent="0.25">
      <c r="B5738" s="39"/>
    </row>
    <row r="5739" spans="2:2" x14ac:dyDescent="0.25">
      <c r="B5739" s="39"/>
    </row>
    <row r="5740" spans="2:2" x14ac:dyDescent="0.25">
      <c r="B5740" s="39"/>
    </row>
    <row r="5741" spans="2:2" x14ac:dyDescent="0.25">
      <c r="B5741" s="39"/>
    </row>
    <row r="5742" spans="2:2" x14ac:dyDescent="0.25">
      <c r="B5742" s="39"/>
    </row>
    <row r="5743" spans="2:2" x14ac:dyDescent="0.25">
      <c r="B5743" s="39"/>
    </row>
    <row r="5744" spans="2:2" x14ac:dyDescent="0.25">
      <c r="B5744" s="39"/>
    </row>
    <row r="5745" spans="2:2" x14ac:dyDescent="0.25">
      <c r="B5745" s="39"/>
    </row>
    <row r="5746" spans="2:2" x14ac:dyDescent="0.25">
      <c r="B5746" s="39"/>
    </row>
    <row r="5747" spans="2:2" x14ac:dyDescent="0.25">
      <c r="B5747" s="39"/>
    </row>
    <row r="5748" spans="2:2" x14ac:dyDescent="0.25">
      <c r="B5748" s="39"/>
    </row>
    <row r="5749" spans="2:2" x14ac:dyDescent="0.25">
      <c r="B5749" s="39"/>
    </row>
    <row r="5750" spans="2:2" x14ac:dyDescent="0.25">
      <c r="B5750" s="39"/>
    </row>
    <row r="5751" spans="2:2" x14ac:dyDescent="0.25">
      <c r="B5751" s="39"/>
    </row>
    <row r="5752" spans="2:2" x14ac:dyDescent="0.25">
      <c r="B5752" s="39"/>
    </row>
    <row r="5753" spans="2:2" x14ac:dyDescent="0.25">
      <c r="B5753" s="39"/>
    </row>
    <row r="5754" spans="2:2" x14ac:dyDescent="0.25">
      <c r="B5754" s="39"/>
    </row>
    <row r="5755" spans="2:2" x14ac:dyDescent="0.25">
      <c r="B5755" s="39"/>
    </row>
    <row r="5756" spans="2:2" x14ac:dyDescent="0.25">
      <c r="B5756" s="39"/>
    </row>
    <row r="5757" spans="2:2" x14ac:dyDescent="0.25">
      <c r="B5757" s="39"/>
    </row>
    <row r="5758" spans="2:2" x14ac:dyDescent="0.25">
      <c r="B5758" s="39"/>
    </row>
    <row r="5759" spans="2:2" x14ac:dyDescent="0.25">
      <c r="B5759" s="39"/>
    </row>
    <row r="5760" spans="2:2" x14ac:dyDescent="0.25">
      <c r="B5760" s="39"/>
    </row>
    <row r="5761" spans="2:2" x14ac:dyDescent="0.25">
      <c r="B5761" s="39"/>
    </row>
    <row r="5762" spans="2:2" x14ac:dyDescent="0.25">
      <c r="B5762" s="39"/>
    </row>
    <row r="5763" spans="2:2" x14ac:dyDescent="0.25">
      <c r="B5763" s="39"/>
    </row>
    <row r="5764" spans="2:2" x14ac:dyDescent="0.25">
      <c r="B5764" s="39"/>
    </row>
    <row r="5765" spans="2:2" x14ac:dyDescent="0.25">
      <c r="B5765" s="39"/>
    </row>
    <row r="5766" spans="2:2" x14ac:dyDescent="0.25">
      <c r="B5766" s="39"/>
    </row>
    <row r="5767" spans="2:2" x14ac:dyDescent="0.25">
      <c r="B5767" s="39"/>
    </row>
    <row r="5768" spans="2:2" x14ac:dyDescent="0.25">
      <c r="B5768" s="39"/>
    </row>
    <row r="5769" spans="2:2" x14ac:dyDescent="0.25">
      <c r="B5769" s="39"/>
    </row>
    <row r="5770" spans="2:2" x14ac:dyDescent="0.25">
      <c r="B5770" s="39"/>
    </row>
    <row r="5771" spans="2:2" x14ac:dyDescent="0.25">
      <c r="B5771" s="39"/>
    </row>
    <row r="5772" spans="2:2" x14ac:dyDescent="0.25">
      <c r="B5772" s="39"/>
    </row>
    <row r="5773" spans="2:2" x14ac:dyDescent="0.25">
      <c r="B5773" s="39"/>
    </row>
    <row r="5774" spans="2:2" x14ac:dyDescent="0.25">
      <c r="B5774" s="39"/>
    </row>
    <row r="5775" spans="2:2" x14ac:dyDescent="0.25">
      <c r="B5775" s="39"/>
    </row>
    <row r="5776" spans="2:2" x14ac:dyDescent="0.25">
      <c r="B5776" s="39"/>
    </row>
    <row r="5777" spans="2:2" x14ac:dyDescent="0.25">
      <c r="B5777" s="39"/>
    </row>
    <row r="5778" spans="2:2" x14ac:dyDescent="0.25">
      <c r="B5778" s="39"/>
    </row>
    <row r="5779" spans="2:2" x14ac:dyDescent="0.25">
      <c r="B5779" s="39"/>
    </row>
    <row r="5780" spans="2:2" x14ac:dyDescent="0.25">
      <c r="B5780" s="39"/>
    </row>
    <row r="5781" spans="2:2" x14ac:dyDescent="0.25">
      <c r="B5781" s="39"/>
    </row>
    <row r="5782" spans="2:2" x14ac:dyDescent="0.25">
      <c r="B5782" s="39"/>
    </row>
    <row r="5783" spans="2:2" x14ac:dyDescent="0.25">
      <c r="B5783" s="39"/>
    </row>
    <row r="5784" spans="2:2" x14ac:dyDescent="0.25">
      <c r="B5784" s="39"/>
    </row>
    <row r="5785" spans="2:2" x14ac:dyDescent="0.25">
      <c r="B5785" s="39"/>
    </row>
    <row r="5786" spans="2:2" x14ac:dyDescent="0.25">
      <c r="B5786" s="39"/>
    </row>
    <row r="5787" spans="2:2" x14ac:dyDescent="0.25">
      <c r="B5787" s="39"/>
    </row>
    <row r="5788" spans="2:2" x14ac:dyDescent="0.25">
      <c r="B5788" s="39"/>
    </row>
    <row r="5789" spans="2:2" x14ac:dyDescent="0.25">
      <c r="B5789" s="39"/>
    </row>
    <row r="5790" spans="2:2" x14ac:dyDescent="0.25">
      <c r="B5790" s="39"/>
    </row>
    <row r="5791" spans="2:2" x14ac:dyDescent="0.25">
      <c r="B5791" s="39"/>
    </row>
    <row r="5792" spans="2:2" x14ac:dyDescent="0.25">
      <c r="B5792" s="39"/>
    </row>
    <row r="5793" spans="2:2" x14ac:dyDescent="0.25">
      <c r="B5793" s="39"/>
    </row>
    <row r="5794" spans="2:2" x14ac:dyDescent="0.25">
      <c r="B5794" s="39"/>
    </row>
    <row r="5795" spans="2:2" x14ac:dyDescent="0.25">
      <c r="B5795" s="39"/>
    </row>
    <row r="5796" spans="2:2" x14ac:dyDescent="0.25">
      <c r="B5796" s="39"/>
    </row>
    <row r="5797" spans="2:2" x14ac:dyDescent="0.25">
      <c r="B5797" s="39"/>
    </row>
    <row r="5798" spans="2:2" x14ac:dyDescent="0.25">
      <c r="B5798" s="39"/>
    </row>
    <row r="5799" spans="2:2" x14ac:dyDescent="0.25">
      <c r="B5799" s="39"/>
    </row>
    <row r="5800" spans="2:2" x14ac:dyDescent="0.25">
      <c r="B5800" s="39"/>
    </row>
    <row r="5801" spans="2:2" x14ac:dyDescent="0.25">
      <c r="B5801" s="39"/>
    </row>
    <row r="5802" spans="2:2" x14ac:dyDescent="0.25">
      <c r="B5802" s="39"/>
    </row>
    <row r="5803" spans="2:2" x14ac:dyDescent="0.25">
      <c r="B5803" s="39"/>
    </row>
    <row r="5804" spans="2:2" x14ac:dyDescent="0.25">
      <c r="B5804" s="39"/>
    </row>
    <row r="5805" spans="2:2" x14ac:dyDescent="0.25">
      <c r="B5805" s="39"/>
    </row>
    <row r="5806" spans="2:2" x14ac:dyDescent="0.25">
      <c r="B5806" s="39"/>
    </row>
    <row r="5807" spans="2:2" x14ac:dyDescent="0.25">
      <c r="B5807" s="39"/>
    </row>
    <row r="5808" spans="2:2" x14ac:dyDescent="0.25">
      <c r="B5808" s="39"/>
    </row>
    <row r="5809" spans="2:2" x14ac:dyDescent="0.25">
      <c r="B5809" s="39"/>
    </row>
    <row r="5810" spans="2:2" x14ac:dyDescent="0.25">
      <c r="B5810" s="39"/>
    </row>
    <row r="5811" spans="2:2" x14ac:dyDescent="0.25">
      <c r="B5811" s="39"/>
    </row>
    <row r="5812" spans="2:2" x14ac:dyDescent="0.25">
      <c r="B5812" s="39"/>
    </row>
    <row r="5813" spans="2:2" x14ac:dyDescent="0.25">
      <c r="B5813" s="39"/>
    </row>
    <row r="5814" spans="2:2" x14ac:dyDescent="0.25">
      <c r="B5814" s="39"/>
    </row>
    <row r="5815" spans="2:2" x14ac:dyDescent="0.25">
      <c r="B5815" s="39"/>
    </row>
    <row r="5816" spans="2:2" x14ac:dyDescent="0.25">
      <c r="B5816" s="39"/>
    </row>
    <row r="5817" spans="2:2" x14ac:dyDescent="0.25">
      <c r="B5817" s="39"/>
    </row>
    <row r="5818" spans="2:2" x14ac:dyDescent="0.25">
      <c r="B5818" s="39"/>
    </row>
    <row r="5819" spans="2:2" x14ac:dyDescent="0.25">
      <c r="B5819" s="39"/>
    </row>
    <row r="5820" spans="2:2" x14ac:dyDescent="0.25">
      <c r="B5820" s="39"/>
    </row>
    <row r="5821" spans="2:2" x14ac:dyDescent="0.25">
      <c r="B5821" s="39"/>
    </row>
    <row r="5822" spans="2:2" x14ac:dyDescent="0.25">
      <c r="B5822" s="39"/>
    </row>
    <row r="5823" spans="2:2" x14ac:dyDescent="0.25">
      <c r="B5823" s="39"/>
    </row>
    <row r="5824" spans="2:2" x14ac:dyDescent="0.25">
      <c r="B5824" s="39"/>
    </row>
    <row r="5825" spans="2:2" x14ac:dyDescent="0.25">
      <c r="B5825" s="39"/>
    </row>
    <row r="5826" spans="2:2" x14ac:dyDescent="0.25">
      <c r="B5826" s="39"/>
    </row>
    <row r="5827" spans="2:2" x14ac:dyDescent="0.25">
      <c r="B5827" s="39"/>
    </row>
    <row r="5828" spans="2:2" x14ac:dyDescent="0.25">
      <c r="B5828" s="39"/>
    </row>
    <row r="5829" spans="2:2" x14ac:dyDescent="0.25">
      <c r="B5829" s="39"/>
    </row>
    <row r="5830" spans="2:2" x14ac:dyDescent="0.25">
      <c r="B5830" s="39"/>
    </row>
    <row r="5831" spans="2:2" x14ac:dyDescent="0.25">
      <c r="B5831" s="39"/>
    </row>
    <row r="5832" spans="2:2" x14ac:dyDescent="0.25">
      <c r="B5832" s="39"/>
    </row>
    <row r="5833" spans="2:2" x14ac:dyDescent="0.25">
      <c r="B5833" s="39"/>
    </row>
    <row r="5834" spans="2:2" x14ac:dyDescent="0.25">
      <c r="B5834" s="39"/>
    </row>
    <row r="5835" spans="2:2" x14ac:dyDescent="0.25">
      <c r="B5835" s="39"/>
    </row>
    <row r="5836" spans="2:2" x14ac:dyDescent="0.25">
      <c r="B5836" s="39"/>
    </row>
    <row r="5837" spans="2:2" x14ac:dyDescent="0.25">
      <c r="B5837" s="39"/>
    </row>
    <row r="5838" spans="2:2" x14ac:dyDescent="0.25">
      <c r="B5838" s="39"/>
    </row>
    <row r="5839" spans="2:2" x14ac:dyDescent="0.25">
      <c r="B5839" s="39"/>
    </row>
    <row r="5840" spans="2:2" x14ac:dyDescent="0.25">
      <c r="B5840" s="39"/>
    </row>
    <row r="5841" spans="2:2" x14ac:dyDescent="0.25">
      <c r="B5841" s="39"/>
    </row>
    <row r="5842" spans="2:2" x14ac:dyDescent="0.25">
      <c r="B5842" s="39"/>
    </row>
    <row r="5843" spans="2:2" x14ac:dyDescent="0.25">
      <c r="B5843" s="39"/>
    </row>
    <row r="5844" spans="2:2" x14ac:dyDescent="0.25">
      <c r="B5844" s="39"/>
    </row>
    <row r="5845" spans="2:2" x14ac:dyDescent="0.25">
      <c r="B5845" s="39"/>
    </row>
    <row r="5846" spans="2:2" x14ac:dyDescent="0.25">
      <c r="B5846" s="39"/>
    </row>
    <row r="5847" spans="2:2" x14ac:dyDescent="0.25">
      <c r="B5847" s="39"/>
    </row>
    <row r="5848" spans="2:2" x14ac:dyDescent="0.25">
      <c r="B5848" s="39"/>
    </row>
    <row r="5849" spans="2:2" x14ac:dyDescent="0.25">
      <c r="B5849" s="39"/>
    </row>
    <row r="5850" spans="2:2" x14ac:dyDescent="0.25">
      <c r="B5850" s="39"/>
    </row>
    <row r="5851" spans="2:2" x14ac:dyDescent="0.25">
      <c r="B5851" s="39"/>
    </row>
    <row r="5852" spans="2:2" x14ac:dyDescent="0.25">
      <c r="B5852" s="39"/>
    </row>
    <row r="5853" spans="2:2" x14ac:dyDescent="0.25">
      <c r="B5853" s="39"/>
    </row>
    <row r="5854" spans="2:2" x14ac:dyDescent="0.25">
      <c r="B5854" s="39"/>
    </row>
    <row r="5855" spans="2:2" x14ac:dyDescent="0.25">
      <c r="B5855" s="39"/>
    </row>
    <row r="5856" spans="2:2" x14ac:dyDescent="0.25">
      <c r="B5856" s="39"/>
    </row>
    <row r="5857" spans="2:2" x14ac:dyDescent="0.25">
      <c r="B5857" s="39"/>
    </row>
    <row r="5858" spans="2:2" x14ac:dyDescent="0.25">
      <c r="B5858" s="39"/>
    </row>
    <row r="5859" spans="2:2" x14ac:dyDescent="0.25">
      <c r="B5859" s="39"/>
    </row>
    <row r="5860" spans="2:2" x14ac:dyDescent="0.25">
      <c r="B5860" s="39"/>
    </row>
    <row r="5861" spans="2:2" x14ac:dyDescent="0.25">
      <c r="B5861" s="39"/>
    </row>
    <row r="5862" spans="2:2" x14ac:dyDescent="0.25">
      <c r="B5862" s="39"/>
    </row>
    <row r="5863" spans="2:2" x14ac:dyDescent="0.25">
      <c r="B5863" s="39"/>
    </row>
    <row r="5864" spans="2:2" x14ac:dyDescent="0.25">
      <c r="B5864" s="39"/>
    </row>
    <row r="5865" spans="2:2" x14ac:dyDescent="0.25">
      <c r="B5865" s="39"/>
    </row>
    <row r="5866" spans="2:2" x14ac:dyDescent="0.25">
      <c r="B5866" s="39"/>
    </row>
    <row r="5867" spans="2:2" x14ac:dyDescent="0.25">
      <c r="B5867" s="39"/>
    </row>
    <row r="5868" spans="2:2" x14ac:dyDescent="0.25">
      <c r="B5868" s="39"/>
    </row>
    <row r="5869" spans="2:2" x14ac:dyDescent="0.25">
      <c r="B5869" s="39"/>
    </row>
    <row r="5870" spans="2:2" x14ac:dyDescent="0.25">
      <c r="B5870" s="39"/>
    </row>
    <row r="5871" spans="2:2" x14ac:dyDescent="0.25">
      <c r="B5871" s="39"/>
    </row>
    <row r="5872" spans="2:2" x14ac:dyDescent="0.25">
      <c r="B5872" s="39"/>
    </row>
    <row r="5873" spans="2:2" x14ac:dyDescent="0.25">
      <c r="B5873" s="39"/>
    </row>
    <row r="5874" spans="2:2" x14ac:dyDescent="0.25">
      <c r="B5874" s="39"/>
    </row>
    <row r="5875" spans="2:2" x14ac:dyDescent="0.25">
      <c r="B5875" s="39"/>
    </row>
    <row r="5876" spans="2:2" x14ac:dyDescent="0.25">
      <c r="B5876" s="39"/>
    </row>
    <row r="5877" spans="2:2" x14ac:dyDescent="0.25">
      <c r="B5877" s="39"/>
    </row>
    <row r="5878" spans="2:2" x14ac:dyDescent="0.25">
      <c r="B5878" s="39"/>
    </row>
    <row r="5879" spans="2:2" x14ac:dyDescent="0.25">
      <c r="B5879" s="39"/>
    </row>
    <row r="5880" spans="2:2" x14ac:dyDescent="0.25">
      <c r="B5880" s="39"/>
    </row>
    <row r="5881" spans="2:2" x14ac:dyDescent="0.25">
      <c r="B5881" s="39"/>
    </row>
    <row r="5882" spans="2:2" x14ac:dyDescent="0.25">
      <c r="B5882" s="39"/>
    </row>
    <row r="5883" spans="2:2" x14ac:dyDescent="0.25">
      <c r="B5883" s="39"/>
    </row>
    <row r="5884" spans="2:2" x14ac:dyDescent="0.25">
      <c r="B5884" s="39"/>
    </row>
    <row r="5885" spans="2:2" x14ac:dyDescent="0.25">
      <c r="B5885" s="39"/>
    </row>
    <row r="5886" spans="2:2" x14ac:dyDescent="0.25">
      <c r="B5886" s="39"/>
    </row>
    <row r="5887" spans="2:2" x14ac:dyDescent="0.25">
      <c r="B5887" s="39"/>
    </row>
    <row r="5888" spans="2:2" x14ac:dyDescent="0.25">
      <c r="B5888" s="39"/>
    </row>
    <row r="5889" spans="2:2" x14ac:dyDescent="0.25">
      <c r="B5889" s="39"/>
    </row>
    <row r="5890" spans="2:2" x14ac:dyDescent="0.25">
      <c r="B5890" s="39"/>
    </row>
    <row r="5891" spans="2:2" x14ac:dyDescent="0.25">
      <c r="B5891" s="39"/>
    </row>
    <row r="5892" spans="2:2" x14ac:dyDescent="0.25">
      <c r="B5892" s="39"/>
    </row>
    <row r="5893" spans="2:2" x14ac:dyDescent="0.25">
      <c r="B5893" s="39"/>
    </row>
    <row r="5894" spans="2:2" x14ac:dyDescent="0.25">
      <c r="B5894" s="39"/>
    </row>
    <row r="5895" spans="2:2" x14ac:dyDescent="0.25">
      <c r="B5895" s="39"/>
    </row>
    <row r="5896" spans="2:2" x14ac:dyDescent="0.25">
      <c r="B5896" s="39"/>
    </row>
    <row r="5897" spans="2:2" x14ac:dyDescent="0.25">
      <c r="B5897" s="39"/>
    </row>
    <row r="5898" spans="2:2" x14ac:dyDescent="0.25">
      <c r="B5898" s="39"/>
    </row>
    <row r="5899" spans="2:2" x14ac:dyDescent="0.25">
      <c r="B5899" s="39"/>
    </row>
    <row r="5900" spans="2:2" x14ac:dyDescent="0.25">
      <c r="B5900" s="39"/>
    </row>
    <row r="5901" spans="2:2" x14ac:dyDescent="0.25">
      <c r="B5901" s="39"/>
    </row>
    <row r="5902" spans="2:2" x14ac:dyDescent="0.25">
      <c r="B5902" s="39"/>
    </row>
    <row r="5903" spans="2:2" x14ac:dyDescent="0.25">
      <c r="B5903" s="39"/>
    </row>
    <row r="5904" spans="2:2" x14ac:dyDescent="0.25">
      <c r="B5904" s="39"/>
    </row>
    <row r="5905" spans="2:2" x14ac:dyDescent="0.25">
      <c r="B5905" s="39"/>
    </row>
    <row r="5906" spans="2:2" x14ac:dyDescent="0.25">
      <c r="B5906" s="39"/>
    </row>
    <row r="5907" spans="2:2" x14ac:dyDescent="0.25">
      <c r="B5907" s="39"/>
    </row>
    <row r="5908" spans="2:2" x14ac:dyDescent="0.25">
      <c r="B5908" s="39"/>
    </row>
    <row r="5909" spans="2:2" x14ac:dyDescent="0.25">
      <c r="B5909" s="39"/>
    </row>
    <row r="5910" spans="2:2" x14ac:dyDescent="0.25">
      <c r="B5910" s="39"/>
    </row>
    <row r="5911" spans="2:2" x14ac:dyDescent="0.25">
      <c r="B5911" s="39"/>
    </row>
    <row r="5912" spans="2:2" x14ac:dyDescent="0.25">
      <c r="B5912" s="39"/>
    </row>
    <row r="5913" spans="2:2" x14ac:dyDescent="0.25">
      <c r="B5913" s="39"/>
    </row>
    <row r="5914" spans="2:2" x14ac:dyDescent="0.25">
      <c r="B5914" s="39"/>
    </row>
    <row r="5915" spans="2:2" x14ac:dyDescent="0.25">
      <c r="B5915" s="39"/>
    </row>
    <row r="5916" spans="2:2" x14ac:dyDescent="0.25">
      <c r="B5916" s="39"/>
    </row>
    <row r="5917" spans="2:2" x14ac:dyDescent="0.25">
      <c r="B5917" s="39"/>
    </row>
    <row r="5918" spans="2:2" x14ac:dyDescent="0.25">
      <c r="B5918" s="39"/>
    </row>
    <row r="5919" spans="2:2" x14ac:dyDescent="0.25">
      <c r="B5919" s="39"/>
    </row>
    <row r="5920" spans="2:2" x14ac:dyDescent="0.25">
      <c r="B5920" s="39"/>
    </row>
    <row r="5921" spans="2:2" x14ac:dyDescent="0.25">
      <c r="B5921" s="39"/>
    </row>
    <row r="5922" spans="2:2" x14ac:dyDescent="0.25">
      <c r="B5922" s="39"/>
    </row>
    <row r="5923" spans="2:2" x14ac:dyDescent="0.25">
      <c r="B5923" s="39"/>
    </row>
    <row r="5924" spans="2:2" x14ac:dyDescent="0.25">
      <c r="B5924" s="39"/>
    </row>
    <row r="5925" spans="2:2" x14ac:dyDescent="0.25">
      <c r="B5925" s="39"/>
    </row>
    <row r="5926" spans="2:2" x14ac:dyDescent="0.25">
      <c r="B5926" s="39"/>
    </row>
    <row r="5927" spans="2:2" x14ac:dyDescent="0.25">
      <c r="B5927" s="39"/>
    </row>
    <row r="5928" spans="2:2" x14ac:dyDescent="0.25">
      <c r="B5928" s="39"/>
    </row>
    <row r="5929" spans="2:2" x14ac:dyDescent="0.25">
      <c r="B5929" s="39"/>
    </row>
    <row r="5930" spans="2:2" x14ac:dyDescent="0.25">
      <c r="B5930" s="39"/>
    </row>
    <row r="5931" spans="2:2" x14ac:dyDescent="0.25">
      <c r="B5931" s="39"/>
    </row>
    <row r="5932" spans="2:2" x14ac:dyDescent="0.25">
      <c r="B5932" s="39"/>
    </row>
    <row r="5933" spans="2:2" x14ac:dyDescent="0.25">
      <c r="B5933" s="39"/>
    </row>
    <row r="5934" spans="2:2" x14ac:dyDescent="0.25">
      <c r="B5934" s="39"/>
    </row>
    <row r="5935" spans="2:2" x14ac:dyDescent="0.25">
      <c r="B5935" s="39"/>
    </row>
    <row r="5936" spans="2:2" x14ac:dyDescent="0.25">
      <c r="B5936" s="39"/>
    </row>
    <row r="5937" spans="2:2" x14ac:dyDescent="0.25">
      <c r="B5937" s="39"/>
    </row>
    <row r="5938" spans="2:2" x14ac:dyDescent="0.25">
      <c r="B5938" s="39"/>
    </row>
    <row r="5939" spans="2:2" x14ac:dyDescent="0.25">
      <c r="B5939" s="39"/>
    </row>
    <row r="5940" spans="2:2" x14ac:dyDescent="0.25">
      <c r="B5940" s="39"/>
    </row>
    <row r="5941" spans="2:2" x14ac:dyDescent="0.25">
      <c r="B5941" s="39"/>
    </row>
    <row r="5942" spans="2:2" x14ac:dyDescent="0.25">
      <c r="B5942" s="39"/>
    </row>
    <row r="5943" spans="2:2" x14ac:dyDescent="0.25">
      <c r="B5943" s="39"/>
    </row>
    <row r="5944" spans="2:2" x14ac:dyDescent="0.25">
      <c r="B5944" s="39"/>
    </row>
    <row r="5945" spans="2:2" x14ac:dyDescent="0.25">
      <c r="B5945" s="39"/>
    </row>
    <row r="5946" spans="2:2" x14ac:dyDescent="0.25">
      <c r="B5946" s="39"/>
    </row>
    <row r="5947" spans="2:2" x14ac:dyDescent="0.25">
      <c r="B5947" s="39"/>
    </row>
    <row r="5948" spans="2:2" x14ac:dyDescent="0.25">
      <c r="B5948" s="39"/>
    </row>
    <row r="5949" spans="2:2" x14ac:dyDescent="0.25">
      <c r="B5949" s="39"/>
    </row>
    <row r="5950" spans="2:2" x14ac:dyDescent="0.25">
      <c r="B5950" s="39"/>
    </row>
    <row r="5951" spans="2:2" x14ac:dyDescent="0.25">
      <c r="B5951" s="39"/>
    </row>
    <row r="5952" spans="2:2" x14ac:dyDescent="0.25">
      <c r="B5952" s="39"/>
    </row>
    <row r="5953" spans="2:2" x14ac:dyDescent="0.25">
      <c r="B5953" s="39"/>
    </row>
    <row r="5954" spans="2:2" x14ac:dyDescent="0.25">
      <c r="B5954" s="39"/>
    </row>
    <row r="5955" spans="2:2" x14ac:dyDescent="0.25">
      <c r="B5955" s="39"/>
    </row>
    <row r="5956" spans="2:2" x14ac:dyDescent="0.25">
      <c r="B5956" s="39"/>
    </row>
    <row r="5957" spans="2:2" x14ac:dyDescent="0.25">
      <c r="B5957" s="39"/>
    </row>
    <row r="5958" spans="2:2" x14ac:dyDescent="0.25">
      <c r="B5958" s="39"/>
    </row>
    <row r="5959" spans="2:2" x14ac:dyDescent="0.25">
      <c r="B5959" s="39"/>
    </row>
    <row r="5960" spans="2:2" x14ac:dyDescent="0.25">
      <c r="B5960" s="39"/>
    </row>
    <row r="5961" spans="2:2" x14ac:dyDescent="0.25">
      <c r="B5961" s="39"/>
    </row>
    <row r="5962" spans="2:2" x14ac:dyDescent="0.25">
      <c r="B5962" s="39"/>
    </row>
    <row r="5963" spans="2:2" x14ac:dyDescent="0.25">
      <c r="B5963" s="39"/>
    </row>
    <row r="5964" spans="2:2" x14ac:dyDescent="0.25">
      <c r="B5964" s="39"/>
    </row>
    <row r="5965" spans="2:2" x14ac:dyDescent="0.25">
      <c r="B5965" s="39"/>
    </row>
    <row r="5966" spans="2:2" x14ac:dyDescent="0.25">
      <c r="B5966" s="39"/>
    </row>
    <row r="5967" spans="2:2" x14ac:dyDescent="0.25">
      <c r="B5967" s="39"/>
    </row>
    <row r="5968" spans="2:2" x14ac:dyDescent="0.25">
      <c r="B5968" s="39"/>
    </row>
    <row r="5969" spans="2:2" x14ac:dyDescent="0.25">
      <c r="B5969" s="39"/>
    </row>
    <row r="5970" spans="2:2" x14ac:dyDescent="0.25">
      <c r="B5970" s="39"/>
    </row>
    <row r="5971" spans="2:2" x14ac:dyDescent="0.25">
      <c r="B5971" s="39"/>
    </row>
    <row r="5972" spans="2:2" x14ac:dyDescent="0.25">
      <c r="B5972" s="39"/>
    </row>
    <row r="5973" spans="2:2" x14ac:dyDescent="0.25">
      <c r="B5973" s="39"/>
    </row>
    <row r="5974" spans="2:2" x14ac:dyDescent="0.25">
      <c r="B5974" s="39"/>
    </row>
    <row r="5975" spans="2:2" x14ac:dyDescent="0.25">
      <c r="B5975" s="39"/>
    </row>
    <row r="5976" spans="2:2" x14ac:dyDescent="0.25">
      <c r="B5976" s="39"/>
    </row>
    <row r="5977" spans="2:2" x14ac:dyDescent="0.25">
      <c r="B5977" s="39"/>
    </row>
    <row r="5978" spans="2:2" x14ac:dyDescent="0.25">
      <c r="B5978" s="39"/>
    </row>
    <row r="5979" spans="2:2" x14ac:dyDescent="0.25">
      <c r="B5979" s="39"/>
    </row>
    <row r="5980" spans="2:2" x14ac:dyDescent="0.25">
      <c r="B5980" s="39"/>
    </row>
    <row r="5981" spans="2:2" x14ac:dyDescent="0.25">
      <c r="B5981" s="39"/>
    </row>
    <row r="5982" spans="2:2" x14ac:dyDescent="0.25">
      <c r="B5982" s="39"/>
    </row>
    <row r="5983" spans="2:2" x14ac:dyDescent="0.25">
      <c r="B5983" s="39"/>
    </row>
    <row r="5984" spans="2:2" x14ac:dyDescent="0.25">
      <c r="B5984" s="39"/>
    </row>
    <row r="5985" spans="2:2" x14ac:dyDescent="0.25">
      <c r="B5985" s="39"/>
    </row>
    <row r="5986" spans="2:2" x14ac:dyDescent="0.25">
      <c r="B5986" s="39"/>
    </row>
    <row r="5987" spans="2:2" x14ac:dyDescent="0.25">
      <c r="B5987" s="39"/>
    </row>
    <row r="5988" spans="2:2" x14ac:dyDescent="0.25">
      <c r="B5988" s="39"/>
    </row>
    <row r="5989" spans="2:2" x14ac:dyDescent="0.25">
      <c r="B5989" s="39"/>
    </row>
    <row r="5990" spans="2:2" x14ac:dyDescent="0.25">
      <c r="B5990" s="39"/>
    </row>
    <row r="5991" spans="2:2" x14ac:dyDescent="0.25">
      <c r="B5991" s="39"/>
    </row>
    <row r="5992" spans="2:2" x14ac:dyDescent="0.25">
      <c r="B5992" s="39"/>
    </row>
    <row r="5993" spans="2:2" x14ac:dyDescent="0.25">
      <c r="B5993" s="39"/>
    </row>
    <row r="5994" spans="2:2" x14ac:dyDescent="0.25">
      <c r="B5994" s="39"/>
    </row>
    <row r="5995" spans="2:2" x14ac:dyDescent="0.25">
      <c r="B5995" s="39"/>
    </row>
    <row r="5996" spans="2:2" x14ac:dyDescent="0.25">
      <c r="B5996" s="39"/>
    </row>
    <row r="5997" spans="2:2" x14ac:dyDescent="0.25">
      <c r="B5997" s="39"/>
    </row>
    <row r="5998" spans="2:2" x14ac:dyDescent="0.25">
      <c r="B5998" s="39"/>
    </row>
    <row r="5999" spans="2:2" x14ac:dyDescent="0.25">
      <c r="B5999" s="39"/>
    </row>
    <row r="6000" spans="2:2" x14ac:dyDescent="0.25">
      <c r="B6000" s="39"/>
    </row>
    <row r="6001" spans="2:2" x14ac:dyDescent="0.25">
      <c r="B6001" s="39"/>
    </row>
    <row r="6002" spans="2:2" x14ac:dyDescent="0.25">
      <c r="B6002" s="39"/>
    </row>
    <row r="6003" spans="2:2" x14ac:dyDescent="0.25">
      <c r="B6003" s="39"/>
    </row>
    <row r="6004" spans="2:2" x14ac:dyDescent="0.25">
      <c r="B6004" s="39"/>
    </row>
    <row r="6005" spans="2:2" x14ac:dyDescent="0.25">
      <c r="B6005" s="39"/>
    </row>
    <row r="6006" spans="2:2" x14ac:dyDescent="0.25">
      <c r="B6006" s="39"/>
    </row>
    <row r="6007" spans="2:2" x14ac:dyDescent="0.25">
      <c r="B6007" s="39"/>
    </row>
    <row r="6008" spans="2:2" x14ac:dyDescent="0.25">
      <c r="B6008" s="39"/>
    </row>
    <row r="6009" spans="2:2" x14ac:dyDescent="0.25">
      <c r="B6009" s="39"/>
    </row>
    <row r="6010" spans="2:2" x14ac:dyDescent="0.25">
      <c r="B6010" s="39"/>
    </row>
    <row r="6011" spans="2:2" x14ac:dyDescent="0.25">
      <c r="B6011" s="39"/>
    </row>
    <row r="6012" spans="2:2" x14ac:dyDescent="0.25">
      <c r="B6012" s="39"/>
    </row>
    <row r="6013" spans="2:2" x14ac:dyDescent="0.25">
      <c r="B6013" s="39"/>
    </row>
    <row r="6014" spans="2:2" x14ac:dyDescent="0.25">
      <c r="B6014" s="39"/>
    </row>
    <row r="6015" spans="2:2" x14ac:dyDescent="0.25">
      <c r="B6015" s="39"/>
    </row>
    <row r="6016" spans="2:2" x14ac:dyDescent="0.25">
      <c r="B6016" s="39"/>
    </row>
    <row r="6017" spans="2:2" x14ac:dyDescent="0.25">
      <c r="B6017" s="39"/>
    </row>
    <row r="6018" spans="2:2" x14ac:dyDescent="0.25">
      <c r="B6018" s="39"/>
    </row>
    <row r="6019" spans="2:2" x14ac:dyDescent="0.25">
      <c r="B6019" s="39"/>
    </row>
    <row r="6020" spans="2:2" x14ac:dyDescent="0.25">
      <c r="B6020" s="39"/>
    </row>
    <row r="6021" spans="2:2" x14ac:dyDescent="0.25">
      <c r="B6021" s="39"/>
    </row>
    <row r="6022" spans="2:2" x14ac:dyDescent="0.25">
      <c r="B6022" s="39"/>
    </row>
    <row r="6023" spans="2:2" x14ac:dyDescent="0.25">
      <c r="B6023" s="39"/>
    </row>
    <row r="6024" spans="2:2" x14ac:dyDescent="0.25">
      <c r="B6024" s="39"/>
    </row>
    <row r="6025" spans="2:2" x14ac:dyDescent="0.25">
      <c r="B6025" s="39"/>
    </row>
    <row r="6026" spans="2:2" x14ac:dyDescent="0.25">
      <c r="B6026" s="39"/>
    </row>
    <row r="6027" spans="2:2" x14ac:dyDescent="0.25">
      <c r="B6027" s="39"/>
    </row>
    <row r="6028" spans="2:2" x14ac:dyDescent="0.25">
      <c r="B6028" s="39"/>
    </row>
    <row r="6029" spans="2:2" x14ac:dyDescent="0.25">
      <c r="B6029" s="39"/>
    </row>
    <row r="6030" spans="2:2" x14ac:dyDescent="0.25">
      <c r="B6030" s="39"/>
    </row>
    <row r="6031" spans="2:2" x14ac:dyDescent="0.25">
      <c r="B6031" s="39"/>
    </row>
    <row r="6032" spans="2:2" x14ac:dyDescent="0.25">
      <c r="B6032" s="39"/>
    </row>
    <row r="6033" spans="2:2" x14ac:dyDescent="0.25">
      <c r="B6033" s="39"/>
    </row>
    <row r="6034" spans="2:2" x14ac:dyDescent="0.25">
      <c r="B6034" s="39"/>
    </row>
    <row r="6035" spans="2:2" x14ac:dyDescent="0.25">
      <c r="B6035" s="39"/>
    </row>
    <row r="6036" spans="2:2" x14ac:dyDescent="0.25">
      <c r="B6036" s="39"/>
    </row>
    <row r="6037" spans="2:2" x14ac:dyDescent="0.25">
      <c r="B6037" s="39"/>
    </row>
    <row r="6038" spans="2:2" x14ac:dyDescent="0.25">
      <c r="B6038" s="39"/>
    </row>
    <row r="6039" spans="2:2" x14ac:dyDescent="0.25">
      <c r="B6039" s="39"/>
    </row>
    <row r="6040" spans="2:2" x14ac:dyDescent="0.25">
      <c r="B6040" s="39"/>
    </row>
    <row r="6041" spans="2:2" x14ac:dyDescent="0.25">
      <c r="B6041" s="39"/>
    </row>
    <row r="6042" spans="2:2" x14ac:dyDescent="0.25">
      <c r="B6042" s="39"/>
    </row>
    <row r="6043" spans="2:2" x14ac:dyDescent="0.25">
      <c r="B6043" s="39"/>
    </row>
    <row r="6044" spans="2:2" x14ac:dyDescent="0.25">
      <c r="B6044" s="39"/>
    </row>
    <row r="6045" spans="2:2" x14ac:dyDescent="0.25">
      <c r="B6045" s="39"/>
    </row>
    <row r="6046" spans="2:2" x14ac:dyDescent="0.25">
      <c r="B6046" s="39"/>
    </row>
    <row r="6047" spans="2:2" x14ac:dyDescent="0.25">
      <c r="B6047" s="39"/>
    </row>
    <row r="6048" spans="2:2" x14ac:dyDescent="0.25">
      <c r="B6048" s="39"/>
    </row>
    <row r="6049" spans="2:2" x14ac:dyDescent="0.25">
      <c r="B6049" s="39"/>
    </row>
    <row r="6050" spans="2:2" x14ac:dyDescent="0.25">
      <c r="B6050" s="39"/>
    </row>
    <row r="6051" spans="2:2" x14ac:dyDescent="0.25">
      <c r="B6051" s="39"/>
    </row>
    <row r="6052" spans="2:2" x14ac:dyDescent="0.25">
      <c r="B6052" s="39"/>
    </row>
    <row r="6053" spans="2:2" x14ac:dyDescent="0.25">
      <c r="B6053" s="39"/>
    </row>
    <row r="6054" spans="2:2" x14ac:dyDescent="0.25">
      <c r="B6054" s="39"/>
    </row>
    <row r="6055" spans="2:2" x14ac:dyDescent="0.25">
      <c r="B6055" s="39"/>
    </row>
    <row r="6056" spans="2:2" x14ac:dyDescent="0.25">
      <c r="B6056" s="39"/>
    </row>
    <row r="6057" spans="2:2" x14ac:dyDescent="0.25">
      <c r="B6057" s="39"/>
    </row>
    <row r="6058" spans="2:2" x14ac:dyDescent="0.25">
      <c r="B6058" s="39"/>
    </row>
    <row r="6059" spans="2:2" x14ac:dyDescent="0.25">
      <c r="B6059" s="39"/>
    </row>
    <row r="6060" spans="2:2" x14ac:dyDescent="0.25">
      <c r="B6060" s="39"/>
    </row>
    <row r="6061" spans="2:2" x14ac:dyDescent="0.25">
      <c r="B6061" s="39"/>
    </row>
    <row r="6062" spans="2:2" x14ac:dyDescent="0.25">
      <c r="B6062" s="39"/>
    </row>
    <row r="6063" spans="2:2" x14ac:dyDescent="0.25">
      <c r="B6063" s="39"/>
    </row>
    <row r="6064" spans="2:2" x14ac:dyDescent="0.25">
      <c r="B6064" s="39"/>
    </row>
    <row r="6065" spans="2:2" x14ac:dyDescent="0.25">
      <c r="B6065" s="39"/>
    </row>
    <row r="6066" spans="2:2" x14ac:dyDescent="0.25">
      <c r="B6066" s="39"/>
    </row>
    <row r="6067" spans="2:2" x14ac:dyDescent="0.25">
      <c r="B6067" s="39"/>
    </row>
    <row r="6068" spans="2:2" x14ac:dyDescent="0.25">
      <c r="B6068" s="39"/>
    </row>
    <row r="6069" spans="2:2" x14ac:dyDescent="0.25">
      <c r="B6069" s="39"/>
    </row>
    <row r="6070" spans="2:2" x14ac:dyDescent="0.25">
      <c r="B6070" s="39"/>
    </row>
    <row r="6071" spans="2:2" x14ac:dyDescent="0.25">
      <c r="B6071" s="39"/>
    </row>
    <row r="6072" spans="2:2" x14ac:dyDescent="0.25">
      <c r="B6072" s="39"/>
    </row>
    <row r="6073" spans="2:2" x14ac:dyDescent="0.25">
      <c r="B6073" s="39"/>
    </row>
    <row r="6074" spans="2:2" x14ac:dyDescent="0.25">
      <c r="B6074" s="39"/>
    </row>
    <row r="6075" spans="2:2" x14ac:dyDescent="0.25">
      <c r="B6075" s="39"/>
    </row>
    <row r="6076" spans="2:2" x14ac:dyDescent="0.25">
      <c r="B6076" s="39"/>
    </row>
    <row r="6077" spans="2:2" x14ac:dyDescent="0.25">
      <c r="B6077" s="39"/>
    </row>
    <row r="6078" spans="2:2" x14ac:dyDescent="0.25">
      <c r="B6078" s="39"/>
    </row>
    <row r="6079" spans="2:2" x14ac:dyDescent="0.25">
      <c r="B6079" s="39"/>
    </row>
    <row r="6080" spans="2:2" x14ac:dyDescent="0.25">
      <c r="B6080" s="39"/>
    </row>
    <row r="6081" spans="2:2" x14ac:dyDescent="0.25">
      <c r="B6081" s="39"/>
    </row>
    <row r="6082" spans="2:2" x14ac:dyDescent="0.25">
      <c r="B6082" s="39"/>
    </row>
    <row r="6083" spans="2:2" x14ac:dyDescent="0.25">
      <c r="B6083" s="39"/>
    </row>
    <row r="6084" spans="2:2" x14ac:dyDescent="0.25">
      <c r="B6084" s="39"/>
    </row>
    <row r="6085" spans="2:2" x14ac:dyDescent="0.25">
      <c r="B6085" s="39"/>
    </row>
    <row r="6086" spans="2:2" x14ac:dyDescent="0.25">
      <c r="B6086" s="39"/>
    </row>
    <row r="6087" spans="2:2" x14ac:dyDescent="0.25">
      <c r="B6087" s="39"/>
    </row>
    <row r="6088" spans="2:2" x14ac:dyDescent="0.25">
      <c r="B6088" s="39"/>
    </row>
    <row r="6089" spans="2:2" x14ac:dyDescent="0.25">
      <c r="B6089" s="39"/>
    </row>
    <row r="6090" spans="2:2" x14ac:dyDescent="0.25">
      <c r="B6090" s="39"/>
    </row>
    <row r="6091" spans="2:2" x14ac:dyDescent="0.25">
      <c r="B6091" s="39"/>
    </row>
    <row r="6092" spans="2:2" x14ac:dyDescent="0.25">
      <c r="B6092" s="39"/>
    </row>
    <row r="6093" spans="2:2" x14ac:dyDescent="0.25">
      <c r="B6093" s="39"/>
    </row>
    <row r="6094" spans="2:2" x14ac:dyDescent="0.25">
      <c r="B6094" s="39"/>
    </row>
    <row r="6095" spans="2:2" x14ac:dyDescent="0.25">
      <c r="B6095" s="39"/>
    </row>
    <row r="6096" spans="2:2" x14ac:dyDescent="0.25">
      <c r="B6096" s="39"/>
    </row>
    <row r="6097" spans="2:2" x14ac:dyDescent="0.25">
      <c r="B6097" s="39"/>
    </row>
    <row r="6098" spans="2:2" x14ac:dyDescent="0.25">
      <c r="B6098" s="39"/>
    </row>
    <row r="6099" spans="2:2" x14ac:dyDescent="0.25">
      <c r="B6099" s="39"/>
    </row>
    <row r="6100" spans="2:2" x14ac:dyDescent="0.25">
      <c r="B6100" s="39"/>
    </row>
    <row r="6101" spans="2:2" x14ac:dyDescent="0.25">
      <c r="B6101" s="39"/>
    </row>
    <row r="6102" spans="2:2" x14ac:dyDescent="0.25">
      <c r="B6102" s="39"/>
    </row>
    <row r="6103" spans="2:2" x14ac:dyDescent="0.25">
      <c r="B6103" s="39"/>
    </row>
    <row r="6104" spans="2:2" x14ac:dyDescent="0.25">
      <c r="B6104" s="39"/>
    </row>
    <row r="6105" spans="2:2" x14ac:dyDescent="0.25">
      <c r="B6105" s="39"/>
    </row>
    <row r="6106" spans="2:2" x14ac:dyDescent="0.25">
      <c r="B6106" s="39"/>
    </row>
    <row r="6107" spans="2:2" x14ac:dyDescent="0.25">
      <c r="B6107" s="39"/>
    </row>
    <row r="6108" spans="2:2" x14ac:dyDescent="0.25">
      <c r="B6108" s="39"/>
    </row>
    <row r="6109" spans="2:2" x14ac:dyDescent="0.25">
      <c r="B6109" s="39"/>
    </row>
    <row r="6110" spans="2:2" x14ac:dyDescent="0.25">
      <c r="B6110" s="39"/>
    </row>
    <row r="6111" spans="2:2" x14ac:dyDescent="0.25">
      <c r="B6111" s="39"/>
    </row>
    <row r="6112" spans="2:2" x14ac:dyDescent="0.25">
      <c r="B6112" s="39"/>
    </row>
    <row r="6113" spans="2:2" x14ac:dyDescent="0.25">
      <c r="B6113" s="39"/>
    </row>
    <row r="6114" spans="2:2" x14ac:dyDescent="0.25">
      <c r="B6114" s="39"/>
    </row>
    <row r="6115" spans="2:2" x14ac:dyDescent="0.25">
      <c r="B6115" s="39"/>
    </row>
    <row r="6116" spans="2:2" x14ac:dyDescent="0.25">
      <c r="B6116" s="39"/>
    </row>
    <row r="6117" spans="2:2" x14ac:dyDescent="0.25">
      <c r="B6117" s="39"/>
    </row>
    <row r="6118" spans="2:2" x14ac:dyDescent="0.25">
      <c r="B6118" s="39"/>
    </row>
    <row r="6119" spans="2:2" x14ac:dyDescent="0.25">
      <c r="B6119" s="39"/>
    </row>
    <row r="6120" spans="2:2" x14ac:dyDescent="0.25">
      <c r="B6120" s="39"/>
    </row>
    <row r="6121" spans="2:2" x14ac:dyDescent="0.25">
      <c r="B6121" s="39"/>
    </row>
    <row r="6122" spans="2:2" x14ac:dyDescent="0.25">
      <c r="B6122" s="39"/>
    </row>
    <row r="6123" spans="2:2" x14ac:dyDescent="0.25">
      <c r="B6123" s="39"/>
    </row>
    <row r="6124" spans="2:2" x14ac:dyDescent="0.25">
      <c r="B6124" s="39"/>
    </row>
    <row r="6125" spans="2:2" x14ac:dyDescent="0.25">
      <c r="B6125" s="39"/>
    </row>
    <row r="6126" spans="2:2" x14ac:dyDescent="0.25">
      <c r="B6126" s="39"/>
    </row>
    <row r="6127" spans="2:2" x14ac:dyDescent="0.25">
      <c r="B6127" s="39"/>
    </row>
    <row r="6128" spans="2:2" x14ac:dyDescent="0.25">
      <c r="B6128" s="39"/>
    </row>
    <row r="6129" spans="2:2" x14ac:dyDescent="0.25">
      <c r="B6129" s="39"/>
    </row>
    <row r="6130" spans="2:2" x14ac:dyDescent="0.25">
      <c r="B6130" s="39"/>
    </row>
    <row r="6131" spans="2:2" x14ac:dyDescent="0.25">
      <c r="B6131" s="39"/>
    </row>
    <row r="6132" spans="2:2" x14ac:dyDescent="0.25">
      <c r="B6132" s="39"/>
    </row>
    <row r="6133" spans="2:2" x14ac:dyDescent="0.25">
      <c r="B6133" s="39"/>
    </row>
    <row r="6134" spans="2:2" x14ac:dyDescent="0.25">
      <c r="B6134" s="39"/>
    </row>
    <row r="6135" spans="2:2" x14ac:dyDescent="0.25">
      <c r="B6135" s="39"/>
    </row>
    <row r="6136" spans="2:2" x14ac:dyDescent="0.25">
      <c r="B6136" s="39"/>
    </row>
    <row r="6137" spans="2:2" x14ac:dyDescent="0.25">
      <c r="B6137" s="39"/>
    </row>
    <row r="6138" spans="2:2" x14ac:dyDescent="0.25">
      <c r="B6138" s="39"/>
    </row>
    <row r="6139" spans="2:2" x14ac:dyDescent="0.25">
      <c r="B6139" s="39"/>
    </row>
    <row r="6140" spans="2:2" x14ac:dyDescent="0.25">
      <c r="B6140" s="39"/>
    </row>
    <row r="6141" spans="2:2" x14ac:dyDescent="0.25">
      <c r="B6141" s="39"/>
    </row>
    <row r="6142" spans="2:2" x14ac:dyDescent="0.25">
      <c r="B6142" s="39"/>
    </row>
    <row r="6143" spans="2:2" x14ac:dyDescent="0.25">
      <c r="B6143" s="39"/>
    </row>
    <row r="6144" spans="2:2" x14ac:dyDescent="0.25">
      <c r="B6144" s="39"/>
    </row>
    <row r="6145" spans="2:2" x14ac:dyDescent="0.25">
      <c r="B6145" s="39"/>
    </row>
    <row r="6146" spans="2:2" x14ac:dyDescent="0.25">
      <c r="B6146" s="39"/>
    </row>
    <row r="6147" spans="2:2" x14ac:dyDescent="0.25">
      <c r="B6147" s="39"/>
    </row>
    <row r="6148" spans="2:2" x14ac:dyDescent="0.25">
      <c r="B6148" s="39"/>
    </row>
    <row r="6149" spans="2:2" x14ac:dyDescent="0.25">
      <c r="B6149" s="39"/>
    </row>
    <row r="6150" spans="2:2" x14ac:dyDescent="0.25">
      <c r="B6150" s="39"/>
    </row>
    <row r="6151" spans="2:2" x14ac:dyDescent="0.25">
      <c r="B6151" s="39"/>
    </row>
    <row r="6152" spans="2:2" x14ac:dyDescent="0.25">
      <c r="B6152" s="39"/>
    </row>
    <row r="6153" spans="2:2" x14ac:dyDescent="0.25">
      <c r="B6153" s="39"/>
    </row>
    <row r="6154" spans="2:2" x14ac:dyDescent="0.25">
      <c r="B6154" s="39"/>
    </row>
    <row r="6155" spans="2:2" x14ac:dyDescent="0.25">
      <c r="B6155" s="39"/>
    </row>
    <row r="6156" spans="2:2" x14ac:dyDescent="0.25">
      <c r="B6156" s="39"/>
    </row>
    <row r="6157" spans="2:2" x14ac:dyDescent="0.25">
      <c r="B6157" s="39"/>
    </row>
    <row r="6158" spans="2:2" x14ac:dyDescent="0.25">
      <c r="B6158" s="39"/>
    </row>
    <row r="6159" spans="2:2" x14ac:dyDescent="0.25">
      <c r="B6159" s="39"/>
    </row>
    <row r="6160" spans="2:2" x14ac:dyDescent="0.25">
      <c r="B6160" s="39"/>
    </row>
    <row r="6161" spans="2:2" x14ac:dyDescent="0.25">
      <c r="B6161" s="39"/>
    </row>
    <row r="6162" spans="2:2" x14ac:dyDescent="0.25">
      <c r="B6162" s="39"/>
    </row>
    <row r="6163" spans="2:2" x14ac:dyDescent="0.25">
      <c r="B6163" s="39"/>
    </row>
    <row r="6164" spans="2:2" x14ac:dyDescent="0.25">
      <c r="B6164" s="39"/>
    </row>
    <row r="6165" spans="2:2" x14ac:dyDescent="0.25">
      <c r="B6165" s="39"/>
    </row>
    <row r="6166" spans="2:2" x14ac:dyDescent="0.25">
      <c r="B6166" s="39"/>
    </row>
    <row r="6167" spans="2:2" x14ac:dyDescent="0.25">
      <c r="B6167" s="39"/>
    </row>
    <row r="6168" spans="2:2" x14ac:dyDescent="0.25">
      <c r="B6168" s="39"/>
    </row>
    <row r="6169" spans="2:2" x14ac:dyDescent="0.25">
      <c r="B6169" s="39"/>
    </row>
    <row r="6170" spans="2:2" x14ac:dyDescent="0.25">
      <c r="B6170" s="39"/>
    </row>
    <row r="6171" spans="2:2" x14ac:dyDescent="0.25">
      <c r="B6171" s="39"/>
    </row>
    <row r="6172" spans="2:2" x14ac:dyDescent="0.25">
      <c r="B6172" s="39"/>
    </row>
    <row r="6173" spans="2:2" x14ac:dyDescent="0.25">
      <c r="B6173" s="39"/>
    </row>
    <row r="6174" spans="2:2" x14ac:dyDescent="0.25">
      <c r="B6174" s="39"/>
    </row>
    <row r="6175" spans="2:2" x14ac:dyDescent="0.25">
      <c r="B6175" s="39"/>
    </row>
    <row r="6176" spans="2:2" x14ac:dyDescent="0.25">
      <c r="B6176" s="39"/>
    </row>
    <row r="6177" spans="2:2" x14ac:dyDescent="0.25">
      <c r="B6177" s="39"/>
    </row>
    <row r="6178" spans="2:2" x14ac:dyDescent="0.25">
      <c r="B6178" s="39"/>
    </row>
    <row r="6179" spans="2:2" x14ac:dyDescent="0.25">
      <c r="B6179" s="39"/>
    </row>
    <row r="6180" spans="2:2" x14ac:dyDescent="0.25">
      <c r="B6180" s="39"/>
    </row>
    <row r="6181" spans="2:2" x14ac:dyDescent="0.25">
      <c r="B6181" s="39"/>
    </row>
    <row r="6182" spans="2:2" x14ac:dyDescent="0.25">
      <c r="B6182" s="39"/>
    </row>
    <row r="6183" spans="2:2" x14ac:dyDescent="0.25">
      <c r="B6183" s="39"/>
    </row>
    <row r="6184" spans="2:2" x14ac:dyDescent="0.25">
      <c r="B6184" s="39"/>
    </row>
    <row r="6185" spans="2:2" x14ac:dyDescent="0.25">
      <c r="B6185" s="39"/>
    </row>
    <row r="6186" spans="2:2" x14ac:dyDescent="0.25">
      <c r="B6186" s="39"/>
    </row>
    <row r="6187" spans="2:2" x14ac:dyDescent="0.25">
      <c r="B6187" s="39"/>
    </row>
    <row r="6188" spans="2:2" x14ac:dyDescent="0.25">
      <c r="B6188" s="39"/>
    </row>
    <row r="6189" spans="2:2" x14ac:dyDescent="0.25">
      <c r="B6189" s="39"/>
    </row>
    <row r="6190" spans="2:2" x14ac:dyDescent="0.25">
      <c r="B6190" s="39"/>
    </row>
    <row r="6191" spans="2:2" x14ac:dyDescent="0.25">
      <c r="B6191" s="39"/>
    </row>
    <row r="6192" spans="2:2" x14ac:dyDescent="0.25">
      <c r="B6192" s="39"/>
    </row>
    <row r="6193" spans="2:2" x14ac:dyDescent="0.25">
      <c r="B6193" s="39"/>
    </row>
    <row r="6194" spans="2:2" x14ac:dyDescent="0.25">
      <c r="B6194" s="39"/>
    </row>
    <row r="6195" spans="2:2" x14ac:dyDescent="0.25">
      <c r="B6195" s="39"/>
    </row>
    <row r="6196" spans="2:2" x14ac:dyDescent="0.25">
      <c r="B6196" s="39"/>
    </row>
    <row r="6197" spans="2:2" x14ac:dyDescent="0.25">
      <c r="B6197" s="39"/>
    </row>
    <row r="6198" spans="2:2" x14ac:dyDescent="0.25">
      <c r="B6198" s="39"/>
    </row>
    <row r="6199" spans="2:2" x14ac:dyDescent="0.25">
      <c r="B6199" s="39"/>
    </row>
    <row r="6200" spans="2:2" x14ac:dyDescent="0.25">
      <c r="B6200" s="39"/>
    </row>
    <row r="6201" spans="2:2" x14ac:dyDescent="0.25">
      <c r="B6201" s="39"/>
    </row>
    <row r="6202" spans="2:2" x14ac:dyDescent="0.25">
      <c r="B6202" s="39"/>
    </row>
    <row r="6203" spans="2:2" x14ac:dyDescent="0.25">
      <c r="B6203" s="39"/>
    </row>
    <row r="6204" spans="2:2" x14ac:dyDescent="0.25">
      <c r="B6204" s="39"/>
    </row>
    <row r="6205" spans="2:2" x14ac:dyDescent="0.25">
      <c r="B6205" s="39"/>
    </row>
    <row r="6206" spans="2:2" x14ac:dyDescent="0.25">
      <c r="B6206" s="39"/>
    </row>
    <row r="6207" spans="2:2" x14ac:dyDescent="0.25">
      <c r="B6207" s="39"/>
    </row>
    <row r="6208" spans="2:2" x14ac:dyDescent="0.25">
      <c r="B6208" s="39"/>
    </row>
    <row r="6209" spans="2:2" x14ac:dyDescent="0.25">
      <c r="B6209" s="39"/>
    </row>
    <row r="6210" spans="2:2" x14ac:dyDescent="0.25">
      <c r="B6210" s="39"/>
    </row>
    <row r="6211" spans="2:2" x14ac:dyDescent="0.25">
      <c r="B6211" s="39"/>
    </row>
    <row r="6212" spans="2:2" x14ac:dyDescent="0.25">
      <c r="B6212" s="39"/>
    </row>
    <row r="6213" spans="2:2" x14ac:dyDescent="0.25">
      <c r="B6213" s="39"/>
    </row>
    <row r="6214" spans="2:2" x14ac:dyDescent="0.25">
      <c r="B6214" s="39"/>
    </row>
    <row r="6215" spans="2:2" x14ac:dyDescent="0.25">
      <c r="B6215" s="39"/>
    </row>
    <row r="6216" spans="2:2" x14ac:dyDescent="0.25">
      <c r="B6216" s="39"/>
    </row>
    <row r="6217" spans="2:2" x14ac:dyDescent="0.25">
      <c r="B6217" s="39"/>
    </row>
    <row r="6218" spans="2:2" x14ac:dyDescent="0.25">
      <c r="B6218" s="39"/>
    </row>
    <row r="6219" spans="2:2" x14ac:dyDescent="0.25">
      <c r="B6219" s="39"/>
    </row>
    <row r="6220" spans="2:2" x14ac:dyDescent="0.25">
      <c r="B6220" s="39"/>
    </row>
    <row r="6221" spans="2:2" x14ac:dyDescent="0.25">
      <c r="B6221" s="39"/>
    </row>
    <row r="6222" spans="2:2" x14ac:dyDescent="0.25">
      <c r="B6222" s="39"/>
    </row>
    <row r="6223" spans="2:2" x14ac:dyDescent="0.25">
      <c r="B6223" s="39"/>
    </row>
    <row r="6224" spans="2:2" x14ac:dyDescent="0.25">
      <c r="B6224" s="39"/>
    </row>
    <row r="6225" spans="2:2" x14ac:dyDescent="0.25">
      <c r="B6225" s="39"/>
    </row>
    <row r="6226" spans="2:2" x14ac:dyDescent="0.25">
      <c r="B6226" s="39"/>
    </row>
    <row r="6227" spans="2:2" x14ac:dyDescent="0.25">
      <c r="B6227" s="39"/>
    </row>
    <row r="6228" spans="2:2" x14ac:dyDescent="0.25">
      <c r="B6228" s="39"/>
    </row>
    <row r="6229" spans="2:2" x14ac:dyDescent="0.25">
      <c r="B6229" s="39"/>
    </row>
    <row r="6230" spans="2:2" x14ac:dyDescent="0.25">
      <c r="B6230" s="39"/>
    </row>
    <row r="6231" spans="2:2" x14ac:dyDescent="0.25">
      <c r="B6231" s="39"/>
    </row>
    <row r="6232" spans="2:2" x14ac:dyDescent="0.25">
      <c r="B6232" s="39"/>
    </row>
    <row r="6233" spans="2:2" x14ac:dyDescent="0.25">
      <c r="B6233" s="39"/>
    </row>
    <row r="6234" spans="2:2" x14ac:dyDescent="0.25">
      <c r="B6234" s="39"/>
    </row>
    <row r="6235" spans="2:2" x14ac:dyDescent="0.25">
      <c r="B6235" s="39"/>
    </row>
    <row r="6236" spans="2:2" x14ac:dyDescent="0.25">
      <c r="B6236" s="39"/>
    </row>
    <row r="6237" spans="2:2" x14ac:dyDescent="0.25">
      <c r="B6237" s="39"/>
    </row>
    <row r="6238" spans="2:2" x14ac:dyDescent="0.25">
      <c r="B6238" s="39"/>
    </row>
    <row r="6239" spans="2:2" x14ac:dyDescent="0.25">
      <c r="B6239" s="39"/>
    </row>
    <row r="6240" spans="2:2" x14ac:dyDescent="0.25">
      <c r="B6240" s="39"/>
    </row>
    <row r="6241" spans="2:2" x14ac:dyDescent="0.25">
      <c r="B6241" s="39"/>
    </row>
    <row r="6242" spans="2:2" x14ac:dyDescent="0.25">
      <c r="B6242" s="39"/>
    </row>
    <row r="6243" spans="2:2" x14ac:dyDescent="0.25">
      <c r="B6243" s="39"/>
    </row>
    <row r="6244" spans="2:2" x14ac:dyDescent="0.25">
      <c r="B6244" s="39"/>
    </row>
    <row r="6245" spans="2:2" x14ac:dyDescent="0.25">
      <c r="B6245" s="39"/>
    </row>
    <row r="6246" spans="2:2" x14ac:dyDescent="0.25">
      <c r="B6246" s="39"/>
    </row>
    <row r="6247" spans="2:2" x14ac:dyDescent="0.25">
      <c r="B6247" s="39"/>
    </row>
    <row r="6248" spans="2:2" x14ac:dyDescent="0.25">
      <c r="B6248" s="39"/>
    </row>
    <row r="6249" spans="2:2" x14ac:dyDescent="0.25">
      <c r="B6249" s="39"/>
    </row>
    <row r="6250" spans="2:2" x14ac:dyDescent="0.25">
      <c r="B6250" s="39"/>
    </row>
    <row r="6251" spans="2:2" x14ac:dyDescent="0.25">
      <c r="B6251" s="39"/>
    </row>
    <row r="6252" spans="2:2" x14ac:dyDescent="0.25">
      <c r="B6252" s="39"/>
    </row>
    <row r="6253" spans="2:2" x14ac:dyDescent="0.25">
      <c r="B6253" s="39"/>
    </row>
    <row r="6254" spans="2:2" x14ac:dyDescent="0.25">
      <c r="B6254" s="39"/>
    </row>
    <row r="6255" spans="2:2" x14ac:dyDescent="0.25">
      <c r="B6255" s="39"/>
    </row>
    <row r="6256" spans="2:2" x14ac:dyDescent="0.25">
      <c r="B6256" s="39"/>
    </row>
    <row r="6257" spans="2:2" x14ac:dyDescent="0.25">
      <c r="B6257" s="39"/>
    </row>
    <row r="6258" spans="2:2" x14ac:dyDescent="0.25">
      <c r="B6258" s="39"/>
    </row>
    <row r="6259" spans="2:2" x14ac:dyDescent="0.25">
      <c r="B6259" s="39"/>
    </row>
    <row r="6260" spans="2:2" x14ac:dyDescent="0.25">
      <c r="B6260" s="39"/>
    </row>
    <row r="6261" spans="2:2" x14ac:dyDescent="0.25">
      <c r="B6261" s="39"/>
    </row>
    <row r="6262" spans="2:2" x14ac:dyDescent="0.25">
      <c r="B6262" s="39"/>
    </row>
    <row r="6263" spans="2:2" x14ac:dyDescent="0.25">
      <c r="B6263" s="39"/>
    </row>
    <row r="6264" spans="2:2" x14ac:dyDescent="0.25">
      <c r="B6264" s="39"/>
    </row>
    <row r="6265" spans="2:2" x14ac:dyDescent="0.25">
      <c r="B6265" s="39"/>
    </row>
    <row r="6266" spans="2:2" x14ac:dyDescent="0.25">
      <c r="B6266" s="39"/>
    </row>
    <row r="6267" spans="2:2" x14ac:dyDescent="0.25">
      <c r="B6267" s="39"/>
    </row>
    <row r="6268" spans="2:2" x14ac:dyDescent="0.25">
      <c r="B6268" s="39"/>
    </row>
    <row r="6269" spans="2:2" x14ac:dyDescent="0.25">
      <c r="B6269" s="39"/>
    </row>
    <row r="6270" spans="2:2" x14ac:dyDescent="0.25">
      <c r="B6270" s="39"/>
    </row>
    <row r="6271" spans="2:2" x14ac:dyDescent="0.25">
      <c r="B6271" s="39"/>
    </row>
    <row r="6272" spans="2:2" x14ac:dyDescent="0.25">
      <c r="B6272" s="39"/>
    </row>
    <row r="6273" spans="2:2" x14ac:dyDescent="0.25">
      <c r="B6273" s="39"/>
    </row>
    <row r="6274" spans="2:2" x14ac:dyDescent="0.25">
      <c r="B6274" s="39"/>
    </row>
    <row r="6275" spans="2:2" x14ac:dyDescent="0.25">
      <c r="B6275" s="39"/>
    </row>
    <row r="6276" spans="2:2" x14ac:dyDescent="0.25">
      <c r="B6276" s="39"/>
    </row>
    <row r="6277" spans="2:2" x14ac:dyDescent="0.25">
      <c r="B6277" s="39"/>
    </row>
    <row r="6278" spans="2:2" x14ac:dyDescent="0.25">
      <c r="B6278" s="39"/>
    </row>
    <row r="6279" spans="2:2" x14ac:dyDescent="0.25">
      <c r="B6279" s="39"/>
    </row>
    <row r="6280" spans="2:2" x14ac:dyDescent="0.25">
      <c r="B6280" s="39"/>
    </row>
    <row r="6281" spans="2:2" x14ac:dyDescent="0.25">
      <c r="B6281" s="39"/>
    </row>
    <row r="6282" spans="2:2" x14ac:dyDescent="0.25">
      <c r="B6282" s="39"/>
    </row>
    <row r="6283" spans="2:2" x14ac:dyDescent="0.25">
      <c r="B6283" s="39"/>
    </row>
    <row r="6284" spans="2:2" x14ac:dyDescent="0.25">
      <c r="B6284" s="39"/>
    </row>
    <row r="6285" spans="2:2" x14ac:dyDescent="0.25">
      <c r="B6285" s="39"/>
    </row>
    <row r="6286" spans="2:2" x14ac:dyDescent="0.25">
      <c r="B6286" s="39"/>
    </row>
    <row r="6287" spans="2:2" x14ac:dyDescent="0.25">
      <c r="B6287" s="39"/>
    </row>
    <row r="6288" spans="2:2" x14ac:dyDescent="0.25">
      <c r="B6288" s="39"/>
    </row>
    <row r="6289" spans="2:2" x14ac:dyDescent="0.25">
      <c r="B6289" s="39"/>
    </row>
    <row r="6290" spans="2:2" x14ac:dyDescent="0.25">
      <c r="B6290" s="39"/>
    </row>
    <row r="6291" spans="2:2" x14ac:dyDescent="0.25">
      <c r="B6291" s="39"/>
    </row>
    <row r="6292" spans="2:2" x14ac:dyDescent="0.25">
      <c r="B6292" s="39"/>
    </row>
    <row r="6293" spans="2:2" x14ac:dyDescent="0.25">
      <c r="B6293" s="39"/>
    </row>
    <row r="6294" spans="2:2" x14ac:dyDescent="0.25">
      <c r="B6294" s="39"/>
    </row>
    <row r="6295" spans="2:2" x14ac:dyDescent="0.25">
      <c r="B6295" s="39"/>
    </row>
    <row r="6296" spans="2:2" x14ac:dyDescent="0.25">
      <c r="B6296" s="39"/>
    </row>
    <row r="6297" spans="2:2" x14ac:dyDescent="0.25">
      <c r="B6297" s="39"/>
    </row>
    <row r="6298" spans="2:2" x14ac:dyDescent="0.25">
      <c r="B6298" s="39"/>
    </row>
    <row r="6299" spans="2:2" x14ac:dyDescent="0.25">
      <c r="B6299" s="39"/>
    </row>
    <row r="6300" spans="2:2" x14ac:dyDescent="0.25">
      <c r="B6300" s="39"/>
    </row>
    <row r="6301" spans="2:2" x14ac:dyDescent="0.25">
      <c r="B6301" s="39"/>
    </row>
    <row r="6302" spans="2:2" x14ac:dyDescent="0.25">
      <c r="B6302" s="39"/>
    </row>
    <row r="6303" spans="2:2" x14ac:dyDescent="0.25">
      <c r="B6303" s="39"/>
    </row>
    <row r="6304" spans="2:2" x14ac:dyDescent="0.25">
      <c r="B6304" s="39"/>
    </row>
    <row r="6305" spans="2:2" x14ac:dyDescent="0.25">
      <c r="B6305" s="39"/>
    </row>
    <row r="6306" spans="2:2" x14ac:dyDescent="0.25">
      <c r="B6306" s="39"/>
    </row>
    <row r="6307" spans="2:2" x14ac:dyDescent="0.25">
      <c r="B6307" s="39"/>
    </row>
    <row r="6308" spans="2:2" x14ac:dyDescent="0.25">
      <c r="B6308" s="39"/>
    </row>
    <row r="6309" spans="2:2" x14ac:dyDescent="0.25">
      <c r="B6309" s="39"/>
    </row>
    <row r="6310" spans="2:2" x14ac:dyDescent="0.25">
      <c r="B6310" s="39"/>
    </row>
    <row r="6311" spans="2:2" x14ac:dyDescent="0.25">
      <c r="B6311" s="39"/>
    </row>
    <row r="6312" spans="2:2" x14ac:dyDescent="0.25">
      <c r="B6312" s="39"/>
    </row>
    <row r="6313" spans="2:2" x14ac:dyDescent="0.25">
      <c r="B6313" s="39"/>
    </row>
    <row r="6314" spans="2:2" x14ac:dyDescent="0.25">
      <c r="B6314" s="39"/>
    </row>
    <row r="6315" spans="2:2" x14ac:dyDescent="0.25">
      <c r="B6315" s="39"/>
    </row>
    <row r="6316" spans="2:2" x14ac:dyDescent="0.25">
      <c r="B6316" s="39"/>
    </row>
    <row r="6317" spans="2:2" x14ac:dyDescent="0.25">
      <c r="B6317" s="39"/>
    </row>
    <row r="6318" spans="2:2" x14ac:dyDescent="0.25">
      <c r="B6318" s="39"/>
    </row>
    <row r="6319" spans="2:2" x14ac:dyDescent="0.25">
      <c r="B6319" s="39"/>
    </row>
    <row r="6320" spans="2:2" x14ac:dyDescent="0.25">
      <c r="B6320" s="39"/>
    </row>
    <row r="6321" spans="2:2" x14ac:dyDescent="0.25">
      <c r="B6321" s="39"/>
    </row>
    <row r="6322" spans="2:2" x14ac:dyDescent="0.25">
      <c r="B6322" s="39"/>
    </row>
    <row r="6323" spans="2:2" x14ac:dyDescent="0.25">
      <c r="B6323" s="39"/>
    </row>
    <row r="6324" spans="2:2" x14ac:dyDescent="0.25">
      <c r="B6324" s="39"/>
    </row>
    <row r="6325" spans="2:2" x14ac:dyDescent="0.25">
      <c r="B6325" s="39"/>
    </row>
    <row r="6326" spans="2:2" x14ac:dyDescent="0.25">
      <c r="B6326" s="39"/>
    </row>
    <row r="6327" spans="2:2" x14ac:dyDescent="0.25">
      <c r="B6327" s="39"/>
    </row>
    <row r="6328" spans="2:2" x14ac:dyDescent="0.25">
      <c r="B6328" s="39"/>
    </row>
    <row r="6329" spans="2:2" x14ac:dyDescent="0.25">
      <c r="B6329" s="39"/>
    </row>
    <row r="6330" spans="2:2" x14ac:dyDescent="0.25">
      <c r="B6330" s="39"/>
    </row>
    <row r="6331" spans="2:2" x14ac:dyDescent="0.25">
      <c r="B6331" s="39"/>
    </row>
    <row r="6332" spans="2:2" x14ac:dyDescent="0.25">
      <c r="B6332" s="39"/>
    </row>
    <row r="6333" spans="2:2" x14ac:dyDescent="0.25">
      <c r="B6333" s="39"/>
    </row>
    <row r="6334" spans="2:2" x14ac:dyDescent="0.25">
      <c r="B6334" s="39"/>
    </row>
    <row r="6335" spans="2:2" x14ac:dyDescent="0.25">
      <c r="B6335" s="39"/>
    </row>
    <row r="6336" spans="2:2" x14ac:dyDescent="0.25">
      <c r="B6336" s="39"/>
    </row>
    <row r="6337" spans="2:2" x14ac:dyDescent="0.25">
      <c r="B6337" s="39"/>
    </row>
    <row r="6338" spans="2:2" x14ac:dyDescent="0.25">
      <c r="B6338" s="39"/>
    </row>
    <row r="6339" spans="2:2" x14ac:dyDescent="0.25">
      <c r="B6339" s="39"/>
    </row>
    <row r="6340" spans="2:2" x14ac:dyDescent="0.25">
      <c r="B6340" s="39"/>
    </row>
    <row r="6341" spans="2:2" x14ac:dyDescent="0.25">
      <c r="B6341" s="39"/>
    </row>
    <row r="6342" spans="2:2" x14ac:dyDescent="0.25">
      <c r="B6342" s="39"/>
    </row>
    <row r="6343" spans="2:2" x14ac:dyDescent="0.25">
      <c r="B6343" s="39"/>
    </row>
    <row r="6344" spans="2:2" x14ac:dyDescent="0.25">
      <c r="B6344" s="39"/>
    </row>
    <row r="6345" spans="2:2" x14ac:dyDescent="0.25">
      <c r="B6345" s="39"/>
    </row>
    <row r="6346" spans="2:2" x14ac:dyDescent="0.25">
      <c r="B6346" s="39"/>
    </row>
    <row r="6347" spans="2:2" x14ac:dyDescent="0.25">
      <c r="B6347" s="39"/>
    </row>
    <row r="6348" spans="2:2" x14ac:dyDescent="0.25">
      <c r="B6348" s="39"/>
    </row>
    <row r="6349" spans="2:2" x14ac:dyDescent="0.25">
      <c r="B6349" s="39"/>
    </row>
    <row r="6350" spans="2:2" x14ac:dyDescent="0.25">
      <c r="B6350" s="39"/>
    </row>
    <row r="6351" spans="2:2" x14ac:dyDescent="0.25">
      <c r="B6351" s="39"/>
    </row>
    <row r="6352" spans="2:2" x14ac:dyDescent="0.25">
      <c r="B6352" s="39"/>
    </row>
    <row r="6353" spans="2:2" x14ac:dyDescent="0.25">
      <c r="B6353" s="39"/>
    </row>
    <row r="6354" spans="2:2" x14ac:dyDescent="0.25">
      <c r="B6354" s="39"/>
    </row>
    <row r="6355" spans="2:2" x14ac:dyDescent="0.25">
      <c r="B6355" s="39"/>
    </row>
    <row r="6356" spans="2:2" x14ac:dyDescent="0.25">
      <c r="B6356" s="39"/>
    </row>
    <row r="6357" spans="2:2" x14ac:dyDescent="0.25">
      <c r="B6357" s="39"/>
    </row>
    <row r="6358" spans="2:2" x14ac:dyDescent="0.25">
      <c r="B6358" s="39"/>
    </row>
    <row r="6359" spans="2:2" x14ac:dyDescent="0.25">
      <c r="B6359" s="39"/>
    </row>
    <row r="6360" spans="2:2" x14ac:dyDescent="0.25">
      <c r="B6360" s="39"/>
    </row>
    <row r="6361" spans="2:2" x14ac:dyDescent="0.25">
      <c r="B6361" s="39"/>
    </row>
    <row r="6362" spans="2:2" x14ac:dyDescent="0.25">
      <c r="B6362" s="39"/>
    </row>
    <row r="6363" spans="2:2" x14ac:dyDescent="0.25">
      <c r="B6363" s="39"/>
    </row>
    <row r="6364" spans="2:2" x14ac:dyDescent="0.25">
      <c r="B6364" s="39"/>
    </row>
    <row r="6365" spans="2:2" x14ac:dyDescent="0.25">
      <c r="B6365" s="39"/>
    </row>
    <row r="6366" spans="2:2" x14ac:dyDescent="0.25">
      <c r="B6366" s="39"/>
    </row>
    <row r="6367" spans="2:2" x14ac:dyDescent="0.25">
      <c r="B6367" s="39"/>
    </row>
    <row r="6368" spans="2:2" x14ac:dyDescent="0.25">
      <c r="B6368" s="39"/>
    </row>
    <row r="6369" spans="2:2" x14ac:dyDescent="0.25">
      <c r="B6369" s="39"/>
    </row>
    <row r="6370" spans="2:2" x14ac:dyDescent="0.25">
      <c r="B6370" s="39"/>
    </row>
    <row r="6371" spans="2:2" x14ac:dyDescent="0.25">
      <c r="B6371" s="39"/>
    </row>
    <row r="6372" spans="2:2" x14ac:dyDescent="0.25">
      <c r="B6372" s="39"/>
    </row>
    <row r="6373" spans="2:2" x14ac:dyDescent="0.25">
      <c r="B6373" s="39"/>
    </row>
    <row r="6374" spans="2:2" x14ac:dyDescent="0.25">
      <c r="B6374" s="39"/>
    </row>
    <row r="6375" spans="2:2" x14ac:dyDescent="0.25">
      <c r="B6375" s="39"/>
    </row>
    <row r="6376" spans="2:2" x14ac:dyDescent="0.25">
      <c r="B6376" s="39"/>
    </row>
    <row r="6377" spans="2:2" x14ac:dyDescent="0.25">
      <c r="B6377" s="39"/>
    </row>
    <row r="6378" spans="2:2" x14ac:dyDescent="0.25">
      <c r="B6378" s="39"/>
    </row>
    <row r="6379" spans="2:2" x14ac:dyDescent="0.25">
      <c r="B6379" s="39"/>
    </row>
    <row r="6380" spans="2:2" x14ac:dyDescent="0.25">
      <c r="B6380" s="39"/>
    </row>
    <row r="6381" spans="2:2" x14ac:dyDescent="0.25">
      <c r="B6381" s="39"/>
    </row>
    <row r="6382" spans="2:2" x14ac:dyDescent="0.25">
      <c r="B6382" s="39"/>
    </row>
    <row r="6383" spans="2:2" x14ac:dyDescent="0.25">
      <c r="B6383" s="39"/>
    </row>
    <row r="6384" spans="2:2" x14ac:dyDescent="0.25">
      <c r="B6384" s="39"/>
    </row>
    <row r="6385" spans="2:2" x14ac:dyDescent="0.25">
      <c r="B6385" s="39"/>
    </row>
    <row r="6386" spans="2:2" x14ac:dyDescent="0.25">
      <c r="B6386" s="39"/>
    </row>
    <row r="6387" spans="2:2" x14ac:dyDescent="0.25">
      <c r="B6387" s="39"/>
    </row>
    <row r="6388" spans="2:2" x14ac:dyDescent="0.25">
      <c r="B6388" s="39"/>
    </row>
    <row r="6389" spans="2:2" x14ac:dyDescent="0.25">
      <c r="B6389" s="39"/>
    </row>
    <row r="6390" spans="2:2" x14ac:dyDescent="0.25">
      <c r="B6390" s="39"/>
    </row>
    <row r="6391" spans="2:2" x14ac:dyDescent="0.25">
      <c r="B6391" s="39"/>
    </row>
    <row r="6392" spans="2:2" x14ac:dyDescent="0.25">
      <c r="B6392" s="39"/>
    </row>
    <row r="6393" spans="2:2" x14ac:dyDescent="0.25">
      <c r="B6393" s="39"/>
    </row>
    <row r="6394" spans="2:2" x14ac:dyDescent="0.25">
      <c r="B6394" s="39"/>
    </row>
    <row r="6395" spans="2:2" x14ac:dyDescent="0.25">
      <c r="B6395" s="39"/>
    </row>
    <row r="6396" spans="2:2" x14ac:dyDescent="0.25">
      <c r="B6396" s="39"/>
    </row>
    <row r="6397" spans="2:2" x14ac:dyDescent="0.25">
      <c r="B6397" s="39"/>
    </row>
    <row r="6398" spans="2:2" x14ac:dyDescent="0.25">
      <c r="B6398" s="39"/>
    </row>
    <row r="6399" spans="2:2" x14ac:dyDescent="0.25">
      <c r="B6399" s="39"/>
    </row>
    <row r="6400" spans="2:2" x14ac:dyDescent="0.25">
      <c r="B6400" s="39"/>
    </row>
    <row r="6401" spans="2:2" x14ac:dyDescent="0.25">
      <c r="B6401" s="39"/>
    </row>
    <row r="6402" spans="2:2" x14ac:dyDescent="0.25">
      <c r="B6402" s="39"/>
    </row>
    <row r="6403" spans="2:2" x14ac:dyDescent="0.25">
      <c r="B6403" s="39"/>
    </row>
    <row r="6404" spans="2:2" x14ac:dyDescent="0.25">
      <c r="B6404" s="39"/>
    </row>
    <row r="6405" spans="2:2" x14ac:dyDescent="0.25">
      <c r="B6405" s="39"/>
    </row>
    <row r="6406" spans="2:2" x14ac:dyDescent="0.25">
      <c r="B6406" s="39"/>
    </row>
    <row r="6407" spans="2:2" x14ac:dyDescent="0.25">
      <c r="B6407" s="39"/>
    </row>
    <row r="6408" spans="2:2" x14ac:dyDescent="0.25">
      <c r="B6408" s="39"/>
    </row>
    <row r="6409" spans="2:2" x14ac:dyDescent="0.25">
      <c r="B6409" s="39"/>
    </row>
    <row r="6410" spans="2:2" x14ac:dyDescent="0.25">
      <c r="B6410" s="39"/>
    </row>
    <row r="6411" spans="2:2" x14ac:dyDescent="0.25">
      <c r="B6411" s="39"/>
    </row>
    <row r="6412" spans="2:2" x14ac:dyDescent="0.25">
      <c r="B6412" s="39"/>
    </row>
    <row r="6413" spans="2:2" x14ac:dyDescent="0.25">
      <c r="B6413" s="39"/>
    </row>
    <row r="6414" spans="2:2" x14ac:dyDescent="0.25">
      <c r="B6414" s="39"/>
    </row>
    <row r="6415" spans="2:2" x14ac:dyDescent="0.25">
      <c r="B6415" s="39"/>
    </row>
    <row r="6416" spans="2:2" x14ac:dyDescent="0.25">
      <c r="B6416" s="39"/>
    </row>
    <row r="6417" spans="2:2" x14ac:dyDescent="0.25">
      <c r="B6417" s="39"/>
    </row>
    <row r="6418" spans="2:2" x14ac:dyDescent="0.25">
      <c r="B6418" s="39"/>
    </row>
    <row r="6419" spans="2:2" x14ac:dyDescent="0.25">
      <c r="B6419" s="39"/>
    </row>
    <row r="6420" spans="2:2" x14ac:dyDescent="0.25">
      <c r="B6420" s="39"/>
    </row>
    <row r="6421" spans="2:2" x14ac:dyDescent="0.25">
      <c r="B6421" s="39"/>
    </row>
    <row r="6422" spans="2:2" x14ac:dyDescent="0.25">
      <c r="B6422" s="39"/>
    </row>
    <row r="6423" spans="2:2" x14ac:dyDescent="0.25">
      <c r="B6423" s="39"/>
    </row>
    <row r="6424" spans="2:2" x14ac:dyDescent="0.25">
      <c r="B6424" s="39"/>
    </row>
    <row r="6425" spans="2:2" x14ac:dyDescent="0.25">
      <c r="B6425" s="39"/>
    </row>
    <row r="6426" spans="2:2" x14ac:dyDescent="0.25">
      <c r="B6426" s="39"/>
    </row>
    <row r="6427" spans="2:2" x14ac:dyDescent="0.25">
      <c r="B6427" s="39"/>
    </row>
    <row r="6428" spans="2:2" x14ac:dyDescent="0.25">
      <c r="B6428" s="39"/>
    </row>
    <row r="6429" spans="2:2" x14ac:dyDescent="0.25">
      <c r="B6429" s="39"/>
    </row>
    <row r="6430" spans="2:2" x14ac:dyDescent="0.25">
      <c r="B6430" s="39"/>
    </row>
    <row r="6431" spans="2:2" x14ac:dyDescent="0.25">
      <c r="B6431" s="39"/>
    </row>
    <row r="6432" spans="2:2" x14ac:dyDescent="0.25">
      <c r="B6432" s="39"/>
    </row>
    <row r="6433" spans="2:2" x14ac:dyDescent="0.25">
      <c r="B6433" s="39"/>
    </row>
    <row r="6434" spans="2:2" x14ac:dyDescent="0.25">
      <c r="B6434" s="39"/>
    </row>
    <row r="6435" spans="2:2" x14ac:dyDescent="0.25">
      <c r="B6435" s="39"/>
    </row>
    <row r="6436" spans="2:2" x14ac:dyDescent="0.25">
      <c r="B6436" s="39"/>
    </row>
    <row r="6437" spans="2:2" x14ac:dyDescent="0.25">
      <c r="B6437" s="39"/>
    </row>
    <row r="6438" spans="2:2" x14ac:dyDescent="0.25">
      <c r="B6438" s="39"/>
    </row>
    <row r="6439" spans="2:2" x14ac:dyDescent="0.25">
      <c r="B6439" s="39"/>
    </row>
    <row r="6440" spans="2:2" x14ac:dyDescent="0.25">
      <c r="B6440" s="39"/>
    </row>
    <row r="6441" spans="2:2" x14ac:dyDescent="0.25">
      <c r="B6441" s="39"/>
    </row>
    <row r="6442" spans="2:2" x14ac:dyDescent="0.25">
      <c r="B6442" s="39"/>
    </row>
    <row r="6443" spans="2:2" x14ac:dyDescent="0.25">
      <c r="B6443" s="39"/>
    </row>
    <row r="6444" spans="2:2" x14ac:dyDescent="0.25">
      <c r="B6444" s="39"/>
    </row>
    <row r="6445" spans="2:2" x14ac:dyDescent="0.25">
      <c r="B6445" s="39"/>
    </row>
    <row r="6446" spans="2:2" x14ac:dyDescent="0.25">
      <c r="B6446" s="39"/>
    </row>
    <row r="6447" spans="2:2" x14ac:dyDescent="0.25">
      <c r="B6447" s="39"/>
    </row>
    <row r="6448" spans="2:2" x14ac:dyDescent="0.25">
      <c r="B6448" s="39"/>
    </row>
    <row r="6449" spans="2:2" x14ac:dyDescent="0.25">
      <c r="B6449" s="39"/>
    </row>
    <row r="6450" spans="2:2" x14ac:dyDescent="0.25">
      <c r="B6450" s="39"/>
    </row>
    <row r="6451" spans="2:2" x14ac:dyDescent="0.25">
      <c r="B6451" s="39"/>
    </row>
    <row r="6452" spans="2:2" x14ac:dyDescent="0.25">
      <c r="B6452" s="39"/>
    </row>
    <row r="6453" spans="2:2" x14ac:dyDescent="0.25">
      <c r="B6453" s="39"/>
    </row>
    <row r="6454" spans="2:2" x14ac:dyDescent="0.25">
      <c r="B6454" s="39"/>
    </row>
    <row r="6455" spans="2:2" x14ac:dyDescent="0.25">
      <c r="B6455" s="39"/>
    </row>
    <row r="6456" spans="2:2" x14ac:dyDescent="0.25">
      <c r="B6456" s="39"/>
    </row>
    <row r="6457" spans="2:2" x14ac:dyDescent="0.25">
      <c r="B6457" s="39"/>
    </row>
    <row r="6458" spans="2:2" x14ac:dyDescent="0.25">
      <c r="B6458" s="39"/>
    </row>
    <row r="6459" spans="2:2" x14ac:dyDescent="0.25">
      <c r="B6459" s="39"/>
    </row>
    <row r="6460" spans="2:2" x14ac:dyDescent="0.25">
      <c r="B6460" s="39"/>
    </row>
    <row r="6461" spans="2:2" x14ac:dyDescent="0.25">
      <c r="B6461" s="39"/>
    </row>
    <row r="6462" spans="2:2" x14ac:dyDescent="0.25">
      <c r="B6462" s="39"/>
    </row>
    <row r="6463" spans="2:2" x14ac:dyDescent="0.25">
      <c r="B6463" s="39"/>
    </row>
    <row r="6464" spans="2:2" x14ac:dyDescent="0.25">
      <c r="B6464" s="39"/>
    </row>
    <row r="6465" spans="2:2" x14ac:dyDescent="0.25">
      <c r="B6465" s="39"/>
    </row>
    <row r="6467" spans="2:2" x14ac:dyDescent="0.25">
      <c r="B6467" s="39"/>
    </row>
    <row r="6468" spans="2:2" x14ac:dyDescent="0.25">
      <c r="B6468" s="39"/>
    </row>
    <row r="6469" spans="2:2" x14ac:dyDescent="0.25">
      <c r="B6469" s="39"/>
    </row>
    <row r="6470" spans="2:2" x14ac:dyDescent="0.25">
      <c r="B6470" s="39"/>
    </row>
    <row r="6471" spans="2:2" x14ac:dyDescent="0.25">
      <c r="B6471" s="39"/>
    </row>
    <row r="6472" spans="2:2" x14ac:dyDescent="0.25">
      <c r="B6472" s="39"/>
    </row>
    <row r="6473" spans="2:2" x14ac:dyDescent="0.25">
      <c r="B6473" s="39"/>
    </row>
    <row r="6474" spans="2:2" x14ac:dyDescent="0.25">
      <c r="B6474" s="39"/>
    </row>
    <row r="6475" spans="2:2" x14ac:dyDescent="0.25">
      <c r="B6475" s="39"/>
    </row>
    <row r="6476" spans="2:2" x14ac:dyDescent="0.25">
      <c r="B6476" s="39"/>
    </row>
    <row r="6477" spans="2:2" x14ac:dyDescent="0.25">
      <c r="B6477" s="39"/>
    </row>
    <row r="6478" spans="2:2" x14ac:dyDescent="0.25">
      <c r="B6478" s="39"/>
    </row>
    <row r="6479" spans="2:2" x14ac:dyDescent="0.25">
      <c r="B6479" s="39"/>
    </row>
    <row r="6480" spans="2:2" x14ac:dyDescent="0.25">
      <c r="B6480" s="39"/>
    </row>
    <row r="6481" spans="2:2" x14ac:dyDescent="0.25">
      <c r="B6481" s="39"/>
    </row>
    <row r="6482" spans="2:2" x14ac:dyDescent="0.25">
      <c r="B6482" s="39"/>
    </row>
    <row r="6483" spans="2:2" x14ac:dyDescent="0.25">
      <c r="B6483" s="39"/>
    </row>
    <row r="6487" spans="2:2" x14ac:dyDescent="0.25">
      <c r="B6487" s="39"/>
    </row>
    <row r="6488" spans="2:2" x14ac:dyDescent="0.25">
      <c r="B6488" s="39"/>
    </row>
    <row r="6489" spans="2:2" x14ac:dyDescent="0.25">
      <c r="B6489" s="39"/>
    </row>
    <row r="6490" spans="2:2" x14ac:dyDescent="0.25">
      <c r="B6490" s="39"/>
    </row>
    <row r="6491" spans="2:2" x14ac:dyDescent="0.25">
      <c r="B6491" s="39"/>
    </row>
    <row r="6492" spans="2:2" x14ac:dyDescent="0.25">
      <c r="B6492" s="39"/>
    </row>
    <row r="6493" spans="2:2" x14ac:dyDescent="0.25">
      <c r="B6493" s="39"/>
    </row>
    <row r="6494" spans="2:2" x14ac:dyDescent="0.25">
      <c r="B6494" s="39"/>
    </row>
    <row r="6500" spans="2:2" x14ac:dyDescent="0.25">
      <c r="B6500" s="39"/>
    </row>
    <row r="6501" spans="2:2" x14ac:dyDescent="0.25">
      <c r="B6501" s="39"/>
    </row>
    <row r="6502" spans="2:2" x14ac:dyDescent="0.25">
      <c r="B6502" s="39"/>
    </row>
    <row r="6503" spans="2:2" x14ac:dyDescent="0.25">
      <c r="B6503" s="39"/>
    </row>
    <row r="6504" spans="2:2" x14ac:dyDescent="0.25">
      <c r="B6504" s="39"/>
    </row>
    <row r="6505" spans="2:2" x14ac:dyDescent="0.25">
      <c r="B6505" s="39"/>
    </row>
    <row r="6506" spans="2:2" x14ac:dyDescent="0.25">
      <c r="B6506" s="39"/>
    </row>
    <row r="6507" spans="2:2" x14ac:dyDescent="0.25">
      <c r="B6507" s="39"/>
    </row>
    <row r="6510" spans="2:2" x14ac:dyDescent="0.25">
      <c r="B6510" s="39"/>
    </row>
    <row r="6511" spans="2:2" x14ac:dyDescent="0.25">
      <c r="B6511" s="39"/>
    </row>
    <row r="6512" spans="2:2" x14ac:dyDescent="0.25">
      <c r="B6512" s="39"/>
    </row>
    <row r="6513" spans="2:2" x14ac:dyDescent="0.25">
      <c r="B6513" s="39"/>
    </row>
    <row r="6514" spans="2:2" x14ac:dyDescent="0.25">
      <c r="B6514" s="39"/>
    </row>
    <row r="6515" spans="2:2" x14ac:dyDescent="0.25">
      <c r="B6515" s="39"/>
    </row>
    <row r="6517" spans="2:2" x14ac:dyDescent="0.25">
      <c r="B6517" s="39"/>
    </row>
    <row r="6518" spans="2:2" x14ac:dyDescent="0.25">
      <c r="B6518" s="39"/>
    </row>
    <row r="6522" spans="2:2" x14ac:dyDescent="0.25">
      <c r="B6522" s="39"/>
    </row>
    <row r="6525" spans="2:2" x14ac:dyDescent="0.25">
      <c r="B6525" s="39"/>
    </row>
    <row r="6526" spans="2:2" x14ac:dyDescent="0.25">
      <c r="B6526" s="39"/>
    </row>
    <row r="6527" spans="2:2" x14ac:dyDescent="0.25">
      <c r="B6527" s="39"/>
    </row>
    <row r="6528" spans="2:2" x14ac:dyDescent="0.25">
      <c r="B6528" s="39"/>
    </row>
    <row r="6529" spans="2:2" x14ac:dyDescent="0.25">
      <c r="B6529" s="39"/>
    </row>
    <row r="6530" spans="2:2" x14ac:dyDescent="0.25">
      <c r="B6530" s="39"/>
    </row>
    <row r="6531" spans="2:2" x14ac:dyDescent="0.25">
      <c r="B6531" s="39"/>
    </row>
    <row r="6532" spans="2:2" x14ac:dyDescent="0.25">
      <c r="B6532" s="39"/>
    </row>
    <row r="6533" spans="2:2" x14ac:dyDescent="0.25">
      <c r="B6533" s="39"/>
    </row>
    <row r="6534" spans="2:2" x14ac:dyDescent="0.25">
      <c r="B6534" s="39"/>
    </row>
    <row r="6535" spans="2:2" x14ac:dyDescent="0.25">
      <c r="B6535" s="39"/>
    </row>
    <row r="6536" spans="2:2" x14ac:dyDescent="0.25">
      <c r="B6536" s="39"/>
    </row>
    <row r="6537" spans="2:2" x14ac:dyDescent="0.25">
      <c r="B6537" s="39"/>
    </row>
    <row r="6538" spans="2:2" x14ac:dyDescent="0.25">
      <c r="B6538" s="39"/>
    </row>
    <row r="6539" spans="2:2" x14ac:dyDescent="0.25">
      <c r="B6539" s="39"/>
    </row>
    <row r="6540" spans="2:2" x14ac:dyDescent="0.25">
      <c r="B6540" s="39"/>
    </row>
    <row r="6541" spans="2:2" x14ac:dyDescent="0.25">
      <c r="B6541" s="39"/>
    </row>
    <row r="6542" spans="2:2" x14ac:dyDescent="0.25">
      <c r="B6542" s="39"/>
    </row>
    <row r="6543" spans="2:2" x14ac:dyDescent="0.25">
      <c r="B6543" s="39"/>
    </row>
    <row r="6544" spans="2:2" x14ac:dyDescent="0.25">
      <c r="B6544" s="39"/>
    </row>
    <row r="6545" spans="2:2" x14ac:dyDescent="0.25">
      <c r="B6545" s="39"/>
    </row>
    <row r="6546" spans="2:2" x14ac:dyDescent="0.25">
      <c r="B6546" s="39"/>
    </row>
    <row r="6547" spans="2:2" x14ac:dyDescent="0.25">
      <c r="B6547" s="39"/>
    </row>
    <row r="6548" spans="2:2" x14ac:dyDescent="0.25">
      <c r="B6548" s="39"/>
    </row>
    <row r="6549" spans="2:2" x14ac:dyDescent="0.25">
      <c r="B6549" s="39"/>
    </row>
    <row r="6550" spans="2:2" x14ac:dyDescent="0.25">
      <c r="B6550" s="39"/>
    </row>
    <row r="6551" spans="2:2" x14ac:dyDescent="0.25">
      <c r="B6551" s="39"/>
    </row>
    <row r="6552" spans="2:2" x14ac:dyDescent="0.25">
      <c r="B6552" s="39"/>
    </row>
    <row r="6553" spans="2:2" x14ac:dyDescent="0.25">
      <c r="B6553" s="39"/>
    </row>
    <row r="6554" spans="2:2" x14ac:dyDescent="0.25">
      <c r="B6554" s="39"/>
    </row>
    <row r="6555" spans="2:2" x14ac:dyDescent="0.25">
      <c r="B6555" s="39"/>
    </row>
    <row r="6556" spans="2:2" x14ac:dyDescent="0.25">
      <c r="B6556" s="39"/>
    </row>
    <row r="6557" spans="2:2" x14ac:dyDescent="0.25">
      <c r="B6557" s="39"/>
    </row>
    <row r="6558" spans="2:2" x14ac:dyDescent="0.25">
      <c r="B6558" s="39"/>
    </row>
    <row r="6559" spans="2:2" x14ac:dyDescent="0.25">
      <c r="B6559" s="39"/>
    </row>
    <row r="6560" spans="2:2" x14ac:dyDescent="0.25">
      <c r="B6560" s="39"/>
    </row>
    <row r="6561" spans="2:2" x14ac:dyDescent="0.25">
      <c r="B6561" s="39"/>
    </row>
    <row r="6562" spans="2:2" x14ac:dyDescent="0.25">
      <c r="B6562" s="39"/>
    </row>
    <row r="6563" spans="2:2" x14ac:dyDescent="0.25">
      <c r="B6563" s="39"/>
    </row>
    <row r="6564" spans="2:2" x14ac:dyDescent="0.25">
      <c r="B6564" s="39"/>
    </row>
    <row r="6565" spans="2:2" x14ac:dyDescent="0.25">
      <c r="B6565" s="39"/>
    </row>
    <row r="6566" spans="2:2" x14ac:dyDescent="0.25">
      <c r="B6566" s="39"/>
    </row>
    <row r="6567" spans="2:2" x14ac:dyDescent="0.25">
      <c r="B6567" s="39"/>
    </row>
    <row r="6568" spans="2:2" x14ac:dyDescent="0.25">
      <c r="B6568" s="39"/>
    </row>
    <row r="6569" spans="2:2" x14ac:dyDescent="0.25">
      <c r="B6569" s="39"/>
    </row>
    <row r="6570" spans="2:2" x14ac:dyDescent="0.25">
      <c r="B6570" s="39"/>
    </row>
    <row r="6571" spans="2:2" x14ac:dyDescent="0.25">
      <c r="B6571" s="39"/>
    </row>
    <row r="6572" spans="2:2" x14ac:dyDescent="0.25">
      <c r="B6572" s="39"/>
    </row>
    <row r="6573" spans="2:2" x14ac:dyDescent="0.25">
      <c r="B6573" s="39"/>
    </row>
    <row r="6574" spans="2:2" x14ac:dyDescent="0.25">
      <c r="B6574" s="39"/>
    </row>
    <row r="6575" spans="2:2" x14ac:dyDescent="0.25">
      <c r="B6575" s="39"/>
    </row>
    <row r="6576" spans="2:2" x14ac:dyDescent="0.25">
      <c r="B6576" s="39"/>
    </row>
    <row r="6577" spans="2:2" x14ac:dyDescent="0.25">
      <c r="B6577" s="39"/>
    </row>
    <row r="6578" spans="2:2" x14ac:dyDescent="0.25">
      <c r="B6578" s="39"/>
    </row>
    <row r="6579" spans="2:2" x14ac:dyDescent="0.25">
      <c r="B6579" s="39"/>
    </row>
    <row r="6580" spans="2:2" x14ac:dyDescent="0.25">
      <c r="B6580" s="39"/>
    </row>
    <row r="6581" spans="2:2" x14ac:dyDescent="0.25">
      <c r="B6581" s="39"/>
    </row>
    <row r="6582" spans="2:2" x14ac:dyDescent="0.25">
      <c r="B6582" s="39"/>
    </row>
    <row r="6583" spans="2:2" x14ac:dyDescent="0.25">
      <c r="B6583" s="39"/>
    </row>
    <row r="6584" spans="2:2" x14ac:dyDescent="0.25">
      <c r="B6584" s="39"/>
    </row>
    <row r="6585" spans="2:2" x14ac:dyDescent="0.25">
      <c r="B6585" s="39"/>
    </row>
    <row r="6586" spans="2:2" x14ac:dyDescent="0.25">
      <c r="B6586" s="39"/>
    </row>
    <row r="6587" spans="2:2" x14ac:dyDescent="0.25">
      <c r="B6587" s="39"/>
    </row>
    <row r="6588" spans="2:2" x14ac:dyDescent="0.25">
      <c r="B6588" s="39"/>
    </row>
    <row r="6589" spans="2:2" x14ac:dyDescent="0.25">
      <c r="B6589" s="39"/>
    </row>
    <row r="6590" spans="2:2" x14ac:dyDescent="0.25">
      <c r="B6590" s="39"/>
    </row>
    <row r="6591" spans="2:2" x14ac:dyDescent="0.25">
      <c r="B6591" s="39"/>
    </row>
    <row r="6592" spans="2:2" x14ac:dyDescent="0.25">
      <c r="B6592" s="39"/>
    </row>
    <row r="6593" spans="2:2" x14ac:dyDescent="0.25">
      <c r="B6593" s="39"/>
    </row>
    <row r="6594" spans="2:2" x14ac:dyDescent="0.25">
      <c r="B6594" s="39"/>
    </row>
    <row r="6595" spans="2:2" x14ac:dyDescent="0.25">
      <c r="B6595" s="39"/>
    </row>
    <row r="6596" spans="2:2" x14ac:dyDescent="0.25">
      <c r="B6596" s="39"/>
    </row>
    <row r="6597" spans="2:2" x14ac:dyDescent="0.25">
      <c r="B6597" s="39"/>
    </row>
    <row r="6598" spans="2:2" x14ac:dyDescent="0.25">
      <c r="B6598" s="39"/>
    </row>
    <row r="6599" spans="2:2" x14ac:dyDescent="0.25">
      <c r="B6599" s="39"/>
    </row>
    <row r="6601" spans="2:2" x14ac:dyDescent="0.25">
      <c r="B6601" s="39"/>
    </row>
    <row r="6602" spans="2:2" x14ac:dyDescent="0.25">
      <c r="B6602" s="39"/>
    </row>
    <row r="6603" spans="2:2" x14ac:dyDescent="0.25">
      <c r="B6603" s="39"/>
    </row>
    <row r="6604" spans="2:2" x14ac:dyDescent="0.25">
      <c r="B6604" s="39"/>
    </row>
    <row r="6605" spans="2:2" x14ac:dyDescent="0.25">
      <c r="B6605" s="39"/>
    </row>
    <row r="6606" spans="2:2" x14ac:dyDescent="0.25">
      <c r="B6606" s="39"/>
    </row>
    <row r="6607" spans="2:2" x14ac:dyDescent="0.25">
      <c r="B6607" s="39"/>
    </row>
    <row r="6608" spans="2:2" x14ac:dyDescent="0.25">
      <c r="B6608" s="39"/>
    </row>
    <row r="6609" spans="2:2" x14ac:dyDescent="0.25">
      <c r="B6609" s="39"/>
    </row>
    <row r="6610" spans="2:2" x14ac:dyDescent="0.25">
      <c r="B6610" s="39"/>
    </row>
    <row r="6611" spans="2:2" x14ac:dyDescent="0.25">
      <c r="B6611" s="39"/>
    </row>
    <row r="6612" spans="2:2" x14ac:dyDescent="0.25">
      <c r="B6612" s="39"/>
    </row>
    <row r="6613" spans="2:2" x14ac:dyDescent="0.25">
      <c r="B6613" s="39"/>
    </row>
    <row r="6614" spans="2:2" x14ac:dyDescent="0.25">
      <c r="B6614" s="39"/>
    </row>
    <row r="6615" spans="2:2" x14ac:dyDescent="0.25">
      <c r="B6615" s="39"/>
    </row>
    <row r="6616" spans="2:2" x14ac:dyDescent="0.25">
      <c r="B6616" s="39"/>
    </row>
    <row r="6617" spans="2:2" x14ac:dyDescent="0.25">
      <c r="B6617" s="39"/>
    </row>
    <row r="6618" spans="2:2" x14ac:dyDescent="0.25">
      <c r="B6618" s="39"/>
    </row>
    <row r="6619" spans="2:2" x14ac:dyDescent="0.25">
      <c r="B6619" s="39"/>
    </row>
    <row r="6620" spans="2:2" x14ac:dyDescent="0.25">
      <c r="B6620" s="39"/>
    </row>
    <row r="6621" spans="2:2" x14ac:dyDescent="0.25">
      <c r="B6621" s="39"/>
    </row>
    <row r="6622" spans="2:2" x14ac:dyDescent="0.25">
      <c r="B6622" s="39"/>
    </row>
    <row r="6623" spans="2:2" x14ac:dyDescent="0.25">
      <c r="B6623" s="39"/>
    </row>
    <row r="6624" spans="2:2" x14ac:dyDescent="0.25">
      <c r="B6624" s="39"/>
    </row>
    <row r="6625" spans="2:2" x14ac:dyDescent="0.25">
      <c r="B6625" s="39"/>
    </row>
    <row r="6626" spans="2:2" x14ac:dyDescent="0.25">
      <c r="B6626" s="39"/>
    </row>
    <row r="6627" spans="2:2" x14ac:dyDescent="0.25">
      <c r="B6627" s="39"/>
    </row>
    <row r="6628" spans="2:2" x14ac:dyDescent="0.25">
      <c r="B6628" s="39"/>
    </row>
    <row r="6629" spans="2:2" x14ac:dyDescent="0.25">
      <c r="B6629" s="39"/>
    </row>
    <row r="6630" spans="2:2" x14ac:dyDescent="0.25">
      <c r="B6630" s="39"/>
    </row>
    <row r="6631" spans="2:2" x14ac:dyDescent="0.25">
      <c r="B6631" s="39"/>
    </row>
    <row r="6632" spans="2:2" x14ac:dyDescent="0.25">
      <c r="B6632" s="39"/>
    </row>
    <row r="6633" spans="2:2" x14ac:dyDescent="0.25">
      <c r="B6633" s="39"/>
    </row>
    <row r="6634" spans="2:2" x14ac:dyDescent="0.25">
      <c r="B6634" s="39"/>
    </row>
    <row r="6635" spans="2:2" x14ac:dyDescent="0.25">
      <c r="B6635" s="39"/>
    </row>
    <row r="6636" spans="2:2" x14ac:dyDescent="0.25">
      <c r="B6636" s="39"/>
    </row>
    <row r="6637" spans="2:2" x14ac:dyDescent="0.25">
      <c r="B6637" s="39"/>
    </row>
    <row r="6638" spans="2:2" x14ac:dyDescent="0.25">
      <c r="B6638" s="39"/>
    </row>
    <row r="6639" spans="2:2" x14ac:dyDescent="0.25">
      <c r="B6639" s="39"/>
    </row>
    <row r="6640" spans="2:2" x14ac:dyDescent="0.25">
      <c r="B6640" s="39"/>
    </row>
    <row r="6641" spans="2:2" x14ac:dyDescent="0.25">
      <c r="B6641" s="39"/>
    </row>
    <row r="6642" spans="2:2" x14ac:dyDescent="0.25">
      <c r="B6642" s="39"/>
    </row>
    <row r="6643" spans="2:2" x14ac:dyDescent="0.25">
      <c r="B6643" s="39"/>
    </row>
    <row r="6644" spans="2:2" x14ac:dyDescent="0.25">
      <c r="B6644" s="39"/>
    </row>
    <row r="6645" spans="2:2" x14ac:dyDescent="0.25">
      <c r="B6645" s="39"/>
    </row>
    <row r="6646" spans="2:2" x14ac:dyDescent="0.25">
      <c r="B6646" s="39"/>
    </row>
    <row r="6647" spans="2:2" x14ac:dyDescent="0.25">
      <c r="B6647" s="39"/>
    </row>
    <row r="6648" spans="2:2" x14ac:dyDescent="0.25">
      <c r="B6648" s="39"/>
    </row>
    <row r="6649" spans="2:2" x14ac:dyDescent="0.25">
      <c r="B6649" s="39"/>
    </row>
    <row r="6650" spans="2:2" x14ac:dyDescent="0.25">
      <c r="B6650" s="39"/>
    </row>
    <row r="6651" spans="2:2" x14ac:dyDescent="0.25">
      <c r="B6651" s="39"/>
    </row>
    <row r="6652" spans="2:2" x14ac:dyDescent="0.25">
      <c r="B6652" s="39"/>
    </row>
    <row r="6653" spans="2:2" x14ac:dyDescent="0.25">
      <c r="B6653" s="39"/>
    </row>
    <row r="6654" spans="2:2" x14ac:dyDescent="0.25">
      <c r="B6654" s="39"/>
    </row>
    <row r="6655" spans="2:2" x14ac:dyDescent="0.25">
      <c r="B6655" s="39"/>
    </row>
    <row r="6656" spans="2:2" x14ac:dyDescent="0.25">
      <c r="B6656" s="39"/>
    </row>
    <row r="6657" spans="2:2" x14ac:dyDescent="0.25">
      <c r="B6657" s="39"/>
    </row>
    <row r="6658" spans="2:2" x14ac:dyDescent="0.25">
      <c r="B6658" s="39"/>
    </row>
    <row r="6659" spans="2:2" x14ac:dyDescent="0.25">
      <c r="B6659" s="39"/>
    </row>
    <row r="6660" spans="2:2" x14ac:dyDescent="0.25">
      <c r="B6660" s="39"/>
    </row>
    <row r="6661" spans="2:2" x14ac:dyDescent="0.25">
      <c r="B6661" s="39"/>
    </row>
    <row r="6662" spans="2:2" x14ac:dyDescent="0.25">
      <c r="B6662" s="39"/>
    </row>
    <row r="6663" spans="2:2" x14ac:dyDescent="0.25">
      <c r="B6663" s="39"/>
    </row>
    <row r="6664" spans="2:2" x14ac:dyDescent="0.25">
      <c r="B6664" s="39"/>
    </row>
    <row r="6665" spans="2:2" x14ac:dyDescent="0.25">
      <c r="B6665" s="39"/>
    </row>
    <row r="6666" spans="2:2" x14ac:dyDescent="0.25">
      <c r="B6666" s="39"/>
    </row>
    <row r="6667" spans="2:2" x14ac:dyDescent="0.25">
      <c r="B6667" s="39"/>
    </row>
    <row r="6668" spans="2:2" x14ac:dyDescent="0.25">
      <c r="B6668" s="39"/>
    </row>
    <row r="6669" spans="2:2" x14ac:dyDescent="0.25">
      <c r="B6669" s="39"/>
    </row>
    <row r="6670" spans="2:2" x14ac:dyDescent="0.25">
      <c r="B6670" s="39"/>
    </row>
    <row r="6671" spans="2:2" x14ac:dyDescent="0.25">
      <c r="B6671" s="39"/>
    </row>
    <row r="6672" spans="2:2" x14ac:dyDescent="0.25">
      <c r="B6672" s="39"/>
    </row>
    <row r="6673" spans="2:2" x14ac:dyDescent="0.25">
      <c r="B6673" s="39"/>
    </row>
    <row r="6675" spans="2:2" x14ac:dyDescent="0.25">
      <c r="B6675" s="39"/>
    </row>
    <row r="6676" spans="2:2" x14ac:dyDescent="0.25">
      <c r="B6676" s="39"/>
    </row>
    <row r="6677" spans="2:2" x14ac:dyDescent="0.25">
      <c r="B6677" s="39"/>
    </row>
    <row r="6678" spans="2:2" x14ac:dyDescent="0.25">
      <c r="B6678" s="39"/>
    </row>
    <row r="6679" spans="2:2" x14ac:dyDescent="0.25">
      <c r="B6679" s="39"/>
    </row>
    <row r="6680" spans="2:2" x14ac:dyDescent="0.25">
      <c r="B6680" s="39"/>
    </row>
    <row r="6681" spans="2:2" x14ac:dyDescent="0.25">
      <c r="B6681" s="39"/>
    </row>
    <row r="6682" spans="2:2" x14ac:dyDescent="0.25">
      <c r="B6682" s="39"/>
    </row>
    <row r="6683" spans="2:2" x14ac:dyDescent="0.25">
      <c r="B6683" s="39"/>
    </row>
    <row r="6684" spans="2:2" x14ac:dyDescent="0.25">
      <c r="B6684" s="39"/>
    </row>
    <row r="6685" spans="2:2" x14ac:dyDescent="0.25">
      <c r="B6685" s="39"/>
    </row>
    <row r="6686" spans="2:2" x14ac:dyDescent="0.25">
      <c r="B6686" s="39"/>
    </row>
    <row r="6687" spans="2:2" x14ac:dyDescent="0.25">
      <c r="B6687" s="39"/>
    </row>
    <row r="6688" spans="2:2" x14ac:dyDescent="0.25">
      <c r="B6688" s="39"/>
    </row>
    <row r="6689" spans="2:2" x14ac:dyDescent="0.25">
      <c r="B6689" s="39"/>
    </row>
    <row r="6690" spans="2:2" x14ac:dyDescent="0.25">
      <c r="B6690" s="39"/>
    </row>
    <row r="6691" spans="2:2" x14ac:dyDescent="0.25">
      <c r="B6691" s="39"/>
    </row>
    <row r="6692" spans="2:2" x14ac:dyDescent="0.25">
      <c r="B6692" s="39"/>
    </row>
    <row r="6693" spans="2:2" x14ac:dyDescent="0.25">
      <c r="B6693" s="39"/>
    </row>
    <row r="6694" spans="2:2" x14ac:dyDescent="0.25">
      <c r="B6694" s="39"/>
    </row>
    <row r="6695" spans="2:2" x14ac:dyDescent="0.25">
      <c r="B6695" s="39"/>
    </row>
    <row r="6696" spans="2:2" x14ac:dyDescent="0.25">
      <c r="B6696" s="39"/>
    </row>
    <row r="6697" spans="2:2" x14ac:dyDescent="0.25">
      <c r="B6697" s="39"/>
    </row>
    <row r="6698" spans="2:2" x14ac:dyDescent="0.25">
      <c r="B6698" s="39"/>
    </row>
    <row r="6699" spans="2:2" x14ac:dyDescent="0.25">
      <c r="B6699" s="39"/>
    </row>
    <row r="6700" spans="2:2" x14ac:dyDescent="0.25">
      <c r="B6700" s="39"/>
    </row>
    <row r="6701" spans="2:2" x14ac:dyDescent="0.25">
      <c r="B6701" s="39"/>
    </row>
    <row r="6702" spans="2:2" x14ac:dyDescent="0.25">
      <c r="B6702" s="39"/>
    </row>
    <row r="6703" spans="2:2" x14ac:dyDescent="0.25">
      <c r="B6703" s="39"/>
    </row>
    <row r="6704" spans="2:2" x14ac:dyDescent="0.25">
      <c r="B6704" s="39"/>
    </row>
    <row r="6705" spans="2:2" x14ac:dyDescent="0.25">
      <c r="B6705" s="39"/>
    </row>
    <row r="6706" spans="2:2" x14ac:dyDescent="0.25">
      <c r="B6706" s="39"/>
    </row>
    <row r="6707" spans="2:2" x14ac:dyDescent="0.25">
      <c r="B6707" s="39"/>
    </row>
    <row r="6708" spans="2:2" x14ac:dyDescent="0.25">
      <c r="B6708" s="39"/>
    </row>
    <row r="6709" spans="2:2" x14ac:dyDescent="0.25">
      <c r="B6709" s="39"/>
    </row>
    <row r="6710" spans="2:2" x14ac:dyDescent="0.25">
      <c r="B6710" s="39"/>
    </row>
    <row r="6711" spans="2:2" x14ac:dyDescent="0.25">
      <c r="B6711" s="39"/>
    </row>
    <row r="6712" spans="2:2" x14ac:dyDescent="0.25">
      <c r="B6712" s="39"/>
    </row>
    <row r="6713" spans="2:2" x14ac:dyDescent="0.25">
      <c r="B6713" s="39"/>
    </row>
    <row r="6714" spans="2:2" x14ac:dyDescent="0.25">
      <c r="B6714" s="39"/>
    </row>
    <row r="6715" spans="2:2" x14ac:dyDescent="0.25">
      <c r="B6715" s="39"/>
    </row>
    <row r="6716" spans="2:2" x14ac:dyDescent="0.25">
      <c r="B6716" s="39"/>
    </row>
    <row r="6717" spans="2:2" x14ac:dyDescent="0.25">
      <c r="B6717" s="39"/>
    </row>
    <row r="6718" spans="2:2" x14ac:dyDescent="0.25">
      <c r="B6718" s="39"/>
    </row>
    <row r="6719" spans="2:2" x14ac:dyDescent="0.25">
      <c r="B6719" s="39"/>
    </row>
    <row r="6720" spans="2:2" x14ac:dyDescent="0.25">
      <c r="B6720" s="39"/>
    </row>
    <row r="6721" spans="2:2" x14ac:dyDescent="0.25">
      <c r="B6721" s="39"/>
    </row>
    <row r="6722" spans="2:2" x14ac:dyDescent="0.25">
      <c r="B6722" s="39"/>
    </row>
    <row r="6723" spans="2:2" x14ac:dyDescent="0.25">
      <c r="B6723" s="39"/>
    </row>
    <row r="6724" spans="2:2" x14ac:dyDescent="0.25">
      <c r="B6724" s="39"/>
    </row>
    <row r="6725" spans="2:2" x14ac:dyDescent="0.25">
      <c r="B6725" s="39"/>
    </row>
    <row r="6726" spans="2:2" x14ac:dyDescent="0.25">
      <c r="B6726" s="39"/>
    </row>
    <row r="6727" spans="2:2" x14ac:dyDescent="0.25">
      <c r="B6727" s="39"/>
    </row>
    <row r="6728" spans="2:2" x14ac:dyDescent="0.25">
      <c r="B6728" s="39"/>
    </row>
    <row r="6729" spans="2:2" x14ac:dyDescent="0.25">
      <c r="B6729" s="39"/>
    </row>
    <row r="6730" spans="2:2" x14ac:dyDescent="0.25">
      <c r="B6730" s="39"/>
    </row>
    <row r="6731" spans="2:2" x14ac:dyDescent="0.25">
      <c r="B6731" s="39"/>
    </row>
    <row r="6732" spans="2:2" x14ac:dyDescent="0.25">
      <c r="B6732" s="39"/>
    </row>
    <row r="6733" spans="2:2" x14ac:dyDescent="0.25">
      <c r="B6733" s="39"/>
    </row>
    <row r="6734" spans="2:2" x14ac:dyDescent="0.25">
      <c r="B6734" s="39"/>
    </row>
    <row r="6735" spans="2:2" x14ac:dyDescent="0.25">
      <c r="B6735" s="39"/>
    </row>
    <row r="6736" spans="2:2" x14ac:dyDescent="0.25">
      <c r="B6736" s="39"/>
    </row>
    <row r="6737" spans="2:2" x14ac:dyDescent="0.25">
      <c r="B6737" s="39"/>
    </row>
    <row r="6738" spans="2:2" x14ac:dyDescent="0.25">
      <c r="B6738" s="39"/>
    </row>
    <row r="6739" spans="2:2" x14ac:dyDescent="0.25">
      <c r="B6739" s="39"/>
    </row>
    <row r="6740" spans="2:2" x14ac:dyDescent="0.25">
      <c r="B6740" s="39"/>
    </row>
    <row r="6741" spans="2:2" x14ac:dyDescent="0.25">
      <c r="B6741" s="39"/>
    </row>
    <row r="6742" spans="2:2" x14ac:dyDescent="0.25">
      <c r="B6742" s="39"/>
    </row>
    <row r="6743" spans="2:2" x14ac:dyDescent="0.25">
      <c r="B6743" s="39"/>
    </row>
    <row r="6744" spans="2:2" x14ac:dyDescent="0.25">
      <c r="B6744" s="39"/>
    </row>
    <row r="6745" spans="2:2" x14ac:dyDescent="0.25">
      <c r="B6745" s="39"/>
    </row>
    <row r="6746" spans="2:2" x14ac:dyDescent="0.25">
      <c r="B6746" s="39"/>
    </row>
    <row r="6747" spans="2:2" x14ac:dyDescent="0.25">
      <c r="B6747" s="39"/>
    </row>
    <row r="6748" spans="2:2" x14ac:dyDescent="0.25">
      <c r="B6748" s="39"/>
    </row>
    <row r="6749" spans="2:2" x14ac:dyDescent="0.25">
      <c r="B6749" s="39"/>
    </row>
    <row r="6750" spans="2:2" x14ac:dyDescent="0.25">
      <c r="B6750" s="39"/>
    </row>
    <row r="6751" spans="2:2" x14ac:dyDescent="0.25">
      <c r="B6751" s="39"/>
    </row>
    <row r="6752" spans="2:2" x14ac:dyDescent="0.25">
      <c r="B6752" s="39"/>
    </row>
    <row r="6753" spans="2:2" x14ac:dyDescent="0.25">
      <c r="B6753" s="39"/>
    </row>
    <row r="6754" spans="2:2" x14ac:dyDescent="0.25">
      <c r="B6754" s="39"/>
    </row>
    <row r="6755" spans="2:2" x14ac:dyDescent="0.25">
      <c r="B6755" s="39"/>
    </row>
    <row r="6756" spans="2:2" x14ac:dyDescent="0.25">
      <c r="B6756" s="39"/>
    </row>
    <row r="6757" spans="2:2" x14ac:dyDescent="0.25">
      <c r="B6757" s="39"/>
    </row>
    <row r="6758" spans="2:2" x14ac:dyDescent="0.25">
      <c r="B6758" s="39"/>
    </row>
    <row r="6759" spans="2:2" x14ac:dyDescent="0.25">
      <c r="B6759" s="39"/>
    </row>
    <row r="6760" spans="2:2" x14ac:dyDescent="0.25">
      <c r="B6760" s="39"/>
    </row>
    <row r="6761" spans="2:2" x14ac:dyDescent="0.25">
      <c r="B6761" s="39"/>
    </row>
    <row r="6762" spans="2:2" x14ac:dyDescent="0.25">
      <c r="B6762" s="39"/>
    </row>
    <row r="6763" spans="2:2" x14ac:dyDescent="0.25">
      <c r="B6763" s="39"/>
    </row>
    <row r="6764" spans="2:2" x14ac:dyDescent="0.25">
      <c r="B6764" s="39"/>
    </row>
    <row r="6765" spans="2:2" x14ac:dyDescent="0.25">
      <c r="B6765" s="39"/>
    </row>
    <row r="6766" spans="2:2" x14ac:dyDescent="0.25">
      <c r="B6766" s="39"/>
    </row>
    <row r="6767" spans="2:2" x14ac:dyDescent="0.25">
      <c r="B6767" s="39"/>
    </row>
    <row r="6768" spans="2:2" x14ac:dyDescent="0.25">
      <c r="B6768" s="39"/>
    </row>
    <row r="6769" spans="2:2" x14ac:dyDescent="0.25">
      <c r="B6769" s="39"/>
    </row>
    <row r="6770" spans="2:2" x14ac:dyDescent="0.25">
      <c r="B6770" s="39"/>
    </row>
    <row r="6771" spans="2:2" x14ac:dyDescent="0.25">
      <c r="B6771" s="39"/>
    </row>
    <row r="6772" spans="2:2" x14ac:dyDescent="0.25">
      <c r="B6772" s="39"/>
    </row>
    <row r="6773" spans="2:2" x14ac:dyDescent="0.25">
      <c r="B6773" s="39"/>
    </row>
    <row r="6774" spans="2:2" x14ac:dyDescent="0.25">
      <c r="B6774" s="39"/>
    </row>
    <row r="6775" spans="2:2" x14ac:dyDescent="0.25">
      <c r="B6775" s="39"/>
    </row>
    <row r="6776" spans="2:2" x14ac:dyDescent="0.25">
      <c r="B6776" s="39"/>
    </row>
    <row r="6777" spans="2:2" x14ac:dyDescent="0.25">
      <c r="B6777" s="39"/>
    </row>
    <row r="6778" spans="2:2" x14ac:dyDescent="0.25">
      <c r="B6778" s="39"/>
    </row>
    <row r="6779" spans="2:2" x14ac:dyDescent="0.25">
      <c r="B6779" s="39"/>
    </row>
    <row r="6780" spans="2:2" x14ac:dyDescent="0.25">
      <c r="B6780" s="39"/>
    </row>
    <row r="6781" spans="2:2" x14ac:dyDescent="0.25">
      <c r="B6781" s="39"/>
    </row>
    <row r="6782" spans="2:2" x14ac:dyDescent="0.25">
      <c r="B6782" s="39"/>
    </row>
    <row r="6783" spans="2:2" x14ac:dyDescent="0.25">
      <c r="B6783" s="39"/>
    </row>
    <row r="6784" spans="2:2" x14ac:dyDescent="0.25">
      <c r="B6784" s="39"/>
    </row>
    <row r="6785" spans="2:2" x14ac:dyDescent="0.25">
      <c r="B6785" s="39"/>
    </row>
    <row r="6786" spans="2:2" x14ac:dyDescent="0.25">
      <c r="B6786" s="39"/>
    </row>
    <row r="6787" spans="2:2" x14ac:dyDescent="0.25">
      <c r="B6787" s="39"/>
    </row>
    <row r="6788" spans="2:2" x14ac:dyDescent="0.25">
      <c r="B6788" s="39"/>
    </row>
    <row r="6789" spans="2:2" x14ac:dyDescent="0.25">
      <c r="B6789" s="39"/>
    </row>
    <row r="6790" spans="2:2" x14ac:dyDescent="0.25">
      <c r="B6790" s="39"/>
    </row>
    <row r="6791" spans="2:2" x14ac:dyDescent="0.25">
      <c r="B6791" s="39"/>
    </row>
    <row r="6792" spans="2:2" x14ac:dyDescent="0.25">
      <c r="B6792" s="39"/>
    </row>
    <row r="6793" spans="2:2" x14ac:dyDescent="0.25">
      <c r="B6793" s="39"/>
    </row>
    <row r="6794" spans="2:2" x14ac:dyDescent="0.25">
      <c r="B6794" s="39"/>
    </row>
    <row r="6795" spans="2:2" x14ac:dyDescent="0.25">
      <c r="B6795" s="39"/>
    </row>
    <row r="6796" spans="2:2" x14ac:dyDescent="0.25">
      <c r="B6796" s="39"/>
    </row>
    <row r="6797" spans="2:2" x14ac:dyDescent="0.25">
      <c r="B6797" s="39"/>
    </row>
    <row r="6798" spans="2:2" x14ac:dyDescent="0.25">
      <c r="B6798" s="39"/>
    </row>
    <row r="6799" spans="2:2" x14ac:dyDescent="0.25">
      <c r="B6799" s="39"/>
    </row>
    <row r="6800" spans="2:2" x14ac:dyDescent="0.25">
      <c r="B6800" s="39"/>
    </row>
    <row r="6801" spans="2:2" x14ac:dyDescent="0.25">
      <c r="B6801" s="39"/>
    </row>
    <row r="6802" spans="2:2" x14ac:dyDescent="0.25">
      <c r="B6802" s="39"/>
    </row>
    <row r="6803" spans="2:2" x14ac:dyDescent="0.25">
      <c r="B6803" s="39"/>
    </row>
    <row r="6804" spans="2:2" x14ac:dyDescent="0.25">
      <c r="B6804" s="39"/>
    </row>
    <row r="6805" spans="2:2" x14ac:dyDescent="0.25">
      <c r="B6805" s="39"/>
    </row>
    <row r="6806" spans="2:2" x14ac:dyDescent="0.25">
      <c r="B6806" s="39"/>
    </row>
    <row r="6807" spans="2:2" x14ac:dyDescent="0.25">
      <c r="B6807" s="39"/>
    </row>
    <row r="6808" spans="2:2" x14ac:dyDescent="0.25">
      <c r="B6808" s="39"/>
    </row>
    <row r="6809" spans="2:2" x14ac:dyDescent="0.25">
      <c r="B6809" s="39"/>
    </row>
    <row r="6810" spans="2:2" x14ac:dyDescent="0.25">
      <c r="B6810" s="39"/>
    </row>
    <row r="6811" spans="2:2" x14ac:dyDescent="0.25">
      <c r="B6811" s="39"/>
    </row>
    <row r="6812" spans="2:2" x14ac:dyDescent="0.25">
      <c r="B6812" s="39"/>
    </row>
    <row r="6813" spans="2:2" x14ac:dyDescent="0.25">
      <c r="B6813" s="39"/>
    </row>
    <row r="6814" spans="2:2" x14ac:dyDescent="0.25">
      <c r="B6814" s="39"/>
    </row>
    <row r="6815" spans="2:2" x14ac:dyDescent="0.25">
      <c r="B6815" s="39"/>
    </row>
    <row r="6816" spans="2:2" x14ac:dyDescent="0.25">
      <c r="B6816" s="39"/>
    </row>
    <row r="6817" spans="2:2" x14ac:dyDescent="0.25">
      <c r="B6817" s="39"/>
    </row>
    <row r="6818" spans="2:2" x14ac:dyDescent="0.25">
      <c r="B6818" s="39"/>
    </row>
    <row r="6819" spans="2:2" x14ac:dyDescent="0.25">
      <c r="B6819" s="39"/>
    </row>
    <row r="6820" spans="2:2" x14ac:dyDescent="0.25">
      <c r="B6820" s="39"/>
    </row>
    <row r="6821" spans="2:2" x14ac:dyDescent="0.25">
      <c r="B6821" s="39"/>
    </row>
    <row r="6822" spans="2:2" x14ac:dyDescent="0.25">
      <c r="B6822" s="39"/>
    </row>
    <row r="6823" spans="2:2" x14ac:dyDescent="0.25">
      <c r="B6823" s="39"/>
    </row>
    <row r="6824" spans="2:2" x14ac:dyDescent="0.25">
      <c r="B6824" s="39"/>
    </row>
    <row r="6825" spans="2:2" x14ac:dyDescent="0.25">
      <c r="B6825" s="39"/>
    </row>
    <row r="6826" spans="2:2" x14ac:dyDescent="0.25">
      <c r="B6826" s="39"/>
    </row>
    <row r="6827" spans="2:2" x14ac:dyDescent="0.25">
      <c r="B6827" s="39"/>
    </row>
    <row r="6828" spans="2:2" x14ac:dyDescent="0.25">
      <c r="B6828" s="39"/>
    </row>
    <row r="6829" spans="2:2" x14ac:dyDescent="0.25">
      <c r="B6829" s="39"/>
    </row>
    <row r="6830" spans="2:2" x14ac:dyDescent="0.25">
      <c r="B6830" s="39"/>
    </row>
    <row r="6831" spans="2:2" x14ac:dyDescent="0.25">
      <c r="B6831" s="39"/>
    </row>
    <row r="6832" spans="2:2" x14ac:dyDescent="0.25">
      <c r="B6832" s="39"/>
    </row>
    <row r="6833" spans="2:2" x14ac:dyDescent="0.25">
      <c r="B6833" s="39"/>
    </row>
    <row r="6834" spans="2:2" x14ac:dyDescent="0.25">
      <c r="B6834" s="39"/>
    </row>
    <row r="6835" spans="2:2" x14ac:dyDescent="0.25">
      <c r="B6835" s="39"/>
    </row>
    <row r="6836" spans="2:2" x14ac:dyDescent="0.25">
      <c r="B6836" s="39"/>
    </row>
    <row r="6837" spans="2:2" x14ac:dyDescent="0.25">
      <c r="B6837" s="39"/>
    </row>
    <row r="6838" spans="2:2" x14ac:dyDescent="0.25">
      <c r="B6838" s="39"/>
    </row>
    <row r="6839" spans="2:2" x14ac:dyDescent="0.25">
      <c r="B6839" s="39"/>
    </row>
    <row r="6840" spans="2:2" x14ac:dyDescent="0.25">
      <c r="B6840" s="39"/>
    </row>
    <row r="6841" spans="2:2" x14ac:dyDescent="0.25">
      <c r="B6841" s="39"/>
    </row>
    <row r="6842" spans="2:2" x14ac:dyDescent="0.25">
      <c r="B6842" s="39"/>
    </row>
    <row r="6843" spans="2:2" x14ac:dyDescent="0.25">
      <c r="B6843" s="39"/>
    </row>
    <row r="6844" spans="2:2" x14ac:dyDescent="0.25">
      <c r="B6844" s="39"/>
    </row>
    <row r="6845" spans="2:2" x14ac:dyDescent="0.25">
      <c r="B6845" s="39"/>
    </row>
    <row r="6846" spans="2:2" x14ac:dyDescent="0.25">
      <c r="B6846" s="39"/>
    </row>
    <row r="6847" spans="2:2" x14ac:dyDescent="0.25">
      <c r="B6847" s="39"/>
    </row>
    <row r="6848" spans="2:2" x14ac:dyDescent="0.25">
      <c r="B6848" s="39"/>
    </row>
    <row r="6849" spans="2:2" x14ac:dyDescent="0.25">
      <c r="B6849" s="39"/>
    </row>
    <row r="6850" spans="2:2" x14ac:dyDescent="0.25">
      <c r="B6850" s="39"/>
    </row>
    <row r="6851" spans="2:2" x14ac:dyDescent="0.25">
      <c r="B6851" s="39"/>
    </row>
    <row r="6852" spans="2:2" x14ac:dyDescent="0.25">
      <c r="B6852" s="39"/>
    </row>
    <row r="6853" spans="2:2" x14ac:dyDescent="0.25">
      <c r="B6853" s="39"/>
    </row>
    <row r="6854" spans="2:2" x14ac:dyDescent="0.25">
      <c r="B6854" s="39"/>
    </row>
    <row r="6855" spans="2:2" x14ac:dyDescent="0.25">
      <c r="B6855" s="39"/>
    </row>
    <row r="6856" spans="2:2" x14ac:dyDescent="0.25">
      <c r="B6856" s="39"/>
    </row>
    <row r="6857" spans="2:2" x14ac:dyDescent="0.25">
      <c r="B6857" s="39"/>
    </row>
    <row r="6858" spans="2:2" x14ac:dyDescent="0.25">
      <c r="B6858" s="39"/>
    </row>
    <row r="6859" spans="2:2" x14ac:dyDescent="0.25">
      <c r="B6859" s="39"/>
    </row>
    <row r="6860" spans="2:2" x14ac:dyDescent="0.25">
      <c r="B6860" s="39"/>
    </row>
    <row r="6861" spans="2:2" x14ac:dyDescent="0.25">
      <c r="B6861" s="39"/>
    </row>
    <row r="6862" spans="2:2" x14ac:dyDescent="0.25">
      <c r="B6862" s="39"/>
    </row>
    <row r="6863" spans="2:2" x14ac:dyDescent="0.25">
      <c r="B6863" s="39"/>
    </row>
    <row r="6864" spans="2:2" x14ac:dyDescent="0.25">
      <c r="B6864" s="39"/>
    </row>
    <row r="6865" spans="2:2" x14ac:dyDescent="0.25">
      <c r="B6865" s="39"/>
    </row>
    <row r="6866" spans="2:2" x14ac:dyDescent="0.25">
      <c r="B6866" s="39"/>
    </row>
    <row r="6867" spans="2:2" x14ac:dyDescent="0.25">
      <c r="B6867" s="39"/>
    </row>
    <row r="6868" spans="2:2" x14ac:dyDescent="0.25">
      <c r="B6868" s="39"/>
    </row>
    <row r="6869" spans="2:2" x14ac:dyDescent="0.25">
      <c r="B6869" s="39"/>
    </row>
    <row r="6870" spans="2:2" x14ac:dyDescent="0.25">
      <c r="B6870" s="39"/>
    </row>
    <row r="6871" spans="2:2" x14ac:dyDescent="0.25">
      <c r="B6871" s="39"/>
    </row>
    <row r="6872" spans="2:2" x14ac:dyDescent="0.25">
      <c r="B6872" s="39"/>
    </row>
    <row r="6873" spans="2:2" x14ac:dyDescent="0.25">
      <c r="B6873" s="39"/>
    </row>
    <row r="6874" spans="2:2" x14ac:dyDescent="0.25">
      <c r="B6874" s="39"/>
    </row>
    <row r="6875" spans="2:2" x14ac:dyDescent="0.25">
      <c r="B6875" s="39"/>
    </row>
    <row r="6876" spans="2:2" x14ac:dyDescent="0.25">
      <c r="B6876" s="39"/>
    </row>
    <row r="6877" spans="2:2" x14ac:dyDescent="0.25">
      <c r="B6877" s="39"/>
    </row>
    <row r="6878" spans="2:2" x14ac:dyDescent="0.25">
      <c r="B6878" s="39"/>
    </row>
    <row r="6879" spans="2:2" x14ac:dyDescent="0.25">
      <c r="B6879" s="39"/>
    </row>
    <row r="6880" spans="2:2" x14ac:dyDescent="0.25">
      <c r="B6880" s="39"/>
    </row>
    <row r="6881" spans="2:2" x14ac:dyDescent="0.25">
      <c r="B6881" s="39"/>
    </row>
    <row r="6882" spans="2:2" x14ac:dyDescent="0.25">
      <c r="B6882" s="39"/>
    </row>
    <row r="6883" spans="2:2" x14ac:dyDescent="0.25">
      <c r="B6883" s="39"/>
    </row>
    <row r="6884" spans="2:2" x14ac:dyDescent="0.25">
      <c r="B6884" s="39"/>
    </row>
    <row r="6885" spans="2:2" x14ac:dyDescent="0.25">
      <c r="B6885" s="39"/>
    </row>
    <row r="6886" spans="2:2" x14ac:dyDescent="0.25">
      <c r="B6886" s="39"/>
    </row>
    <row r="6887" spans="2:2" x14ac:dyDescent="0.25">
      <c r="B6887" s="39"/>
    </row>
    <row r="6888" spans="2:2" x14ac:dyDescent="0.25">
      <c r="B6888" s="39"/>
    </row>
    <row r="6889" spans="2:2" x14ac:dyDescent="0.25">
      <c r="B6889" s="39"/>
    </row>
    <row r="6890" spans="2:2" x14ac:dyDescent="0.25">
      <c r="B6890" s="39"/>
    </row>
    <row r="6891" spans="2:2" x14ac:dyDescent="0.25">
      <c r="B6891" s="39"/>
    </row>
    <row r="6892" spans="2:2" x14ac:dyDescent="0.25">
      <c r="B6892" s="39"/>
    </row>
    <row r="6893" spans="2:2" x14ac:dyDescent="0.25">
      <c r="B6893" s="39"/>
    </row>
    <row r="6894" spans="2:2" x14ac:dyDescent="0.25">
      <c r="B6894" s="39"/>
    </row>
    <row r="6895" spans="2:2" x14ac:dyDescent="0.25">
      <c r="B6895" s="39"/>
    </row>
    <row r="6896" spans="2:2" x14ac:dyDescent="0.25">
      <c r="B6896" s="39"/>
    </row>
    <row r="6897" spans="2:2" x14ac:dyDescent="0.25">
      <c r="B6897" s="39"/>
    </row>
    <row r="6898" spans="2:2" x14ac:dyDescent="0.25">
      <c r="B6898" s="39"/>
    </row>
    <row r="6899" spans="2:2" x14ac:dyDescent="0.25">
      <c r="B6899" s="39"/>
    </row>
    <row r="6900" spans="2:2" x14ac:dyDescent="0.25">
      <c r="B6900" s="39"/>
    </row>
    <row r="6901" spans="2:2" x14ac:dyDescent="0.25">
      <c r="B6901" s="39"/>
    </row>
    <row r="6902" spans="2:2" x14ac:dyDescent="0.25">
      <c r="B6902" s="39"/>
    </row>
    <row r="6903" spans="2:2" x14ac:dyDescent="0.25">
      <c r="B6903" s="39"/>
    </row>
    <row r="6904" spans="2:2" x14ac:dyDescent="0.25">
      <c r="B6904" s="39"/>
    </row>
    <row r="6905" spans="2:2" x14ac:dyDescent="0.25">
      <c r="B6905" s="39"/>
    </row>
    <row r="6906" spans="2:2" x14ac:dyDescent="0.25">
      <c r="B6906" s="39"/>
    </row>
    <row r="6907" spans="2:2" x14ac:dyDescent="0.25">
      <c r="B6907" s="39"/>
    </row>
    <row r="6908" spans="2:2" x14ac:dyDescent="0.25">
      <c r="B6908" s="39"/>
    </row>
    <row r="6909" spans="2:2" x14ac:dyDescent="0.25">
      <c r="B6909" s="39"/>
    </row>
    <row r="6910" spans="2:2" x14ac:dyDescent="0.25">
      <c r="B6910" s="39"/>
    </row>
    <row r="6911" spans="2:2" x14ac:dyDescent="0.25">
      <c r="B6911" s="39"/>
    </row>
    <row r="6912" spans="2:2" x14ac:dyDescent="0.25">
      <c r="B6912" s="39"/>
    </row>
    <row r="6913" spans="2:2" x14ac:dyDescent="0.25">
      <c r="B6913" s="39"/>
    </row>
    <row r="6914" spans="2:2" x14ac:dyDescent="0.25">
      <c r="B6914" s="39"/>
    </row>
    <row r="6915" spans="2:2" x14ac:dyDescent="0.25">
      <c r="B6915" s="39"/>
    </row>
    <row r="6916" spans="2:2" x14ac:dyDescent="0.25">
      <c r="B6916" s="39"/>
    </row>
    <row r="6917" spans="2:2" x14ac:dyDescent="0.25">
      <c r="B6917" s="39"/>
    </row>
    <row r="6918" spans="2:2" x14ac:dyDescent="0.25">
      <c r="B6918" s="39"/>
    </row>
    <row r="6919" spans="2:2" x14ac:dyDescent="0.25">
      <c r="B6919" s="39"/>
    </row>
    <row r="6920" spans="2:2" x14ac:dyDescent="0.25">
      <c r="B6920" s="39"/>
    </row>
    <row r="6921" spans="2:2" x14ac:dyDescent="0.25">
      <c r="B6921" s="39"/>
    </row>
    <row r="6922" spans="2:2" x14ac:dyDescent="0.25">
      <c r="B6922" s="39"/>
    </row>
    <row r="6923" spans="2:2" x14ac:dyDescent="0.25">
      <c r="B6923" s="39"/>
    </row>
    <row r="6924" spans="2:2" x14ac:dyDescent="0.25">
      <c r="B6924" s="39"/>
    </row>
    <row r="6925" spans="2:2" x14ac:dyDescent="0.25">
      <c r="B6925" s="39"/>
    </row>
  </sheetData>
  <autoFilter ref="A1:F621"/>
  <sortState ref="A2:E561">
    <sortCondition ref="A2:A561"/>
  </sortState>
  <mergeCells count="3">
    <mergeCell ref="N2:Q2"/>
    <mergeCell ref="N9:Q9"/>
    <mergeCell ref="N16:Q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EXTRACCION_OTROSI.EXTRACCION_OTROSI">
                <anchor moveWithCells="1" sizeWithCells="1">
                  <from>
                    <xdr:col>9</xdr:col>
                    <xdr:colOff>76200</xdr:colOff>
                    <xdr:row>3</xdr:row>
                    <xdr:rowOff>38100</xdr:rowOff>
                  </from>
                  <to>
                    <xdr:col>10</xdr:col>
                    <xdr:colOff>752475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Proyeccion_Sin_Restringir">
                <anchor moveWithCells="1" sizeWithCells="1">
                  <from>
                    <xdr:col>6</xdr:col>
                    <xdr:colOff>581025</xdr:colOff>
                    <xdr:row>8</xdr:row>
                    <xdr:rowOff>66675</xdr:rowOff>
                  </from>
                  <to>
                    <xdr:col>8</xdr:col>
                    <xdr:colOff>581025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Proyeccion_Restringido">
                <anchor moveWithCells="1" sizeWithCells="1">
                  <from>
                    <xdr:col>9</xdr:col>
                    <xdr:colOff>66675</xdr:colOff>
                    <xdr:row>8</xdr:row>
                    <xdr:rowOff>66675</xdr:rowOff>
                  </from>
                  <to>
                    <xdr:col>10</xdr:col>
                    <xdr:colOff>742950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Proyeccion_Restringido_Valor">
                <anchor moveWithCells="1" sizeWithCells="1">
                  <from>
                    <xdr:col>6</xdr:col>
                    <xdr:colOff>581025</xdr:colOff>
                    <xdr:row>12</xdr:row>
                    <xdr:rowOff>19050</xdr:rowOff>
                  </from>
                  <to>
                    <xdr:col>8</xdr:col>
                    <xdr:colOff>581025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Proyeccion_Restringido_Tiempo">
                <anchor moveWithCells="1" sizeWithCells="1">
                  <from>
                    <xdr:col>9</xdr:col>
                    <xdr:colOff>66675</xdr:colOff>
                    <xdr:row>12</xdr:row>
                    <xdr:rowOff>19050</xdr:rowOff>
                  </from>
                  <to>
                    <xdr:col>10</xdr:col>
                    <xdr:colOff>742950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Group Box 9">
              <controlPr defaultSize="0" autoFill="0" autoPict="0">
                <anchor moveWithCells="1">
                  <from>
                    <xdr:col>6</xdr:col>
                    <xdr:colOff>419100</xdr:colOff>
                    <xdr:row>2</xdr:row>
                    <xdr:rowOff>19050</xdr:rowOff>
                  </from>
                  <to>
                    <xdr:col>11</xdr:col>
                    <xdr:colOff>114300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0" name="Group Box 10">
              <controlPr defaultSize="0" autoFill="0" autoPict="0">
                <anchor moveWithCells="1">
                  <from>
                    <xdr:col>6</xdr:col>
                    <xdr:colOff>438150</xdr:colOff>
                    <xdr:row>7</xdr:row>
                    <xdr:rowOff>9525</xdr:rowOff>
                  </from>
                  <to>
                    <xdr:col>11</xdr:col>
                    <xdr:colOff>104775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1" name="Group Box 11">
              <controlPr defaultSize="0" autoFill="0" autoPict="0">
                <anchor moveWithCells="1">
                  <from>
                    <xdr:col>6</xdr:col>
                    <xdr:colOff>447675</xdr:colOff>
                    <xdr:row>16</xdr:row>
                    <xdr:rowOff>76200</xdr:rowOff>
                  </from>
                  <to>
                    <xdr:col>11</xdr:col>
                    <xdr:colOff>114300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2" name="Button 12">
              <controlPr defaultSize="0" print="0" autoFill="0" autoPict="0" macro="[0]!Proyeccion_Sin_Restringir_Saldos">
                <anchor moveWithCells="1" sizeWithCells="1">
                  <from>
                    <xdr:col>6</xdr:col>
                    <xdr:colOff>581025</xdr:colOff>
                    <xdr:row>17</xdr:row>
                    <xdr:rowOff>114300</xdr:rowOff>
                  </from>
                  <to>
                    <xdr:col>8</xdr:col>
                    <xdr:colOff>581025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3" name="Button 13">
              <controlPr defaultSize="0" print="0" autoFill="0" autoPict="0" macro="[0]!Proyeccion_Restringido_Saldos">
                <anchor moveWithCells="1" sizeWithCells="1">
                  <from>
                    <xdr:col>9</xdr:col>
                    <xdr:colOff>66675</xdr:colOff>
                    <xdr:row>17</xdr:row>
                    <xdr:rowOff>114300</xdr:rowOff>
                  </from>
                  <to>
                    <xdr:col>10</xdr:col>
                    <xdr:colOff>742950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4" name="Button 14">
              <controlPr defaultSize="0" print="0" autoFill="0" autoPict="0" macro="[0]!Proyeccion_Restringido_Valor_Saldos">
                <anchor moveWithCells="1" sizeWithCells="1">
                  <from>
                    <xdr:col>6</xdr:col>
                    <xdr:colOff>581025</xdr:colOff>
                    <xdr:row>21</xdr:row>
                    <xdr:rowOff>66675</xdr:rowOff>
                  </from>
                  <to>
                    <xdr:col>8</xdr:col>
                    <xdr:colOff>581025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Button 15">
              <controlPr defaultSize="0" print="0" autoFill="0" autoPict="0" macro="[0]!Proyeccion_Restringido_Tiempo_Saldo">
                <anchor moveWithCells="1" sizeWithCells="1">
                  <from>
                    <xdr:col>9</xdr:col>
                    <xdr:colOff>66675</xdr:colOff>
                    <xdr:row>21</xdr:row>
                    <xdr:rowOff>66675</xdr:rowOff>
                  </from>
                  <to>
                    <xdr:col>10</xdr:col>
                    <xdr:colOff>742950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6" name="Button 21">
              <controlPr defaultSize="0" print="0" autoFill="0" autoPict="0" macro="[0]!EXTRAER1">
                <anchor moveWithCells="1" sizeWithCells="1">
                  <from>
                    <xdr:col>6</xdr:col>
                    <xdr:colOff>609600</xdr:colOff>
                    <xdr:row>3</xdr:row>
                    <xdr:rowOff>38100</xdr:rowOff>
                  </from>
                  <to>
                    <xdr:col>8</xdr:col>
                    <xdr:colOff>609600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3606"/>
  <sheetViews>
    <sheetView workbookViewId="0">
      <pane xSplit="1" ySplit="1" topLeftCell="B2448" activePane="bottomRight" state="frozen"/>
      <selection activeCell="D29" sqref="D29"/>
      <selection pane="topRight" activeCell="D29" sqref="D29"/>
      <selection pane="bottomLeft" activeCell="D29" sqref="D29"/>
      <selection pane="bottomRight" activeCell="C2453" sqref="C2453"/>
    </sheetView>
  </sheetViews>
  <sheetFormatPr baseColWidth="10" defaultRowHeight="15" x14ac:dyDescent="0.25"/>
  <cols>
    <col min="3" max="3" width="47.85546875" bestFit="1" customWidth="1"/>
    <col min="4" max="4" width="16.7109375" style="22" bestFit="1" customWidth="1"/>
    <col min="5" max="5" width="67" style="22" bestFit="1" customWidth="1"/>
    <col min="6" max="6" width="12" bestFit="1" customWidth="1"/>
  </cols>
  <sheetData>
    <row r="1" spans="1:4" x14ac:dyDescent="0.25">
      <c r="A1" t="s">
        <v>184</v>
      </c>
      <c r="B1" s="16" t="s">
        <v>224</v>
      </c>
      <c r="C1" t="s">
        <v>225</v>
      </c>
      <c r="D1" s="22" t="s">
        <v>220</v>
      </c>
    </row>
    <row r="2" spans="1:4" x14ac:dyDescent="0.25">
      <c r="A2">
        <v>1580</v>
      </c>
      <c r="B2" s="16">
        <v>43466</v>
      </c>
      <c r="C2" t="s">
        <v>19</v>
      </c>
      <c r="D2" s="22">
        <v>5273934.6806999994</v>
      </c>
    </row>
    <row r="3" spans="1:4" x14ac:dyDescent="0.25">
      <c r="A3">
        <v>1580</v>
      </c>
      <c r="B3" s="16">
        <v>43497</v>
      </c>
      <c r="C3" t="s">
        <v>19</v>
      </c>
      <c r="D3" s="22">
        <v>5273934.6806999994</v>
      </c>
    </row>
    <row r="4" spans="1:4" x14ac:dyDescent="0.25">
      <c r="A4">
        <v>1580</v>
      </c>
      <c r="B4" s="16">
        <v>43525</v>
      </c>
      <c r="C4" t="s">
        <v>19</v>
      </c>
      <c r="D4" s="22">
        <v>5273934.6806999994</v>
      </c>
    </row>
    <row r="5" spans="1:4" x14ac:dyDescent="0.25">
      <c r="A5">
        <v>1580</v>
      </c>
      <c r="B5" s="16">
        <v>43556</v>
      </c>
      <c r="C5" t="s">
        <v>19</v>
      </c>
      <c r="D5" s="22">
        <v>5273934.6806999994</v>
      </c>
    </row>
    <row r="6" spans="1:4" x14ac:dyDescent="0.25">
      <c r="A6">
        <v>1580</v>
      </c>
      <c r="B6" s="16">
        <v>43586</v>
      </c>
      <c r="C6" t="s">
        <v>19</v>
      </c>
      <c r="D6" s="22">
        <v>5273934.6806999994</v>
      </c>
    </row>
    <row r="7" spans="1:4" x14ac:dyDescent="0.25">
      <c r="A7">
        <v>1580</v>
      </c>
      <c r="B7" s="16">
        <v>43617</v>
      </c>
      <c r="C7" t="s">
        <v>19</v>
      </c>
      <c r="D7" s="22">
        <v>5273934.6806999994</v>
      </c>
    </row>
    <row r="8" spans="1:4" x14ac:dyDescent="0.25">
      <c r="A8">
        <v>1580</v>
      </c>
      <c r="B8" s="16">
        <v>43647</v>
      </c>
      <c r="C8" t="s">
        <v>19</v>
      </c>
      <c r="D8" s="22">
        <v>5273934.6806999994</v>
      </c>
    </row>
    <row r="9" spans="1:4" x14ac:dyDescent="0.25">
      <c r="A9">
        <v>1580</v>
      </c>
      <c r="B9" s="16">
        <v>43678</v>
      </c>
      <c r="C9" t="s">
        <v>19</v>
      </c>
      <c r="D9" s="22">
        <v>5273934.6806999994</v>
      </c>
    </row>
    <row r="10" spans="1:4" x14ac:dyDescent="0.25">
      <c r="A10">
        <v>1580</v>
      </c>
      <c r="B10" s="16">
        <v>43709</v>
      </c>
      <c r="C10" t="s">
        <v>19</v>
      </c>
      <c r="D10" s="22">
        <v>5273934.6806999994</v>
      </c>
    </row>
    <row r="11" spans="1:4" x14ac:dyDescent="0.25">
      <c r="A11">
        <v>1580</v>
      </c>
      <c r="B11" s="16">
        <v>43739</v>
      </c>
      <c r="C11" t="s">
        <v>19</v>
      </c>
      <c r="D11" s="22">
        <v>5273934.6806999994</v>
      </c>
    </row>
    <row r="12" spans="1:4" x14ac:dyDescent="0.25">
      <c r="A12">
        <v>1580</v>
      </c>
      <c r="B12" s="16">
        <v>43770</v>
      </c>
      <c r="C12" t="s">
        <v>19</v>
      </c>
      <c r="D12" s="22">
        <v>5273934.6806999994</v>
      </c>
    </row>
    <row r="13" spans="1:4" x14ac:dyDescent="0.25">
      <c r="A13">
        <v>1580</v>
      </c>
      <c r="B13" s="16">
        <v>43800</v>
      </c>
      <c r="C13" t="s">
        <v>19</v>
      </c>
      <c r="D13" s="22">
        <v>5273934.6806999994</v>
      </c>
    </row>
    <row r="14" spans="1:4" x14ac:dyDescent="0.25">
      <c r="A14">
        <v>1580</v>
      </c>
      <c r="B14" s="16">
        <v>43831</v>
      </c>
      <c r="C14" t="s">
        <v>19</v>
      </c>
      <c r="D14" s="22">
        <v>5273934.6806999994</v>
      </c>
    </row>
    <row r="15" spans="1:4" x14ac:dyDescent="0.25">
      <c r="A15">
        <v>1580</v>
      </c>
      <c r="B15" s="16">
        <v>43862</v>
      </c>
      <c r="C15" t="s">
        <v>19</v>
      </c>
      <c r="D15" s="22">
        <v>5273934.6806999994</v>
      </c>
    </row>
    <row r="16" spans="1:4" x14ac:dyDescent="0.25">
      <c r="A16">
        <v>1580</v>
      </c>
      <c r="B16" s="16">
        <v>43466</v>
      </c>
      <c r="C16" t="s">
        <v>12</v>
      </c>
      <c r="D16" s="22">
        <v>7784590.2750000004</v>
      </c>
    </row>
    <row r="17" spans="1:4" x14ac:dyDescent="0.25">
      <c r="A17">
        <v>1580</v>
      </c>
      <c r="B17" s="16">
        <v>43497</v>
      </c>
      <c r="C17" t="s">
        <v>12</v>
      </c>
      <c r="D17" s="22">
        <v>7784590.2750000004</v>
      </c>
    </row>
    <row r="18" spans="1:4" x14ac:dyDescent="0.25">
      <c r="A18">
        <v>1580</v>
      </c>
      <c r="B18" s="16">
        <v>43525</v>
      </c>
      <c r="C18" t="s">
        <v>12</v>
      </c>
      <c r="D18" s="22">
        <v>7784590.2750000004</v>
      </c>
    </row>
    <row r="19" spans="1:4" x14ac:dyDescent="0.25">
      <c r="A19">
        <v>1580</v>
      </c>
      <c r="B19" s="16">
        <v>43556</v>
      </c>
      <c r="C19" t="s">
        <v>12</v>
      </c>
      <c r="D19" s="22">
        <v>7784590.2750000004</v>
      </c>
    </row>
    <row r="20" spans="1:4" x14ac:dyDescent="0.25">
      <c r="A20">
        <v>1580</v>
      </c>
      <c r="B20" s="16">
        <v>43586</v>
      </c>
      <c r="C20" t="s">
        <v>12</v>
      </c>
      <c r="D20" s="22">
        <v>7784590.2750000004</v>
      </c>
    </row>
    <row r="21" spans="1:4" x14ac:dyDescent="0.25">
      <c r="A21">
        <v>1580</v>
      </c>
      <c r="B21" s="16">
        <v>43617</v>
      </c>
      <c r="C21" t="s">
        <v>12</v>
      </c>
      <c r="D21" s="22">
        <v>7784590.2750000004</v>
      </c>
    </row>
    <row r="22" spans="1:4" x14ac:dyDescent="0.25">
      <c r="A22">
        <v>1580</v>
      </c>
      <c r="B22" s="16">
        <v>43647</v>
      </c>
      <c r="C22" t="s">
        <v>12</v>
      </c>
      <c r="D22" s="22">
        <v>7784590.2750000004</v>
      </c>
    </row>
    <row r="23" spans="1:4" x14ac:dyDescent="0.25">
      <c r="A23">
        <v>1580</v>
      </c>
      <c r="B23" s="16">
        <v>43678</v>
      </c>
      <c r="C23" t="s">
        <v>12</v>
      </c>
      <c r="D23" s="22">
        <v>7784590.2750000004</v>
      </c>
    </row>
    <row r="24" spans="1:4" x14ac:dyDescent="0.25">
      <c r="A24">
        <v>1580</v>
      </c>
      <c r="B24" s="16">
        <v>43709</v>
      </c>
      <c r="C24" t="s">
        <v>12</v>
      </c>
      <c r="D24" s="22">
        <v>7784590.2750000004</v>
      </c>
    </row>
    <row r="25" spans="1:4" x14ac:dyDescent="0.25">
      <c r="A25">
        <v>1580</v>
      </c>
      <c r="B25" s="16">
        <v>43739</v>
      </c>
      <c r="C25" t="s">
        <v>12</v>
      </c>
      <c r="D25" s="22">
        <v>7784590.2750000004</v>
      </c>
    </row>
    <row r="26" spans="1:4" x14ac:dyDescent="0.25">
      <c r="A26">
        <v>1580</v>
      </c>
      <c r="B26" s="16">
        <v>43770</v>
      </c>
      <c r="C26" t="s">
        <v>12</v>
      </c>
      <c r="D26" s="22">
        <v>7784590.2750000004</v>
      </c>
    </row>
    <row r="27" spans="1:4" x14ac:dyDescent="0.25">
      <c r="A27">
        <v>1580</v>
      </c>
      <c r="B27" s="16">
        <v>43800</v>
      </c>
      <c r="C27" t="s">
        <v>12</v>
      </c>
      <c r="D27" s="22">
        <v>7784590.2750000004</v>
      </c>
    </row>
    <row r="28" spans="1:4" x14ac:dyDescent="0.25">
      <c r="A28">
        <v>1580</v>
      </c>
      <c r="B28" s="16">
        <v>43831</v>
      </c>
      <c r="C28" t="s">
        <v>12</v>
      </c>
      <c r="D28" s="22">
        <v>7784590.2750000004</v>
      </c>
    </row>
    <row r="29" spans="1:4" x14ac:dyDescent="0.25">
      <c r="A29">
        <v>1580</v>
      </c>
      <c r="B29" s="16">
        <v>43862</v>
      </c>
      <c r="C29" t="s">
        <v>12</v>
      </c>
      <c r="D29" s="22">
        <v>7784590.2750000004</v>
      </c>
    </row>
    <row r="30" spans="1:4" x14ac:dyDescent="0.25">
      <c r="A30">
        <v>1580</v>
      </c>
      <c r="B30" s="16">
        <v>43466</v>
      </c>
      <c r="C30" t="s">
        <v>13</v>
      </c>
      <c r="D30" s="22">
        <v>6517329.5250000004</v>
      </c>
    </row>
    <row r="31" spans="1:4" x14ac:dyDescent="0.25">
      <c r="A31">
        <v>1580</v>
      </c>
      <c r="B31" s="16">
        <v>43497</v>
      </c>
      <c r="C31" t="s">
        <v>13</v>
      </c>
      <c r="D31" s="22">
        <v>6517329.5250000004</v>
      </c>
    </row>
    <row r="32" spans="1:4" x14ac:dyDescent="0.25">
      <c r="A32">
        <v>1580</v>
      </c>
      <c r="B32" s="16">
        <v>43525</v>
      </c>
      <c r="C32" t="s">
        <v>13</v>
      </c>
      <c r="D32" s="22">
        <v>6517329.5250000004</v>
      </c>
    </row>
    <row r="33" spans="1:4" x14ac:dyDescent="0.25">
      <c r="A33">
        <v>1580</v>
      </c>
      <c r="B33" s="16">
        <v>43556</v>
      </c>
      <c r="C33" t="s">
        <v>13</v>
      </c>
      <c r="D33" s="22">
        <v>6517329.5250000004</v>
      </c>
    </row>
    <row r="34" spans="1:4" x14ac:dyDescent="0.25">
      <c r="A34">
        <v>1580</v>
      </c>
      <c r="B34" s="16">
        <v>43586</v>
      </c>
      <c r="C34" t="s">
        <v>13</v>
      </c>
      <c r="D34" s="22">
        <v>6517329.5250000004</v>
      </c>
    </row>
    <row r="35" spans="1:4" x14ac:dyDescent="0.25">
      <c r="A35">
        <v>1580</v>
      </c>
      <c r="B35" s="16">
        <v>43617</v>
      </c>
      <c r="C35" t="s">
        <v>13</v>
      </c>
      <c r="D35" s="22">
        <v>6517329.5250000004</v>
      </c>
    </row>
    <row r="36" spans="1:4" x14ac:dyDescent="0.25">
      <c r="A36">
        <v>1580</v>
      </c>
      <c r="B36" s="16">
        <v>43647</v>
      </c>
      <c r="C36" t="s">
        <v>13</v>
      </c>
      <c r="D36" s="22">
        <v>6517329.5250000004</v>
      </c>
    </row>
    <row r="37" spans="1:4" x14ac:dyDescent="0.25">
      <c r="A37">
        <v>1580</v>
      </c>
      <c r="B37" s="16">
        <v>43678</v>
      </c>
      <c r="C37" t="s">
        <v>13</v>
      </c>
      <c r="D37" s="22">
        <v>6517329.5250000004</v>
      </c>
    </row>
    <row r="38" spans="1:4" x14ac:dyDescent="0.25">
      <c r="A38">
        <v>1580</v>
      </c>
      <c r="B38" s="16">
        <v>43709</v>
      </c>
      <c r="C38" t="s">
        <v>13</v>
      </c>
      <c r="D38" s="22">
        <v>6517329.5250000004</v>
      </c>
    </row>
    <row r="39" spans="1:4" x14ac:dyDescent="0.25">
      <c r="A39">
        <v>1580</v>
      </c>
      <c r="B39" s="16">
        <v>43739</v>
      </c>
      <c r="C39" t="s">
        <v>13</v>
      </c>
      <c r="D39" s="22">
        <v>6517329.5250000004</v>
      </c>
    </row>
    <row r="40" spans="1:4" x14ac:dyDescent="0.25">
      <c r="A40">
        <v>1580</v>
      </c>
      <c r="B40" s="16">
        <v>43770</v>
      </c>
      <c r="C40" t="s">
        <v>13</v>
      </c>
      <c r="D40" s="22">
        <v>6517329.5250000004</v>
      </c>
    </row>
    <row r="41" spans="1:4" x14ac:dyDescent="0.25">
      <c r="A41">
        <v>1580</v>
      </c>
      <c r="B41" s="16">
        <v>43800</v>
      </c>
      <c r="C41" t="s">
        <v>13</v>
      </c>
      <c r="D41" s="22">
        <v>6517329.5250000004</v>
      </c>
    </row>
    <row r="42" spans="1:4" x14ac:dyDescent="0.25">
      <c r="A42">
        <v>1580</v>
      </c>
      <c r="B42" s="16">
        <v>43831</v>
      </c>
      <c r="C42" t="s">
        <v>13</v>
      </c>
      <c r="D42" s="22">
        <v>6517329.5250000004</v>
      </c>
    </row>
    <row r="43" spans="1:4" x14ac:dyDescent="0.25">
      <c r="A43">
        <v>1580</v>
      </c>
      <c r="B43" s="16">
        <v>43466</v>
      </c>
      <c r="C43" t="s">
        <v>14</v>
      </c>
      <c r="D43" s="22">
        <v>7791940.1186286025</v>
      </c>
    </row>
    <row r="44" spans="1:4" x14ac:dyDescent="0.25">
      <c r="A44">
        <v>1580</v>
      </c>
      <c r="B44" s="16">
        <v>43497</v>
      </c>
      <c r="C44" t="s">
        <v>14</v>
      </c>
      <c r="D44" s="22">
        <v>7791940.1186286025</v>
      </c>
    </row>
    <row r="45" spans="1:4" x14ac:dyDescent="0.25">
      <c r="A45">
        <v>1580</v>
      </c>
      <c r="B45" s="16">
        <v>43525</v>
      </c>
      <c r="C45" t="s">
        <v>14</v>
      </c>
      <c r="D45" s="22">
        <v>7791940.1186286025</v>
      </c>
    </row>
    <row r="46" spans="1:4" x14ac:dyDescent="0.25">
      <c r="A46">
        <v>1580</v>
      </c>
      <c r="B46" s="16">
        <v>43556</v>
      </c>
      <c r="C46" t="s">
        <v>14</v>
      </c>
      <c r="D46" s="22">
        <v>7791940.1186286025</v>
      </c>
    </row>
    <row r="47" spans="1:4" x14ac:dyDescent="0.25">
      <c r="A47">
        <v>1580</v>
      </c>
      <c r="B47" s="16">
        <v>43586</v>
      </c>
      <c r="C47" t="s">
        <v>14</v>
      </c>
      <c r="D47" s="22">
        <v>7791940.1186286025</v>
      </c>
    </row>
    <row r="48" spans="1:4" x14ac:dyDescent="0.25">
      <c r="A48">
        <v>1580</v>
      </c>
      <c r="B48" s="16">
        <v>43617</v>
      </c>
      <c r="C48" t="s">
        <v>14</v>
      </c>
      <c r="D48" s="22">
        <v>7791940.1186286025</v>
      </c>
    </row>
    <row r="49" spans="1:4" x14ac:dyDescent="0.25">
      <c r="A49">
        <v>1580</v>
      </c>
      <c r="B49" s="16">
        <v>43647</v>
      </c>
      <c r="C49" t="s">
        <v>14</v>
      </c>
      <c r="D49" s="22">
        <v>7791940.1186286025</v>
      </c>
    </row>
    <row r="50" spans="1:4" x14ac:dyDescent="0.25">
      <c r="A50">
        <v>1580</v>
      </c>
      <c r="B50" s="16">
        <v>43678</v>
      </c>
      <c r="C50" t="s">
        <v>14</v>
      </c>
      <c r="D50" s="22">
        <v>7791940.1186286025</v>
      </c>
    </row>
    <row r="51" spans="1:4" x14ac:dyDescent="0.25">
      <c r="A51">
        <v>1580</v>
      </c>
      <c r="B51" s="16">
        <v>43709</v>
      </c>
      <c r="C51" t="s">
        <v>14</v>
      </c>
      <c r="D51" s="22">
        <v>7791940.1186286025</v>
      </c>
    </row>
    <row r="52" spans="1:4" x14ac:dyDescent="0.25">
      <c r="A52">
        <v>1580</v>
      </c>
      <c r="B52" s="16">
        <v>43739</v>
      </c>
      <c r="C52" t="s">
        <v>14</v>
      </c>
      <c r="D52" s="22">
        <v>7791940.1186286025</v>
      </c>
    </row>
    <row r="53" spans="1:4" x14ac:dyDescent="0.25">
      <c r="A53">
        <v>1580</v>
      </c>
      <c r="B53" s="16">
        <v>43770</v>
      </c>
      <c r="C53" t="s">
        <v>14</v>
      </c>
      <c r="D53" s="22">
        <v>7791940.1186286025</v>
      </c>
    </row>
    <row r="54" spans="1:4" x14ac:dyDescent="0.25">
      <c r="A54">
        <v>1580</v>
      </c>
      <c r="B54" s="16">
        <v>43800</v>
      </c>
      <c r="C54" t="s">
        <v>14</v>
      </c>
      <c r="D54" s="22">
        <v>7791940.1186286025</v>
      </c>
    </row>
    <row r="55" spans="1:4" x14ac:dyDescent="0.25">
      <c r="A55">
        <v>1580</v>
      </c>
      <c r="B55" s="16">
        <v>43831</v>
      </c>
      <c r="C55" t="s">
        <v>14</v>
      </c>
      <c r="D55" s="22">
        <v>7791940.1186286025</v>
      </c>
    </row>
    <row r="56" spans="1:4" x14ac:dyDescent="0.25">
      <c r="A56">
        <v>1580</v>
      </c>
      <c r="B56" s="16">
        <v>43862</v>
      </c>
      <c r="C56" t="s">
        <v>14</v>
      </c>
      <c r="D56" s="22">
        <v>7791940.1186286025</v>
      </c>
    </row>
    <row r="57" spans="1:4" x14ac:dyDescent="0.25">
      <c r="A57">
        <v>1580</v>
      </c>
      <c r="B57" s="16">
        <v>43466</v>
      </c>
      <c r="C57" t="s">
        <v>15</v>
      </c>
      <c r="D57" s="22">
        <v>4525924.49505</v>
      </c>
    </row>
    <row r="58" spans="1:4" x14ac:dyDescent="0.25">
      <c r="A58">
        <v>1580</v>
      </c>
      <c r="B58" s="16">
        <v>43497</v>
      </c>
      <c r="C58" t="s">
        <v>15</v>
      </c>
      <c r="D58" s="22">
        <v>4525924.49505</v>
      </c>
    </row>
    <row r="59" spans="1:4" x14ac:dyDescent="0.25">
      <c r="A59">
        <v>1580</v>
      </c>
      <c r="B59" s="16">
        <v>43525</v>
      </c>
      <c r="C59" t="s">
        <v>15</v>
      </c>
      <c r="D59" s="22">
        <v>4525924.49505</v>
      </c>
    </row>
    <row r="60" spans="1:4" x14ac:dyDescent="0.25">
      <c r="A60">
        <v>1580</v>
      </c>
      <c r="B60" s="16">
        <v>43556</v>
      </c>
      <c r="C60" t="s">
        <v>15</v>
      </c>
      <c r="D60" s="22">
        <v>4525924.49505</v>
      </c>
    </row>
    <row r="61" spans="1:4" x14ac:dyDescent="0.25">
      <c r="A61">
        <v>1580</v>
      </c>
      <c r="B61" s="16">
        <v>43586</v>
      </c>
      <c r="C61" t="s">
        <v>15</v>
      </c>
      <c r="D61" s="22">
        <v>4525924.49505</v>
      </c>
    </row>
    <row r="62" spans="1:4" x14ac:dyDescent="0.25">
      <c r="A62">
        <v>1580</v>
      </c>
      <c r="B62" s="16">
        <v>43617</v>
      </c>
      <c r="C62" t="s">
        <v>15</v>
      </c>
      <c r="D62" s="22">
        <v>4525924.49505</v>
      </c>
    </row>
    <row r="63" spans="1:4" x14ac:dyDescent="0.25">
      <c r="A63">
        <v>1580</v>
      </c>
      <c r="B63" s="16">
        <v>43647</v>
      </c>
      <c r="C63" t="s">
        <v>15</v>
      </c>
      <c r="D63" s="22">
        <v>4525924.49505</v>
      </c>
    </row>
    <row r="64" spans="1:4" x14ac:dyDescent="0.25">
      <c r="A64">
        <v>1580</v>
      </c>
      <c r="B64" s="16">
        <v>43678</v>
      </c>
      <c r="C64" t="s">
        <v>15</v>
      </c>
      <c r="D64" s="22">
        <v>4525924.49505</v>
      </c>
    </row>
    <row r="65" spans="1:4" x14ac:dyDescent="0.25">
      <c r="A65">
        <v>1580</v>
      </c>
      <c r="B65" s="16">
        <v>43709</v>
      </c>
      <c r="C65" t="s">
        <v>15</v>
      </c>
      <c r="D65" s="22">
        <v>4525924.49505</v>
      </c>
    </row>
    <row r="66" spans="1:4" x14ac:dyDescent="0.25">
      <c r="A66">
        <v>1580</v>
      </c>
      <c r="B66" s="16">
        <v>43739</v>
      </c>
      <c r="C66" t="s">
        <v>15</v>
      </c>
      <c r="D66" s="22">
        <v>4525924.49505</v>
      </c>
    </row>
    <row r="67" spans="1:4" x14ac:dyDescent="0.25">
      <c r="A67">
        <v>1580</v>
      </c>
      <c r="B67" s="16">
        <v>43770</v>
      </c>
      <c r="C67" t="s">
        <v>15</v>
      </c>
      <c r="D67" s="22">
        <v>4525924.49505</v>
      </c>
    </row>
    <row r="68" spans="1:4" x14ac:dyDescent="0.25">
      <c r="A68">
        <v>1580</v>
      </c>
      <c r="B68" s="16">
        <v>43800</v>
      </c>
      <c r="C68" t="s">
        <v>15</v>
      </c>
      <c r="D68" s="22">
        <v>4525924.49505</v>
      </c>
    </row>
    <row r="69" spans="1:4" x14ac:dyDescent="0.25">
      <c r="A69">
        <v>1580</v>
      </c>
      <c r="B69" s="16">
        <v>43831</v>
      </c>
      <c r="C69" t="s">
        <v>15</v>
      </c>
      <c r="D69" s="22">
        <v>4525924.49505</v>
      </c>
    </row>
    <row r="70" spans="1:4" x14ac:dyDescent="0.25">
      <c r="A70">
        <v>1580</v>
      </c>
      <c r="B70" s="16">
        <v>43862</v>
      </c>
      <c r="C70" t="s">
        <v>15</v>
      </c>
      <c r="D70" s="22">
        <v>4525924.49505</v>
      </c>
    </row>
    <row r="71" spans="1:4" x14ac:dyDescent="0.25">
      <c r="A71">
        <v>1580</v>
      </c>
      <c r="B71" s="16">
        <v>43466</v>
      </c>
      <c r="C71" t="s">
        <v>16</v>
      </c>
      <c r="D71" s="22">
        <v>4797479.3643000005</v>
      </c>
    </row>
    <row r="72" spans="1:4" x14ac:dyDescent="0.25">
      <c r="A72">
        <v>1580</v>
      </c>
      <c r="B72" s="16">
        <v>43497</v>
      </c>
      <c r="C72" t="s">
        <v>16</v>
      </c>
      <c r="D72" s="22">
        <v>4797479.3643000005</v>
      </c>
    </row>
    <row r="73" spans="1:4" x14ac:dyDescent="0.25">
      <c r="A73">
        <v>1580</v>
      </c>
      <c r="B73" s="16">
        <v>43525</v>
      </c>
      <c r="C73" t="s">
        <v>16</v>
      </c>
      <c r="D73" s="22">
        <v>4797479.3643000005</v>
      </c>
    </row>
    <row r="74" spans="1:4" x14ac:dyDescent="0.25">
      <c r="A74">
        <v>1580</v>
      </c>
      <c r="B74" s="16">
        <v>43556</v>
      </c>
      <c r="C74" t="s">
        <v>16</v>
      </c>
      <c r="D74" s="22">
        <v>4797479.3643000005</v>
      </c>
    </row>
    <row r="75" spans="1:4" x14ac:dyDescent="0.25">
      <c r="A75">
        <v>1580</v>
      </c>
      <c r="B75" s="16">
        <v>43586</v>
      </c>
      <c r="C75" t="s">
        <v>16</v>
      </c>
      <c r="D75" s="22">
        <v>4797479.3643000005</v>
      </c>
    </row>
    <row r="76" spans="1:4" x14ac:dyDescent="0.25">
      <c r="A76">
        <v>1580</v>
      </c>
      <c r="B76" s="16">
        <v>43617</v>
      </c>
      <c r="C76" t="s">
        <v>16</v>
      </c>
      <c r="D76" s="22">
        <v>4797479.3643000005</v>
      </c>
    </row>
    <row r="77" spans="1:4" x14ac:dyDescent="0.25">
      <c r="A77">
        <v>1580</v>
      </c>
      <c r="B77" s="16">
        <v>43647</v>
      </c>
      <c r="C77" t="s">
        <v>16</v>
      </c>
      <c r="D77" s="22">
        <v>4797479.3643000005</v>
      </c>
    </row>
    <row r="78" spans="1:4" x14ac:dyDescent="0.25">
      <c r="A78">
        <v>1580</v>
      </c>
      <c r="B78" s="16">
        <v>43678</v>
      </c>
      <c r="C78" t="s">
        <v>16</v>
      </c>
      <c r="D78" s="22">
        <v>4797479.3643000005</v>
      </c>
    </row>
    <row r="79" spans="1:4" x14ac:dyDescent="0.25">
      <c r="A79">
        <v>1580</v>
      </c>
      <c r="B79" s="16">
        <v>43709</v>
      </c>
      <c r="C79" t="s">
        <v>16</v>
      </c>
      <c r="D79" s="22">
        <v>4797479.3643000005</v>
      </c>
    </row>
    <row r="80" spans="1:4" x14ac:dyDescent="0.25">
      <c r="A80">
        <v>1580</v>
      </c>
      <c r="B80" s="16">
        <v>43466</v>
      </c>
      <c r="C80" t="s">
        <v>17</v>
      </c>
      <c r="D80" s="22">
        <v>4024174.4865000001</v>
      </c>
    </row>
    <row r="81" spans="1:4" x14ac:dyDescent="0.25">
      <c r="A81">
        <v>1580</v>
      </c>
      <c r="B81" s="16">
        <v>43497</v>
      </c>
      <c r="C81" t="s">
        <v>17</v>
      </c>
      <c r="D81" s="22">
        <v>4024174.4865000001</v>
      </c>
    </row>
    <row r="82" spans="1:4" x14ac:dyDescent="0.25">
      <c r="A82">
        <v>1580</v>
      </c>
      <c r="B82" s="16">
        <v>43525</v>
      </c>
      <c r="C82" t="s">
        <v>17</v>
      </c>
      <c r="D82" s="22">
        <v>4024174.4865000001</v>
      </c>
    </row>
    <row r="83" spans="1:4" x14ac:dyDescent="0.25">
      <c r="A83">
        <v>1580</v>
      </c>
      <c r="B83" s="16">
        <v>43556</v>
      </c>
      <c r="C83" t="s">
        <v>17</v>
      </c>
      <c r="D83" s="22">
        <v>4024174.4865000001</v>
      </c>
    </row>
    <row r="84" spans="1:4" x14ac:dyDescent="0.25">
      <c r="A84">
        <v>1580</v>
      </c>
      <c r="B84" s="16">
        <v>43586</v>
      </c>
      <c r="C84" t="s">
        <v>17</v>
      </c>
      <c r="D84" s="22">
        <v>4024174.4865000001</v>
      </c>
    </row>
    <row r="85" spans="1:4" x14ac:dyDescent="0.25">
      <c r="A85">
        <v>1580</v>
      </c>
      <c r="B85" s="16">
        <v>43617</v>
      </c>
      <c r="C85" t="s">
        <v>17</v>
      </c>
      <c r="D85" s="22">
        <v>4024174.4865000001</v>
      </c>
    </row>
    <row r="86" spans="1:4" x14ac:dyDescent="0.25">
      <c r="A86">
        <v>1580</v>
      </c>
      <c r="B86" s="16">
        <v>43647</v>
      </c>
      <c r="C86" t="s">
        <v>17</v>
      </c>
      <c r="D86" s="22">
        <v>4024174.4865000001</v>
      </c>
    </row>
    <row r="87" spans="1:4" x14ac:dyDescent="0.25">
      <c r="A87">
        <v>1580</v>
      </c>
      <c r="B87" s="16">
        <v>43678</v>
      </c>
      <c r="C87" t="s">
        <v>17</v>
      </c>
      <c r="D87" s="22">
        <v>4024174.4865000001</v>
      </c>
    </row>
    <row r="88" spans="1:4" x14ac:dyDescent="0.25">
      <c r="A88">
        <v>1580</v>
      </c>
      <c r="B88" s="16">
        <v>43709</v>
      </c>
      <c r="C88" t="s">
        <v>17</v>
      </c>
      <c r="D88" s="22">
        <v>4024174.4865000001</v>
      </c>
    </row>
    <row r="89" spans="1:4" x14ac:dyDescent="0.25">
      <c r="A89">
        <v>1580</v>
      </c>
      <c r="B89" s="16">
        <v>43739</v>
      </c>
      <c r="C89" t="s">
        <v>17</v>
      </c>
      <c r="D89" s="22">
        <v>4024174.4865000001</v>
      </c>
    </row>
    <row r="90" spans="1:4" x14ac:dyDescent="0.25">
      <c r="A90">
        <v>1580</v>
      </c>
      <c r="B90" s="16">
        <v>43770</v>
      </c>
      <c r="C90" t="s">
        <v>17</v>
      </c>
      <c r="D90" s="22">
        <v>4024174.4865000001</v>
      </c>
    </row>
    <row r="91" spans="1:4" x14ac:dyDescent="0.25">
      <c r="A91">
        <v>1580</v>
      </c>
      <c r="B91" s="16">
        <v>43800</v>
      </c>
      <c r="C91" t="s">
        <v>17</v>
      </c>
      <c r="D91" s="22">
        <v>4024174.4865000001</v>
      </c>
    </row>
    <row r="92" spans="1:4" x14ac:dyDescent="0.25">
      <c r="A92">
        <v>1580</v>
      </c>
      <c r="B92" s="16">
        <v>43831</v>
      </c>
      <c r="C92" t="s">
        <v>17</v>
      </c>
      <c r="D92" s="22">
        <v>4024174.4865000001</v>
      </c>
    </row>
    <row r="93" spans="1:4" x14ac:dyDescent="0.25">
      <c r="A93">
        <v>1580</v>
      </c>
      <c r="B93" s="16">
        <v>43556</v>
      </c>
      <c r="C93" t="s">
        <v>18</v>
      </c>
      <c r="D93" s="22">
        <v>3995634.3839999996</v>
      </c>
    </row>
    <row r="94" spans="1:4" x14ac:dyDescent="0.25">
      <c r="A94">
        <v>1580</v>
      </c>
      <c r="B94" s="16">
        <v>43586</v>
      </c>
      <c r="C94" t="s">
        <v>18</v>
      </c>
      <c r="D94" s="22">
        <v>3995634.3839999996</v>
      </c>
    </row>
    <row r="95" spans="1:4" x14ac:dyDescent="0.25">
      <c r="A95">
        <v>1580</v>
      </c>
      <c r="B95" s="16">
        <v>43617</v>
      </c>
      <c r="C95" t="s">
        <v>18</v>
      </c>
      <c r="D95" s="22">
        <v>3995634.3839999996</v>
      </c>
    </row>
    <row r="96" spans="1:4" x14ac:dyDescent="0.25">
      <c r="A96">
        <v>1580</v>
      </c>
      <c r="B96" s="16">
        <v>43647</v>
      </c>
      <c r="C96" t="s">
        <v>18</v>
      </c>
      <c r="D96" s="22">
        <v>3995634.3839999996</v>
      </c>
    </row>
    <row r="97" spans="1:4" x14ac:dyDescent="0.25">
      <c r="A97">
        <v>1580</v>
      </c>
      <c r="B97" s="16">
        <v>43678</v>
      </c>
      <c r="C97" t="s">
        <v>18</v>
      </c>
      <c r="D97" s="22">
        <v>3995634.3839999996</v>
      </c>
    </row>
    <row r="98" spans="1:4" x14ac:dyDescent="0.25">
      <c r="A98">
        <v>1580</v>
      </c>
      <c r="B98" s="16">
        <v>43709</v>
      </c>
      <c r="C98" t="s">
        <v>18</v>
      </c>
      <c r="D98" s="22">
        <v>3995634.3839999996</v>
      </c>
    </row>
    <row r="99" spans="1:4" x14ac:dyDescent="0.25">
      <c r="A99">
        <v>1580</v>
      </c>
      <c r="B99" s="16">
        <v>43739</v>
      </c>
      <c r="C99" t="s">
        <v>18</v>
      </c>
      <c r="D99" s="22">
        <v>3995634.3839999996</v>
      </c>
    </row>
    <row r="100" spans="1:4" x14ac:dyDescent="0.25">
      <c r="A100">
        <v>1580</v>
      </c>
      <c r="B100" s="16">
        <v>43770</v>
      </c>
      <c r="C100" t="s">
        <v>18</v>
      </c>
      <c r="D100" s="22">
        <v>3995634.3839999996</v>
      </c>
    </row>
    <row r="101" spans="1:4" x14ac:dyDescent="0.25">
      <c r="A101">
        <v>1580</v>
      </c>
      <c r="B101" s="16">
        <v>43800</v>
      </c>
      <c r="C101" t="s">
        <v>18</v>
      </c>
      <c r="D101" s="22">
        <v>3995634.3839999996</v>
      </c>
    </row>
    <row r="102" spans="1:4" x14ac:dyDescent="0.25">
      <c r="A102">
        <v>1588</v>
      </c>
      <c r="B102" s="16">
        <v>43466</v>
      </c>
      <c r="C102" t="s">
        <v>12</v>
      </c>
      <c r="D102" s="22">
        <v>10120918.862249998</v>
      </c>
    </row>
    <row r="103" spans="1:4" x14ac:dyDescent="0.25">
      <c r="A103">
        <v>1588</v>
      </c>
      <c r="B103" s="16">
        <v>43497</v>
      </c>
      <c r="C103" t="s">
        <v>12</v>
      </c>
      <c r="D103" s="22">
        <v>10120918.862249998</v>
      </c>
    </row>
    <row r="104" spans="1:4" x14ac:dyDescent="0.25">
      <c r="A104">
        <v>1588</v>
      </c>
      <c r="B104" s="16">
        <v>43525</v>
      </c>
      <c r="C104" t="s">
        <v>12</v>
      </c>
      <c r="D104" s="22">
        <v>10120918.862249998</v>
      </c>
    </row>
    <row r="105" spans="1:4" x14ac:dyDescent="0.25">
      <c r="A105">
        <v>1588</v>
      </c>
      <c r="B105" s="16">
        <v>43466</v>
      </c>
      <c r="C105" t="s">
        <v>21</v>
      </c>
      <c r="D105" s="22">
        <v>3845949.1676549995</v>
      </c>
    </row>
    <row r="106" spans="1:4" x14ac:dyDescent="0.25">
      <c r="A106">
        <v>1588</v>
      </c>
      <c r="B106" s="16">
        <v>43497</v>
      </c>
      <c r="C106" t="s">
        <v>21</v>
      </c>
      <c r="D106" s="22">
        <v>3845949.1676549995</v>
      </c>
    </row>
    <row r="107" spans="1:4" x14ac:dyDescent="0.25">
      <c r="A107">
        <v>1588</v>
      </c>
      <c r="B107" s="16">
        <v>43525</v>
      </c>
      <c r="C107" t="s">
        <v>21</v>
      </c>
      <c r="D107" s="22">
        <v>3845949.1676549995</v>
      </c>
    </row>
    <row r="108" spans="1:4" x14ac:dyDescent="0.25">
      <c r="A108">
        <v>1588</v>
      </c>
      <c r="B108" s="16">
        <v>43466</v>
      </c>
      <c r="C108" t="s">
        <v>22</v>
      </c>
      <c r="D108" s="22">
        <v>3845949.1676549995</v>
      </c>
    </row>
    <row r="109" spans="1:4" x14ac:dyDescent="0.25">
      <c r="A109">
        <v>1588</v>
      </c>
      <c r="B109" s="16">
        <v>43497</v>
      </c>
      <c r="C109" t="s">
        <v>22</v>
      </c>
      <c r="D109" s="22">
        <v>3845949.1676549995</v>
      </c>
    </row>
    <row r="110" spans="1:4" x14ac:dyDescent="0.25">
      <c r="A110">
        <v>1588</v>
      </c>
      <c r="B110" s="16">
        <v>43525</v>
      </c>
      <c r="C110" t="s">
        <v>22</v>
      </c>
      <c r="D110" s="22">
        <v>3845949.1676549995</v>
      </c>
    </row>
    <row r="111" spans="1:4" x14ac:dyDescent="0.25">
      <c r="A111">
        <v>1588</v>
      </c>
      <c r="B111" s="16">
        <v>43466</v>
      </c>
      <c r="C111" t="s">
        <v>23</v>
      </c>
      <c r="D111" s="22">
        <v>4250785.9221449997</v>
      </c>
    </row>
    <row r="112" spans="1:4" x14ac:dyDescent="0.25">
      <c r="A112">
        <v>1588</v>
      </c>
      <c r="B112" s="16">
        <v>43497</v>
      </c>
      <c r="C112" t="s">
        <v>23</v>
      </c>
      <c r="D112" s="22">
        <v>4250785.9221449997</v>
      </c>
    </row>
    <row r="113" spans="1:4" x14ac:dyDescent="0.25">
      <c r="A113">
        <v>1588</v>
      </c>
      <c r="B113" s="16">
        <v>43525</v>
      </c>
      <c r="C113" t="s">
        <v>23</v>
      </c>
      <c r="D113" s="22">
        <v>4250785.9221449997</v>
      </c>
    </row>
    <row r="114" spans="1:4" x14ac:dyDescent="0.25">
      <c r="A114">
        <v>1588</v>
      </c>
      <c r="B114" s="16">
        <v>43466</v>
      </c>
      <c r="C114" t="s">
        <v>24</v>
      </c>
      <c r="D114" s="22">
        <v>3643530.7904099999</v>
      </c>
    </row>
    <row r="115" spans="1:4" x14ac:dyDescent="0.25">
      <c r="A115">
        <v>1588</v>
      </c>
      <c r="B115" s="16">
        <v>43497</v>
      </c>
      <c r="C115" t="s">
        <v>24</v>
      </c>
      <c r="D115" s="22">
        <v>3643530.7904099999</v>
      </c>
    </row>
    <row r="116" spans="1:4" x14ac:dyDescent="0.25">
      <c r="A116">
        <v>1588</v>
      </c>
      <c r="B116" s="16">
        <v>43525</v>
      </c>
      <c r="C116" t="s">
        <v>24</v>
      </c>
      <c r="D116" s="22">
        <v>3643530.7904099999</v>
      </c>
    </row>
    <row r="117" spans="1:4" x14ac:dyDescent="0.25">
      <c r="A117">
        <v>1588</v>
      </c>
      <c r="B117" s="16">
        <v>43466</v>
      </c>
      <c r="C117" t="s">
        <v>25</v>
      </c>
      <c r="D117" s="22">
        <v>4964979.0644999994</v>
      </c>
    </row>
    <row r="118" spans="1:4" x14ac:dyDescent="0.25">
      <c r="A118">
        <v>1588</v>
      </c>
      <c r="B118" s="16">
        <v>43497</v>
      </c>
      <c r="C118" t="s">
        <v>25</v>
      </c>
      <c r="D118" s="22">
        <v>4964979.0644999994</v>
      </c>
    </row>
    <row r="119" spans="1:4" x14ac:dyDescent="0.25">
      <c r="A119">
        <v>1588</v>
      </c>
      <c r="B119" s="16">
        <v>43525</v>
      </c>
      <c r="C119" t="s">
        <v>25</v>
      </c>
      <c r="D119" s="22">
        <v>4964979.0644999994</v>
      </c>
    </row>
    <row r="120" spans="1:4" x14ac:dyDescent="0.25">
      <c r="A120">
        <v>1588</v>
      </c>
      <c r="B120" s="16">
        <v>43466</v>
      </c>
      <c r="C120" t="s">
        <v>14</v>
      </c>
      <c r="D120" s="22">
        <v>8593232.9962500017</v>
      </c>
    </row>
    <row r="121" spans="1:4" x14ac:dyDescent="0.25">
      <c r="A121">
        <v>1588</v>
      </c>
      <c r="B121" s="16">
        <v>43497</v>
      </c>
      <c r="C121" t="s">
        <v>14</v>
      </c>
      <c r="D121" s="22">
        <v>8593232.9962500017</v>
      </c>
    </row>
    <row r="122" spans="1:4" x14ac:dyDescent="0.25">
      <c r="A122">
        <v>1588</v>
      </c>
      <c r="B122" s="16">
        <v>43525</v>
      </c>
      <c r="C122" t="s">
        <v>14</v>
      </c>
      <c r="D122" s="22">
        <v>8593232.9962500017</v>
      </c>
    </row>
    <row r="123" spans="1:4" x14ac:dyDescent="0.25">
      <c r="A123">
        <v>1588</v>
      </c>
      <c r="B123" s="16">
        <v>43466</v>
      </c>
      <c r="C123" t="s">
        <v>26</v>
      </c>
      <c r="D123" s="22">
        <v>6110743.4639999997</v>
      </c>
    </row>
    <row r="124" spans="1:4" x14ac:dyDescent="0.25">
      <c r="A124">
        <v>1588</v>
      </c>
      <c r="B124" s="16">
        <v>43497</v>
      </c>
      <c r="C124" t="s">
        <v>26</v>
      </c>
      <c r="D124" s="22">
        <v>6110743.4639999997</v>
      </c>
    </row>
    <row r="125" spans="1:4" x14ac:dyDescent="0.25">
      <c r="A125">
        <v>1588</v>
      </c>
      <c r="B125" s="16">
        <v>43525</v>
      </c>
      <c r="C125" t="s">
        <v>26</v>
      </c>
      <c r="D125" s="22">
        <v>6110743.4639999997</v>
      </c>
    </row>
    <row r="126" spans="1:4" x14ac:dyDescent="0.25">
      <c r="A126">
        <v>1596</v>
      </c>
      <c r="B126" s="16">
        <v>43466</v>
      </c>
      <c r="C126" t="s">
        <v>19</v>
      </c>
      <c r="D126" s="22">
        <v>2679075</v>
      </c>
    </row>
    <row r="127" spans="1:4" x14ac:dyDescent="0.25">
      <c r="A127">
        <v>1596</v>
      </c>
      <c r="B127" s="16">
        <v>43497</v>
      </c>
      <c r="C127" t="s">
        <v>19</v>
      </c>
      <c r="D127" s="22">
        <v>2679075</v>
      </c>
    </row>
    <row r="128" spans="1:4" x14ac:dyDescent="0.25">
      <c r="A128">
        <v>1596</v>
      </c>
      <c r="B128" s="16">
        <v>43525</v>
      </c>
      <c r="C128" t="s">
        <v>19</v>
      </c>
      <c r="D128" s="22">
        <v>2679075</v>
      </c>
    </row>
    <row r="129" spans="1:4" x14ac:dyDescent="0.25">
      <c r="A129">
        <v>1596</v>
      </c>
      <c r="B129" s="16">
        <v>43556</v>
      </c>
      <c r="C129" t="s">
        <v>19</v>
      </c>
      <c r="D129" s="22">
        <v>2679075</v>
      </c>
    </row>
    <row r="130" spans="1:4" x14ac:dyDescent="0.25">
      <c r="A130">
        <v>1596</v>
      </c>
      <c r="B130" s="16">
        <v>43586</v>
      </c>
      <c r="C130" t="s">
        <v>19</v>
      </c>
      <c r="D130" s="22">
        <v>2679075</v>
      </c>
    </row>
    <row r="131" spans="1:4" x14ac:dyDescent="0.25">
      <c r="A131">
        <v>1596</v>
      </c>
      <c r="B131" s="16">
        <v>43617</v>
      </c>
      <c r="C131" t="s">
        <v>19</v>
      </c>
      <c r="D131" s="22">
        <v>2679075</v>
      </c>
    </row>
    <row r="132" spans="1:4" x14ac:dyDescent="0.25">
      <c r="A132">
        <v>1596</v>
      </c>
      <c r="B132" s="16">
        <v>43466</v>
      </c>
      <c r="C132" t="s">
        <v>12</v>
      </c>
      <c r="D132" s="22">
        <v>9754920</v>
      </c>
    </row>
    <row r="133" spans="1:4" x14ac:dyDescent="0.25">
      <c r="A133">
        <v>1596</v>
      </c>
      <c r="B133" s="16">
        <v>43497</v>
      </c>
      <c r="C133" t="s">
        <v>12</v>
      </c>
      <c r="D133" s="22">
        <v>9754920</v>
      </c>
    </row>
    <row r="134" spans="1:4" x14ac:dyDescent="0.25">
      <c r="A134">
        <v>1596</v>
      </c>
      <c r="B134" s="16">
        <v>43525</v>
      </c>
      <c r="C134" t="s">
        <v>12</v>
      </c>
      <c r="D134" s="22">
        <v>9754920</v>
      </c>
    </row>
    <row r="135" spans="1:4" x14ac:dyDescent="0.25">
      <c r="A135">
        <v>1596</v>
      </c>
      <c r="B135" s="16">
        <v>43556</v>
      </c>
      <c r="C135" t="s">
        <v>12</v>
      </c>
      <c r="D135" s="22">
        <v>9754920</v>
      </c>
    </row>
    <row r="136" spans="1:4" x14ac:dyDescent="0.25">
      <c r="A136">
        <v>1596</v>
      </c>
      <c r="B136" s="16">
        <v>43586</v>
      </c>
      <c r="C136" t="s">
        <v>12</v>
      </c>
      <c r="D136" s="22">
        <v>9754920</v>
      </c>
    </row>
    <row r="137" spans="1:4" x14ac:dyDescent="0.25">
      <c r="A137">
        <v>1596</v>
      </c>
      <c r="B137" s="16">
        <v>43617</v>
      </c>
      <c r="C137" t="s">
        <v>12</v>
      </c>
      <c r="D137" s="22">
        <v>9754920</v>
      </c>
    </row>
    <row r="138" spans="1:4" x14ac:dyDescent="0.25">
      <c r="A138">
        <v>1596</v>
      </c>
      <c r="B138" s="16">
        <v>43466</v>
      </c>
      <c r="C138" t="s">
        <v>38</v>
      </c>
      <c r="D138" s="22">
        <v>4163260.5</v>
      </c>
    </row>
    <row r="139" spans="1:4" x14ac:dyDescent="0.25">
      <c r="A139">
        <v>1596</v>
      </c>
      <c r="B139" s="16">
        <v>43497</v>
      </c>
      <c r="C139" t="s">
        <v>38</v>
      </c>
      <c r="D139" s="22">
        <v>4163260.5</v>
      </c>
    </row>
    <row r="140" spans="1:4" x14ac:dyDescent="0.25">
      <c r="A140">
        <v>1596</v>
      </c>
      <c r="B140" s="16">
        <v>43525</v>
      </c>
      <c r="C140" t="s">
        <v>38</v>
      </c>
      <c r="D140" s="22">
        <v>4163260.5</v>
      </c>
    </row>
    <row r="141" spans="1:4" x14ac:dyDescent="0.25">
      <c r="A141">
        <v>1596</v>
      </c>
      <c r="B141" s="16">
        <v>43556</v>
      </c>
      <c r="C141" t="s">
        <v>38</v>
      </c>
      <c r="D141" s="22">
        <v>4163260.5</v>
      </c>
    </row>
    <row r="142" spans="1:4" x14ac:dyDescent="0.25">
      <c r="A142">
        <v>1596</v>
      </c>
      <c r="B142" s="16">
        <v>43466</v>
      </c>
      <c r="C142" t="s">
        <v>16</v>
      </c>
      <c r="D142" s="22">
        <v>1950380.3812500001</v>
      </c>
    </row>
    <row r="143" spans="1:4" x14ac:dyDescent="0.25">
      <c r="A143">
        <v>1596</v>
      </c>
      <c r="B143" s="16">
        <v>43497</v>
      </c>
      <c r="C143" t="s">
        <v>16</v>
      </c>
      <c r="D143" s="22">
        <v>1950380.3812500001</v>
      </c>
    </row>
    <row r="144" spans="1:4" x14ac:dyDescent="0.25">
      <c r="A144">
        <v>1596</v>
      </c>
      <c r="B144" s="16">
        <v>43525</v>
      </c>
      <c r="C144" t="s">
        <v>16</v>
      </c>
      <c r="D144" s="22">
        <v>1950380.3812500001</v>
      </c>
    </row>
    <row r="145" spans="1:4" x14ac:dyDescent="0.25">
      <c r="A145">
        <v>1596</v>
      </c>
      <c r="B145" s="16">
        <v>43556</v>
      </c>
      <c r="C145" t="s">
        <v>16</v>
      </c>
      <c r="D145" s="22">
        <v>1950380.3812500001</v>
      </c>
    </row>
    <row r="146" spans="1:4" x14ac:dyDescent="0.25">
      <c r="A146">
        <v>1596</v>
      </c>
      <c r="B146" s="16">
        <v>43466</v>
      </c>
      <c r="C146" t="s">
        <v>39</v>
      </c>
      <c r="D146" s="22">
        <v>5521981.5</v>
      </c>
    </row>
    <row r="147" spans="1:4" x14ac:dyDescent="0.25">
      <c r="A147">
        <v>1596</v>
      </c>
      <c r="B147" s="16">
        <v>43497</v>
      </c>
      <c r="C147" t="s">
        <v>39</v>
      </c>
      <c r="D147" s="22">
        <v>5521981.5</v>
      </c>
    </row>
    <row r="148" spans="1:4" x14ac:dyDescent="0.25">
      <c r="A148">
        <v>1596</v>
      </c>
      <c r="B148" s="16">
        <v>43525</v>
      </c>
      <c r="C148" t="s">
        <v>39</v>
      </c>
      <c r="D148" s="22">
        <v>5521981.5</v>
      </c>
    </row>
    <row r="149" spans="1:4" x14ac:dyDescent="0.25">
      <c r="A149">
        <v>1687</v>
      </c>
      <c r="B149" s="16">
        <v>43466</v>
      </c>
      <c r="C149" t="s">
        <v>19</v>
      </c>
      <c r="D149" s="22">
        <v>3804794.5320000006</v>
      </c>
    </row>
    <row r="150" spans="1:4" x14ac:dyDescent="0.25">
      <c r="A150">
        <v>1687</v>
      </c>
      <c r="B150" s="16">
        <v>43497</v>
      </c>
      <c r="C150" t="s">
        <v>19</v>
      </c>
      <c r="D150" s="22">
        <v>3804794.5320000006</v>
      </c>
    </row>
    <row r="151" spans="1:4" x14ac:dyDescent="0.25">
      <c r="A151">
        <v>1687</v>
      </c>
      <c r="B151" s="16">
        <v>43525</v>
      </c>
      <c r="C151" t="s">
        <v>19</v>
      </c>
      <c r="D151" s="22">
        <v>3804794.5320000006</v>
      </c>
    </row>
    <row r="152" spans="1:4" x14ac:dyDescent="0.25">
      <c r="A152">
        <v>1687</v>
      </c>
      <c r="B152" s="16">
        <v>43556</v>
      </c>
      <c r="C152" t="s">
        <v>19</v>
      </c>
      <c r="D152" s="22">
        <v>3804794.5320000006</v>
      </c>
    </row>
    <row r="153" spans="1:4" x14ac:dyDescent="0.25">
      <c r="A153">
        <v>1687</v>
      </c>
      <c r="B153" s="16">
        <v>43466</v>
      </c>
      <c r="C153" t="s">
        <v>12</v>
      </c>
      <c r="D153" s="22">
        <v>10868700</v>
      </c>
    </row>
    <row r="154" spans="1:4" x14ac:dyDescent="0.25">
      <c r="A154">
        <v>1687</v>
      </c>
      <c r="B154" s="16">
        <v>43497</v>
      </c>
      <c r="C154" t="s">
        <v>12</v>
      </c>
      <c r="D154" s="22">
        <v>10868700</v>
      </c>
    </row>
    <row r="155" spans="1:4" x14ac:dyDescent="0.25">
      <c r="A155">
        <v>1687</v>
      </c>
      <c r="B155" s="16">
        <v>43525</v>
      </c>
      <c r="C155" t="s">
        <v>12</v>
      </c>
      <c r="D155" s="22">
        <v>10868700</v>
      </c>
    </row>
    <row r="156" spans="1:4" x14ac:dyDescent="0.25">
      <c r="A156">
        <v>1687</v>
      </c>
      <c r="B156" s="16">
        <v>43556</v>
      </c>
      <c r="C156" t="s">
        <v>12</v>
      </c>
      <c r="D156" s="22">
        <v>10868700</v>
      </c>
    </row>
    <row r="157" spans="1:4" x14ac:dyDescent="0.25">
      <c r="A157">
        <v>1687</v>
      </c>
      <c r="B157" s="16">
        <v>43466</v>
      </c>
      <c r="C157" t="s">
        <v>38</v>
      </c>
      <c r="D157" s="22">
        <v>3601566.2399999998</v>
      </c>
    </row>
    <row r="158" spans="1:4" x14ac:dyDescent="0.25">
      <c r="A158">
        <v>1687</v>
      </c>
      <c r="B158" s="16">
        <v>43497</v>
      </c>
      <c r="C158" t="s">
        <v>38</v>
      </c>
      <c r="D158" s="22">
        <v>3601566.2399999998</v>
      </c>
    </row>
    <row r="159" spans="1:4" x14ac:dyDescent="0.25">
      <c r="A159">
        <v>1687</v>
      </c>
      <c r="B159" s="16">
        <v>43525</v>
      </c>
      <c r="C159" t="s">
        <v>38</v>
      </c>
      <c r="D159" s="22">
        <v>3601566.2399999998</v>
      </c>
    </row>
    <row r="160" spans="1:4" x14ac:dyDescent="0.25">
      <c r="A160">
        <v>1687</v>
      </c>
      <c r="B160" s="16">
        <v>43556</v>
      </c>
      <c r="C160" t="s">
        <v>38</v>
      </c>
      <c r="D160" s="22">
        <v>3601566.2399999998</v>
      </c>
    </row>
    <row r="161" spans="1:4" x14ac:dyDescent="0.25">
      <c r="A161">
        <v>1687</v>
      </c>
      <c r="B161" s="16">
        <v>43466</v>
      </c>
      <c r="C161" t="s">
        <v>67</v>
      </c>
      <c r="D161" s="22">
        <v>5246958</v>
      </c>
    </row>
    <row r="162" spans="1:4" x14ac:dyDescent="0.25">
      <c r="A162">
        <v>1687</v>
      </c>
      <c r="B162" s="16">
        <v>43497</v>
      </c>
      <c r="C162" t="s">
        <v>67</v>
      </c>
      <c r="D162" s="22">
        <v>5246958</v>
      </c>
    </row>
    <row r="163" spans="1:4" x14ac:dyDescent="0.25">
      <c r="A163">
        <v>1687</v>
      </c>
      <c r="B163" s="16">
        <v>43525</v>
      </c>
      <c r="C163" t="s">
        <v>67</v>
      </c>
      <c r="D163" s="22">
        <v>5246958</v>
      </c>
    </row>
    <row r="164" spans="1:4" x14ac:dyDescent="0.25">
      <c r="A164">
        <v>1687</v>
      </c>
      <c r="B164" s="16">
        <v>43556</v>
      </c>
      <c r="C164" t="s">
        <v>67</v>
      </c>
      <c r="D164" s="22">
        <v>5246958</v>
      </c>
    </row>
    <row r="165" spans="1:4" x14ac:dyDescent="0.25">
      <c r="A165">
        <v>1687</v>
      </c>
      <c r="B165" s="16">
        <v>43466</v>
      </c>
      <c r="C165" t="s">
        <v>39</v>
      </c>
      <c r="D165" s="22">
        <v>4544697</v>
      </c>
    </row>
    <row r="166" spans="1:4" x14ac:dyDescent="0.25">
      <c r="A166">
        <v>1687</v>
      </c>
      <c r="B166" s="16">
        <v>43497</v>
      </c>
      <c r="C166" t="s">
        <v>39</v>
      </c>
      <c r="D166" s="22">
        <v>4544697</v>
      </c>
    </row>
    <row r="167" spans="1:4" x14ac:dyDescent="0.25">
      <c r="A167">
        <v>1687</v>
      </c>
      <c r="B167" s="16">
        <v>43525</v>
      </c>
      <c r="C167" t="s">
        <v>39</v>
      </c>
      <c r="D167" s="22">
        <v>4544697</v>
      </c>
    </row>
    <row r="168" spans="1:4" x14ac:dyDescent="0.25">
      <c r="A168">
        <v>1687</v>
      </c>
      <c r="B168" s="16">
        <v>43556</v>
      </c>
      <c r="C168" t="s">
        <v>39</v>
      </c>
      <c r="D168" s="22">
        <v>4544697</v>
      </c>
    </row>
    <row r="169" spans="1:4" x14ac:dyDescent="0.25">
      <c r="A169">
        <v>1687</v>
      </c>
      <c r="B169" s="16">
        <v>43466</v>
      </c>
      <c r="C169" t="s">
        <v>68</v>
      </c>
      <c r="D169" s="22">
        <v>7308264</v>
      </c>
    </row>
    <row r="170" spans="1:4" x14ac:dyDescent="0.25">
      <c r="A170">
        <v>1687</v>
      </c>
      <c r="B170" s="16">
        <v>43497</v>
      </c>
      <c r="C170" t="s">
        <v>68</v>
      </c>
      <c r="D170" s="22">
        <v>7308264</v>
      </c>
    </row>
    <row r="171" spans="1:4" x14ac:dyDescent="0.25">
      <c r="A171">
        <v>1687</v>
      </c>
      <c r="B171" s="16">
        <v>43525</v>
      </c>
      <c r="C171" t="s">
        <v>68</v>
      </c>
      <c r="D171" s="22">
        <v>7308264</v>
      </c>
    </row>
    <row r="172" spans="1:4" x14ac:dyDescent="0.25">
      <c r="A172">
        <v>1687</v>
      </c>
      <c r="B172" s="16">
        <v>43556</v>
      </c>
      <c r="C172" t="s">
        <v>68</v>
      </c>
      <c r="D172" s="22">
        <v>7308264</v>
      </c>
    </row>
    <row r="173" spans="1:4" x14ac:dyDescent="0.25">
      <c r="A173">
        <v>1687</v>
      </c>
      <c r="B173" s="16">
        <v>43466</v>
      </c>
      <c r="C173" t="s">
        <v>69</v>
      </c>
      <c r="D173" s="22">
        <v>3989386.5</v>
      </c>
    </row>
    <row r="174" spans="1:4" x14ac:dyDescent="0.25">
      <c r="A174">
        <v>1687</v>
      </c>
      <c r="B174" s="16">
        <v>43497</v>
      </c>
      <c r="C174" t="s">
        <v>69</v>
      </c>
      <c r="D174" s="22">
        <v>3989386.5</v>
      </c>
    </row>
    <row r="175" spans="1:4" x14ac:dyDescent="0.25">
      <c r="A175">
        <v>1687</v>
      </c>
      <c r="B175" s="16">
        <v>43525</v>
      </c>
      <c r="C175" t="s">
        <v>69</v>
      </c>
      <c r="D175" s="22">
        <v>3989386.5</v>
      </c>
    </row>
    <row r="176" spans="1:4" x14ac:dyDescent="0.25">
      <c r="A176">
        <v>1689</v>
      </c>
      <c r="B176" s="16">
        <v>43466</v>
      </c>
      <c r="C176" t="s">
        <v>12</v>
      </c>
      <c r="D176" s="22">
        <v>9724050.0000000019</v>
      </c>
    </row>
    <row r="177" spans="1:4" x14ac:dyDescent="0.25">
      <c r="A177">
        <v>1689</v>
      </c>
      <c r="B177" s="16">
        <v>43497</v>
      </c>
      <c r="C177" t="s">
        <v>12</v>
      </c>
      <c r="D177" s="22">
        <v>9724050.0000000019</v>
      </c>
    </row>
    <row r="178" spans="1:4" x14ac:dyDescent="0.25">
      <c r="A178">
        <v>1689</v>
      </c>
      <c r="B178" s="16">
        <v>43525</v>
      </c>
      <c r="C178" t="s">
        <v>12</v>
      </c>
      <c r="D178" s="22">
        <v>9724050.0000000019</v>
      </c>
    </row>
    <row r="179" spans="1:4" x14ac:dyDescent="0.25">
      <c r="A179">
        <v>1689</v>
      </c>
      <c r="B179" s="16">
        <v>43556</v>
      </c>
      <c r="C179" t="s">
        <v>12</v>
      </c>
      <c r="D179" s="22">
        <v>9724050.0000000019</v>
      </c>
    </row>
    <row r="180" spans="1:4" x14ac:dyDescent="0.25">
      <c r="A180">
        <v>1689</v>
      </c>
      <c r="B180" s="16">
        <v>43586</v>
      </c>
      <c r="C180" t="s">
        <v>12</v>
      </c>
      <c r="D180" s="22">
        <v>9724050.0000000019</v>
      </c>
    </row>
    <row r="181" spans="1:4" x14ac:dyDescent="0.25">
      <c r="A181">
        <v>1689</v>
      </c>
      <c r="B181" s="16">
        <v>43617</v>
      </c>
      <c r="C181" t="s">
        <v>12</v>
      </c>
      <c r="D181" s="22">
        <v>9724050.0000000019</v>
      </c>
    </row>
    <row r="182" spans="1:4" x14ac:dyDescent="0.25">
      <c r="A182">
        <v>1689</v>
      </c>
      <c r="B182" s="16">
        <v>43647</v>
      </c>
      <c r="C182" t="s">
        <v>12</v>
      </c>
      <c r="D182" s="22">
        <v>9724050.0000000019</v>
      </c>
    </row>
    <row r="183" spans="1:4" x14ac:dyDescent="0.25">
      <c r="A183">
        <v>1689</v>
      </c>
      <c r="B183" s="16">
        <v>43678</v>
      </c>
      <c r="C183" t="s">
        <v>12</v>
      </c>
      <c r="D183" s="22">
        <v>9724050.0000000019</v>
      </c>
    </row>
    <row r="184" spans="1:4" x14ac:dyDescent="0.25">
      <c r="A184">
        <v>1689</v>
      </c>
      <c r="B184" s="16">
        <v>43709</v>
      </c>
      <c r="C184" t="s">
        <v>12</v>
      </c>
      <c r="D184" s="22">
        <v>9724050.0000000019</v>
      </c>
    </row>
    <row r="185" spans="1:4" x14ac:dyDescent="0.25">
      <c r="A185">
        <v>1689</v>
      </c>
      <c r="B185" s="16">
        <v>43739</v>
      </c>
      <c r="C185" t="s">
        <v>12</v>
      </c>
      <c r="D185" s="22">
        <v>9724050.0000000019</v>
      </c>
    </row>
    <row r="186" spans="1:4" x14ac:dyDescent="0.25">
      <c r="A186">
        <v>1689</v>
      </c>
      <c r="B186" s="16">
        <v>43770</v>
      </c>
      <c r="C186" t="s">
        <v>12</v>
      </c>
      <c r="D186" s="22">
        <v>9724050.0000000019</v>
      </c>
    </row>
    <row r="187" spans="1:4" x14ac:dyDescent="0.25">
      <c r="A187">
        <v>1689</v>
      </c>
      <c r="B187" s="16">
        <v>43800</v>
      </c>
      <c r="C187" t="s">
        <v>12</v>
      </c>
      <c r="D187" s="22">
        <v>9724050.0000000019</v>
      </c>
    </row>
    <row r="188" spans="1:4" x14ac:dyDescent="0.25">
      <c r="A188">
        <v>1689</v>
      </c>
      <c r="B188" s="16">
        <v>43466</v>
      </c>
      <c r="C188" t="s">
        <v>36</v>
      </c>
      <c r="D188" s="22">
        <v>3533997.5999999996</v>
      </c>
    </row>
    <row r="189" spans="1:4" x14ac:dyDescent="0.25">
      <c r="A189">
        <v>1689</v>
      </c>
      <c r="B189" s="16">
        <v>43497</v>
      </c>
      <c r="C189" t="s">
        <v>36</v>
      </c>
      <c r="D189" s="22">
        <v>3533997.5999999996</v>
      </c>
    </row>
    <row r="190" spans="1:4" x14ac:dyDescent="0.25">
      <c r="A190">
        <v>1689</v>
      </c>
      <c r="B190" s="16">
        <v>43525</v>
      </c>
      <c r="C190" t="s">
        <v>36</v>
      </c>
      <c r="D190" s="22">
        <v>3533997.5999999996</v>
      </c>
    </row>
    <row r="191" spans="1:4" x14ac:dyDescent="0.25">
      <c r="A191">
        <v>1689</v>
      </c>
      <c r="B191" s="16">
        <v>43556</v>
      </c>
      <c r="C191" t="s">
        <v>36</v>
      </c>
      <c r="D191" s="22">
        <v>3533997.5999999996</v>
      </c>
    </row>
    <row r="192" spans="1:4" x14ac:dyDescent="0.25">
      <c r="A192">
        <v>1689</v>
      </c>
      <c r="B192" s="16">
        <v>43586</v>
      </c>
      <c r="C192" t="s">
        <v>36</v>
      </c>
      <c r="D192" s="22">
        <v>3533997.5999999996</v>
      </c>
    </row>
    <row r="193" spans="1:4" x14ac:dyDescent="0.25">
      <c r="A193">
        <v>1689</v>
      </c>
      <c r="B193" s="16">
        <v>43617</v>
      </c>
      <c r="C193" t="s">
        <v>36</v>
      </c>
      <c r="D193" s="22">
        <v>3533997.5999999996</v>
      </c>
    </row>
    <row r="194" spans="1:4" x14ac:dyDescent="0.25">
      <c r="A194">
        <v>1689</v>
      </c>
      <c r="B194" s="16">
        <v>43647</v>
      </c>
      <c r="C194" t="s">
        <v>36</v>
      </c>
      <c r="D194" s="22">
        <v>3533997.5999999996</v>
      </c>
    </row>
    <row r="195" spans="1:4" x14ac:dyDescent="0.25">
      <c r="A195">
        <v>1689</v>
      </c>
      <c r="B195" s="16">
        <v>43678</v>
      </c>
      <c r="C195" t="s">
        <v>36</v>
      </c>
      <c r="D195" s="22">
        <v>3533997.5999999996</v>
      </c>
    </row>
    <row r="196" spans="1:4" x14ac:dyDescent="0.25">
      <c r="A196">
        <v>1689</v>
      </c>
      <c r="B196" s="16">
        <v>43709</v>
      </c>
      <c r="C196" t="s">
        <v>36</v>
      </c>
      <c r="D196" s="22">
        <v>3533997.5999999996</v>
      </c>
    </row>
    <row r="197" spans="1:4" x14ac:dyDescent="0.25">
      <c r="A197">
        <v>1689</v>
      </c>
      <c r="B197" s="16">
        <v>43739</v>
      </c>
      <c r="C197" t="s">
        <v>36</v>
      </c>
      <c r="D197" s="22">
        <v>3533997.5999999996</v>
      </c>
    </row>
    <row r="198" spans="1:4" x14ac:dyDescent="0.25">
      <c r="A198">
        <v>1689</v>
      </c>
      <c r="B198" s="16">
        <v>43770</v>
      </c>
      <c r="C198" t="s">
        <v>36</v>
      </c>
      <c r="D198" s="22">
        <v>3533997.5999999996</v>
      </c>
    </row>
    <row r="199" spans="1:4" x14ac:dyDescent="0.25">
      <c r="A199">
        <v>1689</v>
      </c>
      <c r="B199" s="16">
        <v>43800</v>
      </c>
      <c r="C199" t="s">
        <v>36</v>
      </c>
      <c r="D199" s="22">
        <v>3533997.5999999996</v>
      </c>
    </row>
    <row r="200" spans="1:4" x14ac:dyDescent="0.25">
      <c r="A200">
        <v>1689</v>
      </c>
      <c r="B200" s="16">
        <v>43466</v>
      </c>
      <c r="C200" t="s">
        <v>35</v>
      </c>
      <c r="D200" s="22">
        <v>3902122.35</v>
      </c>
    </row>
    <row r="201" spans="1:4" x14ac:dyDescent="0.25">
      <c r="A201">
        <v>1689</v>
      </c>
      <c r="B201" s="16">
        <v>43497</v>
      </c>
      <c r="C201" t="s">
        <v>35</v>
      </c>
      <c r="D201" s="22">
        <v>3902122.35</v>
      </c>
    </row>
    <row r="202" spans="1:4" x14ac:dyDescent="0.25">
      <c r="A202">
        <v>1689</v>
      </c>
      <c r="B202" s="16">
        <v>43525</v>
      </c>
      <c r="C202" t="s">
        <v>35</v>
      </c>
      <c r="D202" s="22">
        <v>3902122.35</v>
      </c>
    </row>
    <row r="203" spans="1:4" x14ac:dyDescent="0.25">
      <c r="A203">
        <v>1689</v>
      </c>
      <c r="B203" s="16">
        <v>43556</v>
      </c>
      <c r="C203" t="s">
        <v>35</v>
      </c>
      <c r="D203" s="22">
        <v>3902122.35</v>
      </c>
    </row>
    <row r="204" spans="1:4" x14ac:dyDescent="0.25">
      <c r="A204">
        <v>1689</v>
      </c>
      <c r="B204" s="16">
        <v>43586</v>
      </c>
      <c r="C204" t="s">
        <v>35</v>
      </c>
      <c r="D204" s="22">
        <v>3902122.35</v>
      </c>
    </row>
    <row r="205" spans="1:4" x14ac:dyDescent="0.25">
      <c r="A205">
        <v>1689</v>
      </c>
      <c r="B205" s="16">
        <v>43617</v>
      </c>
      <c r="C205" t="s">
        <v>35</v>
      </c>
      <c r="D205" s="22">
        <v>3902122.35</v>
      </c>
    </row>
    <row r="206" spans="1:4" x14ac:dyDescent="0.25">
      <c r="A206">
        <v>1689</v>
      </c>
      <c r="B206" s="16">
        <v>43647</v>
      </c>
      <c r="C206" t="s">
        <v>35</v>
      </c>
      <c r="D206" s="22">
        <v>3902122.35</v>
      </c>
    </row>
    <row r="207" spans="1:4" x14ac:dyDescent="0.25">
      <c r="A207">
        <v>1689</v>
      </c>
      <c r="B207" s="16">
        <v>43678</v>
      </c>
      <c r="C207" t="s">
        <v>35</v>
      </c>
      <c r="D207" s="22">
        <v>3902122.35</v>
      </c>
    </row>
    <row r="208" spans="1:4" x14ac:dyDescent="0.25">
      <c r="A208">
        <v>1689</v>
      </c>
      <c r="B208" s="16">
        <v>43466</v>
      </c>
      <c r="C208" t="s">
        <v>39</v>
      </c>
      <c r="D208" s="22">
        <v>3993806.2500000005</v>
      </c>
    </row>
    <row r="209" spans="1:4" x14ac:dyDescent="0.25">
      <c r="A209">
        <v>1689</v>
      </c>
      <c r="B209" s="16">
        <v>43497</v>
      </c>
      <c r="C209" t="s">
        <v>39</v>
      </c>
      <c r="D209" s="22">
        <v>3993806.2500000005</v>
      </c>
    </row>
    <row r="210" spans="1:4" x14ac:dyDescent="0.25">
      <c r="A210">
        <v>1689</v>
      </c>
      <c r="B210" s="16">
        <v>43525</v>
      </c>
      <c r="C210" t="s">
        <v>39</v>
      </c>
      <c r="D210" s="22">
        <v>3993806.2500000005</v>
      </c>
    </row>
    <row r="211" spans="1:4" x14ac:dyDescent="0.25">
      <c r="A211">
        <v>1689</v>
      </c>
      <c r="B211" s="16">
        <v>43556</v>
      </c>
      <c r="C211" t="s">
        <v>39</v>
      </c>
      <c r="D211" s="22">
        <v>3993806.2500000005</v>
      </c>
    </row>
    <row r="212" spans="1:4" x14ac:dyDescent="0.25">
      <c r="A212">
        <v>1689</v>
      </c>
      <c r="B212" s="16">
        <v>43586</v>
      </c>
      <c r="C212" t="s">
        <v>39</v>
      </c>
      <c r="D212" s="22">
        <v>3993806.2500000005</v>
      </c>
    </row>
    <row r="213" spans="1:4" x14ac:dyDescent="0.25">
      <c r="A213">
        <v>1689</v>
      </c>
      <c r="B213" s="16">
        <v>43617</v>
      </c>
      <c r="C213" t="s">
        <v>39</v>
      </c>
      <c r="D213" s="22">
        <v>3993806.2500000005</v>
      </c>
    </row>
    <row r="214" spans="1:4" x14ac:dyDescent="0.25">
      <c r="A214">
        <v>1689</v>
      </c>
      <c r="B214" s="16">
        <v>43647</v>
      </c>
      <c r="C214" t="s">
        <v>39</v>
      </c>
      <c r="D214" s="22">
        <v>3993806.2500000005</v>
      </c>
    </row>
    <row r="215" spans="1:4" x14ac:dyDescent="0.25">
      <c r="A215">
        <v>1689</v>
      </c>
      <c r="B215" s="16">
        <v>43678</v>
      </c>
      <c r="C215" t="s">
        <v>39</v>
      </c>
      <c r="D215" s="22">
        <v>3993806.2500000005</v>
      </c>
    </row>
    <row r="216" spans="1:4" x14ac:dyDescent="0.25">
      <c r="A216">
        <v>1701</v>
      </c>
      <c r="B216" s="16">
        <v>43466</v>
      </c>
      <c r="C216" t="s">
        <v>19</v>
      </c>
      <c r="D216" s="22">
        <v>4388324.8500000006</v>
      </c>
    </row>
    <row r="217" spans="1:4" x14ac:dyDescent="0.25">
      <c r="A217">
        <v>1701</v>
      </c>
      <c r="B217" s="16">
        <v>43497</v>
      </c>
      <c r="C217" t="s">
        <v>19</v>
      </c>
      <c r="D217" s="22">
        <v>4388324.8500000006</v>
      </c>
    </row>
    <row r="218" spans="1:4" x14ac:dyDescent="0.25">
      <c r="A218">
        <v>1701</v>
      </c>
      <c r="B218" s="16">
        <v>43525</v>
      </c>
      <c r="C218" t="s">
        <v>19</v>
      </c>
      <c r="D218" s="22">
        <v>4388324.8500000006</v>
      </c>
    </row>
    <row r="219" spans="1:4" x14ac:dyDescent="0.25">
      <c r="A219">
        <v>1701</v>
      </c>
      <c r="B219" s="16">
        <v>43556</v>
      </c>
      <c r="C219" t="s">
        <v>19</v>
      </c>
      <c r="D219" s="22">
        <v>4388324.8500000006</v>
      </c>
    </row>
    <row r="220" spans="1:4" x14ac:dyDescent="0.25">
      <c r="A220">
        <v>1701</v>
      </c>
      <c r="B220" s="16">
        <v>43586</v>
      </c>
      <c r="C220" t="s">
        <v>19</v>
      </c>
      <c r="D220" s="22">
        <v>4388324.8500000006</v>
      </c>
    </row>
    <row r="221" spans="1:4" x14ac:dyDescent="0.25">
      <c r="A221">
        <v>1701</v>
      </c>
      <c r="B221" s="16">
        <v>43466</v>
      </c>
      <c r="C221" t="s">
        <v>12</v>
      </c>
      <c r="D221" s="22">
        <v>8682187.5000000019</v>
      </c>
    </row>
    <row r="222" spans="1:4" x14ac:dyDescent="0.25">
      <c r="A222">
        <v>1701</v>
      </c>
      <c r="B222" s="16">
        <v>43497</v>
      </c>
      <c r="C222" t="s">
        <v>12</v>
      </c>
      <c r="D222" s="22">
        <v>8682187.5000000019</v>
      </c>
    </row>
    <row r="223" spans="1:4" x14ac:dyDescent="0.25">
      <c r="A223">
        <v>1701</v>
      </c>
      <c r="B223" s="16">
        <v>43525</v>
      </c>
      <c r="C223" t="s">
        <v>12</v>
      </c>
      <c r="D223" s="22">
        <v>8682187.5000000019</v>
      </c>
    </row>
    <row r="224" spans="1:4" x14ac:dyDescent="0.25">
      <c r="A224">
        <v>1701</v>
      </c>
      <c r="B224" s="16">
        <v>43556</v>
      </c>
      <c r="C224" t="s">
        <v>12</v>
      </c>
      <c r="D224" s="22">
        <v>8682187.5000000019</v>
      </c>
    </row>
    <row r="225" spans="1:4" x14ac:dyDescent="0.25">
      <c r="A225">
        <v>1701</v>
      </c>
      <c r="B225" s="16">
        <v>43586</v>
      </c>
      <c r="C225" t="s">
        <v>12</v>
      </c>
      <c r="D225" s="22">
        <v>8682187.5000000019</v>
      </c>
    </row>
    <row r="226" spans="1:4" x14ac:dyDescent="0.25">
      <c r="A226">
        <v>1701</v>
      </c>
      <c r="B226" s="16">
        <v>43466</v>
      </c>
      <c r="C226" t="s">
        <v>38</v>
      </c>
      <c r="D226" s="22">
        <v>3865309.875</v>
      </c>
    </row>
    <row r="227" spans="1:4" x14ac:dyDescent="0.25">
      <c r="A227">
        <v>1701</v>
      </c>
      <c r="B227" s="16">
        <v>43497</v>
      </c>
      <c r="C227" t="s">
        <v>38</v>
      </c>
      <c r="D227" s="22">
        <v>3865309.875</v>
      </c>
    </row>
    <row r="228" spans="1:4" x14ac:dyDescent="0.25">
      <c r="A228">
        <v>1701</v>
      </c>
      <c r="B228" s="16">
        <v>43525</v>
      </c>
      <c r="C228" t="s">
        <v>38</v>
      </c>
      <c r="D228" s="22">
        <v>3865309.875</v>
      </c>
    </row>
    <row r="229" spans="1:4" x14ac:dyDescent="0.25">
      <c r="A229">
        <v>1701</v>
      </c>
      <c r="B229" s="16">
        <v>43556</v>
      </c>
      <c r="C229" t="s">
        <v>38</v>
      </c>
      <c r="D229" s="22">
        <v>3865309.875</v>
      </c>
    </row>
    <row r="230" spans="1:4" x14ac:dyDescent="0.25">
      <c r="A230">
        <v>1701</v>
      </c>
      <c r="B230" s="16">
        <v>43586</v>
      </c>
      <c r="C230" t="s">
        <v>38</v>
      </c>
      <c r="D230" s="22">
        <v>3865309.875</v>
      </c>
    </row>
    <row r="231" spans="1:4" x14ac:dyDescent="0.25">
      <c r="A231">
        <v>1701</v>
      </c>
      <c r="B231" s="16">
        <v>43466</v>
      </c>
      <c r="C231" t="s">
        <v>76</v>
      </c>
      <c r="D231" s="22">
        <v>3497185.125</v>
      </c>
    </row>
    <row r="232" spans="1:4" x14ac:dyDescent="0.25">
      <c r="A232">
        <v>1701</v>
      </c>
      <c r="B232" s="16">
        <v>43497</v>
      </c>
      <c r="C232" t="s">
        <v>76</v>
      </c>
      <c r="D232" s="22">
        <v>3497185.125</v>
      </c>
    </row>
    <row r="233" spans="1:4" x14ac:dyDescent="0.25">
      <c r="A233">
        <v>1701</v>
      </c>
      <c r="B233" s="16">
        <v>43525</v>
      </c>
      <c r="C233" t="s">
        <v>76</v>
      </c>
      <c r="D233" s="22">
        <v>3497185.125</v>
      </c>
    </row>
    <row r="234" spans="1:4" x14ac:dyDescent="0.25">
      <c r="A234">
        <v>1701</v>
      </c>
      <c r="B234" s="16">
        <v>43556</v>
      </c>
      <c r="C234" t="s">
        <v>76</v>
      </c>
      <c r="D234" s="22">
        <v>3497185.125</v>
      </c>
    </row>
    <row r="235" spans="1:4" x14ac:dyDescent="0.25">
      <c r="A235">
        <v>1701</v>
      </c>
      <c r="B235" s="16">
        <v>43586</v>
      </c>
      <c r="C235" t="s">
        <v>76</v>
      </c>
      <c r="D235" s="22">
        <v>3497185.125</v>
      </c>
    </row>
    <row r="236" spans="1:4" x14ac:dyDescent="0.25">
      <c r="A236">
        <v>1701</v>
      </c>
      <c r="B236" s="16">
        <v>43617</v>
      </c>
      <c r="C236" t="s">
        <v>76</v>
      </c>
      <c r="D236" s="22">
        <v>3497185.125</v>
      </c>
    </row>
    <row r="237" spans="1:4" x14ac:dyDescent="0.25">
      <c r="A237">
        <v>1701</v>
      </c>
      <c r="B237" s="16">
        <v>43647</v>
      </c>
      <c r="C237" t="s">
        <v>76</v>
      </c>
      <c r="D237" s="22">
        <v>3497185.125</v>
      </c>
    </row>
    <row r="238" spans="1:4" x14ac:dyDescent="0.25">
      <c r="A238">
        <v>1701</v>
      </c>
      <c r="B238" s="16">
        <v>43678</v>
      </c>
      <c r="C238" t="s">
        <v>76</v>
      </c>
      <c r="D238" s="22">
        <v>3497185.125</v>
      </c>
    </row>
    <row r="239" spans="1:4" x14ac:dyDescent="0.25">
      <c r="A239">
        <v>1701</v>
      </c>
      <c r="B239" s="16">
        <v>43709</v>
      </c>
      <c r="C239" t="s">
        <v>76</v>
      </c>
      <c r="D239" s="22">
        <v>3497185.125</v>
      </c>
    </row>
    <row r="240" spans="1:4" x14ac:dyDescent="0.25">
      <c r="A240">
        <v>1701</v>
      </c>
      <c r="B240" s="16">
        <v>43739</v>
      </c>
      <c r="C240" t="s">
        <v>76</v>
      </c>
      <c r="D240" s="22">
        <v>3497185.125</v>
      </c>
    </row>
    <row r="241" spans="1:4" x14ac:dyDescent="0.25">
      <c r="A241">
        <v>1701</v>
      </c>
      <c r="B241" s="16">
        <v>43770</v>
      </c>
      <c r="C241" t="s">
        <v>76</v>
      </c>
      <c r="D241" s="22">
        <v>3497185.125</v>
      </c>
    </row>
    <row r="242" spans="1:4" x14ac:dyDescent="0.25">
      <c r="A242">
        <v>1701</v>
      </c>
      <c r="B242" s="16">
        <v>43800</v>
      </c>
      <c r="C242" t="s">
        <v>76</v>
      </c>
      <c r="D242" s="22">
        <v>3497185.125</v>
      </c>
    </row>
    <row r="243" spans="1:4" x14ac:dyDescent="0.25">
      <c r="A243">
        <v>1701</v>
      </c>
      <c r="B243" s="16">
        <v>43831</v>
      </c>
      <c r="C243" t="s">
        <v>76</v>
      </c>
      <c r="D243" s="22">
        <v>3497185.125</v>
      </c>
    </row>
    <row r="244" spans="1:4" x14ac:dyDescent="0.25">
      <c r="A244">
        <v>1701</v>
      </c>
      <c r="B244" s="16">
        <v>43466</v>
      </c>
      <c r="C244" t="s">
        <v>39</v>
      </c>
      <c r="D244" s="22">
        <v>3646518.7500000005</v>
      </c>
    </row>
    <row r="245" spans="1:4" x14ac:dyDescent="0.25">
      <c r="A245">
        <v>1751</v>
      </c>
      <c r="B245" s="16">
        <v>43466</v>
      </c>
      <c r="C245" t="s">
        <v>26</v>
      </c>
      <c r="D245" s="22">
        <v>8365287.65625</v>
      </c>
    </row>
    <row r="246" spans="1:4" x14ac:dyDescent="0.25">
      <c r="A246">
        <v>1751</v>
      </c>
      <c r="B246" s="16">
        <v>43497</v>
      </c>
      <c r="C246" t="s">
        <v>26</v>
      </c>
      <c r="D246" s="22">
        <v>8365287.65625</v>
      </c>
    </row>
    <row r="247" spans="1:4" x14ac:dyDescent="0.25">
      <c r="A247">
        <v>1758</v>
      </c>
      <c r="B247" s="16">
        <v>43466</v>
      </c>
      <c r="C247" t="s">
        <v>19</v>
      </c>
      <c r="D247" s="22">
        <v>3839596.7085000006</v>
      </c>
    </row>
    <row r="248" spans="1:4" x14ac:dyDescent="0.25">
      <c r="A248">
        <v>1758</v>
      </c>
      <c r="B248" s="16">
        <v>43497</v>
      </c>
      <c r="C248" t="s">
        <v>19</v>
      </c>
      <c r="D248" s="22">
        <v>3839596.7085000006</v>
      </c>
    </row>
    <row r="249" spans="1:4" x14ac:dyDescent="0.25">
      <c r="A249">
        <v>1758</v>
      </c>
      <c r="B249" s="16">
        <v>43525</v>
      </c>
      <c r="C249" t="s">
        <v>19</v>
      </c>
      <c r="D249" s="22">
        <v>3839596.7085000006</v>
      </c>
    </row>
    <row r="250" spans="1:4" x14ac:dyDescent="0.25">
      <c r="A250">
        <v>1758</v>
      </c>
      <c r="B250" s="16">
        <v>43556</v>
      </c>
      <c r="C250" t="s">
        <v>19</v>
      </c>
      <c r="D250" s="22">
        <v>3839596.7085000006</v>
      </c>
    </row>
    <row r="251" spans="1:4" x14ac:dyDescent="0.25">
      <c r="A251">
        <v>1758</v>
      </c>
      <c r="B251" s="16">
        <v>43586</v>
      </c>
      <c r="C251" t="s">
        <v>19</v>
      </c>
      <c r="D251" s="22">
        <v>3839596.7085000006</v>
      </c>
    </row>
    <row r="252" spans="1:4" x14ac:dyDescent="0.25">
      <c r="A252">
        <v>1758</v>
      </c>
      <c r="B252" s="16">
        <v>43617</v>
      </c>
      <c r="C252" t="s">
        <v>19</v>
      </c>
      <c r="D252" s="22">
        <v>3839596.7085000006</v>
      </c>
    </row>
    <row r="253" spans="1:4" x14ac:dyDescent="0.25">
      <c r="A253">
        <v>1758</v>
      </c>
      <c r="B253" s="16">
        <v>43647</v>
      </c>
      <c r="C253" t="s">
        <v>19</v>
      </c>
      <c r="D253" s="22">
        <v>3839596.7085000006</v>
      </c>
    </row>
    <row r="254" spans="1:4" x14ac:dyDescent="0.25">
      <c r="A254">
        <v>1758</v>
      </c>
      <c r="B254" s="16">
        <v>43678</v>
      </c>
      <c r="C254" t="s">
        <v>19</v>
      </c>
      <c r="D254" s="22">
        <v>3839596.7085000006</v>
      </c>
    </row>
    <row r="255" spans="1:4" x14ac:dyDescent="0.25">
      <c r="A255">
        <v>1758</v>
      </c>
      <c r="B255" s="16">
        <v>43709</v>
      </c>
      <c r="C255" t="s">
        <v>19</v>
      </c>
      <c r="D255" s="22">
        <v>3839596.7085000006</v>
      </c>
    </row>
    <row r="256" spans="1:4" x14ac:dyDescent="0.25">
      <c r="A256">
        <v>1758</v>
      </c>
      <c r="B256" s="16">
        <v>43739</v>
      </c>
      <c r="C256" t="s">
        <v>19</v>
      </c>
      <c r="D256" s="22">
        <v>3839596.7085000006</v>
      </c>
    </row>
    <row r="257" spans="1:4" x14ac:dyDescent="0.25">
      <c r="A257">
        <v>1758</v>
      </c>
      <c r="B257" s="16">
        <v>43770</v>
      </c>
      <c r="C257" t="s">
        <v>19</v>
      </c>
      <c r="D257" s="22">
        <v>3839596.7085000006</v>
      </c>
    </row>
    <row r="258" spans="1:4" x14ac:dyDescent="0.25">
      <c r="A258">
        <v>1758</v>
      </c>
      <c r="B258" s="16">
        <v>43800</v>
      </c>
      <c r="C258" t="s">
        <v>19</v>
      </c>
      <c r="D258" s="22">
        <v>3839596.7085000006</v>
      </c>
    </row>
    <row r="259" spans="1:4" x14ac:dyDescent="0.25">
      <c r="A259">
        <v>1758</v>
      </c>
      <c r="B259" s="16">
        <v>43466</v>
      </c>
      <c r="C259" t="s">
        <v>12</v>
      </c>
      <c r="D259" s="22">
        <v>12599152.25625</v>
      </c>
    </row>
    <row r="260" spans="1:4" x14ac:dyDescent="0.25">
      <c r="A260">
        <v>1758</v>
      </c>
      <c r="B260" s="16">
        <v>43497</v>
      </c>
      <c r="C260" t="s">
        <v>12</v>
      </c>
      <c r="D260" s="22">
        <v>12599152.25625</v>
      </c>
    </row>
    <row r="261" spans="1:4" x14ac:dyDescent="0.25">
      <c r="A261">
        <v>1758</v>
      </c>
      <c r="B261" s="16">
        <v>43525</v>
      </c>
      <c r="C261" t="s">
        <v>12</v>
      </c>
      <c r="D261" s="22">
        <v>12599152.25625</v>
      </c>
    </row>
    <row r="262" spans="1:4" x14ac:dyDescent="0.25">
      <c r="A262">
        <v>1758</v>
      </c>
      <c r="B262" s="16">
        <v>43556</v>
      </c>
      <c r="C262" t="s">
        <v>12</v>
      </c>
      <c r="D262" s="22">
        <v>12599152.25625</v>
      </c>
    </row>
    <row r="263" spans="1:4" x14ac:dyDescent="0.25">
      <c r="A263">
        <v>1758</v>
      </c>
      <c r="B263" s="16">
        <v>43586</v>
      </c>
      <c r="C263" t="s">
        <v>12</v>
      </c>
      <c r="D263" s="22">
        <v>12599152.25625</v>
      </c>
    </row>
    <row r="264" spans="1:4" x14ac:dyDescent="0.25">
      <c r="A264">
        <v>1758</v>
      </c>
      <c r="B264" s="16">
        <v>43617</v>
      </c>
      <c r="C264" t="s">
        <v>12</v>
      </c>
      <c r="D264" s="22">
        <v>12599152.25625</v>
      </c>
    </row>
    <row r="265" spans="1:4" x14ac:dyDescent="0.25">
      <c r="A265">
        <v>1758</v>
      </c>
      <c r="B265" s="16">
        <v>43647</v>
      </c>
      <c r="C265" t="s">
        <v>12</v>
      </c>
      <c r="D265" s="22">
        <v>12599152.25625</v>
      </c>
    </row>
    <row r="266" spans="1:4" x14ac:dyDescent="0.25">
      <c r="A266">
        <v>1758</v>
      </c>
      <c r="B266" s="16">
        <v>43678</v>
      </c>
      <c r="C266" t="s">
        <v>12</v>
      </c>
      <c r="D266" s="22">
        <v>12599152.25625</v>
      </c>
    </row>
    <row r="267" spans="1:4" x14ac:dyDescent="0.25">
      <c r="A267">
        <v>1758</v>
      </c>
      <c r="B267" s="16">
        <v>43709</v>
      </c>
      <c r="C267" t="s">
        <v>12</v>
      </c>
      <c r="D267" s="22">
        <v>12599152.25625</v>
      </c>
    </row>
    <row r="268" spans="1:4" x14ac:dyDescent="0.25">
      <c r="A268">
        <v>1758</v>
      </c>
      <c r="B268" s="16">
        <v>43739</v>
      </c>
      <c r="C268" t="s">
        <v>12</v>
      </c>
      <c r="D268" s="22">
        <v>12599152.25625</v>
      </c>
    </row>
    <row r="269" spans="1:4" x14ac:dyDescent="0.25">
      <c r="A269">
        <v>1758</v>
      </c>
      <c r="B269" s="16">
        <v>43770</v>
      </c>
      <c r="C269" t="s">
        <v>12</v>
      </c>
      <c r="D269" s="22">
        <v>12599152.25625</v>
      </c>
    </row>
    <row r="270" spans="1:4" x14ac:dyDescent="0.25">
      <c r="A270">
        <v>1758</v>
      </c>
      <c r="B270" s="16">
        <v>43800</v>
      </c>
      <c r="C270" t="s">
        <v>12</v>
      </c>
      <c r="D270" s="22">
        <v>12599152.25625</v>
      </c>
    </row>
    <row r="271" spans="1:4" x14ac:dyDescent="0.25">
      <c r="A271">
        <v>1758</v>
      </c>
      <c r="B271" s="16">
        <v>43466</v>
      </c>
      <c r="C271" t="s">
        <v>125</v>
      </c>
      <c r="D271" s="22">
        <v>7005285</v>
      </c>
    </row>
    <row r="272" spans="1:4" x14ac:dyDescent="0.25">
      <c r="A272">
        <v>1758</v>
      </c>
      <c r="B272" s="16">
        <v>43497</v>
      </c>
      <c r="C272" t="s">
        <v>125</v>
      </c>
      <c r="D272" s="22">
        <v>7005285</v>
      </c>
    </row>
    <row r="273" spans="1:4" x14ac:dyDescent="0.25">
      <c r="A273">
        <v>1758</v>
      </c>
      <c r="B273" s="16">
        <v>43525</v>
      </c>
      <c r="C273" t="s">
        <v>125</v>
      </c>
      <c r="D273" s="22">
        <v>7005285</v>
      </c>
    </row>
    <row r="274" spans="1:4" x14ac:dyDescent="0.25">
      <c r="A274">
        <v>1758</v>
      </c>
      <c r="B274" s="16">
        <v>43556</v>
      </c>
      <c r="C274" t="s">
        <v>125</v>
      </c>
      <c r="D274" s="22">
        <v>7005285</v>
      </c>
    </row>
    <row r="275" spans="1:4" x14ac:dyDescent="0.25">
      <c r="A275">
        <v>1758</v>
      </c>
      <c r="B275" s="16">
        <v>43586</v>
      </c>
      <c r="C275" t="s">
        <v>125</v>
      </c>
      <c r="D275" s="22">
        <v>7005285</v>
      </c>
    </row>
    <row r="276" spans="1:4" x14ac:dyDescent="0.25">
      <c r="A276">
        <v>1758</v>
      </c>
      <c r="B276" s="16">
        <v>43617</v>
      </c>
      <c r="C276" t="s">
        <v>125</v>
      </c>
      <c r="D276" s="22">
        <v>7005285</v>
      </c>
    </row>
    <row r="277" spans="1:4" x14ac:dyDescent="0.25">
      <c r="A277">
        <v>1758</v>
      </c>
      <c r="B277" s="16">
        <v>43647</v>
      </c>
      <c r="C277" t="s">
        <v>125</v>
      </c>
      <c r="D277" s="22">
        <v>7005285</v>
      </c>
    </row>
    <row r="278" spans="1:4" x14ac:dyDescent="0.25">
      <c r="A278">
        <v>1758</v>
      </c>
      <c r="B278" s="16">
        <v>43678</v>
      </c>
      <c r="C278" t="s">
        <v>125</v>
      </c>
      <c r="D278" s="22">
        <v>7005285</v>
      </c>
    </row>
    <row r="279" spans="1:4" x14ac:dyDescent="0.25">
      <c r="A279">
        <v>1758</v>
      </c>
      <c r="B279" s="16">
        <v>43709</v>
      </c>
      <c r="C279" t="s">
        <v>125</v>
      </c>
      <c r="D279" s="22">
        <v>7005285</v>
      </c>
    </row>
    <row r="280" spans="1:4" x14ac:dyDescent="0.25">
      <c r="A280">
        <v>1758</v>
      </c>
      <c r="B280" s="16">
        <v>43739</v>
      </c>
      <c r="C280" t="s">
        <v>125</v>
      </c>
      <c r="D280" s="22">
        <v>7005285</v>
      </c>
    </row>
    <row r="281" spans="1:4" x14ac:dyDescent="0.25">
      <c r="A281">
        <v>1758</v>
      </c>
      <c r="B281" s="16">
        <v>43770</v>
      </c>
      <c r="C281" t="s">
        <v>125</v>
      </c>
      <c r="D281" s="22">
        <v>7005285</v>
      </c>
    </row>
    <row r="282" spans="1:4" x14ac:dyDescent="0.25">
      <c r="A282">
        <v>1758</v>
      </c>
      <c r="B282" s="16">
        <v>43800</v>
      </c>
      <c r="C282" t="s">
        <v>125</v>
      </c>
      <c r="D282" s="22">
        <v>7005285</v>
      </c>
    </row>
    <row r="283" spans="1:4" x14ac:dyDescent="0.25">
      <c r="A283">
        <v>1789</v>
      </c>
      <c r="B283" s="16">
        <v>43466</v>
      </c>
      <c r="C283" t="s">
        <v>19</v>
      </c>
      <c r="D283" s="22">
        <v>2727772.2</v>
      </c>
    </row>
    <row r="284" spans="1:4" x14ac:dyDescent="0.25">
      <c r="A284">
        <v>1789</v>
      </c>
      <c r="B284" s="16">
        <v>43466</v>
      </c>
      <c r="C284" t="s">
        <v>126</v>
      </c>
      <c r="D284" s="22">
        <v>8520078</v>
      </c>
    </row>
    <row r="285" spans="1:4" x14ac:dyDescent="0.25">
      <c r="A285">
        <v>1789</v>
      </c>
      <c r="B285" s="16">
        <v>43466</v>
      </c>
      <c r="C285" t="s">
        <v>127</v>
      </c>
      <c r="D285" s="22">
        <v>8520078</v>
      </c>
    </row>
    <row r="286" spans="1:4" x14ac:dyDescent="0.25">
      <c r="A286">
        <v>1789</v>
      </c>
      <c r="B286" s="16">
        <v>43466</v>
      </c>
      <c r="C286" t="s">
        <v>128</v>
      </c>
      <c r="D286" s="22">
        <v>4462096.5</v>
      </c>
    </row>
    <row r="287" spans="1:4" x14ac:dyDescent="0.25">
      <c r="A287">
        <v>1789</v>
      </c>
      <c r="B287" s="16">
        <v>43466</v>
      </c>
      <c r="C287" t="s">
        <v>39</v>
      </c>
      <c r="D287" s="22">
        <v>3872763</v>
      </c>
    </row>
    <row r="288" spans="1:4" x14ac:dyDescent="0.25">
      <c r="A288">
        <v>1802</v>
      </c>
      <c r="B288" s="16">
        <v>43466</v>
      </c>
      <c r="C288" t="s">
        <v>12</v>
      </c>
      <c r="D288" s="22">
        <v>11721250.800000001</v>
      </c>
    </row>
    <row r="289" spans="1:4" x14ac:dyDescent="0.25">
      <c r="A289">
        <v>1802</v>
      </c>
      <c r="B289" s="16">
        <v>43497</v>
      </c>
      <c r="C289" t="s">
        <v>12</v>
      </c>
      <c r="D289" s="22">
        <v>11721250.800000001</v>
      </c>
    </row>
    <row r="290" spans="1:4" x14ac:dyDescent="0.25">
      <c r="A290">
        <v>1802</v>
      </c>
      <c r="B290" s="16">
        <v>43525</v>
      </c>
      <c r="C290" t="s">
        <v>12</v>
      </c>
      <c r="D290" s="22">
        <v>11721250.800000001</v>
      </c>
    </row>
    <row r="291" spans="1:4" x14ac:dyDescent="0.25">
      <c r="A291">
        <v>1802</v>
      </c>
      <c r="B291" s="16">
        <v>43556</v>
      </c>
      <c r="C291" t="s">
        <v>12</v>
      </c>
      <c r="D291" s="22">
        <v>11721250.800000001</v>
      </c>
    </row>
    <row r="292" spans="1:4" x14ac:dyDescent="0.25">
      <c r="A292">
        <v>1802</v>
      </c>
      <c r="B292" s="16">
        <v>43586</v>
      </c>
      <c r="C292" t="s">
        <v>12</v>
      </c>
      <c r="D292" s="22">
        <v>11721250.800000001</v>
      </c>
    </row>
    <row r="293" spans="1:4" x14ac:dyDescent="0.25">
      <c r="A293">
        <v>1802</v>
      </c>
      <c r="B293" s="16">
        <v>43617</v>
      </c>
      <c r="C293" t="s">
        <v>12</v>
      </c>
      <c r="D293" s="22">
        <v>11721250.800000001</v>
      </c>
    </row>
    <row r="294" spans="1:4" x14ac:dyDescent="0.25">
      <c r="A294">
        <v>1802</v>
      </c>
      <c r="B294" s="16">
        <v>43647</v>
      </c>
      <c r="C294" t="s">
        <v>12</v>
      </c>
      <c r="D294" s="22">
        <v>11721250.800000001</v>
      </c>
    </row>
    <row r="295" spans="1:4" x14ac:dyDescent="0.25">
      <c r="A295">
        <v>1802</v>
      </c>
      <c r="B295" s="16">
        <v>43678</v>
      </c>
      <c r="C295" t="s">
        <v>12</v>
      </c>
      <c r="D295" s="22">
        <v>11721250.800000001</v>
      </c>
    </row>
    <row r="296" spans="1:4" x14ac:dyDescent="0.25">
      <c r="A296">
        <v>1802</v>
      </c>
      <c r="B296" s="16">
        <v>43466</v>
      </c>
      <c r="C296" t="s">
        <v>38</v>
      </c>
      <c r="D296" s="22">
        <v>3810634.5847499999</v>
      </c>
    </row>
    <row r="297" spans="1:4" x14ac:dyDescent="0.25">
      <c r="A297">
        <v>1802</v>
      </c>
      <c r="B297" s="16">
        <v>43497</v>
      </c>
      <c r="C297" t="s">
        <v>38</v>
      </c>
      <c r="D297" s="22">
        <v>3810634.5847499999</v>
      </c>
    </row>
    <row r="298" spans="1:4" x14ac:dyDescent="0.25">
      <c r="A298">
        <v>1802</v>
      </c>
      <c r="B298" s="16">
        <v>43525</v>
      </c>
      <c r="C298" t="s">
        <v>38</v>
      </c>
      <c r="D298" s="22">
        <v>3810634.5847499999</v>
      </c>
    </row>
    <row r="299" spans="1:4" x14ac:dyDescent="0.25">
      <c r="A299">
        <v>1802</v>
      </c>
      <c r="B299" s="16">
        <v>43556</v>
      </c>
      <c r="C299" t="s">
        <v>38</v>
      </c>
      <c r="D299" s="22">
        <v>3810634.5847499999</v>
      </c>
    </row>
    <row r="300" spans="1:4" x14ac:dyDescent="0.25">
      <c r="A300">
        <v>1802</v>
      </c>
      <c r="B300" s="16">
        <v>43586</v>
      </c>
      <c r="C300" t="s">
        <v>38</v>
      </c>
      <c r="D300" s="22">
        <v>3810634.5847499999</v>
      </c>
    </row>
    <row r="301" spans="1:4" x14ac:dyDescent="0.25">
      <c r="A301">
        <v>1802</v>
      </c>
      <c r="B301" s="16">
        <v>43617</v>
      </c>
      <c r="C301" t="s">
        <v>38</v>
      </c>
      <c r="D301" s="22">
        <v>3810634.5847499999</v>
      </c>
    </row>
    <row r="302" spans="1:4" x14ac:dyDescent="0.25">
      <c r="A302">
        <v>1802</v>
      </c>
      <c r="B302" s="16">
        <v>43647</v>
      </c>
      <c r="C302" t="s">
        <v>38</v>
      </c>
      <c r="D302" s="22">
        <v>3810634.5847499999</v>
      </c>
    </row>
    <row r="303" spans="1:4" x14ac:dyDescent="0.25">
      <c r="A303">
        <v>1802</v>
      </c>
      <c r="B303" s="16">
        <v>43466</v>
      </c>
      <c r="C303" t="s">
        <v>39</v>
      </c>
      <c r="D303" s="22">
        <v>5301459.45</v>
      </c>
    </row>
    <row r="304" spans="1:4" x14ac:dyDescent="0.25">
      <c r="A304">
        <v>1802</v>
      </c>
      <c r="B304" s="16">
        <v>43497</v>
      </c>
      <c r="C304" t="s">
        <v>39</v>
      </c>
      <c r="D304" s="22">
        <v>5301459.45</v>
      </c>
    </row>
    <row r="305" spans="1:4" x14ac:dyDescent="0.25">
      <c r="A305">
        <v>1802</v>
      </c>
      <c r="B305" s="16">
        <v>43525</v>
      </c>
      <c r="C305" t="s">
        <v>39</v>
      </c>
      <c r="D305" s="22">
        <v>5301459.45</v>
      </c>
    </row>
    <row r="306" spans="1:4" x14ac:dyDescent="0.25">
      <c r="A306">
        <v>1802</v>
      </c>
      <c r="B306" s="16">
        <v>43556</v>
      </c>
      <c r="C306" t="s">
        <v>39</v>
      </c>
      <c r="D306" s="22">
        <v>5301459.45</v>
      </c>
    </row>
    <row r="307" spans="1:4" x14ac:dyDescent="0.25">
      <c r="A307">
        <v>1802</v>
      </c>
      <c r="B307" s="16">
        <v>43586</v>
      </c>
      <c r="C307" t="s">
        <v>39</v>
      </c>
      <c r="D307" s="22">
        <v>5301459.45</v>
      </c>
    </row>
    <row r="308" spans="1:4" x14ac:dyDescent="0.25">
      <c r="A308">
        <v>1802</v>
      </c>
      <c r="B308" s="16">
        <v>43617</v>
      </c>
      <c r="C308" t="s">
        <v>39</v>
      </c>
      <c r="D308" s="22">
        <v>5301459.45</v>
      </c>
    </row>
    <row r="309" spans="1:4" x14ac:dyDescent="0.25">
      <c r="A309">
        <v>1802</v>
      </c>
      <c r="B309" s="16">
        <v>43647</v>
      </c>
      <c r="C309" t="s">
        <v>39</v>
      </c>
      <c r="D309" s="22">
        <v>5301459.45</v>
      </c>
    </row>
    <row r="310" spans="1:4" x14ac:dyDescent="0.25">
      <c r="A310">
        <v>1802</v>
      </c>
      <c r="B310" s="16">
        <v>43678</v>
      </c>
      <c r="C310" t="s">
        <v>39</v>
      </c>
      <c r="D310" s="22">
        <v>5301459.45</v>
      </c>
    </row>
    <row r="311" spans="1:4" x14ac:dyDescent="0.25">
      <c r="A311">
        <v>1802</v>
      </c>
      <c r="B311" s="16">
        <v>43466</v>
      </c>
      <c r="C311" t="s">
        <v>69</v>
      </c>
      <c r="D311" s="22">
        <v>4777683.75</v>
      </c>
    </row>
    <row r="312" spans="1:4" x14ac:dyDescent="0.25">
      <c r="A312">
        <v>1802</v>
      </c>
      <c r="B312" s="16">
        <v>43497</v>
      </c>
      <c r="C312" t="s">
        <v>69</v>
      </c>
      <c r="D312" s="22">
        <v>4777683.75</v>
      </c>
    </row>
    <row r="313" spans="1:4" x14ac:dyDescent="0.25">
      <c r="A313">
        <v>1802</v>
      </c>
      <c r="B313" s="16">
        <v>43525</v>
      </c>
      <c r="C313" t="s">
        <v>69</v>
      </c>
      <c r="D313" s="22">
        <v>4777683.75</v>
      </c>
    </row>
    <row r="314" spans="1:4" x14ac:dyDescent="0.25">
      <c r="A314">
        <v>1802</v>
      </c>
      <c r="B314" s="16">
        <v>43556</v>
      </c>
      <c r="C314" t="s">
        <v>69</v>
      </c>
      <c r="D314" s="22">
        <v>4777683.75</v>
      </c>
    </row>
    <row r="315" spans="1:4" x14ac:dyDescent="0.25">
      <c r="A315">
        <v>1802</v>
      </c>
      <c r="B315" s="16">
        <v>43586</v>
      </c>
      <c r="C315" t="s">
        <v>69</v>
      </c>
      <c r="D315" s="22">
        <v>4777683.75</v>
      </c>
    </row>
    <row r="316" spans="1:4" x14ac:dyDescent="0.25">
      <c r="A316">
        <v>1802</v>
      </c>
      <c r="B316" s="16">
        <v>43617</v>
      </c>
      <c r="C316" t="s">
        <v>69</v>
      </c>
      <c r="D316" s="22">
        <v>4777683.75</v>
      </c>
    </row>
    <row r="317" spans="1:4" x14ac:dyDescent="0.25">
      <c r="A317">
        <v>1802</v>
      </c>
      <c r="B317" s="16">
        <v>43647</v>
      </c>
      <c r="C317" t="s">
        <v>69</v>
      </c>
      <c r="D317" s="22">
        <v>4777683.75</v>
      </c>
    </row>
    <row r="318" spans="1:4" x14ac:dyDescent="0.25">
      <c r="A318">
        <v>1802</v>
      </c>
      <c r="B318" s="16">
        <v>43466</v>
      </c>
      <c r="C318" t="s">
        <v>26</v>
      </c>
      <c r="D318" s="22">
        <v>7255001.25</v>
      </c>
    </row>
    <row r="319" spans="1:4" x14ac:dyDescent="0.25">
      <c r="A319">
        <v>1802</v>
      </c>
      <c r="B319" s="16">
        <v>43497</v>
      </c>
      <c r="C319" t="s">
        <v>26</v>
      </c>
      <c r="D319" s="22">
        <v>7255001.25</v>
      </c>
    </row>
    <row r="320" spans="1:4" x14ac:dyDescent="0.25">
      <c r="A320">
        <v>1802</v>
      </c>
      <c r="B320" s="16">
        <v>43525</v>
      </c>
      <c r="C320" t="s">
        <v>26</v>
      </c>
      <c r="D320" s="22">
        <v>7255001.25</v>
      </c>
    </row>
    <row r="321" spans="1:4" x14ac:dyDescent="0.25">
      <c r="A321">
        <v>1802</v>
      </c>
      <c r="B321" s="16">
        <v>43556</v>
      </c>
      <c r="C321" t="s">
        <v>26</v>
      </c>
      <c r="D321" s="22">
        <v>7255001.25</v>
      </c>
    </row>
    <row r="322" spans="1:4" x14ac:dyDescent="0.25">
      <c r="A322">
        <v>1802</v>
      </c>
      <c r="B322" s="16">
        <v>43586</v>
      </c>
      <c r="C322" t="s">
        <v>26</v>
      </c>
      <c r="D322" s="22">
        <v>7255001.25</v>
      </c>
    </row>
    <row r="323" spans="1:4" x14ac:dyDescent="0.25">
      <c r="A323">
        <v>1802</v>
      </c>
      <c r="B323" s="16">
        <v>43617</v>
      </c>
      <c r="C323" t="s">
        <v>26</v>
      </c>
      <c r="D323" s="22">
        <v>7255001.25</v>
      </c>
    </row>
    <row r="324" spans="1:4" x14ac:dyDescent="0.25">
      <c r="A324">
        <v>1802</v>
      </c>
      <c r="B324" s="16">
        <v>43647</v>
      </c>
      <c r="C324" t="s">
        <v>26</v>
      </c>
      <c r="D324" s="22">
        <v>7255001.25</v>
      </c>
    </row>
    <row r="325" spans="1:4" x14ac:dyDescent="0.25">
      <c r="A325">
        <v>1802</v>
      </c>
      <c r="B325" s="16">
        <v>43678</v>
      </c>
      <c r="C325" t="s">
        <v>26</v>
      </c>
      <c r="D325" s="22">
        <v>7255001.25</v>
      </c>
    </row>
    <row r="326" spans="1:4" x14ac:dyDescent="0.25">
      <c r="A326">
        <v>1802</v>
      </c>
      <c r="B326" s="16">
        <v>43709</v>
      </c>
      <c r="C326" t="s">
        <v>26</v>
      </c>
      <c r="D326" s="22">
        <v>7255001.25</v>
      </c>
    </row>
    <row r="327" spans="1:4" x14ac:dyDescent="0.25">
      <c r="A327">
        <v>1802</v>
      </c>
      <c r="B327" s="16">
        <v>43739</v>
      </c>
      <c r="C327" t="s">
        <v>26</v>
      </c>
      <c r="D327" s="22">
        <v>7255001.25</v>
      </c>
    </row>
    <row r="328" spans="1:4" x14ac:dyDescent="0.25">
      <c r="A328">
        <v>1802</v>
      </c>
      <c r="B328" s="16">
        <v>43770</v>
      </c>
      <c r="C328" t="s">
        <v>26</v>
      </c>
      <c r="D328" s="22">
        <v>7255001.25</v>
      </c>
    </row>
    <row r="329" spans="1:4" x14ac:dyDescent="0.25">
      <c r="A329">
        <v>1802</v>
      </c>
      <c r="B329" s="16">
        <v>43800</v>
      </c>
      <c r="C329" t="s">
        <v>26</v>
      </c>
      <c r="D329" s="22">
        <v>7255001.25</v>
      </c>
    </row>
    <row r="330" spans="1:4" x14ac:dyDescent="0.25">
      <c r="A330">
        <v>1818</v>
      </c>
      <c r="B330" s="16">
        <v>43466</v>
      </c>
      <c r="C330" t="s">
        <v>19</v>
      </c>
      <c r="D330" s="22">
        <v>4704455.7</v>
      </c>
    </row>
    <row r="331" spans="1:4" x14ac:dyDescent="0.25">
      <c r="A331">
        <v>1818</v>
      </c>
      <c r="B331" s="16">
        <v>43497</v>
      </c>
      <c r="C331" t="s">
        <v>19</v>
      </c>
      <c r="D331" s="22">
        <v>4704455.7</v>
      </c>
    </row>
    <row r="332" spans="1:4" x14ac:dyDescent="0.25">
      <c r="A332">
        <v>1818</v>
      </c>
      <c r="B332" s="16">
        <v>43525</v>
      </c>
      <c r="C332" t="s">
        <v>19</v>
      </c>
      <c r="D332" s="22">
        <v>4704455.7</v>
      </c>
    </row>
    <row r="333" spans="1:4" x14ac:dyDescent="0.25">
      <c r="A333">
        <v>1818</v>
      </c>
      <c r="B333" s="16">
        <v>43556</v>
      </c>
      <c r="C333" t="s">
        <v>19</v>
      </c>
      <c r="D333" s="22">
        <v>4704455.7</v>
      </c>
    </row>
    <row r="334" spans="1:4" x14ac:dyDescent="0.25">
      <c r="A334">
        <v>1818</v>
      </c>
      <c r="B334" s="16">
        <v>43586</v>
      </c>
      <c r="C334" t="s">
        <v>19</v>
      </c>
      <c r="D334" s="22">
        <v>4704455.7</v>
      </c>
    </row>
    <row r="335" spans="1:4" x14ac:dyDescent="0.25">
      <c r="A335">
        <v>1818</v>
      </c>
      <c r="B335" s="16">
        <v>43617</v>
      </c>
      <c r="C335" t="s">
        <v>19</v>
      </c>
      <c r="D335" s="22">
        <v>4704455.7</v>
      </c>
    </row>
    <row r="336" spans="1:4" x14ac:dyDescent="0.25">
      <c r="A336">
        <v>1818</v>
      </c>
      <c r="B336" s="16">
        <v>43647</v>
      </c>
      <c r="C336" t="s">
        <v>19</v>
      </c>
      <c r="D336" s="22">
        <v>4704455.7</v>
      </c>
    </row>
    <row r="337" spans="1:4" x14ac:dyDescent="0.25">
      <c r="A337">
        <v>1818</v>
      </c>
      <c r="B337" s="16">
        <v>43678</v>
      </c>
      <c r="C337" t="s">
        <v>19</v>
      </c>
      <c r="D337" s="22">
        <v>4704455.7</v>
      </c>
    </row>
    <row r="338" spans="1:4" x14ac:dyDescent="0.25">
      <c r="A338">
        <v>1818</v>
      </c>
      <c r="B338" s="16">
        <v>43709</v>
      </c>
      <c r="C338" t="s">
        <v>19</v>
      </c>
      <c r="D338" s="22">
        <v>4704455.7</v>
      </c>
    </row>
    <row r="339" spans="1:4" x14ac:dyDescent="0.25">
      <c r="A339">
        <v>1818</v>
      </c>
      <c r="B339" s="16">
        <v>43739</v>
      </c>
      <c r="C339" t="s">
        <v>19</v>
      </c>
      <c r="D339" s="22">
        <v>4704455.7</v>
      </c>
    </row>
    <row r="340" spans="1:4" x14ac:dyDescent="0.25">
      <c r="A340">
        <v>1818</v>
      </c>
      <c r="B340" s="16">
        <v>43770</v>
      </c>
      <c r="C340" t="s">
        <v>19</v>
      </c>
      <c r="D340" s="22">
        <v>4704455.7</v>
      </c>
    </row>
    <row r="341" spans="1:4" x14ac:dyDescent="0.25">
      <c r="A341">
        <v>1818</v>
      </c>
      <c r="B341" s="16">
        <v>43800</v>
      </c>
      <c r="C341" t="s">
        <v>19</v>
      </c>
      <c r="D341" s="22">
        <v>4704455.7</v>
      </c>
    </row>
    <row r="342" spans="1:4" x14ac:dyDescent="0.25">
      <c r="A342">
        <v>1818</v>
      </c>
      <c r="B342" s="16">
        <v>43466</v>
      </c>
      <c r="C342" t="s">
        <v>12</v>
      </c>
      <c r="D342" s="22">
        <v>8351437.5</v>
      </c>
    </row>
    <row r="343" spans="1:4" x14ac:dyDescent="0.25">
      <c r="A343">
        <v>1818</v>
      </c>
      <c r="B343" s="16">
        <v>43497</v>
      </c>
      <c r="C343" t="s">
        <v>12</v>
      </c>
      <c r="D343" s="22">
        <v>8351437.5</v>
      </c>
    </row>
    <row r="344" spans="1:4" x14ac:dyDescent="0.25">
      <c r="A344">
        <v>1818</v>
      </c>
      <c r="B344" s="16">
        <v>43525</v>
      </c>
      <c r="C344" t="s">
        <v>12</v>
      </c>
      <c r="D344" s="22">
        <v>8351437.5</v>
      </c>
    </row>
    <row r="345" spans="1:4" x14ac:dyDescent="0.25">
      <c r="A345">
        <v>1818</v>
      </c>
      <c r="B345" s="16">
        <v>43556</v>
      </c>
      <c r="C345" t="s">
        <v>12</v>
      </c>
      <c r="D345" s="22">
        <v>8351437.5</v>
      </c>
    </row>
    <row r="346" spans="1:4" x14ac:dyDescent="0.25">
      <c r="A346">
        <v>1818</v>
      </c>
      <c r="B346" s="16">
        <v>43586</v>
      </c>
      <c r="C346" t="s">
        <v>12</v>
      </c>
      <c r="D346" s="22">
        <v>8351437.5</v>
      </c>
    </row>
    <row r="347" spans="1:4" x14ac:dyDescent="0.25">
      <c r="A347">
        <v>1818</v>
      </c>
      <c r="B347" s="16">
        <v>43617</v>
      </c>
      <c r="C347" t="s">
        <v>12</v>
      </c>
      <c r="D347" s="22">
        <v>8351437.5</v>
      </c>
    </row>
    <row r="348" spans="1:4" x14ac:dyDescent="0.25">
      <c r="A348">
        <v>1818</v>
      </c>
      <c r="B348" s="16">
        <v>43647</v>
      </c>
      <c r="C348" t="s">
        <v>12</v>
      </c>
      <c r="D348" s="22">
        <v>8351437.5</v>
      </c>
    </row>
    <row r="349" spans="1:4" x14ac:dyDescent="0.25">
      <c r="A349">
        <v>1818</v>
      </c>
      <c r="B349" s="16">
        <v>43678</v>
      </c>
      <c r="C349" t="s">
        <v>12</v>
      </c>
      <c r="D349" s="22">
        <v>8351437.5</v>
      </c>
    </row>
    <row r="350" spans="1:4" x14ac:dyDescent="0.25">
      <c r="A350">
        <v>1818</v>
      </c>
      <c r="B350" s="16">
        <v>43709</v>
      </c>
      <c r="C350" t="s">
        <v>12</v>
      </c>
      <c r="D350" s="22">
        <v>8351437.5</v>
      </c>
    </row>
    <row r="351" spans="1:4" x14ac:dyDescent="0.25">
      <c r="A351">
        <v>1818</v>
      </c>
      <c r="B351" s="16">
        <v>43739</v>
      </c>
      <c r="C351" t="s">
        <v>12</v>
      </c>
      <c r="D351" s="22">
        <v>8351437.5</v>
      </c>
    </row>
    <row r="352" spans="1:4" x14ac:dyDescent="0.25">
      <c r="A352">
        <v>1818</v>
      </c>
      <c r="B352" s="16">
        <v>43770</v>
      </c>
      <c r="C352" t="s">
        <v>12</v>
      </c>
      <c r="D352" s="22">
        <v>8351437.5</v>
      </c>
    </row>
    <row r="353" spans="1:4" x14ac:dyDescent="0.25">
      <c r="A353">
        <v>1818</v>
      </c>
      <c r="B353" s="16">
        <v>43800</v>
      </c>
      <c r="C353" t="s">
        <v>12</v>
      </c>
      <c r="D353" s="22">
        <v>8351437.5</v>
      </c>
    </row>
    <row r="354" spans="1:4" x14ac:dyDescent="0.25">
      <c r="A354">
        <v>1818</v>
      </c>
      <c r="B354" s="16">
        <v>43466</v>
      </c>
      <c r="C354" t="s">
        <v>132</v>
      </c>
      <c r="D354" s="22">
        <v>2356593.75</v>
      </c>
    </row>
    <row r="355" spans="1:4" x14ac:dyDescent="0.25">
      <c r="A355">
        <v>1818</v>
      </c>
      <c r="B355" s="16">
        <v>43497</v>
      </c>
      <c r="C355" t="s">
        <v>132</v>
      </c>
      <c r="D355" s="22">
        <v>2356593.75</v>
      </c>
    </row>
    <row r="356" spans="1:4" x14ac:dyDescent="0.25">
      <c r="A356">
        <v>1818</v>
      </c>
      <c r="B356" s="16">
        <v>43525</v>
      </c>
      <c r="C356" t="s">
        <v>132</v>
      </c>
      <c r="D356" s="22">
        <v>2356593.75</v>
      </c>
    </row>
    <row r="357" spans="1:4" x14ac:dyDescent="0.25">
      <c r="A357">
        <v>1818</v>
      </c>
      <c r="B357" s="16">
        <v>43556</v>
      </c>
      <c r="C357" t="s">
        <v>132</v>
      </c>
      <c r="D357" s="22">
        <v>2356593.75</v>
      </c>
    </row>
    <row r="358" spans="1:4" x14ac:dyDescent="0.25">
      <c r="A358">
        <v>1818</v>
      </c>
      <c r="B358" s="16">
        <v>43586</v>
      </c>
      <c r="C358" t="s">
        <v>132</v>
      </c>
      <c r="D358" s="22">
        <v>2356593.75</v>
      </c>
    </row>
    <row r="359" spans="1:4" x14ac:dyDescent="0.25">
      <c r="A359">
        <v>1818</v>
      </c>
      <c r="B359" s="16">
        <v>43617</v>
      </c>
      <c r="C359" t="s">
        <v>132</v>
      </c>
      <c r="D359" s="22">
        <v>2356593.75</v>
      </c>
    </row>
    <row r="360" spans="1:4" x14ac:dyDescent="0.25">
      <c r="A360">
        <v>1818</v>
      </c>
      <c r="B360" s="16">
        <v>43466</v>
      </c>
      <c r="C360" t="s">
        <v>38</v>
      </c>
      <c r="D360" s="22">
        <v>3786425.9999999995</v>
      </c>
    </row>
    <row r="361" spans="1:4" x14ac:dyDescent="0.25">
      <c r="A361">
        <v>1818</v>
      </c>
      <c r="B361" s="16">
        <v>43497</v>
      </c>
      <c r="C361" t="s">
        <v>38</v>
      </c>
      <c r="D361" s="22">
        <v>3786425.9999999995</v>
      </c>
    </row>
    <row r="362" spans="1:4" x14ac:dyDescent="0.25">
      <c r="A362">
        <v>1818</v>
      </c>
      <c r="B362" s="16">
        <v>43525</v>
      </c>
      <c r="C362" t="s">
        <v>38</v>
      </c>
      <c r="D362" s="22">
        <v>3786425.9999999995</v>
      </c>
    </row>
    <row r="363" spans="1:4" x14ac:dyDescent="0.25">
      <c r="A363">
        <v>1818</v>
      </c>
      <c r="B363" s="16">
        <v>43556</v>
      </c>
      <c r="C363" t="s">
        <v>38</v>
      </c>
      <c r="D363" s="22">
        <v>3786425.9999999995</v>
      </c>
    </row>
    <row r="364" spans="1:4" x14ac:dyDescent="0.25">
      <c r="A364">
        <v>1818</v>
      </c>
      <c r="B364" s="16">
        <v>43586</v>
      </c>
      <c r="C364" t="s">
        <v>38</v>
      </c>
      <c r="D364" s="22">
        <v>3786425.9999999995</v>
      </c>
    </row>
    <row r="365" spans="1:4" x14ac:dyDescent="0.25">
      <c r="A365">
        <v>1818</v>
      </c>
      <c r="B365" s="16">
        <v>43617</v>
      </c>
      <c r="C365" t="s">
        <v>38</v>
      </c>
      <c r="D365" s="22">
        <v>3786425.9999999995</v>
      </c>
    </row>
    <row r="366" spans="1:4" x14ac:dyDescent="0.25">
      <c r="A366">
        <v>1818</v>
      </c>
      <c r="B366" s="16">
        <v>43647</v>
      </c>
      <c r="C366" t="s">
        <v>38</v>
      </c>
      <c r="D366" s="22">
        <v>3786425.9999999995</v>
      </c>
    </row>
    <row r="367" spans="1:4" x14ac:dyDescent="0.25">
      <c r="A367">
        <v>1818</v>
      </c>
      <c r="B367" s="16">
        <v>43678</v>
      </c>
      <c r="C367" t="s">
        <v>38</v>
      </c>
      <c r="D367" s="22">
        <v>3786425.9999999995</v>
      </c>
    </row>
    <row r="368" spans="1:4" x14ac:dyDescent="0.25">
      <c r="A368">
        <v>1818</v>
      </c>
      <c r="B368" s="16">
        <v>43709</v>
      </c>
      <c r="C368" t="s">
        <v>38</v>
      </c>
      <c r="D368" s="22">
        <v>3786425.9999999995</v>
      </c>
    </row>
    <row r="369" spans="1:4" x14ac:dyDescent="0.25">
      <c r="A369">
        <v>1818</v>
      </c>
      <c r="B369" s="16">
        <v>43739</v>
      </c>
      <c r="C369" t="s">
        <v>38</v>
      </c>
      <c r="D369" s="22">
        <v>3786425.9999999995</v>
      </c>
    </row>
    <row r="370" spans="1:4" x14ac:dyDescent="0.25">
      <c r="A370">
        <v>1818</v>
      </c>
      <c r="B370" s="16">
        <v>43770</v>
      </c>
      <c r="C370" t="s">
        <v>38</v>
      </c>
      <c r="D370" s="22">
        <v>3786425.9999999995</v>
      </c>
    </row>
    <row r="371" spans="1:4" x14ac:dyDescent="0.25">
      <c r="A371">
        <v>1818</v>
      </c>
      <c r="B371" s="16">
        <v>43466</v>
      </c>
      <c r="C371" t="s">
        <v>39</v>
      </c>
      <c r="D371" s="22">
        <v>3853237.5</v>
      </c>
    </row>
    <row r="372" spans="1:4" x14ac:dyDescent="0.25">
      <c r="A372">
        <v>1818</v>
      </c>
      <c r="B372" s="16">
        <v>43497</v>
      </c>
      <c r="C372" t="s">
        <v>39</v>
      </c>
      <c r="D372" s="22">
        <v>3853237.5</v>
      </c>
    </row>
    <row r="373" spans="1:4" x14ac:dyDescent="0.25">
      <c r="A373">
        <v>1818</v>
      </c>
      <c r="B373" s="16">
        <v>43525</v>
      </c>
      <c r="C373" t="s">
        <v>39</v>
      </c>
      <c r="D373" s="22">
        <v>3853237.5</v>
      </c>
    </row>
    <row r="374" spans="1:4" x14ac:dyDescent="0.25">
      <c r="A374">
        <v>1818</v>
      </c>
      <c r="B374" s="16">
        <v>43556</v>
      </c>
      <c r="C374" t="s">
        <v>39</v>
      </c>
      <c r="D374" s="22">
        <v>3853237.5</v>
      </c>
    </row>
    <row r="375" spans="1:4" x14ac:dyDescent="0.25">
      <c r="A375">
        <v>1818</v>
      </c>
      <c r="B375" s="16">
        <v>43586</v>
      </c>
      <c r="C375" t="s">
        <v>39</v>
      </c>
      <c r="D375" s="22">
        <v>3853237.5</v>
      </c>
    </row>
    <row r="376" spans="1:4" x14ac:dyDescent="0.25">
      <c r="A376">
        <v>1818</v>
      </c>
      <c r="B376" s="16">
        <v>43617</v>
      </c>
      <c r="C376" t="s">
        <v>39</v>
      </c>
      <c r="D376" s="22">
        <v>3853237.5</v>
      </c>
    </row>
    <row r="377" spans="1:4" x14ac:dyDescent="0.25">
      <c r="A377">
        <v>1818</v>
      </c>
      <c r="B377" s="16">
        <v>43647</v>
      </c>
      <c r="C377" t="s">
        <v>39</v>
      </c>
      <c r="D377" s="22">
        <v>3853237.5</v>
      </c>
    </row>
    <row r="378" spans="1:4" x14ac:dyDescent="0.25">
      <c r="A378">
        <v>1818</v>
      </c>
      <c r="B378" s="16">
        <v>43678</v>
      </c>
      <c r="C378" t="s">
        <v>39</v>
      </c>
      <c r="D378" s="22">
        <v>3853237.5</v>
      </c>
    </row>
    <row r="379" spans="1:4" x14ac:dyDescent="0.25">
      <c r="A379">
        <v>1818</v>
      </c>
      <c r="B379" s="16">
        <v>43709</v>
      </c>
      <c r="C379" t="s">
        <v>39</v>
      </c>
      <c r="D379" s="22">
        <v>3853237.5</v>
      </c>
    </row>
    <row r="380" spans="1:4" x14ac:dyDescent="0.25">
      <c r="A380">
        <v>1818</v>
      </c>
      <c r="B380" s="16">
        <v>43739</v>
      </c>
      <c r="C380" t="s">
        <v>39</v>
      </c>
      <c r="D380" s="22">
        <v>3853237.5</v>
      </c>
    </row>
    <row r="381" spans="1:4" x14ac:dyDescent="0.25">
      <c r="A381">
        <v>1818</v>
      </c>
      <c r="B381" s="16">
        <v>43770</v>
      </c>
      <c r="C381" t="s">
        <v>39</v>
      </c>
      <c r="D381" s="22">
        <v>3853237.5</v>
      </c>
    </row>
    <row r="382" spans="1:4" x14ac:dyDescent="0.25">
      <c r="A382">
        <v>1818</v>
      </c>
      <c r="B382" s="16">
        <v>43800</v>
      </c>
      <c r="C382" t="s">
        <v>39</v>
      </c>
      <c r="D382" s="22">
        <v>3853237.5</v>
      </c>
    </row>
    <row r="383" spans="1:4" x14ac:dyDescent="0.25">
      <c r="A383">
        <v>1829</v>
      </c>
      <c r="B383" s="16">
        <v>43466</v>
      </c>
      <c r="C383" t="s">
        <v>19</v>
      </c>
      <c r="D383" s="22">
        <v>3811675.6440000003</v>
      </c>
    </row>
    <row r="384" spans="1:4" x14ac:dyDescent="0.25">
      <c r="A384">
        <v>1829</v>
      </c>
      <c r="B384" s="16">
        <v>43497</v>
      </c>
      <c r="C384" t="s">
        <v>19</v>
      </c>
      <c r="D384" s="22">
        <v>3811675.6440000003</v>
      </c>
    </row>
    <row r="385" spans="1:4" x14ac:dyDescent="0.25">
      <c r="A385">
        <v>1829</v>
      </c>
      <c r="B385" s="16">
        <v>43525</v>
      </c>
      <c r="C385" t="s">
        <v>19</v>
      </c>
      <c r="D385" s="22">
        <v>3811675.6440000003</v>
      </c>
    </row>
    <row r="386" spans="1:4" x14ac:dyDescent="0.25">
      <c r="A386">
        <v>1829</v>
      </c>
      <c r="B386" s="16">
        <v>43556</v>
      </c>
      <c r="C386" t="s">
        <v>19</v>
      </c>
      <c r="D386" s="22">
        <v>3811675.6440000003</v>
      </c>
    </row>
    <row r="387" spans="1:4" x14ac:dyDescent="0.25">
      <c r="A387">
        <v>1829</v>
      </c>
      <c r="B387" s="16">
        <v>43586</v>
      </c>
      <c r="C387" t="s">
        <v>19</v>
      </c>
      <c r="D387" s="22">
        <v>3811675.6440000003</v>
      </c>
    </row>
    <row r="388" spans="1:4" x14ac:dyDescent="0.25">
      <c r="A388">
        <v>1829</v>
      </c>
      <c r="B388" s="16">
        <v>43617</v>
      </c>
      <c r="C388" t="s">
        <v>19</v>
      </c>
      <c r="D388" s="22">
        <v>3811675.6440000003</v>
      </c>
    </row>
    <row r="389" spans="1:4" x14ac:dyDescent="0.25">
      <c r="A389">
        <v>1829</v>
      </c>
      <c r="B389" s="16">
        <v>43647</v>
      </c>
      <c r="C389" t="s">
        <v>19</v>
      </c>
      <c r="D389" s="22">
        <v>3811675.6440000003</v>
      </c>
    </row>
    <row r="390" spans="1:4" x14ac:dyDescent="0.25">
      <c r="A390">
        <v>1829</v>
      </c>
      <c r="B390" s="16">
        <v>43678</v>
      </c>
      <c r="C390" t="s">
        <v>19</v>
      </c>
      <c r="D390" s="22">
        <v>3811675.6440000003</v>
      </c>
    </row>
    <row r="391" spans="1:4" x14ac:dyDescent="0.25">
      <c r="A391">
        <v>1829</v>
      </c>
      <c r="B391" s="16">
        <v>43709</v>
      </c>
      <c r="C391" t="s">
        <v>19</v>
      </c>
      <c r="D391" s="22">
        <v>3811675.6440000003</v>
      </c>
    </row>
    <row r="392" spans="1:4" x14ac:dyDescent="0.25">
      <c r="A392">
        <v>1829</v>
      </c>
      <c r="B392" s="16">
        <v>43739</v>
      </c>
      <c r="C392" t="s">
        <v>19</v>
      </c>
      <c r="D392" s="22">
        <v>3811675.6440000003</v>
      </c>
    </row>
    <row r="393" spans="1:4" x14ac:dyDescent="0.25">
      <c r="A393">
        <v>1829</v>
      </c>
      <c r="B393" s="16">
        <v>43770</v>
      </c>
      <c r="C393" t="s">
        <v>19</v>
      </c>
      <c r="D393" s="22">
        <v>3811675.6440000003</v>
      </c>
    </row>
    <row r="394" spans="1:4" x14ac:dyDescent="0.25">
      <c r="A394">
        <v>1829</v>
      </c>
      <c r="B394" s="16">
        <v>43800</v>
      </c>
      <c r="C394" t="s">
        <v>19</v>
      </c>
      <c r="D394" s="22">
        <v>3811675.6440000003</v>
      </c>
    </row>
    <row r="395" spans="1:4" x14ac:dyDescent="0.25">
      <c r="A395">
        <v>1829</v>
      </c>
      <c r="B395" s="16">
        <v>43831</v>
      </c>
      <c r="C395" t="s">
        <v>19</v>
      </c>
      <c r="D395" s="22">
        <v>3811675.6440000003</v>
      </c>
    </row>
    <row r="396" spans="1:4" x14ac:dyDescent="0.25">
      <c r="A396">
        <v>1829</v>
      </c>
      <c r="B396" s="16">
        <v>43862</v>
      </c>
      <c r="C396" t="s">
        <v>19</v>
      </c>
      <c r="D396" s="22">
        <v>3811675.6440000003</v>
      </c>
    </row>
    <row r="397" spans="1:4" x14ac:dyDescent="0.25">
      <c r="A397">
        <v>1829</v>
      </c>
      <c r="B397" s="16">
        <v>43891</v>
      </c>
      <c r="C397" t="s">
        <v>19</v>
      </c>
      <c r="D397" s="22">
        <v>3811675.6440000003</v>
      </c>
    </row>
    <row r="398" spans="1:4" x14ac:dyDescent="0.25">
      <c r="A398">
        <v>1829</v>
      </c>
      <c r="B398" s="16">
        <v>43922</v>
      </c>
      <c r="C398" t="s">
        <v>19</v>
      </c>
      <c r="D398" s="22">
        <v>3811675.6440000003</v>
      </c>
    </row>
    <row r="399" spans="1:4" x14ac:dyDescent="0.25">
      <c r="A399">
        <v>1829</v>
      </c>
      <c r="B399" s="16">
        <v>43952</v>
      </c>
      <c r="C399" t="s">
        <v>19</v>
      </c>
      <c r="D399" s="22">
        <v>3811675.6440000003</v>
      </c>
    </row>
    <row r="400" spans="1:4" x14ac:dyDescent="0.25">
      <c r="A400">
        <v>1829</v>
      </c>
      <c r="B400" s="16">
        <v>43983</v>
      </c>
      <c r="C400" t="s">
        <v>19</v>
      </c>
      <c r="D400" s="22">
        <v>3811675.6440000003</v>
      </c>
    </row>
    <row r="401" spans="1:4" x14ac:dyDescent="0.25">
      <c r="A401">
        <v>1829</v>
      </c>
      <c r="B401" s="16">
        <v>43466</v>
      </c>
      <c r="C401" t="s">
        <v>139</v>
      </c>
      <c r="D401" s="22">
        <v>7505662.5</v>
      </c>
    </row>
    <row r="402" spans="1:4" x14ac:dyDescent="0.25">
      <c r="A402">
        <v>1829</v>
      </c>
      <c r="B402" s="16">
        <v>43497</v>
      </c>
      <c r="C402" t="s">
        <v>139</v>
      </c>
      <c r="D402" s="22">
        <v>7505662.5</v>
      </c>
    </row>
    <row r="403" spans="1:4" x14ac:dyDescent="0.25">
      <c r="A403">
        <v>1829</v>
      </c>
      <c r="B403" s="16">
        <v>43525</v>
      </c>
      <c r="C403" t="s">
        <v>139</v>
      </c>
      <c r="D403" s="22">
        <v>7505662.5</v>
      </c>
    </row>
    <row r="404" spans="1:4" x14ac:dyDescent="0.25">
      <c r="A404">
        <v>1829</v>
      </c>
      <c r="B404" s="16">
        <v>43556</v>
      </c>
      <c r="C404" t="s">
        <v>139</v>
      </c>
      <c r="D404" s="22">
        <v>7505662.5</v>
      </c>
    </row>
    <row r="405" spans="1:4" x14ac:dyDescent="0.25">
      <c r="A405">
        <v>1829</v>
      </c>
      <c r="B405" s="16">
        <v>43586</v>
      </c>
      <c r="C405" t="s">
        <v>139</v>
      </c>
      <c r="D405" s="22">
        <v>7505662.5</v>
      </c>
    </row>
    <row r="406" spans="1:4" x14ac:dyDescent="0.25">
      <c r="A406">
        <v>1829</v>
      </c>
      <c r="B406" s="16">
        <v>43617</v>
      </c>
      <c r="C406" t="s">
        <v>139</v>
      </c>
      <c r="D406" s="22">
        <v>7505662.5</v>
      </c>
    </row>
    <row r="407" spans="1:4" x14ac:dyDescent="0.25">
      <c r="A407">
        <v>1829</v>
      </c>
      <c r="B407" s="16">
        <v>43647</v>
      </c>
      <c r="C407" t="s">
        <v>139</v>
      </c>
      <c r="D407" s="22">
        <v>7505662.5</v>
      </c>
    </row>
    <row r="408" spans="1:4" x14ac:dyDescent="0.25">
      <c r="A408">
        <v>1829</v>
      </c>
      <c r="B408" s="16">
        <v>43678</v>
      </c>
      <c r="C408" t="s">
        <v>139</v>
      </c>
      <c r="D408" s="22">
        <v>7505662.5</v>
      </c>
    </row>
    <row r="409" spans="1:4" x14ac:dyDescent="0.25">
      <c r="A409">
        <v>1829</v>
      </c>
      <c r="B409" s="16">
        <v>43709</v>
      </c>
      <c r="C409" t="s">
        <v>139</v>
      </c>
      <c r="D409" s="22">
        <v>7505662.5</v>
      </c>
    </row>
    <row r="410" spans="1:4" x14ac:dyDescent="0.25">
      <c r="A410">
        <v>1829</v>
      </c>
      <c r="B410" s="16">
        <v>43739</v>
      </c>
      <c r="C410" t="s">
        <v>139</v>
      </c>
      <c r="D410" s="22">
        <v>7505662.5</v>
      </c>
    </row>
    <row r="411" spans="1:4" x14ac:dyDescent="0.25">
      <c r="A411">
        <v>1829</v>
      </c>
      <c r="B411" s="16">
        <v>43770</v>
      </c>
      <c r="C411" t="s">
        <v>139</v>
      </c>
      <c r="D411" s="22">
        <v>7505662.5</v>
      </c>
    </row>
    <row r="412" spans="1:4" x14ac:dyDescent="0.25">
      <c r="A412">
        <v>1829</v>
      </c>
      <c r="B412" s="16">
        <v>43800</v>
      </c>
      <c r="C412" t="s">
        <v>139</v>
      </c>
      <c r="D412" s="22">
        <v>7505662.5</v>
      </c>
    </row>
    <row r="413" spans="1:4" x14ac:dyDescent="0.25">
      <c r="A413">
        <v>1829</v>
      </c>
      <c r="B413" s="16">
        <v>43831</v>
      </c>
      <c r="C413" t="s">
        <v>139</v>
      </c>
      <c r="D413" s="22">
        <v>7505662.5</v>
      </c>
    </row>
    <row r="414" spans="1:4" x14ac:dyDescent="0.25">
      <c r="A414">
        <v>1829</v>
      </c>
      <c r="B414" s="16">
        <v>43862</v>
      </c>
      <c r="C414" t="s">
        <v>139</v>
      </c>
      <c r="D414" s="22">
        <v>7505662.5</v>
      </c>
    </row>
    <row r="415" spans="1:4" x14ac:dyDescent="0.25">
      <c r="A415">
        <v>1829</v>
      </c>
      <c r="B415" s="16">
        <v>43891</v>
      </c>
      <c r="C415" t="s">
        <v>139</v>
      </c>
      <c r="D415" s="22">
        <v>7505662.5</v>
      </c>
    </row>
    <row r="416" spans="1:4" x14ac:dyDescent="0.25">
      <c r="A416">
        <v>1829</v>
      </c>
      <c r="B416" s="16">
        <v>43922</v>
      </c>
      <c r="C416" t="s">
        <v>139</v>
      </c>
      <c r="D416" s="22">
        <v>7505662.5</v>
      </c>
    </row>
    <row r="417" spans="1:4" x14ac:dyDescent="0.25">
      <c r="A417">
        <v>1829</v>
      </c>
      <c r="B417" s="16">
        <v>43952</v>
      </c>
      <c r="C417" t="s">
        <v>139</v>
      </c>
      <c r="D417" s="22">
        <v>7505662.5</v>
      </c>
    </row>
    <row r="418" spans="1:4" x14ac:dyDescent="0.25">
      <c r="A418">
        <v>1829</v>
      </c>
      <c r="B418" s="16">
        <v>43466</v>
      </c>
      <c r="C418" t="s">
        <v>12</v>
      </c>
      <c r="D418" s="22">
        <v>17112910.5</v>
      </c>
    </row>
    <row r="419" spans="1:4" x14ac:dyDescent="0.25">
      <c r="A419">
        <v>1829</v>
      </c>
      <c r="B419" s="16">
        <v>43497</v>
      </c>
      <c r="C419" t="s">
        <v>12</v>
      </c>
      <c r="D419" s="22">
        <v>17112910.5</v>
      </c>
    </row>
    <row r="420" spans="1:4" x14ac:dyDescent="0.25">
      <c r="A420">
        <v>1829</v>
      </c>
      <c r="B420" s="16">
        <v>43525</v>
      </c>
      <c r="C420" t="s">
        <v>12</v>
      </c>
      <c r="D420" s="22">
        <v>17112910.5</v>
      </c>
    </row>
    <row r="421" spans="1:4" x14ac:dyDescent="0.25">
      <c r="A421">
        <v>1829</v>
      </c>
      <c r="B421" s="16">
        <v>43556</v>
      </c>
      <c r="C421" t="s">
        <v>12</v>
      </c>
      <c r="D421" s="22">
        <v>17112910.5</v>
      </c>
    </row>
    <row r="422" spans="1:4" x14ac:dyDescent="0.25">
      <c r="A422">
        <v>1829</v>
      </c>
      <c r="B422" s="16">
        <v>43586</v>
      </c>
      <c r="C422" t="s">
        <v>12</v>
      </c>
      <c r="D422" s="22">
        <v>17112910.5</v>
      </c>
    </row>
    <row r="423" spans="1:4" x14ac:dyDescent="0.25">
      <c r="A423">
        <v>1829</v>
      </c>
      <c r="B423" s="16">
        <v>43617</v>
      </c>
      <c r="C423" t="s">
        <v>12</v>
      </c>
      <c r="D423" s="22">
        <v>17112910.5</v>
      </c>
    </row>
    <row r="424" spans="1:4" x14ac:dyDescent="0.25">
      <c r="A424">
        <v>1829</v>
      </c>
      <c r="B424" s="16">
        <v>43647</v>
      </c>
      <c r="C424" t="s">
        <v>12</v>
      </c>
      <c r="D424" s="22">
        <v>17112910.5</v>
      </c>
    </row>
    <row r="425" spans="1:4" x14ac:dyDescent="0.25">
      <c r="A425">
        <v>1829</v>
      </c>
      <c r="B425" s="16">
        <v>43678</v>
      </c>
      <c r="C425" t="s">
        <v>12</v>
      </c>
      <c r="D425" s="22">
        <v>17112910.5</v>
      </c>
    </row>
    <row r="426" spans="1:4" x14ac:dyDescent="0.25">
      <c r="A426">
        <v>1829</v>
      </c>
      <c r="B426" s="16">
        <v>43709</v>
      </c>
      <c r="C426" t="s">
        <v>12</v>
      </c>
      <c r="D426" s="22">
        <v>17112910.5</v>
      </c>
    </row>
    <row r="427" spans="1:4" x14ac:dyDescent="0.25">
      <c r="A427">
        <v>1829</v>
      </c>
      <c r="B427" s="16">
        <v>43739</v>
      </c>
      <c r="C427" t="s">
        <v>12</v>
      </c>
      <c r="D427" s="22">
        <v>17112910.5</v>
      </c>
    </row>
    <row r="428" spans="1:4" x14ac:dyDescent="0.25">
      <c r="A428">
        <v>1829</v>
      </c>
      <c r="B428" s="16">
        <v>43770</v>
      </c>
      <c r="C428" t="s">
        <v>12</v>
      </c>
      <c r="D428" s="22">
        <v>17112910.5</v>
      </c>
    </row>
    <row r="429" spans="1:4" x14ac:dyDescent="0.25">
      <c r="A429">
        <v>1829</v>
      </c>
      <c r="B429" s="16">
        <v>43800</v>
      </c>
      <c r="C429" t="s">
        <v>12</v>
      </c>
      <c r="D429" s="22">
        <v>17112910.5</v>
      </c>
    </row>
    <row r="430" spans="1:4" x14ac:dyDescent="0.25">
      <c r="A430">
        <v>1829</v>
      </c>
      <c r="B430" s="16">
        <v>43831</v>
      </c>
      <c r="C430" t="s">
        <v>12</v>
      </c>
      <c r="D430" s="22">
        <v>17112910.5</v>
      </c>
    </row>
    <row r="431" spans="1:4" x14ac:dyDescent="0.25">
      <c r="A431">
        <v>1829</v>
      </c>
      <c r="B431" s="16">
        <v>43862</v>
      </c>
      <c r="C431" t="s">
        <v>12</v>
      </c>
      <c r="D431" s="22">
        <v>17112910.5</v>
      </c>
    </row>
    <row r="432" spans="1:4" x14ac:dyDescent="0.25">
      <c r="A432">
        <v>1829</v>
      </c>
      <c r="B432" s="16">
        <v>43891</v>
      </c>
      <c r="C432" t="s">
        <v>12</v>
      </c>
      <c r="D432" s="22">
        <v>17112910.5</v>
      </c>
    </row>
    <row r="433" spans="1:4" x14ac:dyDescent="0.25">
      <c r="A433">
        <v>1829</v>
      </c>
      <c r="B433" s="16">
        <v>43922</v>
      </c>
      <c r="C433" t="s">
        <v>12</v>
      </c>
      <c r="D433" s="22">
        <v>17112910.5</v>
      </c>
    </row>
    <row r="434" spans="1:4" x14ac:dyDescent="0.25">
      <c r="A434">
        <v>1829</v>
      </c>
      <c r="B434" s="16">
        <v>43952</v>
      </c>
      <c r="C434" t="s">
        <v>12</v>
      </c>
      <c r="D434" s="22">
        <v>17112910.5</v>
      </c>
    </row>
    <row r="435" spans="1:4" x14ac:dyDescent="0.25">
      <c r="A435">
        <v>1829</v>
      </c>
      <c r="B435" s="16">
        <v>43983</v>
      </c>
      <c r="C435" t="s">
        <v>12</v>
      </c>
      <c r="D435" s="22">
        <v>17112910.5</v>
      </c>
    </row>
    <row r="436" spans="1:4" x14ac:dyDescent="0.25">
      <c r="A436">
        <v>1829</v>
      </c>
      <c r="B436" s="16">
        <v>43466</v>
      </c>
      <c r="C436" t="s">
        <v>140</v>
      </c>
      <c r="D436" s="22">
        <v>5821058.25</v>
      </c>
    </row>
    <row r="437" spans="1:4" x14ac:dyDescent="0.25">
      <c r="A437">
        <v>1829</v>
      </c>
      <c r="B437" s="16">
        <v>43497</v>
      </c>
      <c r="C437" t="s">
        <v>140</v>
      </c>
      <c r="D437" s="22">
        <v>5821058.25</v>
      </c>
    </row>
    <row r="438" spans="1:4" x14ac:dyDescent="0.25">
      <c r="A438">
        <v>1829</v>
      </c>
      <c r="B438" s="16">
        <v>43525</v>
      </c>
      <c r="C438" t="s">
        <v>140</v>
      </c>
      <c r="D438" s="22">
        <v>5821058.25</v>
      </c>
    </row>
    <row r="439" spans="1:4" x14ac:dyDescent="0.25">
      <c r="A439">
        <v>1829</v>
      </c>
      <c r="B439" s="16">
        <v>43556</v>
      </c>
      <c r="C439" t="s">
        <v>140</v>
      </c>
      <c r="D439" s="22">
        <v>5821058.25</v>
      </c>
    </row>
    <row r="440" spans="1:4" x14ac:dyDescent="0.25">
      <c r="A440">
        <v>1829</v>
      </c>
      <c r="B440" s="16">
        <v>43586</v>
      </c>
      <c r="C440" t="s">
        <v>140</v>
      </c>
      <c r="D440" s="22">
        <v>5821058.25</v>
      </c>
    </row>
    <row r="441" spans="1:4" x14ac:dyDescent="0.25">
      <c r="A441">
        <v>1829</v>
      </c>
      <c r="B441" s="16">
        <v>43617</v>
      </c>
      <c r="C441" t="s">
        <v>140</v>
      </c>
      <c r="D441" s="22">
        <v>5821058.25</v>
      </c>
    </row>
    <row r="442" spans="1:4" x14ac:dyDescent="0.25">
      <c r="A442">
        <v>1829</v>
      </c>
      <c r="B442" s="16">
        <v>43647</v>
      </c>
      <c r="C442" t="s">
        <v>140</v>
      </c>
      <c r="D442" s="22">
        <v>5821058.25</v>
      </c>
    </row>
    <row r="443" spans="1:4" x14ac:dyDescent="0.25">
      <c r="A443">
        <v>1829</v>
      </c>
      <c r="B443" s="16">
        <v>43678</v>
      </c>
      <c r="C443" t="s">
        <v>140</v>
      </c>
      <c r="D443" s="22">
        <v>5821058.25</v>
      </c>
    </row>
    <row r="444" spans="1:4" x14ac:dyDescent="0.25">
      <c r="A444">
        <v>1829</v>
      </c>
      <c r="B444" s="16">
        <v>43709</v>
      </c>
      <c r="C444" t="s">
        <v>140</v>
      </c>
      <c r="D444" s="22">
        <v>5821058.25</v>
      </c>
    </row>
    <row r="445" spans="1:4" x14ac:dyDescent="0.25">
      <c r="A445">
        <v>1829</v>
      </c>
      <c r="B445" s="16">
        <v>43739</v>
      </c>
      <c r="C445" t="s">
        <v>140</v>
      </c>
      <c r="D445" s="22">
        <v>5821058.25</v>
      </c>
    </row>
    <row r="446" spans="1:4" x14ac:dyDescent="0.25">
      <c r="A446">
        <v>1829</v>
      </c>
      <c r="B446" s="16">
        <v>43770</v>
      </c>
      <c r="C446" t="s">
        <v>140</v>
      </c>
      <c r="D446" s="22">
        <v>5821058.25</v>
      </c>
    </row>
    <row r="447" spans="1:4" x14ac:dyDescent="0.25">
      <c r="A447">
        <v>1829</v>
      </c>
      <c r="B447" s="16">
        <v>43800</v>
      </c>
      <c r="C447" t="s">
        <v>140</v>
      </c>
      <c r="D447" s="22">
        <v>5821058.25</v>
      </c>
    </row>
    <row r="448" spans="1:4" x14ac:dyDescent="0.25">
      <c r="A448">
        <v>1829</v>
      </c>
      <c r="B448" s="16">
        <v>43466</v>
      </c>
      <c r="C448" t="s">
        <v>142</v>
      </c>
      <c r="D448" s="22">
        <v>4154801.1749999998</v>
      </c>
    </row>
    <row r="449" spans="1:4" x14ac:dyDescent="0.25">
      <c r="A449">
        <v>1829</v>
      </c>
      <c r="B449" s="16">
        <v>43497</v>
      </c>
      <c r="C449" t="s">
        <v>142</v>
      </c>
      <c r="D449" s="22">
        <v>4154801.1749999998</v>
      </c>
    </row>
    <row r="450" spans="1:4" x14ac:dyDescent="0.25">
      <c r="A450">
        <v>1829</v>
      </c>
      <c r="B450" s="16">
        <v>43525</v>
      </c>
      <c r="C450" t="s">
        <v>142</v>
      </c>
      <c r="D450" s="22">
        <v>4154801.1749999998</v>
      </c>
    </row>
    <row r="451" spans="1:4" x14ac:dyDescent="0.25">
      <c r="A451">
        <v>1829</v>
      </c>
      <c r="B451" s="16">
        <v>43556</v>
      </c>
      <c r="C451" t="s">
        <v>142</v>
      </c>
      <c r="D451" s="22">
        <v>4154801.1749999998</v>
      </c>
    </row>
    <row r="452" spans="1:4" x14ac:dyDescent="0.25">
      <c r="A452">
        <v>1829</v>
      </c>
      <c r="B452" s="16">
        <v>43586</v>
      </c>
      <c r="C452" t="s">
        <v>142</v>
      </c>
      <c r="D452" s="22">
        <v>4154801.1749999998</v>
      </c>
    </row>
    <row r="453" spans="1:4" x14ac:dyDescent="0.25">
      <c r="A453">
        <v>1829</v>
      </c>
      <c r="B453" s="16">
        <v>43617</v>
      </c>
      <c r="C453" t="s">
        <v>142</v>
      </c>
      <c r="D453" s="22">
        <v>4154801.1749999998</v>
      </c>
    </row>
    <row r="454" spans="1:4" x14ac:dyDescent="0.25">
      <c r="A454">
        <v>1829</v>
      </c>
      <c r="B454" s="16">
        <v>43647</v>
      </c>
      <c r="C454" t="s">
        <v>142</v>
      </c>
      <c r="D454" s="22">
        <v>4154801.1749999998</v>
      </c>
    </row>
    <row r="455" spans="1:4" x14ac:dyDescent="0.25">
      <c r="A455">
        <v>1829</v>
      </c>
      <c r="B455" s="16">
        <v>43678</v>
      </c>
      <c r="C455" t="s">
        <v>142</v>
      </c>
      <c r="D455" s="22">
        <v>4154801.1749999998</v>
      </c>
    </row>
    <row r="456" spans="1:4" x14ac:dyDescent="0.25">
      <c r="A456">
        <v>1829</v>
      </c>
      <c r="B456" s="16">
        <v>43709</v>
      </c>
      <c r="C456" t="s">
        <v>142</v>
      </c>
      <c r="D456" s="22">
        <v>4154801.1749999998</v>
      </c>
    </row>
    <row r="457" spans="1:4" x14ac:dyDescent="0.25">
      <c r="A457">
        <v>1829</v>
      </c>
      <c r="B457" s="16">
        <v>43739</v>
      </c>
      <c r="C457" t="s">
        <v>142</v>
      </c>
      <c r="D457" s="22">
        <v>4154801.1749999998</v>
      </c>
    </row>
    <row r="458" spans="1:4" x14ac:dyDescent="0.25">
      <c r="A458">
        <v>1829</v>
      </c>
      <c r="B458" s="16">
        <v>43770</v>
      </c>
      <c r="C458" t="s">
        <v>142</v>
      </c>
      <c r="D458" s="22">
        <v>4154801.1749999998</v>
      </c>
    </row>
    <row r="459" spans="1:4" x14ac:dyDescent="0.25">
      <c r="A459">
        <v>1829</v>
      </c>
      <c r="B459" s="16">
        <v>43800</v>
      </c>
      <c r="C459" t="s">
        <v>142</v>
      </c>
      <c r="D459" s="22">
        <v>4154801.1749999998</v>
      </c>
    </row>
    <row r="460" spans="1:4" x14ac:dyDescent="0.25">
      <c r="A460">
        <v>1829</v>
      </c>
      <c r="B460" s="16">
        <v>43831</v>
      </c>
      <c r="C460" t="s">
        <v>142</v>
      </c>
      <c r="D460" s="22">
        <v>4154801.1749999998</v>
      </c>
    </row>
    <row r="461" spans="1:4" x14ac:dyDescent="0.25">
      <c r="A461">
        <v>1829</v>
      </c>
      <c r="B461" s="16">
        <v>43862</v>
      </c>
      <c r="C461" t="s">
        <v>142</v>
      </c>
      <c r="D461" s="22">
        <v>4154801.1749999998</v>
      </c>
    </row>
    <row r="462" spans="1:4" x14ac:dyDescent="0.25">
      <c r="A462">
        <v>1829</v>
      </c>
      <c r="B462" s="16">
        <v>43466</v>
      </c>
      <c r="C462" t="s">
        <v>59</v>
      </c>
      <c r="D462" s="22">
        <v>1667925</v>
      </c>
    </row>
    <row r="463" spans="1:4" x14ac:dyDescent="0.25">
      <c r="A463">
        <v>1829</v>
      </c>
      <c r="B463" s="16">
        <v>43497</v>
      </c>
      <c r="C463" t="s">
        <v>59</v>
      </c>
      <c r="D463" s="22">
        <v>1667925</v>
      </c>
    </row>
    <row r="464" spans="1:4" x14ac:dyDescent="0.25">
      <c r="A464">
        <v>1829</v>
      </c>
      <c r="B464" s="16">
        <v>43525</v>
      </c>
      <c r="C464" t="s">
        <v>59</v>
      </c>
      <c r="D464" s="22">
        <v>1667925</v>
      </c>
    </row>
    <row r="465" spans="1:4" x14ac:dyDescent="0.25">
      <c r="A465">
        <v>1829</v>
      </c>
      <c r="B465" s="16">
        <v>43556</v>
      </c>
      <c r="C465" t="s">
        <v>59</v>
      </c>
      <c r="D465" s="22">
        <v>1667925</v>
      </c>
    </row>
    <row r="466" spans="1:4" x14ac:dyDescent="0.25">
      <c r="A466">
        <v>1829</v>
      </c>
      <c r="B466" s="16">
        <v>43586</v>
      </c>
      <c r="C466" t="s">
        <v>59</v>
      </c>
      <c r="D466" s="22">
        <v>1667925</v>
      </c>
    </row>
    <row r="467" spans="1:4" x14ac:dyDescent="0.25">
      <c r="A467">
        <v>1829</v>
      </c>
      <c r="B467" s="16">
        <v>43617</v>
      </c>
      <c r="C467" t="s">
        <v>59</v>
      </c>
      <c r="D467" s="22">
        <v>1667925</v>
      </c>
    </row>
    <row r="468" spans="1:4" x14ac:dyDescent="0.25">
      <c r="A468">
        <v>1829</v>
      </c>
      <c r="B468" s="16">
        <v>43647</v>
      </c>
      <c r="C468" t="s">
        <v>59</v>
      </c>
      <c r="D468" s="22">
        <v>1667925</v>
      </c>
    </row>
    <row r="469" spans="1:4" x14ac:dyDescent="0.25">
      <c r="A469">
        <v>1829</v>
      </c>
      <c r="B469" s="16">
        <v>43678</v>
      </c>
      <c r="C469" t="s">
        <v>59</v>
      </c>
      <c r="D469" s="22">
        <v>1667925</v>
      </c>
    </row>
    <row r="470" spans="1:4" x14ac:dyDescent="0.25">
      <c r="A470">
        <v>1829</v>
      </c>
      <c r="B470" s="16">
        <v>43709</v>
      </c>
      <c r="C470" t="s">
        <v>59</v>
      </c>
      <c r="D470" s="22">
        <v>1667925</v>
      </c>
    </row>
    <row r="471" spans="1:4" x14ac:dyDescent="0.25">
      <c r="A471">
        <v>1829</v>
      </c>
      <c r="B471" s="16">
        <v>43739</v>
      </c>
      <c r="C471" t="s">
        <v>59</v>
      </c>
      <c r="D471" s="22">
        <v>1667925</v>
      </c>
    </row>
    <row r="472" spans="1:4" x14ac:dyDescent="0.25">
      <c r="A472">
        <v>1829</v>
      </c>
      <c r="B472" s="16">
        <v>43770</v>
      </c>
      <c r="C472" t="s">
        <v>59</v>
      </c>
      <c r="D472" s="22">
        <v>1667925</v>
      </c>
    </row>
    <row r="473" spans="1:4" x14ac:dyDescent="0.25">
      <c r="A473">
        <v>1829</v>
      </c>
      <c r="B473" s="16">
        <v>43800</v>
      </c>
      <c r="C473" t="s">
        <v>59</v>
      </c>
      <c r="D473" s="22">
        <v>1667925</v>
      </c>
    </row>
    <row r="474" spans="1:4" x14ac:dyDescent="0.25">
      <c r="A474">
        <v>1829</v>
      </c>
      <c r="B474" s="16">
        <v>43831</v>
      </c>
      <c r="C474" t="s">
        <v>59</v>
      </c>
      <c r="D474" s="22">
        <v>1667925</v>
      </c>
    </row>
    <row r="475" spans="1:4" x14ac:dyDescent="0.25">
      <c r="A475">
        <v>1829</v>
      </c>
      <c r="B475" s="16">
        <v>43862</v>
      </c>
      <c r="C475" t="s">
        <v>59</v>
      </c>
      <c r="D475" s="22">
        <v>1667925</v>
      </c>
    </row>
    <row r="476" spans="1:4" x14ac:dyDescent="0.25">
      <c r="A476">
        <v>1829</v>
      </c>
      <c r="B476" s="16">
        <v>43891</v>
      </c>
      <c r="C476" t="s">
        <v>59</v>
      </c>
      <c r="D476" s="22">
        <v>1667925</v>
      </c>
    </row>
    <row r="477" spans="1:4" x14ac:dyDescent="0.25">
      <c r="A477">
        <v>1829</v>
      </c>
      <c r="B477" s="16">
        <v>43922</v>
      </c>
      <c r="C477" t="s">
        <v>59</v>
      </c>
      <c r="D477" s="22">
        <v>1667925</v>
      </c>
    </row>
    <row r="478" spans="1:4" x14ac:dyDescent="0.25">
      <c r="A478">
        <v>1829</v>
      </c>
      <c r="B478" s="16">
        <v>43466</v>
      </c>
      <c r="C478" t="s">
        <v>39</v>
      </c>
      <c r="D478" s="22">
        <v>3886265.25</v>
      </c>
    </row>
    <row r="479" spans="1:4" x14ac:dyDescent="0.25">
      <c r="A479">
        <v>1829</v>
      </c>
      <c r="B479" s="16">
        <v>43497</v>
      </c>
      <c r="C479" t="s">
        <v>39</v>
      </c>
      <c r="D479" s="22">
        <v>3886265.25</v>
      </c>
    </row>
    <row r="480" spans="1:4" x14ac:dyDescent="0.25">
      <c r="A480">
        <v>1829</v>
      </c>
      <c r="B480" s="16">
        <v>43525</v>
      </c>
      <c r="C480" t="s">
        <v>39</v>
      </c>
      <c r="D480" s="22">
        <v>3886265.25</v>
      </c>
    </row>
    <row r="481" spans="1:4" x14ac:dyDescent="0.25">
      <c r="A481">
        <v>1829</v>
      </c>
      <c r="B481" s="16">
        <v>43556</v>
      </c>
      <c r="C481" t="s">
        <v>39</v>
      </c>
      <c r="D481" s="22">
        <v>3886265.25</v>
      </c>
    </row>
    <row r="482" spans="1:4" x14ac:dyDescent="0.25">
      <c r="A482">
        <v>1829</v>
      </c>
      <c r="B482" s="16">
        <v>43586</v>
      </c>
      <c r="C482" t="s">
        <v>39</v>
      </c>
      <c r="D482" s="22">
        <v>3886265.25</v>
      </c>
    </row>
    <row r="483" spans="1:4" x14ac:dyDescent="0.25">
      <c r="A483">
        <v>1829</v>
      </c>
      <c r="B483" s="16">
        <v>43617</v>
      </c>
      <c r="C483" t="s">
        <v>39</v>
      </c>
      <c r="D483" s="22">
        <v>3886265.25</v>
      </c>
    </row>
    <row r="484" spans="1:4" x14ac:dyDescent="0.25">
      <c r="A484">
        <v>1829</v>
      </c>
      <c r="B484" s="16">
        <v>43647</v>
      </c>
      <c r="C484" t="s">
        <v>39</v>
      </c>
      <c r="D484" s="22">
        <v>3886265.25</v>
      </c>
    </row>
    <row r="485" spans="1:4" x14ac:dyDescent="0.25">
      <c r="A485">
        <v>1829</v>
      </c>
      <c r="B485" s="16">
        <v>43678</v>
      </c>
      <c r="C485" t="s">
        <v>39</v>
      </c>
      <c r="D485" s="22">
        <v>3886265.25</v>
      </c>
    </row>
    <row r="486" spans="1:4" x14ac:dyDescent="0.25">
      <c r="A486">
        <v>1829</v>
      </c>
      <c r="B486" s="16">
        <v>43709</v>
      </c>
      <c r="C486" t="s">
        <v>39</v>
      </c>
      <c r="D486" s="22">
        <v>3886265.25</v>
      </c>
    </row>
    <row r="487" spans="1:4" x14ac:dyDescent="0.25">
      <c r="A487">
        <v>1829</v>
      </c>
      <c r="B487" s="16">
        <v>43739</v>
      </c>
      <c r="C487" t="s">
        <v>39</v>
      </c>
      <c r="D487" s="22">
        <v>3886265.25</v>
      </c>
    </row>
    <row r="488" spans="1:4" x14ac:dyDescent="0.25">
      <c r="A488">
        <v>1829</v>
      </c>
      <c r="B488" s="16">
        <v>43770</v>
      </c>
      <c r="C488" t="s">
        <v>39</v>
      </c>
      <c r="D488" s="22">
        <v>3886265.25</v>
      </c>
    </row>
    <row r="489" spans="1:4" x14ac:dyDescent="0.25">
      <c r="A489">
        <v>1829</v>
      </c>
      <c r="B489" s="16">
        <v>43800</v>
      </c>
      <c r="C489" t="s">
        <v>39</v>
      </c>
      <c r="D489" s="22">
        <v>3886265.25</v>
      </c>
    </row>
    <row r="490" spans="1:4" x14ac:dyDescent="0.25">
      <c r="A490">
        <v>1829</v>
      </c>
      <c r="B490" s="16">
        <v>43831</v>
      </c>
      <c r="C490" t="s">
        <v>39</v>
      </c>
      <c r="D490" s="22">
        <v>3886265.25</v>
      </c>
    </row>
    <row r="491" spans="1:4" x14ac:dyDescent="0.25">
      <c r="A491">
        <v>1829</v>
      </c>
      <c r="B491" s="16">
        <v>43862</v>
      </c>
      <c r="C491" t="s">
        <v>39</v>
      </c>
      <c r="D491" s="22">
        <v>3886265.25</v>
      </c>
    </row>
    <row r="492" spans="1:4" x14ac:dyDescent="0.25">
      <c r="A492">
        <v>1829</v>
      </c>
      <c r="B492" s="16">
        <v>43891</v>
      </c>
      <c r="C492" t="s">
        <v>39</v>
      </c>
      <c r="D492" s="22">
        <v>3886265.25</v>
      </c>
    </row>
    <row r="493" spans="1:4" x14ac:dyDescent="0.25">
      <c r="A493">
        <v>1829</v>
      </c>
      <c r="B493" s="16">
        <v>43922</v>
      </c>
      <c r="C493" t="s">
        <v>39</v>
      </c>
      <c r="D493" s="22">
        <v>3886265.25</v>
      </c>
    </row>
    <row r="494" spans="1:4" x14ac:dyDescent="0.25">
      <c r="A494">
        <v>1829</v>
      </c>
      <c r="B494" s="16">
        <v>43952</v>
      </c>
      <c r="C494" t="s">
        <v>39</v>
      </c>
      <c r="D494" s="22">
        <v>3886265.25</v>
      </c>
    </row>
    <row r="495" spans="1:4" x14ac:dyDescent="0.25">
      <c r="A495">
        <v>1829</v>
      </c>
      <c r="B495" s="16">
        <v>43983</v>
      </c>
      <c r="C495" t="s">
        <v>39</v>
      </c>
      <c r="D495" s="22">
        <v>3886265.25</v>
      </c>
    </row>
    <row r="496" spans="1:4" x14ac:dyDescent="0.25">
      <c r="A496">
        <v>1829</v>
      </c>
      <c r="B496" s="16">
        <v>43466</v>
      </c>
      <c r="C496" t="s">
        <v>136</v>
      </c>
      <c r="D496" s="22">
        <v>6004530</v>
      </c>
    </row>
    <row r="497" spans="1:4" x14ac:dyDescent="0.25">
      <c r="A497">
        <v>1829</v>
      </c>
      <c r="B497" s="16">
        <v>43497</v>
      </c>
      <c r="C497" t="s">
        <v>136</v>
      </c>
      <c r="D497" s="22">
        <v>6004530</v>
      </c>
    </row>
    <row r="498" spans="1:4" x14ac:dyDescent="0.25">
      <c r="A498">
        <v>1829</v>
      </c>
      <c r="B498" s="16">
        <v>43525</v>
      </c>
      <c r="C498" t="s">
        <v>136</v>
      </c>
      <c r="D498" s="22">
        <v>6004530</v>
      </c>
    </row>
    <row r="499" spans="1:4" x14ac:dyDescent="0.25">
      <c r="A499">
        <v>1829</v>
      </c>
      <c r="B499" s="16">
        <v>43556</v>
      </c>
      <c r="C499" t="s">
        <v>136</v>
      </c>
      <c r="D499" s="22">
        <v>6004530</v>
      </c>
    </row>
    <row r="500" spans="1:4" x14ac:dyDescent="0.25">
      <c r="A500">
        <v>1829</v>
      </c>
      <c r="B500" s="16">
        <v>43586</v>
      </c>
      <c r="C500" t="s">
        <v>136</v>
      </c>
      <c r="D500" s="22">
        <v>6004530</v>
      </c>
    </row>
    <row r="501" spans="1:4" x14ac:dyDescent="0.25">
      <c r="A501">
        <v>1829</v>
      </c>
      <c r="B501" s="16">
        <v>43617</v>
      </c>
      <c r="C501" t="s">
        <v>136</v>
      </c>
      <c r="D501" s="22">
        <v>6004530</v>
      </c>
    </row>
    <row r="502" spans="1:4" x14ac:dyDescent="0.25">
      <c r="A502">
        <v>1829</v>
      </c>
      <c r="B502" s="16">
        <v>43647</v>
      </c>
      <c r="C502" t="s">
        <v>136</v>
      </c>
      <c r="D502" s="22">
        <v>6004530</v>
      </c>
    </row>
    <row r="503" spans="1:4" x14ac:dyDescent="0.25">
      <c r="A503">
        <v>1829</v>
      </c>
      <c r="B503" s="16">
        <v>43678</v>
      </c>
      <c r="C503" t="s">
        <v>136</v>
      </c>
      <c r="D503" s="22">
        <v>6004530</v>
      </c>
    </row>
    <row r="504" spans="1:4" x14ac:dyDescent="0.25">
      <c r="A504">
        <v>1829</v>
      </c>
      <c r="B504" s="16">
        <v>43709</v>
      </c>
      <c r="C504" t="s">
        <v>136</v>
      </c>
      <c r="D504" s="22">
        <v>6004530</v>
      </c>
    </row>
    <row r="505" spans="1:4" x14ac:dyDescent="0.25">
      <c r="A505">
        <v>1829</v>
      </c>
      <c r="B505" s="16">
        <v>43739</v>
      </c>
      <c r="C505" t="s">
        <v>136</v>
      </c>
      <c r="D505" s="22">
        <v>6004530</v>
      </c>
    </row>
    <row r="506" spans="1:4" x14ac:dyDescent="0.25">
      <c r="A506">
        <v>1829</v>
      </c>
      <c r="B506" s="16">
        <v>43770</v>
      </c>
      <c r="C506" t="s">
        <v>136</v>
      </c>
      <c r="D506" s="22">
        <v>6004530</v>
      </c>
    </row>
    <row r="507" spans="1:4" x14ac:dyDescent="0.25">
      <c r="A507">
        <v>1829</v>
      </c>
      <c r="B507" s="16">
        <v>43800</v>
      </c>
      <c r="C507" t="s">
        <v>136</v>
      </c>
      <c r="D507" s="22">
        <v>6004530</v>
      </c>
    </row>
    <row r="508" spans="1:4" x14ac:dyDescent="0.25">
      <c r="A508">
        <v>1829</v>
      </c>
      <c r="B508" s="16">
        <v>43831</v>
      </c>
      <c r="C508" t="s">
        <v>136</v>
      </c>
      <c r="D508" s="22">
        <v>6004530</v>
      </c>
    </row>
    <row r="509" spans="1:4" x14ac:dyDescent="0.25">
      <c r="A509">
        <v>1829</v>
      </c>
      <c r="B509" s="16">
        <v>43862</v>
      </c>
      <c r="C509" t="s">
        <v>136</v>
      </c>
      <c r="D509" s="22">
        <v>6004530</v>
      </c>
    </row>
    <row r="510" spans="1:4" x14ac:dyDescent="0.25">
      <c r="A510">
        <v>1829</v>
      </c>
      <c r="B510" s="16">
        <v>43891</v>
      </c>
      <c r="C510" t="s">
        <v>136</v>
      </c>
      <c r="D510" s="22">
        <v>6004530</v>
      </c>
    </row>
    <row r="511" spans="1:4" x14ac:dyDescent="0.25">
      <c r="A511">
        <v>1838</v>
      </c>
      <c r="B511" s="16">
        <v>43466</v>
      </c>
      <c r="C511" t="s">
        <v>144</v>
      </c>
      <c r="D511" s="22">
        <v>1289925</v>
      </c>
    </row>
    <row r="512" spans="1:4" x14ac:dyDescent="0.25">
      <c r="A512">
        <v>1838</v>
      </c>
      <c r="B512" s="16">
        <v>43497</v>
      </c>
      <c r="C512" t="s">
        <v>144</v>
      </c>
      <c r="D512" s="22">
        <v>1289925</v>
      </c>
    </row>
    <row r="513" spans="1:4" x14ac:dyDescent="0.25">
      <c r="A513">
        <v>1838</v>
      </c>
      <c r="B513" s="16">
        <v>43525</v>
      </c>
      <c r="C513" t="s">
        <v>144</v>
      </c>
      <c r="D513" s="22">
        <v>1289925</v>
      </c>
    </row>
    <row r="514" spans="1:4" x14ac:dyDescent="0.25">
      <c r="A514">
        <v>1838</v>
      </c>
      <c r="B514" s="16">
        <v>43466</v>
      </c>
      <c r="C514" t="s">
        <v>83</v>
      </c>
      <c r="D514" s="22">
        <v>1129511.25</v>
      </c>
    </row>
    <row r="515" spans="1:4" x14ac:dyDescent="0.25">
      <c r="A515">
        <v>1838</v>
      </c>
      <c r="B515" s="16">
        <v>43497</v>
      </c>
      <c r="C515" t="s">
        <v>83</v>
      </c>
      <c r="D515" s="22">
        <v>1129511.25</v>
      </c>
    </row>
    <row r="516" spans="1:4" x14ac:dyDescent="0.25">
      <c r="A516">
        <v>1838</v>
      </c>
      <c r="B516" s="16">
        <v>43525</v>
      </c>
      <c r="C516" t="s">
        <v>83</v>
      </c>
      <c r="D516" s="22">
        <v>1129511.25</v>
      </c>
    </row>
    <row r="517" spans="1:4" x14ac:dyDescent="0.25">
      <c r="A517">
        <v>1838</v>
      </c>
      <c r="B517" s="16">
        <v>43466</v>
      </c>
      <c r="C517" t="s">
        <v>119</v>
      </c>
      <c r="D517" s="22">
        <v>7607250</v>
      </c>
    </row>
    <row r="518" spans="1:4" x14ac:dyDescent="0.25">
      <c r="A518">
        <v>1838</v>
      </c>
      <c r="B518" s="16">
        <v>43497</v>
      </c>
      <c r="C518" t="s">
        <v>119</v>
      </c>
      <c r="D518" s="22">
        <v>7607250</v>
      </c>
    </row>
    <row r="519" spans="1:4" x14ac:dyDescent="0.25">
      <c r="A519">
        <v>1838</v>
      </c>
      <c r="B519" s="16">
        <v>43525</v>
      </c>
      <c r="C519" t="s">
        <v>119</v>
      </c>
      <c r="D519" s="22">
        <v>7607250</v>
      </c>
    </row>
    <row r="520" spans="1:4" x14ac:dyDescent="0.25">
      <c r="A520">
        <v>1846</v>
      </c>
      <c r="B520" s="16">
        <v>43466</v>
      </c>
      <c r="C520" t="s">
        <v>145</v>
      </c>
      <c r="D520" s="22">
        <v>3780000</v>
      </c>
    </row>
    <row r="521" spans="1:4" x14ac:dyDescent="0.25">
      <c r="A521">
        <v>1846</v>
      </c>
      <c r="B521" s="16">
        <v>43497</v>
      </c>
      <c r="C521" t="s">
        <v>145</v>
      </c>
      <c r="D521" s="22">
        <v>3780000</v>
      </c>
    </row>
    <row r="522" spans="1:4" x14ac:dyDescent="0.25">
      <c r="A522">
        <v>1846</v>
      </c>
      <c r="B522" s="16">
        <v>43525</v>
      </c>
      <c r="C522" t="s">
        <v>145</v>
      </c>
      <c r="D522" s="22">
        <v>3780000</v>
      </c>
    </row>
    <row r="523" spans="1:4" x14ac:dyDescent="0.25">
      <c r="A523">
        <v>1846</v>
      </c>
      <c r="B523" s="16">
        <v>43466</v>
      </c>
      <c r="C523" t="s">
        <v>146</v>
      </c>
      <c r="D523" s="22">
        <v>5868450</v>
      </c>
    </row>
    <row r="524" spans="1:4" x14ac:dyDescent="0.25">
      <c r="A524">
        <v>1846</v>
      </c>
      <c r="B524" s="16">
        <v>43497</v>
      </c>
      <c r="C524" t="s">
        <v>146</v>
      </c>
      <c r="D524" s="22">
        <v>5868450</v>
      </c>
    </row>
    <row r="525" spans="1:4" x14ac:dyDescent="0.25">
      <c r="A525">
        <v>1846</v>
      </c>
      <c r="B525" s="16">
        <v>43525</v>
      </c>
      <c r="C525" t="s">
        <v>146</v>
      </c>
      <c r="D525" s="22">
        <v>5868450</v>
      </c>
    </row>
    <row r="526" spans="1:4" x14ac:dyDescent="0.25">
      <c r="A526">
        <v>1846</v>
      </c>
      <c r="B526" s="16">
        <v>43525</v>
      </c>
      <c r="C526" t="s">
        <v>147</v>
      </c>
      <c r="D526" s="22">
        <v>1535625</v>
      </c>
    </row>
    <row r="527" spans="1:4" x14ac:dyDescent="0.25">
      <c r="A527">
        <v>1846</v>
      </c>
      <c r="B527" s="16">
        <v>43466</v>
      </c>
      <c r="C527" t="s">
        <v>83</v>
      </c>
      <c r="D527" s="22">
        <v>19561500</v>
      </c>
    </row>
    <row r="528" spans="1:4" x14ac:dyDescent="0.25">
      <c r="A528">
        <v>1846</v>
      </c>
      <c r="B528" s="16">
        <v>43497</v>
      </c>
      <c r="C528" t="s">
        <v>83</v>
      </c>
      <c r="D528" s="22">
        <v>19561500</v>
      </c>
    </row>
    <row r="529" spans="1:4" x14ac:dyDescent="0.25">
      <c r="A529">
        <v>1846</v>
      </c>
      <c r="B529" s="16">
        <v>43466</v>
      </c>
      <c r="C529" t="s">
        <v>148</v>
      </c>
      <c r="D529" s="22">
        <v>2835913.5</v>
      </c>
    </row>
    <row r="530" spans="1:4" x14ac:dyDescent="0.25">
      <c r="A530">
        <v>1846</v>
      </c>
      <c r="B530" s="16">
        <v>43497</v>
      </c>
      <c r="C530" t="s">
        <v>148</v>
      </c>
      <c r="D530" s="22">
        <v>2835913.5</v>
      </c>
    </row>
    <row r="531" spans="1:4" x14ac:dyDescent="0.25">
      <c r="A531">
        <v>1846</v>
      </c>
      <c r="B531" s="16">
        <v>43466</v>
      </c>
      <c r="C531" t="s">
        <v>149</v>
      </c>
      <c r="D531" s="22">
        <v>5868450</v>
      </c>
    </row>
    <row r="532" spans="1:4" x14ac:dyDescent="0.25">
      <c r="A532">
        <v>1846</v>
      </c>
      <c r="B532" s="16">
        <v>43497</v>
      </c>
      <c r="C532" t="s">
        <v>149</v>
      </c>
      <c r="D532" s="22">
        <v>5868450</v>
      </c>
    </row>
    <row r="533" spans="1:4" x14ac:dyDescent="0.25">
      <c r="A533">
        <v>1846</v>
      </c>
      <c r="B533" s="16">
        <v>43525</v>
      </c>
      <c r="C533" t="s">
        <v>149</v>
      </c>
      <c r="D533" s="22">
        <v>5868450</v>
      </c>
    </row>
    <row r="534" spans="1:4" x14ac:dyDescent="0.25">
      <c r="A534">
        <v>1846</v>
      </c>
      <c r="B534" s="16">
        <v>43466</v>
      </c>
      <c r="C534" t="s">
        <v>150</v>
      </c>
      <c r="D534" s="22">
        <v>2531377.8000000003</v>
      </c>
    </row>
    <row r="535" spans="1:4" x14ac:dyDescent="0.25">
      <c r="A535">
        <v>1846</v>
      </c>
      <c r="B535" s="16">
        <v>43497</v>
      </c>
      <c r="C535" t="s">
        <v>150</v>
      </c>
      <c r="D535" s="22">
        <v>2531377.8000000003</v>
      </c>
    </row>
    <row r="536" spans="1:4" x14ac:dyDescent="0.25">
      <c r="A536">
        <v>1846</v>
      </c>
      <c r="B536" s="16">
        <v>43525</v>
      </c>
      <c r="C536" t="s">
        <v>150</v>
      </c>
      <c r="D536" s="22">
        <v>2531377.8000000003</v>
      </c>
    </row>
    <row r="537" spans="1:4" x14ac:dyDescent="0.25">
      <c r="A537">
        <v>1846</v>
      </c>
      <c r="B537" s="16">
        <v>43466</v>
      </c>
      <c r="C537" t="s">
        <v>151</v>
      </c>
      <c r="D537" s="22">
        <v>3780000</v>
      </c>
    </row>
    <row r="538" spans="1:4" x14ac:dyDescent="0.25">
      <c r="A538">
        <v>1846</v>
      </c>
      <c r="B538" s="16">
        <v>43497</v>
      </c>
      <c r="C538" t="s">
        <v>151</v>
      </c>
      <c r="D538" s="22">
        <v>3780000</v>
      </c>
    </row>
    <row r="539" spans="1:4" x14ac:dyDescent="0.25">
      <c r="A539">
        <v>1846</v>
      </c>
      <c r="B539" s="16">
        <v>43525</v>
      </c>
      <c r="C539" t="s">
        <v>151</v>
      </c>
      <c r="D539" s="22">
        <v>3780000</v>
      </c>
    </row>
    <row r="540" spans="1:4" x14ac:dyDescent="0.25">
      <c r="A540">
        <v>1846</v>
      </c>
      <c r="B540" s="16">
        <v>43466</v>
      </c>
      <c r="C540" t="s">
        <v>152</v>
      </c>
      <c r="D540" s="22">
        <v>2173500</v>
      </c>
    </row>
    <row r="541" spans="1:4" x14ac:dyDescent="0.25">
      <c r="A541">
        <v>1846</v>
      </c>
      <c r="B541" s="16">
        <v>43497</v>
      </c>
      <c r="C541" t="s">
        <v>152</v>
      </c>
      <c r="D541" s="22">
        <v>2173500</v>
      </c>
    </row>
    <row r="542" spans="1:4" x14ac:dyDescent="0.25">
      <c r="A542">
        <v>1846</v>
      </c>
      <c r="B542" s="16">
        <v>43525</v>
      </c>
      <c r="C542" t="s">
        <v>152</v>
      </c>
      <c r="D542" s="22">
        <v>2173500</v>
      </c>
    </row>
    <row r="543" spans="1:4" x14ac:dyDescent="0.25">
      <c r="A543">
        <v>1846</v>
      </c>
      <c r="B543" s="16">
        <v>43466</v>
      </c>
      <c r="C543" t="s">
        <v>153</v>
      </c>
      <c r="D543" s="22">
        <v>5460525</v>
      </c>
    </row>
    <row r="544" spans="1:4" x14ac:dyDescent="0.25">
      <c r="A544">
        <v>1846</v>
      </c>
      <c r="B544" s="16">
        <v>43497</v>
      </c>
      <c r="C544" t="s">
        <v>153</v>
      </c>
      <c r="D544" s="22">
        <v>5460525</v>
      </c>
    </row>
    <row r="545" spans="1:4" x14ac:dyDescent="0.25">
      <c r="A545">
        <v>1846</v>
      </c>
      <c r="B545" s="16">
        <v>43525</v>
      </c>
      <c r="C545" t="s">
        <v>153</v>
      </c>
      <c r="D545" s="22">
        <v>5460525</v>
      </c>
    </row>
    <row r="546" spans="1:4" x14ac:dyDescent="0.25">
      <c r="A546">
        <v>1846</v>
      </c>
      <c r="B546" s="16">
        <v>43466</v>
      </c>
      <c r="C546" t="s">
        <v>154</v>
      </c>
      <c r="D546" s="22">
        <v>3213000</v>
      </c>
    </row>
    <row r="547" spans="1:4" x14ac:dyDescent="0.25">
      <c r="A547">
        <v>1846</v>
      </c>
      <c r="B547" s="16">
        <v>43497</v>
      </c>
      <c r="C547" t="s">
        <v>154</v>
      </c>
      <c r="D547" s="22">
        <v>3213000</v>
      </c>
    </row>
    <row r="548" spans="1:4" x14ac:dyDescent="0.25">
      <c r="A548">
        <v>1846</v>
      </c>
      <c r="B548" s="16">
        <v>43525</v>
      </c>
      <c r="C548" t="s">
        <v>154</v>
      </c>
      <c r="D548" s="22">
        <v>3213000</v>
      </c>
    </row>
    <row r="549" spans="1:4" x14ac:dyDescent="0.25">
      <c r="A549">
        <v>1846</v>
      </c>
      <c r="B549" s="16">
        <v>43466</v>
      </c>
      <c r="C549" t="s">
        <v>155</v>
      </c>
      <c r="D549" s="22">
        <v>2173500</v>
      </c>
    </row>
    <row r="550" spans="1:4" x14ac:dyDescent="0.25">
      <c r="A550">
        <v>1846</v>
      </c>
      <c r="B550" s="16">
        <v>43497</v>
      </c>
      <c r="C550" t="s">
        <v>155</v>
      </c>
      <c r="D550" s="22">
        <v>2173500</v>
      </c>
    </row>
    <row r="551" spans="1:4" x14ac:dyDescent="0.25">
      <c r="A551">
        <v>1846</v>
      </c>
      <c r="B551" s="16">
        <v>43525</v>
      </c>
      <c r="C551" t="s">
        <v>155</v>
      </c>
      <c r="D551" s="22">
        <v>2173500</v>
      </c>
    </row>
    <row r="552" spans="1:4" x14ac:dyDescent="0.25">
      <c r="A552">
        <v>1846</v>
      </c>
      <c r="B552" s="16">
        <v>43466</v>
      </c>
      <c r="C552" t="s">
        <v>156</v>
      </c>
      <c r="D552" s="22">
        <v>3780000</v>
      </c>
    </row>
    <row r="553" spans="1:4" x14ac:dyDescent="0.25">
      <c r="A553">
        <v>1846</v>
      </c>
      <c r="B553" s="16">
        <v>43497</v>
      </c>
      <c r="C553" t="s">
        <v>156</v>
      </c>
      <c r="D553" s="22">
        <v>3780000</v>
      </c>
    </row>
    <row r="554" spans="1:4" x14ac:dyDescent="0.25">
      <c r="A554">
        <v>1846</v>
      </c>
      <c r="B554" s="16">
        <v>43525</v>
      </c>
      <c r="C554" t="s">
        <v>156</v>
      </c>
      <c r="D554" s="22">
        <v>3780000</v>
      </c>
    </row>
    <row r="555" spans="1:4" x14ac:dyDescent="0.25">
      <c r="A555">
        <v>1846</v>
      </c>
      <c r="B555" s="16">
        <v>43466</v>
      </c>
      <c r="C555" t="s">
        <v>157</v>
      </c>
      <c r="D555" s="22">
        <v>1890000</v>
      </c>
    </row>
    <row r="556" spans="1:4" x14ac:dyDescent="0.25">
      <c r="A556">
        <v>1846</v>
      </c>
      <c r="B556" s="16">
        <v>43497</v>
      </c>
      <c r="C556" t="s">
        <v>157</v>
      </c>
      <c r="D556" s="22">
        <v>1890000</v>
      </c>
    </row>
    <row r="557" spans="1:4" x14ac:dyDescent="0.25">
      <c r="A557">
        <v>1846</v>
      </c>
      <c r="B557" s="16">
        <v>43525</v>
      </c>
      <c r="C557" t="s">
        <v>157</v>
      </c>
      <c r="D557" s="22">
        <v>1890000</v>
      </c>
    </row>
    <row r="558" spans="1:4" x14ac:dyDescent="0.25">
      <c r="A558">
        <v>1846</v>
      </c>
      <c r="B558" s="16">
        <v>43466</v>
      </c>
      <c r="C558" t="s">
        <v>158</v>
      </c>
      <c r="D558" s="22">
        <v>1265688.9000000001</v>
      </c>
    </row>
    <row r="559" spans="1:4" x14ac:dyDescent="0.25">
      <c r="A559">
        <v>1846</v>
      </c>
      <c r="B559" s="16">
        <v>43497</v>
      </c>
      <c r="C559" t="s">
        <v>158</v>
      </c>
      <c r="D559" s="22">
        <v>1265688.9000000001</v>
      </c>
    </row>
    <row r="560" spans="1:4" x14ac:dyDescent="0.25">
      <c r="A560">
        <v>1846</v>
      </c>
      <c r="B560" s="16">
        <v>43525</v>
      </c>
      <c r="C560" t="s">
        <v>158</v>
      </c>
      <c r="D560" s="22">
        <v>1265688.9000000001</v>
      </c>
    </row>
    <row r="561" spans="1:4" x14ac:dyDescent="0.25">
      <c r="A561">
        <v>1846</v>
      </c>
      <c r="B561" s="16">
        <v>43466</v>
      </c>
      <c r="C561" t="s">
        <v>159</v>
      </c>
      <c r="D561" s="22">
        <v>5827500</v>
      </c>
    </row>
    <row r="562" spans="1:4" x14ac:dyDescent="0.25">
      <c r="A562">
        <v>1846</v>
      </c>
      <c r="B562" s="16">
        <v>43497</v>
      </c>
      <c r="C562" t="s">
        <v>159</v>
      </c>
      <c r="D562" s="22">
        <v>5827500</v>
      </c>
    </row>
    <row r="563" spans="1:4" x14ac:dyDescent="0.25">
      <c r="A563">
        <v>1846</v>
      </c>
      <c r="B563" s="16">
        <v>43525</v>
      </c>
      <c r="C563" t="s">
        <v>159</v>
      </c>
      <c r="D563" s="22">
        <v>5827500</v>
      </c>
    </row>
    <row r="564" spans="1:4" x14ac:dyDescent="0.25">
      <c r="A564">
        <v>1846</v>
      </c>
      <c r="B564" s="16">
        <v>43466</v>
      </c>
      <c r="C564" t="s">
        <v>160</v>
      </c>
      <c r="D564" s="22">
        <v>5118750</v>
      </c>
    </row>
    <row r="565" spans="1:4" x14ac:dyDescent="0.25">
      <c r="A565">
        <v>1846</v>
      </c>
      <c r="B565" s="16">
        <v>43497</v>
      </c>
      <c r="C565" t="s">
        <v>160</v>
      </c>
      <c r="D565" s="22">
        <v>5118750</v>
      </c>
    </row>
    <row r="566" spans="1:4" x14ac:dyDescent="0.25">
      <c r="A566">
        <v>1846</v>
      </c>
      <c r="B566" s="16">
        <v>43466</v>
      </c>
      <c r="C566" t="s">
        <v>88</v>
      </c>
      <c r="D566" s="22">
        <v>7245000</v>
      </c>
    </row>
    <row r="567" spans="1:4" x14ac:dyDescent="0.25">
      <c r="A567">
        <v>1846</v>
      </c>
      <c r="B567" s="16">
        <v>43497</v>
      </c>
      <c r="C567" t="s">
        <v>88</v>
      </c>
      <c r="D567" s="22">
        <v>7245000</v>
      </c>
    </row>
    <row r="568" spans="1:4" x14ac:dyDescent="0.25">
      <c r="A568">
        <v>1846</v>
      </c>
      <c r="B568" s="16">
        <v>43466</v>
      </c>
      <c r="C568" t="s">
        <v>161</v>
      </c>
      <c r="D568" s="22">
        <v>5118750</v>
      </c>
    </row>
    <row r="569" spans="1:4" x14ac:dyDescent="0.25">
      <c r="A569">
        <v>1846</v>
      </c>
      <c r="B569" s="16">
        <v>43497</v>
      </c>
      <c r="C569" t="s">
        <v>161</v>
      </c>
      <c r="D569" s="22">
        <v>5118750</v>
      </c>
    </row>
    <row r="570" spans="1:4" x14ac:dyDescent="0.25">
      <c r="A570">
        <v>1856</v>
      </c>
      <c r="B570" s="16">
        <v>43466</v>
      </c>
      <c r="C570" t="s">
        <v>12</v>
      </c>
      <c r="D570" s="22">
        <v>9910003.9500000011</v>
      </c>
    </row>
    <row r="571" spans="1:4" x14ac:dyDescent="0.25">
      <c r="A571">
        <v>1856</v>
      </c>
      <c r="B571" s="16">
        <v>43497</v>
      </c>
      <c r="C571" t="s">
        <v>12</v>
      </c>
      <c r="D571" s="22">
        <v>9910003.9500000011</v>
      </c>
    </row>
    <row r="572" spans="1:4" x14ac:dyDescent="0.25">
      <c r="A572">
        <v>1856</v>
      </c>
      <c r="B572" s="16">
        <v>43525</v>
      </c>
      <c r="C572" t="s">
        <v>12</v>
      </c>
      <c r="D572" s="22">
        <v>9910003.9500000011</v>
      </c>
    </row>
    <row r="573" spans="1:4" x14ac:dyDescent="0.25">
      <c r="A573">
        <v>1856</v>
      </c>
      <c r="B573" s="16">
        <v>43556</v>
      </c>
      <c r="C573" t="s">
        <v>12</v>
      </c>
      <c r="D573" s="22">
        <v>9910003.9500000011</v>
      </c>
    </row>
    <row r="574" spans="1:4" x14ac:dyDescent="0.25">
      <c r="A574">
        <v>1856</v>
      </c>
      <c r="B574" s="16">
        <v>43586</v>
      </c>
      <c r="C574" t="s">
        <v>12</v>
      </c>
      <c r="D574" s="22">
        <v>9910003.9500000011</v>
      </c>
    </row>
    <row r="575" spans="1:4" x14ac:dyDescent="0.25">
      <c r="A575">
        <v>1856</v>
      </c>
      <c r="B575" s="16">
        <v>43617</v>
      </c>
      <c r="C575" t="s">
        <v>12</v>
      </c>
      <c r="D575" s="22">
        <v>9910003.9500000011</v>
      </c>
    </row>
    <row r="576" spans="1:4" x14ac:dyDescent="0.25">
      <c r="A576">
        <v>1856</v>
      </c>
      <c r="B576" s="16">
        <v>43647</v>
      </c>
      <c r="C576" t="s">
        <v>12</v>
      </c>
      <c r="D576" s="22">
        <v>9910003.9500000011</v>
      </c>
    </row>
    <row r="577" spans="1:4" x14ac:dyDescent="0.25">
      <c r="A577">
        <v>1856</v>
      </c>
      <c r="B577" s="16">
        <v>43678</v>
      </c>
      <c r="C577" t="s">
        <v>12</v>
      </c>
      <c r="D577" s="22">
        <v>9910003.9500000011</v>
      </c>
    </row>
    <row r="578" spans="1:4" x14ac:dyDescent="0.25">
      <c r="A578">
        <v>1856</v>
      </c>
      <c r="B578" s="16">
        <v>43709</v>
      </c>
      <c r="C578" t="s">
        <v>12</v>
      </c>
      <c r="D578" s="22">
        <v>9910003.9500000011</v>
      </c>
    </row>
    <row r="579" spans="1:4" x14ac:dyDescent="0.25">
      <c r="A579">
        <v>1856</v>
      </c>
      <c r="B579" s="16">
        <v>43739</v>
      </c>
      <c r="C579" t="s">
        <v>12</v>
      </c>
      <c r="D579" s="22">
        <v>9910003.9500000011</v>
      </c>
    </row>
    <row r="580" spans="1:4" x14ac:dyDescent="0.25">
      <c r="A580">
        <v>1856</v>
      </c>
      <c r="B580" s="16">
        <v>43770</v>
      </c>
      <c r="C580" t="s">
        <v>12</v>
      </c>
      <c r="D580" s="22">
        <v>9910003.9500000011</v>
      </c>
    </row>
    <row r="581" spans="1:4" x14ac:dyDescent="0.25">
      <c r="A581">
        <v>1856</v>
      </c>
      <c r="B581" s="16">
        <v>43800</v>
      </c>
      <c r="C581" t="s">
        <v>12</v>
      </c>
      <c r="D581" s="22">
        <v>9910003.9500000011</v>
      </c>
    </row>
    <row r="582" spans="1:4" x14ac:dyDescent="0.25">
      <c r="A582">
        <v>1856</v>
      </c>
      <c r="B582" s="16">
        <v>43831</v>
      </c>
      <c r="C582" t="s">
        <v>12</v>
      </c>
      <c r="D582" s="22">
        <v>9910003.9500000011</v>
      </c>
    </row>
    <row r="583" spans="1:4" x14ac:dyDescent="0.25">
      <c r="A583">
        <v>1856</v>
      </c>
      <c r="B583" s="16">
        <v>43862</v>
      </c>
      <c r="C583" t="s">
        <v>12</v>
      </c>
      <c r="D583" s="22">
        <v>9910003.9500000011</v>
      </c>
    </row>
    <row r="584" spans="1:4" x14ac:dyDescent="0.25">
      <c r="A584">
        <v>1856</v>
      </c>
      <c r="B584" s="16">
        <v>43891</v>
      </c>
      <c r="C584" t="s">
        <v>12</v>
      </c>
      <c r="D584" s="22">
        <v>9910003.9500000011</v>
      </c>
    </row>
    <row r="585" spans="1:4" x14ac:dyDescent="0.25">
      <c r="A585">
        <v>1856</v>
      </c>
      <c r="B585" s="16">
        <v>43922</v>
      </c>
      <c r="C585" t="s">
        <v>12</v>
      </c>
      <c r="D585" s="22">
        <v>9910003.9500000011</v>
      </c>
    </row>
    <row r="586" spans="1:4" x14ac:dyDescent="0.25">
      <c r="A586">
        <v>1856</v>
      </c>
      <c r="B586" s="16">
        <v>43952</v>
      </c>
      <c r="C586" t="s">
        <v>12</v>
      </c>
      <c r="D586" s="22">
        <v>9910003.9500000011</v>
      </c>
    </row>
    <row r="587" spans="1:4" x14ac:dyDescent="0.25">
      <c r="A587">
        <v>1856</v>
      </c>
      <c r="B587" s="16">
        <v>43983</v>
      </c>
      <c r="C587" t="s">
        <v>12</v>
      </c>
      <c r="D587" s="22">
        <v>9910003.9500000011</v>
      </c>
    </row>
    <row r="588" spans="1:4" x14ac:dyDescent="0.25">
      <c r="A588">
        <v>1856</v>
      </c>
      <c r="B588" s="16">
        <v>44013</v>
      </c>
      <c r="C588" t="s">
        <v>12</v>
      </c>
      <c r="D588" s="22">
        <v>9910003.9500000011</v>
      </c>
    </row>
    <row r="589" spans="1:4" x14ac:dyDescent="0.25">
      <c r="A589">
        <v>1856</v>
      </c>
      <c r="B589" s="16">
        <v>44044</v>
      </c>
      <c r="C589" t="s">
        <v>12</v>
      </c>
      <c r="D589" s="22">
        <v>9910003.9500000011</v>
      </c>
    </row>
    <row r="590" spans="1:4" x14ac:dyDescent="0.25">
      <c r="A590">
        <v>1856</v>
      </c>
      <c r="B590" s="16">
        <v>44075</v>
      </c>
      <c r="C590" t="s">
        <v>12</v>
      </c>
      <c r="D590" s="22">
        <v>9910003.9500000011</v>
      </c>
    </row>
    <row r="591" spans="1:4" x14ac:dyDescent="0.25">
      <c r="A591">
        <v>1856</v>
      </c>
      <c r="B591" s="16">
        <v>44105</v>
      </c>
      <c r="C591" t="s">
        <v>12</v>
      </c>
      <c r="D591" s="22">
        <v>9910003.9500000011</v>
      </c>
    </row>
    <row r="592" spans="1:4" x14ac:dyDescent="0.25">
      <c r="A592">
        <v>1856</v>
      </c>
      <c r="B592" s="16">
        <v>44136</v>
      </c>
      <c r="C592" t="s">
        <v>12</v>
      </c>
      <c r="D592" s="22">
        <v>9910003.9500000011</v>
      </c>
    </row>
    <row r="593" spans="1:4" x14ac:dyDescent="0.25">
      <c r="A593">
        <v>1856</v>
      </c>
      <c r="B593" s="16">
        <v>44166</v>
      </c>
      <c r="C593" t="s">
        <v>12</v>
      </c>
      <c r="D593" s="22">
        <v>9910003.9500000011</v>
      </c>
    </row>
    <row r="594" spans="1:4" x14ac:dyDescent="0.25">
      <c r="A594">
        <v>1856</v>
      </c>
      <c r="B594" s="16">
        <v>44197</v>
      </c>
      <c r="C594" t="s">
        <v>12</v>
      </c>
      <c r="D594" s="22">
        <v>9910003.9500000011</v>
      </c>
    </row>
    <row r="595" spans="1:4" x14ac:dyDescent="0.25">
      <c r="A595">
        <v>1856</v>
      </c>
      <c r="B595" s="16">
        <v>44228</v>
      </c>
      <c r="C595" t="s">
        <v>12</v>
      </c>
      <c r="D595" s="22">
        <v>9910003.9500000011</v>
      </c>
    </row>
    <row r="596" spans="1:4" x14ac:dyDescent="0.25">
      <c r="A596">
        <v>1856</v>
      </c>
      <c r="B596" s="16">
        <v>43466</v>
      </c>
      <c r="C596" t="s">
        <v>162</v>
      </c>
      <c r="D596" s="22">
        <v>5019615.5309999995</v>
      </c>
    </row>
    <row r="597" spans="1:4" x14ac:dyDescent="0.25">
      <c r="A597">
        <v>1856</v>
      </c>
      <c r="B597" s="16">
        <v>43497</v>
      </c>
      <c r="C597" t="s">
        <v>162</v>
      </c>
      <c r="D597" s="22">
        <v>5019615.5309999995</v>
      </c>
    </row>
    <row r="598" spans="1:4" x14ac:dyDescent="0.25">
      <c r="A598">
        <v>1856</v>
      </c>
      <c r="B598" s="16">
        <v>43525</v>
      </c>
      <c r="C598" t="s">
        <v>162</v>
      </c>
      <c r="D598" s="22">
        <v>5019615.5309999995</v>
      </c>
    </row>
    <row r="599" spans="1:4" x14ac:dyDescent="0.25">
      <c r="A599">
        <v>1856</v>
      </c>
      <c r="B599" s="16">
        <v>43556</v>
      </c>
      <c r="C599" t="s">
        <v>162</v>
      </c>
      <c r="D599" s="22">
        <v>5019615.5309999995</v>
      </c>
    </row>
    <row r="600" spans="1:4" x14ac:dyDescent="0.25">
      <c r="A600">
        <v>1856</v>
      </c>
      <c r="B600" s="16">
        <v>43586</v>
      </c>
      <c r="C600" t="s">
        <v>162</v>
      </c>
      <c r="D600" s="22">
        <v>5019615.5309999995</v>
      </c>
    </row>
    <row r="601" spans="1:4" x14ac:dyDescent="0.25">
      <c r="A601">
        <v>1856</v>
      </c>
      <c r="B601" s="16">
        <v>43617</v>
      </c>
      <c r="C601" t="s">
        <v>162</v>
      </c>
      <c r="D601" s="22">
        <v>5019615.5309999995</v>
      </c>
    </row>
    <row r="602" spans="1:4" x14ac:dyDescent="0.25">
      <c r="A602">
        <v>1856</v>
      </c>
      <c r="B602" s="16">
        <v>43647</v>
      </c>
      <c r="C602" t="s">
        <v>162</v>
      </c>
      <c r="D602" s="22">
        <v>5019615.5309999995</v>
      </c>
    </row>
    <row r="603" spans="1:4" x14ac:dyDescent="0.25">
      <c r="A603">
        <v>1856</v>
      </c>
      <c r="B603" s="16">
        <v>43678</v>
      </c>
      <c r="C603" t="s">
        <v>162</v>
      </c>
      <c r="D603" s="22">
        <v>5019615.5309999995</v>
      </c>
    </row>
    <row r="604" spans="1:4" x14ac:dyDescent="0.25">
      <c r="A604">
        <v>1856</v>
      </c>
      <c r="B604" s="16">
        <v>43709</v>
      </c>
      <c r="C604" t="s">
        <v>162</v>
      </c>
      <c r="D604" s="22">
        <v>5019615.5309999995</v>
      </c>
    </row>
    <row r="605" spans="1:4" x14ac:dyDescent="0.25">
      <c r="A605">
        <v>1856</v>
      </c>
      <c r="B605" s="16">
        <v>43739</v>
      </c>
      <c r="C605" t="s">
        <v>162</v>
      </c>
      <c r="D605" s="22">
        <v>5019615.5309999995</v>
      </c>
    </row>
    <row r="606" spans="1:4" x14ac:dyDescent="0.25">
      <c r="A606">
        <v>1856</v>
      </c>
      <c r="B606" s="16">
        <v>43770</v>
      </c>
      <c r="C606" t="s">
        <v>162</v>
      </c>
      <c r="D606" s="22">
        <v>5019615.5309999995</v>
      </c>
    </row>
    <row r="607" spans="1:4" x14ac:dyDescent="0.25">
      <c r="A607">
        <v>1856</v>
      </c>
      <c r="B607" s="16">
        <v>43800</v>
      </c>
      <c r="C607" t="s">
        <v>162</v>
      </c>
      <c r="D607" s="22">
        <v>5019615.5309999995</v>
      </c>
    </row>
    <row r="608" spans="1:4" x14ac:dyDescent="0.25">
      <c r="A608">
        <v>1856</v>
      </c>
      <c r="B608" s="16">
        <v>43831</v>
      </c>
      <c r="C608" t="s">
        <v>162</v>
      </c>
      <c r="D608" s="22">
        <v>5019615.5309999995</v>
      </c>
    </row>
    <row r="609" spans="1:4" x14ac:dyDescent="0.25">
      <c r="A609">
        <v>1856</v>
      </c>
      <c r="B609" s="16">
        <v>43862</v>
      </c>
      <c r="C609" t="s">
        <v>162</v>
      </c>
      <c r="D609" s="22">
        <v>5019615.5309999995</v>
      </c>
    </row>
    <row r="610" spans="1:4" x14ac:dyDescent="0.25">
      <c r="A610">
        <v>1856</v>
      </c>
      <c r="B610" s="16">
        <v>43891</v>
      </c>
      <c r="C610" t="s">
        <v>162</v>
      </c>
      <c r="D610" s="22">
        <v>5019615.5309999995</v>
      </c>
    </row>
    <row r="611" spans="1:4" x14ac:dyDescent="0.25">
      <c r="A611">
        <v>1856</v>
      </c>
      <c r="B611" s="16">
        <v>43922</v>
      </c>
      <c r="C611" t="s">
        <v>162</v>
      </c>
      <c r="D611" s="22">
        <v>5019615.5309999995</v>
      </c>
    </row>
    <row r="612" spans="1:4" x14ac:dyDescent="0.25">
      <c r="A612">
        <v>1856</v>
      </c>
      <c r="B612" s="16">
        <v>43952</v>
      </c>
      <c r="C612" t="s">
        <v>162</v>
      </c>
      <c r="D612" s="22">
        <v>5019615.5309999995</v>
      </c>
    </row>
    <row r="613" spans="1:4" x14ac:dyDescent="0.25">
      <c r="A613">
        <v>1856</v>
      </c>
      <c r="B613" s="16">
        <v>43983</v>
      </c>
      <c r="C613" t="s">
        <v>162</v>
      </c>
      <c r="D613" s="22">
        <v>5019615.5309999995</v>
      </c>
    </row>
    <row r="614" spans="1:4" x14ac:dyDescent="0.25">
      <c r="A614">
        <v>1856</v>
      </c>
      <c r="B614" s="16">
        <v>44013</v>
      </c>
      <c r="C614" t="s">
        <v>162</v>
      </c>
      <c r="D614" s="22">
        <v>5019615.5309999995</v>
      </c>
    </row>
    <row r="615" spans="1:4" x14ac:dyDescent="0.25">
      <c r="A615">
        <v>1856</v>
      </c>
      <c r="B615" s="16">
        <v>44044</v>
      </c>
      <c r="C615" t="s">
        <v>162</v>
      </c>
      <c r="D615" s="22">
        <v>5019615.5309999995</v>
      </c>
    </row>
    <row r="616" spans="1:4" x14ac:dyDescent="0.25">
      <c r="A616">
        <v>1856</v>
      </c>
      <c r="B616" s="16">
        <v>44075</v>
      </c>
      <c r="C616" t="s">
        <v>162</v>
      </c>
      <c r="D616" s="22">
        <v>5019615.5309999995</v>
      </c>
    </row>
    <row r="617" spans="1:4" x14ac:dyDescent="0.25">
      <c r="A617">
        <v>1856</v>
      </c>
      <c r="B617" s="16">
        <v>44105</v>
      </c>
      <c r="C617" t="s">
        <v>162</v>
      </c>
      <c r="D617" s="22">
        <v>5019615.5309999995</v>
      </c>
    </row>
    <row r="618" spans="1:4" x14ac:dyDescent="0.25">
      <c r="A618">
        <v>1856</v>
      </c>
      <c r="B618" s="16">
        <v>44136</v>
      </c>
      <c r="C618" t="s">
        <v>162</v>
      </c>
      <c r="D618" s="22">
        <v>5019615.5309999995</v>
      </c>
    </row>
    <row r="619" spans="1:4" x14ac:dyDescent="0.25">
      <c r="A619">
        <v>1856</v>
      </c>
      <c r="B619" s="16">
        <v>44166</v>
      </c>
      <c r="C619" t="s">
        <v>162</v>
      </c>
      <c r="D619" s="22">
        <v>5019615.5309999995</v>
      </c>
    </row>
    <row r="620" spans="1:4" x14ac:dyDescent="0.25">
      <c r="A620">
        <v>1856</v>
      </c>
      <c r="B620" s="16">
        <v>44197</v>
      </c>
      <c r="C620" t="s">
        <v>162</v>
      </c>
      <c r="D620" s="22">
        <v>5019615.5309999995</v>
      </c>
    </row>
    <row r="621" spans="1:4" x14ac:dyDescent="0.25">
      <c r="A621">
        <v>1856</v>
      </c>
      <c r="B621" s="16">
        <v>43466</v>
      </c>
      <c r="C621" t="s">
        <v>76</v>
      </c>
      <c r="D621" s="22">
        <v>4260730.9499999993</v>
      </c>
    </row>
    <row r="622" spans="1:4" x14ac:dyDescent="0.25">
      <c r="A622">
        <v>1856</v>
      </c>
      <c r="B622" s="16">
        <v>43497</v>
      </c>
      <c r="C622" t="s">
        <v>76</v>
      </c>
      <c r="D622" s="22">
        <v>4260730.9499999993</v>
      </c>
    </row>
    <row r="623" spans="1:4" x14ac:dyDescent="0.25">
      <c r="A623">
        <v>1856</v>
      </c>
      <c r="B623" s="16">
        <v>43525</v>
      </c>
      <c r="C623" t="s">
        <v>76</v>
      </c>
      <c r="D623" s="22">
        <v>4260730.9499999993</v>
      </c>
    </row>
    <row r="624" spans="1:4" x14ac:dyDescent="0.25">
      <c r="A624">
        <v>1856</v>
      </c>
      <c r="B624" s="16">
        <v>43556</v>
      </c>
      <c r="C624" t="s">
        <v>76</v>
      </c>
      <c r="D624" s="22">
        <v>4260730.9499999993</v>
      </c>
    </row>
    <row r="625" spans="1:4" x14ac:dyDescent="0.25">
      <c r="A625">
        <v>1856</v>
      </c>
      <c r="B625" s="16">
        <v>43586</v>
      </c>
      <c r="C625" t="s">
        <v>76</v>
      </c>
      <c r="D625" s="22">
        <v>4260730.9499999993</v>
      </c>
    </row>
    <row r="626" spans="1:4" x14ac:dyDescent="0.25">
      <c r="A626">
        <v>1856</v>
      </c>
      <c r="B626" s="16">
        <v>43617</v>
      </c>
      <c r="C626" t="s">
        <v>76</v>
      </c>
      <c r="D626" s="22">
        <v>4260730.9499999993</v>
      </c>
    </row>
    <row r="627" spans="1:4" x14ac:dyDescent="0.25">
      <c r="A627">
        <v>1856</v>
      </c>
      <c r="B627" s="16">
        <v>43647</v>
      </c>
      <c r="C627" t="s">
        <v>76</v>
      </c>
      <c r="D627" s="22">
        <v>4260730.9499999993</v>
      </c>
    </row>
    <row r="628" spans="1:4" x14ac:dyDescent="0.25">
      <c r="A628">
        <v>1856</v>
      </c>
      <c r="B628" s="16">
        <v>43678</v>
      </c>
      <c r="C628" t="s">
        <v>76</v>
      </c>
      <c r="D628" s="22">
        <v>4260730.9499999993</v>
      </c>
    </row>
    <row r="629" spans="1:4" x14ac:dyDescent="0.25">
      <c r="A629">
        <v>1856</v>
      </c>
      <c r="B629" s="16">
        <v>43466</v>
      </c>
      <c r="C629" t="s">
        <v>163</v>
      </c>
      <c r="D629" s="22">
        <v>3984270.0974999997</v>
      </c>
    </row>
    <row r="630" spans="1:4" x14ac:dyDescent="0.25">
      <c r="A630">
        <v>1856</v>
      </c>
      <c r="B630" s="16">
        <v>43466</v>
      </c>
      <c r="C630" t="s">
        <v>39</v>
      </c>
      <c r="D630" s="22">
        <v>4205787.0750000002</v>
      </c>
    </row>
    <row r="631" spans="1:4" x14ac:dyDescent="0.25">
      <c r="A631">
        <v>1856</v>
      </c>
      <c r="B631" s="16">
        <v>43497</v>
      </c>
      <c r="C631" t="s">
        <v>39</v>
      </c>
      <c r="D631" s="22">
        <v>4205787.0750000002</v>
      </c>
    </row>
    <row r="632" spans="1:4" x14ac:dyDescent="0.25">
      <c r="A632">
        <v>1856</v>
      </c>
      <c r="B632" s="16">
        <v>43525</v>
      </c>
      <c r="C632" t="s">
        <v>39</v>
      </c>
      <c r="D632" s="22">
        <v>4205787.0750000002</v>
      </c>
    </row>
    <row r="633" spans="1:4" x14ac:dyDescent="0.25">
      <c r="A633">
        <v>1856</v>
      </c>
      <c r="B633" s="16">
        <v>43556</v>
      </c>
      <c r="C633" t="s">
        <v>39</v>
      </c>
      <c r="D633" s="22">
        <v>4205787.0750000002</v>
      </c>
    </row>
    <row r="634" spans="1:4" x14ac:dyDescent="0.25">
      <c r="A634">
        <v>1856</v>
      </c>
      <c r="B634" s="16">
        <v>43586</v>
      </c>
      <c r="C634" t="s">
        <v>39</v>
      </c>
      <c r="D634" s="22">
        <v>4205787.0750000002</v>
      </c>
    </row>
    <row r="635" spans="1:4" x14ac:dyDescent="0.25">
      <c r="A635">
        <v>1856</v>
      </c>
      <c r="B635" s="16">
        <v>43617</v>
      </c>
      <c r="C635" t="s">
        <v>39</v>
      </c>
      <c r="D635" s="22">
        <v>4205787.0750000002</v>
      </c>
    </row>
    <row r="636" spans="1:4" x14ac:dyDescent="0.25">
      <c r="A636">
        <v>1856</v>
      </c>
      <c r="B636" s="16">
        <v>43647</v>
      </c>
      <c r="C636" t="s">
        <v>39</v>
      </c>
      <c r="D636" s="22">
        <v>4205787.0750000002</v>
      </c>
    </row>
    <row r="637" spans="1:4" x14ac:dyDescent="0.25">
      <c r="A637">
        <v>1856</v>
      </c>
      <c r="B637" s="16">
        <v>43678</v>
      </c>
      <c r="C637" t="s">
        <v>39</v>
      </c>
      <c r="D637" s="22">
        <v>4205787.0750000002</v>
      </c>
    </row>
    <row r="638" spans="1:4" x14ac:dyDescent="0.25">
      <c r="A638">
        <v>1856</v>
      </c>
      <c r="B638" s="16">
        <v>43709</v>
      </c>
      <c r="C638" t="s">
        <v>39</v>
      </c>
      <c r="D638" s="22">
        <v>4205787.0750000002</v>
      </c>
    </row>
    <row r="639" spans="1:4" x14ac:dyDescent="0.25">
      <c r="A639">
        <v>1856</v>
      </c>
      <c r="B639" s="16">
        <v>43739</v>
      </c>
      <c r="C639" t="s">
        <v>39</v>
      </c>
      <c r="D639" s="22">
        <v>4205787.0750000002</v>
      </c>
    </row>
    <row r="640" spans="1:4" x14ac:dyDescent="0.25">
      <c r="A640">
        <v>1856</v>
      </c>
      <c r="B640" s="16">
        <v>43770</v>
      </c>
      <c r="C640" t="s">
        <v>39</v>
      </c>
      <c r="D640" s="22">
        <v>4205787.0750000002</v>
      </c>
    </row>
    <row r="641" spans="1:4" x14ac:dyDescent="0.25">
      <c r="A641">
        <v>1856</v>
      </c>
      <c r="B641" s="16">
        <v>43800</v>
      </c>
      <c r="C641" t="s">
        <v>39</v>
      </c>
      <c r="D641" s="22">
        <v>4205787.0750000002</v>
      </c>
    </row>
    <row r="642" spans="1:4" x14ac:dyDescent="0.25">
      <c r="A642">
        <v>1856</v>
      </c>
      <c r="B642" s="16">
        <v>43831</v>
      </c>
      <c r="C642" t="s">
        <v>39</v>
      </c>
      <c r="D642" s="22">
        <v>4205787.0750000002</v>
      </c>
    </row>
    <row r="643" spans="1:4" x14ac:dyDescent="0.25">
      <c r="A643">
        <v>1856</v>
      </c>
      <c r="B643" s="16">
        <v>43862</v>
      </c>
      <c r="C643" t="s">
        <v>39</v>
      </c>
      <c r="D643" s="22">
        <v>4205787.0750000002</v>
      </c>
    </row>
    <row r="644" spans="1:4" x14ac:dyDescent="0.25">
      <c r="A644">
        <v>1856</v>
      </c>
      <c r="B644" s="16">
        <v>43891</v>
      </c>
      <c r="C644" t="s">
        <v>39</v>
      </c>
      <c r="D644" s="22">
        <v>4205787.0750000002</v>
      </c>
    </row>
    <row r="645" spans="1:4" x14ac:dyDescent="0.25">
      <c r="A645">
        <v>1856</v>
      </c>
      <c r="B645" s="16">
        <v>43922</v>
      </c>
      <c r="C645" t="s">
        <v>39</v>
      </c>
      <c r="D645" s="22">
        <v>4205787.0750000002</v>
      </c>
    </row>
    <row r="646" spans="1:4" x14ac:dyDescent="0.25">
      <c r="A646">
        <v>1856</v>
      </c>
      <c r="B646" s="16">
        <v>43952</v>
      </c>
      <c r="C646" t="s">
        <v>39</v>
      </c>
      <c r="D646" s="22">
        <v>4205787.0750000002</v>
      </c>
    </row>
    <row r="647" spans="1:4" x14ac:dyDescent="0.25">
      <c r="A647">
        <v>1856</v>
      </c>
      <c r="B647" s="16">
        <v>43983</v>
      </c>
      <c r="C647" t="s">
        <v>39</v>
      </c>
      <c r="D647" s="22">
        <v>4205787.0750000002</v>
      </c>
    </row>
    <row r="648" spans="1:4" x14ac:dyDescent="0.25">
      <c r="A648">
        <v>1856</v>
      </c>
      <c r="B648" s="16">
        <v>44013</v>
      </c>
      <c r="C648" t="s">
        <v>39</v>
      </c>
      <c r="D648" s="22">
        <v>4205787.0750000002</v>
      </c>
    </row>
    <row r="649" spans="1:4" x14ac:dyDescent="0.25">
      <c r="A649">
        <v>1856</v>
      </c>
      <c r="B649" s="16">
        <v>44044</v>
      </c>
      <c r="C649" t="s">
        <v>39</v>
      </c>
      <c r="D649" s="22">
        <v>4205787.0750000002</v>
      </c>
    </row>
    <row r="650" spans="1:4" x14ac:dyDescent="0.25">
      <c r="A650">
        <v>1856</v>
      </c>
      <c r="B650" s="16">
        <v>44075</v>
      </c>
      <c r="C650" t="s">
        <v>39</v>
      </c>
      <c r="D650" s="22">
        <v>4205787.0750000002</v>
      </c>
    </row>
    <row r="651" spans="1:4" x14ac:dyDescent="0.25">
      <c r="A651">
        <v>1856</v>
      </c>
      <c r="B651" s="16">
        <v>44105</v>
      </c>
      <c r="C651" t="s">
        <v>39</v>
      </c>
      <c r="D651" s="22">
        <v>4205787.0750000002</v>
      </c>
    </row>
    <row r="652" spans="1:4" x14ac:dyDescent="0.25">
      <c r="A652">
        <v>1856</v>
      </c>
      <c r="B652" s="16">
        <v>44136</v>
      </c>
      <c r="C652" t="s">
        <v>39</v>
      </c>
      <c r="D652" s="22">
        <v>4205787.0750000002</v>
      </c>
    </row>
    <row r="653" spans="1:4" x14ac:dyDescent="0.25">
      <c r="A653">
        <v>1856</v>
      </c>
      <c r="B653" s="16">
        <v>44166</v>
      </c>
      <c r="C653" t="s">
        <v>39</v>
      </c>
      <c r="D653" s="22">
        <v>4205787.0750000002</v>
      </c>
    </row>
    <row r="654" spans="1:4" x14ac:dyDescent="0.25">
      <c r="A654">
        <v>1856</v>
      </c>
      <c r="B654" s="16">
        <v>44197</v>
      </c>
      <c r="C654" t="s">
        <v>39</v>
      </c>
      <c r="D654" s="22">
        <v>4205787.0750000002</v>
      </c>
    </row>
    <row r="655" spans="1:4" x14ac:dyDescent="0.25">
      <c r="A655">
        <v>1856</v>
      </c>
      <c r="B655" s="16">
        <v>43556</v>
      </c>
      <c r="C655" t="s">
        <v>26</v>
      </c>
      <c r="D655" s="22">
        <v>6444668.4750000006</v>
      </c>
    </row>
    <row r="656" spans="1:4" x14ac:dyDescent="0.25">
      <c r="A656">
        <v>1856</v>
      </c>
      <c r="B656" s="16">
        <v>43586</v>
      </c>
      <c r="C656" t="s">
        <v>26</v>
      </c>
      <c r="D656" s="22">
        <v>6444668.4750000006</v>
      </c>
    </row>
    <row r="657" spans="1:4" x14ac:dyDescent="0.25">
      <c r="A657">
        <v>1856</v>
      </c>
      <c r="B657" s="16">
        <v>43617</v>
      </c>
      <c r="C657" t="s">
        <v>26</v>
      </c>
      <c r="D657" s="22">
        <v>6444668.4750000006</v>
      </c>
    </row>
    <row r="658" spans="1:4" x14ac:dyDescent="0.25">
      <c r="A658">
        <v>1856</v>
      </c>
      <c r="B658" s="16">
        <v>43647</v>
      </c>
      <c r="C658" t="s">
        <v>26</v>
      </c>
      <c r="D658" s="22">
        <v>6444668.4750000006</v>
      </c>
    </row>
    <row r="659" spans="1:4" x14ac:dyDescent="0.25">
      <c r="A659">
        <v>1856</v>
      </c>
      <c r="B659" s="16">
        <v>43678</v>
      </c>
      <c r="C659" t="s">
        <v>26</v>
      </c>
      <c r="D659" s="22">
        <v>6444668.4750000006</v>
      </c>
    </row>
    <row r="660" spans="1:4" x14ac:dyDescent="0.25">
      <c r="A660">
        <v>1856</v>
      </c>
      <c r="B660" s="16">
        <v>43709</v>
      </c>
      <c r="C660" t="s">
        <v>26</v>
      </c>
      <c r="D660" s="22">
        <v>6444668.4750000006</v>
      </c>
    </row>
    <row r="661" spans="1:4" x14ac:dyDescent="0.25">
      <c r="A661">
        <v>1856</v>
      </c>
      <c r="B661" s="16">
        <v>43739</v>
      </c>
      <c r="C661" t="s">
        <v>26</v>
      </c>
      <c r="D661" s="22">
        <v>6444668.4750000006</v>
      </c>
    </row>
    <row r="662" spans="1:4" x14ac:dyDescent="0.25">
      <c r="A662">
        <v>1856</v>
      </c>
      <c r="B662" s="16">
        <v>43770</v>
      </c>
      <c r="C662" t="s">
        <v>26</v>
      </c>
      <c r="D662" s="22">
        <v>6444668.4750000006</v>
      </c>
    </row>
    <row r="663" spans="1:4" x14ac:dyDescent="0.25">
      <c r="A663">
        <v>1856</v>
      </c>
      <c r="B663" s="16">
        <v>43800</v>
      </c>
      <c r="C663" t="s">
        <v>26</v>
      </c>
      <c r="D663" s="22">
        <v>6444668.4750000006</v>
      </c>
    </row>
    <row r="664" spans="1:4" x14ac:dyDescent="0.25">
      <c r="A664">
        <v>1856</v>
      </c>
      <c r="B664" s="16">
        <v>43831</v>
      </c>
      <c r="C664" t="s">
        <v>26</v>
      </c>
      <c r="D664" s="22">
        <v>6444668.4750000006</v>
      </c>
    </row>
    <row r="665" spans="1:4" x14ac:dyDescent="0.25">
      <c r="A665">
        <v>1856</v>
      </c>
      <c r="B665" s="16">
        <v>43862</v>
      </c>
      <c r="C665" t="s">
        <v>26</v>
      </c>
      <c r="D665" s="22">
        <v>6444668.4750000006</v>
      </c>
    </row>
    <row r="666" spans="1:4" x14ac:dyDescent="0.25">
      <c r="A666">
        <v>1856</v>
      </c>
      <c r="B666" s="16">
        <v>43891</v>
      </c>
      <c r="C666" t="s">
        <v>26</v>
      </c>
      <c r="D666" s="22">
        <v>6444668.4750000006</v>
      </c>
    </row>
    <row r="667" spans="1:4" x14ac:dyDescent="0.25">
      <c r="A667">
        <v>1856</v>
      </c>
      <c r="B667" s="16">
        <v>43922</v>
      </c>
      <c r="C667" t="s">
        <v>26</v>
      </c>
      <c r="D667" s="22">
        <v>6444668.4750000006</v>
      </c>
    </row>
    <row r="668" spans="1:4" x14ac:dyDescent="0.25">
      <c r="A668">
        <v>1856</v>
      </c>
      <c r="B668" s="16">
        <v>43952</v>
      </c>
      <c r="C668" t="s">
        <v>26</v>
      </c>
      <c r="D668" s="22">
        <v>6444668.4750000006</v>
      </c>
    </row>
    <row r="669" spans="1:4" x14ac:dyDescent="0.25">
      <c r="A669">
        <v>1856</v>
      </c>
      <c r="B669" s="16">
        <v>43983</v>
      </c>
      <c r="C669" t="s">
        <v>26</v>
      </c>
      <c r="D669" s="22">
        <v>6444668.4750000006</v>
      </c>
    </row>
    <row r="670" spans="1:4" x14ac:dyDescent="0.25">
      <c r="A670">
        <v>1856</v>
      </c>
      <c r="B670" s="16">
        <v>44013</v>
      </c>
      <c r="C670" t="s">
        <v>26</v>
      </c>
      <c r="D670" s="22">
        <v>6444668.4750000006</v>
      </c>
    </row>
    <row r="671" spans="1:4" x14ac:dyDescent="0.25">
      <c r="A671">
        <v>1856</v>
      </c>
      <c r="B671" s="16">
        <v>44044</v>
      </c>
      <c r="C671" t="s">
        <v>26</v>
      </c>
      <c r="D671" s="22">
        <v>6444668.4750000006</v>
      </c>
    </row>
    <row r="672" spans="1:4" x14ac:dyDescent="0.25">
      <c r="A672">
        <v>1856</v>
      </c>
      <c r="B672" s="16">
        <v>44075</v>
      </c>
      <c r="C672" t="s">
        <v>26</v>
      </c>
      <c r="D672" s="22">
        <v>6444668.4750000006</v>
      </c>
    </row>
    <row r="673" spans="1:4" x14ac:dyDescent="0.25">
      <c r="A673">
        <v>1856</v>
      </c>
      <c r="B673" s="16">
        <v>44105</v>
      </c>
      <c r="C673" t="s">
        <v>26</v>
      </c>
      <c r="D673" s="22">
        <v>6444668.4750000006</v>
      </c>
    </row>
    <row r="674" spans="1:4" x14ac:dyDescent="0.25">
      <c r="A674">
        <v>1856</v>
      </c>
      <c r="B674" s="16">
        <v>44136</v>
      </c>
      <c r="C674" t="s">
        <v>26</v>
      </c>
      <c r="D674" s="22">
        <v>6444668.4750000006</v>
      </c>
    </row>
    <row r="675" spans="1:4" x14ac:dyDescent="0.25">
      <c r="A675">
        <v>1856</v>
      </c>
      <c r="B675" s="16">
        <v>44166</v>
      </c>
      <c r="C675" t="s">
        <v>26</v>
      </c>
      <c r="D675" s="22">
        <v>6444668.4750000006</v>
      </c>
    </row>
    <row r="676" spans="1:4" x14ac:dyDescent="0.25">
      <c r="A676">
        <v>1856</v>
      </c>
      <c r="B676" s="16">
        <v>44197</v>
      </c>
      <c r="C676" t="s">
        <v>26</v>
      </c>
      <c r="D676" s="22">
        <v>6444668.4750000006</v>
      </c>
    </row>
    <row r="677" spans="1:4" x14ac:dyDescent="0.25">
      <c r="A677">
        <v>1860</v>
      </c>
      <c r="B677" s="16">
        <v>43466</v>
      </c>
      <c r="C677" t="s">
        <v>19</v>
      </c>
      <c r="D677" s="22">
        <v>1905120.0000000002</v>
      </c>
    </row>
    <row r="678" spans="1:4" x14ac:dyDescent="0.25">
      <c r="A678">
        <v>1860</v>
      </c>
      <c r="B678" s="16">
        <v>43497</v>
      </c>
      <c r="C678" t="s">
        <v>19</v>
      </c>
      <c r="D678" s="22">
        <v>1905120.0000000002</v>
      </c>
    </row>
    <row r="679" spans="1:4" x14ac:dyDescent="0.25">
      <c r="A679">
        <v>1860</v>
      </c>
      <c r="B679" s="16">
        <v>43525</v>
      </c>
      <c r="C679" t="s">
        <v>19</v>
      </c>
      <c r="D679" s="22">
        <v>1905120.0000000002</v>
      </c>
    </row>
    <row r="680" spans="1:4" x14ac:dyDescent="0.25">
      <c r="A680">
        <v>1860</v>
      </c>
      <c r="B680" s="16">
        <v>43556</v>
      </c>
      <c r="C680" t="s">
        <v>19</v>
      </c>
      <c r="D680" s="22">
        <v>1905120.0000000002</v>
      </c>
    </row>
    <row r="681" spans="1:4" x14ac:dyDescent="0.25">
      <c r="A681">
        <v>1860</v>
      </c>
      <c r="B681" s="16">
        <v>43586</v>
      </c>
      <c r="C681" t="s">
        <v>19</v>
      </c>
      <c r="D681" s="22">
        <v>1905120.0000000002</v>
      </c>
    </row>
    <row r="682" spans="1:4" x14ac:dyDescent="0.25">
      <c r="A682">
        <v>1860</v>
      </c>
      <c r="B682" s="16">
        <v>43617</v>
      </c>
      <c r="C682" t="s">
        <v>19</v>
      </c>
      <c r="D682" s="22">
        <v>1905120.0000000002</v>
      </c>
    </row>
    <row r="683" spans="1:4" x14ac:dyDescent="0.25">
      <c r="A683">
        <v>1860</v>
      </c>
      <c r="B683" s="16">
        <v>43647</v>
      </c>
      <c r="C683" t="s">
        <v>19</v>
      </c>
      <c r="D683" s="22">
        <v>1905120.0000000002</v>
      </c>
    </row>
    <row r="684" spans="1:4" x14ac:dyDescent="0.25">
      <c r="A684">
        <v>1860</v>
      </c>
      <c r="B684" s="16">
        <v>43678</v>
      </c>
      <c r="C684" t="s">
        <v>19</v>
      </c>
      <c r="D684" s="22">
        <v>1905120.0000000002</v>
      </c>
    </row>
    <row r="685" spans="1:4" x14ac:dyDescent="0.25">
      <c r="A685">
        <v>1860</v>
      </c>
      <c r="B685" s="16">
        <v>43709</v>
      </c>
      <c r="C685" t="s">
        <v>19</v>
      </c>
      <c r="D685" s="22">
        <v>1905120.0000000002</v>
      </c>
    </row>
    <row r="686" spans="1:4" x14ac:dyDescent="0.25">
      <c r="A686">
        <v>1860</v>
      </c>
      <c r="B686" s="16">
        <v>43739</v>
      </c>
      <c r="C686" t="s">
        <v>19</v>
      </c>
      <c r="D686" s="22">
        <v>1905120.0000000002</v>
      </c>
    </row>
    <row r="687" spans="1:4" x14ac:dyDescent="0.25">
      <c r="A687">
        <v>1860</v>
      </c>
      <c r="B687" s="16">
        <v>43770</v>
      </c>
      <c r="C687" t="s">
        <v>19</v>
      </c>
      <c r="D687" s="22">
        <v>1905120.0000000002</v>
      </c>
    </row>
    <row r="688" spans="1:4" x14ac:dyDescent="0.25">
      <c r="A688">
        <v>1860</v>
      </c>
      <c r="B688" s="16">
        <v>43800</v>
      </c>
      <c r="C688" t="s">
        <v>19</v>
      </c>
      <c r="D688" s="22">
        <v>1905120.0000000002</v>
      </c>
    </row>
    <row r="689" spans="1:4" x14ac:dyDescent="0.25">
      <c r="A689">
        <v>1860</v>
      </c>
      <c r="B689" s="16">
        <v>43831</v>
      </c>
      <c r="C689" t="s">
        <v>19</v>
      </c>
      <c r="D689" s="22">
        <v>1905120.0000000002</v>
      </c>
    </row>
    <row r="690" spans="1:4" x14ac:dyDescent="0.25">
      <c r="A690">
        <v>1860</v>
      </c>
      <c r="B690" s="16">
        <v>43862</v>
      </c>
      <c r="C690" t="s">
        <v>19</v>
      </c>
      <c r="D690" s="22">
        <v>1905120.0000000002</v>
      </c>
    </row>
    <row r="691" spans="1:4" x14ac:dyDescent="0.25">
      <c r="A691">
        <v>1860</v>
      </c>
      <c r="B691" s="16">
        <v>43891</v>
      </c>
      <c r="C691" t="s">
        <v>19</v>
      </c>
      <c r="D691" s="22">
        <v>1905120.0000000002</v>
      </c>
    </row>
    <row r="692" spans="1:4" x14ac:dyDescent="0.25">
      <c r="A692">
        <v>1860</v>
      </c>
      <c r="B692" s="16">
        <v>43922</v>
      </c>
      <c r="C692" t="s">
        <v>19</v>
      </c>
      <c r="D692" s="22">
        <v>1905120.0000000002</v>
      </c>
    </row>
    <row r="693" spans="1:4" x14ac:dyDescent="0.25">
      <c r="A693">
        <v>1860</v>
      </c>
      <c r="B693" s="16">
        <v>43952</v>
      </c>
      <c r="C693" t="s">
        <v>19</v>
      </c>
      <c r="D693" s="22">
        <v>1905120.0000000002</v>
      </c>
    </row>
    <row r="694" spans="1:4" x14ac:dyDescent="0.25">
      <c r="A694">
        <v>1860</v>
      </c>
      <c r="B694" s="16">
        <v>43983</v>
      </c>
      <c r="C694" t="s">
        <v>19</v>
      </c>
      <c r="D694" s="22">
        <v>1905120.0000000002</v>
      </c>
    </row>
    <row r="695" spans="1:4" x14ac:dyDescent="0.25">
      <c r="A695">
        <v>1860</v>
      </c>
      <c r="B695" s="16">
        <v>44013</v>
      </c>
      <c r="C695" t="s">
        <v>19</v>
      </c>
      <c r="D695" s="22">
        <v>1905120.0000000002</v>
      </c>
    </row>
    <row r="696" spans="1:4" x14ac:dyDescent="0.25">
      <c r="A696">
        <v>1860</v>
      </c>
      <c r="B696" s="16">
        <v>44044</v>
      </c>
      <c r="C696" t="s">
        <v>19</v>
      </c>
      <c r="D696" s="22">
        <v>1905120.0000000002</v>
      </c>
    </row>
    <row r="697" spans="1:4" x14ac:dyDescent="0.25">
      <c r="A697">
        <v>1860</v>
      </c>
      <c r="B697" s="16">
        <v>44075</v>
      </c>
      <c r="C697" t="s">
        <v>19</v>
      </c>
      <c r="D697" s="22">
        <v>1905120.0000000002</v>
      </c>
    </row>
    <row r="698" spans="1:4" x14ac:dyDescent="0.25">
      <c r="A698">
        <v>1860</v>
      </c>
      <c r="B698" s="16">
        <v>44105</v>
      </c>
      <c r="C698" t="s">
        <v>19</v>
      </c>
      <c r="D698" s="22">
        <v>1905120.0000000002</v>
      </c>
    </row>
    <row r="699" spans="1:4" x14ac:dyDescent="0.25">
      <c r="A699">
        <v>1860</v>
      </c>
      <c r="B699" s="16">
        <v>44136</v>
      </c>
      <c r="C699" t="s">
        <v>19</v>
      </c>
      <c r="D699" s="22">
        <v>1905120.0000000002</v>
      </c>
    </row>
    <row r="700" spans="1:4" x14ac:dyDescent="0.25">
      <c r="A700">
        <v>1860</v>
      </c>
      <c r="B700" s="16">
        <v>44166</v>
      </c>
      <c r="C700" t="s">
        <v>19</v>
      </c>
      <c r="D700" s="22">
        <v>1905120.0000000002</v>
      </c>
    </row>
    <row r="701" spans="1:4" x14ac:dyDescent="0.25">
      <c r="A701">
        <v>1860</v>
      </c>
      <c r="B701" s="16">
        <v>44197</v>
      </c>
      <c r="C701" t="s">
        <v>19</v>
      </c>
      <c r="D701" s="22">
        <v>1905120.0000000002</v>
      </c>
    </row>
    <row r="702" spans="1:4" x14ac:dyDescent="0.25">
      <c r="A702">
        <v>1860</v>
      </c>
      <c r="B702" s="16">
        <v>44228</v>
      </c>
      <c r="C702" t="s">
        <v>19</v>
      </c>
      <c r="D702" s="22">
        <v>1905120.0000000002</v>
      </c>
    </row>
    <row r="703" spans="1:4" x14ac:dyDescent="0.25">
      <c r="A703">
        <v>1860</v>
      </c>
      <c r="B703" s="16">
        <v>44256</v>
      </c>
      <c r="C703" t="s">
        <v>19</v>
      </c>
      <c r="D703" s="22">
        <v>1905120.0000000002</v>
      </c>
    </row>
    <row r="704" spans="1:4" x14ac:dyDescent="0.25">
      <c r="A704">
        <v>1860</v>
      </c>
      <c r="B704" s="16">
        <v>44287</v>
      </c>
      <c r="C704" t="s">
        <v>19</v>
      </c>
      <c r="D704" s="22">
        <v>1905120.0000000002</v>
      </c>
    </row>
    <row r="705" spans="1:4" x14ac:dyDescent="0.25">
      <c r="A705">
        <v>1860</v>
      </c>
      <c r="B705" s="16">
        <v>44044</v>
      </c>
      <c r="C705" t="s">
        <v>76</v>
      </c>
      <c r="D705" s="22">
        <v>3923324.9999999995</v>
      </c>
    </row>
    <row r="706" spans="1:4" x14ac:dyDescent="0.25">
      <c r="A706">
        <v>1860</v>
      </c>
      <c r="B706" s="16">
        <v>44075</v>
      </c>
      <c r="C706" t="s">
        <v>76</v>
      </c>
      <c r="D706" s="22">
        <v>3923324.9999999995</v>
      </c>
    </row>
    <row r="707" spans="1:4" x14ac:dyDescent="0.25">
      <c r="A707">
        <v>1860</v>
      </c>
      <c r="B707" s="16">
        <v>44105</v>
      </c>
      <c r="C707" t="s">
        <v>76</v>
      </c>
      <c r="D707" s="22">
        <v>3923324.9999999995</v>
      </c>
    </row>
    <row r="708" spans="1:4" x14ac:dyDescent="0.25">
      <c r="A708">
        <v>1860</v>
      </c>
      <c r="B708" s="16">
        <v>44136</v>
      </c>
      <c r="C708" t="s">
        <v>76</v>
      </c>
      <c r="D708" s="22">
        <v>3923324.9999999995</v>
      </c>
    </row>
    <row r="709" spans="1:4" x14ac:dyDescent="0.25">
      <c r="A709">
        <v>1860</v>
      </c>
      <c r="B709" s="16">
        <v>44166</v>
      </c>
      <c r="C709" t="s">
        <v>76</v>
      </c>
      <c r="D709" s="22">
        <v>3923324.9999999995</v>
      </c>
    </row>
    <row r="710" spans="1:4" x14ac:dyDescent="0.25">
      <c r="A710">
        <v>1860</v>
      </c>
      <c r="B710" s="16">
        <v>44197</v>
      </c>
      <c r="C710" t="s">
        <v>76</v>
      </c>
      <c r="D710" s="22">
        <v>3923324.9999999995</v>
      </c>
    </row>
    <row r="711" spans="1:4" x14ac:dyDescent="0.25">
      <c r="A711">
        <v>1860</v>
      </c>
      <c r="B711" s="16">
        <v>44228</v>
      </c>
      <c r="C711" t="s">
        <v>76</v>
      </c>
      <c r="D711" s="22">
        <v>3923324.9999999995</v>
      </c>
    </row>
    <row r="712" spans="1:4" x14ac:dyDescent="0.25">
      <c r="A712">
        <v>1860</v>
      </c>
      <c r="B712" s="16">
        <v>44256</v>
      </c>
      <c r="C712" t="s">
        <v>76</v>
      </c>
      <c r="D712" s="22">
        <v>3923324.9999999995</v>
      </c>
    </row>
    <row r="713" spans="1:4" x14ac:dyDescent="0.25">
      <c r="A713">
        <v>1860</v>
      </c>
      <c r="B713" s="16">
        <v>44287</v>
      </c>
      <c r="C713" t="s">
        <v>76</v>
      </c>
      <c r="D713" s="22">
        <v>3923324.9999999995</v>
      </c>
    </row>
    <row r="714" spans="1:4" x14ac:dyDescent="0.25">
      <c r="A714">
        <v>1860</v>
      </c>
      <c r="B714" s="16">
        <v>44317</v>
      </c>
      <c r="C714" t="s">
        <v>76</v>
      </c>
      <c r="D714" s="22">
        <v>3923324.9999999995</v>
      </c>
    </row>
    <row r="715" spans="1:4" x14ac:dyDescent="0.25">
      <c r="A715">
        <v>1860</v>
      </c>
      <c r="B715" s="16">
        <v>44348</v>
      </c>
      <c r="C715" t="s">
        <v>76</v>
      </c>
      <c r="D715" s="22">
        <v>3923324.9999999995</v>
      </c>
    </row>
    <row r="716" spans="1:4" x14ac:dyDescent="0.25">
      <c r="A716">
        <v>1860</v>
      </c>
      <c r="B716" s="16">
        <v>44378</v>
      </c>
      <c r="C716" t="s">
        <v>76</v>
      </c>
      <c r="D716" s="22">
        <v>3923324.9999999995</v>
      </c>
    </row>
    <row r="717" spans="1:4" x14ac:dyDescent="0.25">
      <c r="A717">
        <v>1860</v>
      </c>
      <c r="B717" s="16">
        <v>43466</v>
      </c>
      <c r="C717" t="s">
        <v>162</v>
      </c>
      <c r="D717" s="22">
        <v>4758075</v>
      </c>
    </row>
    <row r="718" spans="1:4" x14ac:dyDescent="0.25">
      <c r="A718">
        <v>1860</v>
      </c>
      <c r="B718" s="16">
        <v>43497</v>
      </c>
      <c r="C718" t="s">
        <v>162</v>
      </c>
      <c r="D718" s="22">
        <v>4758075</v>
      </c>
    </row>
    <row r="719" spans="1:4" x14ac:dyDescent="0.25">
      <c r="A719">
        <v>1860</v>
      </c>
      <c r="B719" s="16">
        <v>43525</v>
      </c>
      <c r="C719" t="s">
        <v>162</v>
      </c>
      <c r="D719" s="22">
        <v>4758075</v>
      </c>
    </row>
    <row r="720" spans="1:4" x14ac:dyDescent="0.25">
      <c r="A720">
        <v>1860</v>
      </c>
      <c r="B720" s="16">
        <v>43556</v>
      </c>
      <c r="C720" t="s">
        <v>162</v>
      </c>
      <c r="D720" s="22">
        <v>4758075</v>
      </c>
    </row>
    <row r="721" spans="1:4" x14ac:dyDescent="0.25">
      <c r="A721">
        <v>1860</v>
      </c>
      <c r="B721" s="16">
        <v>43586</v>
      </c>
      <c r="C721" t="s">
        <v>162</v>
      </c>
      <c r="D721" s="22">
        <v>4758075</v>
      </c>
    </row>
    <row r="722" spans="1:4" x14ac:dyDescent="0.25">
      <c r="A722">
        <v>1860</v>
      </c>
      <c r="B722" s="16">
        <v>43617</v>
      </c>
      <c r="C722" t="s">
        <v>162</v>
      </c>
      <c r="D722" s="22">
        <v>4758075</v>
      </c>
    </row>
    <row r="723" spans="1:4" x14ac:dyDescent="0.25">
      <c r="A723">
        <v>1860</v>
      </c>
      <c r="B723" s="16">
        <v>43647</v>
      </c>
      <c r="C723" t="s">
        <v>162</v>
      </c>
      <c r="D723" s="22">
        <v>4758075</v>
      </c>
    </row>
    <row r="724" spans="1:4" x14ac:dyDescent="0.25">
      <c r="A724">
        <v>1860</v>
      </c>
      <c r="B724" s="16">
        <v>43678</v>
      </c>
      <c r="C724" t="s">
        <v>162</v>
      </c>
      <c r="D724" s="22">
        <v>4758075</v>
      </c>
    </row>
    <row r="725" spans="1:4" x14ac:dyDescent="0.25">
      <c r="A725">
        <v>1860</v>
      </c>
      <c r="B725" s="16">
        <v>43709</v>
      </c>
      <c r="C725" t="s">
        <v>162</v>
      </c>
      <c r="D725" s="22">
        <v>4758075</v>
      </c>
    </row>
    <row r="726" spans="1:4" x14ac:dyDescent="0.25">
      <c r="A726">
        <v>1860</v>
      </c>
      <c r="B726" s="16">
        <v>43739</v>
      </c>
      <c r="C726" t="s">
        <v>162</v>
      </c>
      <c r="D726" s="22">
        <v>4758075</v>
      </c>
    </row>
    <row r="727" spans="1:4" x14ac:dyDescent="0.25">
      <c r="A727">
        <v>1860</v>
      </c>
      <c r="B727" s="16">
        <v>43770</v>
      </c>
      <c r="C727" t="s">
        <v>162</v>
      </c>
      <c r="D727" s="22">
        <v>4758075</v>
      </c>
    </row>
    <row r="728" spans="1:4" x14ac:dyDescent="0.25">
      <c r="A728">
        <v>1860</v>
      </c>
      <c r="B728" s="16">
        <v>43800</v>
      </c>
      <c r="C728" t="s">
        <v>162</v>
      </c>
      <c r="D728" s="22">
        <v>4758075</v>
      </c>
    </row>
    <row r="729" spans="1:4" x14ac:dyDescent="0.25">
      <c r="A729">
        <v>1860</v>
      </c>
      <c r="B729" s="16">
        <v>43831</v>
      </c>
      <c r="C729" t="s">
        <v>162</v>
      </c>
      <c r="D729" s="22">
        <v>4758075</v>
      </c>
    </row>
    <row r="730" spans="1:4" x14ac:dyDescent="0.25">
      <c r="A730">
        <v>1860</v>
      </c>
      <c r="B730" s="16">
        <v>43862</v>
      </c>
      <c r="C730" t="s">
        <v>162</v>
      </c>
      <c r="D730" s="22">
        <v>4758075</v>
      </c>
    </row>
    <row r="731" spans="1:4" x14ac:dyDescent="0.25">
      <c r="A731">
        <v>1860</v>
      </c>
      <c r="B731" s="16">
        <v>43891</v>
      </c>
      <c r="C731" t="s">
        <v>162</v>
      </c>
      <c r="D731" s="22">
        <v>4758075</v>
      </c>
    </row>
    <row r="732" spans="1:4" x14ac:dyDescent="0.25">
      <c r="A732">
        <v>1860</v>
      </c>
      <c r="B732" s="16">
        <v>43922</v>
      </c>
      <c r="C732" t="s">
        <v>162</v>
      </c>
      <c r="D732" s="22">
        <v>4758075</v>
      </c>
    </row>
    <row r="733" spans="1:4" x14ac:dyDescent="0.25">
      <c r="A733">
        <v>1860</v>
      </c>
      <c r="B733" s="16">
        <v>43952</v>
      </c>
      <c r="C733" t="s">
        <v>162</v>
      </c>
      <c r="D733" s="22">
        <v>4758075</v>
      </c>
    </row>
    <row r="734" spans="1:4" x14ac:dyDescent="0.25">
      <c r="A734">
        <v>1860</v>
      </c>
      <c r="B734" s="16">
        <v>43983</v>
      </c>
      <c r="C734" t="s">
        <v>162</v>
      </c>
      <c r="D734" s="22">
        <v>4758075</v>
      </c>
    </row>
    <row r="735" spans="1:4" x14ac:dyDescent="0.25">
      <c r="A735">
        <v>1860</v>
      </c>
      <c r="B735" s="16">
        <v>44013</v>
      </c>
      <c r="C735" t="s">
        <v>162</v>
      </c>
      <c r="D735" s="22">
        <v>4758075</v>
      </c>
    </row>
    <row r="736" spans="1:4" x14ac:dyDescent="0.25">
      <c r="A736">
        <v>1860</v>
      </c>
      <c r="B736" s="16">
        <v>44044</v>
      </c>
      <c r="C736" t="s">
        <v>162</v>
      </c>
      <c r="D736" s="22">
        <v>4758075</v>
      </c>
    </row>
    <row r="737" spans="1:4" x14ac:dyDescent="0.25">
      <c r="A737">
        <v>1860</v>
      </c>
      <c r="B737" s="16">
        <v>44075</v>
      </c>
      <c r="C737" t="s">
        <v>162</v>
      </c>
      <c r="D737" s="22">
        <v>4758075</v>
      </c>
    </row>
    <row r="738" spans="1:4" x14ac:dyDescent="0.25">
      <c r="A738">
        <v>1860</v>
      </c>
      <c r="B738" s="16">
        <v>44105</v>
      </c>
      <c r="C738" t="s">
        <v>162</v>
      </c>
      <c r="D738" s="22">
        <v>4758075</v>
      </c>
    </row>
    <row r="739" spans="1:4" x14ac:dyDescent="0.25">
      <c r="A739">
        <v>1860</v>
      </c>
      <c r="B739" s="16">
        <v>44136</v>
      </c>
      <c r="C739" t="s">
        <v>162</v>
      </c>
      <c r="D739" s="22">
        <v>4758075</v>
      </c>
    </row>
    <row r="740" spans="1:4" x14ac:dyDescent="0.25">
      <c r="A740">
        <v>1860</v>
      </c>
      <c r="B740" s="16">
        <v>44166</v>
      </c>
      <c r="C740" t="s">
        <v>162</v>
      </c>
      <c r="D740" s="22">
        <v>4758075</v>
      </c>
    </row>
    <row r="741" spans="1:4" x14ac:dyDescent="0.25">
      <c r="A741">
        <v>1860</v>
      </c>
      <c r="B741" s="16">
        <v>44197</v>
      </c>
      <c r="C741" t="s">
        <v>162</v>
      </c>
      <c r="D741" s="22">
        <v>4758075</v>
      </c>
    </row>
    <row r="742" spans="1:4" x14ac:dyDescent="0.25">
      <c r="A742">
        <v>1860</v>
      </c>
      <c r="B742" s="16">
        <v>44228</v>
      </c>
      <c r="C742" t="s">
        <v>162</v>
      </c>
      <c r="D742" s="22">
        <v>4758075</v>
      </c>
    </row>
    <row r="743" spans="1:4" x14ac:dyDescent="0.25">
      <c r="A743">
        <v>1860</v>
      </c>
      <c r="B743" s="16">
        <v>44256</v>
      </c>
      <c r="C743" t="s">
        <v>162</v>
      </c>
      <c r="D743" s="22">
        <v>4758075</v>
      </c>
    </row>
    <row r="744" spans="1:4" x14ac:dyDescent="0.25">
      <c r="A744">
        <v>1860</v>
      </c>
      <c r="B744" s="16">
        <v>43466</v>
      </c>
      <c r="C744" t="s">
        <v>26</v>
      </c>
      <c r="D744" s="22">
        <v>5985000</v>
      </c>
    </row>
    <row r="745" spans="1:4" x14ac:dyDescent="0.25">
      <c r="A745">
        <v>1860</v>
      </c>
      <c r="B745" s="16">
        <v>43497</v>
      </c>
      <c r="C745" t="s">
        <v>26</v>
      </c>
      <c r="D745" s="22">
        <v>5985000</v>
      </c>
    </row>
    <row r="746" spans="1:4" x14ac:dyDescent="0.25">
      <c r="A746">
        <v>1860</v>
      </c>
      <c r="B746" s="16">
        <v>43525</v>
      </c>
      <c r="C746" t="s">
        <v>26</v>
      </c>
      <c r="D746" s="22">
        <v>5985000</v>
      </c>
    </row>
    <row r="747" spans="1:4" x14ac:dyDescent="0.25">
      <c r="A747">
        <v>1860</v>
      </c>
      <c r="B747" s="16">
        <v>43556</v>
      </c>
      <c r="C747" t="s">
        <v>26</v>
      </c>
      <c r="D747" s="22">
        <v>5985000</v>
      </c>
    </row>
    <row r="748" spans="1:4" x14ac:dyDescent="0.25">
      <c r="A748">
        <v>1860</v>
      </c>
      <c r="B748" s="16">
        <v>43586</v>
      </c>
      <c r="C748" t="s">
        <v>26</v>
      </c>
      <c r="D748" s="22">
        <v>5985000</v>
      </c>
    </row>
    <row r="749" spans="1:4" x14ac:dyDescent="0.25">
      <c r="A749">
        <v>1860</v>
      </c>
      <c r="B749" s="16">
        <v>43617</v>
      </c>
      <c r="C749" t="s">
        <v>26</v>
      </c>
      <c r="D749" s="22">
        <v>5985000</v>
      </c>
    </row>
    <row r="750" spans="1:4" x14ac:dyDescent="0.25">
      <c r="A750">
        <v>1860</v>
      </c>
      <c r="B750" s="16">
        <v>43647</v>
      </c>
      <c r="C750" t="s">
        <v>26</v>
      </c>
      <c r="D750" s="22">
        <v>5985000</v>
      </c>
    </row>
    <row r="751" spans="1:4" x14ac:dyDescent="0.25">
      <c r="A751">
        <v>1860</v>
      </c>
      <c r="B751" s="16">
        <v>43678</v>
      </c>
      <c r="C751" t="s">
        <v>26</v>
      </c>
      <c r="D751" s="22">
        <v>5985000</v>
      </c>
    </row>
    <row r="752" spans="1:4" x14ac:dyDescent="0.25">
      <c r="A752">
        <v>1860</v>
      </c>
      <c r="B752" s="16">
        <v>43709</v>
      </c>
      <c r="C752" t="s">
        <v>26</v>
      </c>
      <c r="D752" s="22">
        <v>5985000</v>
      </c>
    </row>
    <row r="753" spans="1:4" x14ac:dyDescent="0.25">
      <c r="A753">
        <v>1860</v>
      </c>
      <c r="B753" s="16">
        <v>43739</v>
      </c>
      <c r="C753" t="s">
        <v>26</v>
      </c>
      <c r="D753" s="22">
        <v>5985000</v>
      </c>
    </row>
    <row r="754" spans="1:4" x14ac:dyDescent="0.25">
      <c r="A754">
        <v>1860</v>
      </c>
      <c r="B754" s="16">
        <v>43770</v>
      </c>
      <c r="C754" t="s">
        <v>26</v>
      </c>
      <c r="D754" s="22">
        <v>5985000</v>
      </c>
    </row>
    <row r="755" spans="1:4" x14ac:dyDescent="0.25">
      <c r="A755">
        <v>1860</v>
      </c>
      <c r="B755" s="16">
        <v>43800</v>
      </c>
      <c r="C755" t="s">
        <v>26</v>
      </c>
      <c r="D755" s="22">
        <v>5985000</v>
      </c>
    </row>
    <row r="756" spans="1:4" x14ac:dyDescent="0.25">
      <c r="A756">
        <v>1860</v>
      </c>
      <c r="B756" s="16">
        <v>43831</v>
      </c>
      <c r="C756" t="s">
        <v>26</v>
      </c>
      <c r="D756" s="22">
        <v>5985000</v>
      </c>
    </row>
    <row r="757" spans="1:4" x14ac:dyDescent="0.25">
      <c r="A757">
        <v>1860</v>
      </c>
      <c r="B757" s="16">
        <v>43862</v>
      </c>
      <c r="C757" t="s">
        <v>26</v>
      </c>
      <c r="D757" s="22">
        <v>5985000</v>
      </c>
    </row>
    <row r="758" spans="1:4" x14ac:dyDescent="0.25">
      <c r="A758">
        <v>1860</v>
      </c>
      <c r="B758" s="16">
        <v>43891</v>
      </c>
      <c r="C758" t="s">
        <v>26</v>
      </c>
      <c r="D758" s="22">
        <v>5985000</v>
      </c>
    </row>
    <row r="759" spans="1:4" x14ac:dyDescent="0.25">
      <c r="A759">
        <v>1860</v>
      </c>
      <c r="B759" s="16">
        <v>43922</v>
      </c>
      <c r="C759" t="s">
        <v>26</v>
      </c>
      <c r="D759" s="22">
        <v>5985000</v>
      </c>
    </row>
    <row r="760" spans="1:4" x14ac:dyDescent="0.25">
      <c r="A760">
        <v>1860</v>
      </c>
      <c r="B760" s="16">
        <v>43952</v>
      </c>
      <c r="C760" t="s">
        <v>26</v>
      </c>
      <c r="D760" s="22">
        <v>5985000</v>
      </c>
    </row>
    <row r="761" spans="1:4" x14ac:dyDescent="0.25">
      <c r="A761">
        <v>1860</v>
      </c>
      <c r="B761" s="16">
        <v>43983</v>
      </c>
      <c r="C761" t="s">
        <v>26</v>
      </c>
      <c r="D761" s="22">
        <v>5985000</v>
      </c>
    </row>
    <row r="762" spans="1:4" x14ac:dyDescent="0.25">
      <c r="A762">
        <v>1860</v>
      </c>
      <c r="B762" s="16">
        <v>44013</v>
      </c>
      <c r="C762" t="s">
        <v>26</v>
      </c>
      <c r="D762" s="22">
        <v>5985000</v>
      </c>
    </row>
    <row r="763" spans="1:4" x14ac:dyDescent="0.25">
      <c r="A763">
        <v>1860</v>
      </c>
      <c r="B763" s="16">
        <v>44044</v>
      </c>
      <c r="C763" t="s">
        <v>26</v>
      </c>
      <c r="D763" s="22">
        <v>5985000</v>
      </c>
    </row>
    <row r="764" spans="1:4" x14ac:dyDescent="0.25">
      <c r="A764">
        <v>1860</v>
      </c>
      <c r="B764" s="16">
        <v>44075</v>
      </c>
      <c r="C764" t="s">
        <v>26</v>
      </c>
      <c r="D764" s="22">
        <v>5985000</v>
      </c>
    </row>
    <row r="765" spans="1:4" x14ac:dyDescent="0.25">
      <c r="A765">
        <v>1860</v>
      </c>
      <c r="B765" s="16">
        <v>44105</v>
      </c>
      <c r="C765" t="s">
        <v>26</v>
      </c>
      <c r="D765" s="22">
        <v>5985000</v>
      </c>
    </row>
    <row r="766" spans="1:4" x14ac:dyDescent="0.25">
      <c r="A766">
        <v>1860</v>
      </c>
      <c r="B766" s="16">
        <v>44136</v>
      </c>
      <c r="C766" t="s">
        <v>26</v>
      </c>
      <c r="D766" s="22">
        <v>5985000</v>
      </c>
    </row>
    <row r="767" spans="1:4" x14ac:dyDescent="0.25">
      <c r="A767">
        <v>1860</v>
      </c>
      <c r="B767" s="16">
        <v>44166</v>
      </c>
      <c r="C767" t="s">
        <v>26</v>
      </c>
      <c r="D767" s="22">
        <v>5985000</v>
      </c>
    </row>
    <row r="768" spans="1:4" x14ac:dyDescent="0.25">
      <c r="A768">
        <v>1860</v>
      </c>
      <c r="B768" s="16">
        <v>44197</v>
      </c>
      <c r="C768" t="s">
        <v>26</v>
      </c>
      <c r="D768" s="22">
        <v>5985000</v>
      </c>
    </row>
    <row r="769" spans="1:4" x14ac:dyDescent="0.25">
      <c r="A769">
        <v>1860</v>
      </c>
      <c r="B769" s="16">
        <v>44228</v>
      </c>
      <c r="C769" t="s">
        <v>26</v>
      </c>
      <c r="D769" s="22">
        <v>5985000</v>
      </c>
    </row>
    <row r="770" spans="1:4" x14ac:dyDescent="0.25">
      <c r="A770">
        <v>1860</v>
      </c>
      <c r="B770" s="16">
        <v>44256</v>
      </c>
      <c r="C770" t="s">
        <v>26</v>
      </c>
      <c r="D770" s="22">
        <v>5985000</v>
      </c>
    </row>
    <row r="771" spans="1:4" x14ac:dyDescent="0.25">
      <c r="A771">
        <v>1860</v>
      </c>
      <c r="B771" s="16">
        <v>44287</v>
      </c>
      <c r="C771" t="s">
        <v>26</v>
      </c>
      <c r="D771" s="22">
        <v>5985000</v>
      </c>
    </row>
    <row r="772" spans="1:4" x14ac:dyDescent="0.25">
      <c r="A772">
        <v>1861</v>
      </c>
      <c r="B772" s="16">
        <v>43466</v>
      </c>
      <c r="C772" t="s">
        <v>166</v>
      </c>
      <c r="D772" s="22">
        <v>5768028</v>
      </c>
    </row>
    <row r="773" spans="1:4" x14ac:dyDescent="0.25">
      <c r="A773">
        <v>1861</v>
      </c>
      <c r="B773" s="16">
        <v>43497</v>
      </c>
      <c r="C773" t="s">
        <v>166</v>
      </c>
      <c r="D773" s="22">
        <v>5768028</v>
      </c>
    </row>
    <row r="774" spans="1:4" x14ac:dyDescent="0.25">
      <c r="A774">
        <v>1861</v>
      </c>
      <c r="B774" s="16">
        <v>43525</v>
      </c>
      <c r="C774" t="s">
        <v>166</v>
      </c>
      <c r="D774" s="22">
        <v>5768028</v>
      </c>
    </row>
    <row r="775" spans="1:4" x14ac:dyDescent="0.25">
      <c r="A775">
        <v>1861</v>
      </c>
      <c r="B775" s="16">
        <v>43556</v>
      </c>
      <c r="C775" t="s">
        <v>166</v>
      </c>
      <c r="D775" s="22">
        <v>5768028</v>
      </c>
    </row>
    <row r="776" spans="1:4" x14ac:dyDescent="0.25">
      <c r="A776">
        <v>1861</v>
      </c>
      <c r="B776" s="16">
        <v>43586</v>
      </c>
      <c r="C776" t="s">
        <v>166</v>
      </c>
      <c r="D776" s="22">
        <v>5768028</v>
      </c>
    </row>
    <row r="777" spans="1:4" x14ac:dyDescent="0.25">
      <c r="A777">
        <v>1861</v>
      </c>
      <c r="B777" s="16">
        <v>43617</v>
      </c>
      <c r="C777" t="s">
        <v>166</v>
      </c>
      <c r="D777" s="22">
        <v>5768028</v>
      </c>
    </row>
    <row r="778" spans="1:4" x14ac:dyDescent="0.25">
      <c r="A778">
        <v>1861</v>
      </c>
      <c r="B778" s="16">
        <v>43647</v>
      </c>
      <c r="C778" t="s">
        <v>166</v>
      </c>
      <c r="D778" s="22">
        <v>5768028</v>
      </c>
    </row>
    <row r="779" spans="1:4" x14ac:dyDescent="0.25">
      <c r="A779">
        <v>1861</v>
      </c>
      <c r="B779" s="16">
        <v>43678</v>
      </c>
      <c r="C779" t="s">
        <v>166</v>
      </c>
      <c r="D779" s="22">
        <v>5768028</v>
      </c>
    </row>
    <row r="780" spans="1:4" x14ac:dyDescent="0.25">
      <c r="A780">
        <v>1861</v>
      </c>
      <c r="B780" s="16">
        <v>43709</v>
      </c>
      <c r="C780" t="s">
        <v>166</v>
      </c>
      <c r="D780" s="22">
        <v>5768028</v>
      </c>
    </row>
    <row r="781" spans="1:4" x14ac:dyDescent="0.25">
      <c r="A781">
        <v>1861</v>
      </c>
      <c r="B781" s="16">
        <v>43739</v>
      </c>
      <c r="C781" t="s">
        <v>166</v>
      </c>
      <c r="D781" s="22">
        <v>5768028</v>
      </c>
    </row>
    <row r="782" spans="1:4" x14ac:dyDescent="0.25">
      <c r="A782">
        <v>1861</v>
      </c>
      <c r="B782" s="16">
        <v>43770</v>
      </c>
      <c r="C782" t="s">
        <v>166</v>
      </c>
      <c r="D782" s="22">
        <v>5768028</v>
      </c>
    </row>
    <row r="783" spans="1:4" x14ac:dyDescent="0.25">
      <c r="A783">
        <v>1861</v>
      </c>
      <c r="B783" s="16">
        <v>43800</v>
      </c>
      <c r="C783" t="s">
        <v>166</v>
      </c>
      <c r="D783" s="22">
        <v>5768028</v>
      </c>
    </row>
    <row r="784" spans="1:4" x14ac:dyDescent="0.25">
      <c r="A784">
        <v>1861</v>
      </c>
      <c r="B784" s="16">
        <v>43831</v>
      </c>
      <c r="C784" t="s">
        <v>166</v>
      </c>
      <c r="D784" s="22">
        <v>5768028</v>
      </c>
    </row>
    <row r="785" spans="1:4" x14ac:dyDescent="0.25">
      <c r="A785">
        <v>1861</v>
      </c>
      <c r="B785" s="16">
        <v>43862</v>
      </c>
      <c r="C785" t="s">
        <v>166</v>
      </c>
      <c r="D785" s="22">
        <v>5768028</v>
      </c>
    </row>
    <row r="786" spans="1:4" x14ac:dyDescent="0.25">
      <c r="A786">
        <v>1861</v>
      </c>
      <c r="B786" s="16">
        <v>43891</v>
      </c>
      <c r="C786" t="s">
        <v>166</v>
      </c>
      <c r="D786" s="22">
        <v>5768028</v>
      </c>
    </row>
    <row r="787" spans="1:4" x14ac:dyDescent="0.25">
      <c r="A787">
        <v>1861</v>
      </c>
      <c r="B787" s="16">
        <v>43922</v>
      </c>
      <c r="C787" t="s">
        <v>166</v>
      </c>
      <c r="D787" s="22">
        <v>5768028</v>
      </c>
    </row>
    <row r="788" spans="1:4" x14ac:dyDescent="0.25">
      <c r="A788">
        <v>1861</v>
      </c>
      <c r="B788" s="16">
        <v>43952</v>
      </c>
      <c r="C788" t="s">
        <v>166</v>
      </c>
      <c r="D788" s="22">
        <v>5768028</v>
      </c>
    </row>
    <row r="789" spans="1:4" x14ac:dyDescent="0.25">
      <c r="A789">
        <v>1861</v>
      </c>
      <c r="B789" s="16">
        <v>43983</v>
      </c>
      <c r="C789" t="s">
        <v>166</v>
      </c>
      <c r="D789" s="22">
        <v>5768028</v>
      </c>
    </row>
    <row r="790" spans="1:4" x14ac:dyDescent="0.25">
      <c r="A790">
        <v>1861</v>
      </c>
      <c r="B790" s="16">
        <v>44013</v>
      </c>
      <c r="C790" t="s">
        <v>166</v>
      </c>
      <c r="D790" s="22">
        <v>5768028</v>
      </c>
    </row>
    <row r="791" spans="1:4" x14ac:dyDescent="0.25">
      <c r="A791">
        <v>1861</v>
      </c>
      <c r="B791" s="16">
        <v>44044</v>
      </c>
      <c r="C791" t="s">
        <v>166</v>
      </c>
      <c r="D791" s="22">
        <v>5768028</v>
      </c>
    </row>
    <row r="792" spans="1:4" x14ac:dyDescent="0.25">
      <c r="A792">
        <v>1861</v>
      </c>
      <c r="B792" s="16">
        <v>44075</v>
      </c>
      <c r="C792" t="s">
        <v>166</v>
      </c>
      <c r="D792" s="22">
        <v>5768028</v>
      </c>
    </row>
    <row r="793" spans="1:4" x14ac:dyDescent="0.25">
      <c r="A793">
        <v>1861</v>
      </c>
      <c r="B793" s="16">
        <v>44105</v>
      </c>
      <c r="C793" t="s">
        <v>166</v>
      </c>
      <c r="D793" s="22">
        <v>5768028</v>
      </c>
    </row>
    <row r="794" spans="1:4" x14ac:dyDescent="0.25">
      <c r="A794">
        <v>1861</v>
      </c>
      <c r="B794" s="16">
        <v>44136</v>
      </c>
      <c r="C794" t="s">
        <v>166</v>
      </c>
      <c r="D794" s="22">
        <v>5768028</v>
      </c>
    </row>
    <row r="795" spans="1:4" x14ac:dyDescent="0.25">
      <c r="A795">
        <v>1861</v>
      </c>
      <c r="B795" s="16">
        <v>43466</v>
      </c>
      <c r="C795" t="s">
        <v>166</v>
      </c>
      <c r="D795" s="22">
        <v>5853202.4250000007</v>
      </c>
    </row>
    <row r="796" spans="1:4" x14ac:dyDescent="0.25">
      <c r="A796">
        <v>1861</v>
      </c>
      <c r="B796" s="16">
        <v>43497</v>
      </c>
      <c r="C796" t="s">
        <v>166</v>
      </c>
      <c r="D796" s="22">
        <v>5853202.4250000007</v>
      </c>
    </row>
    <row r="797" spans="1:4" x14ac:dyDescent="0.25">
      <c r="A797">
        <v>1861</v>
      </c>
      <c r="B797" s="16">
        <v>43525</v>
      </c>
      <c r="C797" t="s">
        <v>166</v>
      </c>
      <c r="D797" s="22">
        <v>5853202.4250000007</v>
      </c>
    </row>
    <row r="798" spans="1:4" x14ac:dyDescent="0.25">
      <c r="A798">
        <v>1861</v>
      </c>
      <c r="B798" s="16">
        <v>43556</v>
      </c>
      <c r="C798" t="s">
        <v>166</v>
      </c>
      <c r="D798" s="22">
        <v>5853202.4250000007</v>
      </c>
    </row>
    <row r="799" spans="1:4" x14ac:dyDescent="0.25">
      <c r="A799">
        <v>1861</v>
      </c>
      <c r="B799" s="16">
        <v>43586</v>
      </c>
      <c r="C799" t="s">
        <v>166</v>
      </c>
      <c r="D799" s="22">
        <v>5853202.4250000007</v>
      </c>
    </row>
    <row r="800" spans="1:4" x14ac:dyDescent="0.25">
      <c r="A800">
        <v>1861</v>
      </c>
      <c r="B800" s="16">
        <v>43617</v>
      </c>
      <c r="C800" t="s">
        <v>166</v>
      </c>
      <c r="D800" s="22">
        <v>5853202.4250000007</v>
      </c>
    </row>
    <row r="801" spans="1:4" x14ac:dyDescent="0.25">
      <c r="A801">
        <v>1861</v>
      </c>
      <c r="B801" s="16">
        <v>43647</v>
      </c>
      <c r="C801" t="s">
        <v>166</v>
      </c>
      <c r="D801" s="22">
        <v>5853202.4250000007</v>
      </c>
    </row>
    <row r="802" spans="1:4" x14ac:dyDescent="0.25">
      <c r="A802">
        <v>1861</v>
      </c>
      <c r="B802" s="16">
        <v>43678</v>
      </c>
      <c r="C802" t="s">
        <v>166</v>
      </c>
      <c r="D802" s="22">
        <v>5853202.4250000007</v>
      </c>
    </row>
    <row r="803" spans="1:4" x14ac:dyDescent="0.25">
      <c r="A803">
        <v>1861</v>
      </c>
      <c r="B803" s="16">
        <v>43709</v>
      </c>
      <c r="C803" t="s">
        <v>166</v>
      </c>
      <c r="D803" s="22">
        <v>5853202.4250000007</v>
      </c>
    </row>
    <row r="804" spans="1:4" x14ac:dyDescent="0.25">
      <c r="A804">
        <v>1861</v>
      </c>
      <c r="B804" s="16">
        <v>43739</v>
      </c>
      <c r="C804" t="s">
        <v>166</v>
      </c>
      <c r="D804" s="22">
        <v>5853202.4250000007</v>
      </c>
    </row>
    <row r="805" spans="1:4" x14ac:dyDescent="0.25">
      <c r="A805">
        <v>1861</v>
      </c>
      <c r="B805" s="16">
        <v>43770</v>
      </c>
      <c r="C805" t="s">
        <v>166</v>
      </c>
      <c r="D805" s="22">
        <v>5853202.4250000007</v>
      </c>
    </row>
    <row r="806" spans="1:4" x14ac:dyDescent="0.25">
      <c r="A806">
        <v>1861</v>
      </c>
      <c r="B806" s="16">
        <v>43800</v>
      </c>
      <c r="C806" t="s">
        <v>166</v>
      </c>
      <c r="D806" s="22">
        <v>5853202.4250000007</v>
      </c>
    </row>
    <row r="807" spans="1:4" x14ac:dyDescent="0.25">
      <c r="A807">
        <v>1861</v>
      </c>
      <c r="B807" s="16">
        <v>43831</v>
      </c>
      <c r="C807" t="s">
        <v>166</v>
      </c>
      <c r="D807" s="22">
        <v>5853202.4250000007</v>
      </c>
    </row>
    <row r="808" spans="1:4" x14ac:dyDescent="0.25">
      <c r="A808">
        <v>1861</v>
      </c>
      <c r="B808" s="16">
        <v>43862</v>
      </c>
      <c r="C808" t="s">
        <v>166</v>
      </c>
      <c r="D808" s="22">
        <v>5853202.4250000007</v>
      </c>
    </row>
    <row r="809" spans="1:4" x14ac:dyDescent="0.25">
      <c r="A809">
        <v>1861</v>
      </c>
      <c r="B809" s="16">
        <v>43891</v>
      </c>
      <c r="C809" t="s">
        <v>166</v>
      </c>
      <c r="D809" s="22">
        <v>5853202.4250000007</v>
      </c>
    </row>
    <row r="810" spans="1:4" x14ac:dyDescent="0.25">
      <c r="A810">
        <v>1861</v>
      </c>
      <c r="B810" s="16">
        <v>43922</v>
      </c>
      <c r="C810" t="s">
        <v>166</v>
      </c>
      <c r="D810" s="22">
        <v>5853202.4250000007</v>
      </c>
    </row>
    <row r="811" spans="1:4" x14ac:dyDescent="0.25">
      <c r="A811">
        <v>1861</v>
      </c>
      <c r="B811" s="16">
        <v>43952</v>
      </c>
      <c r="C811" t="s">
        <v>166</v>
      </c>
      <c r="D811" s="22">
        <v>5853202.4250000007</v>
      </c>
    </row>
    <row r="812" spans="1:4" x14ac:dyDescent="0.25">
      <c r="A812">
        <v>1861</v>
      </c>
      <c r="B812" s="16">
        <v>43466</v>
      </c>
      <c r="C812" t="s">
        <v>12</v>
      </c>
      <c r="D812" s="22">
        <v>11280052.350000001</v>
      </c>
    </row>
    <row r="813" spans="1:4" x14ac:dyDescent="0.25">
      <c r="A813">
        <v>1861</v>
      </c>
      <c r="B813" s="16">
        <v>43497</v>
      </c>
      <c r="C813" t="s">
        <v>12</v>
      </c>
      <c r="D813" s="22">
        <v>11280052.350000001</v>
      </c>
    </row>
    <row r="814" spans="1:4" x14ac:dyDescent="0.25">
      <c r="A814">
        <v>1861</v>
      </c>
      <c r="B814" s="16">
        <v>43525</v>
      </c>
      <c r="C814" t="s">
        <v>12</v>
      </c>
      <c r="D814" s="22">
        <v>11280052.350000001</v>
      </c>
    </row>
    <row r="815" spans="1:4" x14ac:dyDescent="0.25">
      <c r="A815">
        <v>1861</v>
      </c>
      <c r="B815" s="16">
        <v>43556</v>
      </c>
      <c r="C815" t="s">
        <v>12</v>
      </c>
      <c r="D815" s="22">
        <v>11280052.350000001</v>
      </c>
    </row>
    <row r="816" spans="1:4" x14ac:dyDescent="0.25">
      <c r="A816">
        <v>1861</v>
      </c>
      <c r="B816" s="16">
        <v>43586</v>
      </c>
      <c r="C816" t="s">
        <v>12</v>
      </c>
      <c r="D816" s="22">
        <v>11280052.350000001</v>
      </c>
    </row>
    <row r="817" spans="1:4" x14ac:dyDescent="0.25">
      <c r="A817">
        <v>1861</v>
      </c>
      <c r="B817" s="16">
        <v>43617</v>
      </c>
      <c r="C817" t="s">
        <v>12</v>
      </c>
      <c r="D817" s="22">
        <v>11280052.350000001</v>
      </c>
    </row>
    <row r="818" spans="1:4" x14ac:dyDescent="0.25">
      <c r="A818">
        <v>1861</v>
      </c>
      <c r="B818" s="16">
        <v>43647</v>
      </c>
      <c r="C818" t="s">
        <v>12</v>
      </c>
      <c r="D818" s="22">
        <v>11280052.350000001</v>
      </c>
    </row>
    <row r="819" spans="1:4" x14ac:dyDescent="0.25">
      <c r="A819">
        <v>1861</v>
      </c>
      <c r="B819" s="16">
        <v>43678</v>
      </c>
      <c r="C819" t="s">
        <v>12</v>
      </c>
      <c r="D819" s="22">
        <v>11280052.350000001</v>
      </c>
    </row>
    <row r="820" spans="1:4" x14ac:dyDescent="0.25">
      <c r="A820">
        <v>1861</v>
      </c>
      <c r="B820" s="16">
        <v>43709</v>
      </c>
      <c r="C820" t="s">
        <v>12</v>
      </c>
      <c r="D820" s="22">
        <v>11280052.350000001</v>
      </c>
    </row>
    <row r="821" spans="1:4" x14ac:dyDescent="0.25">
      <c r="A821">
        <v>1861</v>
      </c>
      <c r="B821" s="16">
        <v>43739</v>
      </c>
      <c r="C821" t="s">
        <v>12</v>
      </c>
      <c r="D821" s="22">
        <v>11280052.350000001</v>
      </c>
    </row>
    <row r="822" spans="1:4" x14ac:dyDescent="0.25">
      <c r="A822">
        <v>1861</v>
      </c>
      <c r="B822" s="16">
        <v>43770</v>
      </c>
      <c r="C822" t="s">
        <v>12</v>
      </c>
      <c r="D822" s="22">
        <v>11280052.350000001</v>
      </c>
    </row>
    <row r="823" spans="1:4" x14ac:dyDescent="0.25">
      <c r="A823">
        <v>1861</v>
      </c>
      <c r="B823" s="16">
        <v>43800</v>
      </c>
      <c r="C823" t="s">
        <v>12</v>
      </c>
      <c r="D823" s="22">
        <v>11280052.350000001</v>
      </c>
    </row>
    <row r="824" spans="1:4" x14ac:dyDescent="0.25">
      <c r="A824">
        <v>1861</v>
      </c>
      <c r="B824" s="16">
        <v>43831</v>
      </c>
      <c r="C824" t="s">
        <v>12</v>
      </c>
      <c r="D824" s="22">
        <v>11280052.350000001</v>
      </c>
    </row>
    <row r="825" spans="1:4" x14ac:dyDescent="0.25">
      <c r="A825">
        <v>1861</v>
      </c>
      <c r="B825" s="16">
        <v>43862</v>
      </c>
      <c r="C825" t="s">
        <v>12</v>
      </c>
      <c r="D825" s="22">
        <v>11280052.350000001</v>
      </c>
    </row>
    <row r="826" spans="1:4" x14ac:dyDescent="0.25">
      <c r="A826">
        <v>1861</v>
      </c>
      <c r="B826" s="16">
        <v>43891</v>
      </c>
      <c r="C826" t="s">
        <v>12</v>
      </c>
      <c r="D826" s="22">
        <v>11280052.350000001</v>
      </c>
    </row>
    <row r="827" spans="1:4" x14ac:dyDescent="0.25">
      <c r="A827">
        <v>1861</v>
      </c>
      <c r="B827" s="16">
        <v>43922</v>
      </c>
      <c r="C827" t="s">
        <v>12</v>
      </c>
      <c r="D827" s="22">
        <v>11280052.350000001</v>
      </c>
    </row>
    <row r="828" spans="1:4" x14ac:dyDescent="0.25">
      <c r="A828">
        <v>1861</v>
      </c>
      <c r="B828" s="16">
        <v>43952</v>
      </c>
      <c r="C828" t="s">
        <v>12</v>
      </c>
      <c r="D828" s="22">
        <v>11280052.350000001</v>
      </c>
    </row>
    <row r="829" spans="1:4" x14ac:dyDescent="0.25">
      <c r="A829">
        <v>1861</v>
      </c>
      <c r="B829" s="16">
        <v>43983</v>
      </c>
      <c r="C829" t="s">
        <v>12</v>
      </c>
      <c r="D829" s="22">
        <v>11280052.350000001</v>
      </c>
    </row>
    <row r="830" spans="1:4" x14ac:dyDescent="0.25">
      <c r="A830">
        <v>1861</v>
      </c>
      <c r="B830" s="16">
        <v>44013</v>
      </c>
      <c r="C830" t="s">
        <v>12</v>
      </c>
      <c r="D830" s="22">
        <v>11280052.350000001</v>
      </c>
    </row>
    <row r="831" spans="1:4" x14ac:dyDescent="0.25">
      <c r="A831">
        <v>1861</v>
      </c>
      <c r="B831" s="16">
        <v>44044</v>
      </c>
      <c r="C831" t="s">
        <v>12</v>
      </c>
      <c r="D831" s="22">
        <v>11280052.350000001</v>
      </c>
    </row>
    <row r="832" spans="1:4" x14ac:dyDescent="0.25">
      <c r="A832">
        <v>1861</v>
      </c>
      <c r="B832" s="16">
        <v>44075</v>
      </c>
      <c r="C832" t="s">
        <v>12</v>
      </c>
      <c r="D832" s="22">
        <v>11280052.350000001</v>
      </c>
    </row>
    <row r="833" spans="1:4" x14ac:dyDescent="0.25">
      <c r="A833">
        <v>1861</v>
      </c>
      <c r="B833" s="16">
        <v>43466</v>
      </c>
      <c r="C833" t="s">
        <v>167</v>
      </c>
      <c r="D833" s="22">
        <v>4765579.4024999999</v>
      </c>
    </row>
    <row r="834" spans="1:4" x14ac:dyDescent="0.25">
      <c r="A834">
        <v>1861</v>
      </c>
      <c r="B834" s="16">
        <v>43497</v>
      </c>
      <c r="C834" t="s">
        <v>167</v>
      </c>
      <c r="D834" s="22">
        <v>4765579.4024999999</v>
      </c>
    </row>
    <row r="835" spans="1:4" x14ac:dyDescent="0.25">
      <c r="A835">
        <v>1861</v>
      </c>
      <c r="B835" s="16">
        <v>43525</v>
      </c>
      <c r="C835" t="s">
        <v>167</v>
      </c>
      <c r="D835" s="22">
        <v>4765579.4024999999</v>
      </c>
    </row>
    <row r="836" spans="1:4" x14ac:dyDescent="0.25">
      <c r="A836">
        <v>1861</v>
      </c>
      <c r="B836" s="16">
        <v>43556</v>
      </c>
      <c r="C836" t="s">
        <v>167</v>
      </c>
      <c r="D836" s="22">
        <v>4765579.4024999999</v>
      </c>
    </row>
    <row r="837" spans="1:4" x14ac:dyDescent="0.25">
      <c r="A837">
        <v>1861</v>
      </c>
      <c r="B837" s="16">
        <v>43586</v>
      </c>
      <c r="C837" t="s">
        <v>167</v>
      </c>
      <c r="D837" s="22">
        <v>4765579.4024999999</v>
      </c>
    </row>
    <row r="838" spans="1:4" x14ac:dyDescent="0.25">
      <c r="A838">
        <v>1861</v>
      </c>
      <c r="B838" s="16">
        <v>43617</v>
      </c>
      <c r="C838" t="s">
        <v>167</v>
      </c>
      <c r="D838" s="22">
        <v>4765579.4024999999</v>
      </c>
    </row>
    <row r="839" spans="1:4" x14ac:dyDescent="0.25">
      <c r="A839">
        <v>1861</v>
      </c>
      <c r="B839" s="16">
        <v>43647</v>
      </c>
      <c r="C839" t="s">
        <v>167</v>
      </c>
      <c r="D839" s="22">
        <v>4765579.4024999999</v>
      </c>
    </row>
    <row r="840" spans="1:4" x14ac:dyDescent="0.25">
      <c r="A840">
        <v>1861</v>
      </c>
      <c r="B840" s="16">
        <v>43678</v>
      </c>
      <c r="C840" t="s">
        <v>167</v>
      </c>
      <c r="D840" s="22">
        <v>4765579.4024999999</v>
      </c>
    </row>
    <row r="841" spans="1:4" x14ac:dyDescent="0.25">
      <c r="A841">
        <v>1861</v>
      </c>
      <c r="B841" s="16">
        <v>43709</v>
      </c>
      <c r="C841" t="s">
        <v>167</v>
      </c>
      <c r="D841" s="22">
        <v>4765579.4024999999</v>
      </c>
    </row>
    <row r="842" spans="1:4" x14ac:dyDescent="0.25">
      <c r="A842">
        <v>1861</v>
      </c>
      <c r="B842" s="16">
        <v>43739</v>
      </c>
      <c r="C842" t="s">
        <v>167</v>
      </c>
      <c r="D842" s="22">
        <v>4765579.4024999999</v>
      </c>
    </row>
    <row r="843" spans="1:4" x14ac:dyDescent="0.25">
      <c r="A843">
        <v>1861</v>
      </c>
      <c r="B843" s="16">
        <v>43770</v>
      </c>
      <c r="C843" t="s">
        <v>167</v>
      </c>
      <c r="D843" s="22">
        <v>4765579.4024999999</v>
      </c>
    </row>
    <row r="844" spans="1:4" x14ac:dyDescent="0.25">
      <c r="A844">
        <v>1861</v>
      </c>
      <c r="B844" s="16">
        <v>43800</v>
      </c>
      <c r="C844" t="s">
        <v>167</v>
      </c>
      <c r="D844" s="22">
        <v>4765579.4024999999</v>
      </c>
    </row>
    <row r="845" spans="1:4" x14ac:dyDescent="0.25">
      <c r="A845">
        <v>1861</v>
      </c>
      <c r="B845" s="16">
        <v>43831</v>
      </c>
      <c r="C845" t="s">
        <v>167</v>
      </c>
      <c r="D845" s="22">
        <v>4765579.4024999999</v>
      </c>
    </row>
    <row r="846" spans="1:4" x14ac:dyDescent="0.25">
      <c r="A846">
        <v>1861</v>
      </c>
      <c r="B846" s="16">
        <v>43862</v>
      </c>
      <c r="C846" t="s">
        <v>167</v>
      </c>
      <c r="D846" s="22">
        <v>4765579.4024999999</v>
      </c>
    </row>
    <row r="847" spans="1:4" x14ac:dyDescent="0.25">
      <c r="A847">
        <v>1861</v>
      </c>
      <c r="B847" s="16">
        <v>43891</v>
      </c>
      <c r="C847" t="s">
        <v>167</v>
      </c>
      <c r="D847" s="22">
        <v>4765579.4024999999</v>
      </c>
    </row>
    <row r="848" spans="1:4" x14ac:dyDescent="0.25">
      <c r="A848">
        <v>1861</v>
      </c>
      <c r="B848" s="16">
        <v>43922</v>
      </c>
      <c r="C848" t="s">
        <v>167</v>
      </c>
      <c r="D848" s="22">
        <v>4765579.4024999999</v>
      </c>
    </row>
    <row r="849" spans="1:4" x14ac:dyDescent="0.25">
      <c r="A849">
        <v>1861</v>
      </c>
      <c r="B849" s="16">
        <v>43952</v>
      </c>
      <c r="C849" t="s">
        <v>167</v>
      </c>
      <c r="D849" s="22">
        <v>4765579.4024999999</v>
      </c>
    </row>
    <row r="850" spans="1:4" x14ac:dyDescent="0.25">
      <c r="A850">
        <v>1861</v>
      </c>
      <c r="B850" s="16">
        <v>43983</v>
      </c>
      <c r="C850" t="s">
        <v>167</v>
      </c>
      <c r="D850" s="22">
        <v>4765579.4024999999</v>
      </c>
    </row>
    <row r="851" spans="1:4" x14ac:dyDescent="0.25">
      <c r="A851">
        <v>1861</v>
      </c>
      <c r="B851" s="16">
        <v>44013</v>
      </c>
      <c r="C851" t="s">
        <v>167</v>
      </c>
      <c r="D851" s="22">
        <v>4765579.4024999999</v>
      </c>
    </row>
    <row r="852" spans="1:4" x14ac:dyDescent="0.25">
      <c r="A852">
        <v>1861</v>
      </c>
      <c r="B852" s="16">
        <v>44044</v>
      </c>
      <c r="C852" t="s">
        <v>167</v>
      </c>
      <c r="D852" s="22">
        <v>4765579.4024999999</v>
      </c>
    </row>
    <row r="853" spans="1:4" x14ac:dyDescent="0.25">
      <c r="A853">
        <v>1861</v>
      </c>
      <c r="B853" s="16">
        <v>44075</v>
      </c>
      <c r="C853" t="s">
        <v>167</v>
      </c>
      <c r="D853" s="22">
        <v>4765579.4024999999</v>
      </c>
    </row>
    <row r="854" spans="1:4" x14ac:dyDescent="0.25">
      <c r="A854">
        <v>1861</v>
      </c>
      <c r="B854" s="16">
        <v>44105</v>
      </c>
      <c r="C854" t="s">
        <v>167</v>
      </c>
      <c r="D854" s="22">
        <v>4765579.4024999999</v>
      </c>
    </row>
    <row r="855" spans="1:4" x14ac:dyDescent="0.25">
      <c r="A855">
        <v>1861</v>
      </c>
      <c r="B855" s="16">
        <v>44136</v>
      </c>
      <c r="C855" t="s">
        <v>167</v>
      </c>
      <c r="D855" s="22">
        <v>4765579.4024999999</v>
      </c>
    </row>
    <row r="856" spans="1:4" x14ac:dyDescent="0.25">
      <c r="A856">
        <v>1861</v>
      </c>
      <c r="B856" s="16">
        <v>43466</v>
      </c>
      <c r="C856" t="s">
        <v>167</v>
      </c>
      <c r="D856" s="22">
        <v>6204394.5704999994</v>
      </c>
    </row>
    <row r="857" spans="1:4" x14ac:dyDescent="0.25">
      <c r="A857">
        <v>1861</v>
      </c>
      <c r="B857" s="16">
        <v>43497</v>
      </c>
      <c r="C857" t="s">
        <v>167</v>
      </c>
      <c r="D857" s="22">
        <v>6204394.5704999994</v>
      </c>
    </row>
    <row r="858" spans="1:4" x14ac:dyDescent="0.25">
      <c r="A858">
        <v>1861</v>
      </c>
      <c r="B858" s="16">
        <v>43525</v>
      </c>
      <c r="C858" t="s">
        <v>167</v>
      </c>
      <c r="D858" s="22">
        <v>6204394.5704999994</v>
      </c>
    </row>
    <row r="859" spans="1:4" x14ac:dyDescent="0.25">
      <c r="A859">
        <v>1861</v>
      </c>
      <c r="B859" s="16">
        <v>43556</v>
      </c>
      <c r="C859" t="s">
        <v>167</v>
      </c>
      <c r="D859" s="22">
        <v>6204394.5704999994</v>
      </c>
    </row>
    <row r="860" spans="1:4" x14ac:dyDescent="0.25">
      <c r="A860">
        <v>1861</v>
      </c>
      <c r="B860" s="16">
        <v>43586</v>
      </c>
      <c r="C860" t="s">
        <v>167</v>
      </c>
      <c r="D860" s="22">
        <v>6204394.5704999994</v>
      </c>
    </row>
    <row r="861" spans="1:4" x14ac:dyDescent="0.25">
      <c r="A861">
        <v>1861</v>
      </c>
      <c r="B861" s="16">
        <v>43617</v>
      </c>
      <c r="C861" t="s">
        <v>167</v>
      </c>
      <c r="D861" s="22">
        <v>6204394.5704999994</v>
      </c>
    </row>
    <row r="862" spans="1:4" x14ac:dyDescent="0.25">
      <c r="A862">
        <v>1861</v>
      </c>
      <c r="B862" s="16">
        <v>43647</v>
      </c>
      <c r="C862" t="s">
        <v>167</v>
      </c>
      <c r="D862" s="22">
        <v>6204394.5704999994</v>
      </c>
    </row>
    <row r="863" spans="1:4" x14ac:dyDescent="0.25">
      <c r="A863">
        <v>1861</v>
      </c>
      <c r="B863" s="16">
        <v>43678</v>
      </c>
      <c r="C863" t="s">
        <v>167</v>
      </c>
      <c r="D863" s="22">
        <v>6204394.5704999994</v>
      </c>
    </row>
    <row r="864" spans="1:4" x14ac:dyDescent="0.25">
      <c r="A864">
        <v>1861</v>
      </c>
      <c r="B864" s="16">
        <v>43709</v>
      </c>
      <c r="C864" t="s">
        <v>167</v>
      </c>
      <c r="D864" s="22">
        <v>6204394.5704999994</v>
      </c>
    </row>
    <row r="865" spans="1:4" x14ac:dyDescent="0.25">
      <c r="A865">
        <v>1861</v>
      </c>
      <c r="B865" s="16">
        <v>43739</v>
      </c>
      <c r="C865" t="s">
        <v>167</v>
      </c>
      <c r="D865" s="22">
        <v>6204394.5704999994</v>
      </c>
    </row>
    <row r="866" spans="1:4" x14ac:dyDescent="0.25">
      <c r="A866">
        <v>1861</v>
      </c>
      <c r="B866" s="16">
        <v>43770</v>
      </c>
      <c r="C866" t="s">
        <v>167</v>
      </c>
      <c r="D866" s="22">
        <v>6204394.5704999994</v>
      </c>
    </row>
    <row r="867" spans="1:4" x14ac:dyDescent="0.25">
      <c r="A867">
        <v>1861</v>
      </c>
      <c r="B867" s="16">
        <v>43800</v>
      </c>
      <c r="C867" t="s">
        <v>167</v>
      </c>
      <c r="D867" s="22">
        <v>6204394.5704999994</v>
      </c>
    </row>
    <row r="868" spans="1:4" x14ac:dyDescent="0.25">
      <c r="A868">
        <v>1861</v>
      </c>
      <c r="B868" s="16">
        <v>43831</v>
      </c>
      <c r="C868" t="s">
        <v>167</v>
      </c>
      <c r="D868" s="22">
        <v>6204394.5704999994</v>
      </c>
    </row>
    <row r="869" spans="1:4" x14ac:dyDescent="0.25">
      <c r="A869">
        <v>1861</v>
      </c>
      <c r="B869" s="16">
        <v>43862</v>
      </c>
      <c r="C869" t="s">
        <v>167</v>
      </c>
      <c r="D869" s="22">
        <v>6204394.5704999994</v>
      </c>
    </row>
    <row r="870" spans="1:4" x14ac:dyDescent="0.25">
      <c r="A870">
        <v>1861</v>
      </c>
      <c r="B870" s="16">
        <v>43891</v>
      </c>
      <c r="C870" t="s">
        <v>167</v>
      </c>
      <c r="D870" s="22">
        <v>6204394.5704999994</v>
      </c>
    </row>
    <row r="871" spans="1:4" x14ac:dyDescent="0.25">
      <c r="A871">
        <v>1861</v>
      </c>
      <c r="B871" s="16">
        <v>43922</v>
      </c>
      <c r="C871" t="s">
        <v>167</v>
      </c>
      <c r="D871" s="22">
        <v>6204394.5704999994</v>
      </c>
    </row>
    <row r="872" spans="1:4" x14ac:dyDescent="0.25">
      <c r="A872">
        <v>1861</v>
      </c>
      <c r="B872" s="16">
        <v>43952</v>
      </c>
      <c r="C872" t="s">
        <v>167</v>
      </c>
      <c r="D872" s="22">
        <v>6204394.5704999994</v>
      </c>
    </row>
    <row r="873" spans="1:4" x14ac:dyDescent="0.25">
      <c r="A873">
        <v>1861</v>
      </c>
      <c r="B873" s="16">
        <v>43466</v>
      </c>
      <c r="C873" t="s">
        <v>168</v>
      </c>
      <c r="D873" s="22">
        <v>4314814.4024999999</v>
      </c>
    </row>
    <row r="874" spans="1:4" x14ac:dyDescent="0.25">
      <c r="A874">
        <v>1861</v>
      </c>
      <c r="B874" s="16">
        <v>43497</v>
      </c>
      <c r="C874" t="s">
        <v>168</v>
      </c>
      <c r="D874" s="22">
        <v>4314814.4024999999</v>
      </c>
    </row>
    <row r="875" spans="1:4" x14ac:dyDescent="0.25">
      <c r="A875">
        <v>1861</v>
      </c>
      <c r="B875" s="16">
        <v>43525</v>
      </c>
      <c r="C875" t="s">
        <v>168</v>
      </c>
      <c r="D875" s="22">
        <v>4314814.4024999999</v>
      </c>
    </row>
    <row r="876" spans="1:4" x14ac:dyDescent="0.25">
      <c r="A876">
        <v>1861</v>
      </c>
      <c r="B876" s="16">
        <v>43556</v>
      </c>
      <c r="C876" t="s">
        <v>168</v>
      </c>
      <c r="D876" s="22">
        <v>4314814.4024999999</v>
      </c>
    </row>
    <row r="877" spans="1:4" x14ac:dyDescent="0.25">
      <c r="A877">
        <v>1861</v>
      </c>
      <c r="B877" s="16">
        <v>43586</v>
      </c>
      <c r="C877" t="s">
        <v>168</v>
      </c>
      <c r="D877" s="22">
        <v>4314814.4024999999</v>
      </c>
    </row>
    <row r="878" spans="1:4" x14ac:dyDescent="0.25">
      <c r="A878">
        <v>1861</v>
      </c>
      <c r="B878" s="16">
        <v>43617</v>
      </c>
      <c r="C878" t="s">
        <v>168</v>
      </c>
      <c r="D878" s="22">
        <v>4314814.4024999999</v>
      </c>
    </row>
    <row r="879" spans="1:4" x14ac:dyDescent="0.25">
      <c r="A879">
        <v>1861</v>
      </c>
      <c r="B879" s="16">
        <v>43647</v>
      </c>
      <c r="C879" t="s">
        <v>168</v>
      </c>
      <c r="D879" s="22">
        <v>4314814.4024999999</v>
      </c>
    </row>
    <row r="880" spans="1:4" x14ac:dyDescent="0.25">
      <c r="A880">
        <v>1861</v>
      </c>
      <c r="B880" s="16">
        <v>43678</v>
      </c>
      <c r="C880" t="s">
        <v>168</v>
      </c>
      <c r="D880" s="22">
        <v>4314814.4024999999</v>
      </c>
    </row>
    <row r="881" spans="1:4" x14ac:dyDescent="0.25">
      <c r="A881">
        <v>1861</v>
      </c>
      <c r="B881" s="16">
        <v>43709</v>
      </c>
      <c r="C881" t="s">
        <v>168</v>
      </c>
      <c r="D881" s="22">
        <v>4314814.4024999999</v>
      </c>
    </row>
    <row r="882" spans="1:4" x14ac:dyDescent="0.25">
      <c r="A882">
        <v>1861</v>
      </c>
      <c r="B882" s="16">
        <v>43739</v>
      </c>
      <c r="C882" t="s">
        <v>168</v>
      </c>
      <c r="D882" s="22">
        <v>4314814.4024999999</v>
      </c>
    </row>
    <row r="883" spans="1:4" x14ac:dyDescent="0.25">
      <c r="A883">
        <v>1861</v>
      </c>
      <c r="B883" s="16">
        <v>43770</v>
      </c>
      <c r="C883" t="s">
        <v>168</v>
      </c>
      <c r="D883" s="22">
        <v>4314814.4024999999</v>
      </c>
    </row>
    <row r="884" spans="1:4" x14ac:dyDescent="0.25">
      <c r="A884">
        <v>1861</v>
      </c>
      <c r="B884" s="16">
        <v>43800</v>
      </c>
      <c r="C884" t="s">
        <v>168</v>
      </c>
      <c r="D884" s="22">
        <v>4314814.4024999999</v>
      </c>
    </row>
    <row r="885" spans="1:4" x14ac:dyDescent="0.25">
      <c r="A885">
        <v>1861</v>
      </c>
      <c r="B885" s="16">
        <v>43831</v>
      </c>
      <c r="C885" t="s">
        <v>168</v>
      </c>
      <c r="D885" s="22">
        <v>4314814.4024999999</v>
      </c>
    </row>
    <row r="886" spans="1:4" x14ac:dyDescent="0.25">
      <c r="A886">
        <v>1861</v>
      </c>
      <c r="B886" s="16">
        <v>43862</v>
      </c>
      <c r="C886" t="s">
        <v>168</v>
      </c>
      <c r="D886" s="22">
        <v>4314814.4024999999</v>
      </c>
    </row>
    <row r="887" spans="1:4" x14ac:dyDescent="0.25">
      <c r="A887">
        <v>1861</v>
      </c>
      <c r="B887" s="16">
        <v>43891</v>
      </c>
      <c r="C887" t="s">
        <v>168</v>
      </c>
      <c r="D887" s="22">
        <v>4314814.4024999999</v>
      </c>
    </row>
    <row r="888" spans="1:4" x14ac:dyDescent="0.25">
      <c r="A888">
        <v>1861</v>
      </c>
      <c r="B888" s="16">
        <v>43922</v>
      </c>
      <c r="C888" t="s">
        <v>168</v>
      </c>
      <c r="D888" s="22">
        <v>4314814.4024999999</v>
      </c>
    </row>
    <row r="889" spans="1:4" x14ac:dyDescent="0.25">
      <c r="A889">
        <v>1861</v>
      </c>
      <c r="B889" s="16">
        <v>43952</v>
      </c>
      <c r="C889" t="s">
        <v>168</v>
      </c>
      <c r="D889" s="22">
        <v>4314814.4024999999</v>
      </c>
    </row>
    <row r="890" spans="1:4" x14ac:dyDescent="0.25">
      <c r="A890">
        <v>1861</v>
      </c>
      <c r="B890" s="16">
        <v>43983</v>
      </c>
      <c r="C890" t="s">
        <v>168</v>
      </c>
      <c r="D890" s="22">
        <v>4314814.4024999999</v>
      </c>
    </row>
    <row r="891" spans="1:4" x14ac:dyDescent="0.25">
      <c r="A891">
        <v>1861</v>
      </c>
      <c r="B891" s="16">
        <v>44013</v>
      </c>
      <c r="C891" t="s">
        <v>168</v>
      </c>
      <c r="D891" s="22">
        <v>4314814.4024999999</v>
      </c>
    </row>
    <row r="892" spans="1:4" x14ac:dyDescent="0.25">
      <c r="A892">
        <v>1861</v>
      </c>
      <c r="B892" s="16">
        <v>44044</v>
      </c>
      <c r="C892" t="s">
        <v>168</v>
      </c>
      <c r="D892" s="22">
        <v>4314814.4024999999</v>
      </c>
    </row>
    <row r="893" spans="1:4" x14ac:dyDescent="0.25">
      <c r="A893">
        <v>1861</v>
      </c>
      <c r="B893" s="16">
        <v>44075</v>
      </c>
      <c r="C893" t="s">
        <v>168</v>
      </c>
      <c r="D893" s="22">
        <v>4314814.4024999999</v>
      </c>
    </row>
    <row r="894" spans="1:4" x14ac:dyDescent="0.25">
      <c r="A894">
        <v>1861</v>
      </c>
      <c r="B894" s="16">
        <v>44105</v>
      </c>
      <c r="C894" t="s">
        <v>168</v>
      </c>
      <c r="D894" s="22">
        <v>4314814.4024999999</v>
      </c>
    </row>
    <row r="895" spans="1:4" x14ac:dyDescent="0.25">
      <c r="A895">
        <v>1861</v>
      </c>
      <c r="B895" s="16">
        <v>44136</v>
      </c>
      <c r="C895" t="s">
        <v>168</v>
      </c>
      <c r="D895" s="22">
        <v>4314814.4024999999</v>
      </c>
    </row>
    <row r="896" spans="1:4" x14ac:dyDescent="0.25">
      <c r="A896">
        <v>1861</v>
      </c>
      <c r="B896" s="16">
        <v>43466</v>
      </c>
      <c r="C896" t="s">
        <v>168</v>
      </c>
      <c r="D896" s="22">
        <v>4363154.7749999994</v>
      </c>
    </row>
    <row r="897" spans="1:4" x14ac:dyDescent="0.25">
      <c r="A897">
        <v>1861</v>
      </c>
      <c r="B897" s="16">
        <v>43497</v>
      </c>
      <c r="C897" t="s">
        <v>168</v>
      </c>
      <c r="D897" s="22">
        <v>4363154.7749999994</v>
      </c>
    </row>
    <row r="898" spans="1:4" x14ac:dyDescent="0.25">
      <c r="A898">
        <v>1861</v>
      </c>
      <c r="B898" s="16">
        <v>43525</v>
      </c>
      <c r="C898" t="s">
        <v>168</v>
      </c>
      <c r="D898" s="22">
        <v>4363154.7749999994</v>
      </c>
    </row>
    <row r="899" spans="1:4" x14ac:dyDescent="0.25">
      <c r="A899">
        <v>1861</v>
      </c>
      <c r="B899" s="16">
        <v>43556</v>
      </c>
      <c r="C899" t="s">
        <v>168</v>
      </c>
      <c r="D899" s="22">
        <v>4363154.7749999994</v>
      </c>
    </row>
    <row r="900" spans="1:4" x14ac:dyDescent="0.25">
      <c r="A900">
        <v>1861</v>
      </c>
      <c r="B900" s="16">
        <v>43586</v>
      </c>
      <c r="C900" t="s">
        <v>168</v>
      </c>
      <c r="D900" s="22">
        <v>4363154.7749999994</v>
      </c>
    </row>
    <row r="901" spans="1:4" x14ac:dyDescent="0.25">
      <c r="A901">
        <v>1861</v>
      </c>
      <c r="B901" s="16">
        <v>43617</v>
      </c>
      <c r="C901" t="s">
        <v>168</v>
      </c>
      <c r="D901" s="22">
        <v>4363154.7749999994</v>
      </c>
    </row>
    <row r="902" spans="1:4" x14ac:dyDescent="0.25">
      <c r="A902">
        <v>1861</v>
      </c>
      <c r="B902" s="16">
        <v>43647</v>
      </c>
      <c r="C902" t="s">
        <v>168</v>
      </c>
      <c r="D902" s="22">
        <v>4363154.7749999994</v>
      </c>
    </row>
    <row r="903" spans="1:4" x14ac:dyDescent="0.25">
      <c r="A903">
        <v>1861</v>
      </c>
      <c r="B903" s="16">
        <v>43678</v>
      </c>
      <c r="C903" t="s">
        <v>168</v>
      </c>
      <c r="D903" s="22">
        <v>4363154.7749999994</v>
      </c>
    </row>
    <row r="904" spans="1:4" x14ac:dyDescent="0.25">
      <c r="A904">
        <v>1861</v>
      </c>
      <c r="B904" s="16">
        <v>43709</v>
      </c>
      <c r="C904" t="s">
        <v>168</v>
      </c>
      <c r="D904" s="22">
        <v>4363154.7749999994</v>
      </c>
    </row>
    <row r="905" spans="1:4" x14ac:dyDescent="0.25">
      <c r="A905">
        <v>1861</v>
      </c>
      <c r="B905" s="16">
        <v>43739</v>
      </c>
      <c r="C905" t="s">
        <v>168</v>
      </c>
      <c r="D905" s="22">
        <v>4363154.7749999994</v>
      </c>
    </row>
    <row r="906" spans="1:4" x14ac:dyDescent="0.25">
      <c r="A906">
        <v>1861</v>
      </c>
      <c r="B906" s="16">
        <v>43770</v>
      </c>
      <c r="C906" t="s">
        <v>168</v>
      </c>
      <c r="D906" s="22">
        <v>4363154.7749999994</v>
      </c>
    </row>
    <row r="907" spans="1:4" x14ac:dyDescent="0.25">
      <c r="A907">
        <v>1861</v>
      </c>
      <c r="B907" s="16">
        <v>43800</v>
      </c>
      <c r="C907" t="s">
        <v>168</v>
      </c>
      <c r="D907" s="22">
        <v>4363154.7749999994</v>
      </c>
    </row>
    <row r="908" spans="1:4" x14ac:dyDescent="0.25">
      <c r="A908">
        <v>1861</v>
      </c>
      <c r="B908" s="16">
        <v>43466</v>
      </c>
      <c r="C908" t="s">
        <v>29</v>
      </c>
      <c r="D908" s="22">
        <v>5731070.625</v>
      </c>
    </row>
    <row r="909" spans="1:4" x14ac:dyDescent="0.25">
      <c r="A909">
        <v>1861</v>
      </c>
      <c r="B909" s="16">
        <v>43497</v>
      </c>
      <c r="C909" t="s">
        <v>29</v>
      </c>
      <c r="D909" s="22">
        <v>5731070.625</v>
      </c>
    </row>
    <row r="910" spans="1:4" x14ac:dyDescent="0.25">
      <c r="A910">
        <v>1861</v>
      </c>
      <c r="B910" s="16">
        <v>43525</v>
      </c>
      <c r="C910" t="s">
        <v>29</v>
      </c>
      <c r="D910" s="22">
        <v>5731070.625</v>
      </c>
    </row>
    <row r="911" spans="1:4" x14ac:dyDescent="0.25">
      <c r="A911">
        <v>1861</v>
      </c>
      <c r="B911" s="16">
        <v>43556</v>
      </c>
      <c r="C911" t="s">
        <v>29</v>
      </c>
      <c r="D911" s="22">
        <v>5731070.625</v>
      </c>
    </row>
    <row r="912" spans="1:4" x14ac:dyDescent="0.25">
      <c r="A912">
        <v>1861</v>
      </c>
      <c r="B912" s="16">
        <v>43586</v>
      </c>
      <c r="C912" t="s">
        <v>29</v>
      </c>
      <c r="D912" s="22">
        <v>5731070.625</v>
      </c>
    </row>
    <row r="913" spans="1:4" x14ac:dyDescent="0.25">
      <c r="A913">
        <v>1861</v>
      </c>
      <c r="B913" s="16">
        <v>43617</v>
      </c>
      <c r="C913" t="s">
        <v>29</v>
      </c>
      <c r="D913" s="22">
        <v>5731070.625</v>
      </c>
    </row>
    <row r="914" spans="1:4" x14ac:dyDescent="0.25">
      <c r="A914">
        <v>1861</v>
      </c>
      <c r="B914" s="16">
        <v>43647</v>
      </c>
      <c r="C914" t="s">
        <v>29</v>
      </c>
      <c r="D914" s="22">
        <v>5731070.625</v>
      </c>
    </row>
    <row r="915" spans="1:4" x14ac:dyDescent="0.25">
      <c r="A915">
        <v>1861</v>
      </c>
      <c r="B915" s="16">
        <v>43678</v>
      </c>
      <c r="C915" t="s">
        <v>29</v>
      </c>
      <c r="D915" s="22">
        <v>5731070.625</v>
      </c>
    </row>
    <row r="916" spans="1:4" x14ac:dyDescent="0.25">
      <c r="A916">
        <v>1861</v>
      </c>
      <c r="B916" s="16">
        <v>43709</v>
      </c>
      <c r="C916" t="s">
        <v>29</v>
      </c>
      <c r="D916" s="22">
        <v>5731070.625</v>
      </c>
    </row>
    <row r="917" spans="1:4" x14ac:dyDescent="0.25">
      <c r="A917">
        <v>1861</v>
      </c>
      <c r="B917" s="16">
        <v>43739</v>
      </c>
      <c r="C917" t="s">
        <v>29</v>
      </c>
      <c r="D917" s="22">
        <v>5731070.625</v>
      </c>
    </row>
    <row r="918" spans="1:4" x14ac:dyDescent="0.25">
      <c r="A918">
        <v>1861</v>
      </c>
      <c r="B918" s="16">
        <v>43770</v>
      </c>
      <c r="C918" t="s">
        <v>29</v>
      </c>
      <c r="D918" s="22">
        <v>5731070.625</v>
      </c>
    </row>
    <row r="919" spans="1:4" x14ac:dyDescent="0.25">
      <c r="A919">
        <v>1861</v>
      </c>
      <c r="B919" s="16">
        <v>43800</v>
      </c>
      <c r="C919" t="s">
        <v>29</v>
      </c>
      <c r="D919" s="22">
        <v>5731070.625</v>
      </c>
    </row>
    <row r="920" spans="1:4" x14ac:dyDescent="0.25">
      <c r="A920">
        <v>1861</v>
      </c>
      <c r="B920" s="16">
        <v>43831</v>
      </c>
      <c r="C920" t="s">
        <v>29</v>
      </c>
      <c r="D920" s="22">
        <v>5731070.625</v>
      </c>
    </row>
    <row r="921" spans="1:4" x14ac:dyDescent="0.25">
      <c r="A921">
        <v>1861</v>
      </c>
      <c r="B921" s="16">
        <v>43862</v>
      </c>
      <c r="C921" t="s">
        <v>29</v>
      </c>
      <c r="D921" s="22">
        <v>5731070.625</v>
      </c>
    </row>
    <row r="922" spans="1:4" x14ac:dyDescent="0.25">
      <c r="A922">
        <v>1861</v>
      </c>
      <c r="B922" s="16">
        <v>43891</v>
      </c>
      <c r="C922" t="s">
        <v>29</v>
      </c>
      <c r="D922" s="22">
        <v>5731070.625</v>
      </c>
    </row>
    <row r="923" spans="1:4" x14ac:dyDescent="0.25">
      <c r="A923">
        <v>1861</v>
      </c>
      <c r="B923" s="16">
        <v>43922</v>
      </c>
      <c r="C923" t="s">
        <v>29</v>
      </c>
      <c r="D923" s="22">
        <v>5731070.625</v>
      </c>
    </row>
    <row r="924" spans="1:4" x14ac:dyDescent="0.25">
      <c r="A924">
        <v>1861</v>
      </c>
      <c r="B924" s="16">
        <v>43952</v>
      </c>
      <c r="C924" t="s">
        <v>29</v>
      </c>
      <c r="D924" s="22">
        <v>5731070.625</v>
      </c>
    </row>
    <row r="925" spans="1:4" x14ac:dyDescent="0.25">
      <c r="A925">
        <v>1861</v>
      </c>
      <c r="B925" s="16">
        <v>43983</v>
      </c>
      <c r="C925" t="s">
        <v>29</v>
      </c>
      <c r="D925" s="22">
        <v>5731070.625</v>
      </c>
    </row>
    <row r="926" spans="1:4" x14ac:dyDescent="0.25">
      <c r="A926">
        <v>1861</v>
      </c>
      <c r="B926" s="16">
        <v>44013</v>
      </c>
      <c r="C926" t="s">
        <v>29</v>
      </c>
      <c r="D926" s="22">
        <v>5731070.625</v>
      </c>
    </row>
    <row r="927" spans="1:4" x14ac:dyDescent="0.25">
      <c r="A927">
        <v>1861</v>
      </c>
      <c r="B927" s="16">
        <v>43466</v>
      </c>
      <c r="C927" t="s">
        <v>170</v>
      </c>
      <c r="D927" s="22">
        <v>5735067.9750000006</v>
      </c>
    </row>
    <row r="928" spans="1:4" x14ac:dyDescent="0.25">
      <c r="A928">
        <v>1861</v>
      </c>
      <c r="B928" s="16">
        <v>43497</v>
      </c>
      <c r="C928" t="s">
        <v>170</v>
      </c>
      <c r="D928" s="22">
        <v>5735067.9750000006</v>
      </c>
    </row>
    <row r="929" spans="1:4" x14ac:dyDescent="0.25">
      <c r="A929">
        <v>1861</v>
      </c>
      <c r="B929" s="16">
        <v>43525</v>
      </c>
      <c r="C929" t="s">
        <v>170</v>
      </c>
      <c r="D929" s="22">
        <v>5735067.9750000006</v>
      </c>
    </row>
    <row r="930" spans="1:4" x14ac:dyDescent="0.25">
      <c r="A930">
        <v>1861</v>
      </c>
      <c r="B930" s="16">
        <v>43556</v>
      </c>
      <c r="C930" t="s">
        <v>170</v>
      </c>
      <c r="D930" s="22">
        <v>5735067.9750000006</v>
      </c>
    </row>
    <row r="931" spans="1:4" x14ac:dyDescent="0.25">
      <c r="A931">
        <v>1861</v>
      </c>
      <c r="B931" s="16">
        <v>43586</v>
      </c>
      <c r="C931" t="s">
        <v>170</v>
      </c>
      <c r="D931" s="22">
        <v>5735067.9750000006</v>
      </c>
    </row>
    <row r="932" spans="1:4" x14ac:dyDescent="0.25">
      <c r="A932">
        <v>1861</v>
      </c>
      <c r="B932" s="16">
        <v>43617</v>
      </c>
      <c r="C932" t="s">
        <v>170</v>
      </c>
      <c r="D932" s="22">
        <v>5735067.9750000006</v>
      </c>
    </row>
    <row r="933" spans="1:4" x14ac:dyDescent="0.25">
      <c r="A933">
        <v>1861</v>
      </c>
      <c r="B933" s="16">
        <v>43647</v>
      </c>
      <c r="C933" t="s">
        <v>170</v>
      </c>
      <c r="D933" s="22">
        <v>5735067.9750000006</v>
      </c>
    </row>
    <row r="934" spans="1:4" x14ac:dyDescent="0.25">
      <c r="A934">
        <v>1861</v>
      </c>
      <c r="B934" s="16">
        <v>43678</v>
      </c>
      <c r="C934" t="s">
        <v>170</v>
      </c>
      <c r="D934" s="22">
        <v>5735067.9750000006</v>
      </c>
    </row>
    <row r="935" spans="1:4" x14ac:dyDescent="0.25">
      <c r="A935">
        <v>1861</v>
      </c>
      <c r="B935" s="16">
        <v>43709</v>
      </c>
      <c r="C935" t="s">
        <v>170</v>
      </c>
      <c r="D935" s="22">
        <v>5735067.9750000006</v>
      </c>
    </row>
    <row r="936" spans="1:4" x14ac:dyDescent="0.25">
      <c r="A936">
        <v>1861</v>
      </c>
      <c r="B936" s="16">
        <v>43739</v>
      </c>
      <c r="C936" t="s">
        <v>170</v>
      </c>
      <c r="D936" s="22">
        <v>5735067.9750000006</v>
      </c>
    </row>
    <row r="937" spans="1:4" x14ac:dyDescent="0.25">
      <c r="A937">
        <v>1861</v>
      </c>
      <c r="B937" s="16">
        <v>43770</v>
      </c>
      <c r="C937" t="s">
        <v>170</v>
      </c>
      <c r="D937" s="22">
        <v>5735067.9750000006</v>
      </c>
    </row>
    <row r="938" spans="1:4" x14ac:dyDescent="0.25">
      <c r="A938">
        <v>1861</v>
      </c>
      <c r="B938" s="16">
        <v>43800</v>
      </c>
      <c r="C938" t="s">
        <v>170</v>
      </c>
      <c r="D938" s="22">
        <v>5735067.9750000006</v>
      </c>
    </row>
    <row r="939" spans="1:4" x14ac:dyDescent="0.25">
      <c r="A939">
        <v>1861</v>
      </c>
      <c r="B939" s="16">
        <v>43831</v>
      </c>
      <c r="C939" t="s">
        <v>170</v>
      </c>
      <c r="D939" s="22">
        <v>5735067.9750000006</v>
      </c>
    </row>
    <row r="940" spans="1:4" x14ac:dyDescent="0.25">
      <c r="A940">
        <v>1861</v>
      </c>
      <c r="B940" s="16">
        <v>43862</v>
      </c>
      <c r="C940" t="s">
        <v>170</v>
      </c>
      <c r="D940" s="22">
        <v>5735067.9750000006</v>
      </c>
    </row>
    <row r="941" spans="1:4" x14ac:dyDescent="0.25">
      <c r="A941">
        <v>1861</v>
      </c>
      <c r="B941" s="16">
        <v>43891</v>
      </c>
      <c r="C941" t="s">
        <v>170</v>
      </c>
      <c r="D941" s="22">
        <v>5735067.9750000006</v>
      </c>
    </row>
    <row r="942" spans="1:4" x14ac:dyDescent="0.25">
      <c r="A942">
        <v>1861</v>
      </c>
      <c r="B942" s="16">
        <v>43922</v>
      </c>
      <c r="C942" t="s">
        <v>170</v>
      </c>
      <c r="D942" s="22">
        <v>5735067.9750000006</v>
      </c>
    </row>
    <row r="943" spans="1:4" x14ac:dyDescent="0.25">
      <c r="A943">
        <v>1861</v>
      </c>
      <c r="B943" s="16">
        <v>43952</v>
      </c>
      <c r="C943" t="s">
        <v>170</v>
      </c>
      <c r="D943" s="22">
        <v>5735067.9750000006</v>
      </c>
    </row>
    <row r="944" spans="1:4" x14ac:dyDescent="0.25">
      <c r="A944">
        <v>1861</v>
      </c>
      <c r="B944" s="16">
        <v>43983</v>
      </c>
      <c r="C944" t="s">
        <v>170</v>
      </c>
      <c r="D944" s="22">
        <v>5735067.9750000006</v>
      </c>
    </row>
    <row r="945" spans="1:4" x14ac:dyDescent="0.25">
      <c r="A945">
        <v>1861</v>
      </c>
      <c r="B945" s="16">
        <v>44013</v>
      </c>
      <c r="C945" t="s">
        <v>170</v>
      </c>
      <c r="D945" s="22">
        <v>5735067.9750000006</v>
      </c>
    </row>
    <row r="946" spans="1:4" x14ac:dyDescent="0.25">
      <c r="A946">
        <v>1861</v>
      </c>
      <c r="B946" s="16">
        <v>44044</v>
      </c>
      <c r="C946" t="s">
        <v>170</v>
      </c>
      <c r="D946" s="22">
        <v>5735067.9750000006</v>
      </c>
    </row>
    <row r="947" spans="1:4" x14ac:dyDescent="0.25">
      <c r="A947">
        <v>1861</v>
      </c>
      <c r="B947" s="16">
        <v>44075</v>
      </c>
      <c r="C947" t="s">
        <v>170</v>
      </c>
      <c r="D947" s="22">
        <v>5735067.9750000006</v>
      </c>
    </row>
    <row r="948" spans="1:4" x14ac:dyDescent="0.25">
      <c r="A948">
        <v>1861</v>
      </c>
      <c r="B948" s="16">
        <v>44105</v>
      </c>
      <c r="C948" t="s">
        <v>170</v>
      </c>
      <c r="D948" s="22">
        <v>5735067.9750000006</v>
      </c>
    </row>
    <row r="949" spans="1:4" x14ac:dyDescent="0.25">
      <c r="A949">
        <v>1861</v>
      </c>
      <c r="B949" s="16">
        <v>44136</v>
      </c>
      <c r="C949" t="s">
        <v>170</v>
      </c>
      <c r="D949" s="22">
        <v>5735067.9750000006</v>
      </c>
    </row>
    <row r="950" spans="1:4" x14ac:dyDescent="0.25">
      <c r="A950">
        <v>1861</v>
      </c>
      <c r="B950" s="16">
        <v>43466</v>
      </c>
      <c r="C950" t="s">
        <v>39</v>
      </c>
      <c r="D950" s="22">
        <v>5532675.75</v>
      </c>
    </row>
    <row r="951" spans="1:4" x14ac:dyDescent="0.25">
      <c r="A951">
        <v>1861</v>
      </c>
      <c r="B951" s="16">
        <v>43497</v>
      </c>
      <c r="C951" t="s">
        <v>39</v>
      </c>
      <c r="D951" s="22">
        <v>5532675.75</v>
      </c>
    </row>
    <row r="952" spans="1:4" x14ac:dyDescent="0.25">
      <c r="A952">
        <v>1861</v>
      </c>
      <c r="B952" s="16">
        <v>43525</v>
      </c>
      <c r="C952" t="s">
        <v>39</v>
      </c>
      <c r="D952" s="22">
        <v>5532675.75</v>
      </c>
    </row>
    <row r="953" spans="1:4" x14ac:dyDescent="0.25">
      <c r="A953">
        <v>1861</v>
      </c>
      <c r="B953" s="16">
        <v>43556</v>
      </c>
      <c r="C953" t="s">
        <v>39</v>
      </c>
      <c r="D953" s="22">
        <v>5532675.75</v>
      </c>
    </row>
    <row r="954" spans="1:4" x14ac:dyDescent="0.25">
      <c r="A954">
        <v>1861</v>
      </c>
      <c r="B954" s="16">
        <v>43586</v>
      </c>
      <c r="C954" t="s">
        <v>39</v>
      </c>
      <c r="D954" s="22">
        <v>5532675.75</v>
      </c>
    </row>
    <row r="955" spans="1:4" x14ac:dyDescent="0.25">
      <c r="A955">
        <v>1861</v>
      </c>
      <c r="B955" s="16">
        <v>43617</v>
      </c>
      <c r="C955" t="s">
        <v>39</v>
      </c>
      <c r="D955" s="22">
        <v>5532675.75</v>
      </c>
    </row>
    <row r="956" spans="1:4" x14ac:dyDescent="0.25">
      <c r="A956">
        <v>1861</v>
      </c>
      <c r="B956" s="16">
        <v>43647</v>
      </c>
      <c r="C956" t="s">
        <v>39</v>
      </c>
      <c r="D956" s="22">
        <v>5532675.75</v>
      </c>
    </row>
    <row r="957" spans="1:4" x14ac:dyDescent="0.25">
      <c r="A957">
        <v>1861</v>
      </c>
      <c r="B957" s="16">
        <v>43678</v>
      </c>
      <c r="C957" t="s">
        <v>39</v>
      </c>
      <c r="D957" s="22">
        <v>5532675.75</v>
      </c>
    </row>
    <row r="958" spans="1:4" x14ac:dyDescent="0.25">
      <c r="A958">
        <v>1861</v>
      </c>
      <c r="B958" s="16">
        <v>43709</v>
      </c>
      <c r="C958" t="s">
        <v>39</v>
      </c>
      <c r="D958" s="22">
        <v>5532675.75</v>
      </c>
    </row>
    <row r="959" spans="1:4" x14ac:dyDescent="0.25">
      <c r="A959">
        <v>1861</v>
      </c>
      <c r="B959" s="16">
        <v>43739</v>
      </c>
      <c r="C959" t="s">
        <v>39</v>
      </c>
      <c r="D959" s="22">
        <v>5532675.75</v>
      </c>
    </row>
    <row r="960" spans="1:4" x14ac:dyDescent="0.25">
      <c r="A960">
        <v>1861</v>
      </c>
      <c r="B960" s="16">
        <v>43770</v>
      </c>
      <c r="C960" t="s">
        <v>39</v>
      </c>
      <c r="D960" s="22">
        <v>5532675.75</v>
      </c>
    </row>
    <row r="961" spans="1:4" x14ac:dyDescent="0.25">
      <c r="A961">
        <v>1861</v>
      </c>
      <c r="B961" s="16">
        <v>43800</v>
      </c>
      <c r="C961" t="s">
        <v>39</v>
      </c>
      <c r="D961" s="22">
        <v>5532675.75</v>
      </c>
    </row>
    <row r="962" spans="1:4" x14ac:dyDescent="0.25">
      <c r="A962">
        <v>1861</v>
      </c>
      <c r="B962" s="16">
        <v>43831</v>
      </c>
      <c r="C962" t="s">
        <v>39</v>
      </c>
      <c r="D962" s="22">
        <v>5532675.75</v>
      </c>
    </row>
    <row r="963" spans="1:4" x14ac:dyDescent="0.25">
      <c r="A963">
        <v>1861</v>
      </c>
      <c r="B963" s="16">
        <v>43862</v>
      </c>
      <c r="C963" t="s">
        <v>39</v>
      </c>
      <c r="D963" s="22">
        <v>5532675.75</v>
      </c>
    </row>
    <row r="964" spans="1:4" x14ac:dyDescent="0.25">
      <c r="A964">
        <v>1861</v>
      </c>
      <c r="B964" s="16">
        <v>43891</v>
      </c>
      <c r="C964" t="s">
        <v>39</v>
      </c>
      <c r="D964" s="22">
        <v>5532675.75</v>
      </c>
    </row>
    <row r="965" spans="1:4" x14ac:dyDescent="0.25">
      <c r="A965">
        <v>1861</v>
      </c>
      <c r="B965" s="16">
        <v>43922</v>
      </c>
      <c r="C965" t="s">
        <v>39</v>
      </c>
      <c r="D965" s="22">
        <v>5532675.75</v>
      </c>
    </row>
    <row r="966" spans="1:4" x14ac:dyDescent="0.25">
      <c r="A966">
        <v>1861</v>
      </c>
      <c r="B966" s="16">
        <v>43952</v>
      </c>
      <c r="C966" t="s">
        <v>39</v>
      </c>
      <c r="D966" s="22">
        <v>5532675.75</v>
      </c>
    </row>
    <row r="967" spans="1:4" x14ac:dyDescent="0.25">
      <c r="A967">
        <v>1861</v>
      </c>
      <c r="B967" s="16">
        <v>43983</v>
      </c>
      <c r="C967" t="s">
        <v>39</v>
      </c>
      <c r="D967" s="22">
        <v>5532675.75</v>
      </c>
    </row>
    <row r="968" spans="1:4" x14ac:dyDescent="0.25">
      <c r="A968">
        <v>1861</v>
      </c>
      <c r="B968" s="16">
        <v>44013</v>
      </c>
      <c r="C968" t="s">
        <v>39</v>
      </c>
      <c r="D968" s="22">
        <v>5532675.75</v>
      </c>
    </row>
    <row r="969" spans="1:4" x14ac:dyDescent="0.25">
      <c r="A969">
        <v>1861</v>
      </c>
      <c r="B969" s="16">
        <v>44044</v>
      </c>
      <c r="C969" t="s">
        <v>39</v>
      </c>
      <c r="D969" s="22">
        <v>5532675.75</v>
      </c>
    </row>
    <row r="970" spans="1:4" x14ac:dyDescent="0.25">
      <c r="A970">
        <v>1861</v>
      </c>
      <c r="B970" s="16">
        <v>44075</v>
      </c>
      <c r="C970" t="s">
        <v>39</v>
      </c>
      <c r="D970" s="22">
        <v>5532675.75</v>
      </c>
    </row>
    <row r="971" spans="1:4" x14ac:dyDescent="0.25">
      <c r="A971">
        <v>1861</v>
      </c>
      <c r="B971" s="16">
        <v>44105</v>
      </c>
      <c r="C971" t="s">
        <v>39</v>
      </c>
      <c r="D971" s="22">
        <v>5532675.75</v>
      </c>
    </row>
    <row r="972" spans="1:4" x14ac:dyDescent="0.25">
      <c r="A972">
        <v>1861</v>
      </c>
      <c r="B972" s="16">
        <v>44136</v>
      </c>
      <c r="C972" t="s">
        <v>39</v>
      </c>
      <c r="D972" s="22">
        <v>5532675.75</v>
      </c>
    </row>
    <row r="973" spans="1:4" x14ac:dyDescent="0.25">
      <c r="A973">
        <v>1861</v>
      </c>
      <c r="B973" s="16">
        <v>44166</v>
      </c>
      <c r="C973" t="s">
        <v>39</v>
      </c>
      <c r="D973" s="22">
        <v>5532675.75</v>
      </c>
    </row>
    <row r="974" spans="1:4" x14ac:dyDescent="0.25">
      <c r="A974">
        <v>1861</v>
      </c>
      <c r="B974" s="16">
        <v>43466</v>
      </c>
      <c r="C974" t="s">
        <v>171</v>
      </c>
      <c r="D974" s="22">
        <v>6478130.9250000007</v>
      </c>
    </row>
    <row r="975" spans="1:4" x14ac:dyDescent="0.25">
      <c r="A975">
        <v>1861</v>
      </c>
      <c r="B975" s="16">
        <v>43497</v>
      </c>
      <c r="C975" t="s">
        <v>171</v>
      </c>
      <c r="D975" s="22">
        <v>6478130.9250000007</v>
      </c>
    </row>
    <row r="976" spans="1:4" x14ac:dyDescent="0.25">
      <c r="A976">
        <v>1861</v>
      </c>
      <c r="B976" s="16">
        <v>43525</v>
      </c>
      <c r="C976" t="s">
        <v>171</v>
      </c>
      <c r="D976" s="22">
        <v>6478130.9250000007</v>
      </c>
    </row>
    <row r="977" spans="1:4" x14ac:dyDescent="0.25">
      <c r="A977">
        <v>1861</v>
      </c>
      <c r="B977" s="16">
        <v>43556</v>
      </c>
      <c r="C977" t="s">
        <v>171</v>
      </c>
      <c r="D977" s="22">
        <v>6478130.9250000007</v>
      </c>
    </row>
    <row r="978" spans="1:4" x14ac:dyDescent="0.25">
      <c r="A978">
        <v>1861</v>
      </c>
      <c r="B978" s="16">
        <v>43586</v>
      </c>
      <c r="C978" t="s">
        <v>171</v>
      </c>
      <c r="D978" s="22">
        <v>6478130.9250000007</v>
      </c>
    </row>
    <row r="979" spans="1:4" x14ac:dyDescent="0.25">
      <c r="A979">
        <v>1861</v>
      </c>
      <c r="B979" s="16">
        <v>43617</v>
      </c>
      <c r="C979" t="s">
        <v>171</v>
      </c>
      <c r="D979" s="22">
        <v>6478130.9250000007</v>
      </c>
    </row>
    <row r="980" spans="1:4" x14ac:dyDescent="0.25">
      <c r="A980">
        <v>1861</v>
      </c>
      <c r="B980" s="16">
        <v>43647</v>
      </c>
      <c r="C980" t="s">
        <v>171</v>
      </c>
      <c r="D980" s="22">
        <v>6478130.9250000007</v>
      </c>
    </row>
    <row r="981" spans="1:4" x14ac:dyDescent="0.25">
      <c r="A981">
        <v>1861</v>
      </c>
      <c r="B981" s="16">
        <v>43678</v>
      </c>
      <c r="C981" t="s">
        <v>171</v>
      </c>
      <c r="D981" s="22">
        <v>6478130.9250000007</v>
      </c>
    </row>
    <row r="982" spans="1:4" x14ac:dyDescent="0.25">
      <c r="A982">
        <v>1861</v>
      </c>
      <c r="B982" s="16">
        <v>43709</v>
      </c>
      <c r="C982" t="s">
        <v>171</v>
      </c>
      <c r="D982" s="22">
        <v>6478130.9250000007</v>
      </c>
    </row>
    <row r="983" spans="1:4" x14ac:dyDescent="0.25">
      <c r="A983">
        <v>1861</v>
      </c>
      <c r="B983" s="16">
        <v>43739</v>
      </c>
      <c r="C983" t="s">
        <v>171</v>
      </c>
      <c r="D983" s="22">
        <v>6478130.9250000007</v>
      </c>
    </row>
    <row r="984" spans="1:4" x14ac:dyDescent="0.25">
      <c r="A984">
        <v>1861</v>
      </c>
      <c r="B984" s="16">
        <v>43770</v>
      </c>
      <c r="C984" t="s">
        <v>171</v>
      </c>
      <c r="D984" s="22">
        <v>6478130.9250000007</v>
      </c>
    </row>
    <row r="985" spans="1:4" x14ac:dyDescent="0.25">
      <c r="A985">
        <v>1861</v>
      </c>
      <c r="B985" s="16">
        <v>43800</v>
      </c>
      <c r="C985" t="s">
        <v>171</v>
      </c>
      <c r="D985" s="22">
        <v>6478130.9250000007</v>
      </c>
    </row>
    <row r="986" spans="1:4" x14ac:dyDescent="0.25">
      <c r="A986">
        <v>1861</v>
      </c>
      <c r="B986" s="16">
        <v>43831</v>
      </c>
      <c r="C986" t="s">
        <v>171</v>
      </c>
      <c r="D986" s="22">
        <v>6478130.9250000007</v>
      </c>
    </row>
    <row r="987" spans="1:4" x14ac:dyDescent="0.25">
      <c r="A987">
        <v>1861</v>
      </c>
      <c r="B987" s="16">
        <v>43862</v>
      </c>
      <c r="C987" t="s">
        <v>171</v>
      </c>
      <c r="D987" s="22">
        <v>6478130.9250000007</v>
      </c>
    </row>
    <row r="988" spans="1:4" x14ac:dyDescent="0.25">
      <c r="A988">
        <v>1861</v>
      </c>
      <c r="B988" s="16">
        <v>43891</v>
      </c>
      <c r="C988" t="s">
        <v>171</v>
      </c>
      <c r="D988" s="22">
        <v>6478130.9250000007</v>
      </c>
    </row>
    <row r="989" spans="1:4" x14ac:dyDescent="0.25">
      <c r="A989">
        <v>1861</v>
      </c>
      <c r="B989" s="16">
        <v>43922</v>
      </c>
      <c r="C989" t="s">
        <v>171</v>
      </c>
      <c r="D989" s="22">
        <v>6478130.9250000007</v>
      </c>
    </row>
    <row r="990" spans="1:4" x14ac:dyDescent="0.25">
      <c r="A990">
        <v>1861</v>
      </c>
      <c r="B990" s="16">
        <v>43952</v>
      </c>
      <c r="C990" t="s">
        <v>171</v>
      </c>
      <c r="D990" s="22">
        <v>6478130.9250000007</v>
      </c>
    </row>
    <row r="991" spans="1:4" x14ac:dyDescent="0.25">
      <c r="A991">
        <v>1861</v>
      </c>
      <c r="B991" s="16">
        <v>43983</v>
      </c>
      <c r="C991" t="s">
        <v>171</v>
      </c>
      <c r="D991" s="22">
        <v>6478130.9250000007</v>
      </c>
    </row>
    <row r="992" spans="1:4" x14ac:dyDescent="0.25">
      <c r="A992">
        <v>1861</v>
      </c>
      <c r="B992" s="16">
        <v>44013</v>
      </c>
      <c r="C992" t="s">
        <v>171</v>
      </c>
      <c r="D992" s="22">
        <v>6478130.9250000007</v>
      </c>
    </row>
    <row r="993" spans="1:4" x14ac:dyDescent="0.25">
      <c r="A993">
        <v>1861</v>
      </c>
      <c r="B993" s="16">
        <v>44044</v>
      </c>
      <c r="C993" t="s">
        <v>171</v>
      </c>
      <c r="D993" s="22">
        <v>6478130.9250000007</v>
      </c>
    </row>
    <row r="994" spans="1:4" x14ac:dyDescent="0.25">
      <c r="A994">
        <v>1861</v>
      </c>
      <c r="B994" s="16">
        <v>44075</v>
      </c>
      <c r="C994" t="s">
        <v>171</v>
      </c>
      <c r="D994" s="22">
        <v>6478130.9250000007</v>
      </c>
    </row>
    <row r="995" spans="1:4" x14ac:dyDescent="0.25">
      <c r="A995">
        <v>1861</v>
      </c>
      <c r="B995" s="16">
        <v>44105</v>
      </c>
      <c r="C995" t="s">
        <v>171</v>
      </c>
      <c r="D995" s="22">
        <v>6478130.9250000007</v>
      </c>
    </row>
    <row r="996" spans="1:4" x14ac:dyDescent="0.25">
      <c r="A996">
        <v>1861</v>
      </c>
      <c r="B996" s="16">
        <v>44136</v>
      </c>
      <c r="C996" t="s">
        <v>171</v>
      </c>
      <c r="D996" s="22">
        <v>6478130.9250000007</v>
      </c>
    </row>
    <row r="997" spans="1:4" x14ac:dyDescent="0.25">
      <c r="A997">
        <v>1861</v>
      </c>
      <c r="B997" s="16">
        <v>43466</v>
      </c>
      <c r="C997" t="s">
        <v>171</v>
      </c>
      <c r="D997" s="22">
        <v>6478130.9250000007</v>
      </c>
    </row>
    <row r="998" spans="1:4" x14ac:dyDescent="0.25">
      <c r="A998">
        <v>1861</v>
      </c>
      <c r="B998" s="16">
        <v>43497</v>
      </c>
      <c r="C998" t="s">
        <v>171</v>
      </c>
      <c r="D998" s="22">
        <v>6478130.9250000007</v>
      </c>
    </row>
    <row r="999" spans="1:4" x14ac:dyDescent="0.25">
      <c r="A999">
        <v>1861</v>
      </c>
      <c r="B999" s="16">
        <v>43525</v>
      </c>
      <c r="C999" t="s">
        <v>171</v>
      </c>
      <c r="D999" s="22">
        <v>6478130.9250000007</v>
      </c>
    </row>
    <row r="1000" spans="1:4" x14ac:dyDescent="0.25">
      <c r="A1000">
        <v>1861</v>
      </c>
      <c r="B1000" s="16">
        <v>43556</v>
      </c>
      <c r="C1000" t="s">
        <v>171</v>
      </c>
      <c r="D1000" s="22">
        <v>6478130.9250000007</v>
      </c>
    </row>
    <row r="1001" spans="1:4" x14ac:dyDescent="0.25">
      <c r="A1001">
        <v>1861</v>
      </c>
      <c r="B1001" s="16">
        <v>43586</v>
      </c>
      <c r="C1001" t="s">
        <v>171</v>
      </c>
      <c r="D1001" s="22">
        <v>6478130.9250000007</v>
      </c>
    </row>
    <row r="1002" spans="1:4" x14ac:dyDescent="0.25">
      <c r="A1002">
        <v>1861</v>
      </c>
      <c r="B1002" s="16">
        <v>43617</v>
      </c>
      <c r="C1002" t="s">
        <v>171</v>
      </c>
      <c r="D1002" s="22">
        <v>6478130.9250000007</v>
      </c>
    </row>
    <row r="1003" spans="1:4" x14ac:dyDescent="0.25">
      <c r="A1003">
        <v>1861</v>
      </c>
      <c r="B1003" s="16">
        <v>43647</v>
      </c>
      <c r="C1003" t="s">
        <v>171</v>
      </c>
      <c r="D1003" s="22">
        <v>6478130.9250000007</v>
      </c>
    </row>
    <row r="1004" spans="1:4" x14ac:dyDescent="0.25">
      <c r="A1004">
        <v>1861</v>
      </c>
      <c r="B1004" s="16">
        <v>43678</v>
      </c>
      <c r="C1004" t="s">
        <v>171</v>
      </c>
      <c r="D1004" s="22">
        <v>6478130.9250000007</v>
      </c>
    </row>
    <row r="1005" spans="1:4" x14ac:dyDescent="0.25">
      <c r="A1005">
        <v>1861</v>
      </c>
      <c r="B1005" s="16">
        <v>43709</v>
      </c>
      <c r="C1005" t="s">
        <v>171</v>
      </c>
      <c r="D1005" s="22">
        <v>6478130.9250000007</v>
      </c>
    </row>
    <row r="1006" spans="1:4" x14ac:dyDescent="0.25">
      <c r="A1006">
        <v>1861</v>
      </c>
      <c r="B1006" s="16">
        <v>43739</v>
      </c>
      <c r="C1006" t="s">
        <v>171</v>
      </c>
      <c r="D1006" s="22">
        <v>6478130.9250000007</v>
      </c>
    </row>
    <row r="1007" spans="1:4" x14ac:dyDescent="0.25">
      <c r="A1007">
        <v>1861</v>
      </c>
      <c r="B1007" s="16">
        <v>43770</v>
      </c>
      <c r="C1007" t="s">
        <v>171</v>
      </c>
      <c r="D1007" s="22">
        <v>6478130.9250000007</v>
      </c>
    </row>
    <row r="1008" spans="1:4" x14ac:dyDescent="0.25">
      <c r="A1008">
        <v>1861</v>
      </c>
      <c r="B1008" s="16">
        <v>43800</v>
      </c>
      <c r="C1008" t="s">
        <v>171</v>
      </c>
      <c r="D1008" s="22">
        <v>6478130.9250000007</v>
      </c>
    </row>
    <row r="1009" spans="1:4" x14ac:dyDescent="0.25">
      <c r="A1009">
        <v>1861</v>
      </c>
      <c r="B1009" s="16">
        <v>43831</v>
      </c>
      <c r="C1009" t="s">
        <v>171</v>
      </c>
      <c r="D1009" s="22">
        <v>6478130.9250000007</v>
      </c>
    </row>
    <row r="1010" spans="1:4" x14ac:dyDescent="0.25">
      <c r="A1010">
        <v>1861</v>
      </c>
      <c r="B1010" s="16">
        <v>43862</v>
      </c>
      <c r="C1010" t="s">
        <v>171</v>
      </c>
      <c r="D1010" s="22">
        <v>6478130.9250000007</v>
      </c>
    </row>
    <row r="1011" spans="1:4" x14ac:dyDescent="0.25">
      <c r="A1011">
        <v>1861</v>
      </c>
      <c r="B1011" s="16">
        <v>43891</v>
      </c>
      <c r="C1011" t="s">
        <v>171</v>
      </c>
      <c r="D1011" s="22">
        <v>6478130.9250000007</v>
      </c>
    </row>
    <row r="1012" spans="1:4" x14ac:dyDescent="0.25">
      <c r="A1012">
        <v>1861</v>
      </c>
      <c r="B1012" s="16">
        <v>43922</v>
      </c>
      <c r="C1012" t="s">
        <v>171</v>
      </c>
      <c r="D1012" s="22">
        <v>6478130.9250000007</v>
      </c>
    </row>
    <row r="1013" spans="1:4" x14ac:dyDescent="0.25">
      <c r="A1013">
        <v>1861</v>
      </c>
      <c r="B1013" s="16">
        <v>43952</v>
      </c>
      <c r="C1013" t="s">
        <v>171</v>
      </c>
      <c r="D1013" s="22">
        <v>6478130.9250000007</v>
      </c>
    </row>
    <row r="1014" spans="1:4" x14ac:dyDescent="0.25">
      <c r="A1014">
        <v>1861</v>
      </c>
      <c r="B1014" s="16">
        <v>43983</v>
      </c>
      <c r="C1014" t="s">
        <v>171</v>
      </c>
      <c r="D1014" s="22">
        <v>6478130.9250000007</v>
      </c>
    </row>
    <row r="1015" spans="1:4" x14ac:dyDescent="0.25">
      <c r="A1015">
        <v>1861</v>
      </c>
      <c r="B1015" s="16">
        <v>44013</v>
      </c>
      <c r="C1015" t="s">
        <v>171</v>
      </c>
      <c r="D1015" s="22">
        <v>6478130.9250000007</v>
      </c>
    </row>
    <row r="1016" spans="1:4" x14ac:dyDescent="0.25">
      <c r="A1016">
        <v>1861</v>
      </c>
      <c r="B1016" s="16">
        <v>44044</v>
      </c>
      <c r="C1016" t="s">
        <v>171</v>
      </c>
      <c r="D1016" s="22">
        <v>6478130.9250000007</v>
      </c>
    </row>
    <row r="1017" spans="1:4" x14ac:dyDescent="0.25">
      <c r="A1017">
        <v>1861</v>
      </c>
      <c r="B1017" s="16">
        <v>44075</v>
      </c>
      <c r="C1017" t="s">
        <v>171</v>
      </c>
      <c r="D1017" s="22">
        <v>6478130.9250000007</v>
      </c>
    </row>
    <row r="1018" spans="1:4" x14ac:dyDescent="0.25">
      <c r="A1018">
        <v>1861</v>
      </c>
      <c r="B1018" s="16">
        <v>44105</v>
      </c>
      <c r="C1018" t="s">
        <v>171</v>
      </c>
      <c r="D1018" s="22">
        <v>6478130.9250000007</v>
      </c>
    </row>
    <row r="1019" spans="1:4" x14ac:dyDescent="0.25">
      <c r="A1019">
        <v>1861</v>
      </c>
      <c r="B1019" s="16">
        <v>44136</v>
      </c>
      <c r="C1019" t="s">
        <v>171</v>
      </c>
      <c r="D1019" s="22">
        <v>6478130.9250000007</v>
      </c>
    </row>
    <row r="1020" spans="1:4" x14ac:dyDescent="0.25">
      <c r="A1020">
        <v>1873</v>
      </c>
      <c r="B1020" s="16">
        <v>43466</v>
      </c>
      <c r="C1020" t="s">
        <v>19</v>
      </c>
      <c r="D1020" s="22">
        <v>2806650</v>
      </c>
    </row>
    <row r="1021" spans="1:4" x14ac:dyDescent="0.25">
      <c r="A1021">
        <v>1873</v>
      </c>
      <c r="B1021" s="16">
        <v>43497</v>
      </c>
      <c r="C1021" t="s">
        <v>19</v>
      </c>
      <c r="D1021" s="22">
        <v>2806650</v>
      </c>
    </row>
    <row r="1022" spans="1:4" x14ac:dyDescent="0.25">
      <c r="A1022">
        <v>1873</v>
      </c>
      <c r="B1022" s="16">
        <v>43525</v>
      </c>
      <c r="C1022" t="s">
        <v>19</v>
      </c>
      <c r="D1022" s="22">
        <v>2806650</v>
      </c>
    </row>
    <row r="1023" spans="1:4" x14ac:dyDescent="0.25">
      <c r="A1023">
        <v>1873</v>
      </c>
      <c r="B1023" s="16">
        <v>43556</v>
      </c>
      <c r="C1023" t="s">
        <v>19</v>
      </c>
      <c r="D1023" s="22">
        <v>2806650</v>
      </c>
    </row>
    <row r="1024" spans="1:4" x14ac:dyDescent="0.25">
      <c r="A1024">
        <v>1873</v>
      </c>
      <c r="B1024" s="16">
        <v>43586</v>
      </c>
      <c r="C1024" t="s">
        <v>19</v>
      </c>
      <c r="D1024" s="22">
        <v>2806650</v>
      </c>
    </row>
    <row r="1025" spans="1:4" x14ac:dyDescent="0.25">
      <c r="A1025">
        <v>1873</v>
      </c>
      <c r="B1025" s="16">
        <v>43617</v>
      </c>
      <c r="C1025" t="s">
        <v>19</v>
      </c>
      <c r="D1025" s="22">
        <v>2806650</v>
      </c>
    </row>
    <row r="1026" spans="1:4" x14ac:dyDescent="0.25">
      <c r="A1026">
        <v>1873</v>
      </c>
      <c r="B1026" s="16">
        <v>43647</v>
      </c>
      <c r="C1026" t="s">
        <v>19</v>
      </c>
      <c r="D1026" s="22">
        <v>2806650</v>
      </c>
    </row>
    <row r="1027" spans="1:4" x14ac:dyDescent="0.25">
      <c r="A1027">
        <v>1873</v>
      </c>
      <c r="B1027" s="16">
        <v>43678</v>
      </c>
      <c r="C1027" t="s">
        <v>19</v>
      </c>
      <c r="D1027" s="22">
        <v>2806650</v>
      </c>
    </row>
    <row r="1028" spans="1:4" x14ac:dyDescent="0.25">
      <c r="A1028">
        <v>1873</v>
      </c>
      <c r="B1028" s="16">
        <v>43709</v>
      </c>
      <c r="C1028" t="s">
        <v>19</v>
      </c>
      <c r="D1028" s="22">
        <v>2806650</v>
      </c>
    </row>
    <row r="1029" spans="1:4" x14ac:dyDescent="0.25">
      <c r="A1029">
        <v>1873</v>
      </c>
      <c r="B1029" s="16">
        <v>43739</v>
      </c>
      <c r="C1029" t="s">
        <v>19</v>
      </c>
      <c r="D1029" s="22">
        <v>2806650</v>
      </c>
    </row>
    <row r="1030" spans="1:4" x14ac:dyDescent="0.25">
      <c r="A1030">
        <v>1873</v>
      </c>
      <c r="B1030" s="16">
        <v>43770</v>
      </c>
      <c r="C1030" t="s">
        <v>19</v>
      </c>
      <c r="D1030" s="22">
        <v>2806650</v>
      </c>
    </row>
    <row r="1031" spans="1:4" x14ac:dyDescent="0.25">
      <c r="A1031">
        <v>1873</v>
      </c>
      <c r="B1031" s="16">
        <v>43466</v>
      </c>
      <c r="C1031" t="s">
        <v>26</v>
      </c>
      <c r="D1031" s="22">
        <v>5355000</v>
      </c>
    </row>
    <row r="1032" spans="1:4" x14ac:dyDescent="0.25">
      <c r="A1032">
        <v>1873</v>
      </c>
      <c r="B1032" s="16">
        <v>43497</v>
      </c>
      <c r="C1032" t="s">
        <v>26</v>
      </c>
      <c r="D1032" s="22">
        <v>5355000</v>
      </c>
    </row>
    <row r="1033" spans="1:4" x14ac:dyDescent="0.25">
      <c r="A1033">
        <v>1873</v>
      </c>
      <c r="B1033" s="16">
        <v>43525</v>
      </c>
      <c r="C1033" t="s">
        <v>26</v>
      </c>
      <c r="D1033" s="22">
        <v>5355000</v>
      </c>
    </row>
    <row r="1034" spans="1:4" x14ac:dyDescent="0.25">
      <c r="A1034">
        <v>1873</v>
      </c>
      <c r="B1034" s="16">
        <v>43556</v>
      </c>
      <c r="C1034" t="s">
        <v>26</v>
      </c>
      <c r="D1034" s="22">
        <v>5355000</v>
      </c>
    </row>
    <row r="1035" spans="1:4" x14ac:dyDescent="0.25">
      <c r="A1035">
        <v>1873</v>
      </c>
      <c r="B1035" s="16">
        <v>43586</v>
      </c>
      <c r="C1035" t="s">
        <v>26</v>
      </c>
      <c r="D1035" s="22">
        <v>5355000</v>
      </c>
    </row>
    <row r="1036" spans="1:4" x14ac:dyDescent="0.25">
      <c r="A1036">
        <v>1873</v>
      </c>
      <c r="B1036" s="16">
        <v>43617</v>
      </c>
      <c r="C1036" t="s">
        <v>26</v>
      </c>
      <c r="D1036" s="22">
        <v>5355000</v>
      </c>
    </row>
    <row r="1037" spans="1:4" x14ac:dyDescent="0.25">
      <c r="A1037">
        <v>1873</v>
      </c>
      <c r="B1037" s="16">
        <v>43647</v>
      </c>
      <c r="C1037" t="s">
        <v>26</v>
      </c>
      <c r="D1037" s="22">
        <v>5355000</v>
      </c>
    </row>
    <row r="1038" spans="1:4" x14ac:dyDescent="0.25">
      <c r="A1038">
        <v>1873</v>
      </c>
      <c r="B1038" s="16">
        <v>43678</v>
      </c>
      <c r="C1038" t="s">
        <v>26</v>
      </c>
      <c r="D1038" s="22">
        <v>5355000</v>
      </c>
    </row>
    <row r="1039" spans="1:4" x14ac:dyDescent="0.25">
      <c r="A1039">
        <v>1873</v>
      </c>
      <c r="B1039" s="16">
        <v>43709</v>
      </c>
      <c r="C1039" t="s">
        <v>26</v>
      </c>
      <c r="D1039" s="22">
        <v>5355000</v>
      </c>
    </row>
    <row r="1040" spans="1:4" x14ac:dyDescent="0.25">
      <c r="A1040">
        <v>1873</v>
      </c>
      <c r="B1040" s="16">
        <v>43739</v>
      </c>
      <c r="C1040" t="s">
        <v>26</v>
      </c>
      <c r="D1040" s="22">
        <v>5355000</v>
      </c>
    </row>
    <row r="1041" spans="1:4" x14ac:dyDescent="0.25">
      <c r="A1041">
        <v>1873</v>
      </c>
      <c r="B1041" s="16">
        <v>43770</v>
      </c>
      <c r="C1041" t="s">
        <v>26</v>
      </c>
      <c r="D1041" s="22">
        <v>5355000</v>
      </c>
    </row>
    <row r="1042" spans="1:4" x14ac:dyDescent="0.25">
      <c r="A1042">
        <v>1873</v>
      </c>
      <c r="B1042" s="16">
        <v>43466</v>
      </c>
      <c r="C1042" t="s">
        <v>38</v>
      </c>
      <c r="D1042" s="22">
        <v>4123664.9999999995</v>
      </c>
    </row>
    <row r="1043" spans="1:4" x14ac:dyDescent="0.25">
      <c r="A1043">
        <v>1873</v>
      </c>
      <c r="B1043" s="16">
        <v>43497</v>
      </c>
      <c r="C1043" t="s">
        <v>38</v>
      </c>
      <c r="D1043" s="22">
        <v>4123664.9999999995</v>
      </c>
    </row>
    <row r="1044" spans="1:4" x14ac:dyDescent="0.25">
      <c r="A1044">
        <v>1873</v>
      </c>
      <c r="B1044" s="16">
        <v>43525</v>
      </c>
      <c r="C1044" t="s">
        <v>38</v>
      </c>
      <c r="D1044" s="22">
        <v>4123664.9999999995</v>
      </c>
    </row>
    <row r="1045" spans="1:4" x14ac:dyDescent="0.25">
      <c r="A1045">
        <v>1873</v>
      </c>
      <c r="B1045" s="16">
        <v>43556</v>
      </c>
      <c r="C1045" t="s">
        <v>38</v>
      </c>
      <c r="D1045" s="22">
        <v>4123664.9999999995</v>
      </c>
    </row>
    <row r="1046" spans="1:4" x14ac:dyDescent="0.25">
      <c r="A1046">
        <v>1873</v>
      </c>
      <c r="B1046" s="16">
        <v>43586</v>
      </c>
      <c r="C1046" t="s">
        <v>38</v>
      </c>
      <c r="D1046" s="22">
        <v>4123664.9999999995</v>
      </c>
    </row>
    <row r="1047" spans="1:4" x14ac:dyDescent="0.25">
      <c r="A1047">
        <v>1873</v>
      </c>
      <c r="B1047" s="16">
        <v>43617</v>
      </c>
      <c r="C1047" t="s">
        <v>38</v>
      </c>
      <c r="D1047" s="22">
        <v>4123664.9999999995</v>
      </c>
    </row>
    <row r="1048" spans="1:4" x14ac:dyDescent="0.25">
      <c r="A1048">
        <v>1873</v>
      </c>
      <c r="B1048" s="16">
        <v>43647</v>
      </c>
      <c r="C1048" t="s">
        <v>38</v>
      </c>
      <c r="D1048" s="22">
        <v>4123664.9999999995</v>
      </c>
    </row>
    <row r="1049" spans="1:4" x14ac:dyDescent="0.25">
      <c r="A1049">
        <v>1873</v>
      </c>
      <c r="B1049" s="16">
        <v>43678</v>
      </c>
      <c r="C1049" t="s">
        <v>38</v>
      </c>
      <c r="D1049" s="22">
        <v>4123664.9999999995</v>
      </c>
    </row>
    <row r="1050" spans="1:4" x14ac:dyDescent="0.25">
      <c r="A1050">
        <v>1873</v>
      </c>
      <c r="B1050" s="16">
        <v>43466</v>
      </c>
      <c r="C1050" t="s">
        <v>172</v>
      </c>
      <c r="D1050" s="22">
        <v>4123666.6694999998</v>
      </c>
    </row>
    <row r="1051" spans="1:4" x14ac:dyDescent="0.25">
      <c r="A1051">
        <v>1873</v>
      </c>
      <c r="B1051" s="16">
        <v>43497</v>
      </c>
      <c r="C1051" t="s">
        <v>172</v>
      </c>
      <c r="D1051" s="22">
        <v>4123666.6694999998</v>
      </c>
    </row>
    <row r="1052" spans="1:4" x14ac:dyDescent="0.25">
      <c r="A1052">
        <v>1874</v>
      </c>
      <c r="B1052" s="16">
        <v>43466</v>
      </c>
      <c r="C1052" t="s">
        <v>173</v>
      </c>
      <c r="D1052" s="22">
        <v>10415999.475</v>
      </c>
    </row>
    <row r="1053" spans="1:4" x14ac:dyDescent="0.25">
      <c r="A1053">
        <v>1874</v>
      </c>
      <c r="B1053" s="16">
        <v>43497</v>
      </c>
      <c r="C1053" t="s">
        <v>173</v>
      </c>
      <c r="D1053" s="22">
        <v>10415999.475</v>
      </c>
    </row>
    <row r="1054" spans="1:4" x14ac:dyDescent="0.25">
      <c r="A1054">
        <v>1874</v>
      </c>
      <c r="B1054" s="16">
        <v>43525</v>
      </c>
      <c r="C1054" t="s">
        <v>173</v>
      </c>
      <c r="D1054" s="22">
        <v>10415999.475</v>
      </c>
    </row>
    <row r="1055" spans="1:4" x14ac:dyDescent="0.25">
      <c r="A1055">
        <v>1874</v>
      </c>
      <c r="B1055" s="16">
        <v>43556</v>
      </c>
      <c r="C1055" t="s">
        <v>173</v>
      </c>
      <c r="D1055" s="22">
        <v>10415999.475</v>
      </c>
    </row>
    <row r="1056" spans="1:4" x14ac:dyDescent="0.25">
      <c r="A1056">
        <v>1874</v>
      </c>
      <c r="B1056" s="16">
        <v>43586</v>
      </c>
      <c r="C1056" t="s">
        <v>173</v>
      </c>
      <c r="D1056" s="22">
        <v>10415999.475</v>
      </c>
    </row>
    <row r="1057" spans="1:4" x14ac:dyDescent="0.25">
      <c r="A1057">
        <v>1874</v>
      </c>
      <c r="B1057" s="16">
        <v>43617</v>
      </c>
      <c r="C1057" t="s">
        <v>173</v>
      </c>
      <c r="D1057" s="22">
        <v>10415999.475</v>
      </c>
    </row>
    <row r="1058" spans="1:4" x14ac:dyDescent="0.25">
      <c r="A1058">
        <v>1874</v>
      </c>
      <c r="B1058" s="16">
        <v>43647</v>
      </c>
      <c r="C1058" t="s">
        <v>173</v>
      </c>
      <c r="D1058" s="22">
        <v>10415999.475</v>
      </c>
    </row>
    <row r="1059" spans="1:4" x14ac:dyDescent="0.25">
      <c r="A1059">
        <v>1874</v>
      </c>
      <c r="B1059" s="16">
        <v>43678</v>
      </c>
      <c r="C1059" t="s">
        <v>173</v>
      </c>
      <c r="D1059" s="22">
        <v>10415999.475</v>
      </c>
    </row>
    <row r="1060" spans="1:4" x14ac:dyDescent="0.25">
      <c r="A1060">
        <v>1874</v>
      </c>
      <c r="B1060" s="16">
        <v>43709</v>
      </c>
      <c r="C1060" t="s">
        <v>173</v>
      </c>
      <c r="D1060" s="22">
        <v>10415999.475</v>
      </c>
    </row>
    <row r="1061" spans="1:4" x14ac:dyDescent="0.25">
      <c r="A1061">
        <v>1874</v>
      </c>
      <c r="B1061" s="16">
        <v>43739</v>
      </c>
      <c r="C1061" t="s">
        <v>173</v>
      </c>
      <c r="D1061" s="22">
        <v>10415999.475</v>
      </c>
    </row>
    <row r="1062" spans="1:4" x14ac:dyDescent="0.25">
      <c r="A1062">
        <v>1874</v>
      </c>
      <c r="B1062" s="16">
        <v>43466</v>
      </c>
      <c r="C1062" t="s">
        <v>123</v>
      </c>
      <c r="D1062" s="22">
        <v>7207200</v>
      </c>
    </row>
    <row r="1063" spans="1:4" x14ac:dyDescent="0.25">
      <c r="A1063">
        <v>1874</v>
      </c>
      <c r="B1063" s="16">
        <v>43497</v>
      </c>
      <c r="C1063" t="s">
        <v>123</v>
      </c>
      <c r="D1063" s="22">
        <v>7207200</v>
      </c>
    </row>
    <row r="1064" spans="1:4" x14ac:dyDescent="0.25">
      <c r="A1064">
        <v>1874</v>
      </c>
      <c r="B1064" s="16">
        <v>43525</v>
      </c>
      <c r="C1064" t="s">
        <v>123</v>
      </c>
      <c r="D1064" s="22">
        <v>7207200</v>
      </c>
    </row>
    <row r="1065" spans="1:4" x14ac:dyDescent="0.25">
      <c r="A1065">
        <v>1874</v>
      </c>
      <c r="B1065" s="16">
        <v>43556</v>
      </c>
      <c r="C1065" t="s">
        <v>123</v>
      </c>
      <c r="D1065" s="22">
        <v>7207200</v>
      </c>
    </row>
    <row r="1066" spans="1:4" x14ac:dyDescent="0.25">
      <c r="A1066">
        <v>1874</v>
      </c>
      <c r="B1066" s="16">
        <v>43586</v>
      </c>
      <c r="C1066" t="s">
        <v>123</v>
      </c>
      <c r="D1066" s="22">
        <v>7207200</v>
      </c>
    </row>
    <row r="1067" spans="1:4" x14ac:dyDescent="0.25">
      <c r="A1067">
        <v>1874</v>
      </c>
      <c r="B1067" s="16">
        <v>43617</v>
      </c>
      <c r="C1067" t="s">
        <v>123</v>
      </c>
      <c r="D1067" s="22">
        <v>7207200</v>
      </c>
    </row>
    <row r="1068" spans="1:4" x14ac:dyDescent="0.25">
      <c r="A1068">
        <v>1874</v>
      </c>
      <c r="B1068" s="16">
        <v>43647</v>
      </c>
      <c r="C1068" t="s">
        <v>123</v>
      </c>
      <c r="D1068" s="22">
        <v>7207200</v>
      </c>
    </row>
    <row r="1069" spans="1:4" x14ac:dyDescent="0.25">
      <c r="A1069">
        <v>1874</v>
      </c>
      <c r="B1069" s="16">
        <v>43678</v>
      </c>
      <c r="C1069" t="s">
        <v>123</v>
      </c>
      <c r="D1069" s="22">
        <v>7207200</v>
      </c>
    </row>
    <row r="1070" spans="1:4" x14ac:dyDescent="0.25">
      <c r="A1070">
        <v>1874</v>
      </c>
      <c r="B1070" s="16">
        <v>43466</v>
      </c>
      <c r="C1070" t="s">
        <v>174</v>
      </c>
      <c r="D1070" s="22">
        <v>4866750</v>
      </c>
    </row>
    <row r="1071" spans="1:4" x14ac:dyDescent="0.25">
      <c r="A1071">
        <v>1874</v>
      </c>
      <c r="B1071" s="16">
        <v>43497</v>
      </c>
      <c r="C1071" t="s">
        <v>174</v>
      </c>
      <c r="D1071" s="22">
        <v>4866750</v>
      </c>
    </row>
    <row r="1072" spans="1:4" x14ac:dyDescent="0.25">
      <c r="A1072">
        <v>1874</v>
      </c>
      <c r="B1072" s="16">
        <v>43525</v>
      </c>
      <c r="C1072" t="s">
        <v>174</v>
      </c>
      <c r="D1072" s="22">
        <v>4866750</v>
      </c>
    </row>
    <row r="1073" spans="1:4" x14ac:dyDescent="0.25">
      <c r="A1073">
        <v>1874</v>
      </c>
      <c r="B1073" s="16">
        <v>43556</v>
      </c>
      <c r="C1073" t="s">
        <v>174</v>
      </c>
      <c r="D1073" s="22">
        <v>4866750</v>
      </c>
    </row>
    <row r="1074" spans="1:4" x14ac:dyDescent="0.25">
      <c r="A1074">
        <v>1874</v>
      </c>
      <c r="B1074" s="16">
        <v>43586</v>
      </c>
      <c r="C1074" t="s">
        <v>174</v>
      </c>
      <c r="D1074" s="22">
        <v>4866750</v>
      </c>
    </row>
    <row r="1075" spans="1:4" x14ac:dyDescent="0.25">
      <c r="A1075">
        <v>1874</v>
      </c>
      <c r="B1075" s="16">
        <v>43617</v>
      </c>
      <c r="C1075" t="s">
        <v>174</v>
      </c>
      <c r="D1075" s="22">
        <v>4866750</v>
      </c>
    </row>
    <row r="1076" spans="1:4" x14ac:dyDescent="0.25">
      <c r="A1076">
        <v>1874</v>
      </c>
      <c r="B1076" s="16">
        <v>43647</v>
      </c>
      <c r="C1076" t="s">
        <v>174</v>
      </c>
      <c r="D1076" s="22">
        <v>4866750</v>
      </c>
    </row>
    <row r="1077" spans="1:4" x14ac:dyDescent="0.25">
      <c r="A1077">
        <v>1874</v>
      </c>
      <c r="B1077" s="16">
        <v>43678</v>
      </c>
      <c r="C1077" t="s">
        <v>174</v>
      </c>
      <c r="D1077" s="22">
        <v>4866750</v>
      </c>
    </row>
    <row r="1078" spans="1:4" x14ac:dyDescent="0.25">
      <c r="A1078">
        <v>1874</v>
      </c>
      <c r="B1078" s="16">
        <v>43466</v>
      </c>
      <c r="C1078" t="s">
        <v>175</v>
      </c>
      <c r="D1078" s="22">
        <v>3916091.0564999999</v>
      </c>
    </row>
    <row r="1079" spans="1:4" x14ac:dyDescent="0.25">
      <c r="A1079">
        <v>1874</v>
      </c>
      <c r="B1079" s="16">
        <v>43497</v>
      </c>
      <c r="C1079" t="s">
        <v>175</v>
      </c>
      <c r="D1079" s="22">
        <v>3916091.0564999999</v>
      </c>
    </row>
    <row r="1080" spans="1:4" x14ac:dyDescent="0.25">
      <c r="A1080">
        <v>1874</v>
      </c>
      <c r="B1080" s="16">
        <v>43525</v>
      </c>
      <c r="C1080" t="s">
        <v>175</v>
      </c>
      <c r="D1080" s="22">
        <v>3916091.0564999999</v>
      </c>
    </row>
    <row r="1081" spans="1:4" x14ac:dyDescent="0.25">
      <c r="A1081">
        <v>1874</v>
      </c>
      <c r="B1081" s="16">
        <v>43556</v>
      </c>
      <c r="C1081" t="s">
        <v>175</v>
      </c>
      <c r="D1081" s="22">
        <v>3916091.0564999999</v>
      </c>
    </row>
    <row r="1082" spans="1:4" x14ac:dyDescent="0.25">
      <c r="A1082">
        <v>1874</v>
      </c>
      <c r="B1082" s="16">
        <v>43586</v>
      </c>
      <c r="C1082" t="s">
        <v>175</v>
      </c>
      <c r="D1082" s="22">
        <v>3916091.0564999999</v>
      </c>
    </row>
    <row r="1083" spans="1:4" x14ac:dyDescent="0.25">
      <c r="A1083">
        <v>1874</v>
      </c>
      <c r="B1083" s="16">
        <v>43617</v>
      </c>
      <c r="C1083" t="s">
        <v>175</v>
      </c>
      <c r="D1083" s="22">
        <v>3916091.0564999999</v>
      </c>
    </row>
    <row r="1084" spans="1:4" x14ac:dyDescent="0.25">
      <c r="A1084">
        <v>1874</v>
      </c>
      <c r="B1084" s="16">
        <v>43647</v>
      </c>
      <c r="C1084" t="s">
        <v>175</v>
      </c>
      <c r="D1084" s="22">
        <v>3916091.0564999999</v>
      </c>
    </row>
    <row r="1085" spans="1:4" x14ac:dyDescent="0.25">
      <c r="A1085">
        <v>1874</v>
      </c>
      <c r="B1085" s="16">
        <v>43678</v>
      </c>
      <c r="C1085" t="s">
        <v>175</v>
      </c>
      <c r="D1085" s="22">
        <v>3916091.0564999999</v>
      </c>
    </row>
    <row r="1086" spans="1:4" x14ac:dyDescent="0.25">
      <c r="A1086">
        <v>1874</v>
      </c>
      <c r="B1086" s="16">
        <v>43709</v>
      </c>
      <c r="C1086" t="s">
        <v>175</v>
      </c>
      <c r="D1086" s="22">
        <v>3916091.0564999999</v>
      </c>
    </row>
    <row r="1087" spans="1:4" x14ac:dyDescent="0.25">
      <c r="A1087">
        <v>1874</v>
      </c>
      <c r="B1087" s="16">
        <v>43739</v>
      </c>
      <c r="C1087" t="s">
        <v>175</v>
      </c>
      <c r="D1087" s="22">
        <v>3916091.0564999999</v>
      </c>
    </row>
    <row r="1088" spans="1:4" x14ac:dyDescent="0.25">
      <c r="A1088">
        <v>1861</v>
      </c>
      <c r="B1088" s="16">
        <v>43466</v>
      </c>
      <c r="C1088" t="s">
        <v>19</v>
      </c>
      <c r="D1088" s="22">
        <v>6263286.4602000006</v>
      </c>
    </row>
    <row r="1089" spans="1:4" x14ac:dyDescent="0.25">
      <c r="A1089">
        <v>1861</v>
      </c>
      <c r="B1089" s="16">
        <v>43497</v>
      </c>
      <c r="C1089" t="s">
        <v>19</v>
      </c>
      <c r="D1089" s="22">
        <v>6263286.4602000006</v>
      </c>
    </row>
    <row r="1090" spans="1:4" x14ac:dyDescent="0.25">
      <c r="A1090">
        <v>1861</v>
      </c>
      <c r="B1090" s="16">
        <v>43525</v>
      </c>
      <c r="C1090" t="s">
        <v>19</v>
      </c>
      <c r="D1090" s="22">
        <v>6263286.4602000006</v>
      </c>
    </row>
    <row r="1091" spans="1:4" x14ac:dyDescent="0.25">
      <c r="A1091">
        <v>1861</v>
      </c>
      <c r="B1091" s="16">
        <v>43556</v>
      </c>
      <c r="C1091" t="s">
        <v>19</v>
      </c>
      <c r="D1091" s="22">
        <v>6263286.4602000006</v>
      </c>
    </row>
    <row r="1092" spans="1:4" x14ac:dyDescent="0.25">
      <c r="A1092">
        <v>1861</v>
      </c>
      <c r="B1092" s="16">
        <v>43586</v>
      </c>
      <c r="C1092" t="s">
        <v>19</v>
      </c>
      <c r="D1092" s="22">
        <v>6263286.4602000006</v>
      </c>
    </row>
    <row r="1093" spans="1:4" x14ac:dyDescent="0.25">
      <c r="A1093">
        <v>1861</v>
      </c>
      <c r="B1093" s="16">
        <v>43617</v>
      </c>
      <c r="C1093" t="s">
        <v>19</v>
      </c>
      <c r="D1093" s="22">
        <v>6263286.4602000006</v>
      </c>
    </row>
    <row r="1094" spans="1:4" x14ac:dyDescent="0.25">
      <c r="A1094">
        <v>1861</v>
      </c>
      <c r="B1094" s="16">
        <v>43647</v>
      </c>
      <c r="C1094" t="s">
        <v>19</v>
      </c>
      <c r="D1094" s="22">
        <v>6263286.4602000006</v>
      </c>
    </row>
    <row r="1095" spans="1:4" x14ac:dyDescent="0.25">
      <c r="A1095">
        <v>1861</v>
      </c>
      <c r="B1095" s="16">
        <v>43678</v>
      </c>
      <c r="C1095" t="s">
        <v>19</v>
      </c>
      <c r="D1095" s="22">
        <v>6263286.4602000006</v>
      </c>
    </row>
    <row r="1096" spans="1:4" x14ac:dyDescent="0.25">
      <c r="A1096">
        <v>1861</v>
      </c>
      <c r="B1096" s="16">
        <v>43709</v>
      </c>
      <c r="C1096" t="s">
        <v>19</v>
      </c>
      <c r="D1096" s="22">
        <v>6263286.4602000006</v>
      </c>
    </row>
    <row r="1097" spans="1:4" x14ac:dyDescent="0.25">
      <c r="A1097">
        <v>1861</v>
      </c>
      <c r="B1097" s="16">
        <v>43739</v>
      </c>
      <c r="C1097" t="s">
        <v>19</v>
      </c>
      <c r="D1097" s="22">
        <v>6263286.4602000006</v>
      </c>
    </row>
    <row r="1098" spans="1:4" x14ac:dyDescent="0.25">
      <c r="A1098">
        <v>1861</v>
      </c>
      <c r="B1098" s="16">
        <v>43770</v>
      </c>
      <c r="C1098" t="s">
        <v>19</v>
      </c>
      <c r="D1098" s="22">
        <v>6263286.4602000006</v>
      </c>
    </row>
    <row r="1099" spans="1:4" x14ac:dyDescent="0.25">
      <c r="A1099">
        <v>1861</v>
      </c>
      <c r="B1099" s="16">
        <v>43800</v>
      </c>
      <c r="C1099" t="s">
        <v>19</v>
      </c>
      <c r="D1099" s="22">
        <v>6263286.4602000006</v>
      </c>
    </row>
    <row r="1100" spans="1:4" x14ac:dyDescent="0.25">
      <c r="A1100">
        <v>1861</v>
      </c>
      <c r="B1100" s="16">
        <v>43831</v>
      </c>
      <c r="C1100" t="s">
        <v>19</v>
      </c>
      <c r="D1100" s="22">
        <v>6263286.4602000006</v>
      </c>
    </row>
    <row r="1101" spans="1:4" x14ac:dyDescent="0.25">
      <c r="A1101">
        <v>1861</v>
      </c>
      <c r="B1101" s="16">
        <v>43862</v>
      </c>
      <c r="C1101" t="s">
        <v>19</v>
      </c>
      <c r="D1101" s="22">
        <v>6263286.4602000006</v>
      </c>
    </row>
    <row r="1102" spans="1:4" x14ac:dyDescent="0.25">
      <c r="A1102">
        <v>1861</v>
      </c>
      <c r="B1102" s="16">
        <v>43891</v>
      </c>
      <c r="C1102" t="s">
        <v>19</v>
      </c>
      <c r="D1102" s="22">
        <v>6263286.4602000006</v>
      </c>
    </row>
    <row r="1103" spans="1:4" x14ac:dyDescent="0.25">
      <c r="A1103">
        <v>1861</v>
      </c>
      <c r="B1103" s="16">
        <v>43922</v>
      </c>
      <c r="C1103" t="s">
        <v>19</v>
      </c>
      <c r="D1103" s="22">
        <v>6263286.4602000006</v>
      </c>
    </row>
    <row r="1104" spans="1:4" x14ac:dyDescent="0.25">
      <c r="A1104">
        <v>1861</v>
      </c>
      <c r="B1104" s="16">
        <v>43952</v>
      </c>
      <c r="C1104" t="s">
        <v>19</v>
      </c>
      <c r="D1104" s="22">
        <v>6263286.4602000006</v>
      </c>
    </row>
    <row r="1105" spans="1:4" x14ac:dyDescent="0.25">
      <c r="A1105">
        <v>1861</v>
      </c>
      <c r="B1105" s="16">
        <v>43983</v>
      </c>
      <c r="C1105" t="s">
        <v>19</v>
      </c>
      <c r="D1105" s="22">
        <v>6263286.4602000006</v>
      </c>
    </row>
    <row r="1106" spans="1:4" x14ac:dyDescent="0.25">
      <c r="A1106">
        <v>1861</v>
      </c>
      <c r="B1106" s="16">
        <v>44013</v>
      </c>
      <c r="C1106" t="s">
        <v>19</v>
      </c>
      <c r="D1106" s="22">
        <v>6263286.4602000006</v>
      </c>
    </row>
    <row r="1107" spans="1:4" x14ac:dyDescent="0.25">
      <c r="A1107">
        <v>1861</v>
      </c>
      <c r="B1107" s="16">
        <v>44044</v>
      </c>
      <c r="C1107" t="s">
        <v>19</v>
      </c>
      <c r="D1107" s="22">
        <v>6263286.4602000006</v>
      </c>
    </row>
    <row r="1108" spans="1:4" x14ac:dyDescent="0.25">
      <c r="A1108">
        <v>1861</v>
      </c>
      <c r="B1108" s="16">
        <v>43466</v>
      </c>
      <c r="C1108" t="s">
        <v>165</v>
      </c>
      <c r="D1108" s="22">
        <v>4120018.875</v>
      </c>
    </row>
    <row r="1109" spans="1:4" x14ac:dyDescent="0.25">
      <c r="A1109">
        <v>1861</v>
      </c>
      <c r="B1109" s="16">
        <v>43497</v>
      </c>
      <c r="C1109" t="s">
        <v>165</v>
      </c>
      <c r="D1109" s="22">
        <v>4120018.875</v>
      </c>
    </row>
    <row r="1110" spans="1:4" x14ac:dyDescent="0.25">
      <c r="A1110">
        <v>1861</v>
      </c>
      <c r="B1110" s="16">
        <v>43525</v>
      </c>
      <c r="C1110" t="s">
        <v>165</v>
      </c>
      <c r="D1110" s="22">
        <v>4120018.875</v>
      </c>
    </row>
    <row r="1111" spans="1:4" x14ac:dyDescent="0.25">
      <c r="A1111">
        <v>1861</v>
      </c>
      <c r="B1111" s="16">
        <v>43556</v>
      </c>
      <c r="C1111" t="s">
        <v>165</v>
      </c>
      <c r="D1111" s="22">
        <v>4120018.875</v>
      </c>
    </row>
    <row r="1112" spans="1:4" x14ac:dyDescent="0.25">
      <c r="A1112">
        <v>1861</v>
      </c>
      <c r="B1112" s="16">
        <v>43586</v>
      </c>
      <c r="C1112" t="s">
        <v>165</v>
      </c>
      <c r="D1112" s="22">
        <v>4120018.875</v>
      </c>
    </row>
    <row r="1113" spans="1:4" x14ac:dyDescent="0.25">
      <c r="A1113">
        <v>1861</v>
      </c>
      <c r="B1113" s="16">
        <v>43617</v>
      </c>
      <c r="C1113" t="s">
        <v>165</v>
      </c>
      <c r="D1113" s="22">
        <v>4120018.875</v>
      </c>
    </row>
    <row r="1114" spans="1:4" x14ac:dyDescent="0.25">
      <c r="A1114">
        <v>1861</v>
      </c>
      <c r="B1114" s="16">
        <v>43647</v>
      </c>
      <c r="C1114" t="s">
        <v>165</v>
      </c>
      <c r="D1114" s="22">
        <v>4120018.875</v>
      </c>
    </row>
    <row r="1115" spans="1:4" x14ac:dyDescent="0.25">
      <c r="A1115">
        <v>1861</v>
      </c>
      <c r="B1115" s="16">
        <v>43678</v>
      </c>
      <c r="C1115" t="s">
        <v>165</v>
      </c>
      <c r="D1115" s="22">
        <v>4120018.875</v>
      </c>
    </row>
    <row r="1116" spans="1:4" x14ac:dyDescent="0.25">
      <c r="A1116">
        <v>1861</v>
      </c>
      <c r="B1116" s="16">
        <v>43709</v>
      </c>
      <c r="C1116" t="s">
        <v>165</v>
      </c>
      <c r="D1116" s="22">
        <v>4120018.875</v>
      </c>
    </row>
    <row r="1117" spans="1:4" x14ac:dyDescent="0.25">
      <c r="A1117">
        <v>1861</v>
      </c>
      <c r="B1117" s="16">
        <v>43739</v>
      </c>
      <c r="C1117" t="s">
        <v>165</v>
      </c>
      <c r="D1117" s="22">
        <v>4120018.875</v>
      </c>
    </row>
    <row r="1118" spans="1:4" x14ac:dyDescent="0.25">
      <c r="A1118">
        <v>1861</v>
      </c>
      <c r="B1118" s="16">
        <v>43770</v>
      </c>
      <c r="C1118" t="s">
        <v>165</v>
      </c>
      <c r="D1118" s="22">
        <v>4120018.875</v>
      </c>
    </row>
    <row r="1119" spans="1:4" x14ac:dyDescent="0.25">
      <c r="A1119">
        <v>1861</v>
      </c>
      <c r="B1119" s="16">
        <v>43800</v>
      </c>
      <c r="C1119" t="s">
        <v>165</v>
      </c>
      <c r="D1119" s="22">
        <v>4120018.875</v>
      </c>
    </row>
    <row r="1120" spans="1:4" x14ac:dyDescent="0.25">
      <c r="A1120">
        <v>1861</v>
      </c>
      <c r="B1120" s="16">
        <v>43831</v>
      </c>
      <c r="C1120" t="s">
        <v>165</v>
      </c>
      <c r="D1120" s="22">
        <v>4120018.875</v>
      </c>
    </row>
    <row r="1121" spans="1:4" x14ac:dyDescent="0.25">
      <c r="A1121">
        <v>1861</v>
      </c>
      <c r="B1121" s="16">
        <v>43862</v>
      </c>
      <c r="C1121" t="s">
        <v>165</v>
      </c>
      <c r="D1121" s="22">
        <v>4120018.875</v>
      </c>
    </row>
    <row r="1122" spans="1:4" x14ac:dyDescent="0.25">
      <c r="A1122">
        <v>1861</v>
      </c>
      <c r="B1122" s="16">
        <v>43891</v>
      </c>
      <c r="C1122" t="s">
        <v>165</v>
      </c>
      <c r="D1122" s="22">
        <v>4120018.875</v>
      </c>
    </row>
    <row r="1123" spans="1:4" x14ac:dyDescent="0.25">
      <c r="A1123">
        <v>1861</v>
      </c>
      <c r="B1123" s="16">
        <v>43922</v>
      </c>
      <c r="C1123" t="s">
        <v>165</v>
      </c>
      <c r="D1123" s="22">
        <v>4120018.875</v>
      </c>
    </row>
    <row r="1124" spans="1:4" x14ac:dyDescent="0.25">
      <c r="A1124">
        <v>1861</v>
      </c>
      <c r="B1124" s="16">
        <v>43952</v>
      </c>
      <c r="C1124" t="s">
        <v>165</v>
      </c>
      <c r="D1124" s="22">
        <v>4120018.875</v>
      </c>
    </row>
    <row r="1125" spans="1:4" x14ac:dyDescent="0.25">
      <c r="A1125">
        <v>1861</v>
      </c>
      <c r="B1125" s="16">
        <v>43983</v>
      </c>
      <c r="C1125" t="s">
        <v>165</v>
      </c>
      <c r="D1125" s="22">
        <v>4120018.875</v>
      </c>
    </row>
    <row r="1126" spans="1:4" x14ac:dyDescent="0.25">
      <c r="A1126">
        <v>1861</v>
      </c>
      <c r="B1126" s="16">
        <v>44013</v>
      </c>
      <c r="C1126" t="s">
        <v>165</v>
      </c>
      <c r="D1126" s="22">
        <v>4120018.875</v>
      </c>
    </row>
    <row r="1127" spans="1:4" x14ac:dyDescent="0.25">
      <c r="A1127">
        <v>1861</v>
      </c>
      <c r="B1127" s="16">
        <v>44044</v>
      </c>
      <c r="C1127" t="s">
        <v>165</v>
      </c>
      <c r="D1127" s="22">
        <v>4120018.875</v>
      </c>
    </row>
    <row r="1128" spans="1:4" x14ac:dyDescent="0.25">
      <c r="A1128">
        <v>1861</v>
      </c>
      <c r="B1128" s="16">
        <v>44075</v>
      </c>
      <c r="C1128" t="s">
        <v>165</v>
      </c>
      <c r="D1128" s="22">
        <v>4120018.875</v>
      </c>
    </row>
    <row r="1129" spans="1:4" x14ac:dyDescent="0.25">
      <c r="A1129">
        <v>1861</v>
      </c>
      <c r="B1129" s="16">
        <v>44105</v>
      </c>
      <c r="C1129" t="s">
        <v>165</v>
      </c>
      <c r="D1129" s="22">
        <v>4120018.875</v>
      </c>
    </row>
    <row r="1130" spans="1:4" x14ac:dyDescent="0.25">
      <c r="A1130">
        <v>1861</v>
      </c>
      <c r="B1130" s="16">
        <v>44136</v>
      </c>
      <c r="C1130" t="s">
        <v>165</v>
      </c>
      <c r="D1130" s="22">
        <v>4120018.875</v>
      </c>
    </row>
    <row r="1131" spans="1:4" x14ac:dyDescent="0.25">
      <c r="A1131">
        <v>1881</v>
      </c>
      <c r="B1131" s="16">
        <v>43466</v>
      </c>
      <c r="C1131" t="s">
        <v>119</v>
      </c>
      <c r="D1131" s="22">
        <v>6549894.2250000006</v>
      </c>
    </row>
    <row r="1132" spans="1:4" x14ac:dyDescent="0.25">
      <c r="A1132">
        <v>1881</v>
      </c>
      <c r="B1132" s="16">
        <v>43497</v>
      </c>
      <c r="C1132" t="s">
        <v>119</v>
      </c>
      <c r="D1132" s="22">
        <v>6549894.2250000006</v>
      </c>
    </row>
    <row r="1133" spans="1:4" x14ac:dyDescent="0.25">
      <c r="A1133">
        <v>1881</v>
      </c>
      <c r="B1133" s="16">
        <v>43525</v>
      </c>
      <c r="C1133" t="s">
        <v>119</v>
      </c>
      <c r="D1133" s="22">
        <v>6549894.2250000006</v>
      </c>
    </row>
    <row r="1134" spans="1:4" x14ac:dyDescent="0.25">
      <c r="A1134">
        <v>1881</v>
      </c>
      <c r="B1134" s="16">
        <v>43556</v>
      </c>
      <c r="C1134" t="s">
        <v>119</v>
      </c>
      <c r="D1134" s="22">
        <v>6549894.2250000006</v>
      </c>
    </row>
    <row r="1135" spans="1:4" x14ac:dyDescent="0.25">
      <c r="A1135">
        <v>1881</v>
      </c>
      <c r="B1135" s="16">
        <v>43586</v>
      </c>
      <c r="C1135" t="s">
        <v>119</v>
      </c>
      <c r="D1135" s="22">
        <v>6549894.2250000006</v>
      </c>
    </row>
    <row r="1136" spans="1:4" x14ac:dyDescent="0.25">
      <c r="A1136">
        <v>1881</v>
      </c>
      <c r="B1136" s="16">
        <v>43617</v>
      </c>
      <c r="C1136" t="s">
        <v>119</v>
      </c>
      <c r="D1136" s="22">
        <v>6549894.2250000006</v>
      </c>
    </row>
    <row r="1137" spans="1:4" x14ac:dyDescent="0.25">
      <c r="A1137">
        <v>1881</v>
      </c>
      <c r="B1137" s="16">
        <v>43647</v>
      </c>
      <c r="C1137" t="s">
        <v>119</v>
      </c>
      <c r="D1137" s="22">
        <v>6549894.2250000006</v>
      </c>
    </row>
    <row r="1138" spans="1:4" x14ac:dyDescent="0.25">
      <c r="A1138">
        <v>1881</v>
      </c>
      <c r="B1138" s="16">
        <v>43678</v>
      </c>
      <c r="C1138" t="s">
        <v>119</v>
      </c>
      <c r="D1138" s="22">
        <v>6549894.2250000006</v>
      </c>
    </row>
    <row r="1139" spans="1:4" x14ac:dyDescent="0.25">
      <c r="A1139">
        <v>1881</v>
      </c>
      <c r="B1139" s="16">
        <v>43709</v>
      </c>
      <c r="C1139" t="s">
        <v>119</v>
      </c>
      <c r="D1139" s="22">
        <v>6549894.2250000006</v>
      </c>
    </row>
    <row r="1140" spans="1:4" x14ac:dyDescent="0.25">
      <c r="A1140">
        <v>1881</v>
      </c>
      <c r="B1140" s="16">
        <v>43739</v>
      </c>
      <c r="C1140" t="s">
        <v>119</v>
      </c>
      <c r="D1140" s="22">
        <v>6549894.2250000006</v>
      </c>
    </row>
    <row r="1141" spans="1:4" x14ac:dyDescent="0.25">
      <c r="A1141">
        <v>1881</v>
      </c>
      <c r="B1141" s="16">
        <v>43770</v>
      </c>
      <c r="C1141" t="s">
        <v>119</v>
      </c>
      <c r="D1141" s="22">
        <v>6549894.2250000006</v>
      </c>
    </row>
    <row r="1142" spans="1:4" x14ac:dyDescent="0.25">
      <c r="A1142">
        <v>1881</v>
      </c>
      <c r="B1142" s="16">
        <v>43800</v>
      </c>
      <c r="C1142" t="s">
        <v>119</v>
      </c>
      <c r="D1142" s="22">
        <v>6549894.2250000006</v>
      </c>
    </row>
    <row r="1143" spans="1:4" x14ac:dyDescent="0.25">
      <c r="A1143">
        <v>1881</v>
      </c>
      <c r="B1143" s="16">
        <v>43831</v>
      </c>
      <c r="C1143" t="s">
        <v>119</v>
      </c>
      <c r="D1143" s="22">
        <v>6549894.2250000006</v>
      </c>
    </row>
    <row r="1144" spans="1:4" x14ac:dyDescent="0.25">
      <c r="A1144">
        <v>1881</v>
      </c>
      <c r="B1144" s="16">
        <v>43862</v>
      </c>
      <c r="C1144" t="s">
        <v>119</v>
      </c>
      <c r="D1144" s="22">
        <v>6549894.2250000006</v>
      </c>
    </row>
    <row r="1145" spans="1:4" x14ac:dyDescent="0.25">
      <c r="A1145">
        <v>1881</v>
      </c>
      <c r="B1145" s="16">
        <v>43891</v>
      </c>
      <c r="C1145" t="s">
        <v>119</v>
      </c>
      <c r="D1145" s="22">
        <v>6549894.2250000006</v>
      </c>
    </row>
    <row r="1146" spans="1:4" x14ac:dyDescent="0.25">
      <c r="A1146">
        <v>1881</v>
      </c>
      <c r="B1146" s="16">
        <v>43922</v>
      </c>
      <c r="C1146" t="s">
        <v>119</v>
      </c>
      <c r="D1146" s="22">
        <v>6549894.2250000006</v>
      </c>
    </row>
    <row r="1147" spans="1:4" x14ac:dyDescent="0.25">
      <c r="A1147">
        <v>1881</v>
      </c>
      <c r="B1147" s="16">
        <v>43952</v>
      </c>
      <c r="C1147" t="s">
        <v>119</v>
      </c>
      <c r="D1147" s="22">
        <v>6549894.2250000006</v>
      </c>
    </row>
    <row r="1148" spans="1:4" x14ac:dyDescent="0.25">
      <c r="A1148">
        <v>1881</v>
      </c>
      <c r="B1148" s="16">
        <v>43983</v>
      </c>
      <c r="C1148" t="s">
        <v>119</v>
      </c>
      <c r="D1148" s="22">
        <v>6549894.2250000006</v>
      </c>
    </row>
    <row r="1149" spans="1:4" x14ac:dyDescent="0.25">
      <c r="A1149">
        <v>1881</v>
      </c>
      <c r="B1149" s="16">
        <v>44013</v>
      </c>
      <c r="C1149" t="s">
        <v>119</v>
      </c>
      <c r="D1149" s="22">
        <v>6549894.2250000006</v>
      </c>
    </row>
    <row r="1150" spans="1:4" x14ac:dyDescent="0.25">
      <c r="A1150">
        <v>1881</v>
      </c>
      <c r="B1150" s="16">
        <v>43466</v>
      </c>
      <c r="C1150" t="s">
        <v>135</v>
      </c>
      <c r="D1150" s="22">
        <v>3981406.9049999998</v>
      </c>
    </row>
    <row r="1151" spans="1:4" x14ac:dyDescent="0.25">
      <c r="A1151">
        <v>1881</v>
      </c>
      <c r="B1151" s="16">
        <v>43497</v>
      </c>
      <c r="C1151" t="s">
        <v>135</v>
      </c>
      <c r="D1151" s="22">
        <v>3981406.9049999998</v>
      </c>
    </row>
    <row r="1152" spans="1:4" x14ac:dyDescent="0.25">
      <c r="A1152">
        <v>1881</v>
      </c>
      <c r="B1152" s="16">
        <v>43525</v>
      </c>
      <c r="C1152" t="s">
        <v>135</v>
      </c>
      <c r="D1152" s="22">
        <v>3981406.9049999998</v>
      </c>
    </row>
    <row r="1153" spans="1:4" x14ac:dyDescent="0.25">
      <c r="A1153">
        <v>1881</v>
      </c>
      <c r="B1153" s="16">
        <v>43556</v>
      </c>
      <c r="C1153" t="s">
        <v>135</v>
      </c>
      <c r="D1153" s="22">
        <v>3981406.9049999998</v>
      </c>
    </row>
    <row r="1154" spans="1:4" x14ac:dyDescent="0.25">
      <c r="A1154">
        <v>1881</v>
      </c>
      <c r="B1154" s="16">
        <v>43586</v>
      </c>
      <c r="C1154" t="s">
        <v>135</v>
      </c>
      <c r="D1154" s="22">
        <v>3981406.9049999998</v>
      </c>
    </row>
    <row r="1155" spans="1:4" x14ac:dyDescent="0.25">
      <c r="A1155">
        <v>1881</v>
      </c>
      <c r="B1155" s="16">
        <v>43617</v>
      </c>
      <c r="C1155" t="s">
        <v>135</v>
      </c>
      <c r="D1155" s="22">
        <v>3981406.9049999998</v>
      </c>
    </row>
    <row r="1156" spans="1:4" x14ac:dyDescent="0.25">
      <c r="A1156">
        <v>1881</v>
      </c>
      <c r="B1156" s="16">
        <v>43647</v>
      </c>
      <c r="C1156" t="s">
        <v>135</v>
      </c>
      <c r="D1156" s="22">
        <v>3981406.9049999998</v>
      </c>
    </row>
    <row r="1157" spans="1:4" x14ac:dyDescent="0.25">
      <c r="A1157">
        <v>1881</v>
      </c>
      <c r="B1157" s="16">
        <v>43678</v>
      </c>
      <c r="C1157" t="s">
        <v>135</v>
      </c>
      <c r="D1157" s="22">
        <v>3981406.9049999998</v>
      </c>
    </row>
    <row r="1158" spans="1:4" x14ac:dyDescent="0.25">
      <c r="A1158">
        <v>1881</v>
      </c>
      <c r="B1158" s="16">
        <v>43709</v>
      </c>
      <c r="C1158" t="s">
        <v>135</v>
      </c>
      <c r="D1158" s="22">
        <v>3981406.9049999998</v>
      </c>
    </row>
    <row r="1159" spans="1:4" x14ac:dyDescent="0.25">
      <c r="A1159">
        <v>1881</v>
      </c>
      <c r="B1159" s="16">
        <v>43739</v>
      </c>
      <c r="C1159" t="s">
        <v>135</v>
      </c>
      <c r="D1159" s="22">
        <v>3981406.9049999998</v>
      </c>
    </row>
    <row r="1160" spans="1:4" x14ac:dyDescent="0.25">
      <c r="A1160">
        <v>1881</v>
      </c>
      <c r="B1160" s="16">
        <v>43770</v>
      </c>
      <c r="C1160" t="s">
        <v>135</v>
      </c>
      <c r="D1160" s="22">
        <v>3981406.9049999998</v>
      </c>
    </row>
    <row r="1161" spans="1:4" x14ac:dyDescent="0.25">
      <c r="A1161">
        <v>1881</v>
      </c>
      <c r="B1161" s="16">
        <v>43800</v>
      </c>
      <c r="C1161" t="s">
        <v>135</v>
      </c>
      <c r="D1161" s="22">
        <v>3981406.9049999998</v>
      </c>
    </row>
    <row r="1162" spans="1:4" x14ac:dyDescent="0.25">
      <c r="A1162">
        <v>1881</v>
      </c>
      <c r="B1162" s="16">
        <v>43831</v>
      </c>
      <c r="C1162" t="s">
        <v>135</v>
      </c>
      <c r="D1162" s="22">
        <v>3981406.9049999998</v>
      </c>
    </row>
    <row r="1163" spans="1:4" x14ac:dyDescent="0.25">
      <c r="A1163">
        <v>1881</v>
      </c>
      <c r="B1163" s="16">
        <v>43862</v>
      </c>
      <c r="C1163" t="s">
        <v>135</v>
      </c>
      <c r="D1163" s="22">
        <v>3981406.9049999998</v>
      </c>
    </row>
    <row r="1164" spans="1:4" x14ac:dyDescent="0.25">
      <c r="A1164">
        <v>1881</v>
      </c>
      <c r="B1164" s="16">
        <v>43891</v>
      </c>
      <c r="C1164" t="s">
        <v>135</v>
      </c>
      <c r="D1164" s="22">
        <v>3981406.9049999998</v>
      </c>
    </row>
    <row r="1165" spans="1:4" x14ac:dyDescent="0.25">
      <c r="A1165">
        <v>1881</v>
      </c>
      <c r="B1165" s="16">
        <v>43922</v>
      </c>
      <c r="C1165" t="s">
        <v>135</v>
      </c>
      <c r="D1165" s="22">
        <v>3981406.9049999998</v>
      </c>
    </row>
    <row r="1166" spans="1:4" x14ac:dyDescent="0.25">
      <c r="A1166">
        <v>1881</v>
      </c>
      <c r="B1166" s="16">
        <v>43952</v>
      </c>
      <c r="C1166" t="s">
        <v>135</v>
      </c>
      <c r="D1166" s="22">
        <v>3981406.9049999998</v>
      </c>
    </row>
    <row r="1167" spans="1:4" x14ac:dyDescent="0.25">
      <c r="A1167">
        <v>1881</v>
      </c>
      <c r="B1167" s="16">
        <v>43983</v>
      </c>
      <c r="C1167" t="s">
        <v>135</v>
      </c>
      <c r="D1167" s="22">
        <v>3981406.9049999998</v>
      </c>
    </row>
    <row r="1168" spans="1:4" x14ac:dyDescent="0.25">
      <c r="A1168">
        <v>1881</v>
      </c>
      <c r="B1168" s="16">
        <v>44013</v>
      </c>
      <c r="C1168" t="s">
        <v>135</v>
      </c>
      <c r="D1168" s="22">
        <v>3981406.9049999998</v>
      </c>
    </row>
    <row r="1169" spans="1:4" x14ac:dyDescent="0.25">
      <c r="A1169">
        <v>1880</v>
      </c>
      <c r="B1169" s="16">
        <v>43466</v>
      </c>
      <c r="C1169" t="s">
        <v>19</v>
      </c>
      <c r="D1169" s="22">
        <v>2823017.4132300001</v>
      </c>
    </row>
    <row r="1170" spans="1:4" x14ac:dyDescent="0.25">
      <c r="A1170">
        <v>1880</v>
      </c>
      <c r="B1170" s="16">
        <v>43497</v>
      </c>
      <c r="C1170" t="s">
        <v>19</v>
      </c>
      <c r="D1170" s="22">
        <v>2823017.4132300001</v>
      </c>
    </row>
    <row r="1171" spans="1:4" x14ac:dyDescent="0.25">
      <c r="A1171">
        <v>1880</v>
      </c>
      <c r="B1171" s="16">
        <v>43525</v>
      </c>
      <c r="C1171" t="s">
        <v>19</v>
      </c>
      <c r="D1171" s="22">
        <v>2823017.4132300001</v>
      </c>
    </row>
    <row r="1172" spans="1:4" x14ac:dyDescent="0.25">
      <c r="A1172">
        <v>1880</v>
      </c>
      <c r="B1172" s="16">
        <v>43556</v>
      </c>
      <c r="C1172" t="s">
        <v>19</v>
      </c>
      <c r="D1172" s="22">
        <v>2823017.4132300001</v>
      </c>
    </row>
    <row r="1173" spans="1:4" x14ac:dyDescent="0.25">
      <c r="A1173">
        <v>1880</v>
      </c>
      <c r="B1173" s="16">
        <v>43466</v>
      </c>
      <c r="C1173" t="s">
        <v>26</v>
      </c>
      <c r="D1173" s="22">
        <v>6088446</v>
      </c>
    </row>
    <row r="1174" spans="1:4" x14ac:dyDescent="0.25">
      <c r="A1174">
        <v>1880</v>
      </c>
      <c r="B1174" s="16">
        <v>43497</v>
      </c>
      <c r="C1174" t="s">
        <v>26</v>
      </c>
      <c r="D1174" s="22">
        <v>6088446</v>
      </c>
    </row>
    <row r="1175" spans="1:4" x14ac:dyDescent="0.25">
      <c r="A1175">
        <v>1880</v>
      </c>
      <c r="B1175" s="16">
        <v>43525</v>
      </c>
      <c r="C1175" t="s">
        <v>26</v>
      </c>
      <c r="D1175" s="22">
        <v>6088446</v>
      </c>
    </row>
    <row r="1176" spans="1:4" x14ac:dyDescent="0.25">
      <c r="A1176">
        <v>1880</v>
      </c>
      <c r="B1176" s="16">
        <v>43556</v>
      </c>
      <c r="C1176" t="s">
        <v>26</v>
      </c>
      <c r="D1176" s="22">
        <v>6088446</v>
      </c>
    </row>
    <row r="1177" spans="1:4" x14ac:dyDescent="0.25">
      <c r="A1177">
        <v>1880</v>
      </c>
      <c r="B1177" s="16">
        <v>43586</v>
      </c>
      <c r="C1177" t="s">
        <v>26</v>
      </c>
      <c r="D1177" s="22">
        <v>6088446</v>
      </c>
    </row>
    <row r="1178" spans="1:4" x14ac:dyDescent="0.25">
      <c r="A1178">
        <v>1880</v>
      </c>
      <c r="B1178" s="16">
        <v>43617</v>
      </c>
      <c r="C1178" t="s">
        <v>26</v>
      </c>
      <c r="D1178" s="22">
        <v>6088446</v>
      </c>
    </row>
    <row r="1179" spans="1:4" x14ac:dyDescent="0.25">
      <c r="A1179">
        <v>1880</v>
      </c>
      <c r="B1179" s="16">
        <v>43466</v>
      </c>
      <c r="C1179" t="s">
        <v>59</v>
      </c>
      <c r="D1179" s="22">
        <v>3965084.6316681607</v>
      </c>
    </row>
    <row r="1180" spans="1:4" x14ac:dyDescent="0.25">
      <c r="A1180">
        <v>1880</v>
      </c>
      <c r="B1180" s="16">
        <v>43497</v>
      </c>
      <c r="C1180" t="s">
        <v>59</v>
      </c>
      <c r="D1180" s="22">
        <v>3965084.6316681607</v>
      </c>
    </row>
    <row r="1181" spans="1:4" x14ac:dyDescent="0.25">
      <c r="A1181">
        <v>1880</v>
      </c>
      <c r="B1181" s="16">
        <v>43525</v>
      </c>
      <c r="C1181" t="s">
        <v>59</v>
      </c>
      <c r="D1181" s="22">
        <v>3965084.6316681607</v>
      </c>
    </row>
    <row r="1182" spans="1:4" x14ac:dyDescent="0.25">
      <c r="A1182">
        <v>1880</v>
      </c>
      <c r="B1182" s="16">
        <v>43556</v>
      </c>
      <c r="C1182" t="s">
        <v>59</v>
      </c>
      <c r="D1182" s="22">
        <v>3965084.6316681607</v>
      </c>
    </row>
    <row r="1183" spans="1:4" x14ac:dyDescent="0.25">
      <c r="A1183">
        <v>1880</v>
      </c>
      <c r="B1183" s="16">
        <v>43586</v>
      </c>
      <c r="C1183" t="s">
        <v>59</v>
      </c>
      <c r="D1183" s="22">
        <v>3965084.6316681607</v>
      </c>
    </row>
    <row r="1184" spans="1:4" x14ac:dyDescent="0.25">
      <c r="A1184">
        <v>1880</v>
      </c>
      <c r="B1184" s="16">
        <v>43466</v>
      </c>
      <c r="C1184" t="s">
        <v>35</v>
      </c>
      <c r="D1184" s="22">
        <v>3198581.6105249994</v>
      </c>
    </row>
    <row r="1185" spans="1:4" x14ac:dyDescent="0.25">
      <c r="A1185">
        <v>1880</v>
      </c>
      <c r="B1185" s="16">
        <v>43497</v>
      </c>
      <c r="C1185" t="s">
        <v>35</v>
      </c>
      <c r="D1185" s="22">
        <v>3198581.6105249994</v>
      </c>
    </row>
    <row r="1186" spans="1:4" x14ac:dyDescent="0.25">
      <c r="A1186">
        <v>1880</v>
      </c>
      <c r="B1186" s="16">
        <v>43525</v>
      </c>
      <c r="C1186" t="s">
        <v>35</v>
      </c>
      <c r="D1186" s="22">
        <v>3198581.6105249994</v>
      </c>
    </row>
    <row r="1187" spans="1:4" x14ac:dyDescent="0.25">
      <c r="A1187">
        <v>1880</v>
      </c>
      <c r="B1187" s="16">
        <v>43556</v>
      </c>
      <c r="C1187" t="s">
        <v>35</v>
      </c>
      <c r="D1187" s="22">
        <v>3198581.6105249994</v>
      </c>
    </row>
    <row r="1188" spans="1:4" x14ac:dyDescent="0.25">
      <c r="A1188">
        <v>1880</v>
      </c>
      <c r="B1188" s="16">
        <v>43466</v>
      </c>
      <c r="C1188" t="s">
        <v>35</v>
      </c>
      <c r="D1188" s="22">
        <v>3427052.1011999999</v>
      </c>
    </row>
    <row r="1189" spans="1:4" x14ac:dyDescent="0.25">
      <c r="A1189">
        <v>1880</v>
      </c>
      <c r="B1189" s="16">
        <v>43497</v>
      </c>
      <c r="C1189" t="s">
        <v>35</v>
      </c>
      <c r="D1189" s="22">
        <v>3427052.1011999999</v>
      </c>
    </row>
    <row r="1190" spans="1:4" x14ac:dyDescent="0.25">
      <c r="A1190">
        <v>1877</v>
      </c>
      <c r="B1190" s="16">
        <v>43466</v>
      </c>
      <c r="C1190" t="s">
        <v>12</v>
      </c>
      <c r="D1190" s="22">
        <v>11163096</v>
      </c>
    </row>
    <row r="1191" spans="1:4" x14ac:dyDescent="0.25">
      <c r="A1191">
        <v>1877</v>
      </c>
      <c r="B1191" s="16">
        <v>43497</v>
      </c>
      <c r="C1191" t="s">
        <v>12</v>
      </c>
      <c r="D1191" s="22">
        <v>11163096</v>
      </c>
    </row>
    <row r="1192" spans="1:4" x14ac:dyDescent="0.25">
      <c r="A1192">
        <v>1877</v>
      </c>
      <c r="B1192" s="16">
        <v>43525</v>
      </c>
      <c r="C1192" t="s">
        <v>12</v>
      </c>
      <c r="D1192" s="22">
        <v>11163096</v>
      </c>
    </row>
    <row r="1193" spans="1:4" x14ac:dyDescent="0.25">
      <c r="A1193">
        <v>1877</v>
      </c>
      <c r="B1193" s="16">
        <v>43556</v>
      </c>
      <c r="C1193" t="s">
        <v>12</v>
      </c>
      <c r="D1193" s="22">
        <v>11163096</v>
      </c>
    </row>
    <row r="1194" spans="1:4" x14ac:dyDescent="0.25">
      <c r="A1194">
        <v>1877</v>
      </c>
      <c r="B1194" s="16">
        <v>43586</v>
      </c>
      <c r="C1194" t="s">
        <v>12</v>
      </c>
      <c r="D1194" s="22">
        <v>11163096</v>
      </c>
    </row>
    <row r="1195" spans="1:4" x14ac:dyDescent="0.25">
      <c r="A1195">
        <v>1877</v>
      </c>
      <c r="B1195" s="16">
        <v>43617</v>
      </c>
      <c r="C1195" t="s">
        <v>12</v>
      </c>
      <c r="D1195" s="22">
        <v>11163096</v>
      </c>
    </row>
    <row r="1196" spans="1:4" x14ac:dyDescent="0.25">
      <c r="A1196">
        <v>1877</v>
      </c>
      <c r="B1196" s="16">
        <v>43647</v>
      </c>
      <c r="C1196" t="s">
        <v>12</v>
      </c>
      <c r="D1196" s="22">
        <v>11163096</v>
      </c>
    </row>
    <row r="1197" spans="1:4" x14ac:dyDescent="0.25">
      <c r="A1197">
        <v>1877</v>
      </c>
      <c r="B1197" s="16">
        <v>43678</v>
      </c>
      <c r="C1197" t="s">
        <v>12</v>
      </c>
      <c r="D1197" s="22">
        <v>11163096</v>
      </c>
    </row>
    <row r="1198" spans="1:4" x14ac:dyDescent="0.25">
      <c r="A1198">
        <v>1877</v>
      </c>
      <c r="B1198" s="16">
        <v>43709</v>
      </c>
      <c r="C1198" t="s">
        <v>12</v>
      </c>
      <c r="D1198" s="22">
        <v>11163096</v>
      </c>
    </row>
    <row r="1199" spans="1:4" x14ac:dyDescent="0.25">
      <c r="A1199">
        <v>1877</v>
      </c>
      <c r="B1199" s="16">
        <v>43739</v>
      </c>
      <c r="C1199" t="s">
        <v>12</v>
      </c>
      <c r="D1199" s="22">
        <v>11163096</v>
      </c>
    </row>
    <row r="1200" spans="1:4" x14ac:dyDescent="0.25">
      <c r="A1200">
        <v>1877</v>
      </c>
      <c r="B1200" s="16">
        <v>43770</v>
      </c>
      <c r="C1200" t="s">
        <v>12</v>
      </c>
      <c r="D1200" s="22">
        <v>11163096</v>
      </c>
    </row>
    <row r="1201" spans="1:4" x14ac:dyDescent="0.25">
      <c r="A1201">
        <v>1877</v>
      </c>
      <c r="B1201" s="16">
        <v>43800</v>
      </c>
      <c r="C1201" t="s">
        <v>12</v>
      </c>
      <c r="D1201" s="22">
        <v>11163096</v>
      </c>
    </row>
    <row r="1202" spans="1:4" x14ac:dyDescent="0.25">
      <c r="A1202">
        <v>1877</v>
      </c>
      <c r="B1202" s="16">
        <v>43831</v>
      </c>
      <c r="C1202" t="s">
        <v>12</v>
      </c>
      <c r="D1202" s="22">
        <v>11163096</v>
      </c>
    </row>
    <row r="1203" spans="1:4" x14ac:dyDescent="0.25">
      <c r="A1203">
        <v>1877</v>
      </c>
      <c r="B1203" s="16">
        <v>43862</v>
      </c>
      <c r="C1203" t="s">
        <v>12</v>
      </c>
      <c r="D1203" s="22">
        <v>11163096</v>
      </c>
    </row>
    <row r="1204" spans="1:4" x14ac:dyDescent="0.25">
      <c r="A1204">
        <v>1877</v>
      </c>
      <c r="B1204" s="16">
        <v>43891</v>
      </c>
      <c r="C1204" t="s">
        <v>12</v>
      </c>
      <c r="D1204" s="22">
        <v>11163096</v>
      </c>
    </row>
    <row r="1205" spans="1:4" x14ac:dyDescent="0.25">
      <c r="A1205">
        <v>1877</v>
      </c>
      <c r="B1205" s="16">
        <v>43466</v>
      </c>
      <c r="C1205" t="s">
        <v>176</v>
      </c>
      <c r="D1205" s="22">
        <v>6909525</v>
      </c>
    </row>
    <row r="1206" spans="1:4" x14ac:dyDescent="0.25">
      <c r="A1206">
        <v>1877</v>
      </c>
      <c r="B1206" s="16">
        <v>43497</v>
      </c>
      <c r="C1206" t="s">
        <v>176</v>
      </c>
      <c r="D1206" s="22">
        <v>6909525</v>
      </c>
    </row>
    <row r="1207" spans="1:4" x14ac:dyDescent="0.25">
      <c r="A1207">
        <v>1877</v>
      </c>
      <c r="B1207" s="16">
        <v>43525</v>
      </c>
      <c r="C1207" t="s">
        <v>176</v>
      </c>
      <c r="D1207" s="22">
        <v>6909525</v>
      </c>
    </row>
    <row r="1208" spans="1:4" x14ac:dyDescent="0.25">
      <c r="A1208">
        <v>1877</v>
      </c>
      <c r="B1208" s="16">
        <v>43556</v>
      </c>
      <c r="C1208" t="s">
        <v>176</v>
      </c>
      <c r="D1208" s="22">
        <v>6909525</v>
      </c>
    </row>
    <row r="1209" spans="1:4" x14ac:dyDescent="0.25">
      <c r="A1209">
        <v>1877</v>
      </c>
      <c r="B1209" s="16">
        <v>43586</v>
      </c>
      <c r="C1209" t="s">
        <v>176</v>
      </c>
      <c r="D1209" s="22">
        <v>6909525</v>
      </c>
    </row>
    <row r="1210" spans="1:4" x14ac:dyDescent="0.25">
      <c r="A1210">
        <v>1877</v>
      </c>
      <c r="B1210" s="16">
        <v>43617</v>
      </c>
      <c r="C1210" t="s">
        <v>176</v>
      </c>
      <c r="D1210" s="22">
        <v>6909525</v>
      </c>
    </row>
    <row r="1211" spans="1:4" x14ac:dyDescent="0.25">
      <c r="A1211">
        <v>1877</v>
      </c>
      <c r="B1211" s="16">
        <v>43647</v>
      </c>
      <c r="C1211" t="s">
        <v>176</v>
      </c>
      <c r="D1211" s="22">
        <v>6909525</v>
      </c>
    </row>
    <row r="1212" spans="1:4" x14ac:dyDescent="0.25">
      <c r="A1212">
        <v>1877</v>
      </c>
      <c r="B1212" s="16">
        <v>43678</v>
      </c>
      <c r="C1212" t="s">
        <v>176</v>
      </c>
      <c r="D1212" s="22">
        <v>6909525</v>
      </c>
    </row>
    <row r="1213" spans="1:4" x14ac:dyDescent="0.25">
      <c r="A1213">
        <v>1877</v>
      </c>
      <c r="B1213" s="16">
        <v>43709</v>
      </c>
      <c r="C1213" t="s">
        <v>176</v>
      </c>
      <c r="D1213" s="22">
        <v>6909525</v>
      </c>
    </row>
    <row r="1214" spans="1:4" x14ac:dyDescent="0.25">
      <c r="A1214">
        <v>1877</v>
      </c>
      <c r="B1214" s="16">
        <v>43739</v>
      </c>
      <c r="C1214" t="s">
        <v>176</v>
      </c>
      <c r="D1214" s="22">
        <v>6909525</v>
      </c>
    </row>
    <row r="1215" spans="1:4" x14ac:dyDescent="0.25">
      <c r="A1215">
        <v>1877</v>
      </c>
      <c r="B1215" s="16">
        <v>43770</v>
      </c>
      <c r="C1215" t="s">
        <v>176</v>
      </c>
      <c r="D1215" s="22">
        <v>6909525</v>
      </c>
    </row>
    <row r="1216" spans="1:4" x14ac:dyDescent="0.25">
      <c r="A1216">
        <v>1877</v>
      </c>
      <c r="B1216" s="16">
        <v>43800</v>
      </c>
      <c r="C1216" t="s">
        <v>176</v>
      </c>
      <c r="D1216" s="22">
        <v>6909525</v>
      </c>
    </row>
    <row r="1217" spans="1:4" x14ac:dyDescent="0.25">
      <c r="A1217">
        <v>1877</v>
      </c>
      <c r="B1217" s="16">
        <v>43466</v>
      </c>
      <c r="C1217" t="s">
        <v>177</v>
      </c>
      <c r="D1217" s="22">
        <v>6909525</v>
      </c>
    </row>
    <row r="1218" spans="1:4" x14ac:dyDescent="0.25">
      <c r="A1218">
        <v>1877</v>
      </c>
      <c r="B1218" s="16">
        <v>43497</v>
      </c>
      <c r="C1218" t="s">
        <v>177</v>
      </c>
      <c r="D1218" s="22">
        <v>6909525</v>
      </c>
    </row>
    <row r="1219" spans="1:4" x14ac:dyDescent="0.25">
      <c r="A1219">
        <v>1877</v>
      </c>
      <c r="B1219" s="16">
        <v>43525</v>
      </c>
      <c r="C1219" t="s">
        <v>177</v>
      </c>
      <c r="D1219" s="22">
        <v>6909525</v>
      </c>
    </row>
    <row r="1220" spans="1:4" x14ac:dyDescent="0.25">
      <c r="A1220">
        <v>1877</v>
      </c>
      <c r="B1220" s="16">
        <v>43556</v>
      </c>
      <c r="C1220" t="s">
        <v>177</v>
      </c>
      <c r="D1220" s="22">
        <v>6909525</v>
      </c>
    </row>
    <row r="1221" spans="1:4" x14ac:dyDescent="0.25">
      <c r="A1221">
        <v>1877</v>
      </c>
      <c r="B1221" s="16">
        <v>43586</v>
      </c>
      <c r="C1221" t="s">
        <v>177</v>
      </c>
      <c r="D1221" s="22">
        <v>6909525</v>
      </c>
    </row>
    <row r="1222" spans="1:4" x14ac:dyDescent="0.25">
      <c r="A1222">
        <v>1877</v>
      </c>
      <c r="B1222" s="16">
        <v>43617</v>
      </c>
      <c r="C1222" t="s">
        <v>177</v>
      </c>
      <c r="D1222" s="22">
        <v>6909525</v>
      </c>
    </row>
    <row r="1223" spans="1:4" x14ac:dyDescent="0.25">
      <c r="A1223">
        <v>1877</v>
      </c>
      <c r="B1223" s="16">
        <v>43647</v>
      </c>
      <c r="C1223" t="s">
        <v>177</v>
      </c>
      <c r="D1223" s="22">
        <v>6909525</v>
      </c>
    </row>
    <row r="1224" spans="1:4" x14ac:dyDescent="0.25">
      <c r="A1224">
        <v>1877</v>
      </c>
      <c r="B1224" s="16">
        <v>43678</v>
      </c>
      <c r="C1224" t="s">
        <v>177</v>
      </c>
      <c r="D1224" s="22">
        <v>6909525</v>
      </c>
    </row>
    <row r="1225" spans="1:4" x14ac:dyDescent="0.25">
      <c r="A1225">
        <v>1877</v>
      </c>
      <c r="B1225" s="16">
        <v>43709</v>
      </c>
      <c r="C1225" t="s">
        <v>177</v>
      </c>
      <c r="D1225" s="22">
        <v>6909525</v>
      </c>
    </row>
    <row r="1226" spans="1:4" x14ac:dyDescent="0.25">
      <c r="A1226">
        <v>1877</v>
      </c>
      <c r="B1226" s="16">
        <v>43739</v>
      </c>
      <c r="C1226" t="s">
        <v>177</v>
      </c>
      <c r="D1226" s="22">
        <v>6909525</v>
      </c>
    </row>
    <row r="1227" spans="1:4" x14ac:dyDescent="0.25">
      <c r="A1227">
        <v>1877</v>
      </c>
      <c r="B1227" s="16">
        <v>43466</v>
      </c>
      <c r="C1227" t="s">
        <v>39</v>
      </c>
      <c r="D1227" s="22">
        <v>5049009</v>
      </c>
    </row>
    <row r="1228" spans="1:4" x14ac:dyDescent="0.25">
      <c r="A1228">
        <v>1877</v>
      </c>
      <c r="B1228" s="16">
        <v>43497</v>
      </c>
      <c r="C1228" t="s">
        <v>39</v>
      </c>
      <c r="D1228" s="22">
        <v>5049009</v>
      </c>
    </row>
    <row r="1229" spans="1:4" x14ac:dyDescent="0.25">
      <c r="A1229">
        <v>1877</v>
      </c>
      <c r="B1229" s="16">
        <v>43525</v>
      </c>
      <c r="C1229" t="s">
        <v>39</v>
      </c>
      <c r="D1229" s="22">
        <v>5049009</v>
      </c>
    </row>
    <row r="1230" spans="1:4" x14ac:dyDescent="0.25">
      <c r="A1230">
        <v>1877</v>
      </c>
      <c r="B1230" s="16">
        <v>43556</v>
      </c>
      <c r="C1230" t="s">
        <v>39</v>
      </c>
      <c r="D1230" s="22">
        <v>5049009</v>
      </c>
    </row>
    <row r="1231" spans="1:4" x14ac:dyDescent="0.25">
      <c r="A1231">
        <v>1877</v>
      </c>
      <c r="B1231" s="16">
        <v>43586</v>
      </c>
      <c r="C1231" t="s">
        <v>39</v>
      </c>
      <c r="D1231" s="22">
        <v>5049009</v>
      </c>
    </row>
    <row r="1232" spans="1:4" x14ac:dyDescent="0.25">
      <c r="A1232">
        <v>1877</v>
      </c>
      <c r="B1232" s="16">
        <v>43617</v>
      </c>
      <c r="C1232" t="s">
        <v>39</v>
      </c>
      <c r="D1232" s="22">
        <v>5049009</v>
      </c>
    </row>
    <row r="1233" spans="1:4" x14ac:dyDescent="0.25">
      <c r="A1233">
        <v>1877</v>
      </c>
      <c r="B1233" s="16">
        <v>43647</v>
      </c>
      <c r="C1233" t="s">
        <v>39</v>
      </c>
      <c r="D1233" s="22">
        <v>5049009</v>
      </c>
    </row>
    <row r="1234" spans="1:4" x14ac:dyDescent="0.25">
      <c r="A1234">
        <v>1877</v>
      </c>
      <c r="B1234" s="16">
        <v>43678</v>
      </c>
      <c r="C1234" t="s">
        <v>39</v>
      </c>
      <c r="D1234" s="22">
        <v>5049009</v>
      </c>
    </row>
    <row r="1235" spans="1:4" x14ac:dyDescent="0.25">
      <c r="A1235">
        <v>1877</v>
      </c>
      <c r="B1235" s="16">
        <v>43709</v>
      </c>
      <c r="C1235" t="s">
        <v>39</v>
      </c>
      <c r="D1235" s="22">
        <v>5049009</v>
      </c>
    </row>
    <row r="1236" spans="1:4" x14ac:dyDescent="0.25">
      <c r="A1236">
        <v>1877</v>
      </c>
      <c r="B1236" s="16">
        <v>43739</v>
      </c>
      <c r="C1236" t="s">
        <v>39</v>
      </c>
      <c r="D1236" s="22">
        <v>5049009</v>
      </c>
    </row>
    <row r="1237" spans="1:4" x14ac:dyDescent="0.25">
      <c r="A1237">
        <v>1877</v>
      </c>
      <c r="B1237" s="16">
        <v>43770</v>
      </c>
      <c r="C1237" t="s">
        <v>39</v>
      </c>
      <c r="D1237" s="22">
        <v>5049009</v>
      </c>
    </row>
    <row r="1238" spans="1:4" x14ac:dyDescent="0.25">
      <c r="A1238">
        <v>1877</v>
      </c>
      <c r="B1238" s="16">
        <v>43800</v>
      </c>
      <c r="C1238" t="s">
        <v>39</v>
      </c>
      <c r="D1238" s="22">
        <v>5049009</v>
      </c>
    </row>
    <row r="1239" spans="1:4" x14ac:dyDescent="0.25">
      <c r="A1239">
        <v>1877</v>
      </c>
      <c r="B1239" s="16">
        <v>43831</v>
      </c>
      <c r="C1239" t="s">
        <v>39</v>
      </c>
      <c r="D1239" s="22">
        <v>5049009</v>
      </c>
    </row>
    <row r="1240" spans="1:4" x14ac:dyDescent="0.25">
      <c r="A1240">
        <v>1877</v>
      </c>
      <c r="B1240" s="16">
        <v>43862</v>
      </c>
      <c r="C1240" t="s">
        <v>39</v>
      </c>
      <c r="D1240" s="22">
        <v>5049009</v>
      </c>
    </row>
    <row r="1241" spans="1:4" x14ac:dyDescent="0.25">
      <c r="A1241">
        <v>1877</v>
      </c>
      <c r="B1241" s="16">
        <v>43891</v>
      </c>
      <c r="C1241" t="s">
        <v>39</v>
      </c>
      <c r="D1241" s="22">
        <v>5049009</v>
      </c>
    </row>
    <row r="1242" spans="1:4" x14ac:dyDescent="0.25">
      <c r="A1242">
        <v>1877</v>
      </c>
      <c r="B1242" s="16">
        <v>43466</v>
      </c>
      <c r="C1242" t="s">
        <v>178</v>
      </c>
      <c r="D1242" s="22">
        <v>4550175</v>
      </c>
    </row>
    <row r="1243" spans="1:4" x14ac:dyDescent="0.25">
      <c r="A1243">
        <v>1877</v>
      </c>
      <c r="B1243" s="16">
        <v>43497</v>
      </c>
      <c r="C1243" t="s">
        <v>178</v>
      </c>
      <c r="D1243" s="22">
        <v>4550175</v>
      </c>
    </row>
    <row r="1244" spans="1:4" x14ac:dyDescent="0.25">
      <c r="A1244">
        <v>1877</v>
      </c>
      <c r="B1244" s="16">
        <v>43525</v>
      </c>
      <c r="C1244" t="s">
        <v>178</v>
      </c>
      <c r="D1244" s="22">
        <v>4550175</v>
      </c>
    </row>
    <row r="1245" spans="1:4" x14ac:dyDescent="0.25">
      <c r="A1245">
        <v>1877</v>
      </c>
      <c r="B1245" s="16">
        <v>43556</v>
      </c>
      <c r="C1245" t="s">
        <v>178</v>
      </c>
      <c r="D1245" s="22">
        <v>4550175</v>
      </c>
    </row>
    <row r="1246" spans="1:4" x14ac:dyDescent="0.25">
      <c r="A1246">
        <v>1877</v>
      </c>
      <c r="B1246" s="16">
        <v>43586</v>
      </c>
      <c r="C1246" t="s">
        <v>178</v>
      </c>
      <c r="D1246" s="22">
        <v>4550175</v>
      </c>
    </row>
    <row r="1247" spans="1:4" x14ac:dyDescent="0.25">
      <c r="A1247">
        <v>1877</v>
      </c>
      <c r="B1247" s="16">
        <v>43617</v>
      </c>
      <c r="C1247" t="s">
        <v>178</v>
      </c>
      <c r="D1247" s="22">
        <v>4550175</v>
      </c>
    </row>
    <row r="1248" spans="1:4" x14ac:dyDescent="0.25">
      <c r="A1248">
        <v>1877</v>
      </c>
      <c r="B1248" s="16">
        <v>43647</v>
      </c>
      <c r="C1248" t="s">
        <v>178</v>
      </c>
      <c r="D1248" s="22">
        <v>4550175</v>
      </c>
    </row>
    <row r="1249" spans="1:4" x14ac:dyDescent="0.25">
      <c r="A1249">
        <v>1877</v>
      </c>
      <c r="B1249" s="16">
        <v>43678</v>
      </c>
      <c r="C1249" t="s">
        <v>178</v>
      </c>
      <c r="D1249" s="22">
        <v>4550175</v>
      </c>
    </row>
    <row r="1250" spans="1:4" x14ac:dyDescent="0.25">
      <c r="A1250">
        <v>1877</v>
      </c>
      <c r="B1250" s="16">
        <v>43709</v>
      </c>
      <c r="C1250" t="s">
        <v>178</v>
      </c>
      <c r="D1250" s="22">
        <v>4550175</v>
      </c>
    </row>
    <row r="1251" spans="1:4" x14ac:dyDescent="0.25">
      <c r="A1251">
        <v>1877</v>
      </c>
      <c r="B1251" s="16">
        <v>43739</v>
      </c>
      <c r="C1251" t="s">
        <v>178</v>
      </c>
      <c r="D1251" s="22">
        <v>4550175</v>
      </c>
    </row>
    <row r="1252" spans="1:4" x14ac:dyDescent="0.25">
      <c r="A1252">
        <v>1877</v>
      </c>
      <c r="B1252" s="16">
        <v>43770</v>
      </c>
      <c r="C1252" t="s">
        <v>178</v>
      </c>
      <c r="D1252" s="22">
        <v>4550175</v>
      </c>
    </row>
    <row r="1253" spans="1:4" x14ac:dyDescent="0.25">
      <c r="A1253">
        <v>1877</v>
      </c>
      <c r="B1253" s="16">
        <v>43800</v>
      </c>
      <c r="C1253" t="s">
        <v>178</v>
      </c>
      <c r="D1253" s="22">
        <v>4550175</v>
      </c>
    </row>
    <row r="1254" spans="1:4" x14ac:dyDescent="0.25">
      <c r="A1254">
        <v>1877</v>
      </c>
      <c r="B1254" s="16">
        <v>43831</v>
      </c>
      <c r="C1254" t="s">
        <v>178</v>
      </c>
      <c r="D1254" s="22">
        <v>4550175</v>
      </c>
    </row>
    <row r="1255" spans="1:4" x14ac:dyDescent="0.25">
      <c r="A1255">
        <v>1877</v>
      </c>
      <c r="B1255" s="16">
        <v>43862</v>
      </c>
      <c r="C1255" t="s">
        <v>178</v>
      </c>
      <c r="D1255" s="22">
        <v>4550175</v>
      </c>
    </row>
    <row r="1256" spans="1:4" x14ac:dyDescent="0.25">
      <c r="A1256">
        <v>1877</v>
      </c>
      <c r="B1256" s="16">
        <v>43891</v>
      </c>
      <c r="C1256" t="s">
        <v>178</v>
      </c>
      <c r="D1256" s="22">
        <v>4550175</v>
      </c>
    </row>
    <row r="1257" spans="1:4" x14ac:dyDescent="0.25">
      <c r="A1257">
        <v>1877</v>
      </c>
      <c r="B1257" s="16">
        <v>43466</v>
      </c>
      <c r="C1257" t="s">
        <v>41</v>
      </c>
      <c r="D1257" s="22">
        <v>9327858.75</v>
      </c>
    </row>
    <row r="1258" spans="1:4" x14ac:dyDescent="0.25">
      <c r="A1258">
        <v>1877</v>
      </c>
      <c r="B1258" s="16">
        <v>43497</v>
      </c>
      <c r="C1258" t="s">
        <v>41</v>
      </c>
      <c r="D1258" s="22">
        <v>9327858.75</v>
      </c>
    </row>
    <row r="1259" spans="1:4" x14ac:dyDescent="0.25">
      <c r="A1259">
        <v>1877</v>
      </c>
      <c r="B1259" s="16">
        <v>43525</v>
      </c>
      <c r="C1259" t="s">
        <v>41</v>
      </c>
      <c r="D1259" s="22">
        <v>9327858.75</v>
      </c>
    </row>
    <row r="1260" spans="1:4" x14ac:dyDescent="0.25">
      <c r="A1260">
        <v>1877</v>
      </c>
      <c r="B1260" s="16">
        <v>43556</v>
      </c>
      <c r="C1260" t="s">
        <v>41</v>
      </c>
      <c r="D1260" s="22">
        <v>9327858.75</v>
      </c>
    </row>
    <row r="1261" spans="1:4" x14ac:dyDescent="0.25">
      <c r="A1261">
        <v>1877</v>
      </c>
      <c r="B1261" s="16">
        <v>43586</v>
      </c>
      <c r="C1261" t="s">
        <v>41</v>
      </c>
      <c r="D1261" s="22">
        <v>9327858.75</v>
      </c>
    </row>
    <row r="1262" spans="1:4" x14ac:dyDescent="0.25">
      <c r="A1262">
        <v>1877</v>
      </c>
      <c r="B1262" s="16">
        <v>43617</v>
      </c>
      <c r="C1262" t="s">
        <v>41</v>
      </c>
      <c r="D1262" s="22">
        <v>9327858.75</v>
      </c>
    </row>
    <row r="1263" spans="1:4" x14ac:dyDescent="0.25">
      <c r="A1263">
        <v>1877</v>
      </c>
      <c r="B1263" s="16">
        <v>43647</v>
      </c>
      <c r="C1263" t="s">
        <v>41</v>
      </c>
      <c r="D1263" s="22">
        <v>9327858.75</v>
      </c>
    </row>
    <row r="1264" spans="1:4" x14ac:dyDescent="0.25">
      <c r="A1264">
        <v>1877</v>
      </c>
      <c r="B1264" s="16">
        <v>43678</v>
      </c>
      <c r="C1264" t="s">
        <v>41</v>
      </c>
      <c r="D1264" s="22">
        <v>9327858.75</v>
      </c>
    </row>
    <row r="1265" spans="1:4" x14ac:dyDescent="0.25">
      <c r="A1265">
        <v>1877</v>
      </c>
      <c r="B1265" s="16">
        <v>43466</v>
      </c>
      <c r="C1265" t="s">
        <v>179</v>
      </c>
      <c r="D1265" s="22">
        <v>9327858.75</v>
      </c>
    </row>
    <row r="1266" spans="1:4" x14ac:dyDescent="0.25">
      <c r="A1266">
        <v>1877</v>
      </c>
      <c r="B1266" s="16">
        <v>43497</v>
      </c>
      <c r="C1266" t="s">
        <v>179</v>
      </c>
      <c r="D1266" s="22">
        <v>9327858.75</v>
      </c>
    </row>
    <row r="1267" spans="1:4" x14ac:dyDescent="0.25">
      <c r="A1267">
        <v>1877</v>
      </c>
      <c r="B1267" s="16">
        <v>43466</v>
      </c>
      <c r="C1267" t="s">
        <v>180</v>
      </c>
      <c r="D1267" s="22">
        <v>4899387.3232500004</v>
      </c>
    </row>
    <row r="1268" spans="1:4" x14ac:dyDescent="0.25">
      <c r="A1268">
        <v>1877</v>
      </c>
      <c r="B1268" s="16">
        <v>43497</v>
      </c>
      <c r="C1268" t="s">
        <v>180</v>
      </c>
      <c r="D1268" s="22">
        <v>4899387.3232500004</v>
      </c>
    </row>
    <row r="1269" spans="1:4" x14ac:dyDescent="0.25">
      <c r="A1269">
        <v>1877</v>
      </c>
      <c r="B1269" s="16">
        <v>43525</v>
      </c>
      <c r="C1269" t="s">
        <v>180</v>
      </c>
      <c r="D1269" s="22">
        <v>4899387.3232500004</v>
      </c>
    </row>
    <row r="1270" spans="1:4" x14ac:dyDescent="0.25">
      <c r="A1270">
        <v>1877</v>
      </c>
      <c r="B1270" s="16">
        <v>43556</v>
      </c>
      <c r="C1270" t="s">
        <v>180</v>
      </c>
      <c r="D1270" s="22">
        <v>4899387.3232500004</v>
      </c>
    </row>
    <row r="1271" spans="1:4" x14ac:dyDescent="0.25">
      <c r="A1271">
        <v>1877</v>
      </c>
      <c r="B1271" s="16">
        <v>43586</v>
      </c>
      <c r="C1271" t="s">
        <v>180</v>
      </c>
      <c r="D1271" s="22">
        <v>4899387.3232500004</v>
      </c>
    </row>
    <row r="1272" spans="1:4" x14ac:dyDescent="0.25">
      <c r="A1272">
        <v>1877</v>
      </c>
      <c r="B1272" s="16">
        <v>43617</v>
      </c>
      <c r="C1272" t="s">
        <v>180</v>
      </c>
      <c r="D1272" s="22">
        <v>4899387.3232500004</v>
      </c>
    </row>
    <row r="1273" spans="1:4" x14ac:dyDescent="0.25">
      <c r="A1273">
        <v>1877</v>
      </c>
      <c r="B1273" s="16">
        <v>43647</v>
      </c>
      <c r="C1273" t="s">
        <v>180</v>
      </c>
      <c r="D1273" s="22">
        <v>4899387.3232500004</v>
      </c>
    </row>
    <row r="1274" spans="1:4" x14ac:dyDescent="0.25">
      <c r="A1274">
        <v>1877</v>
      </c>
      <c r="B1274" s="16">
        <v>43678</v>
      </c>
      <c r="C1274" t="s">
        <v>180</v>
      </c>
      <c r="D1274" s="22">
        <v>4899387.3232500004</v>
      </c>
    </row>
    <row r="1275" spans="1:4" x14ac:dyDescent="0.25">
      <c r="A1275">
        <v>1877</v>
      </c>
      <c r="B1275" s="16">
        <v>43709</v>
      </c>
      <c r="C1275" t="s">
        <v>180</v>
      </c>
      <c r="D1275" s="22">
        <v>4899387.3232500004</v>
      </c>
    </row>
    <row r="1276" spans="1:4" x14ac:dyDescent="0.25">
      <c r="A1276">
        <v>1877</v>
      </c>
      <c r="B1276" s="16">
        <v>43739</v>
      </c>
      <c r="C1276" t="s">
        <v>180</v>
      </c>
      <c r="D1276" s="22">
        <v>4899387.3232500004</v>
      </c>
    </row>
    <row r="1277" spans="1:4" x14ac:dyDescent="0.25">
      <c r="A1277">
        <v>1877</v>
      </c>
      <c r="B1277" s="16">
        <v>43770</v>
      </c>
      <c r="C1277" t="s">
        <v>180</v>
      </c>
      <c r="D1277" s="22">
        <v>4899387.3232500004</v>
      </c>
    </row>
    <row r="1278" spans="1:4" x14ac:dyDescent="0.25">
      <c r="A1278">
        <v>1877</v>
      </c>
      <c r="B1278" s="16">
        <v>43800</v>
      </c>
      <c r="C1278" t="s">
        <v>180</v>
      </c>
      <c r="D1278" s="22">
        <v>4899387.3232500004</v>
      </c>
    </row>
    <row r="1279" spans="1:4" x14ac:dyDescent="0.25">
      <c r="A1279">
        <v>1877</v>
      </c>
      <c r="B1279" s="16">
        <v>43466</v>
      </c>
      <c r="C1279" t="s">
        <v>181</v>
      </c>
      <c r="D1279" s="22">
        <v>4899387.3232500004</v>
      </c>
    </row>
    <row r="1280" spans="1:4" x14ac:dyDescent="0.25">
      <c r="A1280">
        <v>1877</v>
      </c>
      <c r="B1280" s="16">
        <v>43497</v>
      </c>
      <c r="C1280" t="s">
        <v>181</v>
      </c>
      <c r="D1280" s="22">
        <v>4899387.3232500004</v>
      </c>
    </row>
    <row r="1281" spans="1:4" x14ac:dyDescent="0.25">
      <c r="A1281">
        <v>1877</v>
      </c>
      <c r="B1281" s="16">
        <v>43525</v>
      </c>
      <c r="C1281" t="s">
        <v>181</v>
      </c>
      <c r="D1281" s="22">
        <v>4899387.3232500004</v>
      </c>
    </row>
    <row r="1282" spans="1:4" x14ac:dyDescent="0.25">
      <c r="A1282">
        <v>1877</v>
      </c>
      <c r="B1282" s="16">
        <v>43556</v>
      </c>
      <c r="C1282" t="s">
        <v>181</v>
      </c>
      <c r="D1282" s="22">
        <v>4899387.3232500004</v>
      </c>
    </row>
    <row r="1283" spans="1:4" x14ac:dyDescent="0.25">
      <c r="A1283">
        <v>1877</v>
      </c>
      <c r="B1283" s="16">
        <v>43586</v>
      </c>
      <c r="C1283" t="s">
        <v>181</v>
      </c>
      <c r="D1283" s="22">
        <v>4899387.3232500004</v>
      </c>
    </row>
    <row r="1284" spans="1:4" x14ac:dyDescent="0.25">
      <c r="A1284">
        <v>1877</v>
      </c>
      <c r="B1284" s="16">
        <v>43617</v>
      </c>
      <c r="C1284" t="s">
        <v>181</v>
      </c>
      <c r="D1284" s="22">
        <v>4899387.3232500004</v>
      </c>
    </row>
    <row r="1285" spans="1:4" x14ac:dyDescent="0.25">
      <c r="A1285">
        <v>1877</v>
      </c>
      <c r="B1285" s="16">
        <v>43647</v>
      </c>
      <c r="C1285" t="s">
        <v>181</v>
      </c>
      <c r="D1285" s="22">
        <v>4899387.3232500004</v>
      </c>
    </row>
    <row r="1286" spans="1:4" x14ac:dyDescent="0.25">
      <c r="A1286">
        <v>1877</v>
      </c>
      <c r="B1286" s="16">
        <v>43466</v>
      </c>
      <c r="C1286" t="s">
        <v>135</v>
      </c>
      <c r="D1286" s="22">
        <v>3629175.7949999999</v>
      </c>
    </row>
    <row r="1287" spans="1:4" x14ac:dyDescent="0.25">
      <c r="A1287">
        <v>1877</v>
      </c>
      <c r="B1287" s="16">
        <v>43497</v>
      </c>
      <c r="C1287" t="s">
        <v>135</v>
      </c>
      <c r="D1287" s="22">
        <v>3629175.7949999999</v>
      </c>
    </row>
    <row r="1288" spans="1:4" x14ac:dyDescent="0.25">
      <c r="A1288">
        <v>1877</v>
      </c>
      <c r="B1288" s="16">
        <v>43525</v>
      </c>
      <c r="C1288" t="s">
        <v>135</v>
      </c>
      <c r="D1288" s="22">
        <v>3629175.7949999999</v>
      </c>
    </row>
    <row r="1289" spans="1:4" x14ac:dyDescent="0.25">
      <c r="A1289">
        <v>1877</v>
      </c>
      <c r="B1289" s="16">
        <v>43556</v>
      </c>
      <c r="C1289" t="s">
        <v>135</v>
      </c>
      <c r="D1289" s="22">
        <v>3629175.7949999999</v>
      </c>
    </row>
    <row r="1290" spans="1:4" x14ac:dyDescent="0.25">
      <c r="A1290">
        <v>1877</v>
      </c>
      <c r="B1290" s="16">
        <v>43586</v>
      </c>
      <c r="C1290" t="s">
        <v>135</v>
      </c>
      <c r="D1290" s="22">
        <v>3629175.7949999999</v>
      </c>
    </row>
    <row r="1291" spans="1:4" x14ac:dyDescent="0.25">
      <c r="A1291">
        <v>1877</v>
      </c>
      <c r="B1291" s="16">
        <v>43617</v>
      </c>
      <c r="C1291" t="s">
        <v>135</v>
      </c>
      <c r="D1291" s="22">
        <v>3629175.7949999999</v>
      </c>
    </row>
    <row r="1292" spans="1:4" x14ac:dyDescent="0.25">
      <c r="A1292">
        <v>1877</v>
      </c>
      <c r="B1292" s="16">
        <v>43647</v>
      </c>
      <c r="C1292" t="s">
        <v>135</v>
      </c>
      <c r="D1292" s="22">
        <v>3629175.7949999999</v>
      </c>
    </row>
    <row r="1293" spans="1:4" x14ac:dyDescent="0.25">
      <c r="A1293">
        <v>1877</v>
      </c>
      <c r="B1293" s="16">
        <v>43678</v>
      </c>
      <c r="C1293" t="s">
        <v>135</v>
      </c>
      <c r="D1293" s="22">
        <v>3629175.7949999999</v>
      </c>
    </row>
    <row r="1294" spans="1:4" x14ac:dyDescent="0.25">
      <c r="A1294">
        <v>1877</v>
      </c>
      <c r="B1294" s="16">
        <v>43466</v>
      </c>
      <c r="C1294" t="s">
        <v>182</v>
      </c>
      <c r="D1294" s="22">
        <v>3690632.1209625001</v>
      </c>
    </row>
    <row r="1295" spans="1:4" x14ac:dyDescent="0.25">
      <c r="A1295">
        <v>1877</v>
      </c>
      <c r="B1295" s="16">
        <v>43497</v>
      </c>
      <c r="C1295" t="s">
        <v>182</v>
      </c>
      <c r="D1295" s="22">
        <v>3690632.1209625001</v>
      </c>
    </row>
    <row r="1296" spans="1:4" x14ac:dyDescent="0.25">
      <c r="A1296">
        <v>1877</v>
      </c>
      <c r="B1296" s="16">
        <v>43525</v>
      </c>
      <c r="C1296" t="s">
        <v>182</v>
      </c>
      <c r="D1296" s="22">
        <v>3690632.1209625001</v>
      </c>
    </row>
    <row r="1297" spans="1:4" x14ac:dyDescent="0.25">
      <c r="A1297">
        <v>1877</v>
      </c>
      <c r="B1297" s="16">
        <v>43556</v>
      </c>
      <c r="C1297" t="s">
        <v>182</v>
      </c>
      <c r="D1297" s="22">
        <v>3690632.1209625001</v>
      </c>
    </row>
    <row r="1298" spans="1:4" x14ac:dyDescent="0.25">
      <c r="A1298">
        <v>1877</v>
      </c>
      <c r="B1298" s="16">
        <v>43586</v>
      </c>
      <c r="C1298" t="s">
        <v>182</v>
      </c>
      <c r="D1298" s="22">
        <v>3690632.1209625001</v>
      </c>
    </row>
    <row r="1299" spans="1:4" x14ac:dyDescent="0.25">
      <c r="A1299">
        <v>1877</v>
      </c>
      <c r="B1299" s="16">
        <v>43617</v>
      </c>
      <c r="C1299" t="s">
        <v>182</v>
      </c>
      <c r="D1299" s="22">
        <v>3690632.1209625001</v>
      </c>
    </row>
    <row r="1300" spans="1:4" x14ac:dyDescent="0.25">
      <c r="A1300">
        <v>1877</v>
      </c>
      <c r="B1300" s="16">
        <v>43647</v>
      </c>
      <c r="C1300" t="s">
        <v>182</v>
      </c>
      <c r="D1300" s="22">
        <v>3690632.1209625001</v>
      </c>
    </row>
    <row r="1301" spans="1:4" x14ac:dyDescent="0.25">
      <c r="A1301">
        <v>1877</v>
      </c>
      <c r="B1301" s="16">
        <v>43678</v>
      </c>
      <c r="C1301" t="s">
        <v>182</v>
      </c>
      <c r="D1301" s="22">
        <v>3690632.1209625001</v>
      </c>
    </row>
    <row r="1302" spans="1:4" x14ac:dyDescent="0.25">
      <c r="A1302">
        <v>1877</v>
      </c>
      <c r="B1302" s="16">
        <v>43709</v>
      </c>
      <c r="C1302" t="s">
        <v>182</v>
      </c>
      <c r="D1302" s="22">
        <v>3690632.1209625001</v>
      </c>
    </row>
    <row r="1303" spans="1:4" x14ac:dyDescent="0.25">
      <c r="A1303">
        <v>1877</v>
      </c>
      <c r="B1303" s="16">
        <v>43739</v>
      </c>
      <c r="C1303" t="s">
        <v>182</v>
      </c>
      <c r="D1303" s="22">
        <v>3690632.1209625001</v>
      </c>
    </row>
    <row r="1304" spans="1:4" x14ac:dyDescent="0.25">
      <c r="A1304">
        <v>1877</v>
      </c>
      <c r="B1304" s="16">
        <v>43466</v>
      </c>
      <c r="C1304" t="s">
        <v>24</v>
      </c>
      <c r="D1304" s="22">
        <v>4935876.75</v>
      </c>
    </row>
    <row r="1305" spans="1:4" x14ac:dyDescent="0.25">
      <c r="A1305">
        <v>1877</v>
      </c>
      <c r="B1305" s="16">
        <v>43497</v>
      </c>
      <c r="C1305" t="s">
        <v>24</v>
      </c>
      <c r="D1305" s="22">
        <v>4935876.75</v>
      </c>
    </row>
    <row r="1306" spans="1:4" x14ac:dyDescent="0.25">
      <c r="A1306">
        <v>1877</v>
      </c>
      <c r="B1306" s="16">
        <v>43525</v>
      </c>
      <c r="C1306" t="s">
        <v>24</v>
      </c>
      <c r="D1306" s="22">
        <v>4935876.75</v>
      </c>
    </row>
    <row r="1307" spans="1:4" x14ac:dyDescent="0.25">
      <c r="A1307">
        <v>1877</v>
      </c>
      <c r="B1307" s="16">
        <v>43556</v>
      </c>
      <c r="C1307" t="s">
        <v>24</v>
      </c>
      <c r="D1307" s="22">
        <v>4935876.75</v>
      </c>
    </row>
    <row r="1308" spans="1:4" x14ac:dyDescent="0.25">
      <c r="A1308">
        <v>1877</v>
      </c>
      <c r="B1308" s="16">
        <v>43586</v>
      </c>
      <c r="C1308" t="s">
        <v>24</v>
      </c>
      <c r="D1308" s="22">
        <v>4935876.75</v>
      </c>
    </row>
    <row r="1309" spans="1:4" x14ac:dyDescent="0.25">
      <c r="A1309">
        <v>1877</v>
      </c>
      <c r="B1309" s="16">
        <v>43617</v>
      </c>
      <c r="C1309" t="s">
        <v>24</v>
      </c>
      <c r="D1309" s="22">
        <v>4935876.75</v>
      </c>
    </row>
    <row r="1310" spans="1:4" x14ac:dyDescent="0.25">
      <c r="A1310">
        <v>1877</v>
      </c>
      <c r="B1310" s="16">
        <v>43647</v>
      </c>
      <c r="C1310" t="s">
        <v>24</v>
      </c>
      <c r="D1310" s="22">
        <v>4935876.75</v>
      </c>
    </row>
    <row r="1311" spans="1:4" x14ac:dyDescent="0.25">
      <c r="A1311">
        <v>1877</v>
      </c>
      <c r="B1311" s="16">
        <v>43678</v>
      </c>
      <c r="C1311" t="s">
        <v>24</v>
      </c>
      <c r="D1311" s="22">
        <v>4935876.75</v>
      </c>
    </row>
    <row r="1312" spans="1:4" x14ac:dyDescent="0.25">
      <c r="A1312">
        <v>1856</v>
      </c>
      <c r="B1312" s="16">
        <v>43466</v>
      </c>
      <c r="C1312" t="s">
        <v>24</v>
      </c>
      <c r="D1312" s="22">
        <v>3771772.7985</v>
      </c>
    </row>
    <row r="1313" spans="1:4" x14ac:dyDescent="0.25">
      <c r="A1313">
        <v>1856</v>
      </c>
      <c r="B1313" s="16">
        <v>43497</v>
      </c>
      <c r="C1313" t="s">
        <v>24</v>
      </c>
      <c r="D1313" s="22">
        <v>3771772.7985</v>
      </c>
    </row>
    <row r="1314" spans="1:4" x14ac:dyDescent="0.25">
      <c r="A1314">
        <v>1856</v>
      </c>
      <c r="B1314" s="16">
        <v>43525</v>
      </c>
      <c r="C1314" t="s">
        <v>24</v>
      </c>
      <c r="D1314" s="22">
        <v>3771772.7985</v>
      </c>
    </row>
    <row r="1315" spans="1:4" x14ac:dyDescent="0.25">
      <c r="A1315">
        <v>1856</v>
      </c>
      <c r="B1315" s="16">
        <v>43556</v>
      </c>
      <c r="C1315" t="s">
        <v>24</v>
      </c>
      <c r="D1315" s="22">
        <v>3771772.7985</v>
      </c>
    </row>
    <row r="1316" spans="1:4" x14ac:dyDescent="0.25">
      <c r="A1316">
        <v>1856</v>
      </c>
      <c r="B1316" s="16">
        <v>43586</v>
      </c>
      <c r="C1316" t="s">
        <v>24</v>
      </c>
      <c r="D1316" s="22">
        <v>3771772.7985</v>
      </c>
    </row>
    <row r="1317" spans="1:4" x14ac:dyDescent="0.25">
      <c r="A1317">
        <v>1856</v>
      </c>
      <c r="B1317" s="16">
        <v>43617</v>
      </c>
      <c r="C1317" t="s">
        <v>24</v>
      </c>
      <c r="D1317" s="22">
        <v>3771772.7985</v>
      </c>
    </row>
    <row r="1318" spans="1:4" x14ac:dyDescent="0.25">
      <c r="A1318">
        <v>1856</v>
      </c>
      <c r="B1318" s="16">
        <v>43647</v>
      </c>
      <c r="C1318" t="s">
        <v>24</v>
      </c>
      <c r="D1318" s="22">
        <v>3771772.7985</v>
      </c>
    </row>
    <row r="1319" spans="1:4" x14ac:dyDescent="0.25">
      <c r="A1319">
        <v>1856</v>
      </c>
      <c r="B1319" s="16">
        <v>43678</v>
      </c>
      <c r="C1319" t="s">
        <v>24</v>
      </c>
      <c r="D1319" s="22">
        <v>3771772.7985</v>
      </c>
    </row>
    <row r="1320" spans="1:4" x14ac:dyDescent="0.25">
      <c r="A1320">
        <v>1856</v>
      </c>
      <c r="B1320" s="16">
        <v>43709</v>
      </c>
      <c r="C1320" t="s">
        <v>24</v>
      </c>
      <c r="D1320" s="22">
        <v>3771772.7985</v>
      </c>
    </row>
    <row r="1321" spans="1:4" x14ac:dyDescent="0.25">
      <c r="A1321">
        <v>1856</v>
      </c>
      <c r="B1321" s="16">
        <v>43739</v>
      </c>
      <c r="C1321" t="s">
        <v>24</v>
      </c>
      <c r="D1321" s="22">
        <v>3771772.7985</v>
      </c>
    </row>
    <row r="1322" spans="1:4" x14ac:dyDescent="0.25">
      <c r="A1322">
        <v>1856</v>
      </c>
      <c r="B1322" s="16">
        <v>43770</v>
      </c>
      <c r="C1322" t="s">
        <v>24</v>
      </c>
      <c r="D1322" s="22">
        <v>3771772.7985</v>
      </c>
    </row>
    <row r="1323" spans="1:4" x14ac:dyDescent="0.25">
      <c r="A1323">
        <v>1856</v>
      </c>
      <c r="B1323" s="16">
        <v>43800</v>
      </c>
      <c r="C1323" t="s">
        <v>24</v>
      </c>
      <c r="D1323" s="22">
        <v>3771772.7985</v>
      </c>
    </row>
    <row r="1324" spans="1:4" x14ac:dyDescent="0.25">
      <c r="A1324">
        <v>1856</v>
      </c>
      <c r="B1324" s="16">
        <v>43831</v>
      </c>
      <c r="C1324" t="s">
        <v>24</v>
      </c>
      <c r="D1324" s="22">
        <v>3771772.7985</v>
      </c>
    </row>
    <row r="1325" spans="1:4" x14ac:dyDescent="0.25">
      <c r="A1325">
        <v>1856</v>
      </c>
      <c r="B1325" s="16">
        <v>43862</v>
      </c>
      <c r="C1325" t="s">
        <v>24</v>
      </c>
      <c r="D1325" s="22">
        <v>3771772.7985</v>
      </c>
    </row>
    <row r="1326" spans="1:4" x14ac:dyDescent="0.25">
      <c r="A1326">
        <v>1856</v>
      </c>
      <c r="B1326" s="16">
        <v>43891</v>
      </c>
      <c r="C1326" t="s">
        <v>24</v>
      </c>
      <c r="D1326" s="22">
        <v>3771772.7985</v>
      </c>
    </row>
    <row r="1327" spans="1:4" x14ac:dyDescent="0.25">
      <c r="A1327">
        <v>1856</v>
      </c>
      <c r="B1327" s="16">
        <v>43922</v>
      </c>
      <c r="C1327" t="s">
        <v>24</v>
      </c>
      <c r="D1327" s="22">
        <v>3771772.7985</v>
      </c>
    </row>
    <row r="1328" spans="1:4" x14ac:dyDescent="0.25">
      <c r="A1328">
        <v>1856</v>
      </c>
      <c r="B1328" s="16">
        <v>43952</v>
      </c>
      <c r="C1328" t="s">
        <v>24</v>
      </c>
      <c r="D1328" s="22">
        <v>3771772.7985</v>
      </c>
    </row>
    <row r="1329" spans="1:4" x14ac:dyDescent="0.25">
      <c r="A1329">
        <v>1856</v>
      </c>
      <c r="B1329" s="16">
        <v>43983</v>
      </c>
      <c r="C1329" t="s">
        <v>24</v>
      </c>
      <c r="D1329" s="22">
        <v>3771772.7985</v>
      </c>
    </row>
    <row r="1330" spans="1:4" x14ac:dyDescent="0.25">
      <c r="A1330">
        <v>1856</v>
      </c>
      <c r="B1330" s="16">
        <v>44013</v>
      </c>
      <c r="C1330" t="s">
        <v>24</v>
      </c>
      <c r="D1330" s="22">
        <v>3771772.7985</v>
      </c>
    </row>
    <row r="1331" spans="1:4" x14ac:dyDescent="0.25">
      <c r="A1331">
        <v>1856</v>
      </c>
      <c r="B1331" s="16">
        <v>44044</v>
      </c>
      <c r="C1331" t="s">
        <v>24</v>
      </c>
      <c r="D1331" s="22">
        <v>3771772.7985</v>
      </c>
    </row>
    <row r="1332" spans="1:4" x14ac:dyDescent="0.25">
      <c r="A1332">
        <v>1856</v>
      </c>
      <c r="B1332" s="16">
        <v>44075</v>
      </c>
      <c r="C1332" t="s">
        <v>24</v>
      </c>
      <c r="D1332" s="22">
        <v>3771772.7985</v>
      </c>
    </row>
    <row r="1333" spans="1:4" x14ac:dyDescent="0.25">
      <c r="A1333">
        <v>1856</v>
      </c>
      <c r="B1333" s="16">
        <v>44105</v>
      </c>
      <c r="C1333" t="s">
        <v>24</v>
      </c>
      <c r="D1333" s="22">
        <v>3771772.7985</v>
      </c>
    </row>
    <row r="1334" spans="1:4" x14ac:dyDescent="0.25">
      <c r="A1334">
        <v>1856</v>
      </c>
      <c r="B1334" s="16">
        <v>44136</v>
      </c>
      <c r="C1334" t="s">
        <v>24</v>
      </c>
      <c r="D1334" s="22">
        <v>3771772.7985</v>
      </c>
    </row>
    <row r="1335" spans="1:4" x14ac:dyDescent="0.25">
      <c r="A1335">
        <v>1856</v>
      </c>
      <c r="B1335" s="16">
        <v>44166</v>
      </c>
      <c r="C1335" t="s">
        <v>24</v>
      </c>
      <c r="D1335" s="22">
        <v>3771772.7985</v>
      </c>
    </row>
    <row r="1336" spans="1:4" x14ac:dyDescent="0.25">
      <c r="A1336">
        <v>1856</v>
      </c>
      <c r="B1336" s="16">
        <v>44197</v>
      </c>
      <c r="C1336" t="s">
        <v>24</v>
      </c>
      <c r="D1336" s="22">
        <v>3771772.7985</v>
      </c>
    </row>
    <row r="1337" spans="1:4" x14ac:dyDescent="0.25">
      <c r="A1337">
        <v>1829</v>
      </c>
      <c r="B1337" s="16">
        <v>43466</v>
      </c>
      <c r="C1337" t="s">
        <v>143</v>
      </c>
      <c r="D1337" s="22">
        <v>6004530</v>
      </c>
    </row>
    <row r="1338" spans="1:4" x14ac:dyDescent="0.25">
      <c r="A1338">
        <v>1829</v>
      </c>
      <c r="B1338" s="16">
        <v>43497</v>
      </c>
      <c r="C1338" t="s">
        <v>143</v>
      </c>
      <c r="D1338" s="22">
        <v>6004530</v>
      </c>
    </row>
    <row r="1339" spans="1:4" x14ac:dyDescent="0.25">
      <c r="A1339">
        <v>1829</v>
      </c>
      <c r="B1339" s="16">
        <v>43525</v>
      </c>
      <c r="C1339" t="s">
        <v>143</v>
      </c>
      <c r="D1339" s="22">
        <v>6004530</v>
      </c>
    </row>
    <row r="1340" spans="1:4" x14ac:dyDescent="0.25">
      <c r="A1340">
        <v>1829</v>
      </c>
      <c r="B1340" s="16">
        <v>43556</v>
      </c>
      <c r="C1340" t="s">
        <v>143</v>
      </c>
      <c r="D1340" s="22">
        <v>6004530</v>
      </c>
    </row>
    <row r="1341" spans="1:4" x14ac:dyDescent="0.25">
      <c r="A1341">
        <v>1829</v>
      </c>
      <c r="B1341" s="16">
        <v>43586</v>
      </c>
      <c r="C1341" t="s">
        <v>143</v>
      </c>
      <c r="D1341" s="22">
        <v>6004530</v>
      </c>
    </row>
    <row r="1342" spans="1:4" x14ac:dyDescent="0.25">
      <c r="A1342">
        <v>1829</v>
      </c>
      <c r="B1342" s="16">
        <v>43617</v>
      </c>
      <c r="C1342" t="s">
        <v>143</v>
      </c>
      <c r="D1342" s="22">
        <v>6004530</v>
      </c>
    </row>
    <row r="1343" spans="1:4" x14ac:dyDescent="0.25">
      <c r="A1343">
        <v>1829</v>
      </c>
      <c r="B1343" s="16">
        <v>43647</v>
      </c>
      <c r="C1343" t="s">
        <v>143</v>
      </c>
      <c r="D1343" s="22">
        <v>6004530</v>
      </c>
    </row>
    <row r="1344" spans="1:4" x14ac:dyDescent="0.25">
      <c r="A1344">
        <v>1829</v>
      </c>
      <c r="B1344" s="16">
        <v>43678</v>
      </c>
      <c r="C1344" t="s">
        <v>143</v>
      </c>
      <c r="D1344" s="22">
        <v>6004530</v>
      </c>
    </row>
    <row r="1345" spans="1:4" x14ac:dyDescent="0.25">
      <c r="A1345">
        <v>1829</v>
      </c>
      <c r="B1345" s="16">
        <v>43709</v>
      </c>
      <c r="C1345" t="s">
        <v>143</v>
      </c>
      <c r="D1345" s="22">
        <v>6004530</v>
      </c>
    </row>
    <row r="1346" spans="1:4" x14ac:dyDescent="0.25">
      <c r="A1346">
        <v>1829</v>
      </c>
      <c r="B1346" s="16">
        <v>43739</v>
      </c>
      <c r="C1346" t="s">
        <v>143</v>
      </c>
      <c r="D1346" s="22">
        <v>6004530</v>
      </c>
    </row>
    <row r="1347" spans="1:4" x14ac:dyDescent="0.25">
      <c r="A1347">
        <v>1829</v>
      </c>
      <c r="B1347" s="16">
        <v>43770</v>
      </c>
      <c r="C1347" t="s">
        <v>143</v>
      </c>
      <c r="D1347" s="22">
        <v>6004530</v>
      </c>
    </row>
    <row r="1348" spans="1:4" x14ac:dyDescent="0.25">
      <c r="A1348">
        <v>1829</v>
      </c>
      <c r="B1348" s="16">
        <v>43800</v>
      </c>
      <c r="C1348" t="s">
        <v>143</v>
      </c>
      <c r="D1348" s="22">
        <v>6004530</v>
      </c>
    </row>
    <row r="1349" spans="1:4" x14ac:dyDescent="0.25">
      <c r="A1349">
        <v>1829</v>
      </c>
      <c r="B1349" s="16">
        <v>43831</v>
      </c>
      <c r="C1349" t="s">
        <v>143</v>
      </c>
      <c r="D1349" s="22">
        <v>6004530</v>
      </c>
    </row>
    <row r="1350" spans="1:4" x14ac:dyDescent="0.25">
      <c r="A1350">
        <v>1829</v>
      </c>
      <c r="B1350" s="16">
        <v>43862</v>
      </c>
      <c r="C1350" t="s">
        <v>143</v>
      </c>
      <c r="D1350" s="22">
        <v>6004530</v>
      </c>
    </row>
    <row r="1351" spans="1:4" x14ac:dyDescent="0.25">
      <c r="A1351">
        <v>1829</v>
      </c>
      <c r="B1351" s="16">
        <v>43891</v>
      </c>
      <c r="C1351" t="s">
        <v>143</v>
      </c>
      <c r="D1351" s="22">
        <v>6004530</v>
      </c>
    </row>
    <row r="1352" spans="1:4" x14ac:dyDescent="0.25">
      <c r="A1352">
        <v>1818</v>
      </c>
      <c r="B1352" s="16">
        <v>43466</v>
      </c>
      <c r="C1352" t="s">
        <v>16</v>
      </c>
      <c r="D1352" s="22">
        <v>380362.5</v>
      </c>
    </row>
    <row r="1353" spans="1:4" x14ac:dyDescent="0.25">
      <c r="A1353">
        <v>1818</v>
      </c>
      <c r="B1353" s="16">
        <v>43497</v>
      </c>
      <c r="C1353" t="s">
        <v>16</v>
      </c>
      <c r="D1353" s="22">
        <v>380362.5</v>
      </c>
    </row>
    <row r="1354" spans="1:4" x14ac:dyDescent="0.25">
      <c r="A1354">
        <v>1818</v>
      </c>
      <c r="B1354" s="16">
        <v>43525</v>
      </c>
      <c r="C1354" t="s">
        <v>16</v>
      </c>
      <c r="D1354" s="22">
        <v>380362.5</v>
      </c>
    </row>
    <row r="1355" spans="1:4" x14ac:dyDescent="0.25">
      <c r="A1355">
        <v>1818</v>
      </c>
      <c r="B1355" s="16">
        <v>43556</v>
      </c>
      <c r="C1355" t="s">
        <v>16</v>
      </c>
      <c r="D1355" s="22">
        <v>380362.5</v>
      </c>
    </row>
    <row r="1356" spans="1:4" x14ac:dyDescent="0.25">
      <c r="A1356">
        <v>1818</v>
      </c>
      <c r="B1356" s="16">
        <v>43586</v>
      </c>
      <c r="C1356" t="s">
        <v>16</v>
      </c>
      <c r="D1356" s="22">
        <v>380362.5</v>
      </c>
    </row>
    <row r="1357" spans="1:4" x14ac:dyDescent="0.25">
      <c r="A1357">
        <v>1818</v>
      </c>
      <c r="B1357" s="16">
        <v>43617</v>
      </c>
      <c r="C1357" t="s">
        <v>16</v>
      </c>
      <c r="D1357" s="22">
        <v>380362.5</v>
      </c>
    </row>
    <row r="1358" spans="1:4" x14ac:dyDescent="0.25">
      <c r="A1358">
        <v>1818</v>
      </c>
      <c r="B1358" s="16">
        <v>43647</v>
      </c>
      <c r="C1358" t="s">
        <v>16</v>
      </c>
      <c r="D1358" s="22">
        <v>380362.5</v>
      </c>
    </row>
    <row r="1359" spans="1:4" x14ac:dyDescent="0.25">
      <c r="A1359">
        <v>1818</v>
      </c>
      <c r="B1359" s="16">
        <v>43678</v>
      </c>
      <c r="C1359" t="s">
        <v>16</v>
      </c>
      <c r="D1359" s="22">
        <v>380362.5</v>
      </c>
    </row>
    <row r="1360" spans="1:4" x14ac:dyDescent="0.25">
      <c r="A1360">
        <v>1753</v>
      </c>
      <c r="B1360" s="16">
        <v>43466</v>
      </c>
      <c r="C1360" t="s">
        <v>122</v>
      </c>
      <c r="D1360" s="22">
        <v>7324096.5</v>
      </c>
    </row>
    <row r="1361" spans="1:4" x14ac:dyDescent="0.25">
      <c r="A1361">
        <v>1753</v>
      </c>
      <c r="B1361" s="16">
        <v>43466</v>
      </c>
      <c r="C1361" t="s">
        <v>59</v>
      </c>
      <c r="D1361" s="22">
        <v>2504250</v>
      </c>
    </row>
    <row r="1362" spans="1:4" x14ac:dyDescent="0.25">
      <c r="A1362">
        <v>1753</v>
      </c>
      <c r="B1362" s="16">
        <v>43466</v>
      </c>
      <c r="C1362" t="s">
        <v>24</v>
      </c>
      <c r="D1362" s="22">
        <v>4165803.1799999997</v>
      </c>
    </row>
    <row r="1363" spans="1:4" x14ac:dyDescent="0.25">
      <c r="A1363">
        <v>1753</v>
      </c>
      <c r="B1363" s="16">
        <v>43466</v>
      </c>
      <c r="C1363" t="s">
        <v>38</v>
      </c>
      <c r="D1363" s="22">
        <v>4165803.1799999997</v>
      </c>
    </row>
    <row r="1364" spans="1:4" x14ac:dyDescent="0.25">
      <c r="A1364">
        <v>1723</v>
      </c>
      <c r="B1364" s="16">
        <v>43466</v>
      </c>
      <c r="C1364" t="s">
        <v>19</v>
      </c>
      <c r="D1364" s="22">
        <v>6085367.1464827517</v>
      </c>
    </row>
    <row r="1365" spans="1:4" x14ac:dyDescent="0.25">
      <c r="A1365">
        <v>1723</v>
      </c>
      <c r="B1365" s="16">
        <v>43497</v>
      </c>
      <c r="C1365" t="s">
        <v>19</v>
      </c>
      <c r="D1365" s="22">
        <v>6085367.1464827517</v>
      </c>
    </row>
    <row r="1366" spans="1:4" x14ac:dyDescent="0.25">
      <c r="A1366">
        <v>1723</v>
      </c>
      <c r="B1366" s="16">
        <v>43525</v>
      </c>
      <c r="C1366" t="s">
        <v>19</v>
      </c>
      <c r="D1366" s="22">
        <v>6085367.1464827517</v>
      </c>
    </row>
    <row r="1367" spans="1:4" x14ac:dyDescent="0.25">
      <c r="A1367">
        <v>1723</v>
      </c>
      <c r="B1367" s="16">
        <v>43556</v>
      </c>
      <c r="C1367" t="s">
        <v>19</v>
      </c>
      <c r="D1367" s="22">
        <v>6085367.1464827517</v>
      </c>
    </row>
    <row r="1368" spans="1:4" x14ac:dyDescent="0.25">
      <c r="A1368">
        <v>1723</v>
      </c>
      <c r="B1368" s="16">
        <v>43586</v>
      </c>
      <c r="C1368" t="s">
        <v>19</v>
      </c>
      <c r="D1368" s="22">
        <v>6085367.1464827517</v>
      </c>
    </row>
    <row r="1369" spans="1:4" x14ac:dyDescent="0.25">
      <c r="A1369">
        <v>1723</v>
      </c>
      <c r="B1369" s="16">
        <v>43617</v>
      </c>
      <c r="C1369" t="s">
        <v>19</v>
      </c>
      <c r="D1369" s="22">
        <v>6085367.1464827517</v>
      </c>
    </row>
    <row r="1370" spans="1:4" x14ac:dyDescent="0.25">
      <c r="A1370">
        <v>1723</v>
      </c>
      <c r="B1370" s="16">
        <v>43466</v>
      </c>
      <c r="C1370" t="s">
        <v>12</v>
      </c>
      <c r="D1370" s="22">
        <v>11269198.072125001</v>
      </c>
    </row>
    <row r="1371" spans="1:4" x14ac:dyDescent="0.25">
      <c r="A1371">
        <v>1723</v>
      </c>
      <c r="B1371" s="16">
        <v>43497</v>
      </c>
      <c r="C1371" t="s">
        <v>12</v>
      </c>
      <c r="D1371" s="22">
        <v>11269198.072125001</v>
      </c>
    </row>
    <row r="1372" spans="1:4" x14ac:dyDescent="0.25">
      <c r="A1372">
        <v>1723</v>
      </c>
      <c r="B1372" s="16">
        <v>43525</v>
      </c>
      <c r="C1372" t="s">
        <v>12</v>
      </c>
      <c r="D1372" s="22">
        <v>11269198.072125001</v>
      </c>
    </row>
    <row r="1373" spans="1:4" x14ac:dyDescent="0.25">
      <c r="A1373">
        <v>1723</v>
      </c>
      <c r="B1373" s="16">
        <v>43556</v>
      </c>
      <c r="C1373" t="s">
        <v>12</v>
      </c>
      <c r="D1373" s="22">
        <v>11269198.072125001</v>
      </c>
    </row>
    <row r="1374" spans="1:4" x14ac:dyDescent="0.25">
      <c r="A1374">
        <v>1723</v>
      </c>
      <c r="B1374" s="16">
        <v>43586</v>
      </c>
      <c r="C1374" t="s">
        <v>12</v>
      </c>
      <c r="D1374" s="22">
        <v>11269198.072125001</v>
      </c>
    </row>
    <row r="1375" spans="1:4" x14ac:dyDescent="0.25">
      <c r="A1375">
        <v>1723</v>
      </c>
      <c r="B1375" s="16">
        <v>43617</v>
      </c>
      <c r="C1375" t="s">
        <v>12</v>
      </c>
      <c r="D1375" s="22">
        <v>11269198.072125001</v>
      </c>
    </row>
    <row r="1376" spans="1:4" x14ac:dyDescent="0.25">
      <c r="A1376">
        <v>1723</v>
      </c>
      <c r="B1376" s="16">
        <v>43466</v>
      </c>
      <c r="C1376" t="s">
        <v>93</v>
      </c>
      <c r="D1376" s="22">
        <v>960135.74937000009</v>
      </c>
    </row>
    <row r="1377" spans="1:4" x14ac:dyDescent="0.25">
      <c r="A1377">
        <v>1723</v>
      </c>
      <c r="B1377" s="16">
        <v>43497</v>
      </c>
      <c r="C1377" t="s">
        <v>93</v>
      </c>
      <c r="D1377" s="22">
        <v>960135.74937000009</v>
      </c>
    </row>
    <row r="1378" spans="1:4" x14ac:dyDescent="0.25">
      <c r="A1378">
        <v>1723</v>
      </c>
      <c r="B1378" s="16">
        <v>43525</v>
      </c>
      <c r="C1378" t="s">
        <v>93</v>
      </c>
      <c r="D1378" s="22">
        <v>960135.74937000009</v>
      </c>
    </row>
    <row r="1379" spans="1:4" x14ac:dyDescent="0.25">
      <c r="A1379">
        <v>1723</v>
      </c>
      <c r="B1379" s="16">
        <v>43556</v>
      </c>
      <c r="C1379" t="s">
        <v>93</v>
      </c>
      <c r="D1379" s="22">
        <v>960135.74937000009</v>
      </c>
    </row>
    <row r="1380" spans="1:4" x14ac:dyDescent="0.25">
      <c r="A1380">
        <v>1723</v>
      </c>
      <c r="B1380" s="16">
        <v>43586</v>
      </c>
      <c r="C1380" t="s">
        <v>93</v>
      </c>
      <c r="D1380" s="22">
        <v>960135.74937000009</v>
      </c>
    </row>
    <row r="1381" spans="1:4" x14ac:dyDescent="0.25">
      <c r="A1381">
        <v>1723</v>
      </c>
      <c r="B1381" s="16">
        <v>43617</v>
      </c>
      <c r="C1381" t="s">
        <v>93</v>
      </c>
      <c r="D1381" s="22">
        <v>960135.74937000009</v>
      </c>
    </row>
    <row r="1382" spans="1:4" x14ac:dyDescent="0.25">
      <c r="A1382">
        <v>1577</v>
      </c>
      <c r="B1382" s="16">
        <v>43466</v>
      </c>
      <c r="C1382" t="s">
        <v>19</v>
      </c>
      <c r="D1382" s="22">
        <v>3685661.2115662512</v>
      </c>
    </row>
    <row r="1383" spans="1:4" x14ac:dyDescent="0.25">
      <c r="A1383">
        <v>1577</v>
      </c>
      <c r="B1383" s="16">
        <v>43497</v>
      </c>
      <c r="C1383" t="s">
        <v>19</v>
      </c>
      <c r="D1383" s="22">
        <v>3685661.2115662512</v>
      </c>
    </row>
    <row r="1384" spans="1:4" x14ac:dyDescent="0.25">
      <c r="A1384">
        <v>1577</v>
      </c>
      <c r="B1384" s="16">
        <v>43525</v>
      </c>
      <c r="C1384" t="s">
        <v>19</v>
      </c>
      <c r="D1384" s="22">
        <v>3685661.2115662512</v>
      </c>
    </row>
    <row r="1385" spans="1:4" x14ac:dyDescent="0.25">
      <c r="A1385">
        <v>1577</v>
      </c>
      <c r="B1385" s="16">
        <v>43556</v>
      </c>
      <c r="C1385" t="s">
        <v>19</v>
      </c>
      <c r="D1385" s="22">
        <v>3685661.2115662512</v>
      </c>
    </row>
    <row r="1386" spans="1:4" x14ac:dyDescent="0.25">
      <c r="A1386">
        <v>1577</v>
      </c>
      <c r="B1386" s="16">
        <v>43586</v>
      </c>
      <c r="C1386" t="s">
        <v>19</v>
      </c>
      <c r="D1386" s="22">
        <v>3685661.2115662512</v>
      </c>
    </row>
    <row r="1387" spans="1:4" x14ac:dyDescent="0.25">
      <c r="A1387">
        <v>1577</v>
      </c>
      <c r="B1387" s="16">
        <v>43617</v>
      </c>
      <c r="C1387" t="s">
        <v>19</v>
      </c>
      <c r="D1387" s="22">
        <v>3685661.2115662512</v>
      </c>
    </row>
    <row r="1388" spans="1:4" x14ac:dyDescent="0.25">
      <c r="A1388">
        <v>1577</v>
      </c>
      <c r="B1388" s="16">
        <v>43647</v>
      </c>
      <c r="C1388" t="s">
        <v>19</v>
      </c>
      <c r="D1388" s="22">
        <v>3685661.2115662512</v>
      </c>
    </row>
    <row r="1389" spans="1:4" x14ac:dyDescent="0.25">
      <c r="A1389">
        <v>1577</v>
      </c>
      <c r="B1389" s="16">
        <v>43466</v>
      </c>
      <c r="C1389" t="s">
        <v>12</v>
      </c>
      <c r="D1389" s="22">
        <v>11787098.370468752</v>
      </c>
    </row>
    <row r="1390" spans="1:4" x14ac:dyDescent="0.25">
      <c r="A1390">
        <v>1577</v>
      </c>
      <c r="B1390" s="16">
        <v>43497</v>
      </c>
      <c r="C1390" t="s">
        <v>12</v>
      </c>
      <c r="D1390" s="22">
        <v>11787098.370468752</v>
      </c>
    </row>
    <row r="1391" spans="1:4" x14ac:dyDescent="0.25">
      <c r="A1391">
        <v>1577</v>
      </c>
      <c r="B1391" s="16">
        <v>43525</v>
      </c>
      <c r="C1391" t="s">
        <v>12</v>
      </c>
      <c r="D1391" s="22">
        <v>11787098.370468752</v>
      </c>
    </row>
    <row r="1392" spans="1:4" x14ac:dyDescent="0.25">
      <c r="A1392">
        <v>1577</v>
      </c>
      <c r="B1392" s="16">
        <v>43556</v>
      </c>
      <c r="C1392" t="s">
        <v>12</v>
      </c>
      <c r="D1392" s="22">
        <v>11787098.370468752</v>
      </c>
    </row>
    <row r="1393" spans="1:4" x14ac:dyDescent="0.25">
      <c r="A1393">
        <v>1577</v>
      </c>
      <c r="B1393" s="16">
        <v>43586</v>
      </c>
      <c r="C1393" t="s">
        <v>12</v>
      </c>
      <c r="D1393" s="22">
        <v>11787098.370468752</v>
      </c>
    </row>
    <row r="1394" spans="1:4" x14ac:dyDescent="0.25">
      <c r="A1394">
        <v>1577</v>
      </c>
      <c r="B1394" s="16">
        <v>43617</v>
      </c>
      <c r="C1394" t="s">
        <v>12</v>
      </c>
      <c r="D1394" s="22">
        <v>11787098.370468752</v>
      </c>
    </row>
    <row r="1395" spans="1:4" x14ac:dyDescent="0.25">
      <c r="A1395">
        <v>1577</v>
      </c>
      <c r="B1395" s="16">
        <v>43647</v>
      </c>
      <c r="C1395" t="s">
        <v>12</v>
      </c>
      <c r="D1395" s="22">
        <v>11787098.370468752</v>
      </c>
    </row>
    <row r="1396" spans="1:4" x14ac:dyDescent="0.25">
      <c r="A1396">
        <v>1577</v>
      </c>
      <c r="B1396" s="16">
        <v>43466</v>
      </c>
      <c r="C1396" t="s">
        <v>14</v>
      </c>
      <c r="D1396" s="22">
        <v>9796099.1329687536</v>
      </c>
    </row>
    <row r="1397" spans="1:4" x14ac:dyDescent="0.25">
      <c r="A1397">
        <v>1577</v>
      </c>
      <c r="B1397" s="16">
        <v>43497</v>
      </c>
      <c r="C1397" t="s">
        <v>14</v>
      </c>
      <c r="D1397" s="22">
        <v>9796099.1329687536</v>
      </c>
    </row>
    <row r="1398" spans="1:4" x14ac:dyDescent="0.25">
      <c r="A1398">
        <v>1577</v>
      </c>
      <c r="B1398" s="16">
        <v>43525</v>
      </c>
      <c r="C1398" t="s">
        <v>14</v>
      </c>
      <c r="D1398" s="22">
        <v>9796099.1329687536</v>
      </c>
    </row>
    <row r="1399" spans="1:4" x14ac:dyDescent="0.25">
      <c r="A1399">
        <v>1577</v>
      </c>
      <c r="B1399" s="16">
        <v>43556</v>
      </c>
      <c r="C1399" t="s">
        <v>14</v>
      </c>
      <c r="D1399" s="22">
        <v>9796099.1329687536</v>
      </c>
    </row>
    <row r="1400" spans="1:4" x14ac:dyDescent="0.25">
      <c r="A1400">
        <v>1577</v>
      </c>
      <c r="B1400" s="16">
        <v>43586</v>
      </c>
      <c r="C1400" t="s">
        <v>14</v>
      </c>
      <c r="D1400" s="22">
        <v>9796099.1329687536</v>
      </c>
    </row>
    <row r="1401" spans="1:4" x14ac:dyDescent="0.25">
      <c r="A1401">
        <v>1577</v>
      </c>
      <c r="B1401" s="16">
        <v>43466</v>
      </c>
      <c r="C1401" t="s">
        <v>237</v>
      </c>
      <c r="D1401" s="22">
        <v>8143952.6503125019</v>
      </c>
    </row>
    <row r="1402" spans="1:4" x14ac:dyDescent="0.25">
      <c r="A1402">
        <v>1577</v>
      </c>
      <c r="B1402" s="16">
        <v>43466</v>
      </c>
      <c r="C1402" t="s">
        <v>230</v>
      </c>
      <c r="D1402" s="22">
        <v>8143952.6503125019</v>
      </c>
    </row>
    <row r="1403" spans="1:4" x14ac:dyDescent="0.25">
      <c r="A1403">
        <v>1577</v>
      </c>
      <c r="B1403" s="16">
        <v>43497</v>
      </c>
      <c r="C1403" t="s">
        <v>230</v>
      </c>
      <c r="D1403" s="22">
        <v>8143952.6503125019</v>
      </c>
    </row>
    <row r="1404" spans="1:4" x14ac:dyDescent="0.25">
      <c r="A1404">
        <v>1577</v>
      </c>
      <c r="B1404" s="16">
        <v>43525</v>
      </c>
      <c r="C1404" t="s">
        <v>230</v>
      </c>
      <c r="D1404" s="22">
        <v>8143952.6503125019</v>
      </c>
    </row>
    <row r="1405" spans="1:4" x14ac:dyDescent="0.25">
      <c r="A1405">
        <v>1577</v>
      </c>
      <c r="B1405" s="16">
        <v>43556</v>
      </c>
      <c r="C1405" t="s">
        <v>230</v>
      </c>
      <c r="D1405" s="22">
        <v>8143952.6503125019</v>
      </c>
    </row>
    <row r="1406" spans="1:4" x14ac:dyDescent="0.25">
      <c r="A1406">
        <v>1577</v>
      </c>
      <c r="B1406" s="16">
        <v>43586</v>
      </c>
      <c r="C1406" t="s">
        <v>230</v>
      </c>
      <c r="D1406" s="22">
        <v>8143952.6503125019</v>
      </c>
    </row>
    <row r="1407" spans="1:4" x14ac:dyDescent="0.25">
      <c r="A1407">
        <v>1577</v>
      </c>
      <c r="B1407" s="16">
        <v>43466</v>
      </c>
      <c r="C1407" t="s">
        <v>239</v>
      </c>
      <c r="D1407" s="22">
        <v>6891920.4375000019</v>
      </c>
    </row>
    <row r="1408" spans="1:4" x14ac:dyDescent="0.25">
      <c r="A1408">
        <v>1577</v>
      </c>
      <c r="B1408" s="16">
        <v>43497</v>
      </c>
      <c r="C1408" t="s">
        <v>239</v>
      </c>
      <c r="D1408" s="22">
        <v>6891920.4375000019</v>
      </c>
    </row>
    <row r="1409" spans="1:4" x14ac:dyDescent="0.25">
      <c r="A1409">
        <v>1577</v>
      </c>
      <c r="B1409" s="16">
        <v>43525</v>
      </c>
      <c r="C1409" t="s">
        <v>239</v>
      </c>
      <c r="D1409" s="22">
        <v>6891920.4375000019</v>
      </c>
    </row>
    <row r="1410" spans="1:4" x14ac:dyDescent="0.25">
      <c r="A1410">
        <v>1577</v>
      </c>
      <c r="B1410" s="16">
        <v>43556</v>
      </c>
      <c r="C1410" t="s">
        <v>239</v>
      </c>
      <c r="D1410" s="22">
        <v>6891920.4375000019</v>
      </c>
    </row>
    <row r="1411" spans="1:4" x14ac:dyDescent="0.25">
      <c r="A1411">
        <v>1577</v>
      </c>
      <c r="B1411" s="16">
        <v>43586</v>
      </c>
      <c r="C1411" t="s">
        <v>239</v>
      </c>
      <c r="D1411" s="22">
        <v>6891920.4375000019</v>
      </c>
    </row>
    <row r="1412" spans="1:4" x14ac:dyDescent="0.25">
      <c r="A1412">
        <v>1577</v>
      </c>
      <c r="B1412" s="16">
        <v>43466</v>
      </c>
      <c r="C1412" t="s">
        <v>59</v>
      </c>
      <c r="D1412" s="22">
        <v>3882448.513125001</v>
      </c>
    </row>
    <row r="1413" spans="1:4" x14ac:dyDescent="0.25">
      <c r="A1413">
        <v>1577</v>
      </c>
      <c r="B1413" s="16">
        <v>43497</v>
      </c>
      <c r="C1413" t="s">
        <v>59</v>
      </c>
      <c r="D1413" s="22">
        <v>3882448.513125001</v>
      </c>
    </row>
    <row r="1414" spans="1:4" x14ac:dyDescent="0.25">
      <c r="A1414">
        <v>1577</v>
      </c>
      <c r="B1414" s="16">
        <v>43525</v>
      </c>
      <c r="C1414" t="s">
        <v>59</v>
      </c>
      <c r="D1414" s="22">
        <v>3882448.513125001</v>
      </c>
    </row>
    <row r="1415" spans="1:4" x14ac:dyDescent="0.25">
      <c r="A1415">
        <v>1577</v>
      </c>
      <c r="B1415" s="16">
        <v>43556</v>
      </c>
      <c r="C1415" t="s">
        <v>59</v>
      </c>
      <c r="D1415" s="22">
        <v>3882448.513125001</v>
      </c>
    </row>
    <row r="1416" spans="1:4" x14ac:dyDescent="0.25">
      <c r="A1416">
        <v>1577</v>
      </c>
      <c r="B1416" s="16">
        <v>43586</v>
      </c>
      <c r="C1416" t="s">
        <v>59</v>
      </c>
      <c r="D1416" s="22">
        <v>3882448.513125001</v>
      </c>
    </row>
    <row r="1417" spans="1:4" x14ac:dyDescent="0.25">
      <c r="A1417">
        <v>1577</v>
      </c>
      <c r="B1417" s="16">
        <v>43617</v>
      </c>
      <c r="C1417" t="s">
        <v>59</v>
      </c>
      <c r="D1417" s="22">
        <v>3882448.513125001</v>
      </c>
    </row>
    <row r="1418" spans="1:4" x14ac:dyDescent="0.25">
      <c r="A1418">
        <v>1577</v>
      </c>
      <c r="B1418" s="16">
        <v>43647</v>
      </c>
      <c r="C1418" t="s">
        <v>59</v>
      </c>
      <c r="D1418" s="22">
        <v>3882448.513125001</v>
      </c>
    </row>
    <row r="1419" spans="1:4" x14ac:dyDescent="0.25">
      <c r="A1419">
        <v>1577</v>
      </c>
      <c r="B1419" s="16">
        <v>43466</v>
      </c>
      <c r="C1419" t="s">
        <v>59</v>
      </c>
      <c r="D1419" s="22">
        <v>3882448.513125001</v>
      </c>
    </row>
    <row r="1420" spans="1:4" x14ac:dyDescent="0.25">
      <c r="A1420">
        <v>1577</v>
      </c>
      <c r="B1420" s="16">
        <v>43497</v>
      </c>
      <c r="C1420" t="s">
        <v>59</v>
      </c>
      <c r="D1420" s="22">
        <v>3882448.513125001</v>
      </c>
    </row>
    <row r="1421" spans="1:4" x14ac:dyDescent="0.25">
      <c r="A1421">
        <v>1577</v>
      </c>
      <c r="B1421" s="16">
        <v>43525</v>
      </c>
      <c r="C1421" t="s">
        <v>59</v>
      </c>
      <c r="D1421" s="22">
        <v>3882448.513125001</v>
      </c>
    </row>
    <row r="1422" spans="1:4" x14ac:dyDescent="0.25">
      <c r="A1422">
        <v>1577</v>
      </c>
      <c r="B1422" s="16">
        <v>43556</v>
      </c>
      <c r="C1422" t="s">
        <v>59</v>
      </c>
      <c r="D1422" s="22">
        <v>3882448.513125001</v>
      </c>
    </row>
    <row r="1423" spans="1:4" x14ac:dyDescent="0.25">
      <c r="A1423">
        <v>1577</v>
      </c>
      <c r="B1423" s="16">
        <v>43586</v>
      </c>
      <c r="C1423" t="s">
        <v>59</v>
      </c>
      <c r="D1423" s="22">
        <v>3882448.513125001</v>
      </c>
    </row>
    <row r="1424" spans="1:4" x14ac:dyDescent="0.25">
      <c r="A1424">
        <v>1577</v>
      </c>
      <c r="B1424" s="16">
        <v>43617</v>
      </c>
      <c r="C1424" t="s">
        <v>59</v>
      </c>
      <c r="D1424" s="22">
        <v>3882448.513125001</v>
      </c>
    </row>
    <row r="1425" spans="1:4" x14ac:dyDescent="0.25">
      <c r="A1425">
        <v>1577</v>
      </c>
      <c r="B1425" s="16">
        <v>43647</v>
      </c>
      <c r="C1425" t="s">
        <v>59</v>
      </c>
      <c r="D1425" s="22">
        <v>3882448.513125001</v>
      </c>
    </row>
    <row r="1426" spans="1:4" x14ac:dyDescent="0.25">
      <c r="A1426">
        <v>1577</v>
      </c>
      <c r="B1426" s="16">
        <v>43466</v>
      </c>
      <c r="C1426" t="s">
        <v>242</v>
      </c>
      <c r="D1426" s="22">
        <v>3802042.7746875011</v>
      </c>
    </row>
    <row r="1427" spans="1:4" x14ac:dyDescent="0.25">
      <c r="A1427">
        <v>1577</v>
      </c>
      <c r="B1427" s="16">
        <v>43466</v>
      </c>
      <c r="C1427" t="s">
        <v>244</v>
      </c>
      <c r="D1427" s="22">
        <v>3802042.7746875011</v>
      </c>
    </row>
    <row r="1428" spans="1:4" x14ac:dyDescent="0.25">
      <c r="A1428">
        <v>1577</v>
      </c>
      <c r="B1428" s="16">
        <v>43466</v>
      </c>
      <c r="C1428" t="s">
        <v>245</v>
      </c>
      <c r="D1428" s="22">
        <v>6769397.4075000016</v>
      </c>
    </row>
    <row r="1429" spans="1:4" x14ac:dyDescent="0.25">
      <c r="A1429">
        <v>1577</v>
      </c>
      <c r="B1429" s="16">
        <v>43497</v>
      </c>
      <c r="C1429" t="s">
        <v>245</v>
      </c>
      <c r="D1429" s="22">
        <v>6769397.4075000016</v>
      </c>
    </row>
    <row r="1430" spans="1:4" x14ac:dyDescent="0.25">
      <c r="A1430">
        <v>1577</v>
      </c>
      <c r="B1430" s="16">
        <v>43525</v>
      </c>
      <c r="C1430" t="s">
        <v>245</v>
      </c>
      <c r="D1430" s="22">
        <v>6769397.4075000016</v>
      </c>
    </row>
    <row r="1431" spans="1:4" x14ac:dyDescent="0.25">
      <c r="A1431">
        <v>1577</v>
      </c>
      <c r="B1431" s="16">
        <v>43466</v>
      </c>
      <c r="C1431" t="s">
        <v>246</v>
      </c>
      <c r="D1431" s="22">
        <v>3802042.7746875011</v>
      </c>
    </row>
    <row r="1432" spans="1:4" x14ac:dyDescent="0.25">
      <c r="A1432">
        <v>1577</v>
      </c>
      <c r="B1432" s="16">
        <v>43497</v>
      </c>
      <c r="C1432" t="s">
        <v>246</v>
      </c>
      <c r="D1432" s="22">
        <v>3802042.7746875011</v>
      </c>
    </row>
    <row r="1433" spans="1:4" x14ac:dyDescent="0.25">
      <c r="A1433">
        <v>1577</v>
      </c>
      <c r="B1433" s="16">
        <v>43525</v>
      </c>
      <c r="C1433" t="s">
        <v>246</v>
      </c>
      <c r="D1433" s="22">
        <v>3802042.7746875011</v>
      </c>
    </row>
    <row r="1434" spans="1:4" x14ac:dyDescent="0.25">
      <c r="A1434">
        <v>1577</v>
      </c>
      <c r="B1434" s="16">
        <v>43556</v>
      </c>
      <c r="C1434" t="s">
        <v>246</v>
      </c>
      <c r="D1434" s="22">
        <v>3802042.7746875011</v>
      </c>
    </row>
    <row r="1435" spans="1:4" x14ac:dyDescent="0.25">
      <c r="A1435">
        <v>1577</v>
      </c>
      <c r="B1435" s="16">
        <v>43586</v>
      </c>
      <c r="C1435" t="s">
        <v>246</v>
      </c>
      <c r="D1435" s="22">
        <v>3802042.7746875011</v>
      </c>
    </row>
    <row r="1436" spans="1:4" x14ac:dyDescent="0.25">
      <c r="A1436">
        <v>1577</v>
      </c>
      <c r="B1436" s="16">
        <v>43466</v>
      </c>
      <c r="C1436" t="s">
        <v>248</v>
      </c>
      <c r="D1436" s="22">
        <v>3802042.7746875011</v>
      </c>
    </row>
    <row r="1437" spans="1:4" x14ac:dyDescent="0.25">
      <c r="A1437">
        <v>1577</v>
      </c>
      <c r="B1437" s="16">
        <v>43497</v>
      </c>
      <c r="C1437" t="s">
        <v>248</v>
      </c>
      <c r="D1437" s="22">
        <v>3802042.7746875011</v>
      </c>
    </row>
    <row r="1438" spans="1:4" x14ac:dyDescent="0.25">
      <c r="A1438">
        <v>1577</v>
      </c>
      <c r="B1438" s="16">
        <v>43525</v>
      </c>
      <c r="C1438" t="s">
        <v>248</v>
      </c>
      <c r="D1438" s="22">
        <v>3802042.7746875011</v>
      </c>
    </row>
    <row r="1439" spans="1:4" x14ac:dyDescent="0.25">
      <c r="A1439">
        <v>1577</v>
      </c>
      <c r="B1439" s="16">
        <v>43556</v>
      </c>
      <c r="C1439" t="s">
        <v>248</v>
      </c>
      <c r="D1439" s="22">
        <v>3802042.7746875011</v>
      </c>
    </row>
    <row r="1440" spans="1:4" x14ac:dyDescent="0.25">
      <c r="A1440">
        <v>1577</v>
      </c>
      <c r="B1440" s="16">
        <v>43586</v>
      </c>
      <c r="C1440" t="s">
        <v>248</v>
      </c>
      <c r="D1440" s="22">
        <v>3802042.7746875011</v>
      </c>
    </row>
    <row r="1441" spans="1:4" x14ac:dyDescent="0.25">
      <c r="A1441">
        <v>1577</v>
      </c>
      <c r="B1441" s="16">
        <v>43466</v>
      </c>
      <c r="C1441" t="s">
        <v>231</v>
      </c>
      <c r="D1441" s="22">
        <v>6891920.4375000019</v>
      </c>
    </row>
    <row r="1442" spans="1:4" x14ac:dyDescent="0.25">
      <c r="A1442">
        <v>1577</v>
      </c>
      <c r="B1442" s="16">
        <v>43497</v>
      </c>
      <c r="C1442" t="s">
        <v>231</v>
      </c>
      <c r="D1442" s="22">
        <v>6891920.4375000019</v>
      </c>
    </row>
    <row r="1443" spans="1:4" x14ac:dyDescent="0.25">
      <c r="A1443">
        <v>1577</v>
      </c>
      <c r="B1443" s="16">
        <v>43525</v>
      </c>
      <c r="C1443" t="s">
        <v>231</v>
      </c>
      <c r="D1443" s="22">
        <v>6891920.4375000019</v>
      </c>
    </row>
    <row r="1444" spans="1:4" x14ac:dyDescent="0.25">
      <c r="A1444">
        <v>1577</v>
      </c>
      <c r="B1444" s="16">
        <v>43556</v>
      </c>
      <c r="C1444" t="s">
        <v>231</v>
      </c>
      <c r="D1444" s="22">
        <v>6891920.4375000019</v>
      </c>
    </row>
    <row r="1445" spans="1:4" x14ac:dyDescent="0.25">
      <c r="A1445">
        <v>1577</v>
      </c>
      <c r="B1445" s="16">
        <v>43586</v>
      </c>
      <c r="C1445" t="s">
        <v>231</v>
      </c>
      <c r="D1445" s="22">
        <v>6891920.4375000019</v>
      </c>
    </row>
    <row r="1446" spans="1:4" x14ac:dyDescent="0.25">
      <c r="A1446">
        <v>1577</v>
      </c>
      <c r="B1446" s="16">
        <v>43466</v>
      </c>
      <c r="C1446" t="s">
        <v>106</v>
      </c>
      <c r="D1446" s="22">
        <v>3802042.7746875011</v>
      </c>
    </row>
    <row r="1447" spans="1:4" x14ac:dyDescent="0.25">
      <c r="A1447">
        <v>1577</v>
      </c>
      <c r="B1447" s="16">
        <v>43497</v>
      </c>
      <c r="C1447" t="s">
        <v>106</v>
      </c>
      <c r="D1447" s="22">
        <v>3802042.7746875011</v>
      </c>
    </row>
    <row r="1448" spans="1:4" x14ac:dyDescent="0.25">
      <c r="A1448">
        <v>1577</v>
      </c>
      <c r="B1448" s="16">
        <v>43525</v>
      </c>
      <c r="C1448" t="s">
        <v>106</v>
      </c>
      <c r="D1448" s="22">
        <v>3802042.7746875011</v>
      </c>
    </row>
    <row r="1449" spans="1:4" x14ac:dyDescent="0.25">
      <c r="A1449">
        <v>1577</v>
      </c>
      <c r="B1449" s="16">
        <v>43556</v>
      </c>
      <c r="C1449" t="s">
        <v>106</v>
      </c>
      <c r="D1449" s="22">
        <v>3802042.7746875011</v>
      </c>
    </row>
    <row r="1450" spans="1:4" x14ac:dyDescent="0.25">
      <c r="A1450">
        <v>1577</v>
      </c>
      <c r="B1450" s="16">
        <v>43586</v>
      </c>
      <c r="C1450" t="s">
        <v>106</v>
      </c>
      <c r="D1450" s="22">
        <v>3802042.7746875011</v>
      </c>
    </row>
    <row r="1451" spans="1:4" x14ac:dyDescent="0.25">
      <c r="A1451">
        <v>1622</v>
      </c>
      <c r="B1451" s="16">
        <v>43466</v>
      </c>
      <c r="C1451" t="s">
        <v>49</v>
      </c>
      <c r="D1451" s="22">
        <v>26786251</v>
      </c>
    </row>
    <row r="1452" spans="1:4" x14ac:dyDescent="0.25">
      <c r="A1452">
        <v>1622</v>
      </c>
      <c r="B1452" s="16">
        <v>43497</v>
      </c>
      <c r="C1452" t="s">
        <v>49</v>
      </c>
      <c r="D1452" s="22">
        <v>26786251</v>
      </c>
    </row>
    <row r="1453" spans="1:4" x14ac:dyDescent="0.25">
      <c r="A1453">
        <v>1622</v>
      </c>
      <c r="B1453" s="16">
        <v>43525</v>
      </c>
      <c r="C1453" t="s">
        <v>49</v>
      </c>
      <c r="D1453" s="22">
        <v>26786251</v>
      </c>
    </row>
    <row r="1454" spans="1:4" x14ac:dyDescent="0.25">
      <c r="A1454">
        <v>1622</v>
      </c>
      <c r="B1454" s="16">
        <v>43466</v>
      </c>
      <c r="C1454" t="s">
        <v>50</v>
      </c>
      <c r="D1454" s="22">
        <v>15218233.5</v>
      </c>
    </row>
    <row r="1455" spans="1:4" x14ac:dyDescent="0.25">
      <c r="A1455">
        <v>1622</v>
      </c>
      <c r="B1455" s="16">
        <v>43466</v>
      </c>
      <c r="C1455" t="s">
        <v>51</v>
      </c>
      <c r="D1455" s="22">
        <v>6015462</v>
      </c>
    </row>
    <row r="1456" spans="1:4" x14ac:dyDescent="0.25">
      <c r="A1456">
        <v>1622</v>
      </c>
      <c r="B1456" s="16">
        <v>43466</v>
      </c>
      <c r="C1456" t="s">
        <v>53</v>
      </c>
      <c r="D1456" s="22">
        <v>4757001</v>
      </c>
    </row>
    <row r="1457" spans="1:4" x14ac:dyDescent="0.25">
      <c r="A1457">
        <v>1622</v>
      </c>
      <c r="B1457" s="16">
        <v>43497</v>
      </c>
      <c r="C1457" t="s">
        <v>53</v>
      </c>
      <c r="D1457" s="22">
        <v>4757001</v>
      </c>
    </row>
    <row r="1458" spans="1:4" x14ac:dyDescent="0.25">
      <c r="A1458">
        <v>1622</v>
      </c>
      <c r="B1458" s="16">
        <v>43525</v>
      </c>
      <c r="C1458" t="s">
        <v>53</v>
      </c>
      <c r="D1458" s="22">
        <v>4757001</v>
      </c>
    </row>
    <row r="1459" spans="1:4" x14ac:dyDescent="0.25">
      <c r="A1459">
        <v>1622</v>
      </c>
      <c r="B1459" s="16">
        <v>43556</v>
      </c>
      <c r="C1459" t="s">
        <v>53</v>
      </c>
      <c r="D1459" s="22">
        <v>4757001</v>
      </c>
    </row>
    <row r="1460" spans="1:4" x14ac:dyDescent="0.25">
      <c r="A1460">
        <v>1622</v>
      </c>
      <c r="B1460" s="16">
        <v>43586</v>
      </c>
      <c r="C1460" t="s">
        <v>53</v>
      </c>
      <c r="D1460" s="22">
        <v>4757001</v>
      </c>
    </row>
    <row r="1461" spans="1:4" x14ac:dyDescent="0.25">
      <c r="A1461">
        <v>1622</v>
      </c>
      <c r="B1461" s="16">
        <v>43617</v>
      </c>
      <c r="C1461" t="s">
        <v>53</v>
      </c>
      <c r="D1461" s="22">
        <v>4757001</v>
      </c>
    </row>
    <row r="1462" spans="1:4" x14ac:dyDescent="0.25">
      <c r="A1462">
        <v>1622</v>
      </c>
      <c r="B1462" s="16">
        <v>43647</v>
      </c>
      <c r="C1462" t="s">
        <v>53</v>
      </c>
      <c r="D1462" s="22">
        <v>4757001</v>
      </c>
    </row>
    <row r="1463" spans="1:4" x14ac:dyDescent="0.25">
      <c r="A1463">
        <v>1622</v>
      </c>
      <c r="B1463" s="16">
        <v>43678</v>
      </c>
      <c r="C1463" t="s">
        <v>53</v>
      </c>
      <c r="D1463" s="22">
        <v>4757001</v>
      </c>
    </row>
    <row r="1464" spans="1:4" x14ac:dyDescent="0.25">
      <c r="A1464">
        <v>1622</v>
      </c>
      <c r="B1464" s="16">
        <v>43709</v>
      </c>
      <c r="C1464" t="s">
        <v>53</v>
      </c>
      <c r="D1464" s="22">
        <v>4757001</v>
      </c>
    </row>
    <row r="1465" spans="1:4" x14ac:dyDescent="0.25">
      <c r="A1465">
        <v>1622</v>
      </c>
      <c r="B1465" s="16">
        <v>43739</v>
      </c>
      <c r="C1465" t="s">
        <v>53</v>
      </c>
      <c r="D1465" s="22">
        <v>4757001</v>
      </c>
    </row>
    <row r="1466" spans="1:4" x14ac:dyDescent="0.25">
      <c r="A1466">
        <v>1622</v>
      </c>
      <c r="B1466" s="16">
        <v>43770</v>
      </c>
      <c r="C1466" t="s">
        <v>53</v>
      </c>
      <c r="D1466" s="22">
        <v>4757001</v>
      </c>
    </row>
    <row r="1467" spans="1:4" x14ac:dyDescent="0.25">
      <c r="A1467">
        <v>1622</v>
      </c>
      <c r="B1467" s="16">
        <v>43800</v>
      </c>
      <c r="C1467" t="s">
        <v>53</v>
      </c>
      <c r="D1467" s="22">
        <v>4757001</v>
      </c>
    </row>
    <row r="1468" spans="1:4" x14ac:dyDescent="0.25">
      <c r="A1468">
        <v>1622</v>
      </c>
      <c r="B1468" s="16">
        <v>43831</v>
      </c>
      <c r="C1468" t="s">
        <v>53</v>
      </c>
      <c r="D1468" s="22">
        <v>4757001</v>
      </c>
    </row>
    <row r="1469" spans="1:4" x14ac:dyDescent="0.25">
      <c r="A1469">
        <v>1622</v>
      </c>
      <c r="B1469" s="16">
        <v>43862</v>
      </c>
      <c r="C1469" t="s">
        <v>53</v>
      </c>
      <c r="D1469" s="22">
        <v>4757001</v>
      </c>
    </row>
    <row r="1470" spans="1:4" x14ac:dyDescent="0.25">
      <c r="A1470">
        <v>1622</v>
      </c>
      <c r="B1470" s="16">
        <v>43891</v>
      </c>
      <c r="C1470" t="s">
        <v>53</v>
      </c>
      <c r="D1470" s="22">
        <v>4757001</v>
      </c>
    </row>
    <row r="1471" spans="1:4" x14ac:dyDescent="0.25">
      <c r="A1471">
        <v>1622</v>
      </c>
      <c r="B1471" s="16">
        <v>43922</v>
      </c>
      <c r="C1471" t="s">
        <v>53</v>
      </c>
      <c r="D1471" s="22">
        <v>4757001</v>
      </c>
    </row>
    <row r="1472" spans="1:4" x14ac:dyDescent="0.25">
      <c r="A1472">
        <v>1622</v>
      </c>
      <c r="B1472" s="16">
        <v>43952</v>
      </c>
      <c r="C1472" t="s">
        <v>53</v>
      </c>
      <c r="D1472" s="22">
        <v>4757001</v>
      </c>
    </row>
    <row r="1473" spans="1:4" x14ac:dyDescent="0.25">
      <c r="A1473">
        <v>1622</v>
      </c>
      <c r="B1473" s="16">
        <v>43983</v>
      </c>
      <c r="C1473" t="s">
        <v>53</v>
      </c>
      <c r="D1473" s="22">
        <v>4757001</v>
      </c>
    </row>
    <row r="1474" spans="1:4" x14ac:dyDescent="0.25">
      <c r="A1474">
        <v>1622</v>
      </c>
      <c r="B1474" s="16">
        <v>44013</v>
      </c>
      <c r="C1474" t="s">
        <v>53</v>
      </c>
      <c r="D1474" s="22">
        <v>4757001</v>
      </c>
    </row>
    <row r="1475" spans="1:4" x14ac:dyDescent="0.25">
      <c r="A1475">
        <v>1622</v>
      </c>
      <c r="B1475" s="16">
        <v>44044</v>
      </c>
      <c r="C1475" t="s">
        <v>53</v>
      </c>
      <c r="D1475" s="22">
        <v>4757001</v>
      </c>
    </row>
    <row r="1476" spans="1:4" x14ac:dyDescent="0.25">
      <c r="A1476">
        <v>1622</v>
      </c>
      <c r="B1476" s="16">
        <v>44075</v>
      </c>
      <c r="C1476" t="s">
        <v>53</v>
      </c>
      <c r="D1476" s="22">
        <v>4757001</v>
      </c>
    </row>
    <row r="1477" spans="1:4" x14ac:dyDescent="0.25">
      <c r="A1477">
        <v>1622</v>
      </c>
      <c r="B1477" s="16">
        <v>44105</v>
      </c>
      <c r="C1477" t="s">
        <v>53</v>
      </c>
      <c r="D1477" s="22">
        <v>4757001</v>
      </c>
    </row>
    <row r="1478" spans="1:4" x14ac:dyDescent="0.25">
      <c r="A1478">
        <v>1622</v>
      </c>
      <c r="B1478" s="16">
        <v>44136</v>
      </c>
      <c r="C1478" t="s">
        <v>53</v>
      </c>
      <c r="D1478" s="22">
        <v>4757001</v>
      </c>
    </row>
    <row r="1479" spans="1:4" x14ac:dyDescent="0.25">
      <c r="A1479">
        <v>1622</v>
      </c>
      <c r="B1479" s="16">
        <v>44166</v>
      </c>
      <c r="C1479" t="s">
        <v>53</v>
      </c>
      <c r="D1479" s="22">
        <v>4757001</v>
      </c>
    </row>
    <row r="1480" spans="1:4" x14ac:dyDescent="0.25">
      <c r="A1480">
        <v>1622</v>
      </c>
      <c r="B1480" s="16">
        <v>44197</v>
      </c>
      <c r="C1480" t="s">
        <v>53</v>
      </c>
      <c r="D1480" s="22">
        <v>4757001</v>
      </c>
    </row>
    <row r="1481" spans="1:4" x14ac:dyDescent="0.25">
      <c r="A1481">
        <v>1622</v>
      </c>
      <c r="B1481" s="16">
        <v>44228</v>
      </c>
      <c r="C1481" t="s">
        <v>53</v>
      </c>
      <c r="D1481" s="22">
        <v>4757001</v>
      </c>
    </row>
    <row r="1482" spans="1:4" x14ac:dyDescent="0.25">
      <c r="A1482">
        <v>1622</v>
      </c>
      <c r="B1482" s="16">
        <v>44256</v>
      </c>
      <c r="C1482" t="s">
        <v>53</v>
      </c>
      <c r="D1482" s="22">
        <v>4757001</v>
      </c>
    </row>
    <row r="1483" spans="1:4" x14ac:dyDescent="0.25">
      <c r="A1483">
        <v>1622</v>
      </c>
      <c r="B1483" s="16">
        <v>44287</v>
      </c>
      <c r="C1483" t="s">
        <v>53</v>
      </c>
      <c r="D1483" s="22">
        <v>4757001</v>
      </c>
    </row>
    <row r="1484" spans="1:4" x14ac:dyDescent="0.25">
      <c r="A1484">
        <v>1622</v>
      </c>
      <c r="B1484" s="16">
        <v>44317</v>
      </c>
      <c r="C1484" t="s">
        <v>53</v>
      </c>
      <c r="D1484" s="22">
        <v>4757001</v>
      </c>
    </row>
    <row r="1485" spans="1:4" x14ac:dyDescent="0.25">
      <c r="A1485">
        <v>1622</v>
      </c>
      <c r="B1485" s="16">
        <v>44348</v>
      </c>
      <c r="C1485" t="s">
        <v>53</v>
      </c>
      <c r="D1485" s="22">
        <v>4757001</v>
      </c>
    </row>
    <row r="1486" spans="1:4" x14ac:dyDescent="0.25">
      <c r="A1486">
        <v>1622</v>
      </c>
      <c r="B1486" s="16">
        <v>44378</v>
      </c>
      <c r="C1486" t="s">
        <v>53</v>
      </c>
      <c r="D1486" s="22">
        <v>4757001</v>
      </c>
    </row>
    <row r="1487" spans="1:4" x14ac:dyDescent="0.25">
      <c r="A1487">
        <v>1622</v>
      </c>
      <c r="B1487" s="16">
        <v>44409</v>
      </c>
      <c r="C1487" t="s">
        <v>53</v>
      </c>
      <c r="D1487" s="22">
        <v>4757001</v>
      </c>
    </row>
    <row r="1488" spans="1:4" x14ac:dyDescent="0.25">
      <c r="A1488">
        <v>1622</v>
      </c>
      <c r="B1488" s="16">
        <v>44440</v>
      </c>
      <c r="C1488" t="s">
        <v>53</v>
      </c>
      <c r="D1488" s="22">
        <v>4757001</v>
      </c>
    </row>
    <row r="1489" spans="1:4" x14ac:dyDescent="0.25">
      <c r="A1489">
        <v>1622</v>
      </c>
      <c r="B1489" s="16">
        <v>44470</v>
      </c>
      <c r="C1489" t="s">
        <v>53</v>
      </c>
      <c r="D1489" s="22">
        <v>4757001</v>
      </c>
    </row>
    <row r="1490" spans="1:4" x14ac:dyDescent="0.25">
      <c r="A1490">
        <v>1622</v>
      </c>
      <c r="B1490" s="16">
        <v>43466</v>
      </c>
      <c r="C1490" t="s">
        <v>54</v>
      </c>
      <c r="D1490" s="22">
        <v>6199545</v>
      </c>
    </row>
    <row r="1491" spans="1:4" x14ac:dyDescent="0.25">
      <c r="A1491">
        <v>1622</v>
      </c>
      <c r="B1491" s="16">
        <v>43497</v>
      </c>
      <c r="C1491" t="s">
        <v>54</v>
      </c>
      <c r="D1491" s="22">
        <v>6199545</v>
      </c>
    </row>
    <row r="1492" spans="1:4" x14ac:dyDescent="0.25">
      <c r="A1492">
        <v>1622</v>
      </c>
      <c r="B1492" s="16">
        <v>43525</v>
      </c>
      <c r="C1492" t="s">
        <v>54</v>
      </c>
      <c r="D1492" s="22">
        <v>6199545</v>
      </c>
    </row>
    <row r="1493" spans="1:4" x14ac:dyDescent="0.25">
      <c r="A1493">
        <v>1622</v>
      </c>
      <c r="B1493" s="16">
        <v>43556</v>
      </c>
      <c r="C1493" t="s">
        <v>54</v>
      </c>
      <c r="D1493" s="22">
        <v>6199545</v>
      </c>
    </row>
    <row r="1494" spans="1:4" x14ac:dyDescent="0.25">
      <c r="A1494">
        <v>1622</v>
      </c>
      <c r="B1494" s="16">
        <v>43586</v>
      </c>
      <c r="C1494" t="s">
        <v>54</v>
      </c>
      <c r="D1494" s="22">
        <v>6199545</v>
      </c>
    </row>
    <row r="1495" spans="1:4" x14ac:dyDescent="0.25">
      <c r="A1495">
        <v>1622</v>
      </c>
      <c r="B1495" s="16">
        <v>43617</v>
      </c>
      <c r="C1495" t="s">
        <v>54</v>
      </c>
      <c r="D1495" s="22">
        <v>6199545</v>
      </c>
    </row>
    <row r="1496" spans="1:4" x14ac:dyDescent="0.25">
      <c r="A1496">
        <v>1622</v>
      </c>
      <c r="B1496" s="16">
        <v>43647</v>
      </c>
      <c r="C1496" t="s">
        <v>54</v>
      </c>
      <c r="D1496" s="22">
        <v>6199545</v>
      </c>
    </row>
    <row r="1497" spans="1:4" x14ac:dyDescent="0.25">
      <c r="A1497">
        <v>1622</v>
      </c>
      <c r="B1497" s="16">
        <v>43678</v>
      </c>
      <c r="C1497" t="s">
        <v>54</v>
      </c>
      <c r="D1497" s="22">
        <v>6199545</v>
      </c>
    </row>
    <row r="1498" spans="1:4" x14ac:dyDescent="0.25">
      <c r="A1498">
        <v>1622</v>
      </c>
      <c r="B1498" s="16">
        <v>43709</v>
      </c>
      <c r="C1498" t="s">
        <v>54</v>
      </c>
      <c r="D1498" s="22">
        <v>6199545</v>
      </c>
    </row>
    <row r="1499" spans="1:4" x14ac:dyDescent="0.25">
      <c r="A1499">
        <v>1622</v>
      </c>
      <c r="B1499" s="16">
        <v>43739</v>
      </c>
      <c r="C1499" t="s">
        <v>54</v>
      </c>
      <c r="D1499" s="22">
        <v>6199545</v>
      </c>
    </row>
    <row r="1500" spans="1:4" x14ac:dyDescent="0.25">
      <c r="A1500">
        <v>1622</v>
      </c>
      <c r="B1500" s="16">
        <v>43770</v>
      </c>
      <c r="C1500" t="s">
        <v>54</v>
      </c>
      <c r="D1500" s="22">
        <v>6199545</v>
      </c>
    </row>
    <row r="1501" spans="1:4" x14ac:dyDescent="0.25">
      <c r="A1501">
        <v>1622</v>
      </c>
      <c r="B1501" s="16">
        <v>43800</v>
      </c>
      <c r="C1501" t="s">
        <v>54</v>
      </c>
      <c r="D1501" s="22">
        <v>6199545</v>
      </c>
    </row>
    <row r="1502" spans="1:4" x14ac:dyDescent="0.25">
      <c r="A1502">
        <v>1622</v>
      </c>
      <c r="B1502" s="16">
        <v>43831</v>
      </c>
      <c r="C1502" t="s">
        <v>54</v>
      </c>
      <c r="D1502" s="22">
        <v>6199545</v>
      </c>
    </row>
    <row r="1503" spans="1:4" x14ac:dyDescent="0.25">
      <c r="A1503">
        <v>1622</v>
      </c>
      <c r="B1503" s="16">
        <v>43862</v>
      </c>
      <c r="C1503" t="s">
        <v>54</v>
      </c>
      <c r="D1503" s="22">
        <v>6199545</v>
      </c>
    </row>
    <row r="1504" spans="1:4" x14ac:dyDescent="0.25">
      <c r="A1504">
        <v>1622</v>
      </c>
      <c r="B1504" s="16">
        <v>43891</v>
      </c>
      <c r="C1504" t="s">
        <v>54</v>
      </c>
      <c r="D1504" s="22">
        <v>6199545</v>
      </c>
    </row>
    <row r="1505" spans="1:4" x14ac:dyDescent="0.25">
      <c r="A1505">
        <v>1622</v>
      </c>
      <c r="B1505" s="16">
        <v>43922</v>
      </c>
      <c r="C1505" t="s">
        <v>54</v>
      </c>
      <c r="D1505" s="22">
        <v>6199545</v>
      </c>
    </row>
    <row r="1506" spans="1:4" x14ac:dyDescent="0.25">
      <c r="A1506">
        <v>1622</v>
      </c>
      <c r="B1506" s="16">
        <v>43952</v>
      </c>
      <c r="C1506" t="s">
        <v>54</v>
      </c>
      <c r="D1506" s="22">
        <v>6199545</v>
      </c>
    </row>
    <row r="1507" spans="1:4" x14ac:dyDescent="0.25">
      <c r="A1507">
        <v>1622</v>
      </c>
      <c r="B1507" s="16">
        <v>43983</v>
      </c>
      <c r="C1507" t="s">
        <v>54</v>
      </c>
      <c r="D1507" s="22">
        <v>6199545</v>
      </c>
    </row>
    <row r="1508" spans="1:4" x14ac:dyDescent="0.25">
      <c r="A1508">
        <v>1622</v>
      </c>
      <c r="B1508" s="16">
        <v>44013</v>
      </c>
      <c r="C1508" t="s">
        <v>54</v>
      </c>
      <c r="D1508" s="22">
        <v>6199545</v>
      </c>
    </row>
    <row r="1509" spans="1:4" x14ac:dyDescent="0.25">
      <c r="A1509">
        <v>1622</v>
      </c>
      <c r="B1509" s="16">
        <v>44044</v>
      </c>
      <c r="C1509" t="s">
        <v>54</v>
      </c>
      <c r="D1509" s="22">
        <v>6199545</v>
      </c>
    </row>
    <row r="1510" spans="1:4" x14ac:dyDescent="0.25">
      <c r="A1510">
        <v>1622</v>
      </c>
      <c r="B1510" s="16">
        <v>44075</v>
      </c>
      <c r="C1510" t="s">
        <v>54</v>
      </c>
      <c r="D1510" s="22">
        <v>6199545</v>
      </c>
    </row>
    <row r="1511" spans="1:4" x14ac:dyDescent="0.25">
      <c r="A1511">
        <v>1622</v>
      </c>
      <c r="B1511" s="16">
        <v>44105</v>
      </c>
      <c r="C1511" t="s">
        <v>54</v>
      </c>
      <c r="D1511" s="22">
        <v>6199545</v>
      </c>
    </row>
    <row r="1512" spans="1:4" x14ac:dyDescent="0.25">
      <c r="A1512">
        <v>1622</v>
      </c>
      <c r="B1512" s="16">
        <v>44136</v>
      </c>
      <c r="C1512" t="s">
        <v>54</v>
      </c>
      <c r="D1512" s="22">
        <v>6199545</v>
      </c>
    </row>
    <row r="1513" spans="1:4" x14ac:dyDescent="0.25">
      <c r="A1513">
        <v>1622</v>
      </c>
      <c r="B1513" s="16">
        <v>44166</v>
      </c>
      <c r="C1513" t="s">
        <v>54</v>
      </c>
      <c r="D1513" s="22">
        <v>6199545</v>
      </c>
    </row>
    <row r="1514" spans="1:4" x14ac:dyDescent="0.25">
      <c r="A1514">
        <v>1622</v>
      </c>
      <c r="B1514" s="16">
        <v>44197</v>
      </c>
      <c r="C1514" t="s">
        <v>54</v>
      </c>
      <c r="D1514" s="22">
        <v>6199545</v>
      </c>
    </row>
    <row r="1515" spans="1:4" x14ac:dyDescent="0.25">
      <c r="A1515">
        <v>1622</v>
      </c>
      <c r="B1515" s="16">
        <v>44228</v>
      </c>
      <c r="C1515" t="s">
        <v>54</v>
      </c>
      <c r="D1515" s="22">
        <v>6199545</v>
      </c>
    </row>
    <row r="1516" spans="1:4" x14ac:dyDescent="0.25">
      <c r="A1516">
        <v>1622</v>
      </c>
      <c r="B1516" s="16">
        <v>44256</v>
      </c>
      <c r="C1516" t="s">
        <v>54</v>
      </c>
      <c r="D1516" s="22">
        <v>6199545</v>
      </c>
    </row>
    <row r="1517" spans="1:4" x14ac:dyDescent="0.25">
      <c r="A1517">
        <v>1622</v>
      </c>
      <c r="B1517" s="16">
        <v>44287</v>
      </c>
      <c r="C1517" t="s">
        <v>54</v>
      </c>
      <c r="D1517" s="22">
        <v>6199545</v>
      </c>
    </row>
    <row r="1518" spans="1:4" x14ac:dyDescent="0.25">
      <c r="A1518">
        <v>1622</v>
      </c>
      <c r="B1518" s="16">
        <v>44317</v>
      </c>
      <c r="C1518" t="s">
        <v>54</v>
      </c>
      <c r="D1518" s="22">
        <v>6199545</v>
      </c>
    </row>
    <row r="1519" spans="1:4" x14ac:dyDescent="0.25">
      <c r="A1519">
        <v>1622</v>
      </c>
      <c r="B1519" s="16">
        <v>44348</v>
      </c>
      <c r="C1519" t="s">
        <v>54</v>
      </c>
      <c r="D1519" s="22">
        <v>6199545</v>
      </c>
    </row>
    <row r="1520" spans="1:4" x14ac:dyDescent="0.25">
      <c r="A1520">
        <v>1622</v>
      </c>
      <c r="B1520" s="16">
        <v>44378</v>
      </c>
      <c r="C1520" t="s">
        <v>54</v>
      </c>
      <c r="D1520" s="22">
        <v>6199545</v>
      </c>
    </row>
    <row r="1521" spans="1:4" x14ac:dyDescent="0.25">
      <c r="A1521">
        <v>1622</v>
      </c>
      <c r="B1521" s="16">
        <v>44409</v>
      </c>
      <c r="C1521" t="s">
        <v>54</v>
      </c>
      <c r="D1521" s="22">
        <v>6199545</v>
      </c>
    </row>
    <row r="1522" spans="1:4" x14ac:dyDescent="0.25">
      <c r="A1522">
        <v>1622</v>
      </c>
      <c r="B1522" s="16">
        <v>44440</v>
      </c>
      <c r="C1522" t="s">
        <v>54</v>
      </c>
      <c r="D1522" s="22">
        <v>6199545</v>
      </c>
    </row>
    <row r="1523" spans="1:4" x14ac:dyDescent="0.25">
      <c r="A1523">
        <v>1622</v>
      </c>
      <c r="B1523" s="16">
        <v>44470</v>
      </c>
      <c r="C1523" t="s">
        <v>54</v>
      </c>
      <c r="D1523" s="22">
        <v>6199545</v>
      </c>
    </row>
    <row r="1524" spans="1:4" x14ac:dyDescent="0.25">
      <c r="A1524">
        <v>1622</v>
      </c>
      <c r="B1524" s="16">
        <v>43466</v>
      </c>
      <c r="C1524" t="s">
        <v>55</v>
      </c>
      <c r="D1524" s="22">
        <v>6239898</v>
      </c>
    </row>
    <row r="1525" spans="1:4" x14ac:dyDescent="0.25">
      <c r="A1525">
        <v>1622</v>
      </c>
      <c r="B1525" s="16">
        <v>43497</v>
      </c>
      <c r="C1525" t="s">
        <v>55</v>
      </c>
      <c r="D1525" s="22">
        <v>6239898</v>
      </c>
    </row>
    <row r="1526" spans="1:4" x14ac:dyDescent="0.25">
      <c r="A1526">
        <v>1622</v>
      </c>
      <c r="B1526" s="16">
        <v>43525</v>
      </c>
      <c r="C1526" t="s">
        <v>55</v>
      </c>
      <c r="D1526" s="22">
        <v>6239898</v>
      </c>
    </row>
    <row r="1527" spans="1:4" x14ac:dyDescent="0.25">
      <c r="A1527">
        <v>1622</v>
      </c>
      <c r="B1527" s="16">
        <v>43556</v>
      </c>
      <c r="C1527" t="s">
        <v>55</v>
      </c>
      <c r="D1527" s="22">
        <v>6239898</v>
      </c>
    </row>
    <row r="1528" spans="1:4" x14ac:dyDescent="0.25">
      <c r="A1528">
        <v>1622</v>
      </c>
      <c r="B1528" s="16">
        <v>43586</v>
      </c>
      <c r="C1528" t="s">
        <v>55</v>
      </c>
      <c r="D1528" s="22">
        <v>6239898</v>
      </c>
    </row>
    <row r="1529" spans="1:4" x14ac:dyDescent="0.25">
      <c r="A1529">
        <v>1622</v>
      </c>
      <c r="B1529" s="16">
        <v>43617</v>
      </c>
      <c r="C1529" t="s">
        <v>55</v>
      </c>
      <c r="D1529" s="22">
        <v>6239898</v>
      </c>
    </row>
    <row r="1530" spans="1:4" x14ac:dyDescent="0.25">
      <c r="A1530">
        <v>1622</v>
      </c>
      <c r="B1530" s="16">
        <v>43647</v>
      </c>
      <c r="C1530" t="s">
        <v>55</v>
      </c>
      <c r="D1530" s="22">
        <v>6239898</v>
      </c>
    </row>
    <row r="1531" spans="1:4" x14ac:dyDescent="0.25">
      <c r="A1531">
        <v>1622</v>
      </c>
      <c r="B1531" s="16">
        <v>43678</v>
      </c>
      <c r="C1531" t="s">
        <v>55</v>
      </c>
      <c r="D1531" s="22">
        <v>6239898</v>
      </c>
    </row>
    <row r="1532" spans="1:4" x14ac:dyDescent="0.25">
      <c r="A1532">
        <v>1622</v>
      </c>
      <c r="B1532" s="16">
        <v>43466</v>
      </c>
      <c r="C1532" t="s">
        <v>56</v>
      </c>
      <c r="D1532" s="22">
        <v>7453077</v>
      </c>
    </row>
    <row r="1533" spans="1:4" x14ac:dyDescent="0.25">
      <c r="A1533">
        <v>1622</v>
      </c>
      <c r="B1533" s="16">
        <v>43497</v>
      </c>
      <c r="C1533" t="s">
        <v>56</v>
      </c>
      <c r="D1533" s="22">
        <v>7453077</v>
      </c>
    </row>
    <row r="1534" spans="1:4" x14ac:dyDescent="0.25">
      <c r="A1534">
        <v>1622</v>
      </c>
      <c r="B1534" s="16">
        <v>43525</v>
      </c>
      <c r="C1534" t="s">
        <v>56</v>
      </c>
      <c r="D1534" s="22">
        <v>7453077</v>
      </c>
    </row>
    <row r="1535" spans="1:4" x14ac:dyDescent="0.25">
      <c r="A1535">
        <v>1622</v>
      </c>
      <c r="B1535" s="16">
        <v>43556</v>
      </c>
      <c r="C1535" t="s">
        <v>56</v>
      </c>
      <c r="D1535" s="22">
        <v>7453077</v>
      </c>
    </row>
    <row r="1536" spans="1:4" x14ac:dyDescent="0.25">
      <c r="A1536">
        <v>1622</v>
      </c>
      <c r="B1536" s="16">
        <v>43586</v>
      </c>
      <c r="C1536" t="s">
        <v>56</v>
      </c>
      <c r="D1536" s="22">
        <v>7453077</v>
      </c>
    </row>
    <row r="1537" spans="1:4" x14ac:dyDescent="0.25">
      <c r="A1537">
        <v>1622</v>
      </c>
      <c r="B1537" s="16">
        <v>43617</v>
      </c>
      <c r="C1537" t="s">
        <v>56</v>
      </c>
      <c r="D1537" s="22">
        <v>7453077</v>
      </c>
    </row>
    <row r="1538" spans="1:4" x14ac:dyDescent="0.25">
      <c r="A1538">
        <v>1622</v>
      </c>
      <c r="B1538" s="16">
        <v>43647</v>
      </c>
      <c r="C1538" t="s">
        <v>56</v>
      </c>
      <c r="D1538" s="22">
        <v>7453077</v>
      </c>
    </row>
    <row r="1539" spans="1:4" x14ac:dyDescent="0.25">
      <c r="A1539">
        <v>1622</v>
      </c>
      <c r="B1539" s="16">
        <v>43678</v>
      </c>
      <c r="C1539" t="s">
        <v>56</v>
      </c>
      <c r="D1539" s="22">
        <v>7453077</v>
      </c>
    </row>
    <row r="1540" spans="1:4" x14ac:dyDescent="0.25">
      <c r="A1540">
        <v>1622</v>
      </c>
      <c r="B1540" s="16">
        <v>43709</v>
      </c>
      <c r="C1540" t="s">
        <v>56</v>
      </c>
      <c r="D1540" s="22">
        <v>7453077</v>
      </c>
    </row>
    <row r="1541" spans="1:4" x14ac:dyDescent="0.25">
      <c r="A1541">
        <v>1622</v>
      </c>
      <c r="B1541" s="16">
        <v>43739</v>
      </c>
      <c r="C1541" t="s">
        <v>56</v>
      </c>
      <c r="D1541" s="22">
        <v>7453077</v>
      </c>
    </row>
    <row r="1542" spans="1:4" x14ac:dyDescent="0.25">
      <c r="A1542">
        <v>1622</v>
      </c>
      <c r="B1542" s="16">
        <v>43770</v>
      </c>
      <c r="C1542" t="s">
        <v>56</v>
      </c>
      <c r="D1542" s="22">
        <v>7453077</v>
      </c>
    </row>
    <row r="1543" spans="1:4" x14ac:dyDescent="0.25">
      <c r="A1543">
        <v>1622</v>
      </c>
      <c r="B1543" s="16">
        <v>43800</v>
      </c>
      <c r="C1543" t="s">
        <v>56</v>
      </c>
      <c r="D1543" s="22">
        <v>7453077</v>
      </c>
    </row>
    <row r="1544" spans="1:4" x14ac:dyDescent="0.25">
      <c r="A1544">
        <v>1622</v>
      </c>
      <c r="B1544" s="16">
        <v>43831</v>
      </c>
      <c r="C1544" t="s">
        <v>56</v>
      </c>
      <c r="D1544" s="22">
        <v>7453077</v>
      </c>
    </row>
    <row r="1545" spans="1:4" x14ac:dyDescent="0.25">
      <c r="A1545">
        <v>1622</v>
      </c>
      <c r="B1545" s="16">
        <v>43466</v>
      </c>
      <c r="C1545" t="s">
        <v>35</v>
      </c>
      <c r="D1545" s="22">
        <v>3580481.2499999995</v>
      </c>
    </row>
    <row r="1546" spans="1:4" x14ac:dyDescent="0.25">
      <c r="A1546">
        <v>1622</v>
      </c>
      <c r="B1546" s="16">
        <v>43497</v>
      </c>
      <c r="C1546" t="s">
        <v>35</v>
      </c>
      <c r="D1546" s="22">
        <v>3580481.2499999995</v>
      </c>
    </row>
    <row r="1547" spans="1:4" x14ac:dyDescent="0.25">
      <c r="A1547">
        <v>1622</v>
      </c>
      <c r="B1547" s="16">
        <v>43466</v>
      </c>
      <c r="C1547" t="s">
        <v>61</v>
      </c>
      <c r="D1547" s="22">
        <v>3687130.4999999995</v>
      </c>
    </row>
    <row r="1548" spans="1:4" x14ac:dyDescent="0.25">
      <c r="A1548">
        <v>1622</v>
      </c>
      <c r="B1548" s="16">
        <v>43497</v>
      </c>
      <c r="C1548" t="s">
        <v>61</v>
      </c>
      <c r="D1548" s="22">
        <v>3687130.4999999995</v>
      </c>
    </row>
    <row r="1549" spans="1:4" x14ac:dyDescent="0.25">
      <c r="A1549">
        <v>1622</v>
      </c>
      <c r="B1549" s="16">
        <v>43525</v>
      </c>
      <c r="C1549" t="s">
        <v>61</v>
      </c>
      <c r="D1549" s="22">
        <v>3687130.4999999995</v>
      </c>
    </row>
    <row r="1550" spans="1:4" x14ac:dyDescent="0.25">
      <c r="A1550">
        <v>1622</v>
      </c>
      <c r="B1550" s="16">
        <v>43556</v>
      </c>
      <c r="C1550" t="s">
        <v>61</v>
      </c>
      <c r="D1550" s="22">
        <v>3687130.4999999995</v>
      </c>
    </row>
    <row r="1551" spans="1:4" x14ac:dyDescent="0.25">
      <c r="A1551">
        <v>1622</v>
      </c>
      <c r="B1551" s="16">
        <v>43466</v>
      </c>
      <c r="C1551" t="s">
        <v>62</v>
      </c>
      <c r="D1551" s="22">
        <v>4479713.6999999993</v>
      </c>
    </row>
    <row r="1552" spans="1:4" x14ac:dyDescent="0.25">
      <c r="A1552">
        <v>1622</v>
      </c>
      <c r="B1552" s="16">
        <v>43497</v>
      </c>
      <c r="C1552" t="s">
        <v>62</v>
      </c>
      <c r="D1552" s="22">
        <v>4479713.6999999993</v>
      </c>
    </row>
    <row r="1553" spans="1:4" x14ac:dyDescent="0.25">
      <c r="A1553">
        <v>1622</v>
      </c>
      <c r="B1553" s="16">
        <v>43525</v>
      </c>
      <c r="C1553" t="s">
        <v>62</v>
      </c>
      <c r="D1553" s="22">
        <v>4479713.6999999993</v>
      </c>
    </row>
    <row r="1554" spans="1:4" x14ac:dyDescent="0.25">
      <c r="A1554">
        <v>1622</v>
      </c>
      <c r="B1554" s="16">
        <v>43556</v>
      </c>
      <c r="C1554" t="s">
        <v>62</v>
      </c>
      <c r="D1554" s="22">
        <v>4479713.6999999993</v>
      </c>
    </row>
    <row r="1555" spans="1:4" x14ac:dyDescent="0.25">
      <c r="A1555">
        <v>1622</v>
      </c>
      <c r="B1555" s="16">
        <v>43586</v>
      </c>
      <c r="C1555" t="s">
        <v>62</v>
      </c>
      <c r="D1555" s="22">
        <v>4479713.6999999993</v>
      </c>
    </row>
    <row r="1556" spans="1:4" x14ac:dyDescent="0.25">
      <c r="A1556">
        <v>1622</v>
      </c>
      <c r="B1556" s="16">
        <v>43617</v>
      </c>
      <c r="C1556" t="s">
        <v>62</v>
      </c>
      <c r="D1556" s="22">
        <v>4479713.6999999993</v>
      </c>
    </row>
    <row r="1557" spans="1:4" x14ac:dyDescent="0.25">
      <c r="A1557">
        <v>1622</v>
      </c>
      <c r="B1557" s="16">
        <v>43647</v>
      </c>
      <c r="C1557" t="s">
        <v>62</v>
      </c>
      <c r="D1557" s="22">
        <v>4479713.6999999993</v>
      </c>
    </row>
    <row r="1558" spans="1:4" x14ac:dyDescent="0.25">
      <c r="A1558">
        <v>1622</v>
      </c>
      <c r="B1558" s="16">
        <v>43678</v>
      </c>
      <c r="C1558" t="s">
        <v>62</v>
      </c>
      <c r="D1558" s="22">
        <v>4479713.6999999993</v>
      </c>
    </row>
    <row r="1559" spans="1:4" x14ac:dyDescent="0.25">
      <c r="A1559">
        <v>1622</v>
      </c>
      <c r="B1559" s="16">
        <v>43709</v>
      </c>
      <c r="C1559" t="s">
        <v>62</v>
      </c>
      <c r="D1559" s="22">
        <v>4479713.6999999993</v>
      </c>
    </row>
    <row r="1560" spans="1:4" x14ac:dyDescent="0.25">
      <c r="A1560">
        <v>1622</v>
      </c>
      <c r="B1560" s="16">
        <v>43739</v>
      </c>
      <c r="C1560" t="s">
        <v>62</v>
      </c>
      <c r="D1560" s="22">
        <v>4479713.6999999993</v>
      </c>
    </row>
    <row r="1561" spans="1:4" x14ac:dyDescent="0.25">
      <c r="A1561">
        <v>1622</v>
      </c>
      <c r="B1561" s="16">
        <v>43466</v>
      </c>
      <c r="C1561" t="s">
        <v>63</v>
      </c>
      <c r="D1561" s="22">
        <v>4487334.5699999994</v>
      </c>
    </row>
    <row r="1562" spans="1:4" x14ac:dyDescent="0.25">
      <c r="A1562">
        <v>1622</v>
      </c>
      <c r="B1562" s="16">
        <v>43497</v>
      </c>
      <c r="C1562" t="s">
        <v>63</v>
      </c>
      <c r="D1562" s="22">
        <v>4487334.5699999994</v>
      </c>
    </row>
    <row r="1563" spans="1:4" x14ac:dyDescent="0.25">
      <c r="A1563">
        <v>1622</v>
      </c>
      <c r="B1563" s="16">
        <v>43466</v>
      </c>
      <c r="C1563" t="s">
        <v>21</v>
      </c>
      <c r="D1563" s="22">
        <v>3611462.4</v>
      </c>
    </row>
    <row r="1564" spans="1:4" x14ac:dyDescent="0.25">
      <c r="A1564">
        <v>1622</v>
      </c>
      <c r="B1564" s="16">
        <v>43497</v>
      </c>
      <c r="C1564" t="s">
        <v>21</v>
      </c>
      <c r="D1564" s="22">
        <v>3611462.4</v>
      </c>
    </row>
    <row r="1565" spans="1:4" x14ac:dyDescent="0.25">
      <c r="A1565">
        <v>1622</v>
      </c>
      <c r="B1565" s="16">
        <v>43525</v>
      </c>
      <c r="C1565" t="s">
        <v>21</v>
      </c>
      <c r="D1565" s="22">
        <v>3611462.4</v>
      </c>
    </row>
    <row r="1566" spans="1:4" x14ac:dyDescent="0.25">
      <c r="A1566">
        <v>1622</v>
      </c>
      <c r="B1566" s="16">
        <v>43556</v>
      </c>
      <c r="C1566" t="s">
        <v>21</v>
      </c>
      <c r="D1566" s="22">
        <v>3611462.4</v>
      </c>
    </row>
    <row r="1567" spans="1:4" x14ac:dyDescent="0.25">
      <c r="A1567">
        <v>1622</v>
      </c>
      <c r="B1567" s="16">
        <v>43466</v>
      </c>
      <c r="C1567" t="s">
        <v>64</v>
      </c>
      <c r="D1567" s="22">
        <v>3767611.53</v>
      </c>
    </row>
    <row r="1568" spans="1:4" x14ac:dyDescent="0.25">
      <c r="A1568">
        <v>1622</v>
      </c>
      <c r="B1568" s="16">
        <v>43497</v>
      </c>
      <c r="C1568" t="s">
        <v>64</v>
      </c>
      <c r="D1568" s="22">
        <v>3767611.53</v>
      </c>
    </row>
    <row r="1569" spans="1:4" x14ac:dyDescent="0.25">
      <c r="A1569">
        <v>1622</v>
      </c>
      <c r="B1569" s="16">
        <v>43466</v>
      </c>
      <c r="C1569" t="s">
        <v>22</v>
      </c>
      <c r="D1569" s="22">
        <v>3767611.53</v>
      </c>
    </row>
    <row r="1570" spans="1:4" x14ac:dyDescent="0.25">
      <c r="A1570">
        <v>1622</v>
      </c>
      <c r="B1570" s="16">
        <v>43497</v>
      </c>
      <c r="C1570" t="s">
        <v>22</v>
      </c>
      <c r="D1570" s="22">
        <v>3767611.53</v>
      </c>
    </row>
    <row r="1571" spans="1:4" x14ac:dyDescent="0.25">
      <c r="A1571">
        <v>1622</v>
      </c>
      <c r="B1571" s="16">
        <v>43525</v>
      </c>
      <c r="C1571" t="s">
        <v>22</v>
      </c>
      <c r="D1571" s="22">
        <v>3767611.53</v>
      </c>
    </row>
    <row r="1572" spans="1:4" x14ac:dyDescent="0.25">
      <c r="A1572">
        <v>1622</v>
      </c>
      <c r="B1572" s="16">
        <v>43556</v>
      </c>
      <c r="C1572" t="s">
        <v>22</v>
      </c>
      <c r="D1572" s="22">
        <v>3767611.53</v>
      </c>
    </row>
    <row r="1573" spans="1:4" x14ac:dyDescent="0.25">
      <c r="A1573">
        <v>1622</v>
      </c>
      <c r="B1573" s="16">
        <v>43556</v>
      </c>
      <c r="C1573" t="s">
        <v>45</v>
      </c>
      <c r="D1573" s="22">
        <v>4477341.0150000006</v>
      </c>
    </row>
    <row r="1574" spans="1:4" x14ac:dyDescent="0.25">
      <c r="A1574">
        <v>1622</v>
      </c>
      <c r="B1574" s="16">
        <v>43586</v>
      </c>
      <c r="C1574" t="s">
        <v>45</v>
      </c>
      <c r="D1574" s="22">
        <v>4477341.0150000006</v>
      </c>
    </row>
    <row r="1575" spans="1:4" x14ac:dyDescent="0.25">
      <c r="A1575">
        <v>1622</v>
      </c>
      <c r="B1575" s="16">
        <v>43617</v>
      </c>
      <c r="C1575" t="s">
        <v>45</v>
      </c>
      <c r="D1575" s="22">
        <v>4477341.0150000006</v>
      </c>
    </row>
    <row r="1576" spans="1:4" x14ac:dyDescent="0.25">
      <c r="A1576">
        <v>1622</v>
      </c>
      <c r="B1576" s="16">
        <v>43647</v>
      </c>
      <c r="C1576" t="s">
        <v>45</v>
      </c>
      <c r="D1576" s="22">
        <v>4477341.0150000006</v>
      </c>
    </row>
    <row r="1577" spans="1:4" x14ac:dyDescent="0.25">
      <c r="A1577">
        <v>1622</v>
      </c>
      <c r="B1577" s="16">
        <v>43678</v>
      </c>
      <c r="C1577" t="s">
        <v>45</v>
      </c>
      <c r="D1577" s="22">
        <v>4477341.0150000006</v>
      </c>
    </row>
    <row r="1578" spans="1:4" x14ac:dyDescent="0.25">
      <c r="A1578">
        <v>1622</v>
      </c>
      <c r="B1578" s="16">
        <v>43709</v>
      </c>
      <c r="C1578" t="s">
        <v>45</v>
      </c>
      <c r="D1578" s="22">
        <v>4477341.0150000006</v>
      </c>
    </row>
    <row r="1579" spans="1:4" x14ac:dyDescent="0.25">
      <c r="A1579">
        <v>1622</v>
      </c>
      <c r="B1579" s="16">
        <v>43739</v>
      </c>
      <c r="C1579" t="s">
        <v>45</v>
      </c>
      <c r="D1579" s="22">
        <v>4477341.0150000006</v>
      </c>
    </row>
    <row r="1580" spans="1:4" x14ac:dyDescent="0.25">
      <c r="A1580">
        <v>1622</v>
      </c>
      <c r="B1580" s="16">
        <v>43556</v>
      </c>
      <c r="C1580" t="s">
        <v>46</v>
      </c>
      <c r="D1580" s="22">
        <v>3062689.7</v>
      </c>
    </row>
    <row r="1581" spans="1:4" x14ac:dyDescent="0.25">
      <c r="A1581">
        <v>1622</v>
      </c>
      <c r="B1581" s="16">
        <v>43586</v>
      </c>
      <c r="C1581" t="s">
        <v>46</v>
      </c>
      <c r="D1581" s="22">
        <v>3062689.7</v>
      </c>
    </row>
    <row r="1582" spans="1:4" x14ac:dyDescent="0.25">
      <c r="A1582">
        <v>1622</v>
      </c>
      <c r="B1582" s="16">
        <v>43617</v>
      </c>
      <c r="C1582" t="s">
        <v>46</v>
      </c>
      <c r="D1582" s="22">
        <v>3062689.7</v>
      </c>
    </row>
    <row r="1583" spans="1:4" x14ac:dyDescent="0.25">
      <c r="A1583">
        <v>1622</v>
      </c>
      <c r="B1583" s="16">
        <v>43647</v>
      </c>
      <c r="C1583" t="s">
        <v>46</v>
      </c>
      <c r="D1583" s="22">
        <v>3062689.7</v>
      </c>
    </row>
    <row r="1584" spans="1:4" x14ac:dyDescent="0.25">
      <c r="A1584">
        <v>1622</v>
      </c>
      <c r="B1584" s="16">
        <v>43678</v>
      </c>
      <c r="C1584" t="s">
        <v>46</v>
      </c>
      <c r="D1584" s="22">
        <v>3062689.7</v>
      </c>
    </row>
    <row r="1585" spans="1:4" x14ac:dyDescent="0.25">
      <c r="A1585">
        <v>1622</v>
      </c>
      <c r="B1585" s="16">
        <v>43709</v>
      </c>
      <c r="C1585" t="s">
        <v>46</v>
      </c>
      <c r="D1585" s="22">
        <v>3062689.7</v>
      </c>
    </row>
    <row r="1586" spans="1:4" x14ac:dyDescent="0.25">
      <c r="A1586">
        <v>1622</v>
      </c>
      <c r="B1586" s="16">
        <v>43739</v>
      </c>
      <c r="C1586" t="s">
        <v>46</v>
      </c>
      <c r="D1586" s="22">
        <v>3062689.7</v>
      </c>
    </row>
    <row r="1587" spans="1:4" x14ac:dyDescent="0.25">
      <c r="A1587">
        <v>1622</v>
      </c>
      <c r="B1587" s="16">
        <v>43556</v>
      </c>
      <c r="C1587" t="s">
        <v>48</v>
      </c>
      <c r="D1587" s="22">
        <v>4854913</v>
      </c>
    </row>
    <row r="1588" spans="1:4" x14ac:dyDescent="0.25">
      <c r="A1588">
        <v>1622</v>
      </c>
      <c r="B1588" s="16">
        <v>43586</v>
      </c>
      <c r="C1588" t="s">
        <v>48</v>
      </c>
      <c r="D1588" s="22">
        <v>4854913</v>
      </c>
    </row>
    <row r="1589" spans="1:4" x14ac:dyDescent="0.25">
      <c r="A1589">
        <v>1622</v>
      </c>
      <c r="B1589" s="16">
        <v>43617</v>
      </c>
      <c r="C1589" t="s">
        <v>48</v>
      </c>
      <c r="D1589" s="22">
        <v>4854913</v>
      </c>
    </row>
    <row r="1590" spans="1:4" x14ac:dyDescent="0.25">
      <c r="A1590">
        <v>1622</v>
      </c>
      <c r="B1590" s="16">
        <v>43647</v>
      </c>
      <c r="C1590" t="s">
        <v>48</v>
      </c>
      <c r="D1590" s="22">
        <v>4854913</v>
      </c>
    </row>
    <row r="1591" spans="1:4" x14ac:dyDescent="0.25">
      <c r="A1591">
        <v>1622</v>
      </c>
      <c r="B1591" s="16">
        <v>43678</v>
      </c>
      <c r="C1591" t="s">
        <v>48</v>
      </c>
      <c r="D1591" s="22">
        <v>4854913</v>
      </c>
    </row>
    <row r="1592" spans="1:4" x14ac:dyDescent="0.25">
      <c r="A1592">
        <v>1622</v>
      </c>
      <c r="B1592" s="16">
        <v>43709</v>
      </c>
      <c r="C1592" t="s">
        <v>48</v>
      </c>
      <c r="D1592" s="22">
        <v>4854913</v>
      </c>
    </row>
    <row r="1593" spans="1:4" x14ac:dyDescent="0.25">
      <c r="A1593">
        <v>1622</v>
      </c>
      <c r="B1593" s="16">
        <v>43739</v>
      </c>
      <c r="C1593" t="s">
        <v>48</v>
      </c>
      <c r="D1593" s="22">
        <v>4854913</v>
      </c>
    </row>
    <row r="1594" spans="1:4" x14ac:dyDescent="0.25">
      <c r="A1594">
        <v>1622</v>
      </c>
      <c r="B1594" s="16">
        <v>43556</v>
      </c>
      <c r="C1594" t="s">
        <v>49</v>
      </c>
      <c r="D1594" s="22">
        <v>29161467</v>
      </c>
    </row>
    <row r="1595" spans="1:4" x14ac:dyDescent="0.25">
      <c r="A1595">
        <v>1622</v>
      </c>
      <c r="B1595" s="16">
        <v>43586</v>
      </c>
      <c r="C1595" t="s">
        <v>49</v>
      </c>
      <c r="D1595" s="22">
        <v>29161467</v>
      </c>
    </row>
    <row r="1596" spans="1:4" x14ac:dyDescent="0.25">
      <c r="A1596">
        <v>1622</v>
      </c>
      <c r="B1596" s="16">
        <v>43617</v>
      </c>
      <c r="C1596" t="s">
        <v>49</v>
      </c>
      <c r="D1596" s="22">
        <v>29161467</v>
      </c>
    </row>
    <row r="1597" spans="1:4" x14ac:dyDescent="0.25">
      <c r="A1597">
        <v>1622</v>
      </c>
      <c r="B1597" s="16">
        <v>43647</v>
      </c>
      <c r="C1597" t="s">
        <v>49</v>
      </c>
      <c r="D1597" s="22">
        <v>29161467</v>
      </c>
    </row>
    <row r="1598" spans="1:4" x14ac:dyDescent="0.25">
      <c r="A1598">
        <v>1622</v>
      </c>
      <c r="B1598" s="16">
        <v>43678</v>
      </c>
      <c r="C1598" t="s">
        <v>49</v>
      </c>
      <c r="D1598" s="22">
        <v>29161467</v>
      </c>
    </row>
    <row r="1599" spans="1:4" x14ac:dyDescent="0.25">
      <c r="A1599">
        <v>1622</v>
      </c>
      <c r="B1599" s="16">
        <v>43709</v>
      </c>
      <c r="C1599" t="s">
        <v>49</v>
      </c>
      <c r="D1599" s="22">
        <v>29161467</v>
      </c>
    </row>
    <row r="1600" spans="1:4" x14ac:dyDescent="0.25">
      <c r="A1600">
        <v>1622</v>
      </c>
      <c r="B1600" s="16">
        <v>43739</v>
      </c>
      <c r="C1600" t="s">
        <v>49</v>
      </c>
      <c r="D1600" s="22">
        <v>29161467</v>
      </c>
    </row>
    <row r="1601" spans="1:4" x14ac:dyDescent="0.25">
      <c r="A1601">
        <v>1622</v>
      </c>
      <c r="B1601" s="16">
        <v>43556</v>
      </c>
      <c r="C1601" t="s">
        <v>50</v>
      </c>
      <c r="D1601" s="22">
        <v>16582744.5</v>
      </c>
    </row>
    <row r="1602" spans="1:4" x14ac:dyDescent="0.25">
      <c r="A1602">
        <v>1622</v>
      </c>
      <c r="B1602" s="16">
        <v>43586</v>
      </c>
      <c r="C1602" t="s">
        <v>50</v>
      </c>
      <c r="D1602" s="22">
        <v>16582744.5</v>
      </c>
    </row>
    <row r="1603" spans="1:4" x14ac:dyDescent="0.25">
      <c r="A1603">
        <v>1622</v>
      </c>
      <c r="B1603" s="16">
        <v>43617</v>
      </c>
      <c r="C1603" t="s">
        <v>50</v>
      </c>
      <c r="D1603" s="22">
        <v>16582744.5</v>
      </c>
    </row>
    <row r="1604" spans="1:4" x14ac:dyDescent="0.25">
      <c r="A1604">
        <v>1622</v>
      </c>
      <c r="B1604" s="16">
        <v>43647</v>
      </c>
      <c r="C1604" t="s">
        <v>50</v>
      </c>
      <c r="D1604" s="22">
        <v>16582744.5</v>
      </c>
    </row>
    <row r="1605" spans="1:4" x14ac:dyDescent="0.25">
      <c r="A1605">
        <v>1622</v>
      </c>
      <c r="B1605" s="16">
        <v>43678</v>
      </c>
      <c r="C1605" t="s">
        <v>50</v>
      </c>
      <c r="D1605" s="22">
        <v>16582744.5</v>
      </c>
    </row>
    <row r="1606" spans="1:4" x14ac:dyDescent="0.25">
      <c r="A1606">
        <v>1622</v>
      </c>
      <c r="B1606" s="16">
        <v>43709</v>
      </c>
      <c r="C1606" t="s">
        <v>50</v>
      </c>
      <c r="D1606" s="22">
        <v>16582744.5</v>
      </c>
    </row>
    <row r="1607" spans="1:4" x14ac:dyDescent="0.25">
      <c r="A1607">
        <v>1622</v>
      </c>
      <c r="B1607" s="16">
        <v>43739</v>
      </c>
      <c r="C1607" t="s">
        <v>50</v>
      </c>
      <c r="D1607" s="22">
        <v>16582744.5</v>
      </c>
    </row>
    <row r="1608" spans="1:4" x14ac:dyDescent="0.25">
      <c r="A1608">
        <v>1622</v>
      </c>
      <c r="B1608" s="16">
        <v>43556</v>
      </c>
      <c r="C1608" t="s">
        <v>52</v>
      </c>
      <c r="D1608" s="22">
        <v>6633097.5</v>
      </c>
    </row>
    <row r="1609" spans="1:4" x14ac:dyDescent="0.25">
      <c r="A1609">
        <v>1622</v>
      </c>
      <c r="B1609" s="16">
        <v>43586</v>
      </c>
      <c r="C1609" t="s">
        <v>52</v>
      </c>
      <c r="D1609" s="22">
        <v>6633097.5</v>
      </c>
    </row>
    <row r="1610" spans="1:4" x14ac:dyDescent="0.25">
      <c r="A1610">
        <v>1622</v>
      </c>
      <c r="B1610" s="16">
        <v>43617</v>
      </c>
      <c r="C1610" t="s">
        <v>52</v>
      </c>
      <c r="D1610" s="22">
        <v>6633097.5</v>
      </c>
    </row>
    <row r="1611" spans="1:4" x14ac:dyDescent="0.25">
      <c r="A1611">
        <v>1622</v>
      </c>
      <c r="B1611" s="16">
        <v>43647</v>
      </c>
      <c r="C1611" t="s">
        <v>52</v>
      </c>
      <c r="D1611" s="22">
        <v>6633097.5</v>
      </c>
    </row>
    <row r="1612" spans="1:4" x14ac:dyDescent="0.25">
      <c r="A1612">
        <v>1622</v>
      </c>
      <c r="B1612" s="16">
        <v>43678</v>
      </c>
      <c r="C1612" t="s">
        <v>52</v>
      </c>
      <c r="D1612" s="22">
        <v>6633097.5</v>
      </c>
    </row>
    <row r="1613" spans="1:4" x14ac:dyDescent="0.25">
      <c r="A1613">
        <v>1622</v>
      </c>
      <c r="B1613" s="16">
        <v>43556</v>
      </c>
      <c r="C1613" t="s">
        <v>53</v>
      </c>
      <c r="D1613" s="22">
        <v>5088885</v>
      </c>
    </row>
    <row r="1614" spans="1:4" x14ac:dyDescent="0.25">
      <c r="A1614">
        <v>1622</v>
      </c>
      <c r="B1614" s="16">
        <v>43586</v>
      </c>
      <c r="C1614" t="s">
        <v>53</v>
      </c>
      <c r="D1614" s="22">
        <v>5088885</v>
      </c>
    </row>
    <row r="1615" spans="1:4" x14ac:dyDescent="0.25">
      <c r="A1615">
        <v>1622</v>
      </c>
      <c r="B1615" s="16">
        <v>43617</v>
      </c>
      <c r="C1615" t="s">
        <v>53</v>
      </c>
      <c r="D1615" s="22">
        <v>5088885</v>
      </c>
    </row>
    <row r="1616" spans="1:4" x14ac:dyDescent="0.25">
      <c r="A1616">
        <v>1622</v>
      </c>
      <c r="B1616" s="16">
        <v>43647</v>
      </c>
      <c r="C1616" t="s">
        <v>53</v>
      </c>
      <c r="D1616" s="22">
        <v>5088885</v>
      </c>
    </row>
    <row r="1617" spans="1:4" x14ac:dyDescent="0.25">
      <c r="A1617">
        <v>1622</v>
      </c>
      <c r="B1617" s="16">
        <v>43678</v>
      </c>
      <c r="C1617" t="s">
        <v>53</v>
      </c>
      <c r="D1617" s="22">
        <v>5088885</v>
      </c>
    </row>
    <row r="1618" spans="1:4" x14ac:dyDescent="0.25">
      <c r="A1618">
        <v>1622</v>
      </c>
      <c r="B1618" s="16">
        <v>43709</v>
      </c>
      <c r="C1618" t="s">
        <v>53</v>
      </c>
      <c r="D1618" s="22">
        <v>5088885</v>
      </c>
    </row>
    <row r="1619" spans="1:4" x14ac:dyDescent="0.25">
      <c r="A1619">
        <v>1622</v>
      </c>
      <c r="B1619" s="16">
        <v>43739</v>
      </c>
      <c r="C1619" t="s">
        <v>53</v>
      </c>
      <c r="D1619" s="22">
        <v>5088885</v>
      </c>
    </row>
    <row r="1620" spans="1:4" x14ac:dyDescent="0.25">
      <c r="A1620">
        <v>1622</v>
      </c>
      <c r="B1620" s="16">
        <v>43556</v>
      </c>
      <c r="C1620" t="s">
        <v>54</v>
      </c>
      <c r="D1620" s="22">
        <v>6663097.5</v>
      </c>
    </row>
    <row r="1621" spans="1:4" x14ac:dyDescent="0.25">
      <c r="A1621">
        <v>1622</v>
      </c>
      <c r="B1621" s="16">
        <v>43586</v>
      </c>
      <c r="C1621" t="s">
        <v>54</v>
      </c>
      <c r="D1621" s="22">
        <v>6663097.5</v>
      </c>
    </row>
    <row r="1622" spans="1:4" x14ac:dyDescent="0.25">
      <c r="A1622">
        <v>1622</v>
      </c>
      <c r="B1622" s="16">
        <v>43617</v>
      </c>
      <c r="C1622" t="s">
        <v>54</v>
      </c>
      <c r="D1622" s="22">
        <v>6663097.5</v>
      </c>
    </row>
    <row r="1623" spans="1:4" x14ac:dyDescent="0.25">
      <c r="A1623">
        <v>1622</v>
      </c>
      <c r="B1623" s="16">
        <v>43647</v>
      </c>
      <c r="C1623" t="s">
        <v>54</v>
      </c>
      <c r="D1623" s="22">
        <v>6663097.5</v>
      </c>
    </row>
    <row r="1624" spans="1:4" x14ac:dyDescent="0.25">
      <c r="A1624">
        <v>1622</v>
      </c>
      <c r="B1624" s="16">
        <v>43678</v>
      </c>
      <c r="C1624" t="s">
        <v>54</v>
      </c>
      <c r="D1624" s="22">
        <v>6663097.5</v>
      </c>
    </row>
    <row r="1625" spans="1:4" x14ac:dyDescent="0.25">
      <c r="A1625">
        <v>1622</v>
      </c>
      <c r="B1625" s="16">
        <v>43709</v>
      </c>
      <c r="C1625" t="s">
        <v>54</v>
      </c>
      <c r="D1625" s="22">
        <v>6663097.5</v>
      </c>
    </row>
    <row r="1626" spans="1:4" x14ac:dyDescent="0.25">
      <c r="A1626">
        <v>1622</v>
      </c>
      <c r="B1626" s="16">
        <v>43739</v>
      </c>
      <c r="C1626" t="s">
        <v>54</v>
      </c>
      <c r="D1626" s="22">
        <v>6663097.5</v>
      </c>
    </row>
    <row r="1627" spans="1:4" x14ac:dyDescent="0.25">
      <c r="A1627">
        <v>1622</v>
      </c>
      <c r="B1627" s="16">
        <v>43556</v>
      </c>
      <c r="C1627" t="s">
        <v>55</v>
      </c>
      <c r="D1627" s="22">
        <v>6663097.5</v>
      </c>
    </row>
    <row r="1628" spans="1:4" x14ac:dyDescent="0.25">
      <c r="A1628">
        <v>1622</v>
      </c>
      <c r="B1628" s="16">
        <v>43586</v>
      </c>
      <c r="C1628" t="s">
        <v>55</v>
      </c>
      <c r="D1628" s="22">
        <v>6663097.5</v>
      </c>
    </row>
    <row r="1629" spans="1:4" x14ac:dyDescent="0.25">
      <c r="A1629">
        <v>1622</v>
      </c>
      <c r="B1629" s="16">
        <v>43617</v>
      </c>
      <c r="C1629" t="s">
        <v>55</v>
      </c>
      <c r="D1629" s="22">
        <v>6663097.5</v>
      </c>
    </row>
    <row r="1630" spans="1:4" x14ac:dyDescent="0.25">
      <c r="A1630">
        <v>1622</v>
      </c>
      <c r="B1630" s="16">
        <v>43647</v>
      </c>
      <c r="C1630" t="s">
        <v>55</v>
      </c>
      <c r="D1630" s="22">
        <v>6663097.5</v>
      </c>
    </row>
    <row r="1631" spans="1:4" x14ac:dyDescent="0.25">
      <c r="A1631">
        <v>1622</v>
      </c>
      <c r="B1631" s="16">
        <v>43678</v>
      </c>
      <c r="C1631" t="s">
        <v>55</v>
      </c>
      <c r="D1631" s="22">
        <v>6663097.5</v>
      </c>
    </row>
    <row r="1632" spans="1:4" x14ac:dyDescent="0.25">
      <c r="A1632">
        <v>1622</v>
      </c>
      <c r="B1632" s="16">
        <v>43709</v>
      </c>
      <c r="C1632" t="s">
        <v>55</v>
      </c>
      <c r="D1632" s="22">
        <v>6663097.5</v>
      </c>
    </row>
    <row r="1633" spans="1:4" x14ac:dyDescent="0.25">
      <c r="A1633">
        <v>1622</v>
      </c>
      <c r="B1633" s="16">
        <v>43739</v>
      </c>
      <c r="C1633" t="s">
        <v>55</v>
      </c>
      <c r="D1633" s="22">
        <v>6663097.5</v>
      </c>
    </row>
    <row r="1634" spans="1:4" x14ac:dyDescent="0.25">
      <c r="A1634">
        <v>1622</v>
      </c>
      <c r="B1634" s="16">
        <v>43556</v>
      </c>
      <c r="C1634" t="s">
        <v>56</v>
      </c>
      <c r="D1634" s="22">
        <v>7922866.5</v>
      </c>
    </row>
    <row r="1635" spans="1:4" x14ac:dyDescent="0.25">
      <c r="A1635">
        <v>1622</v>
      </c>
      <c r="B1635" s="16">
        <v>43586</v>
      </c>
      <c r="C1635" t="s">
        <v>56</v>
      </c>
      <c r="D1635" s="22">
        <v>7922866.5</v>
      </c>
    </row>
    <row r="1636" spans="1:4" x14ac:dyDescent="0.25">
      <c r="A1636">
        <v>1622</v>
      </c>
      <c r="B1636" s="16">
        <v>43617</v>
      </c>
      <c r="C1636" t="s">
        <v>56</v>
      </c>
      <c r="D1636" s="22">
        <v>7922866.5</v>
      </c>
    </row>
    <row r="1637" spans="1:4" x14ac:dyDescent="0.25">
      <c r="A1637">
        <v>1622</v>
      </c>
      <c r="B1637" s="16">
        <v>43647</v>
      </c>
      <c r="C1637" t="s">
        <v>56</v>
      </c>
      <c r="D1637" s="22">
        <v>7922866.5</v>
      </c>
    </row>
    <row r="1638" spans="1:4" x14ac:dyDescent="0.25">
      <c r="A1638">
        <v>1622</v>
      </c>
      <c r="B1638" s="16">
        <v>43678</v>
      </c>
      <c r="C1638" t="s">
        <v>56</v>
      </c>
      <c r="D1638" s="22">
        <v>7922866.5</v>
      </c>
    </row>
    <row r="1639" spans="1:4" x14ac:dyDescent="0.25">
      <c r="A1639">
        <v>1622</v>
      </c>
      <c r="B1639" s="16">
        <v>43709</v>
      </c>
      <c r="C1639" t="s">
        <v>56</v>
      </c>
      <c r="D1639" s="22">
        <v>7922866.5</v>
      </c>
    </row>
    <row r="1640" spans="1:4" x14ac:dyDescent="0.25">
      <c r="A1640">
        <v>1622</v>
      </c>
      <c r="B1640" s="16">
        <v>43739</v>
      </c>
      <c r="C1640" t="s">
        <v>56</v>
      </c>
      <c r="D1640" s="22">
        <v>7922866.5</v>
      </c>
    </row>
    <row r="1641" spans="1:4" x14ac:dyDescent="0.25">
      <c r="A1641">
        <v>1622</v>
      </c>
      <c r="B1641" s="16">
        <v>43556</v>
      </c>
      <c r="C1641" t="s">
        <v>57</v>
      </c>
      <c r="D1641" s="22">
        <v>7896546</v>
      </c>
    </row>
    <row r="1642" spans="1:4" x14ac:dyDescent="0.25">
      <c r="A1642">
        <v>1622</v>
      </c>
      <c r="B1642" s="16">
        <v>43586</v>
      </c>
      <c r="C1642" t="s">
        <v>57</v>
      </c>
      <c r="D1642" s="22">
        <v>7896546</v>
      </c>
    </row>
    <row r="1643" spans="1:4" x14ac:dyDescent="0.25">
      <c r="A1643">
        <v>1622</v>
      </c>
      <c r="B1643" s="16">
        <v>43617</v>
      </c>
      <c r="C1643" t="s">
        <v>57</v>
      </c>
      <c r="D1643" s="22">
        <v>7896546</v>
      </c>
    </row>
    <row r="1644" spans="1:4" x14ac:dyDescent="0.25">
      <c r="A1644">
        <v>1622</v>
      </c>
      <c r="B1644" s="16">
        <v>43647</v>
      </c>
      <c r="C1644" t="s">
        <v>57</v>
      </c>
      <c r="D1644" s="22">
        <v>7896546</v>
      </c>
    </row>
    <row r="1645" spans="1:4" x14ac:dyDescent="0.25">
      <c r="A1645">
        <v>1622</v>
      </c>
      <c r="B1645" s="16">
        <v>43678</v>
      </c>
      <c r="C1645" t="s">
        <v>57</v>
      </c>
      <c r="D1645" s="22">
        <v>7896546</v>
      </c>
    </row>
    <row r="1646" spans="1:4" x14ac:dyDescent="0.25">
      <c r="A1646">
        <v>1622</v>
      </c>
      <c r="B1646" s="16">
        <v>43709</v>
      </c>
      <c r="C1646" t="s">
        <v>57</v>
      </c>
      <c r="D1646" s="22">
        <v>7896546</v>
      </c>
    </row>
    <row r="1647" spans="1:4" x14ac:dyDescent="0.25">
      <c r="A1647">
        <v>1622</v>
      </c>
      <c r="B1647" s="16">
        <v>43739</v>
      </c>
      <c r="C1647" t="s">
        <v>57</v>
      </c>
      <c r="D1647" s="22">
        <v>7896546</v>
      </c>
    </row>
    <row r="1648" spans="1:4" x14ac:dyDescent="0.25">
      <c r="A1648">
        <v>1622</v>
      </c>
      <c r="B1648" s="16">
        <v>43556</v>
      </c>
      <c r="C1648" t="s">
        <v>58</v>
      </c>
      <c r="D1648" s="22">
        <v>5159076</v>
      </c>
    </row>
    <row r="1649" spans="1:4" x14ac:dyDescent="0.25">
      <c r="A1649">
        <v>1622</v>
      </c>
      <c r="B1649" s="16">
        <v>43586</v>
      </c>
      <c r="C1649" t="s">
        <v>58</v>
      </c>
      <c r="D1649" s="22">
        <v>5159076</v>
      </c>
    </row>
    <row r="1650" spans="1:4" x14ac:dyDescent="0.25">
      <c r="A1650">
        <v>1622</v>
      </c>
      <c r="B1650" s="16">
        <v>43617</v>
      </c>
      <c r="C1650" t="s">
        <v>58</v>
      </c>
      <c r="D1650" s="22">
        <v>5159076</v>
      </c>
    </row>
    <row r="1651" spans="1:4" x14ac:dyDescent="0.25">
      <c r="A1651">
        <v>1622</v>
      </c>
      <c r="B1651" s="16">
        <v>43647</v>
      </c>
      <c r="C1651" t="s">
        <v>58</v>
      </c>
      <c r="D1651" s="22">
        <v>5159076</v>
      </c>
    </row>
    <row r="1652" spans="1:4" x14ac:dyDescent="0.25">
      <c r="A1652">
        <v>1622</v>
      </c>
      <c r="B1652" s="16">
        <v>43678</v>
      </c>
      <c r="C1652" t="s">
        <v>58</v>
      </c>
      <c r="D1652" s="22">
        <v>5159076</v>
      </c>
    </row>
    <row r="1653" spans="1:4" x14ac:dyDescent="0.25">
      <c r="A1653">
        <v>1622</v>
      </c>
      <c r="B1653" s="16">
        <v>43709</v>
      </c>
      <c r="C1653" t="s">
        <v>58</v>
      </c>
      <c r="D1653" s="22">
        <v>5159076</v>
      </c>
    </row>
    <row r="1654" spans="1:4" x14ac:dyDescent="0.25">
      <c r="A1654">
        <v>1622</v>
      </c>
      <c r="B1654" s="16">
        <v>43739</v>
      </c>
      <c r="C1654" t="s">
        <v>58</v>
      </c>
      <c r="D1654" s="22">
        <v>5159076</v>
      </c>
    </row>
    <row r="1655" spans="1:4" x14ac:dyDescent="0.25">
      <c r="A1655">
        <v>1622</v>
      </c>
      <c r="B1655" s="16">
        <v>43556</v>
      </c>
      <c r="C1655" t="s">
        <v>59</v>
      </c>
      <c r="D1655" s="22">
        <v>1658274</v>
      </c>
    </row>
    <row r="1656" spans="1:4" x14ac:dyDescent="0.25">
      <c r="A1656">
        <v>1622</v>
      </c>
      <c r="B1656" s="16">
        <v>43586</v>
      </c>
      <c r="C1656" t="s">
        <v>59</v>
      </c>
      <c r="D1656" s="22">
        <v>1658274</v>
      </c>
    </row>
    <row r="1657" spans="1:4" x14ac:dyDescent="0.25">
      <c r="A1657">
        <v>1622</v>
      </c>
      <c r="B1657" s="16">
        <v>43617</v>
      </c>
      <c r="C1657" t="s">
        <v>59</v>
      </c>
      <c r="D1657" s="22">
        <v>1658274</v>
      </c>
    </row>
    <row r="1658" spans="1:4" x14ac:dyDescent="0.25">
      <c r="A1658">
        <v>1622</v>
      </c>
      <c r="B1658" s="16">
        <v>43647</v>
      </c>
      <c r="C1658" t="s">
        <v>59</v>
      </c>
      <c r="D1658" s="22">
        <v>1658274</v>
      </c>
    </row>
    <row r="1659" spans="1:4" x14ac:dyDescent="0.25">
      <c r="A1659">
        <v>1622</v>
      </c>
      <c r="B1659" s="16">
        <v>43678</v>
      </c>
      <c r="C1659" t="s">
        <v>59</v>
      </c>
      <c r="D1659" s="22">
        <v>1658274</v>
      </c>
    </row>
    <row r="1660" spans="1:4" x14ac:dyDescent="0.25">
      <c r="A1660">
        <v>1622</v>
      </c>
      <c r="B1660" s="16">
        <v>43709</v>
      </c>
      <c r="C1660" t="s">
        <v>59</v>
      </c>
      <c r="D1660" s="22">
        <v>1658274</v>
      </c>
    </row>
    <row r="1661" spans="1:4" x14ac:dyDescent="0.25">
      <c r="A1661">
        <v>1622</v>
      </c>
      <c r="B1661" s="16">
        <v>43739</v>
      </c>
      <c r="C1661" t="s">
        <v>59</v>
      </c>
      <c r="D1661" s="22">
        <v>1658274</v>
      </c>
    </row>
    <row r="1662" spans="1:4" x14ac:dyDescent="0.25">
      <c r="A1662">
        <v>1622</v>
      </c>
      <c r="B1662" s="16">
        <v>43556</v>
      </c>
      <c r="C1662" t="s">
        <v>35</v>
      </c>
      <c r="D1662" s="22">
        <v>3906157.7699999996</v>
      </c>
    </row>
    <row r="1663" spans="1:4" x14ac:dyDescent="0.25">
      <c r="A1663">
        <v>1622</v>
      </c>
      <c r="B1663" s="16">
        <v>43586</v>
      </c>
      <c r="C1663" t="s">
        <v>35</v>
      </c>
      <c r="D1663" s="22">
        <v>3906157.7699999996</v>
      </c>
    </row>
    <row r="1664" spans="1:4" x14ac:dyDescent="0.25">
      <c r="A1664">
        <v>1622</v>
      </c>
      <c r="B1664" s="16">
        <v>43617</v>
      </c>
      <c r="C1664" t="s">
        <v>35</v>
      </c>
      <c r="D1664" s="22">
        <v>3906157.7699999996</v>
      </c>
    </row>
    <row r="1665" spans="1:4" x14ac:dyDescent="0.25">
      <c r="A1665">
        <v>1622</v>
      </c>
      <c r="B1665" s="16">
        <v>43556</v>
      </c>
      <c r="C1665" t="s">
        <v>62</v>
      </c>
      <c r="D1665" s="22">
        <v>4687389.96</v>
      </c>
    </row>
    <row r="1666" spans="1:4" x14ac:dyDescent="0.25">
      <c r="A1666">
        <v>1622</v>
      </c>
      <c r="B1666" s="16">
        <v>43556</v>
      </c>
      <c r="C1666" t="s">
        <v>64</v>
      </c>
      <c r="D1666" s="22">
        <v>3906157.7699999996</v>
      </c>
    </row>
    <row r="1667" spans="1:4" x14ac:dyDescent="0.25">
      <c r="A1667">
        <v>1622</v>
      </c>
      <c r="B1667" s="16">
        <v>43556</v>
      </c>
      <c r="C1667" t="s">
        <v>22</v>
      </c>
      <c r="D1667" s="22">
        <v>3906157.7699999996</v>
      </c>
    </row>
    <row r="1668" spans="1:4" x14ac:dyDescent="0.25">
      <c r="A1668">
        <v>1622</v>
      </c>
      <c r="B1668" s="16">
        <v>43586</v>
      </c>
      <c r="C1668" t="s">
        <v>22</v>
      </c>
      <c r="D1668" s="22">
        <v>3906157.7699999996</v>
      </c>
    </row>
    <row r="1669" spans="1:4" x14ac:dyDescent="0.25">
      <c r="A1669">
        <v>1622</v>
      </c>
      <c r="B1669" s="16">
        <v>43617</v>
      </c>
      <c r="C1669" t="s">
        <v>22</v>
      </c>
      <c r="D1669" s="22">
        <v>3906157.7699999996</v>
      </c>
    </row>
    <row r="1670" spans="1:4" x14ac:dyDescent="0.25">
      <c r="A1670">
        <v>1622</v>
      </c>
      <c r="B1670" s="16">
        <v>43647</v>
      </c>
      <c r="C1670" t="s">
        <v>22</v>
      </c>
      <c r="D1670" s="22">
        <v>3906157.7699999996</v>
      </c>
    </row>
    <row r="1671" spans="1:4" x14ac:dyDescent="0.25">
      <c r="A1671">
        <v>1622</v>
      </c>
      <c r="B1671" s="16">
        <v>43678</v>
      </c>
      <c r="C1671" t="s">
        <v>22</v>
      </c>
      <c r="D1671" s="22">
        <v>3906157.7699999996</v>
      </c>
    </row>
    <row r="1672" spans="1:4" x14ac:dyDescent="0.25">
      <c r="A1672">
        <v>1622</v>
      </c>
      <c r="B1672" s="16">
        <v>43709</v>
      </c>
      <c r="C1672" t="s">
        <v>22</v>
      </c>
      <c r="D1672" s="22">
        <v>3906157.7699999996</v>
      </c>
    </row>
    <row r="1673" spans="1:4" x14ac:dyDescent="0.25">
      <c r="A1673">
        <v>1622</v>
      </c>
      <c r="B1673" s="16">
        <v>43739</v>
      </c>
      <c r="C1673" t="s">
        <v>22</v>
      </c>
      <c r="D1673" s="22">
        <v>3906157.7699999996</v>
      </c>
    </row>
    <row r="1674" spans="1:4" x14ac:dyDescent="0.25">
      <c r="A1674">
        <v>1588</v>
      </c>
      <c r="B1674" s="16">
        <v>43466</v>
      </c>
      <c r="C1674" t="s">
        <v>19</v>
      </c>
      <c r="D1674" s="22">
        <v>3071827.3950000005</v>
      </c>
    </row>
    <row r="1675" spans="1:4" x14ac:dyDescent="0.25">
      <c r="A1675">
        <v>1588</v>
      </c>
      <c r="B1675" s="16">
        <v>43497</v>
      </c>
      <c r="C1675" t="s">
        <v>19</v>
      </c>
      <c r="D1675" s="22">
        <v>3071827.3950000005</v>
      </c>
    </row>
    <row r="1676" spans="1:4" x14ac:dyDescent="0.25">
      <c r="A1676">
        <v>1588</v>
      </c>
      <c r="B1676" s="16">
        <v>43525</v>
      </c>
      <c r="C1676" t="s">
        <v>19</v>
      </c>
      <c r="D1676" s="22">
        <v>3071827.3950000005</v>
      </c>
    </row>
    <row r="1677" spans="1:4" x14ac:dyDescent="0.25">
      <c r="A1677">
        <v>1723</v>
      </c>
      <c r="B1677" s="16">
        <v>43466</v>
      </c>
      <c r="C1677" t="s">
        <v>19</v>
      </c>
      <c r="D1677" s="22">
        <v>5626057.5000000009</v>
      </c>
    </row>
    <row r="1678" spans="1:4" x14ac:dyDescent="0.25">
      <c r="A1678">
        <v>1723</v>
      </c>
      <c r="B1678" s="16">
        <v>43497</v>
      </c>
      <c r="C1678" t="s">
        <v>19</v>
      </c>
      <c r="D1678" s="22">
        <v>5626057.5000000009</v>
      </c>
    </row>
    <row r="1679" spans="1:4" x14ac:dyDescent="0.25">
      <c r="A1679">
        <v>1723</v>
      </c>
      <c r="B1679" s="16">
        <v>43525</v>
      </c>
      <c r="C1679" t="s">
        <v>19</v>
      </c>
      <c r="D1679" s="22">
        <v>5626057.5000000009</v>
      </c>
    </row>
    <row r="1680" spans="1:4" x14ac:dyDescent="0.25">
      <c r="A1680">
        <v>1723</v>
      </c>
      <c r="B1680" s="16">
        <v>43556</v>
      </c>
      <c r="C1680" t="s">
        <v>19</v>
      </c>
      <c r="D1680" s="22">
        <v>5626057.5000000009</v>
      </c>
    </row>
    <row r="1681" spans="1:4" x14ac:dyDescent="0.25">
      <c r="A1681">
        <v>1723</v>
      </c>
      <c r="B1681" s="16">
        <v>43586</v>
      </c>
      <c r="C1681" t="s">
        <v>19</v>
      </c>
      <c r="D1681" s="22">
        <v>5626057.5000000009</v>
      </c>
    </row>
    <row r="1682" spans="1:4" x14ac:dyDescent="0.25">
      <c r="A1682">
        <v>1723</v>
      </c>
      <c r="B1682" s="16">
        <v>43617</v>
      </c>
      <c r="C1682" t="s">
        <v>19</v>
      </c>
      <c r="D1682" s="22">
        <v>5626057.5000000009</v>
      </c>
    </row>
    <row r="1683" spans="1:4" x14ac:dyDescent="0.25">
      <c r="A1683">
        <v>1723</v>
      </c>
      <c r="B1683" s="16">
        <v>43466</v>
      </c>
      <c r="C1683" t="s">
        <v>94</v>
      </c>
      <c r="D1683" s="22">
        <v>10418625.000000002</v>
      </c>
    </row>
    <row r="1684" spans="1:4" x14ac:dyDescent="0.25">
      <c r="A1684">
        <v>1723</v>
      </c>
      <c r="B1684" s="16">
        <v>43497</v>
      </c>
      <c r="C1684" t="s">
        <v>94</v>
      </c>
      <c r="D1684" s="22">
        <v>10418625.000000002</v>
      </c>
    </row>
    <row r="1685" spans="1:4" x14ac:dyDescent="0.25">
      <c r="A1685">
        <v>1723</v>
      </c>
      <c r="B1685" s="16">
        <v>43525</v>
      </c>
      <c r="C1685" t="s">
        <v>94</v>
      </c>
      <c r="D1685" s="22">
        <v>10418625.000000002</v>
      </c>
    </row>
    <row r="1686" spans="1:4" x14ac:dyDescent="0.25">
      <c r="A1686">
        <v>1723</v>
      </c>
      <c r="B1686" s="16">
        <v>43556</v>
      </c>
      <c r="C1686" t="s">
        <v>94</v>
      </c>
      <c r="D1686" s="22">
        <v>10418625.000000002</v>
      </c>
    </row>
    <row r="1687" spans="1:4" x14ac:dyDescent="0.25">
      <c r="A1687">
        <v>1723</v>
      </c>
      <c r="B1687" s="16">
        <v>43586</v>
      </c>
      <c r="C1687" t="s">
        <v>94</v>
      </c>
      <c r="D1687" s="22">
        <v>10418625.000000002</v>
      </c>
    </row>
    <row r="1688" spans="1:4" x14ac:dyDescent="0.25">
      <c r="A1688">
        <v>1723</v>
      </c>
      <c r="B1688" s="16">
        <v>43617</v>
      </c>
      <c r="C1688" t="s">
        <v>94</v>
      </c>
      <c r="D1688" s="22">
        <v>10418625.000000002</v>
      </c>
    </row>
    <row r="1689" spans="1:4" x14ac:dyDescent="0.25">
      <c r="A1689">
        <v>1723</v>
      </c>
      <c r="B1689" s="16">
        <v>43466</v>
      </c>
      <c r="C1689" t="s">
        <v>90</v>
      </c>
      <c r="D1689" s="22">
        <v>887666.85000000009</v>
      </c>
    </row>
    <row r="1690" spans="1:4" x14ac:dyDescent="0.25">
      <c r="A1690">
        <v>1723</v>
      </c>
      <c r="B1690" s="16">
        <v>43497</v>
      </c>
      <c r="C1690" t="s">
        <v>90</v>
      </c>
      <c r="D1690" s="22">
        <v>887666.85000000009</v>
      </c>
    </row>
    <row r="1691" spans="1:4" x14ac:dyDescent="0.25">
      <c r="A1691">
        <v>1723</v>
      </c>
      <c r="B1691" s="16">
        <v>43525</v>
      </c>
      <c r="C1691" t="s">
        <v>90</v>
      </c>
      <c r="D1691" s="22">
        <v>887666.85000000009</v>
      </c>
    </row>
    <row r="1692" spans="1:4" x14ac:dyDescent="0.25">
      <c r="A1692">
        <v>1723</v>
      </c>
      <c r="B1692" s="16">
        <v>43556</v>
      </c>
      <c r="C1692" t="s">
        <v>90</v>
      </c>
      <c r="D1692" s="22">
        <v>887666.85000000009</v>
      </c>
    </row>
    <row r="1693" spans="1:4" x14ac:dyDescent="0.25">
      <c r="A1693">
        <v>1723</v>
      </c>
      <c r="B1693" s="16">
        <v>43586</v>
      </c>
      <c r="C1693" t="s">
        <v>90</v>
      </c>
      <c r="D1693" s="22">
        <v>887666.85000000009</v>
      </c>
    </row>
    <row r="1694" spans="1:4" x14ac:dyDescent="0.25">
      <c r="A1694">
        <v>1723</v>
      </c>
      <c r="B1694" s="16">
        <v>43617</v>
      </c>
      <c r="C1694" t="s">
        <v>90</v>
      </c>
      <c r="D1694" s="22">
        <v>887666.85000000009</v>
      </c>
    </row>
    <row r="1695" spans="1:4" x14ac:dyDescent="0.25">
      <c r="A1695">
        <v>1723</v>
      </c>
      <c r="B1695" s="16">
        <v>43466</v>
      </c>
      <c r="C1695" t="s">
        <v>29</v>
      </c>
      <c r="D1695" s="22">
        <v>4514737.5000000009</v>
      </c>
    </row>
    <row r="1696" spans="1:4" x14ac:dyDescent="0.25">
      <c r="A1696">
        <v>1723</v>
      </c>
      <c r="B1696" s="16">
        <v>43497</v>
      </c>
      <c r="C1696" t="s">
        <v>29</v>
      </c>
      <c r="D1696" s="22">
        <v>4514737.5000000009</v>
      </c>
    </row>
    <row r="1697" spans="1:4" x14ac:dyDescent="0.25">
      <c r="A1697">
        <v>1723</v>
      </c>
      <c r="B1697" s="16">
        <v>43525</v>
      </c>
      <c r="C1697" t="s">
        <v>29</v>
      </c>
      <c r="D1697" s="22">
        <v>4514737.5000000009</v>
      </c>
    </row>
    <row r="1698" spans="1:4" x14ac:dyDescent="0.25">
      <c r="A1698">
        <v>1723</v>
      </c>
      <c r="B1698" s="16">
        <v>43556</v>
      </c>
      <c r="C1698" t="s">
        <v>29</v>
      </c>
      <c r="D1698" s="22">
        <v>4514737.5000000009</v>
      </c>
    </row>
    <row r="1699" spans="1:4" x14ac:dyDescent="0.25">
      <c r="A1699">
        <v>1723</v>
      </c>
      <c r="B1699" s="16">
        <v>43586</v>
      </c>
      <c r="C1699" t="s">
        <v>29</v>
      </c>
      <c r="D1699" s="22">
        <v>4514737.5000000009</v>
      </c>
    </row>
    <row r="1700" spans="1:4" x14ac:dyDescent="0.25">
      <c r="A1700">
        <v>1723</v>
      </c>
      <c r="B1700" s="16">
        <v>43617</v>
      </c>
      <c r="C1700" t="s">
        <v>29</v>
      </c>
      <c r="D1700" s="22">
        <v>4514737.5000000009</v>
      </c>
    </row>
    <row r="1701" spans="1:4" x14ac:dyDescent="0.25">
      <c r="A1701">
        <v>1723</v>
      </c>
      <c r="B1701" s="16">
        <v>43466</v>
      </c>
      <c r="C1701" t="s">
        <v>14</v>
      </c>
      <c r="D1701" s="22">
        <v>2448376.8750000005</v>
      </c>
    </row>
    <row r="1702" spans="1:4" x14ac:dyDescent="0.25">
      <c r="A1702">
        <v>1723</v>
      </c>
      <c r="B1702" s="16">
        <v>43497</v>
      </c>
      <c r="C1702" t="s">
        <v>14</v>
      </c>
      <c r="D1702" s="22">
        <v>2448376.8750000005</v>
      </c>
    </row>
    <row r="1703" spans="1:4" x14ac:dyDescent="0.25">
      <c r="A1703">
        <v>1723</v>
      </c>
      <c r="B1703" s="16">
        <v>43525</v>
      </c>
      <c r="C1703" t="s">
        <v>14</v>
      </c>
      <c r="D1703" s="22">
        <v>2448376.8750000005</v>
      </c>
    </row>
    <row r="1704" spans="1:4" x14ac:dyDescent="0.25">
      <c r="A1704">
        <v>1723</v>
      </c>
      <c r="B1704" s="16">
        <v>43556</v>
      </c>
      <c r="C1704" t="s">
        <v>14</v>
      </c>
      <c r="D1704" s="22">
        <v>2448376.8750000005</v>
      </c>
    </row>
    <row r="1705" spans="1:4" x14ac:dyDescent="0.25">
      <c r="A1705">
        <v>1723</v>
      </c>
      <c r="B1705" s="16">
        <v>43586</v>
      </c>
      <c r="C1705" t="s">
        <v>14</v>
      </c>
      <c r="D1705" s="22">
        <v>2448376.8750000005</v>
      </c>
    </row>
    <row r="1706" spans="1:4" x14ac:dyDescent="0.25">
      <c r="A1706">
        <v>1723</v>
      </c>
      <c r="B1706" s="16">
        <v>43617</v>
      </c>
      <c r="C1706" t="s">
        <v>14</v>
      </c>
      <c r="D1706" s="22">
        <v>2448376.8750000005</v>
      </c>
    </row>
    <row r="1707" spans="1:4" x14ac:dyDescent="0.25">
      <c r="A1707">
        <v>1723</v>
      </c>
      <c r="B1707" s="16">
        <v>43466</v>
      </c>
      <c r="C1707" t="s">
        <v>39</v>
      </c>
      <c r="D1707" s="22">
        <v>5903887.5000000009</v>
      </c>
    </row>
    <row r="1708" spans="1:4" x14ac:dyDescent="0.25">
      <c r="A1708">
        <v>1723</v>
      </c>
      <c r="B1708" s="16">
        <v>43497</v>
      </c>
      <c r="C1708" t="s">
        <v>39</v>
      </c>
      <c r="D1708" s="22">
        <v>5903887.5000000009</v>
      </c>
    </row>
    <row r="1709" spans="1:4" x14ac:dyDescent="0.25">
      <c r="A1709">
        <v>1723</v>
      </c>
      <c r="B1709" s="16">
        <v>43525</v>
      </c>
      <c r="C1709" t="s">
        <v>39</v>
      </c>
      <c r="D1709" s="22">
        <v>5903887.5000000009</v>
      </c>
    </row>
    <row r="1710" spans="1:4" x14ac:dyDescent="0.25">
      <c r="A1710">
        <v>1723</v>
      </c>
      <c r="B1710" s="16">
        <v>43556</v>
      </c>
      <c r="C1710" t="s">
        <v>39</v>
      </c>
      <c r="D1710" s="22">
        <v>5903887.5000000009</v>
      </c>
    </row>
    <row r="1711" spans="1:4" x14ac:dyDescent="0.25">
      <c r="A1711">
        <v>1723</v>
      </c>
      <c r="B1711" s="16">
        <v>43586</v>
      </c>
      <c r="C1711" t="s">
        <v>39</v>
      </c>
      <c r="D1711" s="22">
        <v>5903887.5000000009</v>
      </c>
    </row>
    <row r="1712" spans="1:4" x14ac:dyDescent="0.25">
      <c r="A1712">
        <v>1723</v>
      </c>
      <c r="B1712" s="16">
        <v>43617</v>
      </c>
      <c r="C1712" t="s">
        <v>39</v>
      </c>
      <c r="D1712" s="22">
        <v>5903887.5000000009</v>
      </c>
    </row>
    <row r="1713" spans="1:4" x14ac:dyDescent="0.25">
      <c r="A1713">
        <v>1723</v>
      </c>
      <c r="B1713" s="16">
        <v>43466</v>
      </c>
      <c r="C1713" t="s">
        <v>96</v>
      </c>
      <c r="D1713" s="22">
        <v>2604656.2500000005</v>
      </c>
    </row>
    <row r="1714" spans="1:4" x14ac:dyDescent="0.25">
      <c r="A1714">
        <v>1723</v>
      </c>
      <c r="B1714" s="16">
        <v>43497</v>
      </c>
      <c r="C1714" t="s">
        <v>96</v>
      </c>
      <c r="D1714" s="22">
        <v>2604656.2500000005</v>
      </c>
    </row>
    <row r="1715" spans="1:4" x14ac:dyDescent="0.25">
      <c r="A1715">
        <v>1723</v>
      </c>
      <c r="B1715" s="16">
        <v>43525</v>
      </c>
      <c r="C1715" t="s">
        <v>96</v>
      </c>
      <c r="D1715" s="22">
        <v>2604656.2500000005</v>
      </c>
    </row>
    <row r="1716" spans="1:4" x14ac:dyDescent="0.25">
      <c r="A1716">
        <v>1723</v>
      </c>
      <c r="B1716" s="16">
        <v>43556</v>
      </c>
      <c r="C1716" t="s">
        <v>96</v>
      </c>
      <c r="D1716" s="22">
        <v>2604656.2500000005</v>
      </c>
    </row>
    <row r="1717" spans="1:4" x14ac:dyDescent="0.25">
      <c r="A1717">
        <v>1723</v>
      </c>
      <c r="B1717" s="16">
        <v>43586</v>
      </c>
      <c r="C1717" t="s">
        <v>96</v>
      </c>
      <c r="D1717" s="22">
        <v>2604656.2500000005</v>
      </c>
    </row>
    <row r="1718" spans="1:4" x14ac:dyDescent="0.25">
      <c r="A1718">
        <v>1723</v>
      </c>
      <c r="B1718" s="16">
        <v>43617</v>
      </c>
      <c r="C1718" t="s">
        <v>96</v>
      </c>
      <c r="D1718" s="22">
        <v>2604656.2500000005</v>
      </c>
    </row>
    <row r="1719" spans="1:4" x14ac:dyDescent="0.25">
      <c r="A1719">
        <v>1723</v>
      </c>
      <c r="B1719" s="16">
        <v>43466</v>
      </c>
      <c r="C1719" t="s">
        <v>35</v>
      </c>
      <c r="D1719" s="22">
        <v>4049372.25</v>
      </c>
    </row>
    <row r="1720" spans="1:4" x14ac:dyDescent="0.25">
      <c r="A1720">
        <v>1723</v>
      </c>
      <c r="B1720" s="16">
        <v>43497</v>
      </c>
      <c r="C1720" t="s">
        <v>35</v>
      </c>
      <c r="D1720" s="22">
        <v>4049372.25</v>
      </c>
    </row>
    <row r="1721" spans="1:4" x14ac:dyDescent="0.25">
      <c r="A1721">
        <v>1723</v>
      </c>
      <c r="B1721" s="16">
        <v>43525</v>
      </c>
      <c r="C1721" t="s">
        <v>35</v>
      </c>
      <c r="D1721" s="22">
        <v>4049372.25</v>
      </c>
    </row>
    <row r="1722" spans="1:4" x14ac:dyDescent="0.25">
      <c r="A1722">
        <v>1723</v>
      </c>
      <c r="B1722" s="16">
        <v>43556</v>
      </c>
      <c r="C1722" t="s">
        <v>35</v>
      </c>
      <c r="D1722" s="22">
        <v>4049372.25</v>
      </c>
    </row>
    <row r="1723" spans="1:4" x14ac:dyDescent="0.25">
      <c r="A1723">
        <v>1723</v>
      </c>
      <c r="B1723" s="16">
        <v>43586</v>
      </c>
      <c r="C1723" t="s">
        <v>35</v>
      </c>
      <c r="D1723" s="22">
        <v>4049372.25</v>
      </c>
    </row>
    <row r="1724" spans="1:4" x14ac:dyDescent="0.25">
      <c r="A1724">
        <v>1723</v>
      </c>
      <c r="B1724" s="16">
        <v>43617</v>
      </c>
      <c r="C1724" t="s">
        <v>35</v>
      </c>
      <c r="D1724" s="22">
        <v>4049372.25</v>
      </c>
    </row>
    <row r="1725" spans="1:4" x14ac:dyDescent="0.25">
      <c r="A1725">
        <v>1723</v>
      </c>
      <c r="B1725" s="16">
        <v>43466</v>
      </c>
      <c r="C1725" t="s">
        <v>97</v>
      </c>
      <c r="D1725" s="22">
        <v>3718059.9750000001</v>
      </c>
    </row>
    <row r="1726" spans="1:4" x14ac:dyDescent="0.25">
      <c r="A1726">
        <v>1723</v>
      </c>
      <c r="B1726" s="16">
        <v>43497</v>
      </c>
      <c r="C1726" t="s">
        <v>97</v>
      </c>
      <c r="D1726" s="22">
        <v>3718059.9750000001</v>
      </c>
    </row>
    <row r="1727" spans="1:4" x14ac:dyDescent="0.25">
      <c r="A1727">
        <v>1723</v>
      </c>
      <c r="B1727" s="16">
        <v>43525</v>
      </c>
      <c r="C1727" t="s">
        <v>97</v>
      </c>
      <c r="D1727" s="22">
        <v>3718059.9750000001</v>
      </c>
    </row>
    <row r="1728" spans="1:4" x14ac:dyDescent="0.25">
      <c r="A1728">
        <v>1723</v>
      </c>
      <c r="B1728" s="16">
        <v>43556</v>
      </c>
      <c r="C1728" t="s">
        <v>97</v>
      </c>
      <c r="D1728" s="22">
        <v>3718059.9750000001</v>
      </c>
    </row>
    <row r="1729" spans="1:4" x14ac:dyDescent="0.25">
      <c r="A1729">
        <v>1723</v>
      </c>
      <c r="B1729" s="16">
        <v>43586</v>
      </c>
      <c r="C1729" t="s">
        <v>97</v>
      </c>
      <c r="D1729" s="22">
        <v>3718059.9750000001</v>
      </c>
    </row>
    <row r="1730" spans="1:4" x14ac:dyDescent="0.25">
      <c r="A1730">
        <v>1723</v>
      </c>
      <c r="B1730" s="16">
        <v>43617</v>
      </c>
      <c r="C1730" t="s">
        <v>97</v>
      </c>
      <c r="D1730" s="22">
        <v>3718059.9750000001</v>
      </c>
    </row>
    <row r="1731" spans="1:4" x14ac:dyDescent="0.25">
      <c r="A1731">
        <v>1723</v>
      </c>
      <c r="B1731" s="16">
        <v>43466</v>
      </c>
      <c r="C1731" t="s">
        <v>79</v>
      </c>
      <c r="D1731" s="22">
        <v>3718059.9750000001</v>
      </c>
    </row>
    <row r="1732" spans="1:4" x14ac:dyDescent="0.25">
      <c r="A1732">
        <v>1723</v>
      </c>
      <c r="B1732" s="16">
        <v>43497</v>
      </c>
      <c r="C1732" t="s">
        <v>79</v>
      </c>
      <c r="D1732" s="22">
        <v>3718059.9750000001</v>
      </c>
    </row>
    <row r="1733" spans="1:4" x14ac:dyDescent="0.25">
      <c r="A1733">
        <v>1723</v>
      </c>
      <c r="B1733" s="16">
        <v>43525</v>
      </c>
      <c r="C1733" t="s">
        <v>79</v>
      </c>
      <c r="D1733" s="22">
        <v>3718059.9750000001</v>
      </c>
    </row>
    <row r="1734" spans="1:4" x14ac:dyDescent="0.25">
      <c r="A1734">
        <v>1723</v>
      </c>
      <c r="B1734" s="16">
        <v>43556</v>
      </c>
      <c r="C1734" t="s">
        <v>79</v>
      </c>
      <c r="D1734" s="22">
        <v>3718059.9750000001</v>
      </c>
    </row>
    <row r="1735" spans="1:4" x14ac:dyDescent="0.25">
      <c r="A1735">
        <v>1723</v>
      </c>
      <c r="B1735" s="16">
        <v>43586</v>
      </c>
      <c r="C1735" t="s">
        <v>79</v>
      </c>
      <c r="D1735" s="22">
        <v>3718059.9750000001</v>
      </c>
    </row>
    <row r="1736" spans="1:4" x14ac:dyDescent="0.25">
      <c r="A1736">
        <v>1723</v>
      </c>
      <c r="B1736" s="16">
        <v>43617</v>
      </c>
      <c r="C1736" t="s">
        <v>79</v>
      </c>
      <c r="D1736" s="22">
        <v>3718059.9750000001</v>
      </c>
    </row>
    <row r="1737" spans="1:4" x14ac:dyDescent="0.25">
      <c r="A1737">
        <v>1723</v>
      </c>
      <c r="B1737" s="16">
        <v>43466</v>
      </c>
      <c r="C1737" t="s">
        <v>23</v>
      </c>
      <c r="D1737" s="22">
        <v>4049372.25</v>
      </c>
    </row>
    <row r="1738" spans="1:4" x14ac:dyDescent="0.25">
      <c r="A1738">
        <v>1723</v>
      </c>
      <c r="B1738" s="16">
        <v>43497</v>
      </c>
      <c r="C1738" t="s">
        <v>23</v>
      </c>
      <c r="D1738" s="22">
        <v>4049372.25</v>
      </c>
    </row>
    <row r="1739" spans="1:4" x14ac:dyDescent="0.25">
      <c r="A1739">
        <v>1723</v>
      </c>
      <c r="B1739" s="16">
        <v>43525</v>
      </c>
      <c r="C1739" t="s">
        <v>23</v>
      </c>
      <c r="D1739" s="22">
        <v>4049372.25</v>
      </c>
    </row>
    <row r="1740" spans="1:4" x14ac:dyDescent="0.25">
      <c r="A1740">
        <v>1723</v>
      </c>
      <c r="B1740" s="16">
        <v>43556</v>
      </c>
      <c r="C1740" t="s">
        <v>23</v>
      </c>
      <c r="D1740" s="22">
        <v>4049372.25</v>
      </c>
    </row>
    <row r="1741" spans="1:4" x14ac:dyDescent="0.25">
      <c r="A1741">
        <v>1723</v>
      </c>
      <c r="B1741" s="16">
        <v>43586</v>
      </c>
      <c r="C1741" t="s">
        <v>23</v>
      </c>
      <c r="D1741" s="22">
        <v>4049372.25</v>
      </c>
    </row>
    <row r="1742" spans="1:4" x14ac:dyDescent="0.25">
      <c r="A1742">
        <v>1723</v>
      </c>
      <c r="B1742" s="16">
        <v>43617</v>
      </c>
      <c r="C1742" t="s">
        <v>23</v>
      </c>
      <c r="D1742" s="22">
        <v>4049372.25</v>
      </c>
    </row>
    <row r="1743" spans="1:4" x14ac:dyDescent="0.25">
      <c r="A1743">
        <v>1723</v>
      </c>
      <c r="B1743" s="16">
        <v>43466</v>
      </c>
      <c r="C1743" t="s">
        <v>108</v>
      </c>
      <c r="D1743" s="22">
        <v>6221250</v>
      </c>
    </row>
    <row r="1744" spans="1:4" x14ac:dyDescent="0.25">
      <c r="A1744">
        <v>1723</v>
      </c>
      <c r="B1744" s="16">
        <v>43497</v>
      </c>
      <c r="C1744" t="s">
        <v>108</v>
      </c>
      <c r="D1744" s="22">
        <v>6221250</v>
      </c>
    </row>
    <row r="1745" spans="1:4" x14ac:dyDescent="0.25">
      <c r="A1745">
        <v>1723</v>
      </c>
      <c r="B1745" s="16">
        <v>43466</v>
      </c>
      <c r="C1745" t="s">
        <v>110</v>
      </c>
      <c r="D1745" s="22">
        <v>6221250</v>
      </c>
    </row>
    <row r="1746" spans="1:4" x14ac:dyDescent="0.25">
      <c r="A1746">
        <v>1723</v>
      </c>
      <c r="B1746" s="16">
        <v>43497</v>
      </c>
      <c r="C1746" t="s">
        <v>110</v>
      </c>
      <c r="D1746" s="22">
        <v>6221250</v>
      </c>
    </row>
    <row r="1747" spans="1:4" x14ac:dyDescent="0.25">
      <c r="A1747">
        <v>1723</v>
      </c>
      <c r="B1747" s="16">
        <v>43525</v>
      </c>
      <c r="C1747" t="s">
        <v>110</v>
      </c>
      <c r="D1747" s="22">
        <v>6221250</v>
      </c>
    </row>
    <row r="1748" spans="1:4" x14ac:dyDescent="0.25">
      <c r="A1748">
        <v>1723</v>
      </c>
      <c r="B1748" s="16">
        <v>43556</v>
      </c>
      <c r="C1748" t="s">
        <v>110</v>
      </c>
      <c r="D1748" s="22">
        <v>6221250</v>
      </c>
    </row>
    <row r="1749" spans="1:4" x14ac:dyDescent="0.25">
      <c r="A1749">
        <v>1723</v>
      </c>
      <c r="B1749" s="16">
        <v>43466</v>
      </c>
      <c r="C1749" t="s">
        <v>111</v>
      </c>
      <c r="D1749" s="22">
        <v>6221250</v>
      </c>
    </row>
    <row r="1750" spans="1:4" x14ac:dyDescent="0.25">
      <c r="A1750">
        <v>1723</v>
      </c>
      <c r="B1750" s="16">
        <v>43466</v>
      </c>
      <c r="C1750" t="s">
        <v>113</v>
      </c>
      <c r="D1750" s="22">
        <v>4123664.9999999995</v>
      </c>
    </row>
    <row r="1751" spans="1:4" x14ac:dyDescent="0.25">
      <c r="A1751">
        <v>1723</v>
      </c>
      <c r="B1751" s="16">
        <v>43497</v>
      </c>
      <c r="C1751" t="s">
        <v>113</v>
      </c>
      <c r="D1751" s="22">
        <v>4123664.9999999995</v>
      </c>
    </row>
    <row r="1752" spans="1:4" x14ac:dyDescent="0.25">
      <c r="A1752">
        <v>1723</v>
      </c>
      <c r="B1752" s="16">
        <v>43525</v>
      </c>
      <c r="C1752" t="s">
        <v>113</v>
      </c>
      <c r="D1752" s="22">
        <v>4123664.9999999995</v>
      </c>
    </row>
    <row r="1753" spans="1:4" x14ac:dyDescent="0.25">
      <c r="A1753">
        <v>1723</v>
      </c>
      <c r="B1753" s="16">
        <v>43466</v>
      </c>
      <c r="C1753" t="s">
        <v>23</v>
      </c>
      <c r="D1753" s="22">
        <v>4123664.9999999995</v>
      </c>
    </row>
    <row r="1754" spans="1:4" x14ac:dyDescent="0.25">
      <c r="A1754">
        <v>1723</v>
      </c>
      <c r="B1754" s="16">
        <v>43497</v>
      </c>
      <c r="C1754" t="s">
        <v>23</v>
      </c>
      <c r="D1754" s="22">
        <v>4123664.9999999995</v>
      </c>
    </row>
    <row r="1755" spans="1:4" x14ac:dyDescent="0.25">
      <c r="A1755">
        <v>1723</v>
      </c>
      <c r="B1755" s="16">
        <v>43525</v>
      </c>
      <c r="C1755" t="s">
        <v>23</v>
      </c>
      <c r="D1755" s="22">
        <v>4123664.9999999995</v>
      </c>
    </row>
    <row r="1756" spans="1:4" x14ac:dyDescent="0.25">
      <c r="A1756">
        <v>1723</v>
      </c>
      <c r="B1756" s="16">
        <v>43556</v>
      </c>
      <c r="C1756" t="s">
        <v>23</v>
      </c>
      <c r="D1756" s="22">
        <v>4123664.9999999995</v>
      </c>
    </row>
    <row r="1757" spans="1:4" x14ac:dyDescent="0.25">
      <c r="A1757">
        <v>1734</v>
      </c>
      <c r="B1757" s="16">
        <v>43466</v>
      </c>
      <c r="C1757" t="s">
        <v>19</v>
      </c>
      <c r="D1757" s="22">
        <v>3572100</v>
      </c>
    </row>
    <row r="1758" spans="1:4" x14ac:dyDescent="0.25">
      <c r="A1758">
        <v>1734</v>
      </c>
      <c r="B1758" s="16">
        <v>43497</v>
      </c>
      <c r="C1758" t="s">
        <v>19</v>
      </c>
      <c r="D1758" s="22">
        <v>3572100</v>
      </c>
    </row>
    <row r="1759" spans="1:4" x14ac:dyDescent="0.25">
      <c r="A1759">
        <v>1734</v>
      </c>
      <c r="B1759" s="16">
        <v>43525</v>
      </c>
      <c r="C1759" t="s">
        <v>19</v>
      </c>
      <c r="D1759" s="22">
        <v>3572100</v>
      </c>
    </row>
    <row r="1760" spans="1:4" x14ac:dyDescent="0.25">
      <c r="A1760">
        <v>1734</v>
      </c>
      <c r="B1760" s="16">
        <v>43556</v>
      </c>
      <c r="C1760" t="s">
        <v>19</v>
      </c>
      <c r="D1760" s="22">
        <v>3572100</v>
      </c>
    </row>
    <row r="1761" spans="1:4" x14ac:dyDescent="0.25">
      <c r="A1761">
        <v>1734</v>
      </c>
      <c r="B1761" s="16">
        <v>43586</v>
      </c>
      <c r="C1761" t="s">
        <v>19</v>
      </c>
      <c r="D1761" s="22">
        <v>3572100</v>
      </c>
    </row>
    <row r="1762" spans="1:4" x14ac:dyDescent="0.25">
      <c r="A1762">
        <v>1734</v>
      </c>
      <c r="B1762" s="16">
        <v>43617</v>
      </c>
      <c r="C1762" t="s">
        <v>19</v>
      </c>
      <c r="D1762" s="22">
        <v>3572100</v>
      </c>
    </row>
    <row r="1763" spans="1:4" x14ac:dyDescent="0.25">
      <c r="A1763">
        <v>1734</v>
      </c>
      <c r="B1763" s="16">
        <v>43647</v>
      </c>
      <c r="C1763" t="s">
        <v>19</v>
      </c>
      <c r="D1763" s="22">
        <v>3572100</v>
      </c>
    </row>
    <row r="1764" spans="1:4" x14ac:dyDescent="0.25">
      <c r="A1764">
        <v>1734</v>
      </c>
      <c r="B1764" s="16">
        <v>43678</v>
      </c>
      <c r="C1764" t="s">
        <v>19</v>
      </c>
      <c r="D1764" s="22">
        <v>3572100</v>
      </c>
    </row>
    <row r="1765" spans="1:4" x14ac:dyDescent="0.25">
      <c r="A1765">
        <v>1734</v>
      </c>
      <c r="B1765" s="16">
        <v>43709</v>
      </c>
      <c r="C1765" t="s">
        <v>19</v>
      </c>
      <c r="D1765" s="22">
        <v>3572100</v>
      </c>
    </row>
    <row r="1766" spans="1:4" x14ac:dyDescent="0.25">
      <c r="A1766">
        <v>1734</v>
      </c>
      <c r="B1766" s="16">
        <v>43739</v>
      </c>
      <c r="C1766" t="s">
        <v>19</v>
      </c>
      <c r="D1766" s="22">
        <v>3572100</v>
      </c>
    </row>
    <row r="1767" spans="1:4" x14ac:dyDescent="0.25">
      <c r="A1767">
        <v>1734</v>
      </c>
      <c r="B1767" s="16">
        <v>43770</v>
      </c>
      <c r="C1767" t="s">
        <v>19</v>
      </c>
      <c r="D1767" s="22">
        <v>3572100</v>
      </c>
    </row>
    <row r="1768" spans="1:4" x14ac:dyDescent="0.25">
      <c r="A1768">
        <v>1734</v>
      </c>
      <c r="B1768" s="16">
        <v>43800</v>
      </c>
      <c r="C1768" t="s">
        <v>19</v>
      </c>
      <c r="D1768" s="22">
        <v>3572100</v>
      </c>
    </row>
    <row r="1769" spans="1:4" x14ac:dyDescent="0.25">
      <c r="A1769">
        <v>1734</v>
      </c>
      <c r="B1769" s="16">
        <v>43831</v>
      </c>
      <c r="C1769" t="s">
        <v>19</v>
      </c>
      <c r="D1769" s="22">
        <v>3572100</v>
      </c>
    </row>
    <row r="1770" spans="1:4" x14ac:dyDescent="0.25">
      <c r="A1770">
        <v>1734</v>
      </c>
      <c r="B1770" s="16">
        <v>43862</v>
      </c>
      <c r="C1770" t="s">
        <v>19</v>
      </c>
      <c r="D1770" s="22">
        <v>3572100</v>
      </c>
    </row>
    <row r="1771" spans="1:4" x14ac:dyDescent="0.25">
      <c r="A1771">
        <v>1734</v>
      </c>
      <c r="B1771" s="16">
        <v>43891</v>
      </c>
      <c r="C1771" t="s">
        <v>19</v>
      </c>
      <c r="D1771" s="22">
        <v>3572100</v>
      </c>
    </row>
    <row r="1772" spans="1:4" x14ac:dyDescent="0.25">
      <c r="A1772">
        <v>1734</v>
      </c>
      <c r="B1772" s="16">
        <v>43922</v>
      </c>
      <c r="C1772" t="s">
        <v>19</v>
      </c>
      <c r="D1772" s="22">
        <v>3572100</v>
      </c>
    </row>
    <row r="1773" spans="1:4" x14ac:dyDescent="0.25">
      <c r="A1773">
        <v>1734</v>
      </c>
      <c r="B1773" s="16">
        <v>43952</v>
      </c>
      <c r="C1773" t="s">
        <v>19</v>
      </c>
      <c r="D1773" s="22">
        <v>3572100</v>
      </c>
    </row>
    <row r="1774" spans="1:4" x14ac:dyDescent="0.25">
      <c r="A1774">
        <v>1734</v>
      </c>
      <c r="B1774" s="16">
        <v>43983</v>
      </c>
      <c r="C1774" t="s">
        <v>19</v>
      </c>
      <c r="D1774" s="22">
        <v>3572100</v>
      </c>
    </row>
    <row r="1775" spans="1:4" x14ac:dyDescent="0.25">
      <c r="A1775">
        <v>1734</v>
      </c>
      <c r="B1775" s="16">
        <v>44013</v>
      </c>
      <c r="C1775" t="s">
        <v>19</v>
      </c>
      <c r="D1775" s="22">
        <v>3572100</v>
      </c>
    </row>
    <row r="1776" spans="1:4" x14ac:dyDescent="0.25">
      <c r="A1776">
        <v>1734</v>
      </c>
      <c r="B1776" s="16">
        <v>44044</v>
      </c>
      <c r="C1776" t="s">
        <v>19</v>
      </c>
      <c r="D1776" s="22">
        <v>3572100</v>
      </c>
    </row>
    <row r="1777" spans="1:4" x14ac:dyDescent="0.25">
      <c r="A1777">
        <v>1734</v>
      </c>
      <c r="B1777" s="16">
        <v>44075</v>
      </c>
      <c r="C1777" t="s">
        <v>19</v>
      </c>
      <c r="D1777" s="22">
        <v>3572100</v>
      </c>
    </row>
    <row r="1778" spans="1:4" x14ac:dyDescent="0.25">
      <c r="A1778">
        <v>1734</v>
      </c>
      <c r="B1778" s="16">
        <v>43466</v>
      </c>
      <c r="C1778" t="s">
        <v>12</v>
      </c>
      <c r="D1778" s="22">
        <v>10087875</v>
      </c>
    </row>
    <row r="1779" spans="1:4" x14ac:dyDescent="0.25">
      <c r="A1779">
        <v>1734</v>
      </c>
      <c r="B1779" s="16">
        <v>43497</v>
      </c>
      <c r="C1779" t="s">
        <v>12</v>
      </c>
      <c r="D1779" s="22">
        <v>10087875</v>
      </c>
    </row>
    <row r="1780" spans="1:4" x14ac:dyDescent="0.25">
      <c r="A1780">
        <v>1734</v>
      </c>
      <c r="B1780" s="16">
        <v>43525</v>
      </c>
      <c r="C1780" t="s">
        <v>12</v>
      </c>
      <c r="D1780" s="22">
        <v>10087875</v>
      </c>
    </row>
    <row r="1781" spans="1:4" x14ac:dyDescent="0.25">
      <c r="A1781">
        <v>1734</v>
      </c>
      <c r="B1781" s="16">
        <v>43556</v>
      </c>
      <c r="C1781" t="s">
        <v>12</v>
      </c>
      <c r="D1781" s="22">
        <v>10087875</v>
      </c>
    </row>
    <row r="1782" spans="1:4" x14ac:dyDescent="0.25">
      <c r="A1782">
        <v>1734</v>
      </c>
      <c r="B1782" s="16">
        <v>43586</v>
      </c>
      <c r="C1782" t="s">
        <v>12</v>
      </c>
      <c r="D1782" s="22">
        <v>10087875</v>
      </c>
    </row>
    <row r="1783" spans="1:4" x14ac:dyDescent="0.25">
      <c r="A1783">
        <v>1734</v>
      </c>
      <c r="B1783" s="16">
        <v>43617</v>
      </c>
      <c r="C1783" t="s">
        <v>12</v>
      </c>
      <c r="D1783" s="22">
        <v>10087875</v>
      </c>
    </row>
    <row r="1784" spans="1:4" x14ac:dyDescent="0.25">
      <c r="A1784">
        <v>1734</v>
      </c>
      <c r="B1784" s="16">
        <v>43647</v>
      </c>
      <c r="C1784" t="s">
        <v>12</v>
      </c>
      <c r="D1784" s="22">
        <v>10087875</v>
      </c>
    </row>
    <row r="1785" spans="1:4" x14ac:dyDescent="0.25">
      <c r="A1785">
        <v>1734</v>
      </c>
      <c r="B1785" s="16">
        <v>43678</v>
      </c>
      <c r="C1785" t="s">
        <v>12</v>
      </c>
      <c r="D1785" s="22">
        <v>10087875</v>
      </c>
    </row>
    <row r="1786" spans="1:4" x14ac:dyDescent="0.25">
      <c r="A1786">
        <v>1734</v>
      </c>
      <c r="B1786" s="16">
        <v>43709</v>
      </c>
      <c r="C1786" t="s">
        <v>12</v>
      </c>
      <c r="D1786" s="22">
        <v>10087875</v>
      </c>
    </row>
    <row r="1787" spans="1:4" x14ac:dyDescent="0.25">
      <c r="A1787">
        <v>1734</v>
      </c>
      <c r="B1787" s="16">
        <v>43739</v>
      </c>
      <c r="C1787" t="s">
        <v>12</v>
      </c>
      <c r="D1787" s="22">
        <v>10087875</v>
      </c>
    </row>
    <row r="1788" spans="1:4" x14ac:dyDescent="0.25">
      <c r="A1788">
        <v>1734</v>
      </c>
      <c r="B1788" s="16">
        <v>43770</v>
      </c>
      <c r="C1788" t="s">
        <v>12</v>
      </c>
      <c r="D1788" s="22">
        <v>10087875</v>
      </c>
    </row>
    <row r="1789" spans="1:4" x14ac:dyDescent="0.25">
      <c r="A1789">
        <v>1734</v>
      </c>
      <c r="B1789" s="16">
        <v>43800</v>
      </c>
      <c r="C1789" t="s">
        <v>12</v>
      </c>
      <c r="D1789" s="22">
        <v>10087875</v>
      </c>
    </row>
    <row r="1790" spans="1:4" x14ac:dyDescent="0.25">
      <c r="A1790">
        <v>1734</v>
      </c>
      <c r="B1790" s="16">
        <v>43831</v>
      </c>
      <c r="C1790" t="s">
        <v>12</v>
      </c>
      <c r="D1790" s="22">
        <v>10087875</v>
      </c>
    </row>
    <row r="1791" spans="1:4" x14ac:dyDescent="0.25">
      <c r="A1791">
        <v>1734</v>
      </c>
      <c r="B1791" s="16">
        <v>43862</v>
      </c>
      <c r="C1791" t="s">
        <v>12</v>
      </c>
      <c r="D1791" s="22">
        <v>10087875</v>
      </c>
    </row>
    <row r="1792" spans="1:4" x14ac:dyDescent="0.25">
      <c r="A1792">
        <v>1734</v>
      </c>
      <c r="B1792" s="16">
        <v>43891</v>
      </c>
      <c r="C1792" t="s">
        <v>12</v>
      </c>
      <c r="D1792" s="22">
        <v>10087875</v>
      </c>
    </row>
    <row r="1793" spans="1:4" x14ac:dyDescent="0.25">
      <c r="A1793">
        <v>1734</v>
      </c>
      <c r="B1793" s="16">
        <v>43922</v>
      </c>
      <c r="C1793" t="s">
        <v>12</v>
      </c>
      <c r="D1793" s="22">
        <v>10087875</v>
      </c>
    </row>
    <row r="1794" spans="1:4" x14ac:dyDescent="0.25">
      <c r="A1794">
        <v>1734</v>
      </c>
      <c r="B1794" s="16">
        <v>43952</v>
      </c>
      <c r="C1794" t="s">
        <v>12</v>
      </c>
      <c r="D1794" s="22">
        <v>10087875</v>
      </c>
    </row>
    <row r="1795" spans="1:4" x14ac:dyDescent="0.25">
      <c r="A1795">
        <v>1734</v>
      </c>
      <c r="B1795" s="16">
        <v>43983</v>
      </c>
      <c r="C1795" t="s">
        <v>12</v>
      </c>
      <c r="D1795" s="22">
        <v>10087875</v>
      </c>
    </row>
    <row r="1796" spans="1:4" x14ac:dyDescent="0.25">
      <c r="A1796">
        <v>1734</v>
      </c>
      <c r="B1796" s="16">
        <v>44013</v>
      </c>
      <c r="C1796" t="s">
        <v>12</v>
      </c>
      <c r="D1796" s="22">
        <v>10087875</v>
      </c>
    </row>
    <row r="1797" spans="1:4" x14ac:dyDescent="0.25">
      <c r="A1797">
        <v>1734</v>
      </c>
      <c r="B1797" s="16">
        <v>44044</v>
      </c>
      <c r="C1797" t="s">
        <v>12</v>
      </c>
      <c r="D1797" s="22">
        <v>10087875</v>
      </c>
    </row>
    <row r="1798" spans="1:4" x14ac:dyDescent="0.25">
      <c r="A1798">
        <v>1734</v>
      </c>
      <c r="B1798" s="16">
        <v>44075</v>
      </c>
      <c r="C1798" t="s">
        <v>12</v>
      </c>
      <c r="D1798" s="22">
        <v>10087875</v>
      </c>
    </row>
    <row r="1799" spans="1:4" x14ac:dyDescent="0.25">
      <c r="A1799">
        <v>1734</v>
      </c>
      <c r="B1799" s="16">
        <v>43466</v>
      </c>
      <c r="C1799" t="s">
        <v>30</v>
      </c>
      <c r="D1799" s="22">
        <v>7594316.1000000006</v>
      </c>
    </row>
    <row r="1800" spans="1:4" x14ac:dyDescent="0.25">
      <c r="A1800">
        <v>1734</v>
      </c>
      <c r="B1800" s="16">
        <v>43497</v>
      </c>
      <c r="C1800" t="s">
        <v>30</v>
      </c>
      <c r="D1800" s="22">
        <v>7594316.1000000006</v>
      </c>
    </row>
    <row r="1801" spans="1:4" x14ac:dyDescent="0.25">
      <c r="A1801">
        <v>1734</v>
      </c>
      <c r="B1801" s="16">
        <v>43525</v>
      </c>
      <c r="C1801" t="s">
        <v>30</v>
      </c>
      <c r="D1801" s="22">
        <v>7594316.1000000006</v>
      </c>
    </row>
    <row r="1802" spans="1:4" x14ac:dyDescent="0.25">
      <c r="A1802">
        <v>1734</v>
      </c>
      <c r="B1802" s="16">
        <v>43556</v>
      </c>
      <c r="C1802" t="s">
        <v>30</v>
      </c>
      <c r="D1802" s="22">
        <v>7594316.1000000006</v>
      </c>
    </row>
    <row r="1803" spans="1:4" x14ac:dyDescent="0.25">
      <c r="A1803">
        <v>1734</v>
      </c>
      <c r="B1803" s="16">
        <v>43586</v>
      </c>
      <c r="C1803" t="s">
        <v>30</v>
      </c>
      <c r="D1803" s="22">
        <v>7594316.1000000006</v>
      </c>
    </row>
    <row r="1804" spans="1:4" x14ac:dyDescent="0.25">
      <c r="A1804">
        <v>1734</v>
      </c>
      <c r="B1804" s="16">
        <v>43617</v>
      </c>
      <c r="C1804" t="s">
        <v>30</v>
      </c>
      <c r="D1804" s="22">
        <v>7594316.1000000006</v>
      </c>
    </row>
    <row r="1805" spans="1:4" x14ac:dyDescent="0.25">
      <c r="A1805">
        <v>1734</v>
      </c>
      <c r="B1805" s="16">
        <v>43647</v>
      </c>
      <c r="C1805" t="s">
        <v>30</v>
      </c>
      <c r="D1805" s="22">
        <v>7594316.1000000006</v>
      </c>
    </row>
    <row r="1806" spans="1:4" x14ac:dyDescent="0.25">
      <c r="A1806">
        <v>1734</v>
      </c>
      <c r="B1806" s="16">
        <v>43678</v>
      </c>
      <c r="C1806" t="s">
        <v>30</v>
      </c>
      <c r="D1806" s="22">
        <v>7594316.1000000006</v>
      </c>
    </row>
    <row r="1807" spans="1:4" x14ac:dyDescent="0.25">
      <c r="A1807">
        <v>1734</v>
      </c>
      <c r="B1807" s="16">
        <v>43709</v>
      </c>
      <c r="C1807" t="s">
        <v>30</v>
      </c>
      <c r="D1807" s="22">
        <v>7594316.1000000006</v>
      </c>
    </row>
    <row r="1808" spans="1:4" x14ac:dyDescent="0.25">
      <c r="A1808">
        <v>1734</v>
      </c>
      <c r="B1808" s="16">
        <v>43739</v>
      </c>
      <c r="C1808" t="s">
        <v>30</v>
      </c>
      <c r="D1808" s="22">
        <v>7594316.1000000006</v>
      </c>
    </row>
    <row r="1809" spans="1:4" x14ac:dyDescent="0.25">
      <c r="A1809">
        <v>1734</v>
      </c>
      <c r="B1809" s="16">
        <v>43770</v>
      </c>
      <c r="C1809" t="s">
        <v>30</v>
      </c>
      <c r="D1809" s="22">
        <v>7594316.1000000006</v>
      </c>
    </row>
    <row r="1810" spans="1:4" x14ac:dyDescent="0.25">
      <c r="A1810">
        <v>1734</v>
      </c>
      <c r="B1810" s="16">
        <v>43800</v>
      </c>
      <c r="C1810" t="s">
        <v>30</v>
      </c>
      <c r="D1810" s="22">
        <v>7594316.1000000006</v>
      </c>
    </row>
    <row r="1811" spans="1:4" x14ac:dyDescent="0.25">
      <c r="A1811">
        <v>1734</v>
      </c>
      <c r="B1811" s="16">
        <v>43831</v>
      </c>
      <c r="C1811" t="s">
        <v>30</v>
      </c>
      <c r="D1811" s="22">
        <v>7594316.1000000006</v>
      </c>
    </row>
    <row r="1812" spans="1:4" x14ac:dyDescent="0.25">
      <c r="A1812">
        <v>1734</v>
      </c>
      <c r="B1812" s="16">
        <v>43862</v>
      </c>
      <c r="C1812" t="s">
        <v>30</v>
      </c>
      <c r="D1812" s="22">
        <v>7594316.1000000006</v>
      </c>
    </row>
    <row r="1813" spans="1:4" x14ac:dyDescent="0.25">
      <c r="A1813">
        <v>1734</v>
      </c>
      <c r="B1813" s="16">
        <v>43891</v>
      </c>
      <c r="C1813" t="s">
        <v>30</v>
      </c>
      <c r="D1813" s="22">
        <v>7594316.1000000006</v>
      </c>
    </row>
    <row r="1814" spans="1:4" x14ac:dyDescent="0.25">
      <c r="A1814">
        <v>1734</v>
      </c>
      <c r="B1814" s="16">
        <v>43922</v>
      </c>
      <c r="C1814" t="s">
        <v>30</v>
      </c>
      <c r="D1814" s="22">
        <v>7594316.1000000006</v>
      </c>
    </row>
    <row r="1815" spans="1:4" x14ac:dyDescent="0.25">
      <c r="A1815">
        <v>1734</v>
      </c>
      <c r="B1815" s="16">
        <v>43952</v>
      </c>
      <c r="C1815" t="s">
        <v>30</v>
      </c>
      <c r="D1815" s="22">
        <v>7594316.1000000006</v>
      </c>
    </row>
    <row r="1816" spans="1:4" x14ac:dyDescent="0.25">
      <c r="A1816">
        <v>1734</v>
      </c>
      <c r="B1816" s="16">
        <v>43983</v>
      </c>
      <c r="C1816" t="s">
        <v>30</v>
      </c>
      <c r="D1816" s="22">
        <v>7594316.1000000006</v>
      </c>
    </row>
    <row r="1817" spans="1:4" x14ac:dyDescent="0.25">
      <c r="A1817">
        <v>1734</v>
      </c>
      <c r="B1817" s="16">
        <v>44013</v>
      </c>
      <c r="C1817" t="s">
        <v>30</v>
      </c>
      <c r="D1817" s="22">
        <v>7594316.1000000006</v>
      </c>
    </row>
    <row r="1818" spans="1:4" x14ac:dyDescent="0.25">
      <c r="A1818">
        <v>1734</v>
      </c>
      <c r="B1818" s="16">
        <v>44044</v>
      </c>
      <c r="C1818" t="s">
        <v>30</v>
      </c>
      <c r="D1818" s="22">
        <v>7594316.1000000006</v>
      </c>
    </row>
    <row r="1819" spans="1:4" x14ac:dyDescent="0.25">
      <c r="A1819">
        <v>1734</v>
      </c>
      <c r="B1819" s="16">
        <v>44075</v>
      </c>
      <c r="C1819" t="s">
        <v>30</v>
      </c>
      <c r="D1819" s="22">
        <v>7594316.1000000006</v>
      </c>
    </row>
    <row r="1820" spans="1:4" x14ac:dyDescent="0.25">
      <c r="A1820">
        <v>1734</v>
      </c>
      <c r="B1820" s="16">
        <v>43466</v>
      </c>
      <c r="C1820" t="s">
        <v>39</v>
      </c>
      <c r="D1820" s="22">
        <v>7594316.1000000006</v>
      </c>
    </row>
    <row r="1821" spans="1:4" x14ac:dyDescent="0.25">
      <c r="A1821">
        <v>1734</v>
      </c>
      <c r="B1821" s="16">
        <v>43497</v>
      </c>
      <c r="C1821" t="s">
        <v>39</v>
      </c>
      <c r="D1821" s="22">
        <v>7594316.1000000006</v>
      </c>
    </row>
    <row r="1822" spans="1:4" x14ac:dyDescent="0.25">
      <c r="A1822">
        <v>1734</v>
      </c>
      <c r="B1822" s="16">
        <v>43525</v>
      </c>
      <c r="C1822" t="s">
        <v>39</v>
      </c>
      <c r="D1822" s="22">
        <v>7594316.1000000006</v>
      </c>
    </row>
    <row r="1823" spans="1:4" x14ac:dyDescent="0.25">
      <c r="A1823">
        <v>1734</v>
      </c>
      <c r="B1823" s="16">
        <v>43556</v>
      </c>
      <c r="C1823" t="s">
        <v>39</v>
      </c>
      <c r="D1823" s="22">
        <v>7594316.1000000006</v>
      </c>
    </row>
    <row r="1824" spans="1:4" x14ac:dyDescent="0.25">
      <c r="A1824">
        <v>1734</v>
      </c>
      <c r="B1824" s="16">
        <v>43586</v>
      </c>
      <c r="C1824" t="s">
        <v>39</v>
      </c>
      <c r="D1824" s="22">
        <v>7594316.1000000006</v>
      </c>
    </row>
    <row r="1825" spans="1:4" x14ac:dyDescent="0.25">
      <c r="A1825">
        <v>1734</v>
      </c>
      <c r="B1825" s="16">
        <v>43617</v>
      </c>
      <c r="C1825" t="s">
        <v>39</v>
      </c>
      <c r="D1825" s="22">
        <v>7594316.1000000006</v>
      </c>
    </row>
    <row r="1826" spans="1:4" x14ac:dyDescent="0.25">
      <c r="A1826">
        <v>1734</v>
      </c>
      <c r="B1826" s="16">
        <v>43647</v>
      </c>
      <c r="C1826" t="s">
        <v>39</v>
      </c>
      <c r="D1826" s="22">
        <v>7594316.1000000006</v>
      </c>
    </row>
    <row r="1827" spans="1:4" x14ac:dyDescent="0.25">
      <c r="A1827">
        <v>1734</v>
      </c>
      <c r="B1827" s="16">
        <v>43678</v>
      </c>
      <c r="C1827" t="s">
        <v>39</v>
      </c>
      <c r="D1827" s="22">
        <v>7594316.1000000006</v>
      </c>
    </row>
    <row r="1828" spans="1:4" x14ac:dyDescent="0.25">
      <c r="A1828">
        <v>1734</v>
      </c>
      <c r="B1828" s="16">
        <v>43709</v>
      </c>
      <c r="C1828" t="s">
        <v>39</v>
      </c>
      <c r="D1828" s="22">
        <v>7594316.1000000006</v>
      </c>
    </row>
    <row r="1829" spans="1:4" x14ac:dyDescent="0.25">
      <c r="A1829">
        <v>1734</v>
      </c>
      <c r="B1829" s="16">
        <v>43739</v>
      </c>
      <c r="C1829" t="s">
        <v>39</v>
      </c>
      <c r="D1829" s="22">
        <v>7594316.1000000006</v>
      </c>
    </row>
    <row r="1830" spans="1:4" x14ac:dyDescent="0.25">
      <c r="A1830">
        <v>1734</v>
      </c>
      <c r="B1830" s="16">
        <v>43770</v>
      </c>
      <c r="C1830" t="s">
        <v>39</v>
      </c>
      <c r="D1830" s="22">
        <v>7594316.1000000006</v>
      </c>
    </row>
    <row r="1831" spans="1:4" x14ac:dyDescent="0.25">
      <c r="A1831">
        <v>1734</v>
      </c>
      <c r="B1831" s="16">
        <v>43800</v>
      </c>
      <c r="C1831" t="s">
        <v>39</v>
      </c>
      <c r="D1831" s="22">
        <v>7594316.1000000006</v>
      </c>
    </row>
    <row r="1832" spans="1:4" x14ac:dyDescent="0.25">
      <c r="A1832">
        <v>1734</v>
      </c>
      <c r="B1832" s="16">
        <v>43831</v>
      </c>
      <c r="C1832" t="s">
        <v>39</v>
      </c>
      <c r="D1832" s="22">
        <v>7594316.1000000006</v>
      </c>
    </row>
    <row r="1833" spans="1:4" x14ac:dyDescent="0.25">
      <c r="A1833">
        <v>1734</v>
      </c>
      <c r="B1833" s="16">
        <v>43862</v>
      </c>
      <c r="C1833" t="s">
        <v>39</v>
      </c>
      <c r="D1833" s="22">
        <v>7594316.1000000006</v>
      </c>
    </row>
    <row r="1834" spans="1:4" x14ac:dyDescent="0.25">
      <c r="A1834">
        <v>1734</v>
      </c>
      <c r="B1834" s="16">
        <v>43891</v>
      </c>
      <c r="C1834" t="s">
        <v>39</v>
      </c>
      <c r="D1834" s="22">
        <v>7594316.1000000006</v>
      </c>
    </row>
    <row r="1835" spans="1:4" x14ac:dyDescent="0.25">
      <c r="A1835">
        <v>1734</v>
      </c>
      <c r="B1835" s="16">
        <v>43922</v>
      </c>
      <c r="C1835" t="s">
        <v>39</v>
      </c>
      <c r="D1835" s="22">
        <v>7594316.1000000006</v>
      </c>
    </row>
    <row r="1836" spans="1:4" x14ac:dyDescent="0.25">
      <c r="A1836">
        <v>1734</v>
      </c>
      <c r="B1836" s="16">
        <v>43952</v>
      </c>
      <c r="C1836" t="s">
        <v>39</v>
      </c>
      <c r="D1836" s="22">
        <v>7594316.1000000006</v>
      </c>
    </row>
    <row r="1837" spans="1:4" x14ac:dyDescent="0.25">
      <c r="A1837">
        <v>1734</v>
      </c>
      <c r="B1837" s="16">
        <v>43983</v>
      </c>
      <c r="C1837" t="s">
        <v>39</v>
      </c>
      <c r="D1837" s="22">
        <v>7594316.1000000006</v>
      </c>
    </row>
    <row r="1838" spans="1:4" x14ac:dyDescent="0.25">
      <c r="A1838">
        <v>1734</v>
      </c>
      <c r="B1838" s="16">
        <v>44013</v>
      </c>
      <c r="C1838" t="s">
        <v>39</v>
      </c>
      <c r="D1838" s="22">
        <v>7594316.1000000006</v>
      </c>
    </row>
    <row r="1839" spans="1:4" x14ac:dyDescent="0.25">
      <c r="A1839">
        <v>1734</v>
      </c>
      <c r="B1839" s="16">
        <v>44044</v>
      </c>
      <c r="C1839" t="s">
        <v>39</v>
      </c>
      <c r="D1839" s="22">
        <v>7594316.1000000006</v>
      </c>
    </row>
    <row r="1840" spans="1:4" x14ac:dyDescent="0.25">
      <c r="A1840">
        <v>1734</v>
      </c>
      <c r="B1840" s="16">
        <v>44075</v>
      </c>
      <c r="C1840" t="s">
        <v>39</v>
      </c>
      <c r="D1840" s="22">
        <v>7594316.1000000006</v>
      </c>
    </row>
    <row r="1841" spans="1:4" x14ac:dyDescent="0.25">
      <c r="A1841">
        <v>1734</v>
      </c>
      <c r="B1841" s="16">
        <v>43647</v>
      </c>
      <c r="C1841" t="s">
        <v>34</v>
      </c>
      <c r="D1841" s="22">
        <v>7594316.1000000006</v>
      </c>
    </row>
    <row r="1842" spans="1:4" x14ac:dyDescent="0.25">
      <c r="A1842">
        <v>1734</v>
      </c>
      <c r="B1842" s="16">
        <v>43678</v>
      </c>
      <c r="C1842" t="s">
        <v>34</v>
      </c>
      <c r="D1842" s="22">
        <v>7594316.1000000006</v>
      </c>
    </row>
    <row r="1843" spans="1:4" x14ac:dyDescent="0.25">
      <c r="A1843">
        <v>1734</v>
      </c>
      <c r="B1843" s="16">
        <v>43709</v>
      </c>
      <c r="C1843" t="s">
        <v>34</v>
      </c>
      <c r="D1843" s="22">
        <v>7594316.1000000006</v>
      </c>
    </row>
    <row r="1844" spans="1:4" x14ac:dyDescent="0.25">
      <c r="A1844">
        <v>1734</v>
      </c>
      <c r="B1844" s="16">
        <v>43739</v>
      </c>
      <c r="C1844" t="s">
        <v>34</v>
      </c>
      <c r="D1844" s="22">
        <v>7594316.1000000006</v>
      </c>
    </row>
    <row r="1845" spans="1:4" x14ac:dyDescent="0.25">
      <c r="A1845">
        <v>1734</v>
      </c>
      <c r="B1845" s="16">
        <v>43770</v>
      </c>
      <c r="C1845" t="s">
        <v>34</v>
      </c>
      <c r="D1845" s="22">
        <v>7594316.1000000006</v>
      </c>
    </row>
    <row r="1846" spans="1:4" x14ac:dyDescent="0.25">
      <c r="A1846">
        <v>1734</v>
      </c>
      <c r="B1846" s="16">
        <v>43800</v>
      </c>
      <c r="C1846" t="s">
        <v>34</v>
      </c>
      <c r="D1846" s="22">
        <v>7594316.1000000006</v>
      </c>
    </row>
    <row r="1847" spans="1:4" x14ac:dyDescent="0.25">
      <c r="A1847">
        <v>1734</v>
      </c>
      <c r="B1847" s="16">
        <v>43831</v>
      </c>
      <c r="C1847" t="s">
        <v>34</v>
      </c>
      <c r="D1847" s="22">
        <v>7594316.1000000006</v>
      </c>
    </row>
    <row r="1848" spans="1:4" x14ac:dyDescent="0.25">
      <c r="A1848">
        <v>1734</v>
      </c>
      <c r="B1848" s="16">
        <v>43862</v>
      </c>
      <c r="C1848" t="s">
        <v>34</v>
      </c>
      <c r="D1848" s="22">
        <v>7594316.1000000006</v>
      </c>
    </row>
    <row r="1849" spans="1:4" x14ac:dyDescent="0.25">
      <c r="A1849">
        <v>1734</v>
      </c>
      <c r="B1849" s="16">
        <v>43891</v>
      </c>
      <c r="C1849" t="s">
        <v>34</v>
      </c>
      <c r="D1849" s="22">
        <v>7594316.1000000006</v>
      </c>
    </row>
    <row r="1850" spans="1:4" x14ac:dyDescent="0.25">
      <c r="A1850">
        <v>1734</v>
      </c>
      <c r="B1850" s="16">
        <v>43922</v>
      </c>
      <c r="C1850" t="s">
        <v>34</v>
      </c>
      <c r="D1850" s="22">
        <v>7594316.1000000006</v>
      </c>
    </row>
    <row r="1851" spans="1:4" x14ac:dyDescent="0.25">
      <c r="A1851">
        <v>1734</v>
      </c>
      <c r="B1851" s="16">
        <v>43952</v>
      </c>
      <c r="C1851" t="s">
        <v>34</v>
      </c>
      <c r="D1851" s="22">
        <v>7594316.1000000006</v>
      </c>
    </row>
    <row r="1852" spans="1:4" x14ac:dyDescent="0.25">
      <c r="A1852">
        <v>1734</v>
      </c>
      <c r="B1852" s="16">
        <v>43983</v>
      </c>
      <c r="C1852" t="s">
        <v>34</v>
      </c>
      <c r="D1852" s="22">
        <v>7594316.1000000006</v>
      </c>
    </row>
    <row r="1853" spans="1:4" x14ac:dyDescent="0.25">
      <c r="A1853">
        <v>1734</v>
      </c>
      <c r="B1853" s="16">
        <v>44013</v>
      </c>
      <c r="C1853" t="s">
        <v>34</v>
      </c>
      <c r="D1853" s="22">
        <v>7594316.1000000006</v>
      </c>
    </row>
    <row r="1854" spans="1:4" x14ac:dyDescent="0.25">
      <c r="A1854">
        <v>1734</v>
      </c>
      <c r="B1854" s="16">
        <v>44044</v>
      </c>
      <c r="C1854" t="s">
        <v>34</v>
      </c>
      <c r="D1854" s="22">
        <v>7594316.1000000006</v>
      </c>
    </row>
    <row r="1855" spans="1:4" x14ac:dyDescent="0.25">
      <c r="A1855">
        <v>1734</v>
      </c>
      <c r="B1855" s="16">
        <v>44075</v>
      </c>
      <c r="C1855" t="s">
        <v>34</v>
      </c>
      <c r="D1855" s="22">
        <v>7594316.1000000006</v>
      </c>
    </row>
    <row r="1856" spans="1:4" x14ac:dyDescent="0.25">
      <c r="A1856">
        <v>1734</v>
      </c>
      <c r="B1856" s="16">
        <v>43647</v>
      </c>
      <c r="C1856" t="s">
        <v>14</v>
      </c>
      <c r="D1856" s="22">
        <v>7008008.1750000007</v>
      </c>
    </row>
    <row r="1857" spans="1:4" x14ac:dyDescent="0.25">
      <c r="A1857">
        <v>1734</v>
      </c>
      <c r="B1857" s="16">
        <v>43678</v>
      </c>
      <c r="C1857" t="s">
        <v>14</v>
      </c>
      <c r="D1857" s="22">
        <v>7008008.1750000007</v>
      </c>
    </row>
    <row r="1858" spans="1:4" x14ac:dyDescent="0.25">
      <c r="A1858">
        <v>1734</v>
      </c>
      <c r="B1858" s="16">
        <v>43709</v>
      </c>
      <c r="C1858" t="s">
        <v>14</v>
      </c>
      <c r="D1858" s="22">
        <v>7008008.1750000007</v>
      </c>
    </row>
    <row r="1859" spans="1:4" x14ac:dyDescent="0.25">
      <c r="A1859">
        <v>1734</v>
      </c>
      <c r="B1859" s="16">
        <v>43739</v>
      </c>
      <c r="C1859" t="s">
        <v>14</v>
      </c>
      <c r="D1859" s="22">
        <v>7008008.1750000007</v>
      </c>
    </row>
    <row r="1860" spans="1:4" x14ac:dyDescent="0.25">
      <c r="A1860">
        <v>1734</v>
      </c>
      <c r="B1860" s="16">
        <v>43770</v>
      </c>
      <c r="C1860" t="s">
        <v>14</v>
      </c>
      <c r="D1860" s="22">
        <v>7008008.1750000007</v>
      </c>
    </row>
    <row r="1861" spans="1:4" x14ac:dyDescent="0.25">
      <c r="A1861">
        <v>1734</v>
      </c>
      <c r="B1861" s="16">
        <v>43800</v>
      </c>
      <c r="C1861" t="s">
        <v>14</v>
      </c>
      <c r="D1861" s="22">
        <v>7008008.1750000007</v>
      </c>
    </row>
    <row r="1862" spans="1:4" x14ac:dyDescent="0.25">
      <c r="A1862">
        <v>1734</v>
      </c>
      <c r="B1862" s="16">
        <v>43831</v>
      </c>
      <c r="C1862" t="s">
        <v>14</v>
      </c>
      <c r="D1862" s="22">
        <v>7008008.1750000007</v>
      </c>
    </row>
    <row r="1863" spans="1:4" x14ac:dyDescent="0.25">
      <c r="A1863">
        <v>1734</v>
      </c>
      <c r="B1863" s="16">
        <v>43862</v>
      </c>
      <c r="C1863" t="s">
        <v>14</v>
      </c>
      <c r="D1863" s="22">
        <v>7008008.1750000007</v>
      </c>
    </row>
    <row r="1864" spans="1:4" x14ac:dyDescent="0.25">
      <c r="A1864">
        <v>1734</v>
      </c>
      <c r="B1864" s="16">
        <v>43891</v>
      </c>
      <c r="C1864" t="s">
        <v>14</v>
      </c>
      <c r="D1864" s="22">
        <v>7008008.1750000007</v>
      </c>
    </row>
    <row r="1865" spans="1:4" x14ac:dyDescent="0.25">
      <c r="A1865">
        <v>1734</v>
      </c>
      <c r="B1865" s="16">
        <v>43922</v>
      </c>
      <c r="C1865" t="s">
        <v>14</v>
      </c>
      <c r="D1865" s="22">
        <v>7008008.1750000007</v>
      </c>
    </row>
    <row r="1866" spans="1:4" x14ac:dyDescent="0.25">
      <c r="A1866">
        <v>1734</v>
      </c>
      <c r="B1866" s="16">
        <v>43952</v>
      </c>
      <c r="C1866" t="s">
        <v>14</v>
      </c>
      <c r="D1866" s="22">
        <v>7008008.1750000007</v>
      </c>
    </row>
    <row r="1867" spans="1:4" x14ac:dyDescent="0.25">
      <c r="A1867">
        <v>1734</v>
      </c>
      <c r="B1867" s="16">
        <v>43983</v>
      </c>
      <c r="C1867" t="s">
        <v>14</v>
      </c>
      <c r="D1867" s="22">
        <v>7008008.1750000007</v>
      </c>
    </row>
    <row r="1868" spans="1:4" x14ac:dyDescent="0.25">
      <c r="A1868">
        <v>1734</v>
      </c>
      <c r="B1868" s="16">
        <v>44013</v>
      </c>
      <c r="C1868" t="s">
        <v>14</v>
      </c>
      <c r="D1868" s="22">
        <v>7008008.1750000007</v>
      </c>
    </row>
    <row r="1869" spans="1:4" x14ac:dyDescent="0.25">
      <c r="A1869">
        <v>1734</v>
      </c>
      <c r="B1869" s="16">
        <v>44044</v>
      </c>
      <c r="C1869" t="s">
        <v>14</v>
      </c>
      <c r="D1869" s="22">
        <v>7008008.1750000007</v>
      </c>
    </row>
    <row r="1870" spans="1:4" x14ac:dyDescent="0.25">
      <c r="A1870">
        <v>1734</v>
      </c>
      <c r="B1870" s="16">
        <v>44075</v>
      </c>
      <c r="C1870" t="s">
        <v>14</v>
      </c>
      <c r="D1870" s="22">
        <v>7008008.1750000007</v>
      </c>
    </row>
    <row r="1871" spans="1:4" x14ac:dyDescent="0.25">
      <c r="A1871">
        <v>1734</v>
      </c>
      <c r="B1871" s="16">
        <v>43466</v>
      </c>
      <c r="C1871" t="s">
        <v>117</v>
      </c>
      <c r="D1871" s="22">
        <v>3731425.4250000003</v>
      </c>
    </row>
    <row r="1872" spans="1:4" x14ac:dyDescent="0.25">
      <c r="A1872">
        <v>1734</v>
      </c>
      <c r="B1872" s="16">
        <v>43497</v>
      </c>
      <c r="C1872" t="s">
        <v>117</v>
      </c>
      <c r="D1872" s="22">
        <v>3731425.4250000003</v>
      </c>
    </row>
    <row r="1873" spans="1:4" x14ac:dyDescent="0.25">
      <c r="A1873">
        <v>1734</v>
      </c>
      <c r="B1873" s="16">
        <v>43525</v>
      </c>
      <c r="C1873" t="s">
        <v>117</v>
      </c>
      <c r="D1873" s="22">
        <v>3731425.4250000003</v>
      </c>
    </row>
    <row r="1874" spans="1:4" x14ac:dyDescent="0.25">
      <c r="A1874">
        <v>1734</v>
      </c>
      <c r="B1874" s="16">
        <v>43556</v>
      </c>
      <c r="C1874" t="s">
        <v>117</v>
      </c>
      <c r="D1874" s="22">
        <v>3731425.4250000003</v>
      </c>
    </row>
    <row r="1875" spans="1:4" x14ac:dyDescent="0.25">
      <c r="A1875">
        <v>1734</v>
      </c>
      <c r="B1875" s="16">
        <v>43586</v>
      </c>
      <c r="C1875" t="s">
        <v>117</v>
      </c>
      <c r="D1875" s="22">
        <v>3731425.4250000003</v>
      </c>
    </row>
    <row r="1876" spans="1:4" x14ac:dyDescent="0.25">
      <c r="A1876">
        <v>1734</v>
      </c>
      <c r="B1876" s="16">
        <v>43617</v>
      </c>
      <c r="C1876" t="s">
        <v>117</v>
      </c>
      <c r="D1876" s="22">
        <v>3731425.4250000003</v>
      </c>
    </row>
    <row r="1877" spans="1:4" x14ac:dyDescent="0.25">
      <c r="A1877">
        <v>1734</v>
      </c>
      <c r="B1877" s="16">
        <v>43647</v>
      </c>
      <c r="C1877" t="s">
        <v>117</v>
      </c>
      <c r="D1877" s="22">
        <v>3731425.4250000003</v>
      </c>
    </row>
    <row r="1878" spans="1:4" x14ac:dyDescent="0.25">
      <c r="A1878">
        <v>1734</v>
      </c>
      <c r="B1878" s="16">
        <v>43678</v>
      </c>
      <c r="C1878" t="s">
        <v>117</v>
      </c>
      <c r="D1878" s="22">
        <v>3731425.4250000003</v>
      </c>
    </row>
    <row r="1879" spans="1:4" x14ac:dyDescent="0.25">
      <c r="A1879">
        <v>1734</v>
      </c>
      <c r="B1879" s="16">
        <v>43709</v>
      </c>
      <c r="C1879" t="s">
        <v>117</v>
      </c>
      <c r="D1879" s="22">
        <v>3731425.4250000003</v>
      </c>
    </row>
    <row r="1880" spans="1:4" x14ac:dyDescent="0.25">
      <c r="A1880">
        <v>1734</v>
      </c>
      <c r="B1880" s="16">
        <v>43739</v>
      </c>
      <c r="C1880" t="s">
        <v>117</v>
      </c>
      <c r="D1880" s="22">
        <v>3731425.4250000003</v>
      </c>
    </row>
    <row r="1881" spans="1:4" x14ac:dyDescent="0.25">
      <c r="A1881">
        <v>1734</v>
      </c>
      <c r="B1881" s="16">
        <v>43770</v>
      </c>
      <c r="C1881" t="s">
        <v>117</v>
      </c>
      <c r="D1881" s="22">
        <v>3731425.4250000003</v>
      </c>
    </row>
    <row r="1882" spans="1:4" x14ac:dyDescent="0.25">
      <c r="A1882">
        <v>1734</v>
      </c>
      <c r="B1882" s="16">
        <v>43800</v>
      </c>
      <c r="C1882" t="s">
        <v>117</v>
      </c>
      <c r="D1882" s="22">
        <v>3731425.4250000003</v>
      </c>
    </row>
    <row r="1883" spans="1:4" x14ac:dyDescent="0.25">
      <c r="A1883">
        <v>1734</v>
      </c>
      <c r="B1883" s="16">
        <v>43831</v>
      </c>
      <c r="C1883" t="s">
        <v>117</v>
      </c>
      <c r="D1883" s="22">
        <v>3731425.4250000003</v>
      </c>
    </row>
    <row r="1884" spans="1:4" x14ac:dyDescent="0.25">
      <c r="A1884">
        <v>1734</v>
      </c>
      <c r="B1884" s="16">
        <v>43862</v>
      </c>
      <c r="C1884" t="s">
        <v>117</v>
      </c>
      <c r="D1884" s="22">
        <v>3731425.4250000003</v>
      </c>
    </row>
    <row r="1885" spans="1:4" x14ac:dyDescent="0.25">
      <c r="A1885">
        <v>1734</v>
      </c>
      <c r="B1885" s="16">
        <v>43891</v>
      </c>
      <c r="C1885" t="s">
        <v>117</v>
      </c>
      <c r="D1885" s="22">
        <v>3731425.4250000003</v>
      </c>
    </row>
    <row r="1886" spans="1:4" x14ac:dyDescent="0.25">
      <c r="A1886">
        <v>1734</v>
      </c>
      <c r="B1886" s="16">
        <v>43922</v>
      </c>
      <c r="C1886" t="s">
        <v>117</v>
      </c>
      <c r="D1886" s="22">
        <v>3731425.4250000003</v>
      </c>
    </row>
    <row r="1887" spans="1:4" x14ac:dyDescent="0.25">
      <c r="A1887">
        <v>1734</v>
      </c>
      <c r="B1887" s="16">
        <v>43952</v>
      </c>
      <c r="C1887" t="s">
        <v>117</v>
      </c>
      <c r="D1887" s="22">
        <v>3731425.4250000003</v>
      </c>
    </row>
    <row r="1888" spans="1:4" x14ac:dyDescent="0.25">
      <c r="A1888">
        <v>1734</v>
      </c>
      <c r="B1888" s="16">
        <v>43983</v>
      </c>
      <c r="C1888" t="s">
        <v>117</v>
      </c>
      <c r="D1888" s="22">
        <v>3731425.4250000003</v>
      </c>
    </row>
    <row r="1889" spans="1:4" x14ac:dyDescent="0.25">
      <c r="A1889">
        <v>1734</v>
      </c>
      <c r="B1889" s="16">
        <v>44013</v>
      </c>
      <c r="C1889" t="s">
        <v>117</v>
      </c>
      <c r="D1889" s="22">
        <v>3731425.4250000003</v>
      </c>
    </row>
    <row r="1890" spans="1:4" x14ac:dyDescent="0.25">
      <c r="A1890">
        <v>1734</v>
      </c>
      <c r="B1890" s="16">
        <v>44044</v>
      </c>
      <c r="C1890" t="s">
        <v>117</v>
      </c>
      <c r="D1890" s="22">
        <v>3731425.4250000003</v>
      </c>
    </row>
    <row r="1891" spans="1:4" x14ac:dyDescent="0.25">
      <c r="A1891">
        <v>1734</v>
      </c>
      <c r="B1891" s="16">
        <v>44075</v>
      </c>
      <c r="C1891" t="s">
        <v>117</v>
      </c>
      <c r="D1891" s="22">
        <v>3731425.4250000003</v>
      </c>
    </row>
    <row r="1892" spans="1:4" x14ac:dyDescent="0.25">
      <c r="A1892">
        <v>1734</v>
      </c>
      <c r="B1892" s="16">
        <v>43466</v>
      </c>
      <c r="C1892" t="s">
        <v>118</v>
      </c>
      <c r="D1892" s="22">
        <v>3544014.6</v>
      </c>
    </row>
    <row r="1893" spans="1:4" x14ac:dyDescent="0.25">
      <c r="A1893">
        <v>1734</v>
      </c>
      <c r="B1893" s="16">
        <v>43497</v>
      </c>
      <c r="C1893" t="s">
        <v>118</v>
      </c>
      <c r="D1893" s="22">
        <v>3544014.6</v>
      </c>
    </row>
    <row r="1894" spans="1:4" x14ac:dyDescent="0.25">
      <c r="A1894">
        <v>1734</v>
      </c>
      <c r="B1894" s="16">
        <v>43525</v>
      </c>
      <c r="C1894" t="s">
        <v>118</v>
      </c>
      <c r="D1894" s="22">
        <v>3544014.6</v>
      </c>
    </row>
    <row r="1895" spans="1:4" x14ac:dyDescent="0.25">
      <c r="A1895">
        <v>1734</v>
      </c>
      <c r="B1895" s="16">
        <v>43556</v>
      </c>
      <c r="C1895" t="s">
        <v>118</v>
      </c>
      <c r="D1895" s="22">
        <v>3544014.6</v>
      </c>
    </row>
    <row r="1896" spans="1:4" x14ac:dyDescent="0.25">
      <c r="A1896">
        <v>1734</v>
      </c>
      <c r="B1896" s="16">
        <v>43586</v>
      </c>
      <c r="C1896" t="s">
        <v>118</v>
      </c>
      <c r="D1896" s="22">
        <v>3544014.6</v>
      </c>
    </row>
    <row r="1897" spans="1:4" x14ac:dyDescent="0.25">
      <c r="A1897">
        <v>1734</v>
      </c>
      <c r="B1897" s="16">
        <v>43617</v>
      </c>
      <c r="C1897" t="s">
        <v>118</v>
      </c>
      <c r="D1897" s="22">
        <v>3544014.6</v>
      </c>
    </row>
    <row r="1898" spans="1:4" x14ac:dyDescent="0.25">
      <c r="A1898">
        <v>1734</v>
      </c>
      <c r="B1898" s="16">
        <v>43647</v>
      </c>
      <c r="C1898" t="s">
        <v>118</v>
      </c>
      <c r="D1898" s="22">
        <v>3544014.6</v>
      </c>
    </row>
    <row r="1899" spans="1:4" x14ac:dyDescent="0.25">
      <c r="A1899">
        <v>1734</v>
      </c>
      <c r="B1899" s="16">
        <v>43678</v>
      </c>
      <c r="C1899" t="s">
        <v>118</v>
      </c>
      <c r="D1899" s="22">
        <v>3544014.6</v>
      </c>
    </row>
    <row r="1900" spans="1:4" x14ac:dyDescent="0.25">
      <c r="A1900">
        <v>1734</v>
      </c>
      <c r="B1900" s="16">
        <v>43709</v>
      </c>
      <c r="C1900" t="s">
        <v>118</v>
      </c>
      <c r="D1900" s="22">
        <v>3544014.6</v>
      </c>
    </row>
    <row r="1901" spans="1:4" x14ac:dyDescent="0.25">
      <c r="A1901">
        <v>1734</v>
      </c>
      <c r="B1901" s="16">
        <v>43739</v>
      </c>
      <c r="C1901" t="s">
        <v>118</v>
      </c>
      <c r="D1901" s="22">
        <v>3544014.6</v>
      </c>
    </row>
    <row r="1902" spans="1:4" x14ac:dyDescent="0.25">
      <c r="A1902">
        <v>1734</v>
      </c>
      <c r="B1902" s="16">
        <v>43770</v>
      </c>
      <c r="C1902" t="s">
        <v>118</v>
      </c>
      <c r="D1902" s="22">
        <v>3544014.6</v>
      </c>
    </row>
    <row r="1903" spans="1:4" x14ac:dyDescent="0.25">
      <c r="A1903">
        <v>1734</v>
      </c>
      <c r="B1903" s="16">
        <v>43800</v>
      </c>
      <c r="C1903" t="s">
        <v>118</v>
      </c>
      <c r="D1903" s="22">
        <v>3544014.6</v>
      </c>
    </row>
    <row r="1904" spans="1:4" x14ac:dyDescent="0.25">
      <c r="A1904">
        <v>1734</v>
      </c>
      <c r="B1904" s="16">
        <v>43831</v>
      </c>
      <c r="C1904" t="s">
        <v>118</v>
      </c>
      <c r="D1904" s="22">
        <v>3544014.6</v>
      </c>
    </row>
    <row r="1905" spans="1:4" x14ac:dyDescent="0.25">
      <c r="A1905">
        <v>1734</v>
      </c>
      <c r="B1905" s="16">
        <v>43862</v>
      </c>
      <c r="C1905" t="s">
        <v>118</v>
      </c>
      <c r="D1905" s="22">
        <v>3544014.6</v>
      </c>
    </row>
    <row r="1906" spans="1:4" x14ac:dyDescent="0.25">
      <c r="A1906">
        <v>1734</v>
      </c>
      <c r="B1906" s="16">
        <v>43891</v>
      </c>
      <c r="C1906" t="s">
        <v>118</v>
      </c>
      <c r="D1906" s="22">
        <v>3544014.6</v>
      </c>
    </row>
    <row r="1907" spans="1:4" x14ac:dyDescent="0.25">
      <c r="A1907">
        <v>1734</v>
      </c>
      <c r="B1907" s="16">
        <v>43922</v>
      </c>
      <c r="C1907" t="s">
        <v>118</v>
      </c>
      <c r="D1907" s="22">
        <v>3544014.6</v>
      </c>
    </row>
    <row r="1908" spans="1:4" x14ac:dyDescent="0.25">
      <c r="A1908">
        <v>1734</v>
      </c>
      <c r="B1908" s="16">
        <v>43952</v>
      </c>
      <c r="C1908" t="s">
        <v>118</v>
      </c>
      <c r="D1908" s="22">
        <v>3544014.6</v>
      </c>
    </row>
    <row r="1909" spans="1:4" x14ac:dyDescent="0.25">
      <c r="A1909">
        <v>1734</v>
      </c>
      <c r="B1909" s="16">
        <v>43983</v>
      </c>
      <c r="C1909" t="s">
        <v>118</v>
      </c>
      <c r="D1909" s="22">
        <v>3544014.6</v>
      </c>
    </row>
    <row r="1910" spans="1:4" x14ac:dyDescent="0.25">
      <c r="A1910">
        <v>1734</v>
      </c>
      <c r="B1910" s="16">
        <v>44013</v>
      </c>
      <c r="C1910" t="s">
        <v>118</v>
      </c>
      <c r="D1910" s="22">
        <v>3544014.6</v>
      </c>
    </row>
    <row r="1911" spans="1:4" x14ac:dyDescent="0.25">
      <c r="A1911">
        <v>1734</v>
      </c>
      <c r="B1911" s="16">
        <v>44044</v>
      </c>
      <c r="C1911" t="s">
        <v>118</v>
      </c>
      <c r="D1911" s="22">
        <v>3544014.6</v>
      </c>
    </row>
    <row r="1912" spans="1:4" x14ac:dyDescent="0.25">
      <c r="A1912">
        <v>1734</v>
      </c>
      <c r="B1912" s="16">
        <v>44075</v>
      </c>
      <c r="C1912" t="s">
        <v>118</v>
      </c>
      <c r="D1912" s="22">
        <v>3544014.6</v>
      </c>
    </row>
    <row r="1913" spans="1:4" x14ac:dyDescent="0.25">
      <c r="A1913">
        <v>1734</v>
      </c>
      <c r="B1913" s="16">
        <v>43466</v>
      </c>
      <c r="C1913" t="s">
        <v>38</v>
      </c>
      <c r="D1913" s="22">
        <v>4829985.3734999998</v>
      </c>
    </row>
    <row r="1914" spans="1:4" x14ac:dyDescent="0.25">
      <c r="A1914">
        <v>1734</v>
      </c>
      <c r="B1914" s="16">
        <v>43497</v>
      </c>
      <c r="C1914" t="s">
        <v>38</v>
      </c>
      <c r="D1914" s="22">
        <v>4829985.3734999998</v>
      </c>
    </row>
    <row r="1915" spans="1:4" x14ac:dyDescent="0.25">
      <c r="A1915">
        <v>1734</v>
      </c>
      <c r="B1915" s="16">
        <v>43525</v>
      </c>
      <c r="C1915" t="s">
        <v>38</v>
      </c>
      <c r="D1915" s="22">
        <v>4829985.3734999998</v>
      </c>
    </row>
    <row r="1916" spans="1:4" x14ac:dyDescent="0.25">
      <c r="A1916">
        <v>1734</v>
      </c>
      <c r="B1916" s="16">
        <v>43556</v>
      </c>
      <c r="C1916" t="s">
        <v>38</v>
      </c>
      <c r="D1916" s="22">
        <v>4829985.3734999998</v>
      </c>
    </row>
    <row r="1917" spans="1:4" x14ac:dyDescent="0.25">
      <c r="A1917">
        <v>1734</v>
      </c>
      <c r="B1917" s="16">
        <v>43586</v>
      </c>
      <c r="C1917" t="s">
        <v>38</v>
      </c>
      <c r="D1917" s="22">
        <v>4829985.3734999998</v>
      </c>
    </row>
    <row r="1918" spans="1:4" x14ac:dyDescent="0.25">
      <c r="A1918">
        <v>1734</v>
      </c>
      <c r="B1918" s="16">
        <v>43617</v>
      </c>
      <c r="C1918" t="s">
        <v>38</v>
      </c>
      <c r="D1918" s="22">
        <v>4829985.3734999998</v>
      </c>
    </row>
    <row r="1919" spans="1:4" x14ac:dyDescent="0.25">
      <c r="A1919">
        <v>1734</v>
      </c>
      <c r="B1919" s="16">
        <v>43647</v>
      </c>
      <c r="C1919" t="s">
        <v>38</v>
      </c>
      <c r="D1919" s="22">
        <v>4829985.3734999998</v>
      </c>
    </row>
    <row r="1920" spans="1:4" x14ac:dyDescent="0.25">
      <c r="A1920">
        <v>1734</v>
      </c>
      <c r="B1920" s="16">
        <v>43678</v>
      </c>
      <c r="C1920" t="s">
        <v>38</v>
      </c>
      <c r="D1920" s="22">
        <v>4829985.3734999998</v>
      </c>
    </row>
    <row r="1921" spans="1:4" x14ac:dyDescent="0.25">
      <c r="A1921">
        <v>1734</v>
      </c>
      <c r="B1921" s="16">
        <v>43709</v>
      </c>
      <c r="C1921" t="s">
        <v>38</v>
      </c>
      <c r="D1921" s="22">
        <v>4829985.3734999998</v>
      </c>
    </row>
    <row r="1922" spans="1:4" x14ac:dyDescent="0.25">
      <c r="A1922">
        <v>1734</v>
      </c>
      <c r="B1922" s="16">
        <v>43739</v>
      </c>
      <c r="C1922" t="s">
        <v>38</v>
      </c>
      <c r="D1922" s="22">
        <v>4829985.3734999998</v>
      </c>
    </row>
    <row r="1923" spans="1:4" x14ac:dyDescent="0.25">
      <c r="A1923">
        <v>1734</v>
      </c>
      <c r="B1923" s="16">
        <v>43770</v>
      </c>
      <c r="C1923" t="s">
        <v>38</v>
      </c>
      <c r="D1923" s="22">
        <v>4829985.3734999998</v>
      </c>
    </row>
    <row r="1924" spans="1:4" x14ac:dyDescent="0.25">
      <c r="A1924">
        <v>1734</v>
      </c>
      <c r="B1924" s="16">
        <v>43800</v>
      </c>
      <c r="C1924" t="s">
        <v>38</v>
      </c>
      <c r="D1924" s="22">
        <v>4829985.3734999998</v>
      </c>
    </row>
    <row r="1925" spans="1:4" x14ac:dyDescent="0.25">
      <c r="A1925">
        <v>1734</v>
      </c>
      <c r="B1925" s="16">
        <v>43831</v>
      </c>
      <c r="C1925" t="s">
        <v>38</v>
      </c>
      <c r="D1925" s="22">
        <v>4829985.3734999998</v>
      </c>
    </row>
    <row r="1926" spans="1:4" x14ac:dyDescent="0.25">
      <c r="A1926">
        <v>1734</v>
      </c>
      <c r="B1926" s="16">
        <v>43862</v>
      </c>
      <c r="C1926" t="s">
        <v>38</v>
      </c>
      <c r="D1926" s="22">
        <v>4829985.3734999998</v>
      </c>
    </row>
    <row r="1927" spans="1:4" x14ac:dyDescent="0.25">
      <c r="A1927">
        <v>1734</v>
      </c>
      <c r="B1927" s="16">
        <v>43891</v>
      </c>
      <c r="C1927" t="s">
        <v>38</v>
      </c>
      <c r="D1927" s="22">
        <v>4829985.3734999998</v>
      </c>
    </row>
    <row r="1928" spans="1:4" x14ac:dyDescent="0.25">
      <c r="A1928">
        <v>1734</v>
      </c>
      <c r="B1928" s="16">
        <v>43922</v>
      </c>
      <c r="C1928" t="s">
        <v>38</v>
      </c>
      <c r="D1928" s="22">
        <v>4829985.3734999998</v>
      </c>
    </row>
    <row r="1929" spans="1:4" x14ac:dyDescent="0.25">
      <c r="A1929">
        <v>1734</v>
      </c>
      <c r="B1929" s="16">
        <v>43952</v>
      </c>
      <c r="C1929" t="s">
        <v>38</v>
      </c>
      <c r="D1929" s="22">
        <v>4829985.3734999998</v>
      </c>
    </row>
    <row r="1930" spans="1:4" x14ac:dyDescent="0.25">
      <c r="A1930">
        <v>1734</v>
      </c>
      <c r="B1930" s="16">
        <v>43983</v>
      </c>
      <c r="C1930" t="s">
        <v>38</v>
      </c>
      <c r="D1930" s="22">
        <v>4829985.3734999998</v>
      </c>
    </row>
    <row r="1931" spans="1:4" x14ac:dyDescent="0.25">
      <c r="A1931">
        <v>1734</v>
      </c>
      <c r="B1931" s="16">
        <v>44013</v>
      </c>
      <c r="C1931" t="s">
        <v>38</v>
      </c>
      <c r="D1931" s="22">
        <v>4829985.3734999998</v>
      </c>
    </row>
    <row r="1932" spans="1:4" x14ac:dyDescent="0.25">
      <c r="A1932">
        <v>1734</v>
      </c>
      <c r="B1932" s="16">
        <v>44044</v>
      </c>
      <c r="C1932" t="s">
        <v>38</v>
      </c>
      <c r="D1932" s="22">
        <v>4829985.3734999998</v>
      </c>
    </row>
    <row r="1933" spans="1:4" x14ac:dyDescent="0.25">
      <c r="A1933">
        <v>1734</v>
      </c>
      <c r="B1933" s="16">
        <v>44075</v>
      </c>
      <c r="C1933" t="s">
        <v>38</v>
      </c>
      <c r="D1933" s="22">
        <v>4829985.3734999998</v>
      </c>
    </row>
    <row r="1934" spans="1:4" x14ac:dyDescent="0.25">
      <c r="A1934">
        <v>1734</v>
      </c>
      <c r="B1934" s="16">
        <v>43497</v>
      </c>
      <c r="C1934" t="s">
        <v>79</v>
      </c>
      <c r="D1934" s="22">
        <v>4829985.3734999998</v>
      </c>
    </row>
    <row r="1935" spans="1:4" x14ac:dyDescent="0.25">
      <c r="A1935">
        <v>1734</v>
      </c>
      <c r="B1935" s="16">
        <v>43525</v>
      </c>
      <c r="C1935" t="s">
        <v>79</v>
      </c>
      <c r="D1935" s="22">
        <v>4829985.3734999998</v>
      </c>
    </row>
    <row r="1936" spans="1:4" x14ac:dyDescent="0.25">
      <c r="A1936">
        <v>1734</v>
      </c>
      <c r="B1936" s="16">
        <v>43556</v>
      </c>
      <c r="C1936" t="s">
        <v>79</v>
      </c>
      <c r="D1936" s="22">
        <v>4829985.3734999998</v>
      </c>
    </row>
    <row r="1937" spans="1:4" x14ac:dyDescent="0.25">
      <c r="A1937">
        <v>1734</v>
      </c>
      <c r="B1937" s="16">
        <v>43586</v>
      </c>
      <c r="C1937" t="s">
        <v>79</v>
      </c>
      <c r="D1937" s="22">
        <v>4829985.3734999998</v>
      </c>
    </row>
    <row r="1938" spans="1:4" x14ac:dyDescent="0.25">
      <c r="A1938">
        <v>1734</v>
      </c>
      <c r="B1938" s="16">
        <v>43617</v>
      </c>
      <c r="C1938" t="s">
        <v>79</v>
      </c>
      <c r="D1938" s="22">
        <v>4829985.3734999998</v>
      </c>
    </row>
    <row r="1939" spans="1:4" x14ac:dyDescent="0.25">
      <c r="A1939">
        <v>1734</v>
      </c>
      <c r="B1939" s="16">
        <v>43647</v>
      </c>
      <c r="C1939" t="s">
        <v>79</v>
      </c>
      <c r="D1939" s="22">
        <v>4829985.3734999998</v>
      </c>
    </row>
    <row r="1940" spans="1:4" x14ac:dyDescent="0.25">
      <c r="A1940">
        <v>1734</v>
      </c>
      <c r="B1940" s="16">
        <v>43678</v>
      </c>
      <c r="C1940" t="s">
        <v>79</v>
      </c>
      <c r="D1940" s="22">
        <v>4829985.3734999998</v>
      </c>
    </row>
    <row r="1941" spans="1:4" x14ac:dyDescent="0.25">
      <c r="A1941">
        <v>1734</v>
      </c>
      <c r="B1941" s="16">
        <v>43709</v>
      </c>
      <c r="C1941" t="s">
        <v>79</v>
      </c>
      <c r="D1941" s="22">
        <v>4829985.3734999998</v>
      </c>
    </row>
    <row r="1942" spans="1:4" x14ac:dyDescent="0.25">
      <c r="A1942">
        <v>1734</v>
      </c>
      <c r="B1942" s="16">
        <v>43739</v>
      </c>
      <c r="C1942" t="s">
        <v>79</v>
      </c>
      <c r="D1942" s="22">
        <v>4829985.3734999998</v>
      </c>
    </row>
    <row r="1943" spans="1:4" x14ac:dyDescent="0.25">
      <c r="A1943">
        <v>1734</v>
      </c>
      <c r="B1943" s="16">
        <v>43770</v>
      </c>
      <c r="C1943" t="s">
        <v>79</v>
      </c>
      <c r="D1943" s="22">
        <v>4829985.3734999998</v>
      </c>
    </row>
    <row r="1944" spans="1:4" x14ac:dyDescent="0.25">
      <c r="A1944">
        <v>1734</v>
      </c>
      <c r="B1944" s="16">
        <v>43800</v>
      </c>
      <c r="C1944" t="s">
        <v>79</v>
      </c>
      <c r="D1944" s="22">
        <v>4829985.3734999998</v>
      </c>
    </row>
    <row r="1945" spans="1:4" x14ac:dyDescent="0.25">
      <c r="A1945">
        <v>1734</v>
      </c>
      <c r="B1945" s="16">
        <v>43831</v>
      </c>
      <c r="C1945" t="s">
        <v>79</v>
      </c>
      <c r="D1945" s="22">
        <v>4829985.3734999998</v>
      </c>
    </row>
    <row r="1946" spans="1:4" x14ac:dyDescent="0.25">
      <c r="A1946">
        <v>1734</v>
      </c>
      <c r="B1946" s="16">
        <v>43862</v>
      </c>
      <c r="C1946" t="s">
        <v>79</v>
      </c>
      <c r="D1946" s="22">
        <v>4829985.3734999998</v>
      </c>
    </row>
    <row r="1947" spans="1:4" x14ac:dyDescent="0.25">
      <c r="A1947">
        <v>1734</v>
      </c>
      <c r="B1947" s="16">
        <v>43891</v>
      </c>
      <c r="C1947" t="s">
        <v>79</v>
      </c>
      <c r="D1947" s="22">
        <v>4829985.3734999998</v>
      </c>
    </row>
    <row r="1948" spans="1:4" x14ac:dyDescent="0.25">
      <c r="A1948">
        <v>1734</v>
      </c>
      <c r="B1948" s="16">
        <v>43922</v>
      </c>
      <c r="C1948" t="s">
        <v>79</v>
      </c>
      <c r="D1948" s="22">
        <v>4829985.3734999998</v>
      </c>
    </row>
    <row r="1949" spans="1:4" x14ac:dyDescent="0.25">
      <c r="A1949">
        <v>1734</v>
      </c>
      <c r="B1949" s="16">
        <v>43952</v>
      </c>
      <c r="C1949" t="s">
        <v>79</v>
      </c>
      <c r="D1949" s="22">
        <v>4829985.3734999998</v>
      </c>
    </row>
    <row r="1950" spans="1:4" x14ac:dyDescent="0.25">
      <c r="A1950">
        <v>1734</v>
      </c>
      <c r="B1950" s="16">
        <v>43983</v>
      </c>
      <c r="C1950" t="s">
        <v>79</v>
      </c>
      <c r="D1950" s="22">
        <v>4829985.3734999998</v>
      </c>
    </row>
    <row r="1951" spans="1:4" x14ac:dyDescent="0.25">
      <c r="A1951">
        <v>1734</v>
      </c>
      <c r="B1951" s="16">
        <v>44013</v>
      </c>
      <c r="C1951" t="s">
        <v>79</v>
      </c>
      <c r="D1951" s="22">
        <v>4829985.3734999998</v>
      </c>
    </row>
    <row r="1952" spans="1:4" x14ac:dyDescent="0.25">
      <c r="A1952">
        <v>1734</v>
      </c>
      <c r="B1952" s="16">
        <v>44044</v>
      </c>
      <c r="C1952" t="s">
        <v>79</v>
      </c>
      <c r="D1952" s="22">
        <v>4829985.3734999998</v>
      </c>
    </row>
    <row r="1953" spans="1:4" x14ac:dyDescent="0.25">
      <c r="A1953">
        <v>1734</v>
      </c>
      <c r="B1953" s="16">
        <v>44075</v>
      </c>
      <c r="C1953" t="s">
        <v>79</v>
      </c>
      <c r="D1953" s="22">
        <v>4829985.3734999998</v>
      </c>
    </row>
    <row r="1954" spans="1:4" x14ac:dyDescent="0.25">
      <c r="A1954">
        <v>1734</v>
      </c>
      <c r="B1954" s="16">
        <v>43647</v>
      </c>
      <c r="C1954" t="s">
        <v>23</v>
      </c>
      <c r="D1954" s="22">
        <v>3613544.2664999994</v>
      </c>
    </row>
    <row r="1955" spans="1:4" x14ac:dyDescent="0.25">
      <c r="A1955">
        <v>1734</v>
      </c>
      <c r="B1955" s="16">
        <v>43678</v>
      </c>
      <c r="C1955" t="s">
        <v>23</v>
      </c>
      <c r="D1955" s="22">
        <v>3613544.2664999994</v>
      </c>
    </row>
    <row r="1956" spans="1:4" x14ac:dyDescent="0.25">
      <c r="A1956">
        <v>1734</v>
      </c>
      <c r="B1956" s="16">
        <v>43709</v>
      </c>
      <c r="C1956" t="s">
        <v>23</v>
      </c>
      <c r="D1956" s="22">
        <v>3613544.2664999994</v>
      </c>
    </row>
    <row r="1957" spans="1:4" x14ac:dyDescent="0.25">
      <c r="A1957">
        <v>1734</v>
      </c>
      <c r="B1957" s="16">
        <v>43739</v>
      </c>
      <c r="C1957" t="s">
        <v>23</v>
      </c>
      <c r="D1957" s="22">
        <v>3613544.2664999994</v>
      </c>
    </row>
    <row r="1958" spans="1:4" x14ac:dyDescent="0.25">
      <c r="A1958">
        <v>1734</v>
      </c>
      <c r="B1958" s="16">
        <v>43770</v>
      </c>
      <c r="C1958" t="s">
        <v>23</v>
      </c>
      <c r="D1958" s="22">
        <v>3613544.2664999994</v>
      </c>
    </row>
    <row r="1959" spans="1:4" x14ac:dyDescent="0.25">
      <c r="A1959">
        <v>1734</v>
      </c>
      <c r="B1959" s="16">
        <v>43800</v>
      </c>
      <c r="C1959" t="s">
        <v>23</v>
      </c>
      <c r="D1959" s="22">
        <v>3613544.2664999994</v>
      </c>
    </row>
    <row r="1960" spans="1:4" x14ac:dyDescent="0.25">
      <c r="A1960">
        <v>1734</v>
      </c>
      <c r="B1960" s="16">
        <v>43831</v>
      </c>
      <c r="C1960" t="s">
        <v>23</v>
      </c>
      <c r="D1960" s="22">
        <v>3613544.2664999994</v>
      </c>
    </row>
    <row r="1961" spans="1:4" x14ac:dyDescent="0.25">
      <c r="A1961">
        <v>1734</v>
      </c>
      <c r="B1961" s="16">
        <v>43862</v>
      </c>
      <c r="C1961" t="s">
        <v>23</v>
      </c>
      <c r="D1961" s="22">
        <v>3613544.2664999994</v>
      </c>
    </row>
    <row r="1962" spans="1:4" x14ac:dyDescent="0.25">
      <c r="A1962">
        <v>1734</v>
      </c>
      <c r="B1962" s="16">
        <v>43891</v>
      </c>
      <c r="C1962" t="s">
        <v>23</v>
      </c>
      <c r="D1962" s="22">
        <v>3613544.2664999994</v>
      </c>
    </row>
    <row r="1963" spans="1:4" x14ac:dyDescent="0.25">
      <c r="A1963">
        <v>1734</v>
      </c>
      <c r="B1963" s="16">
        <v>43922</v>
      </c>
      <c r="C1963" t="s">
        <v>23</v>
      </c>
      <c r="D1963" s="22">
        <v>3613544.2664999994</v>
      </c>
    </row>
    <row r="1964" spans="1:4" x14ac:dyDescent="0.25">
      <c r="A1964">
        <v>1734</v>
      </c>
      <c r="B1964" s="16">
        <v>43952</v>
      </c>
      <c r="C1964" t="s">
        <v>23</v>
      </c>
      <c r="D1964" s="22">
        <v>3613544.2664999994</v>
      </c>
    </row>
    <row r="1965" spans="1:4" x14ac:dyDescent="0.25">
      <c r="A1965">
        <v>1734</v>
      </c>
      <c r="B1965" s="16">
        <v>43983</v>
      </c>
      <c r="C1965" t="s">
        <v>23</v>
      </c>
      <c r="D1965" s="22">
        <v>3613544.2664999994</v>
      </c>
    </row>
    <row r="1966" spans="1:4" x14ac:dyDescent="0.25">
      <c r="A1966">
        <v>1734</v>
      </c>
      <c r="B1966" s="16">
        <v>44013</v>
      </c>
      <c r="C1966" t="s">
        <v>23</v>
      </c>
      <c r="D1966" s="22">
        <v>3613544.2664999994</v>
      </c>
    </row>
    <row r="1967" spans="1:4" x14ac:dyDescent="0.25">
      <c r="A1967">
        <v>1734</v>
      </c>
      <c r="B1967" s="16">
        <v>44044</v>
      </c>
      <c r="C1967" t="s">
        <v>23</v>
      </c>
      <c r="D1967" s="22">
        <v>3613544.2664999994</v>
      </c>
    </row>
    <row r="1968" spans="1:4" x14ac:dyDescent="0.25">
      <c r="A1968">
        <v>1734</v>
      </c>
      <c r="B1968" s="16">
        <v>44075</v>
      </c>
      <c r="C1968" t="s">
        <v>23</v>
      </c>
      <c r="D1968" s="22">
        <v>3613544.2664999994</v>
      </c>
    </row>
    <row r="1969" spans="1:4" x14ac:dyDescent="0.25">
      <c r="A1969">
        <v>1888</v>
      </c>
      <c r="B1969" s="16">
        <v>43525</v>
      </c>
      <c r="C1969" t="s">
        <v>19</v>
      </c>
      <c r="D1969" s="22">
        <v>3170664</v>
      </c>
    </row>
    <row r="1970" spans="1:4" x14ac:dyDescent="0.25">
      <c r="A1970">
        <v>1888</v>
      </c>
      <c r="B1970" s="16">
        <v>43556</v>
      </c>
      <c r="C1970" t="s">
        <v>19</v>
      </c>
      <c r="D1970" s="22">
        <v>3170664</v>
      </c>
    </row>
    <row r="1971" spans="1:4" x14ac:dyDescent="0.25">
      <c r="A1971">
        <v>1888</v>
      </c>
      <c r="B1971" s="16">
        <v>43586</v>
      </c>
      <c r="C1971" t="s">
        <v>19</v>
      </c>
      <c r="D1971" s="22">
        <v>3170664</v>
      </c>
    </row>
    <row r="1972" spans="1:4" x14ac:dyDescent="0.25">
      <c r="A1972">
        <v>1888</v>
      </c>
      <c r="B1972" s="16">
        <v>43617</v>
      </c>
      <c r="C1972" t="s">
        <v>19</v>
      </c>
      <c r="D1972" s="22">
        <v>3170664</v>
      </c>
    </row>
    <row r="1973" spans="1:4" x14ac:dyDescent="0.25">
      <c r="A1973">
        <v>1888</v>
      </c>
      <c r="B1973" s="16">
        <v>43647</v>
      </c>
      <c r="C1973" t="s">
        <v>19</v>
      </c>
      <c r="D1973" s="22">
        <v>3170664</v>
      </c>
    </row>
    <row r="1974" spans="1:4" x14ac:dyDescent="0.25">
      <c r="A1974">
        <v>1888</v>
      </c>
      <c r="B1974" s="16">
        <v>43678</v>
      </c>
      <c r="C1974" t="s">
        <v>19</v>
      </c>
      <c r="D1974" s="22">
        <v>3170664</v>
      </c>
    </row>
    <row r="1975" spans="1:4" x14ac:dyDescent="0.25">
      <c r="A1975">
        <v>1888</v>
      </c>
      <c r="B1975" s="16">
        <v>43709</v>
      </c>
      <c r="C1975" t="s">
        <v>19</v>
      </c>
      <c r="D1975" s="22">
        <v>3170664</v>
      </c>
    </row>
    <row r="1976" spans="1:4" x14ac:dyDescent="0.25">
      <c r="A1976">
        <v>1888</v>
      </c>
      <c r="B1976" s="16">
        <v>43739</v>
      </c>
      <c r="C1976" t="s">
        <v>19</v>
      </c>
      <c r="D1976" s="22">
        <v>3170664</v>
      </c>
    </row>
    <row r="1977" spans="1:4" x14ac:dyDescent="0.25">
      <c r="A1977">
        <v>1888</v>
      </c>
      <c r="B1977" s="16">
        <v>43770</v>
      </c>
      <c r="C1977" t="s">
        <v>19</v>
      </c>
      <c r="D1977" s="22">
        <v>3170664</v>
      </c>
    </row>
    <row r="1978" spans="1:4" x14ac:dyDescent="0.25">
      <c r="A1978">
        <v>1888</v>
      </c>
      <c r="B1978" s="16">
        <v>43800</v>
      </c>
      <c r="C1978" t="s">
        <v>19</v>
      </c>
      <c r="D1978" s="22">
        <v>3170664</v>
      </c>
    </row>
    <row r="1979" spans="1:4" x14ac:dyDescent="0.25">
      <c r="A1979">
        <v>1888</v>
      </c>
      <c r="B1979" s="16">
        <v>43831</v>
      </c>
      <c r="C1979" t="s">
        <v>19</v>
      </c>
      <c r="D1979" s="22">
        <v>3170664</v>
      </c>
    </row>
    <row r="1980" spans="1:4" x14ac:dyDescent="0.25">
      <c r="A1980">
        <v>1888</v>
      </c>
      <c r="B1980" s="16">
        <v>43862</v>
      </c>
      <c r="C1980" t="s">
        <v>19</v>
      </c>
      <c r="D1980" s="22">
        <v>3170664</v>
      </c>
    </row>
    <row r="1981" spans="1:4" x14ac:dyDescent="0.25">
      <c r="A1981">
        <v>1888</v>
      </c>
      <c r="B1981" s="16">
        <v>43891</v>
      </c>
      <c r="C1981" t="s">
        <v>19</v>
      </c>
      <c r="D1981" s="22">
        <v>3170664</v>
      </c>
    </row>
    <row r="1982" spans="1:4" x14ac:dyDescent="0.25">
      <c r="A1982">
        <v>1888</v>
      </c>
      <c r="B1982" s="16">
        <v>43922</v>
      </c>
      <c r="C1982" t="s">
        <v>19</v>
      </c>
      <c r="D1982" s="22">
        <v>3170664</v>
      </c>
    </row>
    <row r="1983" spans="1:4" x14ac:dyDescent="0.25">
      <c r="A1983">
        <v>1888</v>
      </c>
      <c r="B1983" s="16">
        <v>43952</v>
      </c>
      <c r="C1983" t="s">
        <v>19</v>
      </c>
      <c r="D1983" s="22">
        <v>3170664</v>
      </c>
    </row>
    <row r="1984" spans="1:4" x14ac:dyDescent="0.25">
      <c r="A1984">
        <v>1888</v>
      </c>
      <c r="B1984" s="16">
        <v>43525</v>
      </c>
      <c r="C1984" t="s">
        <v>12</v>
      </c>
      <c r="D1984" s="22">
        <v>8741250</v>
      </c>
    </row>
    <row r="1985" spans="1:4" x14ac:dyDescent="0.25">
      <c r="A1985">
        <v>1888</v>
      </c>
      <c r="B1985" s="16">
        <v>43556</v>
      </c>
      <c r="C1985" t="s">
        <v>12</v>
      </c>
      <c r="D1985" s="22">
        <v>8741250</v>
      </c>
    </row>
    <row r="1986" spans="1:4" x14ac:dyDescent="0.25">
      <c r="A1986">
        <v>1888</v>
      </c>
      <c r="B1986" s="16">
        <v>43586</v>
      </c>
      <c r="C1986" t="s">
        <v>12</v>
      </c>
      <c r="D1986" s="22">
        <v>8741250</v>
      </c>
    </row>
    <row r="1987" spans="1:4" x14ac:dyDescent="0.25">
      <c r="A1987">
        <v>1888</v>
      </c>
      <c r="B1987" s="16">
        <v>43617</v>
      </c>
      <c r="C1987" t="s">
        <v>12</v>
      </c>
      <c r="D1987" s="22">
        <v>8741250</v>
      </c>
    </row>
    <row r="1988" spans="1:4" x14ac:dyDescent="0.25">
      <c r="A1988">
        <v>1888</v>
      </c>
      <c r="B1988" s="16">
        <v>43647</v>
      </c>
      <c r="C1988" t="s">
        <v>12</v>
      </c>
      <c r="D1988" s="22">
        <v>8741250</v>
      </c>
    </row>
    <row r="1989" spans="1:4" x14ac:dyDescent="0.25">
      <c r="A1989">
        <v>1888</v>
      </c>
      <c r="B1989" s="16">
        <v>43678</v>
      </c>
      <c r="C1989" t="s">
        <v>12</v>
      </c>
      <c r="D1989" s="22">
        <v>8741250</v>
      </c>
    </row>
    <row r="1990" spans="1:4" x14ac:dyDescent="0.25">
      <c r="A1990">
        <v>1888</v>
      </c>
      <c r="B1990" s="16">
        <v>43709</v>
      </c>
      <c r="C1990" t="s">
        <v>12</v>
      </c>
      <c r="D1990" s="22">
        <v>8741250</v>
      </c>
    </row>
    <row r="1991" spans="1:4" x14ac:dyDescent="0.25">
      <c r="A1991">
        <v>1888</v>
      </c>
      <c r="B1991" s="16">
        <v>43739</v>
      </c>
      <c r="C1991" t="s">
        <v>12</v>
      </c>
      <c r="D1991" s="22">
        <v>8741250</v>
      </c>
    </row>
    <row r="1992" spans="1:4" x14ac:dyDescent="0.25">
      <c r="A1992">
        <v>1888</v>
      </c>
      <c r="B1992" s="16">
        <v>43770</v>
      </c>
      <c r="C1992" t="s">
        <v>12</v>
      </c>
      <c r="D1992" s="22">
        <v>8741250</v>
      </c>
    </row>
    <row r="1993" spans="1:4" x14ac:dyDescent="0.25">
      <c r="A1993">
        <v>1888</v>
      </c>
      <c r="B1993" s="16">
        <v>43800</v>
      </c>
      <c r="C1993" t="s">
        <v>12</v>
      </c>
      <c r="D1993" s="22">
        <v>8741250</v>
      </c>
    </row>
    <row r="1994" spans="1:4" x14ac:dyDescent="0.25">
      <c r="A1994">
        <v>1888</v>
      </c>
      <c r="B1994" s="16">
        <v>43831</v>
      </c>
      <c r="C1994" t="s">
        <v>12</v>
      </c>
      <c r="D1994" s="22">
        <v>8741250</v>
      </c>
    </row>
    <row r="1995" spans="1:4" x14ac:dyDescent="0.25">
      <c r="A1995">
        <v>1888</v>
      </c>
      <c r="B1995" s="16">
        <v>43862</v>
      </c>
      <c r="C1995" t="s">
        <v>12</v>
      </c>
      <c r="D1995" s="22">
        <v>8741250</v>
      </c>
    </row>
    <row r="1996" spans="1:4" x14ac:dyDescent="0.25">
      <c r="A1996">
        <v>1888</v>
      </c>
      <c r="B1996" s="16">
        <v>43525</v>
      </c>
      <c r="C1996" t="s">
        <v>39</v>
      </c>
      <c r="D1996" s="22">
        <v>4725000</v>
      </c>
    </row>
    <row r="1997" spans="1:4" x14ac:dyDescent="0.25">
      <c r="A1997">
        <v>1888</v>
      </c>
      <c r="B1997" s="16">
        <v>43556</v>
      </c>
      <c r="C1997" t="s">
        <v>39</v>
      </c>
      <c r="D1997" s="22">
        <v>4725000</v>
      </c>
    </row>
    <row r="1998" spans="1:4" x14ac:dyDescent="0.25">
      <c r="A1998">
        <v>1888</v>
      </c>
      <c r="B1998" s="16">
        <v>43586</v>
      </c>
      <c r="C1998" t="s">
        <v>39</v>
      </c>
      <c r="D1998" s="22">
        <v>4725000</v>
      </c>
    </row>
    <row r="1999" spans="1:4" x14ac:dyDescent="0.25">
      <c r="A1999">
        <v>1888</v>
      </c>
      <c r="B1999" s="16">
        <v>43617</v>
      </c>
      <c r="C1999" t="s">
        <v>39</v>
      </c>
      <c r="D1999" s="22">
        <v>4725000</v>
      </c>
    </row>
    <row r="2000" spans="1:4" x14ac:dyDescent="0.25">
      <c r="A2000">
        <v>1888</v>
      </c>
      <c r="B2000" s="16">
        <v>43647</v>
      </c>
      <c r="C2000" t="s">
        <v>39</v>
      </c>
      <c r="D2000" s="22">
        <v>4725000</v>
      </c>
    </row>
    <row r="2001" spans="1:4" x14ac:dyDescent="0.25">
      <c r="A2001">
        <v>1888</v>
      </c>
      <c r="B2001" s="16">
        <v>43678</v>
      </c>
      <c r="C2001" t="s">
        <v>39</v>
      </c>
      <c r="D2001" s="22">
        <v>4725000</v>
      </c>
    </row>
    <row r="2002" spans="1:4" x14ac:dyDescent="0.25">
      <c r="A2002">
        <v>1888</v>
      </c>
      <c r="B2002" s="16">
        <v>43709</v>
      </c>
      <c r="C2002" t="s">
        <v>39</v>
      </c>
      <c r="D2002" s="22">
        <v>4725000</v>
      </c>
    </row>
    <row r="2003" spans="1:4" x14ac:dyDescent="0.25">
      <c r="A2003">
        <v>1888</v>
      </c>
      <c r="B2003" s="16">
        <v>43739</v>
      </c>
      <c r="C2003" t="s">
        <v>39</v>
      </c>
      <c r="D2003" s="22">
        <v>4725000</v>
      </c>
    </row>
    <row r="2004" spans="1:4" x14ac:dyDescent="0.25">
      <c r="A2004">
        <v>1888</v>
      </c>
      <c r="B2004" s="16">
        <v>43770</v>
      </c>
      <c r="C2004" t="s">
        <v>39</v>
      </c>
      <c r="D2004" s="22">
        <v>4725000</v>
      </c>
    </row>
    <row r="2005" spans="1:4" x14ac:dyDescent="0.25">
      <c r="A2005">
        <v>1888</v>
      </c>
      <c r="B2005" s="16">
        <v>43800</v>
      </c>
      <c r="C2005" t="s">
        <v>39</v>
      </c>
      <c r="D2005" s="22">
        <v>4725000</v>
      </c>
    </row>
    <row r="2006" spans="1:4" x14ac:dyDescent="0.25">
      <c r="A2006">
        <v>1888</v>
      </c>
      <c r="B2006" s="16">
        <v>43831</v>
      </c>
      <c r="C2006" t="s">
        <v>39</v>
      </c>
      <c r="D2006" s="22">
        <v>4725000</v>
      </c>
    </row>
    <row r="2007" spans="1:4" x14ac:dyDescent="0.25">
      <c r="A2007">
        <v>1888</v>
      </c>
      <c r="B2007" s="16">
        <v>43862</v>
      </c>
      <c r="C2007" t="s">
        <v>39</v>
      </c>
      <c r="D2007" s="22">
        <v>4725000</v>
      </c>
    </row>
    <row r="2008" spans="1:4" x14ac:dyDescent="0.25">
      <c r="A2008">
        <v>1888</v>
      </c>
      <c r="B2008" s="16">
        <v>43525</v>
      </c>
      <c r="C2008" t="s">
        <v>38</v>
      </c>
      <c r="D2008" s="22">
        <v>4006799.9999999995</v>
      </c>
    </row>
    <row r="2009" spans="1:4" x14ac:dyDescent="0.25">
      <c r="A2009">
        <v>1888</v>
      </c>
      <c r="B2009" s="16">
        <v>43556</v>
      </c>
      <c r="C2009" t="s">
        <v>38</v>
      </c>
      <c r="D2009" s="22">
        <v>4006799.9999999995</v>
      </c>
    </row>
    <row r="2010" spans="1:4" x14ac:dyDescent="0.25">
      <c r="A2010">
        <v>1888</v>
      </c>
      <c r="B2010" s="16">
        <v>43586</v>
      </c>
      <c r="C2010" t="s">
        <v>38</v>
      </c>
      <c r="D2010" s="22">
        <v>4006799.9999999995</v>
      </c>
    </row>
    <row r="2011" spans="1:4" x14ac:dyDescent="0.25">
      <c r="A2011">
        <v>1888</v>
      </c>
      <c r="B2011" s="16">
        <v>43617</v>
      </c>
      <c r="C2011" t="s">
        <v>38</v>
      </c>
      <c r="D2011" s="22">
        <v>4006799.9999999995</v>
      </c>
    </row>
    <row r="2012" spans="1:4" x14ac:dyDescent="0.25">
      <c r="A2012">
        <v>1888</v>
      </c>
      <c r="B2012" s="16">
        <v>43647</v>
      </c>
      <c r="C2012" t="s">
        <v>38</v>
      </c>
      <c r="D2012" s="22">
        <v>4006799.9999999995</v>
      </c>
    </row>
    <row r="2013" spans="1:4" x14ac:dyDescent="0.25">
      <c r="A2013">
        <v>1888</v>
      </c>
      <c r="B2013" s="16">
        <v>43678</v>
      </c>
      <c r="C2013" t="s">
        <v>38</v>
      </c>
      <c r="D2013" s="22">
        <v>4006799.9999999995</v>
      </c>
    </row>
    <row r="2014" spans="1:4" x14ac:dyDescent="0.25">
      <c r="A2014">
        <v>1888</v>
      </c>
      <c r="B2014" s="16">
        <v>43709</v>
      </c>
      <c r="C2014" t="s">
        <v>38</v>
      </c>
      <c r="D2014" s="22">
        <v>4006799.9999999995</v>
      </c>
    </row>
    <row r="2015" spans="1:4" x14ac:dyDescent="0.25">
      <c r="A2015">
        <v>1888</v>
      </c>
      <c r="B2015" s="16">
        <v>43739</v>
      </c>
      <c r="C2015" t="s">
        <v>38</v>
      </c>
      <c r="D2015" s="22">
        <v>4006799.9999999995</v>
      </c>
    </row>
    <row r="2016" spans="1:4" x14ac:dyDescent="0.25">
      <c r="A2016">
        <v>1888</v>
      </c>
      <c r="B2016" s="16">
        <v>43770</v>
      </c>
      <c r="C2016" t="s">
        <v>38</v>
      </c>
      <c r="D2016" s="22">
        <v>4006799.9999999995</v>
      </c>
    </row>
    <row r="2017" spans="1:4" x14ac:dyDescent="0.25">
      <c r="A2017">
        <v>1888</v>
      </c>
      <c r="B2017" s="16">
        <v>43800</v>
      </c>
      <c r="C2017" t="s">
        <v>38</v>
      </c>
      <c r="D2017" s="22">
        <v>4006799.9999999995</v>
      </c>
    </row>
    <row r="2018" spans="1:4" x14ac:dyDescent="0.25">
      <c r="A2018">
        <v>1888</v>
      </c>
      <c r="B2018" s="16">
        <v>43831</v>
      </c>
      <c r="C2018" t="s">
        <v>38</v>
      </c>
      <c r="D2018" s="22">
        <v>4006799.9999999995</v>
      </c>
    </row>
    <row r="2019" spans="1:4" x14ac:dyDescent="0.25">
      <c r="A2019">
        <v>1888</v>
      </c>
      <c r="B2019" s="16">
        <v>43525</v>
      </c>
      <c r="C2019" t="s">
        <v>29</v>
      </c>
      <c r="D2019" s="22">
        <v>1850625</v>
      </c>
    </row>
    <row r="2020" spans="1:4" x14ac:dyDescent="0.25">
      <c r="A2020">
        <v>1888</v>
      </c>
      <c r="B2020" s="16">
        <v>43556</v>
      </c>
      <c r="C2020" t="s">
        <v>29</v>
      </c>
      <c r="D2020" s="22">
        <v>1850625</v>
      </c>
    </row>
    <row r="2021" spans="1:4" x14ac:dyDescent="0.25">
      <c r="A2021">
        <v>1888</v>
      </c>
      <c r="B2021" s="16">
        <v>43586</v>
      </c>
      <c r="C2021" t="s">
        <v>29</v>
      </c>
      <c r="D2021" s="22">
        <v>1850625</v>
      </c>
    </row>
    <row r="2022" spans="1:4" x14ac:dyDescent="0.25">
      <c r="A2022">
        <v>1888</v>
      </c>
      <c r="B2022" s="16">
        <v>43617</v>
      </c>
      <c r="C2022" t="s">
        <v>29</v>
      </c>
      <c r="D2022" s="22">
        <v>1850625</v>
      </c>
    </row>
    <row r="2023" spans="1:4" x14ac:dyDescent="0.25">
      <c r="A2023">
        <v>1888</v>
      </c>
      <c r="B2023" s="16">
        <v>43525</v>
      </c>
      <c r="C2023" t="s">
        <v>169</v>
      </c>
      <c r="D2023" s="22">
        <v>2583000</v>
      </c>
    </row>
    <row r="2024" spans="1:4" x14ac:dyDescent="0.25">
      <c r="A2024">
        <v>1888</v>
      </c>
      <c r="B2024" s="16">
        <v>43556</v>
      </c>
      <c r="C2024" t="s">
        <v>169</v>
      </c>
      <c r="D2024" s="22">
        <v>2583000</v>
      </c>
    </row>
    <row r="2025" spans="1:4" x14ac:dyDescent="0.25">
      <c r="A2025">
        <v>1888</v>
      </c>
      <c r="B2025" s="16">
        <v>43586</v>
      </c>
      <c r="C2025" t="s">
        <v>169</v>
      </c>
      <c r="D2025" s="22">
        <v>2583000</v>
      </c>
    </row>
    <row r="2026" spans="1:4" x14ac:dyDescent="0.25">
      <c r="A2026">
        <v>1888</v>
      </c>
      <c r="B2026" s="16">
        <v>43617</v>
      </c>
      <c r="C2026" t="s">
        <v>169</v>
      </c>
      <c r="D2026" s="22">
        <v>2583000</v>
      </c>
    </row>
    <row r="2027" spans="1:4" x14ac:dyDescent="0.25">
      <c r="A2027">
        <v>1891</v>
      </c>
      <c r="B2027" s="16">
        <v>43497</v>
      </c>
      <c r="C2027" t="s">
        <v>12</v>
      </c>
      <c r="D2027" s="22">
        <v>12134941.875</v>
      </c>
    </row>
    <row r="2028" spans="1:4" x14ac:dyDescent="0.25">
      <c r="A2028">
        <v>1891</v>
      </c>
      <c r="B2028" s="16">
        <v>43525</v>
      </c>
      <c r="C2028" t="s">
        <v>12</v>
      </c>
      <c r="D2028" s="22">
        <v>12134941.875</v>
      </c>
    </row>
    <row r="2029" spans="1:4" x14ac:dyDescent="0.25">
      <c r="A2029">
        <v>1891</v>
      </c>
      <c r="B2029" s="16">
        <v>43556</v>
      </c>
      <c r="C2029" t="s">
        <v>12</v>
      </c>
      <c r="D2029" s="22">
        <v>12134941.875</v>
      </c>
    </row>
    <row r="2030" spans="1:4" x14ac:dyDescent="0.25">
      <c r="A2030">
        <v>1891</v>
      </c>
      <c r="B2030" s="16">
        <v>43586</v>
      </c>
      <c r="C2030" t="s">
        <v>12</v>
      </c>
      <c r="D2030" s="22">
        <v>12134941.875</v>
      </c>
    </row>
    <row r="2031" spans="1:4" x14ac:dyDescent="0.25">
      <c r="A2031">
        <v>1891</v>
      </c>
      <c r="B2031" s="16">
        <v>43617</v>
      </c>
      <c r="C2031" t="s">
        <v>12</v>
      </c>
      <c r="D2031" s="22">
        <v>12134941.875</v>
      </c>
    </row>
    <row r="2032" spans="1:4" x14ac:dyDescent="0.25">
      <c r="A2032">
        <v>1891</v>
      </c>
      <c r="B2032" s="16">
        <v>43647</v>
      </c>
      <c r="C2032" t="s">
        <v>12</v>
      </c>
      <c r="D2032" s="22">
        <v>12134941.875</v>
      </c>
    </row>
    <row r="2033" spans="1:4" x14ac:dyDescent="0.25">
      <c r="A2033">
        <v>1891</v>
      </c>
      <c r="B2033" s="16">
        <v>43678</v>
      </c>
      <c r="C2033" t="s">
        <v>12</v>
      </c>
      <c r="D2033" s="22">
        <v>12134941.875</v>
      </c>
    </row>
    <row r="2034" spans="1:4" x14ac:dyDescent="0.25">
      <c r="A2034">
        <v>1891</v>
      </c>
      <c r="B2034" s="16">
        <v>43709</v>
      </c>
      <c r="C2034" t="s">
        <v>12</v>
      </c>
      <c r="D2034" s="22">
        <v>12134941.875</v>
      </c>
    </row>
    <row r="2035" spans="1:4" x14ac:dyDescent="0.25">
      <c r="A2035">
        <v>1891</v>
      </c>
      <c r="B2035" s="16">
        <v>43739</v>
      </c>
      <c r="C2035" t="s">
        <v>12</v>
      </c>
      <c r="D2035" s="22">
        <v>12134941.875</v>
      </c>
    </row>
    <row r="2036" spans="1:4" x14ac:dyDescent="0.25">
      <c r="A2036">
        <v>1891</v>
      </c>
      <c r="B2036" s="16">
        <v>43770</v>
      </c>
      <c r="C2036" t="s">
        <v>12</v>
      </c>
      <c r="D2036" s="22">
        <v>12134941.875</v>
      </c>
    </row>
    <row r="2037" spans="1:4" x14ac:dyDescent="0.25">
      <c r="A2037">
        <v>1891</v>
      </c>
      <c r="B2037" s="16">
        <v>43800</v>
      </c>
      <c r="C2037" t="s">
        <v>12</v>
      </c>
      <c r="D2037" s="22">
        <v>12134941.875</v>
      </c>
    </row>
    <row r="2038" spans="1:4" x14ac:dyDescent="0.25">
      <c r="A2038">
        <v>1891</v>
      </c>
      <c r="B2038" s="16">
        <v>43831</v>
      </c>
      <c r="C2038" t="s">
        <v>12</v>
      </c>
      <c r="D2038" s="22">
        <v>12134941.875</v>
      </c>
    </row>
    <row r="2039" spans="1:4" x14ac:dyDescent="0.25">
      <c r="A2039">
        <v>1891</v>
      </c>
      <c r="B2039" s="16">
        <v>43862</v>
      </c>
      <c r="C2039" t="s">
        <v>12</v>
      </c>
      <c r="D2039" s="22">
        <v>12134941.875</v>
      </c>
    </row>
    <row r="2040" spans="1:4" x14ac:dyDescent="0.25">
      <c r="A2040">
        <v>1891</v>
      </c>
      <c r="B2040" s="16">
        <v>43891</v>
      </c>
      <c r="C2040" t="s">
        <v>12</v>
      </c>
      <c r="D2040" s="22">
        <v>12134941.875</v>
      </c>
    </row>
    <row r="2041" spans="1:4" x14ac:dyDescent="0.25">
      <c r="A2041">
        <v>1891</v>
      </c>
      <c r="B2041" s="16">
        <v>43922</v>
      </c>
      <c r="C2041" t="s">
        <v>12</v>
      </c>
      <c r="D2041" s="22">
        <v>12134941.875</v>
      </c>
    </row>
    <row r="2042" spans="1:4" x14ac:dyDescent="0.25">
      <c r="A2042">
        <v>1891</v>
      </c>
      <c r="B2042" s="16">
        <v>43952</v>
      </c>
      <c r="C2042" t="s">
        <v>12</v>
      </c>
      <c r="D2042" s="22">
        <v>12134941.875</v>
      </c>
    </row>
    <row r="2043" spans="1:4" x14ac:dyDescent="0.25">
      <c r="A2043">
        <v>1891</v>
      </c>
      <c r="B2043" s="16">
        <v>43983</v>
      </c>
      <c r="C2043" t="s">
        <v>12</v>
      </c>
      <c r="D2043" s="22">
        <v>12134941.875</v>
      </c>
    </row>
    <row r="2044" spans="1:4" x14ac:dyDescent="0.25">
      <c r="A2044">
        <v>1891</v>
      </c>
      <c r="B2044" s="16">
        <v>43497</v>
      </c>
      <c r="C2044" t="s">
        <v>26</v>
      </c>
      <c r="D2044" s="22">
        <v>7406867.4750000006</v>
      </c>
    </row>
    <row r="2045" spans="1:4" x14ac:dyDescent="0.25">
      <c r="A2045">
        <v>1891</v>
      </c>
      <c r="B2045" s="16">
        <v>43525</v>
      </c>
      <c r="C2045" t="s">
        <v>26</v>
      </c>
      <c r="D2045" s="22">
        <v>7406867.4750000006</v>
      </c>
    </row>
    <row r="2046" spans="1:4" x14ac:dyDescent="0.25">
      <c r="A2046">
        <v>1891</v>
      </c>
      <c r="B2046" s="16">
        <v>43556</v>
      </c>
      <c r="C2046" t="s">
        <v>26</v>
      </c>
      <c r="D2046" s="22">
        <v>7406867.4750000006</v>
      </c>
    </row>
    <row r="2047" spans="1:4" x14ac:dyDescent="0.25">
      <c r="A2047">
        <v>1891</v>
      </c>
      <c r="B2047" s="16">
        <v>43586</v>
      </c>
      <c r="C2047" t="s">
        <v>26</v>
      </c>
      <c r="D2047" s="22">
        <v>7406867.4750000006</v>
      </c>
    </row>
    <row r="2048" spans="1:4" x14ac:dyDescent="0.25">
      <c r="A2048">
        <v>1891</v>
      </c>
      <c r="B2048" s="16">
        <v>43617</v>
      </c>
      <c r="C2048" t="s">
        <v>26</v>
      </c>
      <c r="D2048" s="22">
        <v>7406867.4750000006</v>
      </c>
    </row>
    <row r="2049" spans="1:4" x14ac:dyDescent="0.25">
      <c r="A2049">
        <v>1891</v>
      </c>
      <c r="B2049" s="16">
        <v>43647</v>
      </c>
      <c r="C2049" t="s">
        <v>26</v>
      </c>
      <c r="D2049" s="22">
        <v>7406867.4750000006</v>
      </c>
    </row>
    <row r="2050" spans="1:4" x14ac:dyDescent="0.25">
      <c r="A2050">
        <v>1891</v>
      </c>
      <c r="B2050" s="16">
        <v>43678</v>
      </c>
      <c r="C2050" t="s">
        <v>26</v>
      </c>
      <c r="D2050" s="22">
        <v>7406867.4750000006</v>
      </c>
    </row>
    <row r="2051" spans="1:4" x14ac:dyDescent="0.25">
      <c r="A2051">
        <v>1891</v>
      </c>
      <c r="B2051" s="16">
        <v>43709</v>
      </c>
      <c r="C2051" t="s">
        <v>26</v>
      </c>
      <c r="D2051" s="22">
        <v>7406867.4750000006</v>
      </c>
    </row>
    <row r="2052" spans="1:4" x14ac:dyDescent="0.25">
      <c r="A2052">
        <v>1891</v>
      </c>
      <c r="B2052" s="16">
        <v>43739</v>
      </c>
      <c r="C2052" t="s">
        <v>26</v>
      </c>
      <c r="D2052" s="22">
        <v>7406867.4750000006</v>
      </c>
    </row>
    <row r="2053" spans="1:4" x14ac:dyDescent="0.25">
      <c r="A2053">
        <v>1891</v>
      </c>
      <c r="B2053" s="16">
        <v>43770</v>
      </c>
      <c r="C2053" t="s">
        <v>26</v>
      </c>
      <c r="D2053" s="22">
        <v>7406867.4750000006</v>
      </c>
    </row>
    <row r="2054" spans="1:4" x14ac:dyDescent="0.25">
      <c r="A2054">
        <v>1891</v>
      </c>
      <c r="B2054" s="16">
        <v>43800</v>
      </c>
      <c r="C2054" t="s">
        <v>26</v>
      </c>
      <c r="D2054" s="22">
        <v>7406867.4750000006</v>
      </c>
    </row>
    <row r="2055" spans="1:4" x14ac:dyDescent="0.25">
      <c r="A2055">
        <v>1891</v>
      </c>
      <c r="B2055" s="16">
        <v>43831</v>
      </c>
      <c r="C2055" t="s">
        <v>26</v>
      </c>
      <c r="D2055" s="22">
        <v>7406867.4750000006</v>
      </c>
    </row>
    <row r="2056" spans="1:4" x14ac:dyDescent="0.25">
      <c r="A2056">
        <v>1891</v>
      </c>
      <c r="B2056" s="16">
        <v>43862</v>
      </c>
      <c r="C2056" t="s">
        <v>26</v>
      </c>
      <c r="D2056" s="22">
        <v>7406867.4750000006</v>
      </c>
    </row>
    <row r="2057" spans="1:4" x14ac:dyDescent="0.25">
      <c r="A2057">
        <v>1891</v>
      </c>
      <c r="B2057" s="16">
        <v>43891</v>
      </c>
      <c r="C2057" t="s">
        <v>26</v>
      </c>
      <c r="D2057" s="22">
        <v>7406867.4750000006</v>
      </c>
    </row>
    <row r="2058" spans="1:4" x14ac:dyDescent="0.25">
      <c r="A2058">
        <v>1891</v>
      </c>
      <c r="B2058" s="16">
        <v>43922</v>
      </c>
      <c r="C2058" t="s">
        <v>26</v>
      </c>
      <c r="D2058" s="22">
        <v>7406867.4750000006</v>
      </c>
    </row>
    <row r="2059" spans="1:4" x14ac:dyDescent="0.25">
      <c r="A2059">
        <v>1891</v>
      </c>
      <c r="B2059" s="16">
        <v>43952</v>
      </c>
      <c r="C2059" t="s">
        <v>26</v>
      </c>
      <c r="D2059" s="22">
        <v>7406867.4750000006</v>
      </c>
    </row>
    <row r="2060" spans="1:4" x14ac:dyDescent="0.25">
      <c r="A2060">
        <v>1891</v>
      </c>
      <c r="B2060" s="16">
        <v>43983</v>
      </c>
      <c r="C2060" t="s">
        <v>26</v>
      </c>
      <c r="D2060" s="22">
        <v>7406867.4750000006</v>
      </c>
    </row>
    <row r="2061" spans="1:4" x14ac:dyDescent="0.25">
      <c r="A2061">
        <v>1891</v>
      </c>
      <c r="B2061" s="16">
        <v>44013</v>
      </c>
      <c r="C2061" t="s">
        <v>26</v>
      </c>
      <c r="D2061" s="22">
        <v>7406867.4750000006</v>
      </c>
    </row>
    <row r="2062" spans="1:4" x14ac:dyDescent="0.25">
      <c r="A2062">
        <v>1891</v>
      </c>
      <c r="B2062" s="16">
        <v>44044</v>
      </c>
      <c r="C2062" t="s">
        <v>26</v>
      </c>
      <c r="D2062" s="22">
        <v>7406867.4750000006</v>
      </c>
    </row>
    <row r="2063" spans="1:4" x14ac:dyDescent="0.25">
      <c r="A2063">
        <v>1891</v>
      </c>
      <c r="B2063" s="16">
        <v>44075</v>
      </c>
      <c r="C2063" t="s">
        <v>26</v>
      </c>
      <c r="D2063" s="22">
        <v>7406867.4750000006</v>
      </c>
    </row>
    <row r="2064" spans="1:4" x14ac:dyDescent="0.25">
      <c r="A2064">
        <v>1891</v>
      </c>
      <c r="B2064" s="16">
        <v>44105</v>
      </c>
      <c r="C2064" t="s">
        <v>26</v>
      </c>
      <c r="D2064" s="22">
        <v>7406867.4750000006</v>
      </c>
    </row>
    <row r="2065" spans="1:4" x14ac:dyDescent="0.25">
      <c r="A2065">
        <v>1891</v>
      </c>
      <c r="B2065" s="16">
        <v>44136</v>
      </c>
      <c r="C2065" t="s">
        <v>26</v>
      </c>
      <c r="D2065" s="22">
        <v>7406867.4750000006</v>
      </c>
    </row>
    <row r="2066" spans="1:4" x14ac:dyDescent="0.25">
      <c r="A2066">
        <v>1891</v>
      </c>
      <c r="B2066" s="16">
        <v>44166</v>
      </c>
      <c r="C2066" t="s">
        <v>26</v>
      </c>
      <c r="D2066" s="22">
        <v>7406867.4750000006</v>
      </c>
    </row>
    <row r="2067" spans="1:4" x14ac:dyDescent="0.25">
      <c r="A2067">
        <v>1891</v>
      </c>
      <c r="B2067" s="16">
        <v>43497</v>
      </c>
      <c r="C2067" t="s">
        <v>123</v>
      </c>
      <c r="D2067" s="22">
        <v>7540019.5500000007</v>
      </c>
    </row>
    <row r="2068" spans="1:4" x14ac:dyDescent="0.25">
      <c r="A2068">
        <v>1891</v>
      </c>
      <c r="B2068" s="16">
        <v>43525</v>
      </c>
      <c r="C2068" t="s">
        <v>123</v>
      </c>
      <c r="D2068" s="22">
        <v>7540019.5500000007</v>
      </c>
    </row>
    <row r="2069" spans="1:4" x14ac:dyDescent="0.25">
      <c r="A2069">
        <v>1891</v>
      </c>
      <c r="B2069" s="16">
        <v>43556</v>
      </c>
      <c r="C2069" t="s">
        <v>123</v>
      </c>
      <c r="D2069" s="22">
        <v>7540019.5500000007</v>
      </c>
    </row>
    <row r="2070" spans="1:4" x14ac:dyDescent="0.25">
      <c r="A2070">
        <v>1891</v>
      </c>
      <c r="B2070" s="16">
        <v>43586</v>
      </c>
      <c r="C2070" t="s">
        <v>123</v>
      </c>
      <c r="D2070" s="22">
        <v>7540019.5500000007</v>
      </c>
    </row>
    <row r="2071" spans="1:4" x14ac:dyDescent="0.25">
      <c r="A2071">
        <v>1891</v>
      </c>
      <c r="B2071" s="16">
        <v>43617</v>
      </c>
      <c r="C2071" t="s">
        <v>123</v>
      </c>
      <c r="D2071" s="22">
        <v>7540019.5500000007</v>
      </c>
    </row>
    <row r="2072" spans="1:4" x14ac:dyDescent="0.25">
      <c r="A2072">
        <v>1891</v>
      </c>
      <c r="B2072" s="16">
        <v>43647</v>
      </c>
      <c r="C2072" t="s">
        <v>123</v>
      </c>
      <c r="D2072" s="22">
        <v>7540019.5500000007</v>
      </c>
    </row>
    <row r="2073" spans="1:4" x14ac:dyDescent="0.25">
      <c r="A2073">
        <v>1891</v>
      </c>
      <c r="B2073" s="16">
        <v>43678</v>
      </c>
      <c r="C2073" t="s">
        <v>123</v>
      </c>
      <c r="D2073" s="22">
        <v>7540019.5500000007</v>
      </c>
    </row>
    <row r="2074" spans="1:4" x14ac:dyDescent="0.25">
      <c r="A2074">
        <v>1891</v>
      </c>
      <c r="B2074" s="16">
        <v>43709</v>
      </c>
      <c r="C2074" t="s">
        <v>123</v>
      </c>
      <c r="D2074" s="22">
        <v>7540019.5500000007</v>
      </c>
    </row>
    <row r="2075" spans="1:4" x14ac:dyDescent="0.25">
      <c r="A2075">
        <v>1891</v>
      </c>
      <c r="B2075" s="16">
        <v>43739</v>
      </c>
      <c r="C2075" t="s">
        <v>123</v>
      </c>
      <c r="D2075" s="22">
        <v>7540019.5500000007</v>
      </c>
    </row>
    <row r="2076" spans="1:4" x14ac:dyDescent="0.25">
      <c r="A2076">
        <v>1891</v>
      </c>
      <c r="B2076" s="16">
        <v>43770</v>
      </c>
      <c r="C2076" t="s">
        <v>123</v>
      </c>
      <c r="D2076" s="22">
        <v>7540019.5500000007</v>
      </c>
    </row>
    <row r="2077" spans="1:4" x14ac:dyDescent="0.25">
      <c r="A2077">
        <v>1891</v>
      </c>
      <c r="B2077" s="16">
        <v>43800</v>
      </c>
      <c r="C2077" t="s">
        <v>123</v>
      </c>
      <c r="D2077" s="22">
        <v>7540019.5500000007</v>
      </c>
    </row>
    <row r="2078" spans="1:4" x14ac:dyDescent="0.25">
      <c r="A2078">
        <v>1891</v>
      </c>
      <c r="B2078" s="16">
        <v>43831</v>
      </c>
      <c r="C2078" t="s">
        <v>123</v>
      </c>
      <c r="D2078" s="22">
        <v>7540019.5500000007</v>
      </c>
    </row>
    <row r="2079" spans="1:4" x14ac:dyDescent="0.25">
      <c r="A2079">
        <v>1891</v>
      </c>
      <c r="B2079" s="16">
        <v>43862</v>
      </c>
      <c r="C2079" t="s">
        <v>123</v>
      </c>
      <c r="D2079" s="22">
        <v>7540019.5500000007</v>
      </c>
    </row>
    <row r="2080" spans="1:4" x14ac:dyDescent="0.25">
      <c r="A2080">
        <v>1891</v>
      </c>
      <c r="B2080" s="16">
        <v>43891</v>
      </c>
      <c r="C2080" t="s">
        <v>123</v>
      </c>
      <c r="D2080" s="22">
        <v>7540019.5500000007</v>
      </c>
    </row>
    <row r="2081" spans="1:4" x14ac:dyDescent="0.25">
      <c r="A2081">
        <v>1891</v>
      </c>
      <c r="B2081" s="16">
        <v>43497</v>
      </c>
      <c r="C2081" t="s">
        <v>39</v>
      </c>
      <c r="D2081" s="22">
        <v>5488569.4500000002</v>
      </c>
    </row>
    <row r="2082" spans="1:4" x14ac:dyDescent="0.25">
      <c r="A2082">
        <v>1891</v>
      </c>
      <c r="B2082" s="16">
        <v>43525</v>
      </c>
      <c r="C2082" t="s">
        <v>39</v>
      </c>
      <c r="D2082" s="22">
        <v>5488569.4500000002</v>
      </c>
    </row>
    <row r="2083" spans="1:4" x14ac:dyDescent="0.25">
      <c r="A2083">
        <v>1891</v>
      </c>
      <c r="B2083" s="16">
        <v>43556</v>
      </c>
      <c r="C2083" t="s">
        <v>39</v>
      </c>
      <c r="D2083" s="22">
        <v>5488569.4500000002</v>
      </c>
    </row>
    <row r="2084" spans="1:4" x14ac:dyDescent="0.25">
      <c r="A2084">
        <v>1891</v>
      </c>
      <c r="B2084" s="16">
        <v>43586</v>
      </c>
      <c r="C2084" t="s">
        <v>39</v>
      </c>
      <c r="D2084" s="22">
        <v>5488569.4500000002</v>
      </c>
    </row>
    <row r="2085" spans="1:4" x14ac:dyDescent="0.25">
      <c r="A2085">
        <v>1891</v>
      </c>
      <c r="B2085" s="16">
        <v>43617</v>
      </c>
      <c r="C2085" t="s">
        <v>39</v>
      </c>
      <c r="D2085" s="22">
        <v>5488569.4500000002</v>
      </c>
    </row>
    <row r="2086" spans="1:4" x14ac:dyDescent="0.25">
      <c r="A2086">
        <v>1891</v>
      </c>
      <c r="B2086" s="16">
        <v>43647</v>
      </c>
      <c r="C2086" t="s">
        <v>39</v>
      </c>
      <c r="D2086" s="22">
        <v>5488569.4500000002</v>
      </c>
    </row>
    <row r="2087" spans="1:4" x14ac:dyDescent="0.25">
      <c r="A2087">
        <v>1891</v>
      </c>
      <c r="B2087" s="16">
        <v>43678</v>
      </c>
      <c r="C2087" t="s">
        <v>39</v>
      </c>
      <c r="D2087" s="22">
        <v>5488569.4500000002</v>
      </c>
    </row>
    <row r="2088" spans="1:4" x14ac:dyDescent="0.25">
      <c r="A2088">
        <v>1891</v>
      </c>
      <c r="B2088" s="16">
        <v>43709</v>
      </c>
      <c r="C2088" t="s">
        <v>39</v>
      </c>
      <c r="D2088" s="22">
        <v>5488569.4500000002</v>
      </c>
    </row>
    <row r="2089" spans="1:4" x14ac:dyDescent="0.25">
      <c r="A2089">
        <v>1891</v>
      </c>
      <c r="B2089" s="16">
        <v>43739</v>
      </c>
      <c r="C2089" t="s">
        <v>39</v>
      </c>
      <c r="D2089" s="22">
        <v>5488569.4500000002</v>
      </c>
    </row>
    <row r="2090" spans="1:4" x14ac:dyDescent="0.25">
      <c r="A2090">
        <v>1891</v>
      </c>
      <c r="B2090" s="16">
        <v>43770</v>
      </c>
      <c r="C2090" t="s">
        <v>39</v>
      </c>
      <c r="D2090" s="22">
        <v>5488569.4500000002</v>
      </c>
    </row>
    <row r="2091" spans="1:4" x14ac:dyDescent="0.25">
      <c r="A2091">
        <v>1891</v>
      </c>
      <c r="B2091" s="16">
        <v>43800</v>
      </c>
      <c r="C2091" t="s">
        <v>39</v>
      </c>
      <c r="D2091" s="22">
        <v>5488569.4500000002</v>
      </c>
    </row>
    <row r="2092" spans="1:4" x14ac:dyDescent="0.25">
      <c r="A2092">
        <v>1891</v>
      </c>
      <c r="B2092" s="16">
        <v>43831</v>
      </c>
      <c r="C2092" t="s">
        <v>39</v>
      </c>
      <c r="D2092" s="22">
        <v>5488569.4500000002</v>
      </c>
    </row>
    <row r="2093" spans="1:4" x14ac:dyDescent="0.25">
      <c r="A2093">
        <v>1891</v>
      </c>
      <c r="B2093" s="16">
        <v>43862</v>
      </c>
      <c r="C2093" t="s">
        <v>39</v>
      </c>
      <c r="D2093" s="22">
        <v>5488569.4500000002</v>
      </c>
    </row>
    <row r="2094" spans="1:4" x14ac:dyDescent="0.25">
      <c r="A2094">
        <v>1891</v>
      </c>
      <c r="B2094" s="16">
        <v>43891</v>
      </c>
      <c r="C2094" t="s">
        <v>39</v>
      </c>
      <c r="D2094" s="22">
        <v>5488569.4500000002</v>
      </c>
    </row>
    <row r="2095" spans="1:4" x14ac:dyDescent="0.25">
      <c r="A2095">
        <v>1891</v>
      </c>
      <c r="B2095" s="16">
        <v>43922</v>
      </c>
      <c r="C2095" t="s">
        <v>39</v>
      </c>
      <c r="D2095" s="22">
        <v>5488569.4500000002</v>
      </c>
    </row>
    <row r="2096" spans="1:4" x14ac:dyDescent="0.25">
      <c r="A2096">
        <v>1891</v>
      </c>
      <c r="B2096" s="16">
        <v>43952</v>
      </c>
      <c r="C2096" t="s">
        <v>39</v>
      </c>
      <c r="D2096" s="22">
        <v>5488569.4500000002</v>
      </c>
    </row>
    <row r="2097" spans="1:4" x14ac:dyDescent="0.25">
      <c r="A2097">
        <v>1891</v>
      </c>
      <c r="B2097" s="16">
        <v>43983</v>
      </c>
      <c r="C2097" t="s">
        <v>39</v>
      </c>
      <c r="D2097" s="22">
        <v>5488569.4500000002</v>
      </c>
    </row>
    <row r="2098" spans="1:4" x14ac:dyDescent="0.25">
      <c r="A2098">
        <v>1891</v>
      </c>
      <c r="B2098" s="16">
        <v>43497</v>
      </c>
      <c r="C2098" t="s">
        <v>178</v>
      </c>
      <c r="D2098" s="22">
        <v>4923668.9249999998</v>
      </c>
    </row>
    <row r="2099" spans="1:4" x14ac:dyDescent="0.25">
      <c r="A2099">
        <v>1891</v>
      </c>
      <c r="B2099" s="16">
        <v>43525</v>
      </c>
      <c r="C2099" t="s">
        <v>178</v>
      </c>
      <c r="D2099" s="22">
        <v>4923668.9249999998</v>
      </c>
    </row>
    <row r="2100" spans="1:4" x14ac:dyDescent="0.25">
      <c r="A2100">
        <v>1891</v>
      </c>
      <c r="B2100" s="16">
        <v>43556</v>
      </c>
      <c r="C2100" t="s">
        <v>178</v>
      </c>
      <c r="D2100" s="22">
        <v>4923668.9249999998</v>
      </c>
    </row>
    <row r="2101" spans="1:4" x14ac:dyDescent="0.25">
      <c r="A2101">
        <v>1891</v>
      </c>
      <c r="B2101" s="16">
        <v>43586</v>
      </c>
      <c r="C2101" t="s">
        <v>178</v>
      </c>
      <c r="D2101" s="22">
        <v>4923668.9249999998</v>
      </c>
    </row>
    <row r="2102" spans="1:4" x14ac:dyDescent="0.25">
      <c r="A2102">
        <v>1891</v>
      </c>
      <c r="B2102" s="16">
        <v>43617</v>
      </c>
      <c r="C2102" t="s">
        <v>178</v>
      </c>
      <c r="D2102" s="22">
        <v>4923668.9249999998</v>
      </c>
    </row>
    <row r="2103" spans="1:4" x14ac:dyDescent="0.25">
      <c r="A2103">
        <v>1891</v>
      </c>
      <c r="B2103" s="16">
        <v>43647</v>
      </c>
      <c r="C2103" t="s">
        <v>178</v>
      </c>
      <c r="D2103" s="22">
        <v>4923668.9249999998</v>
      </c>
    </row>
    <row r="2104" spans="1:4" x14ac:dyDescent="0.25">
      <c r="A2104">
        <v>1891</v>
      </c>
      <c r="B2104" s="16">
        <v>43678</v>
      </c>
      <c r="C2104" t="s">
        <v>178</v>
      </c>
      <c r="D2104" s="22">
        <v>4923668.9249999998</v>
      </c>
    </row>
    <row r="2105" spans="1:4" x14ac:dyDescent="0.25">
      <c r="A2105">
        <v>1891</v>
      </c>
      <c r="B2105" s="16">
        <v>43709</v>
      </c>
      <c r="C2105" t="s">
        <v>178</v>
      </c>
      <c r="D2105" s="22">
        <v>4923668.9249999998</v>
      </c>
    </row>
    <row r="2106" spans="1:4" x14ac:dyDescent="0.25">
      <c r="A2106">
        <v>1891</v>
      </c>
      <c r="B2106" s="16">
        <v>43739</v>
      </c>
      <c r="C2106" t="s">
        <v>178</v>
      </c>
      <c r="D2106" s="22">
        <v>4923668.9249999998</v>
      </c>
    </row>
    <row r="2107" spans="1:4" x14ac:dyDescent="0.25">
      <c r="A2107">
        <v>1891</v>
      </c>
      <c r="B2107" s="16">
        <v>43770</v>
      </c>
      <c r="C2107" t="s">
        <v>178</v>
      </c>
      <c r="D2107" s="22">
        <v>4923668.9249999998</v>
      </c>
    </row>
    <row r="2108" spans="1:4" x14ac:dyDescent="0.25">
      <c r="A2108">
        <v>1891</v>
      </c>
      <c r="B2108" s="16">
        <v>43800</v>
      </c>
      <c r="C2108" t="s">
        <v>178</v>
      </c>
      <c r="D2108" s="22">
        <v>4923668.9249999998</v>
      </c>
    </row>
    <row r="2109" spans="1:4" x14ac:dyDescent="0.25">
      <c r="A2109">
        <v>1891</v>
      </c>
      <c r="B2109" s="16">
        <v>43831</v>
      </c>
      <c r="C2109" t="s">
        <v>178</v>
      </c>
      <c r="D2109" s="22">
        <v>4923668.9249999998</v>
      </c>
    </row>
    <row r="2110" spans="1:4" x14ac:dyDescent="0.25">
      <c r="A2110">
        <v>1891</v>
      </c>
      <c r="B2110" s="16">
        <v>43862</v>
      </c>
      <c r="C2110" t="s">
        <v>178</v>
      </c>
      <c r="D2110" s="22">
        <v>4923668.9249999998</v>
      </c>
    </row>
    <row r="2111" spans="1:4" x14ac:dyDescent="0.25">
      <c r="A2111">
        <v>1891</v>
      </c>
      <c r="B2111" s="16">
        <v>43891</v>
      </c>
      <c r="C2111" t="s">
        <v>178</v>
      </c>
      <c r="D2111" s="22">
        <v>4923668.9249999998</v>
      </c>
    </row>
    <row r="2112" spans="1:4" x14ac:dyDescent="0.25">
      <c r="A2112">
        <v>1891</v>
      </c>
      <c r="B2112" s="16">
        <v>43922</v>
      </c>
      <c r="C2112" t="s">
        <v>178</v>
      </c>
      <c r="D2112" s="22">
        <v>4923668.9249999998</v>
      </c>
    </row>
    <row r="2113" spans="1:4" x14ac:dyDescent="0.25">
      <c r="A2113">
        <v>1891</v>
      </c>
      <c r="B2113" s="16">
        <v>43952</v>
      </c>
      <c r="C2113" t="s">
        <v>178</v>
      </c>
      <c r="D2113" s="22">
        <v>4923668.9249999998</v>
      </c>
    </row>
    <row r="2114" spans="1:4" x14ac:dyDescent="0.25">
      <c r="A2114">
        <v>1891</v>
      </c>
      <c r="B2114" s="16">
        <v>43983</v>
      </c>
      <c r="C2114" t="s">
        <v>178</v>
      </c>
      <c r="D2114" s="22">
        <v>4923668.9249999998</v>
      </c>
    </row>
    <row r="2115" spans="1:4" x14ac:dyDescent="0.25">
      <c r="A2115">
        <v>1891</v>
      </c>
      <c r="B2115" s="16">
        <v>44013</v>
      </c>
      <c r="C2115" t="s">
        <v>178</v>
      </c>
      <c r="D2115" s="22">
        <v>4923668.9249999998</v>
      </c>
    </row>
    <row r="2116" spans="1:4" x14ac:dyDescent="0.25">
      <c r="A2116">
        <v>1891</v>
      </c>
      <c r="B2116" s="16">
        <v>43497</v>
      </c>
      <c r="C2116" t="s">
        <v>59</v>
      </c>
      <c r="D2116" s="22">
        <v>3222031.0500000003</v>
      </c>
    </row>
    <row r="2117" spans="1:4" x14ac:dyDescent="0.25">
      <c r="A2117">
        <v>1891</v>
      </c>
      <c r="B2117" s="16">
        <v>43525</v>
      </c>
      <c r="C2117" t="s">
        <v>59</v>
      </c>
      <c r="D2117" s="22">
        <v>3222031.0500000003</v>
      </c>
    </row>
    <row r="2118" spans="1:4" x14ac:dyDescent="0.25">
      <c r="A2118">
        <v>1891</v>
      </c>
      <c r="B2118" s="16">
        <v>43556</v>
      </c>
      <c r="C2118" t="s">
        <v>59</v>
      </c>
      <c r="D2118" s="22">
        <v>3222031.0500000003</v>
      </c>
    </row>
    <row r="2119" spans="1:4" x14ac:dyDescent="0.25">
      <c r="A2119">
        <v>1891</v>
      </c>
      <c r="B2119" s="16">
        <v>43586</v>
      </c>
      <c r="C2119" t="s">
        <v>59</v>
      </c>
      <c r="D2119" s="22">
        <v>3222031.0500000003</v>
      </c>
    </row>
    <row r="2120" spans="1:4" x14ac:dyDescent="0.25">
      <c r="A2120">
        <v>1891</v>
      </c>
      <c r="B2120" s="16">
        <v>43617</v>
      </c>
      <c r="C2120" t="s">
        <v>59</v>
      </c>
      <c r="D2120" s="22">
        <v>3222031.0500000003</v>
      </c>
    </row>
    <row r="2121" spans="1:4" x14ac:dyDescent="0.25">
      <c r="A2121">
        <v>1891</v>
      </c>
      <c r="B2121" s="16">
        <v>43647</v>
      </c>
      <c r="C2121" t="s">
        <v>59</v>
      </c>
      <c r="D2121" s="22">
        <v>3222031.0500000003</v>
      </c>
    </row>
    <row r="2122" spans="1:4" x14ac:dyDescent="0.25">
      <c r="A2122">
        <v>1891</v>
      </c>
      <c r="B2122" s="16">
        <v>43678</v>
      </c>
      <c r="C2122" t="s">
        <v>59</v>
      </c>
      <c r="D2122" s="22">
        <v>3222031.0500000003</v>
      </c>
    </row>
    <row r="2123" spans="1:4" x14ac:dyDescent="0.25">
      <c r="A2123">
        <v>1891</v>
      </c>
      <c r="B2123" s="16">
        <v>43709</v>
      </c>
      <c r="C2123" t="s">
        <v>59</v>
      </c>
      <c r="D2123" s="22">
        <v>3222031.0500000003</v>
      </c>
    </row>
    <row r="2124" spans="1:4" x14ac:dyDescent="0.25">
      <c r="A2124">
        <v>1891</v>
      </c>
      <c r="B2124" s="16">
        <v>43739</v>
      </c>
      <c r="C2124" t="s">
        <v>59</v>
      </c>
      <c r="D2124" s="22">
        <v>3222031.0500000003</v>
      </c>
    </row>
    <row r="2125" spans="1:4" x14ac:dyDescent="0.25">
      <c r="A2125">
        <v>1891</v>
      </c>
      <c r="B2125" s="16">
        <v>43770</v>
      </c>
      <c r="C2125" t="s">
        <v>59</v>
      </c>
      <c r="D2125" s="22">
        <v>3222031.0500000003</v>
      </c>
    </row>
    <row r="2126" spans="1:4" x14ac:dyDescent="0.25">
      <c r="A2126">
        <v>1891</v>
      </c>
      <c r="B2126" s="16">
        <v>43800</v>
      </c>
      <c r="C2126" t="s">
        <v>59</v>
      </c>
      <c r="D2126" s="22">
        <v>3222031.0500000003</v>
      </c>
    </row>
    <row r="2127" spans="1:4" x14ac:dyDescent="0.25">
      <c r="A2127">
        <v>1891</v>
      </c>
      <c r="B2127" s="16">
        <v>43831</v>
      </c>
      <c r="C2127" t="s">
        <v>59</v>
      </c>
      <c r="D2127" s="22">
        <v>3222031.0500000003</v>
      </c>
    </row>
    <row r="2128" spans="1:4" x14ac:dyDescent="0.25">
      <c r="A2128">
        <v>1891</v>
      </c>
      <c r="B2128" s="16">
        <v>43862</v>
      </c>
      <c r="C2128" t="s">
        <v>59</v>
      </c>
      <c r="D2128" s="22">
        <v>3222031.0500000003</v>
      </c>
    </row>
    <row r="2129" spans="1:4" x14ac:dyDescent="0.25">
      <c r="A2129">
        <v>1891</v>
      </c>
      <c r="B2129" s="16">
        <v>43891</v>
      </c>
      <c r="C2129" t="s">
        <v>59</v>
      </c>
      <c r="D2129" s="22">
        <v>3222031.0500000003</v>
      </c>
    </row>
    <row r="2130" spans="1:4" x14ac:dyDescent="0.25">
      <c r="A2130">
        <v>1891</v>
      </c>
      <c r="B2130" s="16">
        <v>43922</v>
      </c>
      <c r="C2130" t="s">
        <v>59</v>
      </c>
      <c r="D2130" s="22">
        <v>3222031.0500000003</v>
      </c>
    </row>
    <row r="2131" spans="1:4" x14ac:dyDescent="0.25">
      <c r="A2131">
        <v>1891</v>
      </c>
      <c r="B2131" s="16">
        <v>43952</v>
      </c>
      <c r="C2131" t="s">
        <v>59</v>
      </c>
      <c r="D2131" s="22">
        <v>3222031.0500000003</v>
      </c>
    </row>
    <row r="2132" spans="1:4" x14ac:dyDescent="0.25">
      <c r="A2132">
        <v>1891</v>
      </c>
      <c r="B2132" s="16">
        <v>43983</v>
      </c>
      <c r="C2132" t="s">
        <v>59</v>
      </c>
      <c r="D2132" s="22">
        <v>3222031.0500000003</v>
      </c>
    </row>
    <row r="2133" spans="1:4" x14ac:dyDescent="0.25">
      <c r="A2133">
        <v>1891</v>
      </c>
      <c r="B2133" s="16">
        <v>44013</v>
      </c>
      <c r="C2133" t="s">
        <v>59</v>
      </c>
      <c r="D2133" s="22">
        <v>3222031.0500000003</v>
      </c>
    </row>
    <row r="2134" spans="1:4" x14ac:dyDescent="0.25">
      <c r="A2134">
        <v>1891</v>
      </c>
      <c r="B2134" s="16">
        <v>44044</v>
      </c>
      <c r="C2134" t="s">
        <v>59</v>
      </c>
      <c r="D2134" s="22">
        <v>3222031.0500000003</v>
      </c>
    </row>
    <row r="2135" spans="1:4" x14ac:dyDescent="0.25">
      <c r="A2135">
        <v>1891</v>
      </c>
      <c r="B2135" s="16">
        <v>44075</v>
      </c>
      <c r="C2135" t="s">
        <v>59</v>
      </c>
      <c r="D2135" s="22">
        <v>3222031.0500000003</v>
      </c>
    </row>
    <row r="2136" spans="1:4" x14ac:dyDescent="0.25">
      <c r="A2136">
        <v>1891</v>
      </c>
      <c r="B2136" s="16">
        <v>44105</v>
      </c>
      <c r="C2136" t="s">
        <v>59</v>
      </c>
      <c r="D2136" s="22">
        <v>3222031.0500000003</v>
      </c>
    </row>
    <row r="2137" spans="1:4" x14ac:dyDescent="0.25">
      <c r="A2137">
        <v>1891</v>
      </c>
      <c r="B2137" s="16">
        <v>44136</v>
      </c>
      <c r="C2137" t="s">
        <v>59</v>
      </c>
      <c r="D2137" s="22">
        <v>3222031.0500000003</v>
      </c>
    </row>
    <row r="2138" spans="1:4" x14ac:dyDescent="0.25">
      <c r="A2138">
        <v>1891</v>
      </c>
      <c r="B2138" s="16">
        <v>44166</v>
      </c>
      <c r="C2138" t="s">
        <v>59</v>
      </c>
      <c r="D2138" s="22">
        <v>3222031.0500000003</v>
      </c>
    </row>
    <row r="2139" spans="1:4" x14ac:dyDescent="0.25">
      <c r="A2139">
        <v>1891</v>
      </c>
      <c r="B2139" s="16">
        <v>43497</v>
      </c>
      <c r="C2139" t="s">
        <v>135</v>
      </c>
      <c r="D2139" s="22">
        <v>3868248.1949999994</v>
      </c>
    </row>
    <row r="2140" spans="1:4" x14ac:dyDescent="0.25">
      <c r="A2140">
        <v>1891</v>
      </c>
      <c r="B2140" s="16">
        <v>43525</v>
      </c>
      <c r="C2140" t="s">
        <v>135</v>
      </c>
      <c r="D2140" s="22">
        <v>3868248.1949999994</v>
      </c>
    </row>
    <row r="2141" spans="1:4" x14ac:dyDescent="0.25">
      <c r="A2141">
        <v>1891</v>
      </c>
      <c r="B2141" s="16">
        <v>43556</v>
      </c>
      <c r="C2141" t="s">
        <v>135</v>
      </c>
      <c r="D2141" s="22">
        <v>3868248.1949999994</v>
      </c>
    </row>
    <row r="2142" spans="1:4" x14ac:dyDescent="0.25">
      <c r="A2142">
        <v>1891</v>
      </c>
      <c r="B2142" s="16">
        <v>43586</v>
      </c>
      <c r="C2142" t="s">
        <v>135</v>
      </c>
      <c r="D2142" s="22">
        <v>3868248.1949999994</v>
      </c>
    </row>
    <row r="2143" spans="1:4" x14ac:dyDescent="0.25">
      <c r="A2143">
        <v>1891</v>
      </c>
      <c r="B2143" s="16">
        <v>43617</v>
      </c>
      <c r="C2143" t="s">
        <v>135</v>
      </c>
      <c r="D2143" s="22">
        <v>3868248.1949999994</v>
      </c>
    </row>
    <row r="2144" spans="1:4" x14ac:dyDescent="0.25">
      <c r="A2144">
        <v>1891</v>
      </c>
      <c r="B2144" s="16">
        <v>43647</v>
      </c>
      <c r="C2144" t="s">
        <v>135</v>
      </c>
      <c r="D2144" s="22">
        <v>3868248.1949999994</v>
      </c>
    </row>
    <row r="2145" spans="1:4" x14ac:dyDescent="0.25">
      <c r="A2145">
        <v>1891</v>
      </c>
      <c r="B2145" s="16">
        <v>43678</v>
      </c>
      <c r="C2145" t="s">
        <v>135</v>
      </c>
      <c r="D2145" s="22">
        <v>3868248.1949999994</v>
      </c>
    </row>
    <row r="2146" spans="1:4" x14ac:dyDescent="0.25">
      <c r="A2146">
        <v>1891</v>
      </c>
      <c r="B2146" s="16">
        <v>43709</v>
      </c>
      <c r="C2146" t="s">
        <v>135</v>
      </c>
      <c r="D2146" s="22">
        <v>3868248.1949999994</v>
      </c>
    </row>
    <row r="2147" spans="1:4" x14ac:dyDescent="0.25">
      <c r="A2147">
        <v>1891</v>
      </c>
      <c r="B2147" s="16">
        <v>43739</v>
      </c>
      <c r="C2147" t="s">
        <v>135</v>
      </c>
      <c r="D2147" s="22">
        <v>3868248.1949999994</v>
      </c>
    </row>
    <row r="2148" spans="1:4" x14ac:dyDescent="0.25">
      <c r="A2148">
        <v>1891</v>
      </c>
      <c r="B2148" s="16">
        <v>43770</v>
      </c>
      <c r="C2148" t="s">
        <v>135</v>
      </c>
      <c r="D2148" s="22">
        <v>3868248.1949999994</v>
      </c>
    </row>
    <row r="2149" spans="1:4" x14ac:dyDescent="0.25">
      <c r="A2149">
        <v>1891</v>
      </c>
      <c r="B2149" s="16">
        <v>43800</v>
      </c>
      <c r="C2149" t="s">
        <v>135</v>
      </c>
      <c r="D2149" s="22">
        <v>3868248.1949999994</v>
      </c>
    </row>
    <row r="2150" spans="1:4" x14ac:dyDescent="0.25">
      <c r="A2150">
        <v>1891</v>
      </c>
      <c r="B2150" s="16">
        <v>43831</v>
      </c>
      <c r="C2150" t="s">
        <v>135</v>
      </c>
      <c r="D2150" s="22">
        <v>3868248.1949999994</v>
      </c>
    </row>
    <row r="2151" spans="1:4" x14ac:dyDescent="0.25">
      <c r="A2151">
        <v>1891</v>
      </c>
      <c r="B2151" s="16">
        <v>43862</v>
      </c>
      <c r="C2151" t="s">
        <v>135</v>
      </c>
      <c r="D2151" s="22">
        <v>3868248.1949999994</v>
      </c>
    </row>
    <row r="2152" spans="1:4" x14ac:dyDescent="0.25">
      <c r="A2152">
        <v>1891</v>
      </c>
      <c r="B2152" s="16">
        <v>43891</v>
      </c>
      <c r="C2152" t="s">
        <v>135</v>
      </c>
      <c r="D2152" s="22">
        <v>3868248.1949999994</v>
      </c>
    </row>
    <row r="2153" spans="1:4" x14ac:dyDescent="0.25">
      <c r="A2153">
        <v>1891</v>
      </c>
      <c r="B2153" s="16">
        <v>43922</v>
      </c>
      <c r="C2153" t="s">
        <v>135</v>
      </c>
      <c r="D2153" s="22">
        <v>3868248.1949999994</v>
      </c>
    </row>
    <row r="2154" spans="1:4" x14ac:dyDescent="0.25">
      <c r="A2154">
        <v>1891</v>
      </c>
      <c r="B2154" s="16">
        <v>43952</v>
      </c>
      <c r="C2154" t="s">
        <v>135</v>
      </c>
      <c r="D2154" s="22">
        <v>3868248.1949999994</v>
      </c>
    </row>
    <row r="2155" spans="1:4" x14ac:dyDescent="0.25">
      <c r="A2155">
        <v>1891</v>
      </c>
      <c r="B2155" s="16">
        <v>43983</v>
      </c>
      <c r="C2155" t="s">
        <v>135</v>
      </c>
      <c r="D2155" s="22">
        <v>3868248.1949999994</v>
      </c>
    </row>
    <row r="2156" spans="1:4" x14ac:dyDescent="0.25">
      <c r="A2156">
        <v>1891</v>
      </c>
      <c r="B2156" s="16">
        <v>44013</v>
      </c>
      <c r="C2156" t="s">
        <v>135</v>
      </c>
      <c r="D2156" s="22">
        <v>3868248.1949999994</v>
      </c>
    </row>
    <row r="2157" spans="1:4" x14ac:dyDescent="0.25">
      <c r="A2157">
        <v>1891</v>
      </c>
      <c r="B2157" s="16">
        <v>44044</v>
      </c>
      <c r="C2157" t="s">
        <v>135</v>
      </c>
      <c r="D2157" s="22">
        <v>3868248.1949999994</v>
      </c>
    </row>
    <row r="2158" spans="1:4" x14ac:dyDescent="0.25">
      <c r="A2158">
        <v>1891</v>
      </c>
      <c r="B2158" s="16">
        <v>44075</v>
      </c>
      <c r="C2158" t="s">
        <v>135</v>
      </c>
      <c r="D2158" s="22">
        <v>3868248.1949999994</v>
      </c>
    </row>
    <row r="2159" spans="1:4" x14ac:dyDescent="0.25">
      <c r="A2159">
        <v>1891</v>
      </c>
      <c r="B2159" s="16">
        <v>43497</v>
      </c>
      <c r="C2159" t="s">
        <v>76</v>
      </c>
      <c r="D2159" s="22">
        <v>4001167.1069999998</v>
      </c>
    </row>
    <row r="2160" spans="1:4" x14ac:dyDescent="0.25">
      <c r="A2160">
        <v>1891</v>
      </c>
      <c r="B2160" s="16">
        <v>43525</v>
      </c>
      <c r="C2160" t="s">
        <v>76</v>
      </c>
      <c r="D2160" s="22">
        <v>4001167.1069999998</v>
      </c>
    </row>
    <row r="2161" spans="1:4" x14ac:dyDescent="0.25">
      <c r="A2161">
        <v>1891</v>
      </c>
      <c r="B2161" s="16">
        <v>43556</v>
      </c>
      <c r="C2161" t="s">
        <v>76</v>
      </c>
      <c r="D2161" s="22">
        <v>4001167.1069999998</v>
      </c>
    </row>
    <row r="2162" spans="1:4" x14ac:dyDescent="0.25">
      <c r="A2162">
        <v>1891</v>
      </c>
      <c r="B2162" s="16">
        <v>43586</v>
      </c>
      <c r="C2162" t="s">
        <v>76</v>
      </c>
      <c r="D2162" s="22">
        <v>4001167.1069999998</v>
      </c>
    </row>
    <row r="2163" spans="1:4" x14ac:dyDescent="0.25">
      <c r="A2163">
        <v>1891</v>
      </c>
      <c r="B2163" s="16">
        <v>43617</v>
      </c>
      <c r="C2163" t="s">
        <v>76</v>
      </c>
      <c r="D2163" s="22">
        <v>4001167.1069999998</v>
      </c>
    </row>
    <row r="2164" spans="1:4" x14ac:dyDescent="0.25">
      <c r="A2164">
        <v>1891</v>
      </c>
      <c r="B2164" s="16">
        <v>43647</v>
      </c>
      <c r="C2164" t="s">
        <v>76</v>
      </c>
      <c r="D2164" s="22">
        <v>4001167.1069999998</v>
      </c>
    </row>
    <row r="2165" spans="1:4" x14ac:dyDescent="0.25">
      <c r="A2165">
        <v>1891</v>
      </c>
      <c r="B2165" s="16">
        <v>43678</v>
      </c>
      <c r="C2165" t="s">
        <v>76</v>
      </c>
      <c r="D2165" s="22">
        <v>4001167.1069999998</v>
      </c>
    </row>
    <row r="2166" spans="1:4" x14ac:dyDescent="0.25">
      <c r="A2166">
        <v>1891</v>
      </c>
      <c r="B2166" s="16">
        <v>43709</v>
      </c>
      <c r="C2166" t="s">
        <v>76</v>
      </c>
      <c r="D2166" s="22">
        <v>4001167.1069999998</v>
      </c>
    </row>
    <row r="2167" spans="1:4" x14ac:dyDescent="0.25">
      <c r="A2167">
        <v>1891</v>
      </c>
      <c r="B2167" s="16">
        <v>43739</v>
      </c>
      <c r="C2167" t="s">
        <v>76</v>
      </c>
      <c r="D2167" s="22">
        <v>4001167.1069999998</v>
      </c>
    </row>
    <row r="2168" spans="1:4" x14ac:dyDescent="0.25">
      <c r="A2168">
        <v>1891</v>
      </c>
      <c r="B2168" s="16">
        <v>43770</v>
      </c>
      <c r="C2168" t="s">
        <v>76</v>
      </c>
      <c r="D2168" s="22">
        <v>4001167.1069999998</v>
      </c>
    </row>
    <row r="2169" spans="1:4" x14ac:dyDescent="0.25">
      <c r="A2169">
        <v>1895</v>
      </c>
      <c r="B2169" s="16">
        <v>43466</v>
      </c>
      <c r="C2169" t="s">
        <v>19</v>
      </c>
      <c r="D2169" s="22">
        <v>3230392.9140000003</v>
      </c>
    </row>
    <row r="2170" spans="1:4" x14ac:dyDescent="0.25">
      <c r="A2170">
        <v>1895</v>
      </c>
      <c r="B2170" s="16">
        <v>43466</v>
      </c>
      <c r="C2170" t="s">
        <v>26</v>
      </c>
      <c r="D2170" s="22">
        <v>6132105</v>
      </c>
    </row>
    <row r="2171" spans="1:4" x14ac:dyDescent="0.25">
      <c r="A2171">
        <v>1895</v>
      </c>
      <c r="B2171" s="16">
        <v>43466</v>
      </c>
      <c r="C2171" t="s">
        <v>59</v>
      </c>
      <c r="D2171" s="22">
        <v>2367673.875</v>
      </c>
    </row>
    <row r="2172" spans="1:4" x14ac:dyDescent="0.25">
      <c r="A2172">
        <v>1846</v>
      </c>
      <c r="B2172" s="16">
        <v>43466</v>
      </c>
      <c r="C2172" t="s">
        <v>12</v>
      </c>
      <c r="D2172" s="22">
        <v>19561500</v>
      </c>
    </row>
    <row r="2173" spans="1:4" x14ac:dyDescent="0.25">
      <c r="A2173">
        <v>1846</v>
      </c>
      <c r="B2173" s="16">
        <v>43497</v>
      </c>
      <c r="C2173" t="s">
        <v>12</v>
      </c>
      <c r="D2173" s="22">
        <v>19561500</v>
      </c>
    </row>
    <row r="2174" spans="1:4" x14ac:dyDescent="0.25">
      <c r="A2174">
        <v>1846</v>
      </c>
      <c r="B2174" s="16">
        <v>43525</v>
      </c>
      <c r="C2174" t="s">
        <v>12</v>
      </c>
      <c r="D2174" s="22">
        <v>19561500</v>
      </c>
    </row>
    <row r="2175" spans="1:4" x14ac:dyDescent="0.25">
      <c r="A2175">
        <v>1846</v>
      </c>
      <c r="B2175" s="16">
        <v>43556</v>
      </c>
      <c r="C2175" t="s">
        <v>12</v>
      </c>
      <c r="D2175" s="22">
        <v>19561500</v>
      </c>
    </row>
    <row r="2176" spans="1:4" x14ac:dyDescent="0.25">
      <c r="A2176">
        <v>1846</v>
      </c>
      <c r="B2176" s="16">
        <v>43466</v>
      </c>
      <c r="C2176" t="s">
        <v>271</v>
      </c>
      <c r="D2176" s="22">
        <v>1449000</v>
      </c>
    </row>
    <row r="2177" spans="1:4" x14ac:dyDescent="0.25">
      <c r="A2177">
        <v>1846</v>
      </c>
      <c r="B2177" s="16">
        <v>43466</v>
      </c>
      <c r="C2177" t="s">
        <v>273</v>
      </c>
      <c r="D2177" s="22">
        <v>8437922.3250000011</v>
      </c>
    </row>
    <row r="2178" spans="1:4" x14ac:dyDescent="0.25">
      <c r="A2178">
        <v>1846</v>
      </c>
      <c r="B2178" s="16">
        <v>43497</v>
      </c>
      <c r="C2178" t="s">
        <v>273</v>
      </c>
      <c r="D2178" s="22">
        <v>8437922.3250000011</v>
      </c>
    </row>
    <row r="2179" spans="1:4" x14ac:dyDescent="0.25">
      <c r="A2179">
        <v>1846</v>
      </c>
      <c r="B2179" s="16">
        <v>43466</v>
      </c>
      <c r="C2179" t="s">
        <v>140</v>
      </c>
      <c r="D2179" s="22">
        <v>6177149.9999999991</v>
      </c>
    </row>
    <row r="2180" spans="1:4" x14ac:dyDescent="0.25">
      <c r="A2180">
        <v>1846</v>
      </c>
      <c r="B2180" s="16">
        <v>43497</v>
      </c>
      <c r="C2180" t="s">
        <v>140</v>
      </c>
      <c r="D2180" s="22">
        <v>6177149.9999999991</v>
      </c>
    </row>
    <row r="2181" spans="1:4" x14ac:dyDescent="0.25">
      <c r="A2181">
        <v>1893</v>
      </c>
      <c r="B2181" s="16">
        <v>43466</v>
      </c>
      <c r="C2181" t="s">
        <v>19</v>
      </c>
      <c r="D2181" s="22">
        <v>1956490.2000000004</v>
      </c>
    </row>
    <row r="2182" spans="1:4" x14ac:dyDescent="0.25">
      <c r="A2182">
        <v>1893</v>
      </c>
      <c r="B2182" s="16">
        <v>43497</v>
      </c>
      <c r="C2182" t="s">
        <v>19</v>
      </c>
      <c r="D2182" s="22">
        <v>1956490.2000000004</v>
      </c>
    </row>
    <row r="2183" spans="1:4" x14ac:dyDescent="0.25">
      <c r="A2183">
        <v>1893</v>
      </c>
      <c r="B2183" s="16">
        <v>43525</v>
      </c>
      <c r="C2183" t="s">
        <v>19</v>
      </c>
      <c r="D2183" s="22">
        <v>1956490.2000000004</v>
      </c>
    </row>
    <row r="2184" spans="1:4" x14ac:dyDescent="0.25">
      <c r="A2184">
        <v>1893</v>
      </c>
      <c r="B2184" s="16">
        <v>43556</v>
      </c>
      <c r="C2184" t="s">
        <v>19</v>
      </c>
      <c r="D2184" s="22">
        <v>1956490.2000000004</v>
      </c>
    </row>
    <row r="2185" spans="1:4" x14ac:dyDescent="0.25">
      <c r="A2185">
        <v>1893</v>
      </c>
      <c r="B2185" s="16">
        <v>43586</v>
      </c>
      <c r="C2185" t="s">
        <v>19</v>
      </c>
      <c r="D2185" s="22">
        <v>1956490.2000000004</v>
      </c>
    </row>
    <row r="2186" spans="1:4" x14ac:dyDescent="0.25">
      <c r="A2186">
        <v>1893</v>
      </c>
      <c r="B2186" s="16">
        <v>43617</v>
      </c>
      <c r="C2186" t="s">
        <v>19</v>
      </c>
      <c r="D2186" s="22">
        <v>1956490.2000000004</v>
      </c>
    </row>
    <row r="2187" spans="1:4" x14ac:dyDescent="0.25">
      <c r="A2187">
        <v>1893</v>
      </c>
      <c r="B2187" s="16">
        <v>43647</v>
      </c>
      <c r="C2187" t="s">
        <v>19</v>
      </c>
      <c r="D2187" s="22">
        <v>1956490.2000000004</v>
      </c>
    </row>
    <row r="2188" spans="1:4" x14ac:dyDescent="0.25">
      <c r="A2188">
        <v>1893</v>
      </c>
      <c r="B2188" s="16">
        <v>43678</v>
      </c>
      <c r="C2188" t="s">
        <v>19</v>
      </c>
      <c r="D2188" s="22">
        <v>1956490.2000000004</v>
      </c>
    </row>
    <row r="2189" spans="1:4" x14ac:dyDescent="0.25">
      <c r="A2189">
        <v>1893</v>
      </c>
      <c r="B2189" s="16">
        <v>43709</v>
      </c>
      <c r="C2189" t="s">
        <v>19</v>
      </c>
      <c r="D2189" s="22">
        <v>1956490.2000000004</v>
      </c>
    </row>
    <row r="2190" spans="1:4" x14ac:dyDescent="0.25">
      <c r="A2190">
        <v>1893</v>
      </c>
      <c r="B2190" s="16">
        <v>43739</v>
      </c>
      <c r="C2190" t="s">
        <v>19</v>
      </c>
      <c r="D2190" s="22">
        <v>1956490.2000000004</v>
      </c>
    </row>
    <row r="2191" spans="1:4" x14ac:dyDescent="0.25">
      <c r="A2191">
        <v>1893</v>
      </c>
      <c r="B2191" s="16">
        <v>43770</v>
      </c>
      <c r="C2191" t="s">
        <v>19</v>
      </c>
      <c r="D2191" s="22">
        <v>1956490.2000000004</v>
      </c>
    </row>
    <row r="2192" spans="1:4" x14ac:dyDescent="0.25">
      <c r="A2192">
        <v>1893</v>
      </c>
      <c r="B2192" s="16">
        <v>43800</v>
      </c>
      <c r="C2192" t="s">
        <v>19</v>
      </c>
      <c r="D2192" s="22">
        <v>1956490.2000000004</v>
      </c>
    </row>
    <row r="2193" spans="1:4" x14ac:dyDescent="0.25">
      <c r="A2193">
        <v>1893</v>
      </c>
      <c r="B2193" s="16">
        <v>43831</v>
      </c>
      <c r="C2193" t="s">
        <v>19</v>
      </c>
      <c r="D2193" s="22">
        <v>1956490.2000000004</v>
      </c>
    </row>
    <row r="2194" spans="1:4" x14ac:dyDescent="0.25">
      <c r="A2194">
        <v>1893</v>
      </c>
      <c r="B2194" s="16">
        <v>43862</v>
      </c>
      <c r="C2194" t="s">
        <v>19</v>
      </c>
      <c r="D2194" s="22">
        <v>1956490.2000000004</v>
      </c>
    </row>
    <row r="2195" spans="1:4" x14ac:dyDescent="0.25">
      <c r="A2195">
        <v>1893</v>
      </c>
      <c r="B2195" s="16">
        <v>43891</v>
      </c>
      <c r="C2195" t="s">
        <v>19</v>
      </c>
      <c r="D2195" s="22">
        <v>1956490.2000000004</v>
      </c>
    </row>
    <row r="2196" spans="1:4" x14ac:dyDescent="0.25">
      <c r="A2196">
        <v>1893</v>
      </c>
      <c r="B2196" s="16">
        <v>43466</v>
      </c>
      <c r="C2196" t="s">
        <v>12</v>
      </c>
      <c r="D2196" s="22">
        <v>8716050</v>
      </c>
    </row>
    <row r="2197" spans="1:4" x14ac:dyDescent="0.25">
      <c r="A2197">
        <v>1893</v>
      </c>
      <c r="B2197" s="16">
        <v>43497</v>
      </c>
      <c r="C2197" t="s">
        <v>12</v>
      </c>
      <c r="D2197" s="22">
        <v>8716050</v>
      </c>
    </row>
    <row r="2198" spans="1:4" x14ac:dyDescent="0.25">
      <c r="A2198">
        <v>1893</v>
      </c>
      <c r="B2198" s="16">
        <v>43525</v>
      </c>
      <c r="C2198" t="s">
        <v>12</v>
      </c>
      <c r="D2198" s="22">
        <v>8716050</v>
      </c>
    </row>
    <row r="2199" spans="1:4" x14ac:dyDescent="0.25">
      <c r="A2199">
        <v>1893</v>
      </c>
      <c r="B2199" s="16">
        <v>43556</v>
      </c>
      <c r="C2199" t="s">
        <v>12</v>
      </c>
      <c r="D2199" s="22">
        <v>8716050</v>
      </c>
    </row>
    <row r="2200" spans="1:4" x14ac:dyDescent="0.25">
      <c r="A2200">
        <v>1893</v>
      </c>
      <c r="B2200" s="16">
        <v>43586</v>
      </c>
      <c r="C2200" t="s">
        <v>12</v>
      </c>
      <c r="D2200" s="22">
        <v>8716050</v>
      </c>
    </row>
    <row r="2201" spans="1:4" x14ac:dyDescent="0.25">
      <c r="A2201">
        <v>1893</v>
      </c>
      <c r="B2201" s="16">
        <v>43617</v>
      </c>
      <c r="C2201" t="s">
        <v>12</v>
      </c>
      <c r="D2201" s="22">
        <v>8716050</v>
      </c>
    </row>
    <row r="2202" spans="1:4" x14ac:dyDescent="0.25">
      <c r="A2202">
        <v>1893</v>
      </c>
      <c r="B2202" s="16">
        <v>43647</v>
      </c>
      <c r="C2202" t="s">
        <v>12</v>
      </c>
      <c r="D2202" s="22">
        <v>8716050</v>
      </c>
    </row>
    <row r="2203" spans="1:4" x14ac:dyDescent="0.25">
      <c r="A2203">
        <v>1893</v>
      </c>
      <c r="B2203" s="16">
        <v>43678</v>
      </c>
      <c r="C2203" t="s">
        <v>12</v>
      </c>
      <c r="D2203" s="22">
        <v>8716050</v>
      </c>
    </row>
    <row r="2204" spans="1:4" x14ac:dyDescent="0.25">
      <c r="A2204">
        <v>1893</v>
      </c>
      <c r="B2204" s="16">
        <v>43709</v>
      </c>
      <c r="C2204" t="s">
        <v>12</v>
      </c>
      <c r="D2204" s="22">
        <v>8716050</v>
      </c>
    </row>
    <row r="2205" spans="1:4" x14ac:dyDescent="0.25">
      <c r="A2205">
        <v>1893</v>
      </c>
      <c r="B2205" s="16">
        <v>43739</v>
      </c>
      <c r="C2205" t="s">
        <v>12</v>
      </c>
      <c r="D2205" s="22">
        <v>8716050</v>
      </c>
    </row>
    <row r="2206" spans="1:4" x14ac:dyDescent="0.25">
      <c r="A2206">
        <v>1893</v>
      </c>
      <c r="B2206" s="16">
        <v>43770</v>
      </c>
      <c r="C2206" t="s">
        <v>12</v>
      </c>
      <c r="D2206" s="22">
        <v>8716050</v>
      </c>
    </row>
    <row r="2207" spans="1:4" x14ac:dyDescent="0.25">
      <c r="A2207">
        <v>1893</v>
      </c>
      <c r="B2207" s="16">
        <v>43800</v>
      </c>
      <c r="C2207" t="s">
        <v>12</v>
      </c>
      <c r="D2207" s="22">
        <v>8716050</v>
      </c>
    </row>
    <row r="2208" spans="1:4" x14ac:dyDescent="0.25">
      <c r="A2208">
        <v>1893</v>
      </c>
      <c r="B2208" s="16">
        <v>43831</v>
      </c>
      <c r="C2208" t="s">
        <v>12</v>
      </c>
      <c r="D2208" s="22">
        <v>8716050</v>
      </c>
    </row>
    <row r="2209" spans="1:4" x14ac:dyDescent="0.25">
      <c r="A2209">
        <v>1893</v>
      </c>
      <c r="B2209" s="16">
        <v>43862</v>
      </c>
      <c r="C2209" t="s">
        <v>12</v>
      </c>
      <c r="D2209" s="22">
        <v>8716050</v>
      </c>
    </row>
    <row r="2210" spans="1:4" x14ac:dyDescent="0.25">
      <c r="A2210">
        <v>1893</v>
      </c>
      <c r="B2210" s="16">
        <v>43891</v>
      </c>
      <c r="C2210" t="s">
        <v>12</v>
      </c>
      <c r="D2210" s="22">
        <v>8716050</v>
      </c>
    </row>
    <row r="2211" spans="1:4" x14ac:dyDescent="0.25">
      <c r="A2211">
        <v>1893</v>
      </c>
      <c r="B2211" s="16">
        <v>43466</v>
      </c>
      <c r="C2211" t="s">
        <v>275</v>
      </c>
      <c r="D2211" s="22">
        <v>6150375</v>
      </c>
    </row>
    <row r="2212" spans="1:4" x14ac:dyDescent="0.25">
      <c r="A2212">
        <v>1893</v>
      </c>
      <c r="B2212" s="16">
        <v>43497</v>
      </c>
      <c r="C2212" t="s">
        <v>275</v>
      </c>
      <c r="D2212" s="22">
        <v>6150375</v>
      </c>
    </row>
    <row r="2213" spans="1:4" x14ac:dyDescent="0.25">
      <c r="A2213">
        <v>1893</v>
      </c>
      <c r="B2213" s="16">
        <v>43525</v>
      </c>
      <c r="C2213" t="s">
        <v>275</v>
      </c>
      <c r="D2213" s="22">
        <v>6150375</v>
      </c>
    </row>
    <row r="2214" spans="1:4" x14ac:dyDescent="0.25">
      <c r="A2214">
        <v>1893</v>
      </c>
      <c r="B2214" s="16">
        <v>43556</v>
      </c>
      <c r="C2214" t="s">
        <v>275</v>
      </c>
      <c r="D2214" s="22">
        <v>6150375</v>
      </c>
    </row>
    <row r="2215" spans="1:4" x14ac:dyDescent="0.25">
      <c r="A2215">
        <v>1893</v>
      </c>
      <c r="B2215" s="16">
        <v>43586</v>
      </c>
      <c r="C2215" t="s">
        <v>275</v>
      </c>
      <c r="D2215" s="22">
        <v>6150375</v>
      </c>
    </row>
    <row r="2216" spans="1:4" x14ac:dyDescent="0.25">
      <c r="A2216">
        <v>1893</v>
      </c>
      <c r="B2216" s="16">
        <v>43617</v>
      </c>
      <c r="C2216" t="s">
        <v>275</v>
      </c>
      <c r="D2216" s="22">
        <v>6150375</v>
      </c>
    </row>
    <row r="2217" spans="1:4" x14ac:dyDescent="0.25">
      <c r="A2217">
        <v>1893</v>
      </c>
      <c r="B2217" s="16">
        <v>43647</v>
      </c>
      <c r="C2217" t="s">
        <v>275</v>
      </c>
      <c r="D2217" s="22">
        <v>6150375</v>
      </c>
    </row>
    <row r="2218" spans="1:4" x14ac:dyDescent="0.25">
      <c r="A2218">
        <v>1893</v>
      </c>
      <c r="B2218" s="16">
        <v>43678</v>
      </c>
      <c r="C2218" t="s">
        <v>275</v>
      </c>
      <c r="D2218" s="22">
        <v>6150375</v>
      </c>
    </row>
    <row r="2219" spans="1:4" x14ac:dyDescent="0.25">
      <c r="A2219">
        <v>1893</v>
      </c>
      <c r="B2219" s="16">
        <v>43709</v>
      </c>
      <c r="C2219" t="s">
        <v>275</v>
      </c>
      <c r="D2219" s="22">
        <v>6150375</v>
      </c>
    </row>
    <row r="2220" spans="1:4" x14ac:dyDescent="0.25">
      <c r="A2220">
        <v>1893</v>
      </c>
      <c r="B2220" s="16">
        <v>43739</v>
      </c>
      <c r="C2220" t="s">
        <v>275</v>
      </c>
      <c r="D2220" s="22">
        <v>6150375</v>
      </c>
    </row>
    <row r="2221" spans="1:4" x14ac:dyDescent="0.25">
      <c r="A2221">
        <v>1893</v>
      </c>
      <c r="B2221" s="16">
        <v>43770</v>
      </c>
      <c r="C2221" t="s">
        <v>275</v>
      </c>
      <c r="D2221" s="22">
        <v>6150375</v>
      </c>
    </row>
    <row r="2222" spans="1:4" x14ac:dyDescent="0.25">
      <c r="A2222">
        <v>1893</v>
      </c>
      <c r="B2222" s="16">
        <v>43800</v>
      </c>
      <c r="C2222" t="s">
        <v>275</v>
      </c>
      <c r="D2222" s="22">
        <v>6150375</v>
      </c>
    </row>
    <row r="2223" spans="1:4" x14ac:dyDescent="0.25">
      <c r="A2223">
        <v>1893</v>
      </c>
      <c r="B2223" s="16">
        <v>43831</v>
      </c>
      <c r="C2223" t="s">
        <v>275</v>
      </c>
      <c r="D2223" s="22">
        <v>6150375</v>
      </c>
    </row>
    <row r="2224" spans="1:4" x14ac:dyDescent="0.25">
      <c r="A2224">
        <v>1893</v>
      </c>
      <c r="B2224" s="16">
        <v>43862</v>
      </c>
      <c r="C2224" t="s">
        <v>275</v>
      </c>
      <c r="D2224" s="22">
        <v>6150375</v>
      </c>
    </row>
    <row r="2225" spans="1:4" x14ac:dyDescent="0.25">
      <c r="A2225">
        <v>1893</v>
      </c>
      <c r="B2225" s="16">
        <v>43891</v>
      </c>
      <c r="C2225" t="s">
        <v>275</v>
      </c>
      <c r="D2225" s="22">
        <v>6150375</v>
      </c>
    </row>
    <row r="2226" spans="1:4" x14ac:dyDescent="0.25">
      <c r="A2226">
        <v>1893</v>
      </c>
      <c r="B2226" s="16">
        <v>43466</v>
      </c>
      <c r="C2226" t="s">
        <v>229</v>
      </c>
      <c r="D2226" s="22">
        <v>3369208.5</v>
      </c>
    </row>
    <row r="2227" spans="1:4" x14ac:dyDescent="0.25">
      <c r="A2227">
        <v>1893</v>
      </c>
      <c r="B2227" s="16">
        <v>43497</v>
      </c>
      <c r="C2227" t="s">
        <v>229</v>
      </c>
      <c r="D2227" s="22">
        <v>3369208.5</v>
      </c>
    </row>
    <row r="2228" spans="1:4" x14ac:dyDescent="0.25">
      <c r="A2228">
        <v>1893</v>
      </c>
      <c r="B2228" s="16">
        <v>43525</v>
      </c>
      <c r="C2228" t="s">
        <v>229</v>
      </c>
      <c r="D2228" s="22">
        <v>3369208.5</v>
      </c>
    </row>
    <row r="2229" spans="1:4" x14ac:dyDescent="0.25">
      <c r="A2229">
        <v>1893</v>
      </c>
      <c r="B2229" s="16">
        <v>43556</v>
      </c>
      <c r="C2229" t="s">
        <v>229</v>
      </c>
      <c r="D2229" s="22">
        <v>3369208.5</v>
      </c>
    </row>
    <row r="2230" spans="1:4" x14ac:dyDescent="0.25">
      <c r="A2230">
        <v>1893</v>
      </c>
      <c r="B2230" s="16">
        <v>43586</v>
      </c>
      <c r="C2230" t="s">
        <v>229</v>
      </c>
      <c r="D2230" s="22">
        <v>3369208.5</v>
      </c>
    </row>
    <row r="2231" spans="1:4" x14ac:dyDescent="0.25">
      <c r="A2231">
        <v>1893</v>
      </c>
      <c r="B2231" s="16">
        <v>43617</v>
      </c>
      <c r="C2231" t="s">
        <v>229</v>
      </c>
      <c r="D2231" s="22">
        <v>3369208.5</v>
      </c>
    </row>
    <row r="2232" spans="1:4" x14ac:dyDescent="0.25">
      <c r="A2232">
        <v>1893</v>
      </c>
      <c r="B2232" s="16">
        <v>43647</v>
      </c>
      <c r="C2232" t="s">
        <v>229</v>
      </c>
      <c r="D2232" s="22">
        <v>3369208.5</v>
      </c>
    </row>
    <row r="2233" spans="1:4" x14ac:dyDescent="0.25">
      <c r="A2233">
        <v>1893</v>
      </c>
      <c r="B2233" s="16">
        <v>43678</v>
      </c>
      <c r="C2233" t="s">
        <v>229</v>
      </c>
      <c r="D2233" s="22">
        <v>3369208.5</v>
      </c>
    </row>
    <row r="2234" spans="1:4" x14ac:dyDescent="0.25">
      <c r="A2234">
        <v>1893</v>
      </c>
      <c r="B2234" s="16">
        <v>43709</v>
      </c>
      <c r="C2234" t="s">
        <v>229</v>
      </c>
      <c r="D2234" s="22">
        <v>3369208.5</v>
      </c>
    </row>
    <row r="2235" spans="1:4" x14ac:dyDescent="0.25">
      <c r="A2235">
        <v>1893</v>
      </c>
      <c r="B2235" s="16">
        <v>43739</v>
      </c>
      <c r="C2235" t="s">
        <v>229</v>
      </c>
      <c r="D2235" s="22">
        <v>3369208.5</v>
      </c>
    </row>
    <row r="2236" spans="1:4" x14ac:dyDescent="0.25">
      <c r="A2236">
        <v>1893</v>
      </c>
      <c r="B2236" s="16">
        <v>43770</v>
      </c>
      <c r="C2236" t="s">
        <v>229</v>
      </c>
      <c r="D2236" s="22">
        <v>3369208.5</v>
      </c>
    </row>
    <row r="2237" spans="1:4" x14ac:dyDescent="0.25">
      <c r="A2237">
        <v>1893</v>
      </c>
      <c r="B2237" s="16">
        <v>43800</v>
      </c>
      <c r="C2237" t="s">
        <v>229</v>
      </c>
      <c r="D2237" s="22">
        <v>3369208.5</v>
      </c>
    </row>
    <row r="2238" spans="1:4" x14ac:dyDescent="0.25">
      <c r="A2238">
        <v>1893</v>
      </c>
      <c r="B2238" s="16">
        <v>43831</v>
      </c>
      <c r="C2238" t="s">
        <v>229</v>
      </c>
      <c r="D2238" s="22">
        <v>3369208.5</v>
      </c>
    </row>
    <row r="2239" spans="1:4" x14ac:dyDescent="0.25">
      <c r="A2239">
        <v>1893</v>
      </c>
      <c r="B2239" s="16">
        <v>43862</v>
      </c>
      <c r="C2239" t="s">
        <v>229</v>
      </c>
      <c r="D2239" s="22">
        <v>3369208.5</v>
      </c>
    </row>
    <row r="2240" spans="1:4" x14ac:dyDescent="0.25">
      <c r="A2240">
        <v>1893</v>
      </c>
      <c r="B2240" s="16">
        <v>43891</v>
      </c>
      <c r="C2240" t="s">
        <v>229</v>
      </c>
      <c r="D2240" s="22">
        <v>3369208.5</v>
      </c>
    </row>
    <row r="2241" spans="1:4" x14ac:dyDescent="0.25">
      <c r="A2241">
        <v>1893</v>
      </c>
      <c r="B2241" s="16">
        <v>43466</v>
      </c>
      <c r="C2241" t="s">
        <v>38</v>
      </c>
      <c r="D2241" s="22">
        <v>3571361.01</v>
      </c>
    </row>
    <row r="2242" spans="1:4" x14ac:dyDescent="0.25">
      <c r="A2242">
        <v>1893</v>
      </c>
      <c r="B2242" s="16">
        <v>43497</v>
      </c>
      <c r="C2242" t="s">
        <v>38</v>
      </c>
      <c r="D2242" s="22">
        <v>3571361.01</v>
      </c>
    </row>
    <row r="2243" spans="1:4" x14ac:dyDescent="0.25">
      <c r="A2243">
        <v>1893</v>
      </c>
      <c r="B2243" s="16">
        <v>43525</v>
      </c>
      <c r="C2243" t="s">
        <v>38</v>
      </c>
      <c r="D2243" s="22">
        <v>3571361.01</v>
      </c>
    </row>
    <row r="2244" spans="1:4" x14ac:dyDescent="0.25">
      <c r="A2244">
        <v>1893</v>
      </c>
      <c r="B2244" s="16">
        <v>43556</v>
      </c>
      <c r="C2244" t="s">
        <v>38</v>
      </c>
      <c r="D2244" s="22">
        <v>3571361.01</v>
      </c>
    </row>
    <row r="2245" spans="1:4" x14ac:dyDescent="0.25">
      <c r="A2245">
        <v>1893</v>
      </c>
      <c r="B2245" s="16">
        <v>43586</v>
      </c>
      <c r="C2245" t="s">
        <v>38</v>
      </c>
      <c r="D2245" s="22">
        <v>3571361.01</v>
      </c>
    </row>
    <row r="2246" spans="1:4" x14ac:dyDescent="0.25">
      <c r="A2246">
        <v>1893</v>
      </c>
      <c r="B2246" s="16">
        <v>43617</v>
      </c>
      <c r="C2246" t="s">
        <v>38</v>
      </c>
      <c r="D2246" s="22">
        <v>3571361.01</v>
      </c>
    </row>
    <row r="2247" spans="1:4" x14ac:dyDescent="0.25">
      <c r="A2247">
        <v>1893</v>
      </c>
      <c r="B2247" s="16">
        <v>43647</v>
      </c>
      <c r="C2247" t="s">
        <v>38</v>
      </c>
      <c r="D2247" s="22">
        <v>3571361.01</v>
      </c>
    </row>
    <row r="2248" spans="1:4" x14ac:dyDescent="0.25">
      <c r="A2248">
        <v>1893</v>
      </c>
      <c r="B2248" s="16">
        <v>43678</v>
      </c>
      <c r="C2248" t="s">
        <v>38</v>
      </c>
      <c r="D2248" s="22">
        <v>3571361.01</v>
      </c>
    </row>
    <row r="2249" spans="1:4" x14ac:dyDescent="0.25">
      <c r="A2249">
        <v>1893</v>
      </c>
      <c r="B2249" s="16">
        <v>43709</v>
      </c>
      <c r="C2249" t="s">
        <v>38</v>
      </c>
      <c r="D2249" s="22">
        <v>3571361.01</v>
      </c>
    </row>
    <row r="2250" spans="1:4" x14ac:dyDescent="0.25">
      <c r="A2250">
        <v>1893</v>
      </c>
      <c r="B2250" s="16">
        <v>43739</v>
      </c>
      <c r="C2250" t="s">
        <v>38</v>
      </c>
      <c r="D2250" s="22">
        <v>3571361.01</v>
      </c>
    </row>
    <row r="2251" spans="1:4" x14ac:dyDescent="0.25">
      <c r="A2251">
        <v>1893</v>
      </c>
      <c r="B2251" s="16">
        <v>43770</v>
      </c>
      <c r="C2251" t="s">
        <v>38</v>
      </c>
      <c r="D2251" s="22">
        <v>3571361.01</v>
      </c>
    </row>
    <row r="2252" spans="1:4" x14ac:dyDescent="0.25">
      <c r="A2252">
        <v>1893</v>
      </c>
      <c r="B2252" s="16">
        <v>43800</v>
      </c>
      <c r="C2252" t="s">
        <v>38</v>
      </c>
      <c r="D2252" s="22">
        <v>3571361.01</v>
      </c>
    </row>
    <row r="2253" spans="1:4" x14ac:dyDescent="0.25">
      <c r="A2253">
        <v>1893</v>
      </c>
      <c r="B2253" s="16">
        <v>43831</v>
      </c>
      <c r="C2253" t="s">
        <v>38</v>
      </c>
      <c r="D2253" s="22">
        <v>3571361.01</v>
      </c>
    </row>
    <row r="2254" spans="1:4" x14ac:dyDescent="0.25">
      <c r="A2254">
        <v>1893</v>
      </c>
      <c r="B2254" s="16">
        <v>43862</v>
      </c>
      <c r="C2254" t="s">
        <v>38</v>
      </c>
      <c r="D2254" s="22">
        <v>3571361.01</v>
      </c>
    </row>
    <row r="2255" spans="1:4" x14ac:dyDescent="0.25">
      <c r="A2255">
        <v>1893</v>
      </c>
      <c r="B2255" s="16">
        <v>43891</v>
      </c>
      <c r="C2255" t="s">
        <v>38</v>
      </c>
      <c r="D2255" s="22">
        <v>3571361.01</v>
      </c>
    </row>
    <row r="2256" spans="1:4" x14ac:dyDescent="0.25">
      <c r="A2256">
        <v>1890</v>
      </c>
      <c r="B2256" s="16">
        <v>43466</v>
      </c>
      <c r="C2256" t="s">
        <v>19</v>
      </c>
      <c r="D2256" s="22">
        <v>3868074.0000000005</v>
      </c>
    </row>
    <row r="2257" spans="1:4" x14ac:dyDescent="0.25">
      <c r="A2257">
        <v>1890</v>
      </c>
      <c r="B2257" s="16">
        <v>43497</v>
      </c>
      <c r="C2257" t="s">
        <v>19</v>
      </c>
      <c r="D2257" s="22">
        <v>3868074.0000000005</v>
      </c>
    </row>
    <row r="2258" spans="1:4" x14ac:dyDescent="0.25">
      <c r="A2258">
        <v>1890</v>
      </c>
      <c r="B2258" s="16">
        <v>43525</v>
      </c>
      <c r="C2258" t="s">
        <v>19</v>
      </c>
      <c r="D2258" s="22">
        <v>3868074.0000000005</v>
      </c>
    </row>
    <row r="2259" spans="1:4" x14ac:dyDescent="0.25">
      <c r="A2259">
        <v>1890</v>
      </c>
      <c r="B2259" s="16">
        <v>43556</v>
      </c>
      <c r="C2259" t="s">
        <v>19</v>
      </c>
      <c r="D2259" s="22">
        <v>3868074.0000000005</v>
      </c>
    </row>
    <row r="2260" spans="1:4" x14ac:dyDescent="0.25">
      <c r="A2260">
        <v>1890</v>
      </c>
      <c r="B2260" s="16">
        <v>43586</v>
      </c>
      <c r="C2260" t="s">
        <v>19</v>
      </c>
      <c r="D2260" s="22">
        <v>3868074.0000000005</v>
      </c>
    </row>
    <row r="2261" spans="1:4" x14ac:dyDescent="0.25">
      <c r="A2261">
        <v>1890</v>
      </c>
      <c r="B2261" s="16">
        <v>43617</v>
      </c>
      <c r="C2261" t="s">
        <v>19</v>
      </c>
      <c r="D2261" s="22">
        <v>3868074.0000000005</v>
      </c>
    </row>
    <row r="2262" spans="1:4" x14ac:dyDescent="0.25">
      <c r="A2262">
        <v>1890</v>
      </c>
      <c r="B2262" s="16">
        <v>43647</v>
      </c>
      <c r="C2262" t="s">
        <v>19</v>
      </c>
      <c r="D2262" s="22">
        <v>3868074.0000000005</v>
      </c>
    </row>
    <row r="2263" spans="1:4" x14ac:dyDescent="0.25">
      <c r="A2263">
        <v>1890</v>
      </c>
      <c r="B2263" s="16">
        <v>43678</v>
      </c>
      <c r="C2263" t="s">
        <v>19</v>
      </c>
      <c r="D2263" s="22">
        <v>3868074.0000000005</v>
      </c>
    </row>
    <row r="2264" spans="1:4" x14ac:dyDescent="0.25">
      <c r="A2264">
        <v>1890</v>
      </c>
      <c r="B2264" s="16">
        <v>43709</v>
      </c>
      <c r="C2264" t="s">
        <v>19</v>
      </c>
      <c r="D2264" s="22">
        <v>3868074.0000000005</v>
      </c>
    </row>
    <row r="2265" spans="1:4" x14ac:dyDescent="0.25">
      <c r="A2265">
        <v>1890</v>
      </c>
      <c r="B2265" s="16">
        <v>43739</v>
      </c>
      <c r="C2265" t="s">
        <v>19</v>
      </c>
      <c r="D2265" s="22">
        <v>3868074.0000000005</v>
      </c>
    </row>
    <row r="2266" spans="1:4" x14ac:dyDescent="0.25">
      <c r="A2266">
        <v>1890</v>
      </c>
      <c r="B2266" s="16">
        <v>43770</v>
      </c>
      <c r="C2266" t="s">
        <v>19</v>
      </c>
      <c r="D2266" s="22">
        <v>3868074.0000000005</v>
      </c>
    </row>
    <row r="2267" spans="1:4" x14ac:dyDescent="0.25">
      <c r="A2267">
        <v>1890</v>
      </c>
      <c r="B2267" s="16">
        <v>43800</v>
      </c>
      <c r="C2267" t="s">
        <v>19</v>
      </c>
      <c r="D2267" s="22">
        <v>3868074.0000000005</v>
      </c>
    </row>
    <row r="2268" spans="1:4" x14ac:dyDescent="0.25">
      <c r="A2268">
        <v>1890</v>
      </c>
      <c r="B2268" s="16">
        <v>43831</v>
      </c>
      <c r="C2268" t="s">
        <v>19</v>
      </c>
      <c r="D2268" s="22">
        <v>3868074.0000000005</v>
      </c>
    </row>
    <row r="2269" spans="1:4" x14ac:dyDescent="0.25">
      <c r="A2269">
        <v>1890</v>
      </c>
      <c r="B2269" s="16">
        <v>43862</v>
      </c>
      <c r="C2269" t="s">
        <v>19</v>
      </c>
      <c r="D2269" s="22">
        <v>3868074.0000000005</v>
      </c>
    </row>
    <row r="2270" spans="1:4" x14ac:dyDescent="0.25">
      <c r="A2270">
        <v>1890</v>
      </c>
      <c r="B2270" s="16">
        <v>43891</v>
      </c>
      <c r="C2270" t="s">
        <v>19</v>
      </c>
      <c r="D2270" s="22">
        <v>3868074.0000000005</v>
      </c>
    </row>
    <row r="2271" spans="1:4" x14ac:dyDescent="0.25">
      <c r="A2271">
        <v>1890</v>
      </c>
      <c r="B2271" s="16">
        <v>43922</v>
      </c>
      <c r="C2271" t="s">
        <v>19</v>
      </c>
      <c r="D2271" s="22">
        <v>3868074.0000000005</v>
      </c>
    </row>
    <row r="2272" spans="1:4" x14ac:dyDescent="0.25">
      <c r="A2272">
        <v>1890</v>
      </c>
      <c r="B2272" s="16">
        <v>43952</v>
      </c>
      <c r="C2272" t="s">
        <v>19</v>
      </c>
      <c r="D2272" s="22">
        <v>3868074.0000000005</v>
      </c>
    </row>
    <row r="2273" spans="1:4" x14ac:dyDescent="0.25">
      <c r="A2273">
        <v>1890</v>
      </c>
      <c r="B2273" s="16">
        <v>43983</v>
      </c>
      <c r="C2273" t="s">
        <v>19</v>
      </c>
      <c r="D2273" s="22">
        <v>3868074.0000000005</v>
      </c>
    </row>
    <row r="2274" spans="1:4" x14ac:dyDescent="0.25">
      <c r="A2274">
        <v>1890</v>
      </c>
      <c r="B2274" s="16">
        <v>44013</v>
      </c>
      <c r="C2274" t="s">
        <v>19</v>
      </c>
      <c r="D2274" s="22">
        <v>3868074.0000000005</v>
      </c>
    </row>
    <row r="2275" spans="1:4" x14ac:dyDescent="0.25">
      <c r="A2275">
        <v>1890</v>
      </c>
      <c r="B2275" s="16">
        <v>44044</v>
      </c>
      <c r="C2275" t="s">
        <v>19</v>
      </c>
      <c r="D2275" s="22">
        <v>3868074.0000000005</v>
      </c>
    </row>
    <row r="2276" spans="1:4" x14ac:dyDescent="0.25">
      <c r="A2276">
        <v>1890</v>
      </c>
      <c r="B2276" s="16">
        <v>44075</v>
      </c>
      <c r="C2276" t="s">
        <v>19</v>
      </c>
      <c r="D2276" s="22">
        <v>3868074.0000000005</v>
      </c>
    </row>
    <row r="2277" spans="1:4" x14ac:dyDescent="0.25">
      <c r="A2277">
        <v>1890</v>
      </c>
      <c r="B2277" s="16">
        <v>44105</v>
      </c>
      <c r="C2277" t="s">
        <v>19</v>
      </c>
      <c r="D2277" s="22">
        <v>3868074.0000000005</v>
      </c>
    </row>
    <row r="2278" spans="1:4" x14ac:dyDescent="0.25">
      <c r="A2278">
        <v>1890</v>
      </c>
      <c r="B2278" s="16">
        <v>44136</v>
      </c>
      <c r="C2278" t="s">
        <v>19</v>
      </c>
      <c r="D2278" s="22">
        <v>3868074.0000000005</v>
      </c>
    </row>
    <row r="2279" spans="1:4" x14ac:dyDescent="0.25">
      <c r="A2279">
        <v>1890</v>
      </c>
      <c r="B2279" s="16">
        <v>44166</v>
      </c>
      <c r="C2279" t="s">
        <v>19</v>
      </c>
      <c r="D2279" s="22">
        <v>3868074.0000000005</v>
      </c>
    </row>
    <row r="2280" spans="1:4" x14ac:dyDescent="0.25">
      <c r="A2280">
        <v>1890</v>
      </c>
      <c r="B2280" s="16">
        <v>43466</v>
      </c>
      <c r="C2280" t="s">
        <v>12</v>
      </c>
      <c r="D2280" s="22">
        <v>9450000</v>
      </c>
    </row>
    <row r="2281" spans="1:4" x14ac:dyDescent="0.25">
      <c r="A2281">
        <v>1890</v>
      </c>
      <c r="B2281" s="16">
        <v>43497</v>
      </c>
      <c r="C2281" t="s">
        <v>12</v>
      </c>
      <c r="D2281" s="22">
        <v>9450000</v>
      </c>
    </row>
    <row r="2282" spans="1:4" x14ac:dyDescent="0.25">
      <c r="A2282">
        <v>1890</v>
      </c>
      <c r="B2282" s="16">
        <v>43525</v>
      </c>
      <c r="C2282" t="s">
        <v>12</v>
      </c>
      <c r="D2282" s="22">
        <v>9450000</v>
      </c>
    </row>
    <row r="2283" spans="1:4" x14ac:dyDescent="0.25">
      <c r="A2283">
        <v>1890</v>
      </c>
      <c r="B2283" s="16">
        <v>43556</v>
      </c>
      <c r="C2283" t="s">
        <v>12</v>
      </c>
      <c r="D2283" s="22">
        <v>9450000</v>
      </c>
    </row>
    <row r="2284" spans="1:4" x14ac:dyDescent="0.25">
      <c r="A2284">
        <v>1890</v>
      </c>
      <c r="B2284" s="16">
        <v>43586</v>
      </c>
      <c r="C2284" t="s">
        <v>12</v>
      </c>
      <c r="D2284" s="22">
        <v>9450000</v>
      </c>
    </row>
    <row r="2285" spans="1:4" x14ac:dyDescent="0.25">
      <c r="A2285">
        <v>1890</v>
      </c>
      <c r="B2285" s="16">
        <v>43617</v>
      </c>
      <c r="C2285" t="s">
        <v>12</v>
      </c>
      <c r="D2285" s="22">
        <v>9450000</v>
      </c>
    </row>
    <row r="2286" spans="1:4" x14ac:dyDescent="0.25">
      <c r="A2286">
        <v>1890</v>
      </c>
      <c r="B2286" s="16">
        <v>43647</v>
      </c>
      <c r="C2286" t="s">
        <v>12</v>
      </c>
      <c r="D2286" s="22">
        <v>9450000</v>
      </c>
    </row>
    <row r="2287" spans="1:4" x14ac:dyDescent="0.25">
      <c r="A2287">
        <v>1890</v>
      </c>
      <c r="B2287" s="16">
        <v>43678</v>
      </c>
      <c r="C2287" t="s">
        <v>12</v>
      </c>
      <c r="D2287" s="22">
        <v>9450000</v>
      </c>
    </row>
    <row r="2288" spans="1:4" x14ac:dyDescent="0.25">
      <c r="A2288">
        <v>1890</v>
      </c>
      <c r="B2288" s="16">
        <v>43709</v>
      </c>
      <c r="C2288" t="s">
        <v>12</v>
      </c>
      <c r="D2288" s="22">
        <v>9450000</v>
      </c>
    </row>
    <row r="2289" spans="1:4" x14ac:dyDescent="0.25">
      <c r="A2289">
        <v>1890</v>
      </c>
      <c r="B2289" s="16">
        <v>43739</v>
      </c>
      <c r="C2289" t="s">
        <v>12</v>
      </c>
      <c r="D2289" s="22">
        <v>9450000</v>
      </c>
    </row>
    <row r="2290" spans="1:4" x14ac:dyDescent="0.25">
      <c r="A2290">
        <v>1890</v>
      </c>
      <c r="B2290" s="16">
        <v>43770</v>
      </c>
      <c r="C2290" t="s">
        <v>12</v>
      </c>
      <c r="D2290" s="22">
        <v>9450000</v>
      </c>
    </row>
    <row r="2291" spans="1:4" x14ac:dyDescent="0.25">
      <c r="A2291">
        <v>1890</v>
      </c>
      <c r="B2291" s="16">
        <v>43800</v>
      </c>
      <c r="C2291" t="s">
        <v>12</v>
      </c>
      <c r="D2291" s="22">
        <v>9450000</v>
      </c>
    </row>
    <row r="2292" spans="1:4" x14ac:dyDescent="0.25">
      <c r="A2292">
        <v>1890</v>
      </c>
      <c r="B2292" s="16">
        <v>43831</v>
      </c>
      <c r="C2292" t="s">
        <v>12</v>
      </c>
      <c r="D2292" s="22">
        <v>9450000</v>
      </c>
    </row>
    <row r="2293" spans="1:4" x14ac:dyDescent="0.25">
      <c r="A2293">
        <v>1890</v>
      </c>
      <c r="B2293" s="16">
        <v>43862</v>
      </c>
      <c r="C2293" t="s">
        <v>12</v>
      </c>
      <c r="D2293" s="22">
        <v>9450000</v>
      </c>
    </row>
    <row r="2294" spans="1:4" x14ac:dyDescent="0.25">
      <c r="A2294">
        <v>1890</v>
      </c>
      <c r="B2294" s="16">
        <v>43891</v>
      </c>
      <c r="C2294" t="s">
        <v>12</v>
      </c>
      <c r="D2294" s="22">
        <v>9450000</v>
      </c>
    </row>
    <row r="2295" spans="1:4" x14ac:dyDescent="0.25">
      <c r="A2295">
        <v>1890</v>
      </c>
      <c r="B2295" s="16">
        <v>43922</v>
      </c>
      <c r="C2295" t="s">
        <v>12</v>
      </c>
      <c r="D2295" s="22">
        <v>9450000</v>
      </c>
    </row>
    <row r="2296" spans="1:4" x14ac:dyDescent="0.25">
      <c r="A2296">
        <v>1890</v>
      </c>
      <c r="B2296" s="16">
        <v>43952</v>
      </c>
      <c r="C2296" t="s">
        <v>12</v>
      </c>
      <c r="D2296" s="22">
        <v>9450000</v>
      </c>
    </row>
    <row r="2297" spans="1:4" x14ac:dyDescent="0.25">
      <c r="A2297">
        <v>1890</v>
      </c>
      <c r="B2297" s="16">
        <v>43983</v>
      </c>
      <c r="C2297" t="s">
        <v>12</v>
      </c>
      <c r="D2297" s="22">
        <v>9450000</v>
      </c>
    </row>
    <row r="2298" spans="1:4" x14ac:dyDescent="0.25">
      <c r="A2298">
        <v>1890</v>
      </c>
      <c r="B2298" s="16">
        <v>44013</v>
      </c>
      <c r="C2298" t="s">
        <v>12</v>
      </c>
      <c r="D2298" s="22">
        <v>9450000</v>
      </c>
    </row>
    <row r="2299" spans="1:4" x14ac:dyDescent="0.25">
      <c r="A2299">
        <v>1890</v>
      </c>
      <c r="B2299" s="16">
        <v>44044</v>
      </c>
      <c r="C2299" t="s">
        <v>12</v>
      </c>
      <c r="D2299" s="22">
        <v>9450000</v>
      </c>
    </row>
    <row r="2300" spans="1:4" x14ac:dyDescent="0.25">
      <c r="A2300">
        <v>1890</v>
      </c>
      <c r="B2300" s="16">
        <v>44075</v>
      </c>
      <c r="C2300" t="s">
        <v>12</v>
      </c>
      <c r="D2300" s="22">
        <v>9450000</v>
      </c>
    </row>
    <row r="2301" spans="1:4" x14ac:dyDescent="0.25">
      <c r="A2301">
        <v>1890</v>
      </c>
      <c r="B2301" s="16">
        <v>44105</v>
      </c>
      <c r="C2301" t="s">
        <v>12</v>
      </c>
      <c r="D2301" s="22">
        <v>9450000</v>
      </c>
    </row>
    <row r="2302" spans="1:4" x14ac:dyDescent="0.25">
      <c r="A2302">
        <v>1890</v>
      </c>
      <c r="B2302" s="16">
        <v>44136</v>
      </c>
      <c r="C2302" t="s">
        <v>12</v>
      </c>
      <c r="D2302" s="22">
        <v>9450000</v>
      </c>
    </row>
    <row r="2303" spans="1:4" x14ac:dyDescent="0.25">
      <c r="A2303">
        <v>1890</v>
      </c>
      <c r="B2303" s="16">
        <v>44166</v>
      </c>
      <c r="C2303" t="s">
        <v>12</v>
      </c>
      <c r="D2303" s="22">
        <v>9450000</v>
      </c>
    </row>
    <row r="2304" spans="1:4" x14ac:dyDescent="0.25">
      <c r="A2304">
        <v>1890</v>
      </c>
      <c r="B2304" s="16">
        <v>43831</v>
      </c>
      <c r="C2304" t="s">
        <v>26</v>
      </c>
      <c r="D2304" s="22">
        <v>6221250</v>
      </c>
    </row>
    <row r="2305" spans="1:4" x14ac:dyDescent="0.25">
      <c r="A2305">
        <v>1890</v>
      </c>
      <c r="B2305" s="16">
        <v>43862</v>
      </c>
      <c r="C2305" t="s">
        <v>26</v>
      </c>
      <c r="D2305" s="22">
        <v>6221250</v>
      </c>
    </row>
    <row r="2306" spans="1:4" x14ac:dyDescent="0.25">
      <c r="A2306">
        <v>1890</v>
      </c>
      <c r="B2306" s="16">
        <v>43891</v>
      </c>
      <c r="C2306" t="s">
        <v>26</v>
      </c>
      <c r="D2306" s="22">
        <v>6221250</v>
      </c>
    </row>
    <row r="2307" spans="1:4" x14ac:dyDescent="0.25">
      <c r="A2307">
        <v>1890</v>
      </c>
      <c r="B2307" s="16">
        <v>43922</v>
      </c>
      <c r="C2307" t="s">
        <v>26</v>
      </c>
      <c r="D2307" s="22">
        <v>6221250</v>
      </c>
    </row>
    <row r="2308" spans="1:4" x14ac:dyDescent="0.25">
      <c r="A2308">
        <v>1890</v>
      </c>
      <c r="B2308" s="16">
        <v>43952</v>
      </c>
      <c r="C2308" t="s">
        <v>26</v>
      </c>
      <c r="D2308" s="22">
        <v>6221250</v>
      </c>
    </row>
    <row r="2309" spans="1:4" x14ac:dyDescent="0.25">
      <c r="A2309">
        <v>1890</v>
      </c>
      <c r="B2309" s="16">
        <v>43983</v>
      </c>
      <c r="C2309" t="s">
        <v>26</v>
      </c>
      <c r="D2309" s="22">
        <v>6221250</v>
      </c>
    </row>
    <row r="2310" spans="1:4" x14ac:dyDescent="0.25">
      <c r="A2310">
        <v>1890</v>
      </c>
      <c r="B2310" s="16">
        <v>44013</v>
      </c>
      <c r="C2310" t="s">
        <v>26</v>
      </c>
      <c r="D2310" s="22">
        <v>6221250</v>
      </c>
    </row>
    <row r="2311" spans="1:4" x14ac:dyDescent="0.25">
      <c r="A2311">
        <v>1890</v>
      </c>
      <c r="B2311" s="16">
        <v>44044</v>
      </c>
      <c r="C2311" t="s">
        <v>26</v>
      </c>
      <c r="D2311" s="22">
        <v>6221250</v>
      </c>
    </row>
    <row r="2312" spans="1:4" x14ac:dyDescent="0.25">
      <c r="A2312">
        <v>1890</v>
      </c>
      <c r="B2312" s="16">
        <v>44075</v>
      </c>
      <c r="C2312" t="s">
        <v>26</v>
      </c>
      <c r="D2312" s="22">
        <v>6221250</v>
      </c>
    </row>
    <row r="2313" spans="1:4" x14ac:dyDescent="0.25">
      <c r="A2313">
        <v>1890</v>
      </c>
      <c r="B2313" s="16">
        <v>44105</v>
      </c>
      <c r="C2313" t="s">
        <v>26</v>
      </c>
      <c r="D2313" s="22">
        <v>6221250</v>
      </c>
    </row>
    <row r="2314" spans="1:4" x14ac:dyDescent="0.25">
      <c r="A2314">
        <v>1890</v>
      </c>
      <c r="B2314" s="16">
        <v>43831</v>
      </c>
      <c r="C2314" t="s">
        <v>39</v>
      </c>
      <c r="D2314" s="22">
        <v>4095000</v>
      </c>
    </row>
    <row r="2315" spans="1:4" x14ac:dyDescent="0.25">
      <c r="A2315">
        <v>1890</v>
      </c>
      <c r="B2315" s="16">
        <v>43862</v>
      </c>
      <c r="C2315" t="s">
        <v>39</v>
      </c>
      <c r="D2315" s="22">
        <v>4095000</v>
      </c>
    </row>
    <row r="2316" spans="1:4" x14ac:dyDescent="0.25">
      <c r="A2316">
        <v>1890</v>
      </c>
      <c r="B2316" s="16">
        <v>43891</v>
      </c>
      <c r="C2316" t="s">
        <v>39</v>
      </c>
      <c r="D2316" s="22">
        <v>4095000</v>
      </c>
    </row>
    <row r="2317" spans="1:4" x14ac:dyDescent="0.25">
      <c r="A2317">
        <v>1890</v>
      </c>
      <c r="B2317" s="16">
        <v>43922</v>
      </c>
      <c r="C2317" t="s">
        <v>39</v>
      </c>
      <c r="D2317" s="22">
        <v>4095000</v>
      </c>
    </row>
    <row r="2318" spans="1:4" x14ac:dyDescent="0.25">
      <c r="A2318">
        <v>1890</v>
      </c>
      <c r="B2318" s="16">
        <v>43952</v>
      </c>
      <c r="C2318" t="s">
        <v>39</v>
      </c>
      <c r="D2318" s="22">
        <v>4095000</v>
      </c>
    </row>
    <row r="2319" spans="1:4" x14ac:dyDescent="0.25">
      <c r="A2319">
        <v>1890</v>
      </c>
      <c r="B2319" s="16">
        <v>43983</v>
      </c>
      <c r="C2319" t="s">
        <v>39</v>
      </c>
      <c r="D2319" s="22">
        <v>4095000</v>
      </c>
    </row>
    <row r="2320" spans="1:4" x14ac:dyDescent="0.25">
      <c r="A2320">
        <v>1890</v>
      </c>
      <c r="B2320" s="16">
        <v>44013</v>
      </c>
      <c r="C2320" t="s">
        <v>39</v>
      </c>
      <c r="D2320" s="22">
        <v>4095000</v>
      </c>
    </row>
    <row r="2321" spans="1:4" x14ac:dyDescent="0.25">
      <c r="A2321">
        <v>1890</v>
      </c>
      <c r="B2321" s="16">
        <v>44044</v>
      </c>
      <c r="C2321" t="s">
        <v>39</v>
      </c>
      <c r="D2321" s="22">
        <v>4095000</v>
      </c>
    </row>
    <row r="2322" spans="1:4" x14ac:dyDescent="0.25">
      <c r="A2322">
        <v>1890</v>
      </c>
      <c r="B2322" s="16">
        <v>44075</v>
      </c>
      <c r="C2322" t="s">
        <v>39</v>
      </c>
      <c r="D2322" s="22">
        <v>4095000</v>
      </c>
    </row>
    <row r="2323" spans="1:4" x14ac:dyDescent="0.25">
      <c r="A2323">
        <v>1890</v>
      </c>
      <c r="B2323" s="16">
        <v>44105</v>
      </c>
      <c r="C2323" t="s">
        <v>39</v>
      </c>
      <c r="D2323" s="22">
        <v>4095000</v>
      </c>
    </row>
    <row r="2324" spans="1:4" x14ac:dyDescent="0.25">
      <c r="A2324">
        <v>1890</v>
      </c>
      <c r="B2324" s="16">
        <v>44136</v>
      </c>
      <c r="C2324" t="s">
        <v>39</v>
      </c>
      <c r="D2324" s="22">
        <v>4095000</v>
      </c>
    </row>
    <row r="2325" spans="1:4" x14ac:dyDescent="0.25">
      <c r="A2325">
        <v>1890</v>
      </c>
      <c r="B2325" s="16">
        <v>44166</v>
      </c>
      <c r="C2325" t="s">
        <v>39</v>
      </c>
      <c r="D2325" s="22">
        <v>4095000</v>
      </c>
    </row>
    <row r="2326" spans="1:4" x14ac:dyDescent="0.25">
      <c r="A2326">
        <v>1890</v>
      </c>
      <c r="B2326" s="16">
        <v>43497</v>
      </c>
      <c r="C2326" t="s">
        <v>97</v>
      </c>
      <c r="D2326" s="22">
        <v>4006799.9999999995</v>
      </c>
    </row>
    <row r="2327" spans="1:4" x14ac:dyDescent="0.25">
      <c r="A2327">
        <v>1890</v>
      </c>
      <c r="B2327" s="16">
        <v>43525</v>
      </c>
      <c r="C2327" t="s">
        <v>97</v>
      </c>
      <c r="D2327" s="22">
        <v>4006799.9999999995</v>
      </c>
    </row>
    <row r="2328" spans="1:4" x14ac:dyDescent="0.25">
      <c r="A2328">
        <v>1890</v>
      </c>
      <c r="B2328" s="16">
        <v>43556</v>
      </c>
      <c r="C2328" t="s">
        <v>97</v>
      </c>
      <c r="D2328" s="22">
        <v>4006799.9999999995</v>
      </c>
    </row>
    <row r="2329" spans="1:4" x14ac:dyDescent="0.25">
      <c r="A2329">
        <v>1890</v>
      </c>
      <c r="B2329" s="16">
        <v>43586</v>
      </c>
      <c r="C2329" t="s">
        <v>97</v>
      </c>
      <c r="D2329" s="22">
        <v>4006799.9999999995</v>
      </c>
    </row>
    <row r="2330" spans="1:4" x14ac:dyDescent="0.25">
      <c r="A2330">
        <v>1890</v>
      </c>
      <c r="B2330" s="16">
        <v>43617</v>
      </c>
      <c r="C2330" t="s">
        <v>97</v>
      </c>
      <c r="D2330" s="22">
        <v>4006799.9999999995</v>
      </c>
    </row>
    <row r="2331" spans="1:4" x14ac:dyDescent="0.25">
      <c r="A2331">
        <v>1890</v>
      </c>
      <c r="B2331" s="16">
        <v>43647</v>
      </c>
      <c r="C2331" t="s">
        <v>97</v>
      </c>
      <c r="D2331" s="22">
        <v>4006799.9999999995</v>
      </c>
    </row>
    <row r="2332" spans="1:4" x14ac:dyDescent="0.25">
      <c r="A2332">
        <v>1890</v>
      </c>
      <c r="B2332" s="16">
        <v>43678</v>
      </c>
      <c r="C2332" t="s">
        <v>97</v>
      </c>
      <c r="D2332" s="22">
        <v>4006799.9999999995</v>
      </c>
    </row>
    <row r="2333" spans="1:4" x14ac:dyDescent="0.25">
      <c r="A2333">
        <v>1890</v>
      </c>
      <c r="B2333" s="16">
        <v>43709</v>
      </c>
      <c r="C2333" t="s">
        <v>97</v>
      </c>
      <c r="D2333" s="22">
        <v>4006799.9999999995</v>
      </c>
    </row>
    <row r="2334" spans="1:4" x14ac:dyDescent="0.25">
      <c r="A2334">
        <v>1890</v>
      </c>
      <c r="B2334" s="16">
        <v>43739</v>
      </c>
      <c r="C2334" t="s">
        <v>97</v>
      </c>
      <c r="D2334" s="22">
        <v>4006799.9999999995</v>
      </c>
    </row>
    <row r="2335" spans="1:4" x14ac:dyDescent="0.25">
      <c r="A2335">
        <v>1890</v>
      </c>
      <c r="B2335" s="16">
        <v>43770</v>
      </c>
      <c r="C2335" t="s">
        <v>97</v>
      </c>
      <c r="D2335" s="22">
        <v>4006799.9999999995</v>
      </c>
    </row>
    <row r="2336" spans="1:4" x14ac:dyDescent="0.25">
      <c r="A2336">
        <v>1890</v>
      </c>
      <c r="B2336" s="16">
        <v>43800</v>
      </c>
      <c r="C2336" t="s">
        <v>97</v>
      </c>
      <c r="D2336" s="22">
        <v>4006799.9999999995</v>
      </c>
    </row>
    <row r="2337" spans="1:4" x14ac:dyDescent="0.25">
      <c r="A2337">
        <v>1890</v>
      </c>
      <c r="B2337" s="16">
        <v>43831</v>
      </c>
      <c r="C2337" t="s">
        <v>97</v>
      </c>
      <c r="D2337" s="22">
        <v>4006799.9999999995</v>
      </c>
    </row>
    <row r="2338" spans="1:4" x14ac:dyDescent="0.25">
      <c r="A2338">
        <v>1890</v>
      </c>
      <c r="B2338" s="16">
        <v>43862</v>
      </c>
      <c r="C2338" t="s">
        <v>97</v>
      </c>
      <c r="D2338" s="22">
        <v>4006799.9999999995</v>
      </c>
    </row>
    <row r="2339" spans="1:4" x14ac:dyDescent="0.25">
      <c r="A2339">
        <v>1890</v>
      </c>
      <c r="B2339" s="16">
        <v>43891</v>
      </c>
      <c r="C2339" t="s">
        <v>97</v>
      </c>
      <c r="D2339" s="22">
        <v>4006799.9999999995</v>
      </c>
    </row>
    <row r="2340" spans="1:4" x14ac:dyDescent="0.25">
      <c r="A2340">
        <v>1890</v>
      </c>
      <c r="B2340" s="16">
        <v>43922</v>
      </c>
      <c r="C2340" t="s">
        <v>97</v>
      </c>
      <c r="D2340" s="22">
        <v>4006799.9999999995</v>
      </c>
    </row>
    <row r="2341" spans="1:4" x14ac:dyDescent="0.25">
      <c r="A2341">
        <v>1890</v>
      </c>
      <c r="B2341" s="16">
        <v>43952</v>
      </c>
      <c r="C2341" t="s">
        <v>97</v>
      </c>
      <c r="D2341" s="22">
        <v>4006799.9999999995</v>
      </c>
    </row>
    <row r="2342" spans="1:4" x14ac:dyDescent="0.25">
      <c r="A2342">
        <v>1890</v>
      </c>
      <c r="B2342" s="16">
        <v>43983</v>
      </c>
      <c r="C2342" t="s">
        <v>97</v>
      </c>
      <c r="D2342" s="22">
        <v>4006799.9999999995</v>
      </c>
    </row>
    <row r="2343" spans="1:4" x14ac:dyDescent="0.25">
      <c r="A2343">
        <v>1890</v>
      </c>
      <c r="B2343" s="16">
        <v>44013</v>
      </c>
      <c r="C2343" t="s">
        <v>97</v>
      </c>
      <c r="D2343" s="22">
        <v>4006799.9999999995</v>
      </c>
    </row>
    <row r="2344" spans="1:4" x14ac:dyDescent="0.25">
      <c r="A2344">
        <v>1890</v>
      </c>
      <c r="B2344" s="16">
        <v>44044</v>
      </c>
      <c r="C2344" t="s">
        <v>97</v>
      </c>
      <c r="D2344" s="22">
        <v>4006799.9999999995</v>
      </c>
    </row>
    <row r="2345" spans="1:4" x14ac:dyDescent="0.25">
      <c r="A2345">
        <v>1890</v>
      </c>
      <c r="B2345" s="16">
        <v>44075</v>
      </c>
      <c r="C2345" t="s">
        <v>97</v>
      </c>
      <c r="D2345" s="22">
        <v>4006799.9999999995</v>
      </c>
    </row>
    <row r="2346" spans="1:4" x14ac:dyDescent="0.25">
      <c r="A2346">
        <v>1890</v>
      </c>
      <c r="B2346" s="16">
        <v>44105</v>
      </c>
      <c r="C2346" t="s">
        <v>97</v>
      </c>
      <c r="D2346" s="22">
        <v>4006799.9999999995</v>
      </c>
    </row>
    <row r="2347" spans="1:4" x14ac:dyDescent="0.25">
      <c r="A2347">
        <v>1890</v>
      </c>
      <c r="B2347" s="16">
        <v>43831</v>
      </c>
      <c r="C2347" t="s">
        <v>23</v>
      </c>
      <c r="D2347" s="22">
        <v>4006799.9999999995</v>
      </c>
    </row>
    <row r="2348" spans="1:4" x14ac:dyDescent="0.25">
      <c r="A2348">
        <v>1890</v>
      </c>
      <c r="B2348" s="16">
        <v>43862</v>
      </c>
      <c r="C2348" t="s">
        <v>23</v>
      </c>
      <c r="D2348" s="22">
        <v>4006799.9999999995</v>
      </c>
    </row>
    <row r="2349" spans="1:4" x14ac:dyDescent="0.25">
      <c r="A2349">
        <v>1890</v>
      </c>
      <c r="B2349" s="16">
        <v>43891</v>
      </c>
      <c r="C2349" t="s">
        <v>23</v>
      </c>
      <c r="D2349" s="22">
        <v>4006799.9999999995</v>
      </c>
    </row>
    <row r="2350" spans="1:4" x14ac:dyDescent="0.25">
      <c r="A2350">
        <v>1890</v>
      </c>
      <c r="B2350" s="16">
        <v>43922</v>
      </c>
      <c r="C2350" t="s">
        <v>23</v>
      </c>
      <c r="D2350" s="22">
        <v>4006799.9999999995</v>
      </c>
    </row>
    <row r="2351" spans="1:4" x14ac:dyDescent="0.25">
      <c r="A2351">
        <v>1890</v>
      </c>
      <c r="B2351" s="16">
        <v>43952</v>
      </c>
      <c r="C2351" t="s">
        <v>23</v>
      </c>
      <c r="D2351" s="22">
        <v>4006799.9999999995</v>
      </c>
    </row>
    <row r="2352" spans="1:4" x14ac:dyDescent="0.25">
      <c r="A2352">
        <v>1890</v>
      </c>
      <c r="B2352" s="16">
        <v>43983</v>
      </c>
      <c r="C2352" t="s">
        <v>23</v>
      </c>
      <c r="D2352" s="22">
        <v>4006799.9999999995</v>
      </c>
    </row>
    <row r="2353" spans="1:4" x14ac:dyDescent="0.25">
      <c r="A2353">
        <v>1890</v>
      </c>
      <c r="B2353" s="16">
        <v>44013</v>
      </c>
      <c r="C2353" t="s">
        <v>23</v>
      </c>
      <c r="D2353" s="22">
        <v>4006799.9999999995</v>
      </c>
    </row>
    <row r="2354" spans="1:4" x14ac:dyDescent="0.25">
      <c r="A2354">
        <v>1890</v>
      </c>
      <c r="B2354" s="16">
        <v>44044</v>
      </c>
      <c r="C2354" t="s">
        <v>23</v>
      </c>
      <c r="D2354" s="22">
        <v>4006799.9999999995</v>
      </c>
    </row>
    <row r="2355" spans="1:4" x14ac:dyDescent="0.25">
      <c r="A2355">
        <v>1890</v>
      </c>
      <c r="B2355" s="16">
        <v>44075</v>
      </c>
      <c r="C2355" t="s">
        <v>23</v>
      </c>
      <c r="D2355" s="22">
        <v>4006799.9999999995</v>
      </c>
    </row>
    <row r="2356" spans="1:4" x14ac:dyDescent="0.25">
      <c r="A2356">
        <v>1890</v>
      </c>
      <c r="B2356" s="16">
        <v>44105</v>
      </c>
      <c r="C2356" t="s">
        <v>23</v>
      </c>
      <c r="D2356" s="22">
        <v>4006799.9999999995</v>
      </c>
    </row>
    <row r="2357" spans="1:4" x14ac:dyDescent="0.25">
      <c r="A2357">
        <v>1618</v>
      </c>
      <c r="B2357" s="16">
        <v>43466</v>
      </c>
      <c r="C2357" t="s">
        <v>19</v>
      </c>
      <c r="D2357" s="22">
        <v>5898109.7507954882</v>
      </c>
    </row>
    <row r="2358" spans="1:4" x14ac:dyDescent="0.25">
      <c r="A2358">
        <v>1618</v>
      </c>
      <c r="B2358" s="16">
        <v>43466</v>
      </c>
      <c r="C2358" t="s">
        <v>12</v>
      </c>
      <c r="D2358" s="22">
        <v>10573456.644736286</v>
      </c>
    </row>
    <row r="2359" spans="1:4" x14ac:dyDescent="0.25">
      <c r="A2359">
        <v>1618</v>
      </c>
      <c r="B2359" s="16">
        <v>43497</v>
      </c>
      <c r="C2359" t="s">
        <v>12</v>
      </c>
      <c r="D2359" s="22">
        <v>10573456.644736286</v>
      </c>
    </row>
    <row r="2360" spans="1:4" x14ac:dyDescent="0.25">
      <c r="A2360">
        <v>1618</v>
      </c>
      <c r="B2360" s="16">
        <v>43525</v>
      </c>
      <c r="C2360" t="s">
        <v>12</v>
      </c>
      <c r="D2360" s="22">
        <v>10573456.644736286</v>
      </c>
    </row>
    <row r="2361" spans="1:4" x14ac:dyDescent="0.25">
      <c r="A2361">
        <v>1618</v>
      </c>
      <c r="B2361" s="16">
        <v>43556</v>
      </c>
      <c r="C2361" t="s">
        <v>12</v>
      </c>
      <c r="D2361" s="22">
        <v>10573456.644736286</v>
      </c>
    </row>
    <row r="2362" spans="1:4" x14ac:dyDescent="0.25">
      <c r="A2362">
        <v>1618</v>
      </c>
      <c r="B2362" s="16">
        <v>43466</v>
      </c>
      <c r="C2362" t="s">
        <v>41</v>
      </c>
      <c r="D2362" s="22">
        <v>8420426.5965553131</v>
      </c>
    </row>
    <row r="2363" spans="1:4" x14ac:dyDescent="0.25">
      <c r="A2363">
        <v>1618</v>
      </c>
      <c r="B2363" s="16">
        <v>43466</v>
      </c>
      <c r="C2363" t="s">
        <v>26</v>
      </c>
      <c r="D2363" s="22">
        <v>5968758.5524032004</v>
      </c>
    </row>
    <row r="2364" spans="1:4" x14ac:dyDescent="0.25">
      <c r="A2364">
        <v>1618</v>
      </c>
      <c r="B2364" s="16">
        <v>43466</v>
      </c>
      <c r="C2364" t="s">
        <v>29</v>
      </c>
      <c r="D2364" s="22">
        <v>2694198.4714365834</v>
      </c>
    </row>
    <row r="2365" spans="1:4" x14ac:dyDescent="0.25">
      <c r="A2365">
        <v>1618</v>
      </c>
      <c r="B2365" s="16">
        <v>43497</v>
      </c>
      <c r="C2365" t="s">
        <v>29</v>
      </c>
      <c r="D2365" s="22">
        <v>2694198.4714365834</v>
      </c>
    </row>
    <row r="2366" spans="1:4" x14ac:dyDescent="0.25">
      <c r="A2366">
        <v>1618</v>
      </c>
      <c r="B2366" s="16">
        <v>43525</v>
      </c>
      <c r="C2366" t="s">
        <v>29</v>
      </c>
      <c r="D2366" s="22">
        <v>2694198.4714365834</v>
      </c>
    </row>
    <row r="2367" spans="1:4" x14ac:dyDescent="0.25">
      <c r="A2367">
        <v>1618</v>
      </c>
      <c r="B2367" s="16">
        <v>43556</v>
      </c>
      <c r="C2367" t="s">
        <v>29</v>
      </c>
      <c r="D2367" s="22">
        <v>2694198.4714365834</v>
      </c>
    </row>
    <row r="2368" spans="1:4" x14ac:dyDescent="0.25">
      <c r="A2368">
        <v>1715</v>
      </c>
      <c r="B2368" s="16">
        <v>43466</v>
      </c>
      <c r="C2368" t="s">
        <v>19</v>
      </c>
      <c r="D2368" s="22">
        <v>2992909.5</v>
      </c>
    </row>
    <row r="2369" spans="1:4" x14ac:dyDescent="0.25">
      <c r="A2369">
        <v>1715</v>
      </c>
      <c r="B2369" s="16">
        <v>43497</v>
      </c>
      <c r="C2369" t="s">
        <v>19</v>
      </c>
      <c r="D2369" s="22">
        <v>2992909.5</v>
      </c>
    </row>
    <row r="2370" spans="1:4" x14ac:dyDescent="0.25">
      <c r="A2370">
        <v>1715</v>
      </c>
      <c r="B2370" s="16">
        <v>43525</v>
      </c>
      <c r="C2370" t="s">
        <v>19</v>
      </c>
      <c r="D2370" s="22">
        <v>2992909.5</v>
      </c>
    </row>
    <row r="2371" spans="1:4" x14ac:dyDescent="0.25">
      <c r="A2371">
        <v>1715</v>
      </c>
      <c r="B2371" s="16">
        <v>43556</v>
      </c>
      <c r="C2371" t="s">
        <v>19</v>
      </c>
      <c r="D2371" s="22">
        <v>2992909.5</v>
      </c>
    </row>
    <row r="2372" spans="1:4" x14ac:dyDescent="0.25">
      <c r="A2372">
        <v>1715</v>
      </c>
      <c r="B2372" s="16">
        <v>43466</v>
      </c>
      <c r="C2372" t="s">
        <v>12</v>
      </c>
      <c r="D2372" s="22">
        <v>2835000</v>
      </c>
    </row>
    <row r="2373" spans="1:4" x14ac:dyDescent="0.25">
      <c r="A2373">
        <v>1715</v>
      </c>
      <c r="B2373" s="16">
        <v>43497</v>
      </c>
      <c r="C2373" t="s">
        <v>12</v>
      </c>
      <c r="D2373" s="22">
        <v>2835000</v>
      </c>
    </row>
    <row r="2374" spans="1:4" x14ac:dyDescent="0.25">
      <c r="A2374">
        <v>1715</v>
      </c>
      <c r="B2374" s="16">
        <v>43525</v>
      </c>
      <c r="C2374" t="s">
        <v>12</v>
      </c>
      <c r="D2374" s="22">
        <v>2835000</v>
      </c>
    </row>
    <row r="2375" spans="1:4" x14ac:dyDescent="0.25">
      <c r="A2375">
        <v>1715</v>
      </c>
      <c r="B2375" s="16">
        <v>43556</v>
      </c>
      <c r="C2375" t="s">
        <v>12</v>
      </c>
      <c r="D2375" s="22">
        <v>2835000</v>
      </c>
    </row>
    <row r="2376" spans="1:4" x14ac:dyDescent="0.25">
      <c r="A2376">
        <v>1715</v>
      </c>
      <c r="B2376" s="16">
        <v>43466</v>
      </c>
      <c r="C2376" t="s">
        <v>39</v>
      </c>
      <c r="D2376" s="22">
        <v>1228500</v>
      </c>
    </row>
    <row r="2377" spans="1:4" x14ac:dyDescent="0.25">
      <c r="A2377">
        <v>1715</v>
      </c>
      <c r="B2377" s="16">
        <v>43497</v>
      </c>
      <c r="C2377" t="s">
        <v>39</v>
      </c>
      <c r="D2377" s="22">
        <v>1228500</v>
      </c>
    </row>
    <row r="2378" spans="1:4" x14ac:dyDescent="0.25">
      <c r="A2378">
        <v>1715</v>
      </c>
      <c r="B2378" s="16">
        <v>43525</v>
      </c>
      <c r="C2378" t="s">
        <v>39</v>
      </c>
      <c r="D2378" s="22">
        <v>1228500</v>
      </c>
    </row>
    <row r="2379" spans="1:4" x14ac:dyDescent="0.25">
      <c r="A2379">
        <v>1715</v>
      </c>
      <c r="B2379" s="16">
        <v>43556</v>
      </c>
      <c r="C2379" t="s">
        <v>39</v>
      </c>
      <c r="D2379" s="22">
        <v>1228500</v>
      </c>
    </row>
    <row r="2380" spans="1:4" x14ac:dyDescent="0.25">
      <c r="A2380">
        <v>1715</v>
      </c>
      <c r="B2380" s="16">
        <v>43466</v>
      </c>
      <c r="C2380" t="s">
        <v>16</v>
      </c>
      <c r="D2380" s="22">
        <v>1181250</v>
      </c>
    </row>
    <row r="2381" spans="1:4" x14ac:dyDescent="0.25">
      <c r="A2381">
        <v>1715</v>
      </c>
      <c r="B2381" s="16">
        <v>43497</v>
      </c>
      <c r="C2381" t="s">
        <v>16</v>
      </c>
      <c r="D2381" s="22">
        <v>1181250</v>
      </c>
    </row>
    <row r="2382" spans="1:4" x14ac:dyDescent="0.25">
      <c r="A2382">
        <v>1715</v>
      </c>
      <c r="B2382" s="16">
        <v>43525</v>
      </c>
      <c r="C2382" t="s">
        <v>16</v>
      </c>
      <c r="D2382" s="22">
        <v>1181250</v>
      </c>
    </row>
    <row r="2383" spans="1:4" x14ac:dyDescent="0.25">
      <c r="A2383">
        <v>1715</v>
      </c>
      <c r="B2383" s="16">
        <v>43556</v>
      </c>
      <c r="C2383" t="s">
        <v>16</v>
      </c>
      <c r="D2383" s="22">
        <v>1181250</v>
      </c>
    </row>
    <row r="2384" spans="1:4" x14ac:dyDescent="0.25">
      <c r="A2384">
        <v>1715</v>
      </c>
      <c r="B2384" s="16">
        <v>43466</v>
      </c>
      <c r="C2384" t="s">
        <v>19</v>
      </c>
      <c r="D2384" s="22">
        <v>2494091.25</v>
      </c>
    </row>
    <row r="2385" spans="1:4" x14ac:dyDescent="0.25">
      <c r="A2385">
        <v>1715</v>
      </c>
      <c r="B2385" s="16">
        <v>43497</v>
      </c>
      <c r="C2385" t="s">
        <v>19</v>
      </c>
      <c r="D2385" s="22">
        <v>2494091.25</v>
      </c>
    </row>
    <row r="2386" spans="1:4" x14ac:dyDescent="0.25">
      <c r="A2386">
        <v>1715</v>
      </c>
      <c r="B2386" s="16">
        <v>43525</v>
      </c>
      <c r="C2386" t="s">
        <v>19</v>
      </c>
      <c r="D2386" s="22">
        <v>2494091.25</v>
      </c>
    </row>
    <row r="2387" spans="1:4" x14ac:dyDescent="0.25">
      <c r="A2387">
        <v>1715</v>
      </c>
      <c r="B2387" s="16">
        <v>43556</v>
      </c>
      <c r="C2387" t="s">
        <v>19</v>
      </c>
      <c r="D2387" s="22">
        <v>2494091.25</v>
      </c>
    </row>
    <row r="2388" spans="1:4" x14ac:dyDescent="0.25">
      <c r="A2388">
        <v>1715</v>
      </c>
      <c r="B2388" s="16">
        <v>43466</v>
      </c>
      <c r="C2388" t="s">
        <v>12</v>
      </c>
      <c r="D2388" s="22">
        <v>2362500</v>
      </c>
    </row>
    <row r="2389" spans="1:4" x14ac:dyDescent="0.25">
      <c r="A2389">
        <v>1715</v>
      </c>
      <c r="B2389" s="16">
        <v>43497</v>
      </c>
      <c r="C2389" t="s">
        <v>12</v>
      </c>
      <c r="D2389" s="22">
        <v>2362500</v>
      </c>
    </row>
    <row r="2390" spans="1:4" x14ac:dyDescent="0.25">
      <c r="A2390">
        <v>1715</v>
      </c>
      <c r="B2390" s="16">
        <v>43525</v>
      </c>
      <c r="C2390" t="s">
        <v>12</v>
      </c>
      <c r="D2390" s="22">
        <v>2362500</v>
      </c>
    </row>
    <row r="2391" spans="1:4" x14ac:dyDescent="0.25">
      <c r="A2391">
        <v>1715</v>
      </c>
      <c r="B2391" s="16">
        <v>43556</v>
      </c>
      <c r="C2391" t="s">
        <v>12</v>
      </c>
      <c r="D2391" s="22">
        <v>2362500</v>
      </c>
    </row>
    <row r="2392" spans="1:4" x14ac:dyDescent="0.25">
      <c r="A2392">
        <v>1715</v>
      </c>
      <c r="B2392" s="16">
        <v>43466</v>
      </c>
      <c r="C2392" t="s">
        <v>39</v>
      </c>
      <c r="D2392" s="22">
        <v>1023750</v>
      </c>
    </row>
    <row r="2393" spans="1:4" x14ac:dyDescent="0.25">
      <c r="A2393">
        <v>1715</v>
      </c>
      <c r="B2393" s="16">
        <v>43497</v>
      </c>
      <c r="C2393" t="s">
        <v>39</v>
      </c>
      <c r="D2393" s="22">
        <v>1023750</v>
      </c>
    </row>
    <row r="2394" spans="1:4" x14ac:dyDescent="0.25">
      <c r="A2394">
        <v>1715</v>
      </c>
      <c r="B2394" s="16">
        <v>43525</v>
      </c>
      <c r="C2394" t="s">
        <v>39</v>
      </c>
      <c r="D2394" s="22">
        <v>1023750</v>
      </c>
    </row>
    <row r="2395" spans="1:4" x14ac:dyDescent="0.25">
      <c r="A2395">
        <v>1715</v>
      </c>
      <c r="B2395" s="16">
        <v>43556</v>
      </c>
      <c r="C2395" t="s">
        <v>39</v>
      </c>
      <c r="D2395" s="22">
        <v>1023750</v>
      </c>
    </row>
    <row r="2396" spans="1:4" x14ac:dyDescent="0.25">
      <c r="A2396">
        <v>1715</v>
      </c>
      <c r="B2396" s="16">
        <v>43466</v>
      </c>
      <c r="C2396" t="s">
        <v>29</v>
      </c>
      <c r="D2396" s="22">
        <v>708750</v>
      </c>
    </row>
    <row r="2397" spans="1:4" x14ac:dyDescent="0.25">
      <c r="A2397">
        <v>1715</v>
      </c>
      <c r="B2397" s="16">
        <v>43497</v>
      </c>
      <c r="C2397" t="s">
        <v>29</v>
      </c>
      <c r="D2397" s="22">
        <v>708750</v>
      </c>
    </row>
    <row r="2398" spans="1:4" x14ac:dyDescent="0.25">
      <c r="A2398">
        <v>1715</v>
      </c>
      <c r="B2398" s="16">
        <v>43525</v>
      </c>
      <c r="C2398" t="s">
        <v>29</v>
      </c>
      <c r="D2398" s="22">
        <v>708750</v>
      </c>
    </row>
    <row r="2399" spans="1:4" x14ac:dyDescent="0.25">
      <c r="A2399">
        <v>1715</v>
      </c>
      <c r="B2399" s="16">
        <v>43556</v>
      </c>
      <c r="C2399" t="s">
        <v>29</v>
      </c>
      <c r="D2399" s="22">
        <v>708750</v>
      </c>
    </row>
    <row r="2400" spans="1:4" x14ac:dyDescent="0.25">
      <c r="A2400">
        <v>1715</v>
      </c>
      <c r="B2400" s="16">
        <v>43466</v>
      </c>
      <c r="C2400" t="s">
        <v>19</v>
      </c>
      <c r="D2400" s="22">
        <v>1496454.75</v>
      </c>
    </row>
    <row r="2401" spans="1:4" x14ac:dyDescent="0.25">
      <c r="A2401">
        <v>1715</v>
      </c>
      <c r="B2401" s="16">
        <v>43497</v>
      </c>
      <c r="C2401" t="s">
        <v>19</v>
      </c>
      <c r="D2401" s="22">
        <v>1496454.75</v>
      </c>
    </row>
    <row r="2402" spans="1:4" x14ac:dyDescent="0.25">
      <c r="A2402">
        <v>1715</v>
      </c>
      <c r="B2402" s="16">
        <v>43525</v>
      </c>
      <c r="C2402" t="s">
        <v>19</v>
      </c>
      <c r="D2402" s="22">
        <v>1496454.75</v>
      </c>
    </row>
    <row r="2403" spans="1:4" x14ac:dyDescent="0.25">
      <c r="A2403">
        <v>1715</v>
      </c>
      <c r="B2403" s="16">
        <v>43556</v>
      </c>
      <c r="C2403" t="s">
        <v>19</v>
      </c>
      <c r="D2403" s="22">
        <v>1496454.75</v>
      </c>
    </row>
    <row r="2404" spans="1:4" x14ac:dyDescent="0.25">
      <c r="A2404">
        <v>1715</v>
      </c>
      <c r="B2404" s="16">
        <v>43466</v>
      </c>
      <c r="C2404" t="s">
        <v>12</v>
      </c>
      <c r="D2404" s="22">
        <v>945000</v>
      </c>
    </row>
    <row r="2405" spans="1:4" x14ac:dyDescent="0.25">
      <c r="A2405">
        <v>1715</v>
      </c>
      <c r="B2405" s="16">
        <v>43497</v>
      </c>
      <c r="C2405" t="s">
        <v>12</v>
      </c>
      <c r="D2405" s="22">
        <v>945000</v>
      </c>
    </row>
    <row r="2406" spans="1:4" x14ac:dyDescent="0.25">
      <c r="A2406">
        <v>1715</v>
      </c>
      <c r="B2406" s="16">
        <v>43525</v>
      </c>
      <c r="C2406" t="s">
        <v>12</v>
      </c>
      <c r="D2406" s="22">
        <v>945000</v>
      </c>
    </row>
    <row r="2407" spans="1:4" x14ac:dyDescent="0.25">
      <c r="A2407">
        <v>1715</v>
      </c>
      <c r="B2407" s="16">
        <v>43556</v>
      </c>
      <c r="C2407" t="s">
        <v>12</v>
      </c>
      <c r="D2407" s="22">
        <v>945000</v>
      </c>
    </row>
    <row r="2408" spans="1:4" x14ac:dyDescent="0.25">
      <c r="A2408">
        <v>1715</v>
      </c>
      <c r="B2408" s="16">
        <v>43466</v>
      </c>
      <c r="C2408" t="s">
        <v>39</v>
      </c>
      <c r="D2408" s="22">
        <v>409500</v>
      </c>
    </row>
    <row r="2409" spans="1:4" x14ac:dyDescent="0.25">
      <c r="A2409">
        <v>1715</v>
      </c>
      <c r="B2409" s="16">
        <v>43497</v>
      </c>
      <c r="C2409" t="s">
        <v>39</v>
      </c>
      <c r="D2409" s="22">
        <v>409500</v>
      </c>
    </row>
    <row r="2410" spans="1:4" x14ac:dyDescent="0.25">
      <c r="A2410">
        <v>1715</v>
      </c>
      <c r="B2410" s="16">
        <v>43525</v>
      </c>
      <c r="C2410" t="s">
        <v>39</v>
      </c>
      <c r="D2410" s="22">
        <v>409500</v>
      </c>
    </row>
    <row r="2411" spans="1:4" x14ac:dyDescent="0.25">
      <c r="A2411">
        <v>1715</v>
      </c>
      <c r="B2411" s="16">
        <v>43556</v>
      </c>
      <c r="C2411" t="s">
        <v>39</v>
      </c>
      <c r="D2411" s="22">
        <v>409500</v>
      </c>
    </row>
    <row r="2412" spans="1:4" x14ac:dyDescent="0.25">
      <c r="A2412">
        <v>1715</v>
      </c>
      <c r="B2412" s="16">
        <v>43466</v>
      </c>
      <c r="C2412" t="s">
        <v>277</v>
      </c>
      <c r="D2412" s="22">
        <v>236250</v>
      </c>
    </row>
    <row r="2413" spans="1:4" x14ac:dyDescent="0.25">
      <c r="A2413">
        <v>1715</v>
      </c>
      <c r="B2413" s="16">
        <v>43497</v>
      </c>
      <c r="C2413" t="s">
        <v>277</v>
      </c>
      <c r="D2413" s="22">
        <v>236250</v>
      </c>
    </row>
    <row r="2414" spans="1:4" x14ac:dyDescent="0.25">
      <c r="A2414">
        <v>1715</v>
      </c>
      <c r="B2414" s="16">
        <v>43525</v>
      </c>
      <c r="C2414" t="s">
        <v>277</v>
      </c>
      <c r="D2414" s="22">
        <v>236250</v>
      </c>
    </row>
    <row r="2415" spans="1:4" x14ac:dyDescent="0.25">
      <c r="A2415">
        <v>1715</v>
      </c>
      <c r="B2415" s="16">
        <v>43556</v>
      </c>
      <c r="C2415" t="s">
        <v>277</v>
      </c>
      <c r="D2415" s="22">
        <v>236250</v>
      </c>
    </row>
    <row r="2416" spans="1:4" x14ac:dyDescent="0.25">
      <c r="A2416">
        <v>1715</v>
      </c>
      <c r="B2416" s="16">
        <v>43466</v>
      </c>
      <c r="C2416" t="s">
        <v>19</v>
      </c>
      <c r="D2416" s="22">
        <v>1496454.75</v>
      </c>
    </row>
    <row r="2417" spans="1:4" x14ac:dyDescent="0.25">
      <c r="A2417">
        <v>1715</v>
      </c>
      <c r="B2417" s="16">
        <v>43497</v>
      </c>
      <c r="C2417" t="s">
        <v>19</v>
      </c>
      <c r="D2417" s="22">
        <v>1496454.75</v>
      </c>
    </row>
    <row r="2418" spans="1:4" x14ac:dyDescent="0.25">
      <c r="A2418">
        <v>1715</v>
      </c>
      <c r="B2418" s="16">
        <v>43525</v>
      </c>
      <c r="C2418" t="s">
        <v>19</v>
      </c>
      <c r="D2418" s="22">
        <v>1496454.75</v>
      </c>
    </row>
    <row r="2419" spans="1:4" x14ac:dyDescent="0.25">
      <c r="A2419">
        <v>1715</v>
      </c>
      <c r="B2419" s="16">
        <v>43556</v>
      </c>
      <c r="C2419" t="s">
        <v>19</v>
      </c>
      <c r="D2419" s="22">
        <v>1496454.75</v>
      </c>
    </row>
    <row r="2420" spans="1:4" x14ac:dyDescent="0.25">
      <c r="A2420">
        <v>1715</v>
      </c>
      <c r="B2420" s="16">
        <v>43466</v>
      </c>
      <c r="C2420" t="s">
        <v>12</v>
      </c>
      <c r="D2420" s="22">
        <v>1890000</v>
      </c>
    </row>
    <row r="2421" spans="1:4" x14ac:dyDescent="0.25">
      <c r="A2421">
        <v>1715</v>
      </c>
      <c r="B2421" s="16">
        <v>43497</v>
      </c>
      <c r="C2421" t="s">
        <v>12</v>
      </c>
      <c r="D2421" s="22">
        <v>1890000</v>
      </c>
    </row>
    <row r="2422" spans="1:4" x14ac:dyDescent="0.25">
      <c r="A2422">
        <v>1715</v>
      </c>
      <c r="B2422" s="16">
        <v>43525</v>
      </c>
      <c r="C2422" t="s">
        <v>12</v>
      </c>
      <c r="D2422" s="22">
        <v>1890000</v>
      </c>
    </row>
    <row r="2423" spans="1:4" x14ac:dyDescent="0.25">
      <c r="A2423">
        <v>1715</v>
      </c>
      <c r="B2423" s="16">
        <v>43556</v>
      </c>
      <c r="C2423" t="s">
        <v>12</v>
      </c>
      <c r="D2423" s="22">
        <v>1890000</v>
      </c>
    </row>
    <row r="2424" spans="1:4" x14ac:dyDescent="0.25">
      <c r="A2424">
        <v>1715</v>
      </c>
      <c r="B2424" s="16">
        <v>43466</v>
      </c>
      <c r="C2424" t="s">
        <v>39</v>
      </c>
      <c r="D2424" s="22">
        <v>819000</v>
      </c>
    </row>
    <row r="2425" spans="1:4" x14ac:dyDescent="0.25">
      <c r="A2425">
        <v>1715</v>
      </c>
      <c r="B2425" s="16">
        <v>43497</v>
      </c>
      <c r="C2425" t="s">
        <v>39</v>
      </c>
      <c r="D2425" s="22">
        <v>819000</v>
      </c>
    </row>
    <row r="2426" spans="1:4" x14ac:dyDescent="0.25">
      <c r="A2426">
        <v>1715</v>
      </c>
      <c r="B2426" s="16">
        <v>43525</v>
      </c>
      <c r="C2426" t="s">
        <v>39</v>
      </c>
      <c r="D2426" s="22">
        <v>819000</v>
      </c>
    </row>
    <row r="2427" spans="1:4" x14ac:dyDescent="0.25">
      <c r="A2427">
        <v>1715</v>
      </c>
      <c r="B2427" s="16">
        <v>43556</v>
      </c>
      <c r="C2427" t="s">
        <v>39</v>
      </c>
      <c r="D2427" s="22">
        <v>819000</v>
      </c>
    </row>
    <row r="2428" spans="1:4" x14ac:dyDescent="0.25">
      <c r="A2428">
        <v>1715</v>
      </c>
      <c r="B2428" s="16">
        <v>43466</v>
      </c>
      <c r="C2428" t="s">
        <v>91</v>
      </c>
      <c r="D2428" s="22">
        <v>441000</v>
      </c>
    </row>
    <row r="2429" spans="1:4" x14ac:dyDescent="0.25">
      <c r="A2429">
        <v>1715</v>
      </c>
      <c r="B2429" s="16">
        <v>43497</v>
      </c>
      <c r="C2429" t="s">
        <v>91</v>
      </c>
      <c r="D2429" s="22">
        <v>441000</v>
      </c>
    </row>
    <row r="2430" spans="1:4" x14ac:dyDescent="0.25">
      <c r="A2430">
        <v>1715</v>
      </c>
      <c r="B2430" s="16">
        <v>43525</v>
      </c>
      <c r="C2430" t="s">
        <v>91</v>
      </c>
      <c r="D2430" s="22">
        <v>441000</v>
      </c>
    </row>
    <row r="2431" spans="1:4" x14ac:dyDescent="0.25">
      <c r="A2431">
        <v>1715</v>
      </c>
      <c r="B2431" s="16">
        <v>43556</v>
      </c>
      <c r="C2431" t="s">
        <v>91</v>
      </c>
      <c r="D2431" s="22">
        <v>441000</v>
      </c>
    </row>
    <row r="2432" spans="1:4" x14ac:dyDescent="0.25">
      <c r="A2432">
        <v>1715</v>
      </c>
      <c r="B2432" s="16">
        <v>43466</v>
      </c>
      <c r="C2432" t="s">
        <v>29</v>
      </c>
      <c r="D2432" s="22">
        <v>354375</v>
      </c>
    </row>
    <row r="2433" spans="1:4" x14ac:dyDescent="0.25">
      <c r="A2433">
        <v>1715</v>
      </c>
      <c r="B2433" s="16">
        <v>43497</v>
      </c>
      <c r="C2433" t="s">
        <v>29</v>
      </c>
      <c r="D2433" s="22">
        <v>354375</v>
      </c>
    </row>
    <row r="2434" spans="1:4" x14ac:dyDescent="0.25">
      <c r="A2434">
        <v>1715</v>
      </c>
      <c r="B2434" s="16">
        <v>43525</v>
      </c>
      <c r="C2434" t="s">
        <v>29</v>
      </c>
      <c r="D2434" s="22">
        <v>354375</v>
      </c>
    </row>
    <row r="2435" spans="1:4" x14ac:dyDescent="0.25">
      <c r="A2435">
        <v>1715</v>
      </c>
      <c r="B2435" s="16">
        <v>43556</v>
      </c>
      <c r="C2435" t="s">
        <v>29</v>
      </c>
      <c r="D2435" s="22">
        <v>354375</v>
      </c>
    </row>
    <row r="2436" spans="1:4" x14ac:dyDescent="0.25">
      <c r="A2436">
        <v>1715</v>
      </c>
      <c r="B2436" s="16">
        <v>43466</v>
      </c>
      <c r="C2436" t="s">
        <v>19</v>
      </c>
      <c r="D2436" s="22">
        <v>1496454.75</v>
      </c>
    </row>
    <row r="2437" spans="1:4" x14ac:dyDescent="0.25">
      <c r="A2437">
        <v>1715</v>
      </c>
      <c r="B2437" s="16">
        <v>43497</v>
      </c>
      <c r="C2437" t="s">
        <v>19</v>
      </c>
      <c r="D2437" s="22">
        <v>1496454.75</v>
      </c>
    </row>
    <row r="2438" spans="1:4" x14ac:dyDescent="0.25">
      <c r="A2438">
        <v>1715</v>
      </c>
      <c r="B2438" s="16">
        <v>43525</v>
      </c>
      <c r="C2438" t="s">
        <v>19</v>
      </c>
      <c r="D2438" s="22">
        <v>1496454.75</v>
      </c>
    </row>
    <row r="2439" spans="1:4" x14ac:dyDescent="0.25">
      <c r="A2439">
        <v>1715</v>
      </c>
      <c r="B2439" s="16">
        <v>43556</v>
      </c>
      <c r="C2439" t="s">
        <v>19</v>
      </c>
      <c r="D2439" s="22">
        <v>1496454.75</v>
      </c>
    </row>
    <row r="2440" spans="1:4" x14ac:dyDescent="0.25">
      <c r="A2440">
        <v>1715</v>
      </c>
      <c r="B2440" s="16">
        <v>43466</v>
      </c>
      <c r="C2440" t="s">
        <v>12</v>
      </c>
      <c r="D2440" s="22">
        <v>1417500</v>
      </c>
    </row>
    <row r="2441" spans="1:4" x14ac:dyDescent="0.25">
      <c r="A2441">
        <v>1715</v>
      </c>
      <c r="B2441" s="16">
        <v>43497</v>
      </c>
      <c r="C2441" t="s">
        <v>12</v>
      </c>
      <c r="D2441" s="22">
        <v>1417500</v>
      </c>
    </row>
    <row r="2442" spans="1:4" x14ac:dyDescent="0.25">
      <c r="A2442">
        <v>1715</v>
      </c>
      <c r="B2442" s="16">
        <v>43525</v>
      </c>
      <c r="C2442" t="s">
        <v>12</v>
      </c>
      <c r="D2442" s="22">
        <v>1417500</v>
      </c>
    </row>
    <row r="2443" spans="1:4" x14ac:dyDescent="0.25">
      <c r="A2443">
        <v>1715</v>
      </c>
      <c r="B2443" s="16">
        <v>43556</v>
      </c>
      <c r="C2443" t="s">
        <v>12</v>
      </c>
      <c r="D2443" s="22">
        <v>1417500</v>
      </c>
    </row>
    <row r="2444" spans="1:4" x14ac:dyDescent="0.25">
      <c r="A2444">
        <v>1715</v>
      </c>
      <c r="B2444" s="16">
        <v>43466</v>
      </c>
      <c r="C2444" t="s">
        <v>39</v>
      </c>
      <c r="D2444" s="22">
        <v>614250</v>
      </c>
    </row>
    <row r="2445" spans="1:4" x14ac:dyDescent="0.25">
      <c r="A2445">
        <v>1715</v>
      </c>
      <c r="B2445" s="16">
        <v>43497</v>
      </c>
      <c r="C2445" t="s">
        <v>39</v>
      </c>
      <c r="D2445" s="22">
        <v>614250</v>
      </c>
    </row>
    <row r="2446" spans="1:4" x14ac:dyDescent="0.25">
      <c r="A2446">
        <v>1715</v>
      </c>
      <c r="B2446" s="16">
        <v>43525</v>
      </c>
      <c r="C2446" t="s">
        <v>39</v>
      </c>
      <c r="D2446" s="22">
        <v>614250</v>
      </c>
    </row>
    <row r="2447" spans="1:4" x14ac:dyDescent="0.25">
      <c r="A2447">
        <v>1715</v>
      </c>
      <c r="B2447" s="16">
        <v>43556</v>
      </c>
      <c r="C2447" t="s">
        <v>39</v>
      </c>
      <c r="D2447" s="22">
        <v>614250</v>
      </c>
    </row>
    <row r="2448" spans="1:4" x14ac:dyDescent="0.25">
      <c r="A2448">
        <v>1837</v>
      </c>
      <c r="B2448" s="16">
        <v>43466</v>
      </c>
      <c r="C2448" t="s">
        <v>290</v>
      </c>
      <c r="D2448" s="22">
        <v>1778395.5</v>
      </c>
    </row>
    <row r="2449" spans="1:4" x14ac:dyDescent="0.25">
      <c r="A2449">
        <v>1837</v>
      </c>
      <c r="B2449" s="16">
        <v>43497</v>
      </c>
      <c r="C2449" t="s">
        <v>290</v>
      </c>
      <c r="D2449" s="22">
        <v>1778395.5</v>
      </c>
    </row>
    <row r="2450" spans="1:4" x14ac:dyDescent="0.25">
      <c r="A2450">
        <v>1837</v>
      </c>
      <c r="B2450" s="16">
        <v>43525</v>
      </c>
      <c r="C2450" t="s">
        <v>290</v>
      </c>
      <c r="D2450" s="22">
        <v>1778395.5</v>
      </c>
    </row>
    <row r="2451" spans="1:4" x14ac:dyDescent="0.25">
      <c r="A2451">
        <v>1837</v>
      </c>
      <c r="B2451" s="16">
        <v>43556</v>
      </c>
      <c r="C2451" t="s">
        <v>290</v>
      </c>
      <c r="D2451" s="22">
        <v>1778395.5</v>
      </c>
    </row>
    <row r="2452" spans="1:4" x14ac:dyDescent="0.25">
      <c r="A2452">
        <v>1837</v>
      </c>
      <c r="B2452" s="16">
        <v>43586</v>
      </c>
      <c r="C2452" t="s">
        <v>290</v>
      </c>
      <c r="D2452" s="22">
        <v>1778395.5</v>
      </c>
    </row>
    <row r="2453" spans="1:4" x14ac:dyDescent="0.25">
      <c r="A2453">
        <v>1837</v>
      </c>
      <c r="B2453" s="16">
        <v>43617</v>
      </c>
      <c r="C2453" t="s">
        <v>290</v>
      </c>
      <c r="D2453" s="22">
        <v>1778395.5</v>
      </c>
    </row>
    <row r="2454" spans="1:4" x14ac:dyDescent="0.25">
      <c r="A2454">
        <v>1837</v>
      </c>
      <c r="B2454" s="16">
        <v>43466</v>
      </c>
      <c r="C2454" t="s">
        <v>122</v>
      </c>
      <c r="D2454" s="22">
        <v>7426125</v>
      </c>
    </row>
    <row r="2455" spans="1:4" x14ac:dyDescent="0.25">
      <c r="A2455">
        <v>1837</v>
      </c>
      <c r="B2455" s="16">
        <v>43497</v>
      </c>
      <c r="C2455" t="s">
        <v>122</v>
      </c>
      <c r="D2455" s="22">
        <v>7426125</v>
      </c>
    </row>
    <row r="2456" spans="1:4" x14ac:dyDescent="0.25">
      <c r="A2456">
        <v>1837</v>
      </c>
      <c r="B2456" s="16">
        <v>43525</v>
      </c>
      <c r="C2456" t="s">
        <v>122</v>
      </c>
      <c r="D2456" s="22">
        <v>7426125</v>
      </c>
    </row>
    <row r="2457" spans="1:4" x14ac:dyDescent="0.25">
      <c r="A2457">
        <v>1837</v>
      </c>
      <c r="B2457" s="16">
        <v>43556</v>
      </c>
      <c r="C2457" t="s">
        <v>122</v>
      </c>
      <c r="D2457" s="22">
        <v>7426125</v>
      </c>
    </row>
    <row r="2458" spans="1:4" x14ac:dyDescent="0.25">
      <c r="A2458">
        <v>1837</v>
      </c>
      <c r="B2458" s="16">
        <v>43586</v>
      </c>
      <c r="C2458" t="s">
        <v>122</v>
      </c>
      <c r="D2458" s="22">
        <v>7426125</v>
      </c>
    </row>
    <row r="2459" spans="1:4" x14ac:dyDescent="0.25">
      <c r="A2459">
        <v>1837</v>
      </c>
      <c r="B2459" s="16">
        <v>43617</v>
      </c>
      <c r="C2459" t="s">
        <v>122</v>
      </c>
      <c r="D2459" s="22">
        <v>7426125</v>
      </c>
    </row>
    <row r="2460" spans="1:4" x14ac:dyDescent="0.25">
      <c r="A2460">
        <v>1837</v>
      </c>
      <c r="B2460" s="16">
        <v>43466</v>
      </c>
      <c r="C2460" t="s">
        <v>164</v>
      </c>
      <c r="D2460" s="22">
        <v>964096.875</v>
      </c>
    </row>
    <row r="2461" spans="1:4" x14ac:dyDescent="0.25">
      <c r="A2461">
        <v>1837</v>
      </c>
      <c r="B2461" s="16">
        <v>43497</v>
      </c>
      <c r="C2461" t="s">
        <v>164</v>
      </c>
      <c r="D2461" s="22">
        <v>964096.875</v>
      </c>
    </row>
    <row r="2462" spans="1:4" x14ac:dyDescent="0.25">
      <c r="A2462">
        <v>1837</v>
      </c>
      <c r="B2462" s="16">
        <v>43525</v>
      </c>
      <c r="C2462" t="s">
        <v>164</v>
      </c>
      <c r="D2462" s="22">
        <v>964096.875</v>
      </c>
    </row>
    <row r="2463" spans="1:4" x14ac:dyDescent="0.25">
      <c r="A2463">
        <v>1837</v>
      </c>
      <c r="B2463" s="16">
        <v>43466</v>
      </c>
      <c r="C2463" t="s">
        <v>135</v>
      </c>
      <c r="D2463" s="22">
        <v>3764722.4999999995</v>
      </c>
    </row>
    <row r="2464" spans="1:4" x14ac:dyDescent="0.25">
      <c r="A2464">
        <v>1837</v>
      </c>
      <c r="B2464" s="16">
        <v>43497</v>
      </c>
      <c r="C2464" t="s">
        <v>135</v>
      </c>
      <c r="D2464" s="22">
        <v>3764722.4999999995</v>
      </c>
    </row>
    <row r="2465" spans="1:4" x14ac:dyDescent="0.25">
      <c r="A2465">
        <v>1837</v>
      </c>
      <c r="B2465" s="16">
        <v>43525</v>
      </c>
      <c r="C2465" t="s">
        <v>135</v>
      </c>
      <c r="D2465" s="22">
        <v>3764722.4999999995</v>
      </c>
    </row>
    <row r="2466" spans="1:4" x14ac:dyDescent="0.25">
      <c r="A2466">
        <v>1837</v>
      </c>
      <c r="B2466" s="16">
        <v>43556</v>
      </c>
      <c r="C2466" t="s">
        <v>135</v>
      </c>
      <c r="D2466" s="22">
        <v>3764722.4999999995</v>
      </c>
    </row>
    <row r="2467" spans="1:4" x14ac:dyDescent="0.25">
      <c r="A2467">
        <v>1837</v>
      </c>
      <c r="B2467" s="16">
        <v>43586</v>
      </c>
      <c r="C2467" t="s">
        <v>135</v>
      </c>
      <c r="D2467" s="22">
        <v>3764722.4999999995</v>
      </c>
    </row>
    <row r="2468" spans="1:4" x14ac:dyDescent="0.25">
      <c r="A2468">
        <v>1837</v>
      </c>
      <c r="B2468" s="16">
        <v>43617</v>
      </c>
      <c r="C2468" t="s">
        <v>135</v>
      </c>
      <c r="D2468" s="22">
        <v>3764722.4999999995</v>
      </c>
    </row>
    <row r="2469" spans="1:4" x14ac:dyDescent="0.25">
      <c r="A2469">
        <v>1845</v>
      </c>
      <c r="B2469" s="16">
        <v>43497</v>
      </c>
      <c r="C2469" t="s">
        <v>19</v>
      </c>
      <c r="D2469" s="22">
        <v>3818881.08</v>
      </c>
    </row>
    <row r="2470" spans="1:4" x14ac:dyDescent="0.25">
      <c r="A2470">
        <v>1845</v>
      </c>
      <c r="B2470" s="16">
        <v>43525</v>
      </c>
      <c r="C2470" t="s">
        <v>19</v>
      </c>
      <c r="D2470" s="22">
        <v>3818881.08</v>
      </c>
    </row>
    <row r="2471" spans="1:4" x14ac:dyDescent="0.25">
      <c r="A2471">
        <v>1845</v>
      </c>
      <c r="B2471" s="16">
        <v>43556</v>
      </c>
      <c r="C2471" t="s">
        <v>19</v>
      </c>
      <c r="D2471" s="22">
        <v>3818881.08</v>
      </c>
    </row>
    <row r="2472" spans="1:4" x14ac:dyDescent="0.25">
      <c r="A2472">
        <v>1845</v>
      </c>
      <c r="B2472" s="16">
        <v>43586</v>
      </c>
      <c r="C2472" t="s">
        <v>19</v>
      </c>
      <c r="D2472" s="22">
        <v>3818881.08</v>
      </c>
    </row>
    <row r="2473" spans="1:4" x14ac:dyDescent="0.25">
      <c r="A2473">
        <v>1845</v>
      </c>
      <c r="B2473" s="16">
        <v>43617</v>
      </c>
      <c r="C2473" t="s">
        <v>19</v>
      </c>
      <c r="D2473" s="22">
        <v>3818881.08</v>
      </c>
    </row>
    <row r="2474" spans="1:4" x14ac:dyDescent="0.25">
      <c r="A2474">
        <v>1845</v>
      </c>
      <c r="B2474" s="16">
        <v>43647</v>
      </c>
      <c r="C2474" t="s">
        <v>19</v>
      </c>
      <c r="D2474" s="22">
        <v>3818881.08</v>
      </c>
    </row>
    <row r="2475" spans="1:4" x14ac:dyDescent="0.25">
      <c r="A2475">
        <v>1845</v>
      </c>
      <c r="B2475" s="16">
        <v>43678</v>
      </c>
      <c r="C2475" t="s">
        <v>19</v>
      </c>
      <c r="D2475" s="22">
        <v>3818881.08</v>
      </c>
    </row>
    <row r="2476" spans="1:4" x14ac:dyDescent="0.25">
      <c r="A2476">
        <v>1845</v>
      </c>
      <c r="B2476" s="16">
        <v>43497</v>
      </c>
      <c r="C2476" t="s">
        <v>122</v>
      </c>
      <c r="D2476" s="22">
        <v>6750000</v>
      </c>
    </row>
    <row r="2477" spans="1:4" x14ac:dyDescent="0.25">
      <c r="A2477">
        <v>1845</v>
      </c>
      <c r="B2477" s="16">
        <v>43525</v>
      </c>
      <c r="C2477" t="s">
        <v>122</v>
      </c>
      <c r="D2477" s="22">
        <v>6750000</v>
      </c>
    </row>
    <row r="2478" spans="1:4" x14ac:dyDescent="0.25">
      <c r="A2478">
        <v>1845</v>
      </c>
      <c r="B2478" s="16">
        <v>43556</v>
      </c>
      <c r="C2478" t="s">
        <v>122</v>
      </c>
      <c r="D2478" s="22">
        <v>6750000</v>
      </c>
    </row>
    <row r="2479" spans="1:4" x14ac:dyDescent="0.25">
      <c r="A2479">
        <v>1845</v>
      </c>
      <c r="B2479" s="16">
        <v>43586</v>
      </c>
      <c r="C2479" t="s">
        <v>122</v>
      </c>
      <c r="D2479" s="22">
        <v>6750000</v>
      </c>
    </row>
    <row r="2480" spans="1:4" x14ac:dyDescent="0.25">
      <c r="A2480">
        <v>1845</v>
      </c>
      <c r="B2480" s="16">
        <v>43617</v>
      </c>
      <c r="C2480" t="s">
        <v>122</v>
      </c>
      <c r="D2480" s="22">
        <v>6750000</v>
      </c>
    </row>
    <row r="2481" spans="1:4" x14ac:dyDescent="0.25">
      <c r="A2481">
        <v>1845</v>
      </c>
      <c r="B2481" s="16">
        <v>43647</v>
      </c>
      <c r="C2481" t="s">
        <v>122</v>
      </c>
      <c r="D2481" s="22">
        <v>6750000</v>
      </c>
    </row>
    <row r="2482" spans="1:4" x14ac:dyDescent="0.25">
      <c r="A2482">
        <v>1845</v>
      </c>
      <c r="B2482" s="16">
        <v>43678</v>
      </c>
      <c r="C2482" t="s">
        <v>122</v>
      </c>
      <c r="D2482" s="22">
        <v>6750000</v>
      </c>
    </row>
    <row r="2483" spans="1:4" x14ac:dyDescent="0.25">
      <c r="A2483">
        <v>1845</v>
      </c>
      <c r="B2483" s="16">
        <v>43497</v>
      </c>
      <c r="C2483" t="s">
        <v>29</v>
      </c>
      <c r="D2483" s="22">
        <v>1961638.6500000001</v>
      </c>
    </row>
    <row r="2484" spans="1:4" x14ac:dyDescent="0.25">
      <c r="A2484">
        <v>1845</v>
      </c>
      <c r="B2484" s="16">
        <v>43525</v>
      </c>
      <c r="C2484" t="s">
        <v>29</v>
      </c>
      <c r="D2484" s="22">
        <v>1961638.6500000001</v>
      </c>
    </row>
    <row r="2485" spans="1:4" x14ac:dyDescent="0.25">
      <c r="A2485">
        <v>1845</v>
      </c>
      <c r="B2485" s="16">
        <v>43556</v>
      </c>
      <c r="C2485" t="s">
        <v>29</v>
      </c>
      <c r="D2485" s="22">
        <v>1961638.6500000001</v>
      </c>
    </row>
    <row r="2486" spans="1:4" x14ac:dyDescent="0.25">
      <c r="A2486">
        <v>1845</v>
      </c>
      <c r="B2486" s="16">
        <v>43586</v>
      </c>
      <c r="C2486" t="s">
        <v>29</v>
      </c>
      <c r="D2486" s="22">
        <v>1961638.6500000001</v>
      </c>
    </row>
    <row r="2487" spans="1:4" x14ac:dyDescent="0.25">
      <c r="A2487">
        <v>1845</v>
      </c>
      <c r="B2487" s="16">
        <v>43617</v>
      </c>
      <c r="C2487" t="s">
        <v>29</v>
      </c>
      <c r="D2487" s="22">
        <v>1961638.6500000001</v>
      </c>
    </row>
    <row r="2488" spans="1:4" x14ac:dyDescent="0.25">
      <c r="A2488">
        <v>1845</v>
      </c>
      <c r="B2488" s="16">
        <v>43647</v>
      </c>
      <c r="C2488" t="s">
        <v>29</v>
      </c>
      <c r="D2488" s="22">
        <v>1961638.6500000001</v>
      </c>
    </row>
    <row r="2489" spans="1:4" x14ac:dyDescent="0.25">
      <c r="A2489">
        <v>1845</v>
      </c>
      <c r="B2489" s="16">
        <v>43678</v>
      </c>
      <c r="C2489" t="s">
        <v>29</v>
      </c>
      <c r="D2489" s="22">
        <v>1961638.6500000001</v>
      </c>
    </row>
    <row r="2490" spans="1:4" x14ac:dyDescent="0.25">
      <c r="A2490">
        <v>1845</v>
      </c>
      <c r="B2490" s="16">
        <v>43497</v>
      </c>
      <c r="C2490" t="s">
        <v>39</v>
      </c>
      <c r="D2490" s="22">
        <v>5271741.5887850448</v>
      </c>
    </row>
    <row r="2491" spans="1:4" x14ac:dyDescent="0.25">
      <c r="A2491">
        <v>1845</v>
      </c>
      <c r="B2491" s="16">
        <v>43525</v>
      </c>
      <c r="C2491" t="s">
        <v>39</v>
      </c>
      <c r="D2491" s="22">
        <v>5271741.5887850448</v>
      </c>
    </row>
    <row r="2492" spans="1:4" x14ac:dyDescent="0.25">
      <c r="A2492">
        <v>1845</v>
      </c>
      <c r="B2492" s="16">
        <v>43556</v>
      </c>
      <c r="C2492" t="s">
        <v>39</v>
      </c>
      <c r="D2492" s="22">
        <v>5271741.5887850448</v>
      </c>
    </row>
    <row r="2493" spans="1:4" x14ac:dyDescent="0.25">
      <c r="A2493">
        <v>1845</v>
      </c>
      <c r="B2493" s="16">
        <v>43586</v>
      </c>
      <c r="C2493" t="s">
        <v>39</v>
      </c>
      <c r="D2493" s="22">
        <v>5271741.5887850448</v>
      </c>
    </row>
    <row r="2494" spans="1:4" x14ac:dyDescent="0.25">
      <c r="A2494">
        <v>1845</v>
      </c>
      <c r="B2494" s="16">
        <v>43617</v>
      </c>
      <c r="C2494" t="s">
        <v>39</v>
      </c>
      <c r="D2494" s="22">
        <v>5271741.5887850448</v>
      </c>
    </row>
    <row r="2495" spans="1:4" x14ac:dyDescent="0.25">
      <c r="A2495">
        <v>1845</v>
      </c>
      <c r="B2495" s="16">
        <v>43647</v>
      </c>
      <c r="C2495" t="s">
        <v>39</v>
      </c>
      <c r="D2495" s="22">
        <v>5271741.5887850448</v>
      </c>
    </row>
    <row r="2496" spans="1:4" x14ac:dyDescent="0.25">
      <c r="A2496">
        <v>1845</v>
      </c>
      <c r="B2496" s="16">
        <v>43678</v>
      </c>
      <c r="C2496" t="s">
        <v>39</v>
      </c>
      <c r="D2496" s="22">
        <v>5271741.5887850448</v>
      </c>
    </row>
    <row r="2497" spans="1:4" x14ac:dyDescent="0.25">
      <c r="A2497">
        <v>1845</v>
      </c>
      <c r="B2497" s="16">
        <v>43497</v>
      </c>
      <c r="C2497" t="s">
        <v>38</v>
      </c>
      <c r="D2497" s="22">
        <v>3855251.3759999997</v>
      </c>
    </row>
    <row r="2498" spans="1:4" x14ac:dyDescent="0.25">
      <c r="A2498">
        <v>1845</v>
      </c>
      <c r="B2498" s="16">
        <v>43525</v>
      </c>
      <c r="C2498" t="s">
        <v>38</v>
      </c>
      <c r="D2498" s="22">
        <v>3855251.3759999997</v>
      </c>
    </row>
    <row r="2499" spans="1:4" x14ac:dyDescent="0.25">
      <c r="A2499">
        <v>1845</v>
      </c>
      <c r="B2499" s="16">
        <v>43556</v>
      </c>
      <c r="C2499" t="s">
        <v>38</v>
      </c>
      <c r="D2499" s="22">
        <v>3855251.3759999997</v>
      </c>
    </row>
    <row r="2500" spans="1:4" x14ac:dyDescent="0.25">
      <c r="A2500">
        <v>1845</v>
      </c>
      <c r="B2500" s="16">
        <v>43586</v>
      </c>
      <c r="C2500" t="s">
        <v>38</v>
      </c>
      <c r="D2500" s="22">
        <v>3855251.3759999997</v>
      </c>
    </row>
    <row r="2501" spans="1:4" x14ac:dyDescent="0.25">
      <c r="A2501">
        <v>1845</v>
      </c>
      <c r="B2501" s="16">
        <v>43617</v>
      </c>
      <c r="C2501" t="s">
        <v>38</v>
      </c>
      <c r="D2501" s="22">
        <v>3855251.3759999997</v>
      </c>
    </row>
    <row r="2502" spans="1:4" x14ac:dyDescent="0.25">
      <c r="A2502">
        <v>1845</v>
      </c>
      <c r="B2502" s="16">
        <v>43647</v>
      </c>
      <c r="C2502" t="s">
        <v>38</v>
      </c>
      <c r="D2502" s="22">
        <v>3855251.3759999997</v>
      </c>
    </row>
    <row r="2503" spans="1:4" x14ac:dyDescent="0.25">
      <c r="A2503">
        <v>1845</v>
      </c>
      <c r="B2503" s="16">
        <v>43678</v>
      </c>
      <c r="C2503" t="s">
        <v>38</v>
      </c>
      <c r="D2503" s="22">
        <v>3855251.3759999997</v>
      </c>
    </row>
    <row r="2504" spans="1:4" x14ac:dyDescent="0.25">
      <c r="A2504">
        <v>1385</v>
      </c>
      <c r="B2504" s="16">
        <v>43466</v>
      </c>
      <c r="C2504" t="s">
        <v>301</v>
      </c>
      <c r="D2504" s="22">
        <v>12913846.050000001</v>
      </c>
    </row>
    <row r="2505" spans="1:4" x14ac:dyDescent="0.25">
      <c r="A2505">
        <v>1385</v>
      </c>
      <c r="B2505" s="16">
        <v>43497</v>
      </c>
      <c r="C2505" t="s">
        <v>301</v>
      </c>
      <c r="D2505" s="22">
        <v>12913846.050000001</v>
      </c>
    </row>
    <row r="2506" spans="1:4" x14ac:dyDescent="0.25">
      <c r="A2506">
        <v>1385</v>
      </c>
      <c r="B2506" s="16">
        <v>43525</v>
      </c>
      <c r="C2506" t="s">
        <v>301</v>
      </c>
      <c r="D2506" s="22">
        <v>12913846.050000001</v>
      </c>
    </row>
    <row r="2507" spans="1:4" x14ac:dyDescent="0.25">
      <c r="A2507">
        <v>1385</v>
      </c>
      <c r="B2507" s="16">
        <v>43556</v>
      </c>
      <c r="C2507" t="s">
        <v>301</v>
      </c>
      <c r="D2507" s="22">
        <v>12913846.050000001</v>
      </c>
    </row>
    <row r="2508" spans="1:4" x14ac:dyDescent="0.25">
      <c r="A2508">
        <v>1385</v>
      </c>
      <c r="B2508" s="16">
        <v>43586</v>
      </c>
      <c r="C2508" t="s">
        <v>301</v>
      </c>
      <c r="D2508" s="22">
        <v>12913846.050000001</v>
      </c>
    </row>
    <row r="2509" spans="1:4" x14ac:dyDescent="0.25">
      <c r="A2509">
        <v>1385</v>
      </c>
      <c r="B2509" s="16">
        <v>43466</v>
      </c>
      <c r="C2509" t="s">
        <v>26</v>
      </c>
      <c r="D2509" s="22">
        <v>7300574.4000000004</v>
      </c>
    </row>
    <row r="2510" spans="1:4" x14ac:dyDescent="0.25">
      <c r="A2510">
        <v>1385</v>
      </c>
      <c r="B2510" s="16">
        <v>43497</v>
      </c>
      <c r="C2510" t="s">
        <v>26</v>
      </c>
      <c r="D2510" s="22">
        <v>7300574.4000000004</v>
      </c>
    </row>
    <row r="2511" spans="1:4" x14ac:dyDescent="0.25">
      <c r="A2511">
        <v>1385</v>
      </c>
      <c r="B2511" s="16">
        <v>43525</v>
      </c>
      <c r="C2511" t="s">
        <v>26</v>
      </c>
      <c r="D2511" s="22">
        <v>7300574.4000000004</v>
      </c>
    </row>
    <row r="2512" spans="1:4" x14ac:dyDescent="0.25">
      <c r="A2512">
        <v>1385</v>
      </c>
      <c r="B2512" s="16">
        <v>43556</v>
      </c>
      <c r="C2512" t="s">
        <v>26</v>
      </c>
      <c r="D2512" s="22">
        <v>7300574.4000000004</v>
      </c>
    </row>
    <row r="2513" spans="1:4" x14ac:dyDescent="0.25">
      <c r="A2513">
        <v>1385</v>
      </c>
      <c r="B2513" s="16">
        <v>43586</v>
      </c>
      <c r="C2513" t="s">
        <v>26</v>
      </c>
      <c r="D2513" s="22">
        <v>7300574.4000000004</v>
      </c>
    </row>
    <row r="2514" spans="1:4" x14ac:dyDescent="0.25">
      <c r="A2514">
        <v>1385</v>
      </c>
      <c r="B2514" s="16">
        <v>43466</v>
      </c>
      <c r="C2514" t="s">
        <v>26</v>
      </c>
      <c r="D2514" s="22">
        <v>7300574.4000000004</v>
      </c>
    </row>
    <row r="2515" spans="1:4" x14ac:dyDescent="0.25">
      <c r="A2515">
        <v>1385</v>
      </c>
      <c r="B2515" s="16">
        <v>43497</v>
      </c>
      <c r="C2515" t="s">
        <v>26</v>
      </c>
      <c r="D2515" s="22">
        <v>7300574.4000000004</v>
      </c>
    </row>
    <row r="2516" spans="1:4" x14ac:dyDescent="0.25">
      <c r="A2516">
        <v>1385</v>
      </c>
      <c r="B2516" s="16">
        <v>43525</v>
      </c>
      <c r="C2516" t="s">
        <v>26</v>
      </c>
      <c r="D2516" s="22">
        <v>7300574.4000000004</v>
      </c>
    </row>
    <row r="2517" spans="1:4" x14ac:dyDescent="0.25">
      <c r="A2517">
        <v>1385</v>
      </c>
      <c r="B2517" s="16">
        <v>43556</v>
      </c>
      <c r="C2517" t="s">
        <v>26</v>
      </c>
      <c r="D2517" s="22">
        <v>7300574.4000000004</v>
      </c>
    </row>
    <row r="2518" spans="1:4" x14ac:dyDescent="0.25">
      <c r="A2518">
        <v>1385</v>
      </c>
      <c r="B2518" s="16">
        <v>43586</v>
      </c>
      <c r="C2518" t="s">
        <v>26</v>
      </c>
      <c r="D2518" s="22">
        <v>7300574.4000000004</v>
      </c>
    </row>
    <row r="2519" spans="1:4" x14ac:dyDescent="0.25">
      <c r="A2519">
        <v>1385</v>
      </c>
      <c r="B2519" s="16">
        <v>43466</v>
      </c>
      <c r="C2519" t="s">
        <v>26</v>
      </c>
      <c r="D2519" s="22">
        <v>7300574.4000000004</v>
      </c>
    </row>
    <row r="2520" spans="1:4" x14ac:dyDescent="0.25">
      <c r="A2520">
        <v>1385</v>
      </c>
      <c r="B2520" s="16">
        <v>43497</v>
      </c>
      <c r="C2520" t="s">
        <v>26</v>
      </c>
      <c r="D2520" s="22">
        <v>7300574.4000000004</v>
      </c>
    </row>
    <row r="2521" spans="1:4" x14ac:dyDescent="0.25">
      <c r="A2521">
        <v>1385</v>
      </c>
      <c r="B2521" s="16">
        <v>43525</v>
      </c>
      <c r="C2521" t="s">
        <v>26</v>
      </c>
      <c r="D2521" s="22">
        <v>7300574.4000000004</v>
      </c>
    </row>
    <row r="2522" spans="1:4" x14ac:dyDescent="0.25">
      <c r="A2522">
        <v>1385</v>
      </c>
      <c r="B2522" s="16">
        <v>43556</v>
      </c>
      <c r="C2522" t="s">
        <v>26</v>
      </c>
      <c r="D2522" s="22">
        <v>7300574.4000000004</v>
      </c>
    </row>
    <row r="2523" spans="1:4" x14ac:dyDescent="0.25">
      <c r="A2523">
        <v>1385</v>
      </c>
      <c r="B2523" s="16">
        <v>43586</v>
      </c>
      <c r="C2523" t="s">
        <v>26</v>
      </c>
      <c r="D2523" s="22">
        <v>7300574.4000000004</v>
      </c>
    </row>
    <row r="2524" spans="1:4" x14ac:dyDescent="0.25">
      <c r="A2524">
        <v>1385</v>
      </c>
      <c r="B2524" s="16">
        <v>43466</v>
      </c>
      <c r="C2524" t="s">
        <v>39</v>
      </c>
      <c r="D2524" s="22">
        <v>5214695.8500000006</v>
      </c>
    </row>
    <row r="2525" spans="1:4" x14ac:dyDescent="0.25">
      <c r="A2525">
        <v>1385</v>
      </c>
      <c r="B2525" s="16">
        <v>43497</v>
      </c>
      <c r="C2525" t="s">
        <v>39</v>
      </c>
      <c r="D2525" s="22">
        <v>5214695.8500000006</v>
      </c>
    </row>
    <row r="2526" spans="1:4" x14ac:dyDescent="0.25">
      <c r="A2526">
        <v>1385</v>
      </c>
      <c r="B2526" s="16">
        <v>43525</v>
      </c>
      <c r="C2526" t="s">
        <v>39</v>
      </c>
      <c r="D2526" s="22">
        <v>5214695.8500000006</v>
      </c>
    </row>
    <row r="2527" spans="1:4" x14ac:dyDescent="0.25">
      <c r="A2527">
        <v>1385</v>
      </c>
      <c r="B2527" s="16">
        <v>43556</v>
      </c>
      <c r="C2527" t="s">
        <v>39</v>
      </c>
      <c r="D2527" s="22">
        <v>5214695.8500000006</v>
      </c>
    </row>
    <row r="2528" spans="1:4" x14ac:dyDescent="0.25">
      <c r="A2528">
        <v>1385</v>
      </c>
      <c r="B2528" s="16">
        <v>43586</v>
      </c>
      <c r="C2528" t="s">
        <v>39</v>
      </c>
      <c r="D2528" s="22">
        <v>5214695.8500000006</v>
      </c>
    </row>
    <row r="2529" spans="1:4" x14ac:dyDescent="0.25">
      <c r="A2529">
        <v>1385</v>
      </c>
      <c r="B2529" s="16">
        <v>43466</v>
      </c>
      <c r="C2529" t="s">
        <v>57</v>
      </c>
      <c r="D2529" s="22">
        <v>5214695.8500000006</v>
      </c>
    </row>
    <row r="2530" spans="1:4" x14ac:dyDescent="0.25">
      <c r="A2530">
        <v>1385</v>
      </c>
      <c r="B2530" s="16">
        <v>43497</v>
      </c>
      <c r="C2530" t="s">
        <v>57</v>
      </c>
      <c r="D2530" s="22">
        <v>5214695.8500000006</v>
      </c>
    </row>
    <row r="2531" spans="1:4" x14ac:dyDescent="0.25">
      <c r="A2531">
        <v>1385</v>
      </c>
      <c r="B2531" s="16">
        <v>43525</v>
      </c>
      <c r="C2531" t="s">
        <v>57</v>
      </c>
      <c r="D2531" s="22">
        <v>5214695.8500000006</v>
      </c>
    </row>
    <row r="2532" spans="1:4" x14ac:dyDescent="0.25">
      <c r="A2532">
        <v>1385</v>
      </c>
      <c r="B2532" s="16">
        <v>43556</v>
      </c>
      <c r="C2532" t="s">
        <v>57</v>
      </c>
      <c r="D2532" s="22">
        <v>5214695.8500000006</v>
      </c>
    </row>
    <row r="2533" spans="1:4" x14ac:dyDescent="0.25">
      <c r="A2533">
        <v>1385</v>
      </c>
      <c r="B2533" s="16">
        <v>43586</v>
      </c>
      <c r="C2533" t="s">
        <v>57</v>
      </c>
      <c r="D2533" s="22">
        <v>5214695.8500000006</v>
      </c>
    </row>
    <row r="2534" spans="1:4" x14ac:dyDescent="0.25">
      <c r="A2534">
        <v>1385</v>
      </c>
      <c r="B2534" s="16">
        <v>43466</v>
      </c>
      <c r="C2534" t="s">
        <v>58</v>
      </c>
      <c r="D2534" s="22">
        <v>5142002.25</v>
      </c>
    </row>
    <row r="2535" spans="1:4" x14ac:dyDescent="0.25">
      <c r="A2535">
        <v>1385</v>
      </c>
      <c r="B2535" s="16">
        <v>43497</v>
      </c>
      <c r="C2535" t="s">
        <v>58</v>
      </c>
      <c r="D2535" s="22">
        <v>5142002.25</v>
      </c>
    </row>
    <row r="2536" spans="1:4" x14ac:dyDescent="0.25">
      <c r="A2536">
        <v>1385</v>
      </c>
      <c r="B2536" s="16">
        <v>43525</v>
      </c>
      <c r="C2536" t="s">
        <v>58</v>
      </c>
      <c r="D2536" s="22">
        <v>5142002.25</v>
      </c>
    </row>
    <row r="2537" spans="1:4" x14ac:dyDescent="0.25">
      <c r="A2537">
        <v>1385</v>
      </c>
      <c r="B2537" s="16">
        <v>43556</v>
      </c>
      <c r="C2537" t="s">
        <v>58</v>
      </c>
      <c r="D2537" s="22">
        <v>5142002.25</v>
      </c>
    </row>
    <row r="2538" spans="1:4" x14ac:dyDescent="0.25">
      <c r="A2538">
        <v>1385</v>
      </c>
      <c r="B2538" s="16">
        <v>43586</v>
      </c>
      <c r="C2538" t="s">
        <v>58</v>
      </c>
      <c r="D2538" s="22">
        <v>5142002.25</v>
      </c>
    </row>
    <row r="2539" spans="1:4" x14ac:dyDescent="0.25">
      <c r="A2539">
        <v>1385</v>
      </c>
      <c r="B2539" s="16">
        <v>43466</v>
      </c>
      <c r="C2539" t="s">
        <v>14</v>
      </c>
      <c r="D2539" s="22">
        <v>9867809.7000000011</v>
      </c>
    </row>
    <row r="2540" spans="1:4" x14ac:dyDescent="0.25">
      <c r="A2540">
        <v>1385</v>
      </c>
      <c r="B2540" s="16">
        <v>43497</v>
      </c>
      <c r="C2540" t="s">
        <v>14</v>
      </c>
      <c r="D2540" s="22">
        <v>9867809.7000000011</v>
      </c>
    </row>
    <row r="2541" spans="1:4" x14ac:dyDescent="0.25">
      <c r="A2541">
        <v>1385</v>
      </c>
      <c r="B2541" s="16">
        <v>43525</v>
      </c>
      <c r="C2541" t="s">
        <v>14</v>
      </c>
      <c r="D2541" s="22">
        <v>9867809.7000000011</v>
      </c>
    </row>
    <row r="2542" spans="1:4" x14ac:dyDescent="0.25">
      <c r="A2542">
        <v>1385</v>
      </c>
      <c r="B2542" s="16">
        <v>43556</v>
      </c>
      <c r="C2542" t="s">
        <v>14</v>
      </c>
      <c r="D2542" s="22">
        <v>9867809.7000000011</v>
      </c>
    </row>
    <row r="2543" spans="1:4" x14ac:dyDescent="0.25">
      <c r="A2543">
        <v>1385</v>
      </c>
      <c r="B2543" s="16">
        <v>43586</v>
      </c>
      <c r="C2543" t="s">
        <v>14</v>
      </c>
      <c r="D2543" s="22">
        <v>9867809.7000000011</v>
      </c>
    </row>
    <row r="2544" spans="1:4" x14ac:dyDescent="0.25">
      <c r="A2544">
        <v>1385</v>
      </c>
      <c r="B2544" s="16">
        <v>43466</v>
      </c>
      <c r="C2544" t="s">
        <v>117</v>
      </c>
      <c r="D2544" s="22">
        <v>3569121.1500000004</v>
      </c>
    </row>
    <row r="2545" spans="1:4" x14ac:dyDescent="0.25">
      <c r="A2545">
        <v>1385</v>
      </c>
      <c r="B2545" s="16">
        <v>43497</v>
      </c>
      <c r="C2545" t="s">
        <v>117</v>
      </c>
      <c r="D2545" s="22">
        <v>3569121.1500000004</v>
      </c>
    </row>
    <row r="2546" spans="1:4" x14ac:dyDescent="0.25">
      <c r="A2546">
        <v>1385</v>
      </c>
      <c r="B2546" s="16">
        <v>43525</v>
      </c>
      <c r="C2546" t="s">
        <v>117</v>
      </c>
      <c r="D2546" s="22">
        <v>3569121.1500000004</v>
      </c>
    </row>
    <row r="2547" spans="1:4" x14ac:dyDescent="0.25">
      <c r="A2547">
        <v>1385</v>
      </c>
      <c r="B2547" s="16">
        <v>43556</v>
      </c>
      <c r="C2547" t="s">
        <v>117</v>
      </c>
      <c r="D2547" s="22">
        <v>3569121.1500000004</v>
      </c>
    </row>
    <row r="2548" spans="1:4" x14ac:dyDescent="0.25">
      <c r="A2548">
        <v>1385</v>
      </c>
      <c r="B2548" s="16">
        <v>43586</v>
      </c>
      <c r="C2548" t="s">
        <v>117</v>
      </c>
      <c r="D2548" s="22">
        <v>3569121.1500000004</v>
      </c>
    </row>
    <row r="2549" spans="1:4" x14ac:dyDescent="0.25">
      <c r="A2549">
        <v>1385</v>
      </c>
      <c r="B2549" s="16">
        <v>43466</v>
      </c>
      <c r="C2549" t="s">
        <v>135</v>
      </c>
      <c r="D2549" s="22">
        <v>4240842.9000000004</v>
      </c>
    </row>
    <row r="2550" spans="1:4" x14ac:dyDescent="0.25">
      <c r="A2550">
        <v>1385</v>
      </c>
      <c r="B2550" s="16">
        <v>43497</v>
      </c>
      <c r="C2550" t="s">
        <v>135</v>
      </c>
      <c r="D2550" s="22">
        <v>4240842.9000000004</v>
      </c>
    </row>
    <row r="2551" spans="1:4" x14ac:dyDescent="0.25">
      <c r="A2551">
        <v>1385</v>
      </c>
      <c r="B2551" s="16">
        <v>43525</v>
      </c>
      <c r="C2551" t="s">
        <v>135</v>
      </c>
      <c r="D2551" s="22">
        <v>4240842.9000000004</v>
      </c>
    </row>
    <row r="2552" spans="1:4" x14ac:dyDescent="0.25">
      <c r="A2552">
        <v>1385</v>
      </c>
      <c r="B2552" s="16">
        <v>43556</v>
      </c>
      <c r="C2552" t="s">
        <v>135</v>
      </c>
      <c r="D2552" s="22">
        <v>4240842.9000000004</v>
      </c>
    </row>
    <row r="2553" spans="1:4" x14ac:dyDescent="0.25">
      <c r="A2553">
        <v>1385</v>
      </c>
      <c r="B2553" s="16">
        <v>43586</v>
      </c>
      <c r="C2553" t="s">
        <v>135</v>
      </c>
      <c r="D2553" s="22">
        <v>4240842.9000000004</v>
      </c>
    </row>
    <row r="2554" spans="1:4" x14ac:dyDescent="0.25">
      <c r="A2554">
        <v>1385</v>
      </c>
      <c r="B2554" s="16">
        <v>43466</v>
      </c>
      <c r="C2554" t="s">
        <v>97</v>
      </c>
      <c r="D2554" s="22">
        <v>3348034.2</v>
      </c>
    </row>
    <row r="2555" spans="1:4" x14ac:dyDescent="0.25">
      <c r="A2555">
        <v>1385</v>
      </c>
      <c r="B2555" s="16">
        <v>43497</v>
      </c>
      <c r="C2555" t="s">
        <v>97</v>
      </c>
      <c r="D2555" s="22">
        <v>3348034.2</v>
      </c>
    </row>
    <row r="2556" spans="1:4" x14ac:dyDescent="0.25">
      <c r="A2556">
        <v>1385</v>
      </c>
      <c r="B2556" s="16">
        <v>43525</v>
      </c>
      <c r="C2556" t="s">
        <v>97</v>
      </c>
      <c r="D2556" s="22">
        <v>3348034.2</v>
      </c>
    </row>
    <row r="2557" spans="1:4" x14ac:dyDescent="0.25">
      <c r="A2557">
        <v>1385</v>
      </c>
      <c r="B2557" s="16">
        <v>43556</v>
      </c>
      <c r="C2557" t="s">
        <v>97</v>
      </c>
      <c r="D2557" s="22">
        <v>3348034.2</v>
      </c>
    </row>
    <row r="2558" spans="1:4" x14ac:dyDescent="0.25">
      <c r="A2558">
        <v>1385</v>
      </c>
      <c r="B2558" s="16">
        <v>43586</v>
      </c>
      <c r="C2558" t="s">
        <v>97</v>
      </c>
      <c r="D2558" s="22">
        <v>3348034.2</v>
      </c>
    </row>
    <row r="2559" spans="1:4" x14ac:dyDescent="0.25">
      <c r="A2559">
        <v>1385</v>
      </c>
      <c r="B2559" s="16">
        <v>43466</v>
      </c>
      <c r="C2559" t="s">
        <v>303</v>
      </c>
      <c r="D2559" s="22">
        <v>3348034.2</v>
      </c>
    </row>
    <row r="2560" spans="1:4" x14ac:dyDescent="0.25">
      <c r="A2560">
        <v>1385</v>
      </c>
      <c r="B2560" s="16">
        <v>43497</v>
      </c>
      <c r="C2560" t="s">
        <v>303</v>
      </c>
      <c r="D2560" s="22">
        <v>3348034.2</v>
      </c>
    </row>
    <row r="2561" spans="1:4" x14ac:dyDescent="0.25">
      <c r="A2561">
        <v>1385</v>
      </c>
      <c r="B2561" s="16">
        <v>43525</v>
      </c>
      <c r="C2561" t="s">
        <v>303</v>
      </c>
      <c r="D2561" s="22">
        <v>3348034.2</v>
      </c>
    </row>
    <row r="2562" spans="1:4" x14ac:dyDescent="0.25">
      <c r="A2562">
        <v>1385</v>
      </c>
      <c r="B2562" s="16">
        <v>43556</v>
      </c>
      <c r="C2562" t="s">
        <v>303</v>
      </c>
      <c r="D2562" s="22">
        <v>3348034.2</v>
      </c>
    </row>
    <row r="2563" spans="1:4" x14ac:dyDescent="0.25">
      <c r="A2563">
        <v>1385</v>
      </c>
      <c r="B2563" s="16">
        <v>43586</v>
      </c>
      <c r="C2563" t="s">
        <v>303</v>
      </c>
      <c r="D2563" s="22">
        <v>3348034.2</v>
      </c>
    </row>
    <row r="2564" spans="1:4" x14ac:dyDescent="0.25">
      <c r="A2564">
        <v>1385</v>
      </c>
      <c r="B2564" s="16">
        <v>43466</v>
      </c>
      <c r="C2564" t="s">
        <v>304</v>
      </c>
      <c r="D2564" s="22">
        <v>3348034.2</v>
      </c>
    </row>
    <row r="2565" spans="1:4" x14ac:dyDescent="0.25">
      <c r="A2565">
        <v>1385</v>
      </c>
      <c r="B2565" s="16">
        <v>43497</v>
      </c>
      <c r="C2565" t="s">
        <v>304</v>
      </c>
      <c r="D2565" s="22">
        <v>3348034.2</v>
      </c>
    </row>
    <row r="2566" spans="1:4" x14ac:dyDescent="0.25">
      <c r="A2566">
        <v>1385</v>
      </c>
      <c r="B2566" s="16">
        <v>43525</v>
      </c>
      <c r="C2566" t="s">
        <v>304</v>
      </c>
      <c r="D2566" s="22">
        <v>3348034.2</v>
      </c>
    </row>
    <row r="2567" spans="1:4" x14ac:dyDescent="0.25">
      <c r="A2567">
        <v>1385</v>
      </c>
      <c r="B2567" s="16">
        <v>43556</v>
      </c>
      <c r="C2567" t="s">
        <v>304</v>
      </c>
      <c r="D2567" s="22">
        <v>3348034.2</v>
      </c>
    </row>
    <row r="2568" spans="1:4" x14ac:dyDescent="0.25">
      <c r="A2568">
        <v>1385</v>
      </c>
      <c r="B2568" s="16">
        <v>43586</v>
      </c>
      <c r="C2568" t="s">
        <v>304</v>
      </c>
      <c r="D2568" s="22">
        <v>3348034.2</v>
      </c>
    </row>
    <row r="2569" spans="1:4" x14ac:dyDescent="0.25">
      <c r="A2569">
        <v>1385</v>
      </c>
      <c r="B2569" s="16">
        <v>43466</v>
      </c>
      <c r="C2569" t="s">
        <v>36</v>
      </c>
      <c r="D2569" s="22">
        <v>3348034.2</v>
      </c>
    </row>
    <row r="2570" spans="1:4" x14ac:dyDescent="0.25">
      <c r="A2570">
        <v>1385</v>
      </c>
      <c r="B2570" s="16">
        <v>43497</v>
      </c>
      <c r="C2570" t="s">
        <v>36</v>
      </c>
      <c r="D2570" s="22">
        <v>3348034.2</v>
      </c>
    </row>
    <row r="2571" spans="1:4" x14ac:dyDescent="0.25">
      <c r="A2571">
        <v>1385</v>
      </c>
      <c r="B2571" s="16">
        <v>43525</v>
      </c>
      <c r="C2571" t="s">
        <v>36</v>
      </c>
      <c r="D2571" s="22">
        <v>3348034.2</v>
      </c>
    </row>
    <row r="2572" spans="1:4" x14ac:dyDescent="0.25">
      <c r="A2572">
        <v>1385</v>
      </c>
      <c r="B2572" s="16">
        <v>43556</v>
      </c>
      <c r="C2572" t="s">
        <v>36</v>
      </c>
      <c r="D2572" s="22">
        <v>3348034.2</v>
      </c>
    </row>
    <row r="2573" spans="1:4" x14ac:dyDescent="0.25">
      <c r="A2573">
        <v>1385</v>
      </c>
      <c r="B2573" s="16">
        <v>43586</v>
      </c>
      <c r="C2573" t="s">
        <v>36</v>
      </c>
      <c r="D2573" s="22">
        <v>3348034.2</v>
      </c>
    </row>
    <row r="2574" spans="1:4" x14ac:dyDescent="0.25">
      <c r="A2574">
        <v>1385</v>
      </c>
      <c r="B2574" s="16">
        <v>43466</v>
      </c>
      <c r="C2574" t="s">
        <v>305</v>
      </c>
      <c r="D2574" s="22">
        <v>3348034.2</v>
      </c>
    </row>
    <row r="2575" spans="1:4" x14ac:dyDescent="0.25">
      <c r="A2575">
        <v>1385</v>
      </c>
      <c r="B2575" s="16">
        <v>43497</v>
      </c>
      <c r="C2575" t="s">
        <v>305</v>
      </c>
      <c r="D2575" s="22">
        <v>3348034.2</v>
      </c>
    </row>
    <row r="2576" spans="1:4" x14ac:dyDescent="0.25">
      <c r="A2576">
        <v>1385</v>
      </c>
      <c r="B2576" s="16">
        <v>43525</v>
      </c>
      <c r="C2576" t="s">
        <v>305</v>
      </c>
      <c r="D2576" s="22">
        <v>3348034.2</v>
      </c>
    </row>
    <row r="2577" spans="1:4" x14ac:dyDescent="0.25">
      <c r="A2577">
        <v>1385</v>
      </c>
      <c r="B2577" s="16">
        <v>43556</v>
      </c>
      <c r="C2577" t="s">
        <v>305</v>
      </c>
      <c r="D2577" s="22">
        <v>3348034.2</v>
      </c>
    </row>
    <row r="2578" spans="1:4" x14ac:dyDescent="0.25">
      <c r="A2578">
        <v>1385</v>
      </c>
      <c r="B2578" s="16">
        <v>43586</v>
      </c>
      <c r="C2578" t="s">
        <v>305</v>
      </c>
      <c r="D2578" s="22">
        <v>3348034.2</v>
      </c>
    </row>
    <row r="2579" spans="1:4" x14ac:dyDescent="0.25">
      <c r="A2579">
        <v>1385</v>
      </c>
      <c r="B2579" s="16">
        <v>43466</v>
      </c>
      <c r="C2579" t="s">
        <v>306</v>
      </c>
      <c r="D2579" s="22">
        <v>3348034.2</v>
      </c>
    </row>
    <row r="2580" spans="1:4" x14ac:dyDescent="0.25">
      <c r="A2580">
        <v>1385</v>
      </c>
      <c r="B2580" s="16">
        <v>43497</v>
      </c>
      <c r="C2580" t="s">
        <v>306</v>
      </c>
      <c r="D2580" s="22">
        <v>3348034.2</v>
      </c>
    </row>
    <row r="2581" spans="1:4" x14ac:dyDescent="0.25">
      <c r="A2581">
        <v>1385</v>
      </c>
      <c r="B2581" s="16">
        <v>43525</v>
      </c>
      <c r="C2581" t="s">
        <v>306</v>
      </c>
      <c r="D2581" s="22">
        <v>3348034.2</v>
      </c>
    </row>
    <row r="2582" spans="1:4" x14ac:dyDescent="0.25">
      <c r="A2582">
        <v>1385</v>
      </c>
      <c r="B2582" s="16">
        <v>43556</v>
      </c>
      <c r="C2582" t="s">
        <v>306</v>
      </c>
      <c r="D2582" s="22">
        <v>3348034.2</v>
      </c>
    </row>
    <row r="2583" spans="1:4" x14ac:dyDescent="0.25">
      <c r="A2583">
        <v>1385</v>
      </c>
      <c r="B2583" s="16">
        <v>43586</v>
      </c>
      <c r="C2583" t="s">
        <v>306</v>
      </c>
      <c r="D2583" s="22">
        <v>3348034.2</v>
      </c>
    </row>
    <row r="2584" spans="1:4" x14ac:dyDescent="0.25">
      <c r="A2584">
        <v>1385</v>
      </c>
      <c r="B2584" s="16">
        <v>43466</v>
      </c>
      <c r="C2584" t="s">
        <v>83</v>
      </c>
      <c r="D2584" s="22">
        <v>1989931.6500000001</v>
      </c>
    </row>
    <row r="2585" spans="1:4" x14ac:dyDescent="0.25">
      <c r="A2585">
        <v>1385</v>
      </c>
      <c r="B2585" s="16">
        <v>43497</v>
      </c>
      <c r="C2585" t="s">
        <v>83</v>
      </c>
      <c r="D2585" s="22">
        <v>1989931.6500000001</v>
      </c>
    </row>
    <row r="2586" spans="1:4" x14ac:dyDescent="0.25">
      <c r="A2586">
        <v>1385</v>
      </c>
      <c r="B2586" s="16">
        <v>43525</v>
      </c>
      <c r="C2586" t="s">
        <v>83</v>
      </c>
      <c r="D2586" s="22">
        <v>1989931.6500000001</v>
      </c>
    </row>
    <row r="2587" spans="1:4" x14ac:dyDescent="0.25">
      <c r="A2587">
        <v>1385</v>
      </c>
      <c r="B2587" s="16">
        <v>43556</v>
      </c>
      <c r="C2587" t="s">
        <v>83</v>
      </c>
      <c r="D2587" s="22">
        <v>1989931.6500000001</v>
      </c>
    </row>
    <row r="2588" spans="1:4" x14ac:dyDescent="0.25">
      <c r="A2588">
        <v>1385</v>
      </c>
      <c r="B2588" s="16">
        <v>43586</v>
      </c>
      <c r="C2588" t="s">
        <v>83</v>
      </c>
      <c r="D2588" s="22">
        <v>1989931.6500000001</v>
      </c>
    </row>
    <row r="2589" spans="1:4" x14ac:dyDescent="0.25">
      <c r="A2589">
        <v>1385</v>
      </c>
      <c r="B2589" s="16">
        <v>43466</v>
      </c>
      <c r="C2589" t="s">
        <v>29</v>
      </c>
      <c r="D2589" s="22">
        <v>6819217.6500000004</v>
      </c>
    </row>
    <row r="2590" spans="1:4" x14ac:dyDescent="0.25">
      <c r="A2590">
        <v>1385</v>
      </c>
      <c r="B2590" s="16">
        <v>43497</v>
      </c>
      <c r="C2590" t="s">
        <v>29</v>
      </c>
      <c r="D2590" s="22">
        <v>6819217.6500000004</v>
      </c>
    </row>
    <row r="2591" spans="1:4" x14ac:dyDescent="0.25">
      <c r="A2591">
        <v>1385</v>
      </c>
      <c r="B2591" s="16">
        <v>43525</v>
      </c>
      <c r="C2591" t="s">
        <v>29</v>
      </c>
      <c r="D2591" s="22">
        <v>6819217.6500000004</v>
      </c>
    </row>
    <row r="2592" spans="1:4" x14ac:dyDescent="0.25">
      <c r="A2592">
        <v>1385</v>
      </c>
      <c r="B2592" s="16">
        <v>43556</v>
      </c>
      <c r="C2592" t="s">
        <v>29</v>
      </c>
      <c r="D2592" s="22">
        <v>6819217.6500000004</v>
      </c>
    </row>
    <row r="2593" spans="1:4" x14ac:dyDescent="0.25">
      <c r="A2593">
        <v>1385</v>
      </c>
      <c r="B2593" s="16">
        <v>43586</v>
      </c>
      <c r="C2593" t="s">
        <v>29</v>
      </c>
      <c r="D2593" s="22">
        <v>6819217.6500000004</v>
      </c>
    </row>
    <row r="2594" spans="1:4" x14ac:dyDescent="0.25">
      <c r="A2594">
        <v>1385</v>
      </c>
      <c r="B2594" s="16">
        <v>43466</v>
      </c>
      <c r="C2594" t="s">
        <v>26</v>
      </c>
      <c r="D2594" s="22">
        <v>9827696.5500000007</v>
      </c>
    </row>
    <row r="2595" spans="1:4" x14ac:dyDescent="0.25">
      <c r="A2595">
        <v>1385</v>
      </c>
      <c r="B2595" s="16">
        <v>43497</v>
      </c>
      <c r="C2595" t="s">
        <v>26</v>
      </c>
      <c r="D2595" s="22">
        <v>9827696.5500000007</v>
      </c>
    </row>
    <row r="2596" spans="1:4" x14ac:dyDescent="0.25">
      <c r="A2596">
        <v>1385</v>
      </c>
      <c r="B2596" s="16">
        <v>43525</v>
      </c>
      <c r="C2596" t="s">
        <v>26</v>
      </c>
      <c r="D2596" s="22">
        <v>9827696.5500000007</v>
      </c>
    </row>
    <row r="2597" spans="1:4" x14ac:dyDescent="0.25">
      <c r="A2597">
        <v>1385</v>
      </c>
      <c r="B2597" s="16">
        <v>43556</v>
      </c>
      <c r="C2597" t="s">
        <v>26</v>
      </c>
      <c r="D2597" s="22">
        <v>9827696.5500000007</v>
      </c>
    </row>
    <row r="2598" spans="1:4" x14ac:dyDescent="0.25">
      <c r="A2598">
        <v>1385</v>
      </c>
      <c r="B2598" s="16">
        <v>43586</v>
      </c>
      <c r="C2598" t="s">
        <v>26</v>
      </c>
      <c r="D2598" s="22">
        <v>9827696.5500000007</v>
      </c>
    </row>
    <row r="2599" spans="1:4" x14ac:dyDescent="0.25">
      <c r="A2599">
        <v>1385</v>
      </c>
      <c r="B2599" s="16">
        <v>43466</v>
      </c>
      <c r="C2599" t="s">
        <v>307</v>
      </c>
      <c r="D2599" s="22">
        <v>9827696.5500000007</v>
      </c>
    </row>
    <row r="2600" spans="1:4" x14ac:dyDescent="0.25">
      <c r="A2600">
        <v>1385</v>
      </c>
      <c r="B2600" s="16">
        <v>43497</v>
      </c>
      <c r="C2600" t="s">
        <v>307</v>
      </c>
      <c r="D2600" s="22">
        <v>9827696.5500000007</v>
      </c>
    </row>
    <row r="2601" spans="1:4" x14ac:dyDescent="0.25">
      <c r="A2601">
        <v>1385</v>
      </c>
      <c r="B2601" s="16">
        <v>43525</v>
      </c>
      <c r="C2601" t="s">
        <v>307</v>
      </c>
      <c r="D2601" s="22">
        <v>9827696.5500000007</v>
      </c>
    </row>
    <row r="2602" spans="1:4" x14ac:dyDescent="0.25">
      <c r="A2602">
        <v>1385</v>
      </c>
      <c r="B2602" s="16">
        <v>43556</v>
      </c>
      <c r="C2602" t="s">
        <v>307</v>
      </c>
      <c r="D2602" s="22">
        <v>9827696.5500000007</v>
      </c>
    </row>
    <row r="2603" spans="1:4" x14ac:dyDescent="0.25">
      <c r="A2603">
        <v>1385</v>
      </c>
      <c r="B2603" s="16">
        <v>43586</v>
      </c>
      <c r="C2603" t="s">
        <v>307</v>
      </c>
      <c r="D2603" s="22">
        <v>9827696.5500000007</v>
      </c>
    </row>
    <row r="2604" spans="1:4" x14ac:dyDescent="0.25">
      <c r="A2604">
        <v>1385</v>
      </c>
      <c r="B2604" s="16">
        <v>43466</v>
      </c>
      <c r="C2604" t="s">
        <v>307</v>
      </c>
      <c r="D2604" s="22">
        <v>9827696.5500000007</v>
      </c>
    </row>
    <row r="2605" spans="1:4" x14ac:dyDescent="0.25">
      <c r="A2605">
        <v>1385</v>
      </c>
      <c r="B2605" s="16">
        <v>43497</v>
      </c>
      <c r="C2605" t="s">
        <v>307</v>
      </c>
      <c r="D2605" s="22">
        <v>9827696.5500000007</v>
      </c>
    </row>
    <row r="2606" spans="1:4" x14ac:dyDescent="0.25">
      <c r="A2606">
        <v>1385</v>
      </c>
      <c r="B2606" s="16">
        <v>43525</v>
      </c>
      <c r="C2606" t="s">
        <v>307</v>
      </c>
      <c r="D2606" s="22">
        <v>9827696.5500000007</v>
      </c>
    </row>
    <row r="2607" spans="1:4" x14ac:dyDescent="0.25">
      <c r="A2607">
        <v>1385</v>
      </c>
      <c r="B2607" s="16">
        <v>43556</v>
      </c>
      <c r="C2607" t="s">
        <v>307</v>
      </c>
      <c r="D2607" s="22">
        <v>9827696.5500000007</v>
      </c>
    </row>
    <row r="2608" spans="1:4" x14ac:dyDescent="0.25">
      <c r="A2608">
        <v>1385</v>
      </c>
      <c r="B2608" s="16">
        <v>43586</v>
      </c>
      <c r="C2608" t="s">
        <v>307</v>
      </c>
      <c r="D2608" s="22">
        <v>9827696.5500000007</v>
      </c>
    </row>
    <row r="2609" spans="1:4" x14ac:dyDescent="0.25">
      <c r="A2609">
        <v>1385</v>
      </c>
      <c r="B2609" s="16">
        <v>43466</v>
      </c>
      <c r="C2609" t="s">
        <v>308</v>
      </c>
      <c r="D2609" s="22">
        <v>7822044.3000000007</v>
      </c>
    </row>
    <row r="2610" spans="1:4" x14ac:dyDescent="0.25">
      <c r="A2610">
        <v>1385</v>
      </c>
      <c r="B2610" s="16">
        <v>43497</v>
      </c>
      <c r="C2610" t="s">
        <v>308</v>
      </c>
      <c r="D2610" s="22">
        <v>7822044.3000000007</v>
      </c>
    </row>
    <row r="2611" spans="1:4" x14ac:dyDescent="0.25">
      <c r="A2611">
        <v>1385</v>
      </c>
      <c r="B2611" s="16">
        <v>43525</v>
      </c>
      <c r="C2611" t="s">
        <v>308</v>
      </c>
      <c r="D2611" s="22">
        <v>7822044.3000000007</v>
      </c>
    </row>
    <row r="2612" spans="1:4" x14ac:dyDescent="0.25">
      <c r="A2612">
        <v>1385</v>
      </c>
      <c r="B2612" s="16">
        <v>43556</v>
      </c>
      <c r="C2612" t="s">
        <v>308</v>
      </c>
      <c r="D2612" s="22">
        <v>7822044.3000000007</v>
      </c>
    </row>
    <row r="2613" spans="1:4" x14ac:dyDescent="0.25">
      <c r="A2613">
        <v>1385</v>
      </c>
      <c r="B2613" s="16">
        <v>43586</v>
      </c>
      <c r="C2613" t="s">
        <v>308</v>
      </c>
      <c r="D2613" s="22">
        <v>7822044.3000000007</v>
      </c>
    </row>
    <row r="2614" spans="1:4" x14ac:dyDescent="0.25">
      <c r="A2614">
        <v>1899</v>
      </c>
      <c r="B2614" s="16">
        <v>43525</v>
      </c>
      <c r="C2614" t="s">
        <v>19</v>
      </c>
      <c r="D2614" s="22">
        <v>3184375.68</v>
      </c>
    </row>
    <row r="2615" spans="1:4" x14ac:dyDescent="0.25">
      <c r="A2615">
        <v>1899</v>
      </c>
      <c r="B2615" s="16">
        <v>43556</v>
      </c>
      <c r="C2615" t="s">
        <v>19</v>
      </c>
      <c r="D2615" s="22">
        <v>3184375.68</v>
      </c>
    </row>
    <row r="2616" spans="1:4" x14ac:dyDescent="0.25">
      <c r="A2616">
        <v>1899</v>
      </c>
      <c r="B2616" s="16">
        <v>43586</v>
      </c>
      <c r="C2616" t="s">
        <v>19</v>
      </c>
      <c r="D2616" s="22">
        <v>3184375.68</v>
      </c>
    </row>
    <row r="2617" spans="1:4" x14ac:dyDescent="0.25">
      <c r="A2617">
        <v>1899</v>
      </c>
      <c r="B2617" s="16">
        <v>43617</v>
      </c>
      <c r="C2617" t="s">
        <v>19</v>
      </c>
      <c r="D2617" s="22">
        <v>3184375.68</v>
      </c>
    </row>
    <row r="2618" spans="1:4" x14ac:dyDescent="0.25">
      <c r="A2618">
        <v>1899</v>
      </c>
      <c r="B2618" s="16">
        <v>43647</v>
      </c>
      <c r="C2618" t="s">
        <v>19</v>
      </c>
      <c r="D2618" s="22">
        <v>3184375.68</v>
      </c>
    </row>
    <row r="2619" spans="1:4" x14ac:dyDescent="0.25">
      <c r="A2619">
        <v>1899</v>
      </c>
      <c r="B2619" s="16">
        <v>43678</v>
      </c>
      <c r="C2619" t="s">
        <v>19</v>
      </c>
      <c r="D2619" s="22">
        <v>4776563.5200000005</v>
      </c>
    </row>
    <row r="2620" spans="1:4" x14ac:dyDescent="0.25">
      <c r="A2620">
        <v>1899</v>
      </c>
      <c r="B2620" s="16">
        <v>43709</v>
      </c>
      <c r="C2620" t="s">
        <v>19</v>
      </c>
      <c r="D2620" s="22">
        <v>4776563.5200000005</v>
      </c>
    </row>
    <row r="2621" spans="1:4" x14ac:dyDescent="0.25">
      <c r="A2621">
        <v>1899</v>
      </c>
      <c r="B2621" s="16">
        <v>43739</v>
      </c>
      <c r="C2621" t="s">
        <v>19</v>
      </c>
      <c r="D2621" s="22">
        <v>4776563.5200000005</v>
      </c>
    </row>
    <row r="2622" spans="1:4" x14ac:dyDescent="0.25">
      <c r="A2622">
        <v>1899</v>
      </c>
      <c r="B2622" s="16">
        <v>43770</v>
      </c>
      <c r="C2622" t="s">
        <v>19</v>
      </c>
      <c r="D2622" s="22">
        <v>4776563.5200000005</v>
      </c>
    </row>
    <row r="2623" spans="1:4" x14ac:dyDescent="0.25">
      <c r="A2623">
        <v>1899</v>
      </c>
      <c r="B2623" s="16">
        <v>43800</v>
      </c>
      <c r="C2623" t="s">
        <v>19</v>
      </c>
      <c r="D2623" s="22">
        <v>4776563.5200000005</v>
      </c>
    </row>
    <row r="2624" spans="1:4" x14ac:dyDescent="0.25">
      <c r="A2624">
        <v>1899</v>
      </c>
      <c r="B2624" s="16">
        <v>43831</v>
      </c>
      <c r="C2624" t="s">
        <v>19</v>
      </c>
      <c r="D2624" s="22">
        <v>4776563.5200000005</v>
      </c>
    </row>
    <row r="2625" spans="1:4" x14ac:dyDescent="0.25">
      <c r="A2625">
        <v>1899</v>
      </c>
      <c r="B2625" s="16">
        <v>43862</v>
      </c>
      <c r="C2625" t="s">
        <v>19</v>
      </c>
      <c r="D2625" s="22">
        <v>4776563.5200000005</v>
      </c>
    </row>
    <row r="2626" spans="1:4" x14ac:dyDescent="0.25">
      <c r="A2626">
        <v>1899</v>
      </c>
      <c r="B2626" s="16">
        <v>43891</v>
      </c>
      <c r="C2626" t="s">
        <v>19</v>
      </c>
      <c r="D2626" s="22">
        <v>4776563.5200000005</v>
      </c>
    </row>
    <row r="2627" spans="1:4" x14ac:dyDescent="0.25">
      <c r="A2627">
        <v>1899</v>
      </c>
      <c r="B2627" s="16">
        <v>43922</v>
      </c>
      <c r="C2627" t="s">
        <v>19</v>
      </c>
      <c r="D2627" s="22">
        <v>4776563.5200000005</v>
      </c>
    </row>
    <row r="2628" spans="1:4" x14ac:dyDescent="0.25">
      <c r="A2628">
        <v>1899</v>
      </c>
      <c r="B2628" s="16">
        <v>43952</v>
      </c>
      <c r="C2628" t="s">
        <v>19</v>
      </c>
      <c r="D2628" s="22">
        <v>4776563.5200000005</v>
      </c>
    </row>
    <row r="2629" spans="1:4" x14ac:dyDescent="0.25">
      <c r="A2629">
        <v>1899</v>
      </c>
      <c r="B2629" s="16">
        <v>43983</v>
      </c>
      <c r="C2629" t="s">
        <v>19</v>
      </c>
      <c r="D2629" s="22">
        <v>4776563.5200000005</v>
      </c>
    </row>
    <row r="2630" spans="1:4" x14ac:dyDescent="0.25">
      <c r="A2630">
        <v>1899</v>
      </c>
      <c r="B2630" s="16">
        <v>44013</v>
      </c>
      <c r="C2630" t="s">
        <v>19</v>
      </c>
      <c r="D2630" s="22">
        <v>4776563.5200000005</v>
      </c>
    </row>
    <row r="2631" spans="1:4" x14ac:dyDescent="0.25">
      <c r="A2631">
        <v>1899</v>
      </c>
      <c r="B2631" s="16">
        <v>44044</v>
      </c>
      <c r="C2631" t="s">
        <v>19</v>
      </c>
      <c r="D2631" s="22">
        <v>4776563.5200000005</v>
      </c>
    </row>
    <row r="2632" spans="1:4" x14ac:dyDescent="0.25">
      <c r="A2632">
        <v>1899</v>
      </c>
      <c r="B2632" s="16">
        <v>44075</v>
      </c>
      <c r="C2632" t="s">
        <v>19</v>
      </c>
      <c r="D2632" s="22">
        <v>4776563.5200000005</v>
      </c>
    </row>
    <row r="2633" spans="1:4" x14ac:dyDescent="0.25">
      <c r="A2633">
        <v>1899</v>
      </c>
      <c r="B2633" s="16">
        <v>44105</v>
      </c>
      <c r="C2633" t="s">
        <v>19</v>
      </c>
      <c r="D2633" s="22">
        <v>4776563.5200000005</v>
      </c>
    </row>
    <row r="2634" spans="1:4" x14ac:dyDescent="0.25">
      <c r="A2634">
        <v>1899</v>
      </c>
      <c r="B2634" s="16">
        <v>44136</v>
      </c>
      <c r="C2634" t="s">
        <v>19</v>
      </c>
      <c r="D2634" s="22">
        <v>4776563.5200000005</v>
      </c>
    </row>
    <row r="2635" spans="1:4" x14ac:dyDescent="0.25">
      <c r="A2635">
        <v>1899</v>
      </c>
      <c r="B2635" s="16">
        <v>44166</v>
      </c>
      <c r="C2635" t="s">
        <v>19</v>
      </c>
      <c r="D2635" s="22">
        <v>4776563.5200000005</v>
      </c>
    </row>
    <row r="2636" spans="1:4" x14ac:dyDescent="0.25">
      <c r="A2636">
        <v>1899</v>
      </c>
      <c r="B2636" s="16">
        <v>44197</v>
      </c>
      <c r="C2636" t="s">
        <v>19</v>
      </c>
      <c r="D2636" s="22">
        <v>4776563.5200000005</v>
      </c>
    </row>
    <row r="2637" spans="1:4" x14ac:dyDescent="0.25">
      <c r="A2637">
        <v>1899</v>
      </c>
      <c r="B2637" s="16">
        <v>44228</v>
      </c>
      <c r="C2637" t="s">
        <v>19</v>
      </c>
      <c r="D2637" s="22">
        <v>4776563.5200000005</v>
      </c>
    </row>
    <row r="2638" spans="1:4" x14ac:dyDescent="0.25">
      <c r="A2638">
        <v>1899</v>
      </c>
      <c r="B2638" s="16">
        <v>44256</v>
      </c>
      <c r="C2638" t="s">
        <v>19</v>
      </c>
      <c r="D2638" s="22">
        <v>4776563.5200000005</v>
      </c>
    </row>
    <row r="2639" spans="1:4" x14ac:dyDescent="0.25">
      <c r="A2639">
        <v>1899</v>
      </c>
      <c r="B2639" s="16">
        <v>43525</v>
      </c>
      <c r="C2639" t="s">
        <v>12</v>
      </c>
      <c r="D2639" s="22">
        <v>6862500</v>
      </c>
    </row>
    <row r="2640" spans="1:4" x14ac:dyDescent="0.25">
      <c r="A2640">
        <v>1899</v>
      </c>
      <c r="B2640" s="16">
        <v>43556</v>
      </c>
      <c r="C2640" t="s">
        <v>12</v>
      </c>
      <c r="D2640" s="22">
        <v>6862500</v>
      </c>
    </row>
    <row r="2641" spans="1:4" x14ac:dyDescent="0.25">
      <c r="A2641">
        <v>1899</v>
      </c>
      <c r="B2641" s="16">
        <v>43586</v>
      </c>
      <c r="C2641" t="s">
        <v>12</v>
      </c>
      <c r="D2641" s="22">
        <v>6862500</v>
      </c>
    </row>
    <row r="2642" spans="1:4" x14ac:dyDescent="0.25">
      <c r="A2642">
        <v>1899</v>
      </c>
      <c r="B2642" s="16">
        <v>43617</v>
      </c>
      <c r="C2642" t="s">
        <v>12</v>
      </c>
      <c r="D2642" s="22">
        <v>6862500</v>
      </c>
    </row>
    <row r="2643" spans="1:4" x14ac:dyDescent="0.25">
      <c r="A2643">
        <v>1899</v>
      </c>
      <c r="B2643" s="16">
        <v>43647</v>
      </c>
      <c r="C2643" t="s">
        <v>12</v>
      </c>
      <c r="D2643" s="22">
        <v>6862500</v>
      </c>
    </row>
    <row r="2644" spans="1:4" x14ac:dyDescent="0.25">
      <c r="A2644">
        <v>1899</v>
      </c>
      <c r="B2644" s="16">
        <v>43678</v>
      </c>
      <c r="C2644" t="s">
        <v>12</v>
      </c>
      <c r="D2644" s="22">
        <v>9150000</v>
      </c>
    </row>
    <row r="2645" spans="1:4" x14ac:dyDescent="0.25">
      <c r="A2645">
        <v>1899</v>
      </c>
      <c r="B2645" s="16">
        <v>43709</v>
      </c>
      <c r="C2645" t="s">
        <v>12</v>
      </c>
      <c r="D2645" s="22">
        <v>9150000</v>
      </c>
    </row>
    <row r="2646" spans="1:4" x14ac:dyDescent="0.25">
      <c r="A2646">
        <v>1899</v>
      </c>
      <c r="B2646" s="16">
        <v>43739</v>
      </c>
      <c r="C2646" t="s">
        <v>12</v>
      </c>
      <c r="D2646" s="22">
        <v>9150000</v>
      </c>
    </row>
    <row r="2647" spans="1:4" x14ac:dyDescent="0.25">
      <c r="A2647">
        <v>1899</v>
      </c>
      <c r="B2647" s="16">
        <v>43770</v>
      </c>
      <c r="C2647" t="s">
        <v>12</v>
      </c>
      <c r="D2647" s="22">
        <v>9150000</v>
      </c>
    </row>
    <row r="2648" spans="1:4" x14ac:dyDescent="0.25">
      <c r="A2648">
        <v>1899</v>
      </c>
      <c r="B2648" s="16">
        <v>43800</v>
      </c>
      <c r="C2648" t="s">
        <v>12</v>
      </c>
      <c r="D2648" s="22">
        <v>9150000</v>
      </c>
    </row>
    <row r="2649" spans="1:4" x14ac:dyDescent="0.25">
      <c r="A2649">
        <v>1899</v>
      </c>
      <c r="B2649" s="16">
        <v>43831</v>
      </c>
      <c r="C2649" t="s">
        <v>12</v>
      </c>
      <c r="D2649" s="22">
        <v>9150000</v>
      </c>
    </row>
    <row r="2650" spans="1:4" x14ac:dyDescent="0.25">
      <c r="A2650">
        <v>1899</v>
      </c>
      <c r="B2650" s="16">
        <v>43862</v>
      </c>
      <c r="C2650" t="s">
        <v>12</v>
      </c>
      <c r="D2650" s="22">
        <v>9150000</v>
      </c>
    </row>
    <row r="2651" spans="1:4" x14ac:dyDescent="0.25">
      <c r="A2651">
        <v>1899</v>
      </c>
      <c r="B2651" s="16">
        <v>43891</v>
      </c>
      <c r="C2651" t="s">
        <v>12</v>
      </c>
      <c r="D2651" s="22">
        <v>9150000</v>
      </c>
    </row>
    <row r="2652" spans="1:4" x14ac:dyDescent="0.25">
      <c r="A2652">
        <v>1899</v>
      </c>
      <c r="B2652" s="16">
        <v>43922</v>
      </c>
      <c r="C2652" t="s">
        <v>12</v>
      </c>
      <c r="D2652" s="22">
        <v>9150000</v>
      </c>
    </row>
    <row r="2653" spans="1:4" x14ac:dyDescent="0.25">
      <c r="A2653">
        <v>1899</v>
      </c>
      <c r="B2653" s="16">
        <v>43952</v>
      </c>
      <c r="C2653" t="s">
        <v>12</v>
      </c>
      <c r="D2653" s="22">
        <v>9150000</v>
      </c>
    </row>
    <row r="2654" spans="1:4" x14ac:dyDescent="0.25">
      <c r="A2654">
        <v>1899</v>
      </c>
      <c r="B2654" s="16">
        <v>43983</v>
      </c>
      <c r="C2654" t="s">
        <v>12</v>
      </c>
      <c r="D2654" s="22">
        <v>9150000</v>
      </c>
    </row>
    <row r="2655" spans="1:4" x14ac:dyDescent="0.25">
      <c r="A2655">
        <v>1899</v>
      </c>
      <c r="B2655" s="16">
        <v>44013</v>
      </c>
      <c r="C2655" t="s">
        <v>12</v>
      </c>
      <c r="D2655" s="22">
        <v>9150000</v>
      </c>
    </row>
    <row r="2656" spans="1:4" x14ac:dyDescent="0.25">
      <c r="A2656">
        <v>1899</v>
      </c>
      <c r="B2656" s="16">
        <v>44044</v>
      </c>
      <c r="C2656" t="s">
        <v>12</v>
      </c>
      <c r="D2656" s="22">
        <v>9150000</v>
      </c>
    </row>
    <row r="2657" spans="1:4" x14ac:dyDescent="0.25">
      <c r="A2657">
        <v>1899</v>
      </c>
      <c r="B2657" s="16">
        <v>44075</v>
      </c>
      <c r="C2657" t="s">
        <v>12</v>
      </c>
      <c r="D2657" s="22">
        <v>9150000</v>
      </c>
    </row>
    <row r="2658" spans="1:4" x14ac:dyDescent="0.25">
      <c r="A2658">
        <v>1899</v>
      </c>
      <c r="B2658" s="16">
        <v>44105</v>
      </c>
      <c r="C2658" t="s">
        <v>12</v>
      </c>
      <c r="D2658" s="22">
        <v>9150000</v>
      </c>
    </row>
    <row r="2659" spans="1:4" x14ac:dyDescent="0.25">
      <c r="A2659">
        <v>1899</v>
      </c>
      <c r="B2659" s="16">
        <v>44136</v>
      </c>
      <c r="C2659" t="s">
        <v>12</v>
      </c>
      <c r="D2659" s="22">
        <v>9150000</v>
      </c>
    </row>
    <row r="2660" spans="1:4" x14ac:dyDescent="0.25">
      <c r="A2660">
        <v>1899</v>
      </c>
      <c r="B2660" s="16">
        <v>44166</v>
      </c>
      <c r="C2660" t="s">
        <v>12</v>
      </c>
      <c r="D2660" s="22">
        <v>9150000</v>
      </c>
    </row>
    <row r="2661" spans="1:4" x14ac:dyDescent="0.25">
      <c r="A2661">
        <v>1899</v>
      </c>
      <c r="B2661" s="16">
        <v>44197</v>
      </c>
      <c r="C2661" t="s">
        <v>12</v>
      </c>
      <c r="D2661" s="22">
        <v>9150000</v>
      </c>
    </row>
    <row r="2662" spans="1:4" x14ac:dyDescent="0.25">
      <c r="A2662">
        <v>1899</v>
      </c>
      <c r="B2662" s="16">
        <v>44228</v>
      </c>
      <c r="C2662" t="s">
        <v>12</v>
      </c>
      <c r="D2662" s="22">
        <v>9150000</v>
      </c>
    </row>
    <row r="2663" spans="1:4" x14ac:dyDescent="0.25">
      <c r="A2663">
        <v>1899</v>
      </c>
      <c r="B2663" s="16">
        <v>44256</v>
      </c>
      <c r="C2663" t="s">
        <v>12</v>
      </c>
      <c r="D2663" s="22">
        <v>9150000</v>
      </c>
    </row>
    <row r="2664" spans="1:4" x14ac:dyDescent="0.25">
      <c r="A2664">
        <v>1899</v>
      </c>
      <c r="B2664" s="16">
        <v>43525</v>
      </c>
      <c r="C2664" t="s">
        <v>169</v>
      </c>
      <c r="D2664" s="22">
        <v>6000000</v>
      </c>
    </row>
    <row r="2665" spans="1:4" x14ac:dyDescent="0.25">
      <c r="A2665">
        <v>1899</v>
      </c>
      <c r="B2665" s="16">
        <v>43556</v>
      </c>
      <c r="C2665" t="s">
        <v>169</v>
      </c>
      <c r="D2665" s="22">
        <v>6000000</v>
      </c>
    </row>
    <row r="2666" spans="1:4" x14ac:dyDescent="0.25">
      <c r="A2666">
        <v>1899</v>
      </c>
      <c r="B2666" s="16">
        <v>43586</v>
      </c>
      <c r="C2666" t="s">
        <v>169</v>
      </c>
      <c r="D2666" s="22">
        <v>6000000</v>
      </c>
    </row>
    <row r="2667" spans="1:4" x14ac:dyDescent="0.25">
      <c r="A2667">
        <v>1899</v>
      </c>
      <c r="B2667" s="16">
        <v>43617</v>
      </c>
      <c r="C2667" t="s">
        <v>169</v>
      </c>
      <c r="D2667" s="22">
        <v>6000000</v>
      </c>
    </row>
    <row r="2668" spans="1:4" x14ac:dyDescent="0.25">
      <c r="A2668">
        <v>1899</v>
      </c>
      <c r="B2668" s="16">
        <v>43647</v>
      </c>
      <c r="C2668" t="s">
        <v>169</v>
      </c>
      <c r="D2668" s="22">
        <v>6000000</v>
      </c>
    </row>
    <row r="2669" spans="1:4" x14ac:dyDescent="0.25">
      <c r="A2669">
        <v>1899</v>
      </c>
      <c r="B2669" s="16">
        <v>43678</v>
      </c>
      <c r="C2669" t="s">
        <v>169</v>
      </c>
      <c r="D2669" s="22">
        <v>6000000</v>
      </c>
    </row>
    <row r="2670" spans="1:4" x14ac:dyDescent="0.25">
      <c r="A2670">
        <v>1899</v>
      </c>
      <c r="B2670" s="16">
        <v>43709</v>
      </c>
      <c r="C2670" t="s">
        <v>169</v>
      </c>
      <c r="D2670" s="22">
        <v>6000000</v>
      </c>
    </row>
    <row r="2671" spans="1:4" x14ac:dyDescent="0.25">
      <c r="A2671">
        <v>1899</v>
      </c>
      <c r="B2671" s="16">
        <v>43739</v>
      </c>
      <c r="C2671" t="s">
        <v>169</v>
      </c>
      <c r="D2671" s="22">
        <v>6000000</v>
      </c>
    </row>
    <row r="2672" spans="1:4" x14ac:dyDescent="0.25">
      <c r="A2672">
        <v>1899</v>
      </c>
      <c r="B2672" s="16">
        <v>43770</v>
      </c>
      <c r="C2672" t="s">
        <v>169</v>
      </c>
      <c r="D2672" s="22">
        <v>6000000</v>
      </c>
    </row>
    <row r="2673" spans="1:4" x14ac:dyDescent="0.25">
      <c r="A2673">
        <v>1899</v>
      </c>
      <c r="B2673" s="16">
        <v>43800</v>
      </c>
      <c r="C2673" t="s">
        <v>169</v>
      </c>
      <c r="D2673" s="22">
        <v>6000000</v>
      </c>
    </row>
    <row r="2674" spans="1:4" x14ac:dyDescent="0.25">
      <c r="A2674">
        <v>1899</v>
      </c>
      <c r="B2674" s="16">
        <v>43831</v>
      </c>
      <c r="C2674" t="s">
        <v>169</v>
      </c>
      <c r="D2674" s="22">
        <v>6000000</v>
      </c>
    </row>
    <row r="2675" spans="1:4" x14ac:dyDescent="0.25">
      <c r="A2675">
        <v>1899</v>
      </c>
      <c r="B2675" s="16">
        <v>43862</v>
      </c>
      <c r="C2675" t="s">
        <v>169</v>
      </c>
      <c r="D2675" s="22">
        <v>6000000</v>
      </c>
    </row>
    <row r="2676" spans="1:4" x14ac:dyDescent="0.25">
      <c r="A2676">
        <v>1899</v>
      </c>
      <c r="B2676" s="16">
        <v>43891</v>
      </c>
      <c r="C2676" t="s">
        <v>169</v>
      </c>
      <c r="D2676" s="22">
        <v>6000000</v>
      </c>
    </row>
    <row r="2677" spans="1:4" x14ac:dyDescent="0.25">
      <c r="A2677">
        <v>1899</v>
      </c>
      <c r="B2677" s="16">
        <v>43922</v>
      </c>
      <c r="C2677" t="s">
        <v>169</v>
      </c>
      <c r="D2677" s="22">
        <v>6000000</v>
      </c>
    </row>
    <row r="2678" spans="1:4" x14ac:dyDescent="0.25">
      <c r="A2678">
        <v>1899</v>
      </c>
      <c r="B2678" s="16">
        <v>43525</v>
      </c>
      <c r="C2678" t="s">
        <v>14</v>
      </c>
      <c r="D2678" s="22">
        <v>6000000</v>
      </c>
    </row>
    <row r="2679" spans="1:4" x14ac:dyDescent="0.25">
      <c r="A2679">
        <v>1899</v>
      </c>
      <c r="B2679" s="16">
        <v>43556</v>
      </c>
      <c r="C2679" t="s">
        <v>14</v>
      </c>
      <c r="D2679" s="22">
        <v>6000000</v>
      </c>
    </row>
    <row r="2680" spans="1:4" x14ac:dyDescent="0.25">
      <c r="A2680">
        <v>1899</v>
      </c>
      <c r="B2680" s="16">
        <v>43586</v>
      </c>
      <c r="C2680" t="s">
        <v>14</v>
      </c>
      <c r="D2680" s="22">
        <v>6000000</v>
      </c>
    </row>
    <row r="2681" spans="1:4" x14ac:dyDescent="0.25">
      <c r="A2681">
        <v>1899</v>
      </c>
      <c r="B2681" s="16">
        <v>43617</v>
      </c>
      <c r="C2681" t="s">
        <v>14</v>
      </c>
      <c r="D2681" s="22">
        <v>6000000</v>
      </c>
    </row>
    <row r="2682" spans="1:4" x14ac:dyDescent="0.25">
      <c r="A2682">
        <v>1899</v>
      </c>
      <c r="B2682" s="16">
        <v>43647</v>
      </c>
      <c r="C2682" t="s">
        <v>14</v>
      </c>
      <c r="D2682" s="22">
        <v>6000000</v>
      </c>
    </row>
    <row r="2683" spans="1:4" x14ac:dyDescent="0.25">
      <c r="A2683">
        <v>1899</v>
      </c>
      <c r="B2683" s="16">
        <v>43678</v>
      </c>
      <c r="C2683" t="s">
        <v>14</v>
      </c>
      <c r="D2683" s="22">
        <v>6000000</v>
      </c>
    </row>
    <row r="2684" spans="1:4" x14ac:dyDescent="0.25">
      <c r="A2684">
        <v>1899</v>
      </c>
      <c r="B2684" s="16">
        <v>43709</v>
      </c>
      <c r="C2684" t="s">
        <v>14</v>
      </c>
      <c r="D2684" s="22">
        <v>6000000</v>
      </c>
    </row>
    <row r="2685" spans="1:4" x14ac:dyDescent="0.25">
      <c r="A2685">
        <v>1899</v>
      </c>
      <c r="B2685" s="16">
        <v>43739</v>
      </c>
      <c r="C2685" t="s">
        <v>14</v>
      </c>
      <c r="D2685" s="22">
        <v>6000000</v>
      </c>
    </row>
    <row r="2686" spans="1:4" x14ac:dyDescent="0.25">
      <c r="A2686">
        <v>1899</v>
      </c>
      <c r="B2686" s="16">
        <v>43770</v>
      </c>
      <c r="C2686" t="s">
        <v>14</v>
      </c>
      <c r="D2686" s="22">
        <v>6000000</v>
      </c>
    </row>
    <row r="2687" spans="1:4" x14ac:dyDescent="0.25">
      <c r="A2687">
        <v>1899</v>
      </c>
      <c r="B2687" s="16">
        <v>43800</v>
      </c>
      <c r="C2687" t="s">
        <v>14</v>
      </c>
      <c r="D2687" s="22">
        <v>6000000</v>
      </c>
    </row>
    <row r="2688" spans="1:4" x14ac:dyDescent="0.25">
      <c r="A2688">
        <v>1899</v>
      </c>
      <c r="B2688" s="16">
        <v>43831</v>
      </c>
      <c r="C2688" t="s">
        <v>14</v>
      </c>
      <c r="D2688" s="22">
        <v>6000000</v>
      </c>
    </row>
    <row r="2689" spans="1:4" x14ac:dyDescent="0.25">
      <c r="A2689">
        <v>1899</v>
      </c>
      <c r="B2689" s="16">
        <v>43862</v>
      </c>
      <c r="C2689" t="s">
        <v>14</v>
      </c>
      <c r="D2689" s="22">
        <v>6000000</v>
      </c>
    </row>
    <row r="2690" spans="1:4" x14ac:dyDescent="0.25">
      <c r="A2690">
        <v>1899</v>
      </c>
      <c r="B2690" s="16">
        <v>43525</v>
      </c>
      <c r="C2690" t="s">
        <v>39</v>
      </c>
      <c r="D2690" s="22">
        <v>3058762.5</v>
      </c>
    </row>
    <row r="2691" spans="1:4" x14ac:dyDescent="0.25">
      <c r="A2691">
        <v>1899</v>
      </c>
      <c r="B2691" s="16">
        <v>43556</v>
      </c>
      <c r="C2691" t="s">
        <v>39</v>
      </c>
      <c r="D2691" s="22">
        <v>3058762.5</v>
      </c>
    </row>
    <row r="2692" spans="1:4" x14ac:dyDescent="0.25">
      <c r="A2692">
        <v>1899</v>
      </c>
      <c r="B2692" s="16">
        <v>43586</v>
      </c>
      <c r="C2692" t="s">
        <v>39</v>
      </c>
      <c r="D2692" s="22">
        <v>3058762.5</v>
      </c>
    </row>
    <row r="2693" spans="1:4" x14ac:dyDescent="0.25">
      <c r="A2693">
        <v>1899</v>
      </c>
      <c r="B2693" s="16">
        <v>43525</v>
      </c>
      <c r="C2693" t="s">
        <v>39</v>
      </c>
      <c r="D2693" s="22">
        <v>4078350</v>
      </c>
    </row>
    <row r="2694" spans="1:4" x14ac:dyDescent="0.25">
      <c r="A2694">
        <v>1899</v>
      </c>
      <c r="B2694" s="16">
        <v>43556</v>
      </c>
      <c r="C2694" t="s">
        <v>39</v>
      </c>
      <c r="D2694" s="22">
        <v>4078350</v>
      </c>
    </row>
    <row r="2695" spans="1:4" x14ac:dyDescent="0.25">
      <c r="A2695">
        <v>1899</v>
      </c>
      <c r="B2695" s="16">
        <v>43586</v>
      </c>
      <c r="C2695" t="s">
        <v>39</v>
      </c>
      <c r="D2695" s="22">
        <v>4078350</v>
      </c>
    </row>
    <row r="2696" spans="1:4" x14ac:dyDescent="0.25">
      <c r="A2696">
        <v>1899</v>
      </c>
      <c r="B2696" s="16">
        <v>43617</v>
      </c>
      <c r="C2696" t="s">
        <v>39</v>
      </c>
      <c r="D2696" s="22">
        <v>4078350</v>
      </c>
    </row>
    <row r="2697" spans="1:4" x14ac:dyDescent="0.25">
      <c r="A2697">
        <v>1899</v>
      </c>
      <c r="B2697" s="16">
        <v>43647</v>
      </c>
      <c r="C2697" t="s">
        <v>39</v>
      </c>
      <c r="D2697" s="22">
        <v>4078350</v>
      </c>
    </row>
    <row r="2698" spans="1:4" x14ac:dyDescent="0.25">
      <c r="A2698">
        <v>1899</v>
      </c>
      <c r="B2698" s="16">
        <v>43678</v>
      </c>
      <c r="C2698" t="s">
        <v>39</v>
      </c>
      <c r="D2698" s="22">
        <v>4078350</v>
      </c>
    </row>
    <row r="2699" spans="1:4" x14ac:dyDescent="0.25">
      <c r="A2699">
        <v>1899</v>
      </c>
      <c r="B2699" s="16">
        <v>43709</v>
      </c>
      <c r="C2699" t="s">
        <v>39</v>
      </c>
      <c r="D2699" s="22">
        <v>4078350</v>
      </c>
    </row>
    <row r="2700" spans="1:4" x14ac:dyDescent="0.25">
      <c r="A2700">
        <v>1899</v>
      </c>
      <c r="B2700" s="16">
        <v>43739</v>
      </c>
      <c r="C2700" t="s">
        <v>39</v>
      </c>
      <c r="D2700" s="22">
        <v>4078350</v>
      </c>
    </row>
    <row r="2701" spans="1:4" x14ac:dyDescent="0.25">
      <c r="A2701">
        <v>1899</v>
      </c>
      <c r="B2701" s="16">
        <v>43770</v>
      </c>
      <c r="C2701" t="s">
        <v>39</v>
      </c>
      <c r="D2701" s="22">
        <v>4078350</v>
      </c>
    </row>
    <row r="2702" spans="1:4" x14ac:dyDescent="0.25">
      <c r="A2702">
        <v>1899</v>
      </c>
      <c r="B2702" s="16">
        <v>43800</v>
      </c>
      <c r="C2702" t="s">
        <v>39</v>
      </c>
      <c r="D2702" s="22">
        <v>4078350</v>
      </c>
    </row>
    <row r="2703" spans="1:4" x14ac:dyDescent="0.25">
      <c r="A2703">
        <v>1899</v>
      </c>
      <c r="B2703" s="16">
        <v>43831</v>
      </c>
      <c r="C2703" t="s">
        <v>39</v>
      </c>
      <c r="D2703" s="22">
        <v>4078350</v>
      </c>
    </row>
    <row r="2704" spans="1:4" x14ac:dyDescent="0.25">
      <c r="A2704">
        <v>1899</v>
      </c>
      <c r="B2704" s="16">
        <v>43862</v>
      </c>
      <c r="C2704" t="s">
        <v>39</v>
      </c>
      <c r="D2704" s="22">
        <v>4078350</v>
      </c>
    </row>
    <row r="2705" spans="1:4" x14ac:dyDescent="0.25">
      <c r="A2705">
        <v>1899</v>
      </c>
      <c r="B2705" s="16">
        <v>43891</v>
      </c>
      <c r="C2705" t="s">
        <v>39</v>
      </c>
      <c r="D2705" s="22">
        <v>4078350</v>
      </c>
    </row>
    <row r="2706" spans="1:4" x14ac:dyDescent="0.25">
      <c r="A2706">
        <v>1899</v>
      </c>
      <c r="B2706" s="16">
        <v>43922</v>
      </c>
      <c r="C2706" t="s">
        <v>39</v>
      </c>
      <c r="D2706" s="22">
        <v>4078350</v>
      </c>
    </row>
    <row r="2707" spans="1:4" x14ac:dyDescent="0.25">
      <c r="A2707">
        <v>1899</v>
      </c>
      <c r="B2707" s="16">
        <v>43952</v>
      </c>
      <c r="C2707" t="s">
        <v>39</v>
      </c>
      <c r="D2707" s="22">
        <v>4078350</v>
      </c>
    </row>
    <row r="2708" spans="1:4" x14ac:dyDescent="0.25">
      <c r="A2708">
        <v>1899</v>
      </c>
      <c r="B2708" s="16">
        <v>43983</v>
      </c>
      <c r="C2708" t="s">
        <v>39</v>
      </c>
      <c r="D2708" s="22">
        <v>4078350</v>
      </c>
    </row>
    <row r="2709" spans="1:4" x14ac:dyDescent="0.25">
      <c r="A2709">
        <v>1899</v>
      </c>
      <c r="B2709" s="16">
        <v>44013</v>
      </c>
      <c r="C2709" t="s">
        <v>39</v>
      </c>
      <c r="D2709" s="22">
        <v>4078350</v>
      </c>
    </row>
    <row r="2710" spans="1:4" x14ac:dyDescent="0.25">
      <c r="A2710">
        <v>1899</v>
      </c>
      <c r="B2710" s="16">
        <v>44044</v>
      </c>
      <c r="C2710" t="s">
        <v>39</v>
      </c>
      <c r="D2710" s="22">
        <v>4078350</v>
      </c>
    </row>
    <row r="2711" spans="1:4" x14ac:dyDescent="0.25">
      <c r="A2711">
        <v>1899</v>
      </c>
      <c r="B2711" s="16">
        <v>44075</v>
      </c>
      <c r="C2711" t="s">
        <v>39</v>
      </c>
      <c r="D2711" s="22">
        <v>4078350</v>
      </c>
    </row>
    <row r="2712" spans="1:4" x14ac:dyDescent="0.25">
      <c r="A2712">
        <v>1899</v>
      </c>
      <c r="B2712" s="16">
        <v>44105</v>
      </c>
      <c r="C2712" t="s">
        <v>39</v>
      </c>
      <c r="D2712" s="22">
        <v>4078350</v>
      </c>
    </row>
    <row r="2713" spans="1:4" x14ac:dyDescent="0.25">
      <c r="A2713">
        <v>1899</v>
      </c>
      <c r="B2713" s="16">
        <v>43525</v>
      </c>
      <c r="C2713" t="s">
        <v>29</v>
      </c>
      <c r="D2713" s="22">
        <v>3923277</v>
      </c>
    </row>
    <row r="2714" spans="1:4" x14ac:dyDescent="0.25">
      <c r="A2714">
        <v>1899</v>
      </c>
      <c r="B2714" s="16">
        <v>43556</v>
      </c>
      <c r="C2714" t="s">
        <v>29</v>
      </c>
      <c r="D2714" s="22">
        <v>3923277</v>
      </c>
    </row>
    <row r="2715" spans="1:4" x14ac:dyDescent="0.25">
      <c r="A2715">
        <v>1899</v>
      </c>
      <c r="B2715" s="16">
        <v>43586</v>
      </c>
      <c r="C2715" t="s">
        <v>29</v>
      </c>
      <c r="D2715" s="22">
        <v>3923277</v>
      </c>
    </row>
    <row r="2716" spans="1:4" x14ac:dyDescent="0.25">
      <c r="A2716">
        <v>1899</v>
      </c>
      <c r="B2716" s="16">
        <v>43617</v>
      </c>
      <c r="C2716" t="s">
        <v>29</v>
      </c>
      <c r="D2716" s="22">
        <v>3923277</v>
      </c>
    </row>
    <row r="2717" spans="1:4" x14ac:dyDescent="0.25">
      <c r="A2717">
        <v>1899</v>
      </c>
      <c r="B2717" s="16">
        <v>43647</v>
      </c>
      <c r="C2717" t="s">
        <v>29</v>
      </c>
      <c r="D2717" s="22">
        <v>3923277</v>
      </c>
    </row>
    <row r="2718" spans="1:4" x14ac:dyDescent="0.25">
      <c r="A2718">
        <v>1899</v>
      </c>
      <c r="B2718" s="16">
        <v>43678</v>
      </c>
      <c r="C2718" t="s">
        <v>29</v>
      </c>
      <c r="D2718" s="22">
        <v>3923277</v>
      </c>
    </row>
    <row r="2719" spans="1:4" x14ac:dyDescent="0.25">
      <c r="A2719">
        <v>1899</v>
      </c>
      <c r="B2719" s="16">
        <v>43709</v>
      </c>
      <c r="C2719" t="s">
        <v>29</v>
      </c>
      <c r="D2719" s="22">
        <v>3923277</v>
      </c>
    </row>
    <row r="2720" spans="1:4" x14ac:dyDescent="0.25">
      <c r="A2720">
        <v>1899</v>
      </c>
      <c r="B2720" s="16">
        <v>43525</v>
      </c>
      <c r="C2720" t="s">
        <v>35</v>
      </c>
      <c r="D2720" s="22">
        <v>3815999.9999999995</v>
      </c>
    </row>
    <row r="2721" spans="1:4" x14ac:dyDescent="0.25">
      <c r="A2721">
        <v>1899</v>
      </c>
      <c r="B2721" s="16">
        <v>43556</v>
      </c>
      <c r="C2721" t="s">
        <v>35</v>
      </c>
      <c r="D2721" s="22">
        <v>3815999.9999999995</v>
      </c>
    </row>
    <row r="2722" spans="1:4" x14ac:dyDescent="0.25">
      <c r="A2722">
        <v>1899</v>
      </c>
      <c r="B2722" s="16">
        <v>43586</v>
      </c>
      <c r="C2722" t="s">
        <v>35</v>
      </c>
      <c r="D2722" s="22">
        <v>3815999.9999999995</v>
      </c>
    </row>
    <row r="2723" spans="1:4" x14ac:dyDescent="0.25">
      <c r="A2723">
        <v>1899</v>
      </c>
      <c r="B2723" s="16">
        <v>43617</v>
      </c>
      <c r="C2723" t="s">
        <v>35</v>
      </c>
      <c r="D2723" s="22">
        <v>3815999.9999999995</v>
      </c>
    </row>
    <row r="2724" spans="1:4" x14ac:dyDescent="0.25">
      <c r="A2724">
        <v>1899</v>
      </c>
      <c r="B2724" s="16">
        <v>43647</v>
      </c>
      <c r="C2724" t="s">
        <v>35</v>
      </c>
      <c r="D2724" s="22">
        <v>3815999.9999999995</v>
      </c>
    </row>
    <row r="2725" spans="1:4" x14ac:dyDescent="0.25">
      <c r="A2725">
        <v>1899</v>
      </c>
      <c r="B2725" s="16">
        <v>43678</v>
      </c>
      <c r="C2725" t="s">
        <v>35</v>
      </c>
      <c r="D2725" s="22">
        <v>3815999.9999999995</v>
      </c>
    </row>
    <row r="2726" spans="1:4" x14ac:dyDescent="0.25">
      <c r="A2726">
        <v>1899</v>
      </c>
      <c r="B2726" s="16">
        <v>43709</v>
      </c>
      <c r="C2726" t="s">
        <v>35</v>
      </c>
      <c r="D2726" s="22">
        <v>3815999.9999999995</v>
      </c>
    </row>
    <row r="2727" spans="1:4" x14ac:dyDescent="0.25">
      <c r="A2727">
        <v>1899</v>
      </c>
      <c r="B2727" s="16">
        <v>43739</v>
      </c>
      <c r="C2727" t="s">
        <v>35</v>
      </c>
      <c r="D2727" s="22">
        <v>3815999.9999999995</v>
      </c>
    </row>
    <row r="2728" spans="1:4" x14ac:dyDescent="0.25">
      <c r="A2728">
        <v>1899</v>
      </c>
      <c r="B2728" s="16">
        <v>43770</v>
      </c>
      <c r="C2728" t="s">
        <v>35</v>
      </c>
      <c r="D2728" s="22">
        <v>3815999.9999999995</v>
      </c>
    </row>
    <row r="2729" spans="1:4" x14ac:dyDescent="0.25">
      <c r="A2729">
        <v>1899</v>
      </c>
      <c r="B2729" s="16">
        <v>43800</v>
      </c>
      <c r="C2729" t="s">
        <v>35</v>
      </c>
      <c r="D2729" s="22">
        <v>3815999.9999999995</v>
      </c>
    </row>
    <row r="2730" spans="1:4" x14ac:dyDescent="0.25">
      <c r="A2730">
        <v>1899</v>
      </c>
      <c r="B2730" s="16">
        <v>43831</v>
      </c>
      <c r="C2730" t="s">
        <v>35</v>
      </c>
      <c r="D2730" s="22">
        <v>3815999.9999999995</v>
      </c>
    </row>
    <row r="2731" spans="1:4" x14ac:dyDescent="0.25">
      <c r="A2731">
        <v>1899</v>
      </c>
      <c r="B2731" s="16">
        <v>43862</v>
      </c>
      <c r="C2731" t="s">
        <v>35</v>
      </c>
      <c r="D2731" s="22">
        <v>3815999.9999999995</v>
      </c>
    </row>
    <row r="2732" spans="1:4" x14ac:dyDescent="0.25">
      <c r="A2732">
        <v>1899</v>
      </c>
      <c r="B2732" s="16">
        <v>43891</v>
      </c>
      <c r="C2732" t="s">
        <v>35</v>
      </c>
      <c r="D2732" s="22">
        <v>3815999.9999999995</v>
      </c>
    </row>
    <row r="2733" spans="1:4" x14ac:dyDescent="0.25">
      <c r="A2733">
        <v>1899</v>
      </c>
      <c r="B2733" s="16">
        <v>43922</v>
      </c>
      <c r="C2733" t="s">
        <v>35</v>
      </c>
      <c r="D2733" s="22">
        <v>3815999.9999999995</v>
      </c>
    </row>
    <row r="2734" spans="1:4" x14ac:dyDescent="0.25">
      <c r="A2734">
        <v>1899</v>
      </c>
      <c r="B2734" s="16">
        <v>43952</v>
      </c>
      <c r="C2734" t="s">
        <v>35</v>
      </c>
      <c r="D2734" s="22">
        <v>3815999.9999999995</v>
      </c>
    </row>
    <row r="2735" spans="1:4" x14ac:dyDescent="0.25">
      <c r="A2735">
        <v>1899</v>
      </c>
      <c r="B2735" s="16">
        <v>43983</v>
      </c>
      <c r="C2735" t="s">
        <v>35</v>
      </c>
      <c r="D2735" s="22">
        <v>3815999.9999999995</v>
      </c>
    </row>
    <row r="2736" spans="1:4" x14ac:dyDescent="0.25">
      <c r="A2736">
        <v>1899</v>
      </c>
      <c r="B2736" s="16">
        <v>44013</v>
      </c>
      <c r="C2736" t="s">
        <v>35</v>
      </c>
      <c r="D2736" s="22">
        <v>3815999.9999999995</v>
      </c>
    </row>
    <row r="2737" spans="1:4" x14ac:dyDescent="0.25">
      <c r="A2737">
        <v>1899</v>
      </c>
      <c r="B2737" s="16">
        <v>44044</v>
      </c>
      <c r="C2737" t="s">
        <v>35</v>
      </c>
      <c r="D2737" s="22">
        <v>3815999.9999999995</v>
      </c>
    </row>
    <row r="2738" spans="1:4" x14ac:dyDescent="0.25">
      <c r="A2738">
        <v>1899</v>
      </c>
      <c r="B2738" s="16">
        <v>44075</v>
      </c>
      <c r="C2738" t="s">
        <v>35</v>
      </c>
      <c r="D2738" s="22">
        <v>3815999.9999999995</v>
      </c>
    </row>
    <row r="2739" spans="1:4" x14ac:dyDescent="0.25">
      <c r="A2739">
        <v>1899</v>
      </c>
      <c r="B2739" s="16">
        <v>44105</v>
      </c>
      <c r="C2739" t="s">
        <v>35</v>
      </c>
      <c r="D2739" s="22">
        <v>3815999.9999999995</v>
      </c>
    </row>
    <row r="2740" spans="1:4" x14ac:dyDescent="0.25">
      <c r="A2740">
        <v>1899</v>
      </c>
      <c r="B2740" s="16">
        <v>44136</v>
      </c>
      <c r="C2740" t="s">
        <v>35</v>
      </c>
      <c r="D2740" s="22">
        <v>3815999.9999999995</v>
      </c>
    </row>
    <row r="2741" spans="1:4" x14ac:dyDescent="0.25">
      <c r="A2741">
        <v>1899</v>
      </c>
      <c r="B2741" s="16">
        <v>44166</v>
      </c>
      <c r="C2741" t="s">
        <v>35</v>
      </c>
      <c r="D2741" s="22">
        <v>3815999.9999999995</v>
      </c>
    </row>
    <row r="2742" spans="1:4" x14ac:dyDescent="0.25">
      <c r="A2742">
        <v>1899</v>
      </c>
      <c r="B2742" s="16">
        <v>44197</v>
      </c>
      <c r="C2742" t="s">
        <v>35</v>
      </c>
      <c r="D2742" s="22">
        <v>3815999.9999999995</v>
      </c>
    </row>
    <row r="2743" spans="1:4" x14ac:dyDescent="0.25">
      <c r="A2743">
        <v>1899</v>
      </c>
      <c r="B2743" s="16">
        <v>44228</v>
      </c>
      <c r="C2743" t="s">
        <v>35</v>
      </c>
      <c r="D2743" s="22">
        <v>3815999.9999999995</v>
      </c>
    </row>
    <row r="2744" spans="1:4" x14ac:dyDescent="0.25">
      <c r="A2744">
        <v>1900</v>
      </c>
      <c r="B2744" s="16">
        <v>43556</v>
      </c>
      <c r="C2744" t="s">
        <v>26</v>
      </c>
      <c r="D2744" s="22">
        <v>5724000</v>
      </c>
    </row>
    <row r="2745" spans="1:4" x14ac:dyDescent="0.25">
      <c r="A2745">
        <v>1900</v>
      </c>
      <c r="B2745" s="16">
        <v>43556</v>
      </c>
      <c r="C2745" t="s">
        <v>39</v>
      </c>
      <c r="D2745" s="22">
        <v>5271741</v>
      </c>
    </row>
    <row r="2746" spans="1:4" x14ac:dyDescent="0.25">
      <c r="A2746">
        <v>1900</v>
      </c>
      <c r="B2746" s="16">
        <v>43556</v>
      </c>
      <c r="C2746" t="s">
        <v>16</v>
      </c>
      <c r="D2746" s="22">
        <v>1963650</v>
      </c>
    </row>
    <row r="2747" spans="1:4" x14ac:dyDescent="0.25">
      <c r="A2747">
        <v>1900</v>
      </c>
      <c r="B2747" s="16">
        <v>43556</v>
      </c>
      <c r="C2747" t="s">
        <v>19</v>
      </c>
      <c r="D2747" s="22">
        <v>3183727.68</v>
      </c>
    </row>
    <row r="2748" spans="1:4" x14ac:dyDescent="0.25">
      <c r="A2748">
        <v>1900</v>
      </c>
      <c r="B2748" s="16">
        <v>43586</v>
      </c>
      <c r="C2748" t="s">
        <v>19</v>
      </c>
      <c r="D2748" s="22">
        <v>3183727.68</v>
      </c>
    </row>
    <row r="2749" spans="1:4" x14ac:dyDescent="0.25">
      <c r="A2749">
        <v>1900</v>
      </c>
      <c r="B2749" s="16">
        <v>43617</v>
      </c>
      <c r="C2749" t="s">
        <v>19</v>
      </c>
      <c r="D2749" s="22">
        <v>3183727.68</v>
      </c>
    </row>
    <row r="2750" spans="1:4" x14ac:dyDescent="0.25">
      <c r="A2750">
        <v>1900</v>
      </c>
      <c r="B2750" s="16">
        <v>43647</v>
      </c>
      <c r="C2750" t="s">
        <v>19</v>
      </c>
      <c r="D2750" s="22">
        <v>3183727.68</v>
      </c>
    </row>
    <row r="2751" spans="1:4" x14ac:dyDescent="0.25">
      <c r="A2751">
        <v>1900</v>
      </c>
      <c r="B2751" s="16">
        <v>43678</v>
      </c>
      <c r="C2751" t="s">
        <v>19</v>
      </c>
      <c r="D2751" s="22">
        <v>3183727.68</v>
      </c>
    </row>
    <row r="2752" spans="1:4" x14ac:dyDescent="0.25">
      <c r="A2752">
        <v>1900</v>
      </c>
      <c r="B2752" s="16">
        <v>43709</v>
      </c>
      <c r="C2752" t="s">
        <v>19</v>
      </c>
      <c r="D2752" s="22">
        <v>3183727.68</v>
      </c>
    </row>
    <row r="2753" spans="1:4" x14ac:dyDescent="0.25">
      <c r="A2753">
        <v>1900</v>
      </c>
      <c r="B2753" s="16">
        <v>43739</v>
      </c>
      <c r="C2753" t="s">
        <v>19</v>
      </c>
      <c r="D2753" s="22">
        <v>3183727.68</v>
      </c>
    </row>
    <row r="2754" spans="1:4" x14ac:dyDescent="0.25">
      <c r="A2754">
        <v>1900</v>
      </c>
      <c r="B2754" s="16">
        <v>43770</v>
      </c>
      <c r="C2754" t="s">
        <v>19</v>
      </c>
      <c r="D2754" s="22">
        <v>3183727.68</v>
      </c>
    </row>
    <row r="2755" spans="1:4" x14ac:dyDescent="0.25">
      <c r="A2755">
        <v>1900</v>
      </c>
      <c r="B2755" s="16">
        <v>43800</v>
      </c>
      <c r="C2755" t="s">
        <v>19</v>
      </c>
      <c r="D2755" s="22">
        <v>3183727.68</v>
      </c>
    </row>
    <row r="2756" spans="1:4" x14ac:dyDescent="0.25">
      <c r="A2756">
        <v>1900</v>
      </c>
      <c r="B2756" s="16">
        <v>43831</v>
      </c>
      <c r="C2756" t="s">
        <v>19</v>
      </c>
      <c r="D2756" s="22">
        <v>3183727.68</v>
      </c>
    </row>
    <row r="2757" spans="1:4" x14ac:dyDescent="0.25">
      <c r="A2757">
        <v>1900</v>
      </c>
      <c r="B2757" s="16">
        <v>43556</v>
      </c>
      <c r="C2757" t="s">
        <v>122</v>
      </c>
      <c r="D2757" s="22">
        <v>6750000</v>
      </c>
    </row>
    <row r="2758" spans="1:4" x14ac:dyDescent="0.25">
      <c r="A2758">
        <v>1900</v>
      </c>
      <c r="B2758" s="16">
        <v>43586</v>
      </c>
      <c r="C2758" t="s">
        <v>122</v>
      </c>
      <c r="D2758" s="22">
        <v>6750000</v>
      </c>
    </row>
    <row r="2759" spans="1:4" x14ac:dyDescent="0.25">
      <c r="A2759">
        <v>1900</v>
      </c>
      <c r="B2759" s="16">
        <v>43617</v>
      </c>
      <c r="C2759" t="s">
        <v>122</v>
      </c>
      <c r="D2759" s="22">
        <v>6750000</v>
      </c>
    </row>
    <row r="2760" spans="1:4" x14ac:dyDescent="0.25">
      <c r="A2760">
        <v>1900</v>
      </c>
      <c r="B2760" s="16">
        <v>43647</v>
      </c>
      <c r="C2760" t="s">
        <v>122</v>
      </c>
      <c r="D2760" s="22">
        <v>6750000</v>
      </c>
    </row>
    <row r="2761" spans="1:4" x14ac:dyDescent="0.25">
      <c r="A2761">
        <v>1900</v>
      </c>
      <c r="B2761" s="16">
        <v>43678</v>
      </c>
      <c r="C2761" t="s">
        <v>122</v>
      </c>
      <c r="D2761" s="22">
        <v>6750000</v>
      </c>
    </row>
    <row r="2762" spans="1:4" x14ac:dyDescent="0.25">
      <c r="A2762">
        <v>1900</v>
      </c>
      <c r="B2762" s="16">
        <v>43709</v>
      </c>
      <c r="C2762" t="s">
        <v>122</v>
      </c>
      <c r="D2762" s="22">
        <v>6750000</v>
      </c>
    </row>
    <row r="2763" spans="1:4" x14ac:dyDescent="0.25">
      <c r="A2763">
        <v>1900</v>
      </c>
      <c r="B2763" s="16">
        <v>43739</v>
      </c>
      <c r="C2763" t="s">
        <v>122</v>
      </c>
      <c r="D2763" s="22">
        <v>6750000</v>
      </c>
    </row>
    <row r="2764" spans="1:4" x14ac:dyDescent="0.25">
      <c r="A2764">
        <v>1900</v>
      </c>
      <c r="B2764" s="16">
        <v>43770</v>
      </c>
      <c r="C2764" t="s">
        <v>122</v>
      </c>
      <c r="D2764" s="22">
        <v>6750000</v>
      </c>
    </row>
    <row r="2765" spans="1:4" x14ac:dyDescent="0.25">
      <c r="A2765">
        <v>1900</v>
      </c>
      <c r="B2765" s="16">
        <v>43800</v>
      </c>
      <c r="C2765" t="s">
        <v>122</v>
      </c>
      <c r="D2765" s="22">
        <v>6750000</v>
      </c>
    </row>
    <row r="2766" spans="1:4" x14ac:dyDescent="0.25">
      <c r="A2766">
        <v>1900</v>
      </c>
      <c r="B2766" s="16">
        <v>43831</v>
      </c>
      <c r="C2766" t="s">
        <v>122</v>
      </c>
      <c r="D2766" s="22">
        <v>6750000</v>
      </c>
    </row>
    <row r="2767" spans="1:4" x14ac:dyDescent="0.25">
      <c r="A2767">
        <v>1900</v>
      </c>
      <c r="B2767" s="16">
        <v>43556</v>
      </c>
      <c r="C2767" t="s">
        <v>29</v>
      </c>
      <c r="D2767" s="22">
        <v>1961638.5</v>
      </c>
    </row>
    <row r="2768" spans="1:4" x14ac:dyDescent="0.25">
      <c r="A2768">
        <v>1900</v>
      </c>
      <c r="B2768" s="16">
        <v>43586</v>
      </c>
      <c r="C2768" t="s">
        <v>29</v>
      </c>
      <c r="D2768" s="22">
        <v>1961638.5</v>
      </c>
    </row>
    <row r="2769" spans="1:4" x14ac:dyDescent="0.25">
      <c r="A2769">
        <v>1900</v>
      </c>
      <c r="B2769" s="16">
        <v>43617</v>
      </c>
      <c r="C2769" t="s">
        <v>29</v>
      </c>
      <c r="D2769" s="22">
        <v>1961638.5</v>
      </c>
    </row>
    <row r="2770" spans="1:4" x14ac:dyDescent="0.25">
      <c r="A2770">
        <v>1900</v>
      </c>
      <c r="B2770" s="16">
        <v>43647</v>
      </c>
      <c r="C2770" t="s">
        <v>29</v>
      </c>
      <c r="D2770" s="22">
        <v>1961638.5</v>
      </c>
    </row>
    <row r="2771" spans="1:4" x14ac:dyDescent="0.25">
      <c r="A2771">
        <v>1900</v>
      </c>
      <c r="B2771" s="16">
        <v>43678</v>
      </c>
      <c r="C2771" t="s">
        <v>29</v>
      </c>
      <c r="D2771" s="22">
        <v>1961638.5</v>
      </c>
    </row>
    <row r="2772" spans="1:4" x14ac:dyDescent="0.25">
      <c r="A2772">
        <v>1900</v>
      </c>
      <c r="B2772" s="16">
        <v>43709</v>
      </c>
      <c r="C2772" t="s">
        <v>29</v>
      </c>
      <c r="D2772" s="22">
        <v>1961638.5</v>
      </c>
    </row>
    <row r="2773" spans="1:4" x14ac:dyDescent="0.25">
      <c r="A2773">
        <v>1900</v>
      </c>
      <c r="B2773" s="16">
        <v>43739</v>
      </c>
      <c r="C2773" t="s">
        <v>29</v>
      </c>
      <c r="D2773" s="22">
        <v>1961638.5</v>
      </c>
    </row>
    <row r="2774" spans="1:4" x14ac:dyDescent="0.25">
      <c r="A2774">
        <v>1900</v>
      </c>
      <c r="B2774" s="16">
        <v>43556</v>
      </c>
      <c r="C2774" t="s">
        <v>39</v>
      </c>
      <c r="D2774" s="22">
        <v>4078350</v>
      </c>
    </row>
    <row r="2775" spans="1:4" x14ac:dyDescent="0.25">
      <c r="A2775">
        <v>1900</v>
      </c>
      <c r="B2775" s="16">
        <v>43586</v>
      </c>
      <c r="C2775" t="s">
        <v>39</v>
      </c>
      <c r="D2775" s="22">
        <v>4078350</v>
      </c>
    </row>
    <row r="2776" spans="1:4" x14ac:dyDescent="0.25">
      <c r="A2776">
        <v>1900</v>
      </c>
      <c r="B2776" s="16">
        <v>43617</v>
      </c>
      <c r="C2776" t="s">
        <v>39</v>
      </c>
      <c r="D2776" s="22">
        <v>4078350</v>
      </c>
    </row>
    <row r="2777" spans="1:4" x14ac:dyDescent="0.25">
      <c r="A2777">
        <v>1900</v>
      </c>
      <c r="B2777" s="16">
        <v>43647</v>
      </c>
      <c r="C2777" t="s">
        <v>39</v>
      </c>
      <c r="D2777" s="22">
        <v>4078350</v>
      </c>
    </row>
    <row r="2778" spans="1:4" x14ac:dyDescent="0.25">
      <c r="A2778">
        <v>1900</v>
      </c>
      <c r="B2778" s="16">
        <v>43678</v>
      </c>
      <c r="C2778" t="s">
        <v>39</v>
      </c>
      <c r="D2778" s="22">
        <v>4078350</v>
      </c>
    </row>
    <row r="2779" spans="1:4" x14ac:dyDescent="0.25">
      <c r="A2779">
        <v>1900</v>
      </c>
      <c r="B2779" s="16">
        <v>43709</v>
      </c>
      <c r="C2779" t="s">
        <v>39</v>
      </c>
      <c r="D2779" s="22">
        <v>4078350</v>
      </c>
    </row>
    <row r="2780" spans="1:4" x14ac:dyDescent="0.25">
      <c r="A2780">
        <v>1900</v>
      </c>
      <c r="B2780" s="16">
        <v>43739</v>
      </c>
      <c r="C2780" t="s">
        <v>39</v>
      </c>
      <c r="D2780" s="22">
        <v>4078350</v>
      </c>
    </row>
    <row r="2781" spans="1:4" x14ac:dyDescent="0.25">
      <c r="A2781">
        <v>1900</v>
      </c>
      <c r="B2781" s="16">
        <v>43770</v>
      </c>
      <c r="C2781" t="s">
        <v>39</v>
      </c>
      <c r="D2781" s="22">
        <v>4078350</v>
      </c>
    </row>
    <row r="2782" spans="1:4" x14ac:dyDescent="0.25">
      <c r="A2782">
        <v>1900</v>
      </c>
      <c r="B2782" s="16">
        <v>43800</v>
      </c>
      <c r="C2782" t="s">
        <v>39</v>
      </c>
      <c r="D2782" s="22">
        <v>4078350</v>
      </c>
    </row>
    <row r="2783" spans="1:4" x14ac:dyDescent="0.25">
      <c r="A2783">
        <v>1900</v>
      </c>
      <c r="B2783" s="16">
        <v>43831</v>
      </c>
      <c r="C2783" t="s">
        <v>39</v>
      </c>
      <c r="D2783" s="22">
        <v>4078350</v>
      </c>
    </row>
    <row r="2784" spans="1:4" x14ac:dyDescent="0.25">
      <c r="A2784">
        <v>1900</v>
      </c>
      <c r="B2784" s="16">
        <v>43556</v>
      </c>
      <c r="C2784" t="s">
        <v>38</v>
      </c>
      <c r="D2784" s="22">
        <v>4626300.8879999993</v>
      </c>
    </row>
    <row r="2785" spans="1:4" x14ac:dyDescent="0.25">
      <c r="A2785">
        <v>1900</v>
      </c>
      <c r="B2785" s="16">
        <v>43586</v>
      </c>
      <c r="C2785" t="s">
        <v>38</v>
      </c>
      <c r="D2785" s="22">
        <v>4626300.8879999993</v>
      </c>
    </row>
    <row r="2786" spans="1:4" x14ac:dyDescent="0.25">
      <c r="A2786">
        <v>1900</v>
      </c>
      <c r="B2786" s="16">
        <v>43617</v>
      </c>
      <c r="C2786" t="s">
        <v>38</v>
      </c>
      <c r="D2786" s="22">
        <v>4626300.8879999993</v>
      </c>
    </row>
    <row r="2787" spans="1:4" x14ac:dyDescent="0.25">
      <c r="A2787">
        <v>1900</v>
      </c>
      <c r="B2787" s="16">
        <v>43647</v>
      </c>
      <c r="C2787" t="s">
        <v>38</v>
      </c>
      <c r="D2787" s="22">
        <v>4626300.8879999993</v>
      </c>
    </row>
    <row r="2788" spans="1:4" x14ac:dyDescent="0.25">
      <c r="A2788">
        <v>1900</v>
      </c>
      <c r="B2788" s="16">
        <v>43678</v>
      </c>
      <c r="C2788" t="s">
        <v>38</v>
      </c>
      <c r="D2788" s="22">
        <v>4626300.8879999993</v>
      </c>
    </row>
    <row r="2789" spans="1:4" x14ac:dyDescent="0.25">
      <c r="A2789">
        <v>1900</v>
      </c>
      <c r="B2789" s="16">
        <v>43709</v>
      </c>
      <c r="C2789" t="s">
        <v>38</v>
      </c>
      <c r="D2789" s="22">
        <v>4626300.8879999993</v>
      </c>
    </row>
    <row r="2790" spans="1:4" x14ac:dyDescent="0.25">
      <c r="A2790">
        <v>1900</v>
      </c>
      <c r="B2790" s="16">
        <v>43739</v>
      </c>
      <c r="C2790" t="s">
        <v>38</v>
      </c>
      <c r="D2790" s="22">
        <v>4626300.8879999993</v>
      </c>
    </row>
    <row r="2791" spans="1:4" x14ac:dyDescent="0.25">
      <c r="A2791">
        <v>1900</v>
      </c>
      <c r="B2791" s="16">
        <v>43770</v>
      </c>
      <c r="C2791" t="s">
        <v>38</v>
      </c>
      <c r="D2791" s="22">
        <v>4626300.8879999993</v>
      </c>
    </row>
    <row r="2792" spans="1:4" x14ac:dyDescent="0.25">
      <c r="A2792">
        <v>1900</v>
      </c>
      <c r="B2792" s="16">
        <v>43800</v>
      </c>
      <c r="C2792" t="s">
        <v>38</v>
      </c>
      <c r="D2792" s="22">
        <v>4626300.8879999993</v>
      </c>
    </row>
    <row r="2793" spans="1:4" x14ac:dyDescent="0.25">
      <c r="A2793">
        <v>1900</v>
      </c>
      <c r="B2793" s="16">
        <v>43556</v>
      </c>
      <c r="C2793" t="s">
        <v>26</v>
      </c>
      <c r="D2793" s="22">
        <v>7512750</v>
      </c>
    </row>
    <row r="2794" spans="1:4" x14ac:dyDescent="0.25">
      <c r="A2794">
        <v>1900</v>
      </c>
      <c r="B2794" s="16">
        <v>43586</v>
      </c>
      <c r="C2794" t="s">
        <v>26</v>
      </c>
      <c r="D2794" s="22">
        <v>7512750</v>
      </c>
    </row>
    <row r="2795" spans="1:4" x14ac:dyDescent="0.25">
      <c r="A2795">
        <v>1900</v>
      </c>
      <c r="B2795" s="16">
        <v>43617</v>
      </c>
      <c r="C2795" t="s">
        <v>26</v>
      </c>
      <c r="D2795" s="22">
        <v>7512750</v>
      </c>
    </row>
    <row r="2796" spans="1:4" x14ac:dyDescent="0.25">
      <c r="A2796">
        <v>1900</v>
      </c>
      <c r="B2796" s="16">
        <v>43647</v>
      </c>
      <c r="C2796" t="s">
        <v>26</v>
      </c>
      <c r="D2796" s="22">
        <v>7512750</v>
      </c>
    </row>
    <row r="2797" spans="1:4" x14ac:dyDescent="0.25">
      <c r="A2797">
        <v>1900</v>
      </c>
      <c r="B2797" s="16">
        <v>43556</v>
      </c>
      <c r="C2797" t="s">
        <v>38</v>
      </c>
      <c r="D2797" s="22">
        <v>5204588.4989999998</v>
      </c>
    </row>
    <row r="2798" spans="1:4" x14ac:dyDescent="0.25">
      <c r="A2798">
        <v>1900</v>
      </c>
      <c r="B2798" s="16">
        <v>43586</v>
      </c>
      <c r="C2798" t="s">
        <v>38</v>
      </c>
      <c r="D2798" s="22">
        <v>5204588.4989999998</v>
      </c>
    </row>
    <row r="2799" spans="1:4" x14ac:dyDescent="0.25">
      <c r="A2799">
        <v>1900</v>
      </c>
      <c r="B2799" s="16">
        <v>43617</v>
      </c>
      <c r="C2799" t="s">
        <v>38</v>
      </c>
      <c r="D2799" s="22">
        <v>5204588.4989999998</v>
      </c>
    </row>
    <row r="2800" spans="1:4" x14ac:dyDescent="0.25">
      <c r="A2800">
        <v>1790</v>
      </c>
      <c r="B2800" s="16">
        <v>43556</v>
      </c>
      <c r="C2800" t="s">
        <v>19</v>
      </c>
      <c r="D2800" s="22">
        <v>2323944</v>
      </c>
    </row>
    <row r="2801" spans="1:4" x14ac:dyDescent="0.25">
      <c r="A2801">
        <v>1790</v>
      </c>
      <c r="B2801" s="16">
        <v>43586</v>
      </c>
      <c r="C2801" t="s">
        <v>19</v>
      </c>
      <c r="D2801" s="22">
        <v>2323944</v>
      </c>
    </row>
    <row r="2802" spans="1:4" x14ac:dyDescent="0.25">
      <c r="A2802">
        <v>1790</v>
      </c>
      <c r="B2802" s="16">
        <v>43617</v>
      </c>
      <c r="C2802" t="s">
        <v>19</v>
      </c>
      <c r="D2802" s="22">
        <v>2323944</v>
      </c>
    </row>
    <row r="2803" spans="1:4" x14ac:dyDescent="0.25">
      <c r="A2803">
        <v>1790</v>
      </c>
      <c r="B2803" s="16">
        <v>43647</v>
      </c>
      <c r="C2803" t="s">
        <v>19</v>
      </c>
      <c r="D2803" s="22">
        <v>2323944</v>
      </c>
    </row>
    <row r="2804" spans="1:4" x14ac:dyDescent="0.25">
      <c r="A2804">
        <v>1790</v>
      </c>
      <c r="B2804" s="16">
        <v>43678</v>
      </c>
      <c r="C2804" t="s">
        <v>19</v>
      </c>
      <c r="D2804" s="22">
        <v>2323944</v>
      </c>
    </row>
    <row r="2805" spans="1:4" x14ac:dyDescent="0.25">
      <c r="A2805">
        <v>1790</v>
      </c>
      <c r="B2805" s="16">
        <v>43709</v>
      </c>
      <c r="C2805" t="s">
        <v>19</v>
      </c>
      <c r="D2805" s="22">
        <v>2323944</v>
      </c>
    </row>
    <row r="2806" spans="1:4" x14ac:dyDescent="0.25">
      <c r="A2806">
        <v>1790</v>
      </c>
      <c r="B2806" s="16">
        <v>43739</v>
      </c>
      <c r="C2806" t="s">
        <v>19</v>
      </c>
      <c r="D2806" s="22">
        <v>2323944</v>
      </c>
    </row>
    <row r="2807" spans="1:4" x14ac:dyDescent="0.25">
      <c r="A2807">
        <v>1790</v>
      </c>
      <c r="B2807" s="16">
        <v>43770</v>
      </c>
      <c r="C2807" t="s">
        <v>19</v>
      </c>
      <c r="D2807" s="22">
        <v>2323944</v>
      </c>
    </row>
    <row r="2808" spans="1:4" x14ac:dyDescent="0.25">
      <c r="A2808">
        <v>1790</v>
      </c>
      <c r="B2808" s="16">
        <v>43800</v>
      </c>
      <c r="C2808" t="s">
        <v>19</v>
      </c>
      <c r="D2808" s="22">
        <v>2323944</v>
      </c>
    </row>
    <row r="2809" spans="1:4" x14ac:dyDescent="0.25">
      <c r="A2809">
        <v>1790</v>
      </c>
      <c r="B2809" s="16">
        <v>43831</v>
      </c>
      <c r="C2809" t="s">
        <v>19</v>
      </c>
      <c r="D2809" s="22">
        <v>2323944</v>
      </c>
    </row>
    <row r="2810" spans="1:4" x14ac:dyDescent="0.25">
      <c r="A2810">
        <v>1790</v>
      </c>
      <c r="B2810" s="16">
        <v>43862</v>
      </c>
      <c r="C2810" t="s">
        <v>19</v>
      </c>
      <c r="D2810" s="22">
        <v>2323944</v>
      </c>
    </row>
    <row r="2811" spans="1:4" x14ac:dyDescent="0.25">
      <c r="A2811">
        <v>1790</v>
      </c>
      <c r="B2811" s="16">
        <v>43891</v>
      </c>
      <c r="C2811" t="s">
        <v>19</v>
      </c>
      <c r="D2811" s="22">
        <v>2323944</v>
      </c>
    </row>
    <row r="2812" spans="1:4" x14ac:dyDescent="0.25">
      <c r="A2812">
        <v>1790</v>
      </c>
      <c r="B2812" s="16">
        <v>43922</v>
      </c>
      <c r="C2812" t="s">
        <v>19</v>
      </c>
      <c r="D2812" s="22">
        <v>2323944</v>
      </c>
    </row>
    <row r="2813" spans="1:4" x14ac:dyDescent="0.25">
      <c r="A2813">
        <v>1790</v>
      </c>
      <c r="B2813" s="16">
        <v>43556</v>
      </c>
      <c r="C2813" t="s">
        <v>19</v>
      </c>
      <c r="D2813" s="22">
        <v>726232.5</v>
      </c>
    </row>
    <row r="2814" spans="1:4" x14ac:dyDescent="0.25">
      <c r="A2814">
        <v>1790</v>
      </c>
      <c r="B2814" s="16">
        <v>43586</v>
      </c>
      <c r="C2814" t="s">
        <v>19</v>
      </c>
      <c r="D2814" s="22">
        <v>726232.5</v>
      </c>
    </row>
    <row r="2815" spans="1:4" x14ac:dyDescent="0.25">
      <c r="A2815">
        <v>1790</v>
      </c>
      <c r="B2815" s="16">
        <v>43617</v>
      </c>
      <c r="C2815" t="s">
        <v>19</v>
      </c>
      <c r="D2815" s="22">
        <v>726232.5</v>
      </c>
    </row>
    <row r="2816" spans="1:4" x14ac:dyDescent="0.25">
      <c r="A2816">
        <v>1790</v>
      </c>
      <c r="B2816" s="16">
        <v>43647</v>
      </c>
      <c r="C2816" t="s">
        <v>19</v>
      </c>
      <c r="D2816" s="22">
        <v>726232.5</v>
      </c>
    </row>
    <row r="2817" spans="1:4" x14ac:dyDescent="0.25">
      <c r="A2817">
        <v>1790</v>
      </c>
      <c r="B2817" s="16">
        <v>43556</v>
      </c>
      <c r="C2817" t="s">
        <v>173</v>
      </c>
      <c r="D2817" s="22">
        <v>9883440</v>
      </c>
    </row>
    <row r="2818" spans="1:4" x14ac:dyDescent="0.25">
      <c r="A2818">
        <v>1790</v>
      </c>
      <c r="B2818" s="16">
        <v>43586</v>
      </c>
      <c r="C2818" t="s">
        <v>173</v>
      </c>
      <c r="D2818" s="22">
        <v>9883440</v>
      </c>
    </row>
    <row r="2819" spans="1:4" x14ac:dyDescent="0.25">
      <c r="A2819">
        <v>1790</v>
      </c>
      <c r="B2819" s="16">
        <v>43617</v>
      </c>
      <c r="C2819" t="s">
        <v>173</v>
      </c>
      <c r="D2819" s="22">
        <v>9883440</v>
      </c>
    </row>
    <row r="2820" spans="1:4" x14ac:dyDescent="0.25">
      <c r="A2820">
        <v>1790</v>
      </c>
      <c r="B2820" s="16">
        <v>43647</v>
      </c>
      <c r="C2820" t="s">
        <v>173</v>
      </c>
      <c r="D2820" s="22">
        <v>9883440</v>
      </c>
    </row>
    <row r="2821" spans="1:4" x14ac:dyDescent="0.25">
      <c r="A2821">
        <v>1790</v>
      </c>
      <c r="B2821" s="16">
        <v>43678</v>
      </c>
      <c r="C2821" t="s">
        <v>173</v>
      </c>
      <c r="D2821" s="22">
        <v>9883440</v>
      </c>
    </row>
    <row r="2822" spans="1:4" x14ac:dyDescent="0.25">
      <c r="A2822">
        <v>1790</v>
      </c>
      <c r="B2822" s="16">
        <v>43709</v>
      </c>
      <c r="C2822" t="s">
        <v>173</v>
      </c>
      <c r="D2822" s="22">
        <v>9883440</v>
      </c>
    </row>
    <row r="2823" spans="1:4" x14ac:dyDescent="0.25">
      <c r="A2823">
        <v>1790</v>
      </c>
      <c r="B2823" s="16">
        <v>43739</v>
      </c>
      <c r="C2823" t="s">
        <v>173</v>
      </c>
      <c r="D2823" s="22">
        <v>9883440</v>
      </c>
    </row>
    <row r="2824" spans="1:4" x14ac:dyDescent="0.25">
      <c r="A2824">
        <v>1790</v>
      </c>
      <c r="B2824" s="16">
        <v>43770</v>
      </c>
      <c r="C2824" t="s">
        <v>173</v>
      </c>
      <c r="D2824" s="22">
        <v>9883440</v>
      </c>
    </row>
    <row r="2825" spans="1:4" x14ac:dyDescent="0.25">
      <c r="A2825">
        <v>1790</v>
      </c>
      <c r="B2825" s="16">
        <v>43800</v>
      </c>
      <c r="C2825" t="s">
        <v>173</v>
      </c>
      <c r="D2825" s="22">
        <v>9883440</v>
      </c>
    </row>
    <row r="2826" spans="1:4" x14ac:dyDescent="0.25">
      <c r="A2826">
        <v>1790</v>
      </c>
      <c r="B2826" s="16">
        <v>43831</v>
      </c>
      <c r="C2826" t="s">
        <v>173</v>
      </c>
      <c r="D2826" s="22">
        <v>9883440</v>
      </c>
    </row>
    <row r="2827" spans="1:4" x14ac:dyDescent="0.25">
      <c r="A2827">
        <v>1790</v>
      </c>
      <c r="B2827" s="16">
        <v>43862</v>
      </c>
      <c r="C2827" t="s">
        <v>173</v>
      </c>
      <c r="D2827" s="22">
        <v>9883440</v>
      </c>
    </row>
    <row r="2828" spans="1:4" x14ac:dyDescent="0.25">
      <c r="A2828">
        <v>1790</v>
      </c>
      <c r="B2828" s="16">
        <v>43891</v>
      </c>
      <c r="C2828" t="s">
        <v>173</v>
      </c>
      <c r="D2828" s="22">
        <v>9883440</v>
      </c>
    </row>
    <row r="2829" spans="1:4" x14ac:dyDescent="0.25">
      <c r="A2829">
        <v>1790</v>
      </c>
      <c r="B2829" s="16">
        <v>43922</v>
      </c>
      <c r="C2829" t="s">
        <v>173</v>
      </c>
      <c r="D2829" s="22">
        <v>9883440</v>
      </c>
    </row>
    <row r="2830" spans="1:4" x14ac:dyDescent="0.25">
      <c r="A2830">
        <v>1790</v>
      </c>
      <c r="B2830" s="16">
        <v>43556</v>
      </c>
      <c r="C2830" t="s">
        <v>314</v>
      </c>
      <c r="D2830" s="22">
        <v>5930064</v>
      </c>
    </row>
    <row r="2831" spans="1:4" x14ac:dyDescent="0.25">
      <c r="A2831">
        <v>1790</v>
      </c>
      <c r="B2831" s="16">
        <v>43586</v>
      </c>
      <c r="C2831" t="s">
        <v>314</v>
      </c>
      <c r="D2831" s="22">
        <v>5930064</v>
      </c>
    </row>
    <row r="2832" spans="1:4" x14ac:dyDescent="0.25">
      <c r="A2832">
        <v>1790</v>
      </c>
      <c r="B2832" s="16">
        <v>43617</v>
      </c>
      <c r="C2832" t="s">
        <v>314</v>
      </c>
      <c r="D2832" s="22">
        <v>5930064</v>
      </c>
    </row>
    <row r="2833" spans="1:4" x14ac:dyDescent="0.25">
      <c r="A2833">
        <v>1790</v>
      </c>
      <c r="B2833" s="16">
        <v>43647</v>
      </c>
      <c r="C2833" t="s">
        <v>314</v>
      </c>
      <c r="D2833" s="22">
        <v>5930064</v>
      </c>
    </row>
    <row r="2834" spans="1:4" x14ac:dyDescent="0.25">
      <c r="A2834">
        <v>1790</v>
      </c>
      <c r="B2834" s="16">
        <v>43678</v>
      </c>
      <c r="C2834" t="s">
        <v>314</v>
      </c>
      <c r="D2834" s="22">
        <v>5930064</v>
      </c>
    </row>
    <row r="2835" spans="1:4" x14ac:dyDescent="0.25">
      <c r="A2835">
        <v>1790</v>
      </c>
      <c r="B2835" s="16">
        <v>43709</v>
      </c>
      <c r="C2835" t="s">
        <v>314</v>
      </c>
      <c r="D2835" s="22">
        <v>5930064</v>
      </c>
    </row>
    <row r="2836" spans="1:4" x14ac:dyDescent="0.25">
      <c r="A2836">
        <v>1790</v>
      </c>
      <c r="B2836" s="16">
        <v>43739</v>
      </c>
      <c r="C2836" t="s">
        <v>314</v>
      </c>
      <c r="D2836" s="22">
        <v>5930064</v>
      </c>
    </row>
    <row r="2837" spans="1:4" x14ac:dyDescent="0.25">
      <c r="A2837">
        <v>1790</v>
      </c>
      <c r="B2837" s="16">
        <v>43770</v>
      </c>
      <c r="C2837" t="s">
        <v>314</v>
      </c>
      <c r="D2837" s="22">
        <v>5930064</v>
      </c>
    </row>
    <row r="2838" spans="1:4" x14ac:dyDescent="0.25">
      <c r="A2838">
        <v>1790</v>
      </c>
      <c r="B2838" s="16">
        <v>43800</v>
      </c>
      <c r="C2838" t="s">
        <v>314</v>
      </c>
      <c r="D2838" s="22">
        <v>5930064</v>
      </c>
    </row>
    <row r="2839" spans="1:4" x14ac:dyDescent="0.25">
      <c r="A2839">
        <v>1790</v>
      </c>
      <c r="B2839" s="16">
        <v>43831</v>
      </c>
      <c r="C2839" t="s">
        <v>314</v>
      </c>
      <c r="D2839" s="22">
        <v>5930064</v>
      </c>
    </row>
    <row r="2840" spans="1:4" x14ac:dyDescent="0.25">
      <c r="A2840">
        <v>1790</v>
      </c>
      <c r="B2840" s="16">
        <v>43862</v>
      </c>
      <c r="C2840" t="s">
        <v>314</v>
      </c>
      <c r="D2840" s="22">
        <v>5930064</v>
      </c>
    </row>
    <row r="2841" spans="1:4" x14ac:dyDescent="0.25">
      <c r="A2841">
        <v>1790</v>
      </c>
      <c r="B2841" s="16">
        <v>43891</v>
      </c>
      <c r="C2841" t="s">
        <v>314</v>
      </c>
      <c r="D2841" s="22">
        <v>5930064</v>
      </c>
    </row>
    <row r="2842" spans="1:4" x14ac:dyDescent="0.25">
      <c r="A2842">
        <v>1790</v>
      </c>
      <c r="B2842" s="16">
        <v>43922</v>
      </c>
      <c r="C2842" t="s">
        <v>314</v>
      </c>
      <c r="D2842" s="22">
        <v>5930064</v>
      </c>
    </row>
    <row r="2843" spans="1:4" x14ac:dyDescent="0.25">
      <c r="A2843">
        <v>1790</v>
      </c>
      <c r="B2843" s="16">
        <v>43556</v>
      </c>
      <c r="C2843" t="s">
        <v>315</v>
      </c>
      <c r="D2843" s="22">
        <v>3916647</v>
      </c>
    </row>
    <row r="2844" spans="1:4" x14ac:dyDescent="0.25">
      <c r="A2844">
        <v>1790</v>
      </c>
      <c r="B2844" s="16">
        <v>43586</v>
      </c>
      <c r="C2844" t="s">
        <v>315</v>
      </c>
      <c r="D2844" s="22">
        <v>3916647</v>
      </c>
    </row>
    <row r="2845" spans="1:4" x14ac:dyDescent="0.25">
      <c r="A2845">
        <v>1790</v>
      </c>
      <c r="B2845" s="16">
        <v>43617</v>
      </c>
      <c r="C2845" t="s">
        <v>315</v>
      </c>
      <c r="D2845" s="22">
        <v>3916647</v>
      </c>
    </row>
    <row r="2846" spans="1:4" x14ac:dyDescent="0.25">
      <c r="A2846">
        <v>1790</v>
      </c>
      <c r="B2846" s="16">
        <v>43647</v>
      </c>
      <c r="C2846" t="s">
        <v>315</v>
      </c>
      <c r="D2846" s="22">
        <v>3916647</v>
      </c>
    </row>
    <row r="2847" spans="1:4" x14ac:dyDescent="0.25">
      <c r="A2847">
        <v>1790</v>
      </c>
      <c r="B2847" s="16">
        <v>43678</v>
      </c>
      <c r="C2847" t="s">
        <v>315</v>
      </c>
      <c r="D2847" s="22">
        <v>3916647</v>
      </c>
    </row>
    <row r="2848" spans="1:4" x14ac:dyDescent="0.25">
      <c r="A2848">
        <v>1790</v>
      </c>
      <c r="B2848" s="16">
        <v>43709</v>
      </c>
      <c r="C2848" t="s">
        <v>315</v>
      </c>
      <c r="D2848" s="22">
        <v>3916647</v>
      </c>
    </row>
    <row r="2849" spans="1:4" x14ac:dyDescent="0.25">
      <c r="A2849">
        <v>1790</v>
      </c>
      <c r="B2849" s="16">
        <v>43739</v>
      </c>
      <c r="C2849" t="s">
        <v>315</v>
      </c>
      <c r="D2849" s="22">
        <v>3916647</v>
      </c>
    </row>
    <row r="2850" spans="1:4" x14ac:dyDescent="0.25">
      <c r="A2850">
        <v>1790</v>
      </c>
      <c r="B2850" s="16">
        <v>43770</v>
      </c>
      <c r="C2850" t="s">
        <v>315</v>
      </c>
      <c r="D2850" s="22">
        <v>3916647</v>
      </c>
    </row>
    <row r="2851" spans="1:4" x14ac:dyDescent="0.25">
      <c r="A2851">
        <v>1790</v>
      </c>
      <c r="B2851" s="16">
        <v>43800</v>
      </c>
      <c r="C2851" t="s">
        <v>315</v>
      </c>
      <c r="D2851" s="22">
        <v>3916647</v>
      </c>
    </row>
    <row r="2852" spans="1:4" x14ac:dyDescent="0.25">
      <c r="A2852">
        <v>1790</v>
      </c>
      <c r="B2852" s="16">
        <v>43831</v>
      </c>
      <c r="C2852" t="s">
        <v>315</v>
      </c>
      <c r="D2852" s="22">
        <v>3916647</v>
      </c>
    </row>
    <row r="2853" spans="1:4" x14ac:dyDescent="0.25">
      <c r="A2853">
        <v>1790</v>
      </c>
      <c r="B2853" s="16">
        <v>43862</v>
      </c>
      <c r="C2853" t="s">
        <v>315</v>
      </c>
      <c r="D2853" s="22">
        <v>3916647</v>
      </c>
    </row>
    <row r="2854" spans="1:4" x14ac:dyDescent="0.25">
      <c r="A2854">
        <v>1790</v>
      </c>
      <c r="B2854" s="16">
        <v>43891</v>
      </c>
      <c r="C2854" t="s">
        <v>315</v>
      </c>
      <c r="D2854" s="22">
        <v>3916647</v>
      </c>
    </row>
    <row r="2855" spans="1:4" x14ac:dyDescent="0.25">
      <c r="A2855">
        <v>1790</v>
      </c>
      <c r="B2855" s="16">
        <v>43922</v>
      </c>
      <c r="C2855" t="s">
        <v>315</v>
      </c>
      <c r="D2855" s="22">
        <v>3916647</v>
      </c>
    </row>
    <row r="2856" spans="1:4" x14ac:dyDescent="0.25">
      <c r="A2856">
        <v>1790</v>
      </c>
      <c r="B2856" s="16">
        <v>43556</v>
      </c>
      <c r="C2856" t="s">
        <v>316</v>
      </c>
      <c r="D2856" s="22">
        <v>7103634.4399999995</v>
      </c>
    </row>
    <row r="2857" spans="1:4" x14ac:dyDescent="0.25">
      <c r="A2857">
        <v>1790</v>
      </c>
      <c r="B2857" s="16">
        <v>43586</v>
      </c>
      <c r="C2857" t="s">
        <v>316</v>
      </c>
      <c r="D2857" s="22">
        <v>7103634.4399999995</v>
      </c>
    </row>
    <row r="2858" spans="1:4" x14ac:dyDescent="0.25">
      <c r="A2858">
        <v>1790</v>
      </c>
      <c r="B2858" s="16">
        <v>43617</v>
      </c>
      <c r="C2858" t="s">
        <v>316</v>
      </c>
      <c r="D2858" s="22">
        <v>7103634.4399999995</v>
      </c>
    </row>
    <row r="2859" spans="1:4" x14ac:dyDescent="0.25">
      <c r="A2859">
        <v>1790</v>
      </c>
      <c r="B2859" s="16">
        <v>43647</v>
      </c>
      <c r="C2859" t="s">
        <v>316</v>
      </c>
      <c r="D2859" s="22">
        <v>7103634.4399999995</v>
      </c>
    </row>
    <row r="2860" spans="1:4" x14ac:dyDescent="0.25">
      <c r="A2860">
        <v>1790</v>
      </c>
      <c r="B2860" s="16">
        <v>43678</v>
      </c>
      <c r="C2860" t="s">
        <v>316</v>
      </c>
      <c r="D2860" s="22">
        <v>7103634.4399999995</v>
      </c>
    </row>
    <row r="2861" spans="1:4" x14ac:dyDescent="0.25">
      <c r="A2861">
        <v>1790</v>
      </c>
      <c r="B2861" s="16">
        <v>43709</v>
      </c>
      <c r="C2861" t="s">
        <v>316</v>
      </c>
      <c r="D2861" s="22">
        <v>7103634.4399999995</v>
      </c>
    </row>
    <row r="2862" spans="1:4" x14ac:dyDescent="0.25">
      <c r="A2862">
        <v>1790</v>
      </c>
      <c r="B2862" s="16">
        <v>43739</v>
      </c>
      <c r="C2862" t="s">
        <v>316</v>
      </c>
      <c r="D2862" s="22">
        <v>7103634.4399999995</v>
      </c>
    </row>
    <row r="2863" spans="1:4" x14ac:dyDescent="0.25">
      <c r="A2863">
        <v>1790</v>
      </c>
      <c r="B2863" s="16">
        <v>43770</v>
      </c>
      <c r="C2863" t="s">
        <v>316</v>
      </c>
      <c r="D2863" s="22">
        <v>7103634.4399999995</v>
      </c>
    </row>
    <row r="2864" spans="1:4" x14ac:dyDescent="0.25">
      <c r="A2864">
        <v>1790</v>
      </c>
      <c r="B2864" s="16">
        <v>43800</v>
      </c>
      <c r="C2864" t="s">
        <v>316</v>
      </c>
      <c r="D2864" s="22">
        <v>7103634.4399999995</v>
      </c>
    </row>
    <row r="2865" spans="1:4" x14ac:dyDescent="0.25">
      <c r="A2865">
        <v>1790</v>
      </c>
      <c r="B2865" s="16">
        <v>43831</v>
      </c>
      <c r="C2865" t="s">
        <v>316</v>
      </c>
      <c r="D2865" s="22">
        <v>7103634.4399999995</v>
      </c>
    </row>
    <row r="2866" spans="1:4" x14ac:dyDescent="0.25">
      <c r="A2866">
        <v>1790</v>
      </c>
      <c r="B2866" s="16">
        <v>43862</v>
      </c>
      <c r="C2866" t="s">
        <v>316</v>
      </c>
      <c r="D2866" s="22">
        <v>7103634.4399999995</v>
      </c>
    </row>
    <row r="2867" spans="1:4" x14ac:dyDescent="0.25">
      <c r="A2867">
        <v>1790</v>
      </c>
      <c r="B2867" s="16">
        <v>43891</v>
      </c>
      <c r="C2867" t="s">
        <v>316</v>
      </c>
      <c r="D2867" s="22">
        <v>7103634.4399999995</v>
      </c>
    </row>
    <row r="2868" spans="1:4" x14ac:dyDescent="0.25">
      <c r="A2868">
        <v>1790</v>
      </c>
      <c r="B2868" s="16">
        <v>43922</v>
      </c>
      <c r="C2868" t="s">
        <v>316</v>
      </c>
      <c r="D2868" s="22">
        <v>7103634.4399999995</v>
      </c>
    </row>
    <row r="2869" spans="1:4" x14ac:dyDescent="0.25">
      <c r="A2869">
        <v>1790</v>
      </c>
      <c r="B2869" s="16">
        <v>43556</v>
      </c>
      <c r="C2869" t="s">
        <v>314</v>
      </c>
      <c r="D2869" s="22">
        <v>5930064</v>
      </c>
    </row>
    <row r="2870" spans="1:4" x14ac:dyDescent="0.25">
      <c r="A2870">
        <v>1790</v>
      </c>
      <c r="B2870" s="16">
        <v>43586</v>
      </c>
      <c r="C2870" t="s">
        <v>314</v>
      </c>
      <c r="D2870" s="22">
        <v>5930064</v>
      </c>
    </row>
    <row r="2871" spans="1:4" x14ac:dyDescent="0.25">
      <c r="A2871">
        <v>1790</v>
      </c>
      <c r="B2871" s="16">
        <v>43617</v>
      </c>
      <c r="C2871" t="s">
        <v>314</v>
      </c>
      <c r="D2871" s="22">
        <v>5930064</v>
      </c>
    </row>
    <row r="2872" spans="1:4" x14ac:dyDescent="0.25">
      <c r="A2872">
        <v>1790</v>
      </c>
      <c r="B2872" s="16">
        <v>43647</v>
      </c>
      <c r="C2872" t="s">
        <v>314</v>
      </c>
      <c r="D2872" s="22">
        <v>5930064</v>
      </c>
    </row>
    <row r="2873" spans="1:4" x14ac:dyDescent="0.25">
      <c r="A2873">
        <v>1790</v>
      </c>
      <c r="B2873" s="16">
        <v>43678</v>
      </c>
      <c r="C2873" t="s">
        <v>314</v>
      </c>
      <c r="D2873" s="22">
        <v>5930064</v>
      </c>
    </row>
    <row r="2874" spans="1:4" x14ac:dyDescent="0.25">
      <c r="A2874">
        <v>1790</v>
      </c>
      <c r="B2874" s="16">
        <v>43709</v>
      </c>
      <c r="C2874" t="s">
        <v>314</v>
      </c>
      <c r="D2874" s="22">
        <v>5930064</v>
      </c>
    </row>
    <row r="2875" spans="1:4" x14ac:dyDescent="0.25">
      <c r="A2875">
        <v>1790</v>
      </c>
      <c r="B2875" s="16">
        <v>43739</v>
      </c>
      <c r="C2875" t="s">
        <v>314</v>
      </c>
      <c r="D2875" s="22">
        <v>5930064</v>
      </c>
    </row>
    <row r="2876" spans="1:4" x14ac:dyDescent="0.25">
      <c r="A2876">
        <v>1790</v>
      </c>
      <c r="B2876" s="16">
        <v>43770</v>
      </c>
      <c r="C2876" t="s">
        <v>314</v>
      </c>
      <c r="D2876" s="22">
        <v>5930064</v>
      </c>
    </row>
    <row r="2877" spans="1:4" x14ac:dyDescent="0.25">
      <c r="A2877">
        <v>1790</v>
      </c>
      <c r="B2877" s="16">
        <v>43800</v>
      </c>
      <c r="C2877" t="s">
        <v>314</v>
      </c>
      <c r="D2877" s="22">
        <v>5930064</v>
      </c>
    </row>
    <row r="2878" spans="1:4" x14ac:dyDescent="0.25">
      <c r="A2878">
        <v>1790</v>
      </c>
      <c r="B2878" s="16">
        <v>43831</v>
      </c>
      <c r="C2878" t="s">
        <v>314</v>
      </c>
      <c r="D2878" s="22">
        <v>5930064</v>
      </c>
    </row>
    <row r="2879" spans="1:4" x14ac:dyDescent="0.25">
      <c r="A2879">
        <v>1790</v>
      </c>
      <c r="B2879" s="16">
        <v>43862</v>
      </c>
      <c r="C2879" t="s">
        <v>314</v>
      </c>
      <c r="D2879" s="22">
        <v>5930064</v>
      </c>
    </row>
    <row r="2880" spans="1:4" x14ac:dyDescent="0.25">
      <c r="A2880">
        <v>1790</v>
      </c>
      <c r="B2880" s="16">
        <v>43891</v>
      </c>
      <c r="C2880" t="s">
        <v>314</v>
      </c>
      <c r="D2880" s="22">
        <v>5930064</v>
      </c>
    </row>
    <row r="2881" spans="1:4" x14ac:dyDescent="0.25">
      <c r="A2881">
        <v>1790</v>
      </c>
      <c r="B2881" s="16">
        <v>43922</v>
      </c>
      <c r="C2881" t="s">
        <v>314</v>
      </c>
      <c r="D2881" s="22">
        <v>5930064</v>
      </c>
    </row>
    <row r="2882" spans="1:4" x14ac:dyDescent="0.25">
      <c r="A2882">
        <v>1790</v>
      </c>
      <c r="B2882" s="16">
        <v>43556</v>
      </c>
      <c r="C2882" t="s">
        <v>59</v>
      </c>
      <c r="D2882" s="22">
        <v>3847852</v>
      </c>
    </row>
    <row r="2883" spans="1:4" x14ac:dyDescent="0.25">
      <c r="A2883">
        <v>1790</v>
      </c>
      <c r="B2883" s="16">
        <v>43586</v>
      </c>
      <c r="C2883" t="s">
        <v>59</v>
      </c>
      <c r="D2883" s="22">
        <v>3847852</v>
      </c>
    </row>
    <row r="2884" spans="1:4" x14ac:dyDescent="0.25">
      <c r="A2884">
        <v>1790</v>
      </c>
      <c r="B2884" s="16">
        <v>43617</v>
      </c>
      <c r="C2884" t="s">
        <v>59</v>
      </c>
      <c r="D2884" s="22">
        <v>3847852</v>
      </c>
    </row>
    <row r="2885" spans="1:4" x14ac:dyDescent="0.25">
      <c r="A2885">
        <v>1790</v>
      </c>
      <c r="B2885" s="16">
        <v>43647</v>
      </c>
      <c r="C2885" t="s">
        <v>59</v>
      </c>
      <c r="D2885" s="22">
        <v>3847852</v>
      </c>
    </row>
    <row r="2886" spans="1:4" x14ac:dyDescent="0.25">
      <c r="A2886">
        <v>1790</v>
      </c>
      <c r="B2886" s="16">
        <v>43678</v>
      </c>
      <c r="C2886" t="s">
        <v>59</v>
      </c>
      <c r="D2886" s="22">
        <v>3847852</v>
      </c>
    </row>
    <row r="2887" spans="1:4" x14ac:dyDescent="0.25">
      <c r="A2887">
        <v>1790</v>
      </c>
      <c r="B2887" s="16">
        <v>43709</v>
      </c>
      <c r="C2887" t="s">
        <v>59</v>
      </c>
      <c r="D2887" s="22">
        <v>3847852</v>
      </c>
    </row>
    <row r="2888" spans="1:4" x14ac:dyDescent="0.25">
      <c r="A2888">
        <v>1790</v>
      </c>
      <c r="B2888" s="16">
        <v>43739</v>
      </c>
      <c r="C2888" t="s">
        <v>59</v>
      </c>
      <c r="D2888" s="22">
        <v>3847852</v>
      </c>
    </row>
    <row r="2889" spans="1:4" x14ac:dyDescent="0.25">
      <c r="A2889">
        <v>1790</v>
      </c>
      <c r="B2889" s="16">
        <v>43770</v>
      </c>
      <c r="C2889" t="s">
        <v>59</v>
      </c>
      <c r="D2889" s="22">
        <v>3847852</v>
      </c>
    </row>
    <row r="2890" spans="1:4" x14ac:dyDescent="0.25">
      <c r="A2890">
        <v>1790</v>
      </c>
      <c r="B2890" s="16">
        <v>43800</v>
      </c>
      <c r="C2890" t="s">
        <v>59</v>
      </c>
      <c r="D2890" s="22">
        <v>3847852</v>
      </c>
    </row>
    <row r="2891" spans="1:4" x14ac:dyDescent="0.25">
      <c r="A2891">
        <v>1790</v>
      </c>
      <c r="B2891" s="16">
        <v>43831</v>
      </c>
      <c r="C2891" t="s">
        <v>59</v>
      </c>
      <c r="D2891" s="22">
        <v>3847852</v>
      </c>
    </row>
    <row r="2892" spans="1:4" x14ac:dyDescent="0.25">
      <c r="A2892">
        <v>1790</v>
      </c>
      <c r="B2892" s="16">
        <v>43862</v>
      </c>
      <c r="C2892" t="s">
        <v>59</v>
      </c>
      <c r="D2892" s="22">
        <v>3847852</v>
      </c>
    </row>
    <row r="2893" spans="1:4" x14ac:dyDescent="0.25">
      <c r="A2893">
        <v>1790</v>
      </c>
      <c r="B2893" s="16">
        <v>43891</v>
      </c>
      <c r="C2893" t="s">
        <v>59</v>
      </c>
      <c r="D2893" s="22">
        <v>3847852</v>
      </c>
    </row>
    <row r="2894" spans="1:4" x14ac:dyDescent="0.25">
      <c r="A2894">
        <v>1790</v>
      </c>
      <c r="B2894" s="16">
        <v>43922</v>
      </c>
      <c r="C2894" t="s">
        <v>59</v>
      </c>
      <c r="D2894" s="22">
        <v>3847852</v>
      </c>
    </row>
    <row r="2895" spans="1:4" x14ac:dyDescent="0.25">
      <c r="A2895">
        <v>1790</v>
      </c>
      <c r="B2895" s="16">
        <v>43556</v>
      </c>
      <c r="C2895" t="s">
        <v>139</v>
      </c>
      <c r="D2895" s="22">
        <v>6012426</v>
      </c>
    </row>
    <row r="2896" spans="1:4" x14ac:dyDescent="0.25">
      <c r="A2896">
        <v>1790</v>
      </c>
      <c r="B2896" s="16">
        <v>43586</v>
      </c>
      <c r="C2896" t="s">
        <v>139</v>
      </c>
      <c r="D2896" s="22">
        <v>6012426</v>
      </c>
    </row>
    <row r="2897" spans="1:4" x14ac:dyDescent="0.25">
      <c r="A2897">
        <v>1790</v>
      </c>
      <c r="B2897" s="16">
        <v>43617</v>
      </c>
      <c r="C2897" t="s">
        <v>139</v>
      </c>
      <c r="D2897" s="22">
        <v>6012426</v>
      </c>
    </row>
    <row r="2898" spans="1:4" x14ac:dyDescent="0.25">
      <c r="A2898">
        <v>1790</v>
      </c>
      <c r="B2898" s="16">
        <v>43647</v>
      </c>
      <c r="C2898" t="s">
        <v>139</v>
      </c>
      <c r="D2898" s="22">
        <v>6012426</v>
      </c>
    </row>
    <row r="2899" spans="1:4" x14ac:dyDescent="0.25">
      <c r="A2899">
        <v>1790</v>
      </c>
      <c r="B2899" s="16">
        <v>43678</v>
      </c>
      <c r="C2899" t="s">
        <v>139</v>
      </c>
      <c r="D2899" s="22">
        <v>6012426</v>
      </c>
    </row>
    <row r="2900" spans="1:4" x14ac:dyDescent="0.25">
      <c r="A2900">
        <v>1790</v>
      </c>
      <c r="B2900" s="16">
        <v>43709</v>
      </c>
      <c r="C2900" t="s">
        <v>139</v>
      </c>
      <c r="D2900" s="22">
        <v>6012426</v>
      </c>
    </row>
    <row r="2901" spans="1:4" x14ac:dyDescent="0.25">
      <c r="A2901">
        <v>1790</v>
      </c>
      <c r="B2901" s="16">
        <v>43739</v>
      </c>
      <c r="C2901" t="s">
        <v>139</v>
      </c>
      <c r="D2901" s="22">
        <v>6012426</v>
      </c>
    </row>
    <row r="2902" spans="1:4" x14ac:dyDescent="0.25">
      <c r="A2902">
        <v>1790</v>
      </c>
      <c r="B2902" s="16">
        <v>43770</v>
      </c>
      <c r="C2902" t="s">
        <v>139</v>
      </c>
      <c r="D2902" s="22">
        <v>6012426</v>
      </c>
    </row>
    <row r="2903" spans="1:4" x14ac:dyDescent="0.25">
      <c r="A2903">
        <v>1790</v>
      </c>
      <c r="B2903" s="16">
        <v>43800</v>
      </c>
      <c r="C2903" t="s">
        <v>139</v>
      </c>
      <c r="D2903" s="22">
        <v>6012426</v>
      </c>
    </row>
    <row r="2904" spans="1:4" x14ac:dyDescent="0.25">
      <c r="A2904">
        <v>1790</v>
      </c>
      <c r="B2904" s="16">
        <v>43831</v>
      </c>
      <c r="C2904" t="s">
        <v>139</v>
      </c>
      <c r="D2904" s="22">
        <v>6012426</v>
      </c>
    </row>
    <row r="2905" spans="1:4" x14ac:dyDescent="0.25">
      <c r="A2905">
        <v>1790</v>
      </c>
      <c r="B2905" s="16">
        <v>43862</v>
      </c>
      <c r="C2905" t="s">
        <v>139</v>
      </c>
      <c r="D2905" s="22">
        <v>6012426</v>
      </c>
    </row>
    <row r="2906" spans="1:4" x14ac:dyDescent="0.25">
      <c r="A2906">
        <v>1790</v>
      </c>
      <c r="B2906" s="16">
        <v>43891</v>
      </c>
      <c r="C2906" t="s">
        <v>139</v>
      </c>
      <c r="D2906" s="22">
        <v>6012426</v>
      </c>
    </row>
    <row r="2907" spans="1:4" x14ac:dyDescent="0.25">
      <c r="A2907">
        <v>1790</v>
      </c>
      <c r="B2907" s="16">
        <v>43922</v>
      </c>
      <c r="C2907" t="s">
        <v>139</v>
      </c>
      <c r="D2907" s="22">
        <v>6012426</v>
      </c>
    </row>
    <row r="2908" spans="1:4" x14ac:dyDescent="0.25">
      <c r="A2908">
        <v>1790</v>
      </c>
      <c r="B2908" s="16">
        <v>43556</v>
      </c>
      <c r="C2908" t="s">
        <v>317</v>
      </c>
      <c r="D2908" s="22">
        <v>4941720</v>
      </c>
    </row>
    <row r="2909" spans="1:4" x14ac:dyDescent="0.25">
      <c r="A2909">
        <v>1790</v>
      </c>
      <c r="B2909" s="16">
        <v>43586</v>
      </c>
      <c r="C2909" t="s">
        <v>317</v>
      </c>
      <c r="D2909" s="22">
        <v>4941720</v>
      </c>
    </row>
    <row r="2910" spans="1:4" x14ac:dyDescent="0.25">
      <c r="A2910">
        <v>1790</v>
      </c>
      <c r="B2910" s="16">
        <v>43617</v>
      </c>
      <c r="C2910" t="s">
        <v>317</v>
      </c>
      <c r="D2910" s="22">
        <v>4941720</v>
      </c>
    </row>
    <row r="2911" spans="1:4" x14ac:dyDescent="0.25">
      <c r="A2911">
        <v>1790</v>
      </c>
      <c r="B2911" s="16">
        <v>43647</v>
      </c>
      <c r="C2911" t="s">
        <v>317</v>
      </c>
      <c r="D2911" s="22">
        <v>4941720</v>
      </c>
    </row>
    <row r="2912" spans="1:4" x14ac:dyDescent="0.25">
      <c r="A2912">
        <v>1790</v>
      </c>
      <c r="B2912" s="16">
        <v>43678</v>
      </c>
      <c r="C2912" t="s">
        <v>317</v>
      </c>
      <c r="D2912" s="22">
        <v>4941720</v>
      </c>
    </row>
    <row r="2913" spans="1:4" x14ac:dyDescent="0.25">
      <c r="A2913">
        <v>1790</v>
      </c>
      <c r="B2913" s="16">
        <v>43709</v>
      </c>
      <c r="C2913" t="s">
        <v>317</v>
      </c>
      <c r="D2913" s="22">
        <v>4941720</v>
      </c>
    </row>
    <row r="2914" spans="1:4" x14ac:dyDescent="0.25">
      <c r="A2914">
        <v>1790</v>
      </c>
      <c r="B2914" s="16">
        <v>43739</v>
      </c>
      <c r="C2914" t="s">
        <v>317</v>
      </c>
      <c r="D2914" s="22">
        <v>4941720</v>
      </c>
    </row>
    <row r="2915" spans="1:4" x14ac:dyDescent="0.25">
      <c r="A2915">
        <v>1790</v>
      </c>
      <c r="B2915" s="16">
        <v>43770</v>
      </c>
      <c r="C2915" t="s">
        <v>317</v>
      </c>
      <c r="D2915" s="22">
        <v>4941720</v>
      </c>
    </row>
    <row r="2916" spans="1:4" x14ac:dyDescent="0.25">
      <c r="A2916">
        <v>1790</v>
      </c>
      <c r="B2916" s="16">
        <v>43800</v>
      </c>
      <c r="C2916" t="s">
        <v>317</v>
      </c>
      <c r="D2916" s="22">
        <v>4941720</v>
      </c>
    </row>
    <row r="2917" spans="1:4" x14ac:dyDescent="0.25">
      <c r="A2917">
        <v>1790</v>
      </c>
      <c r="B2917" s="16">
        <v>43831</v>
      </c>
      <c r="C2917" t="s">
        <v>317</v>
      </c>
      <c r="D2917" s="22">
        <v>4941720</v>
      </c>
    </row>
    <row r="2918" spans="1:4" x14ac:dyDescent="0.25">
      <c r="A2918">
        <v>1790</v>
      </c>
      <c r="B2918" s="16">
        <v>43862</v>
      </c>
      <c r="C2918" t="s">
        <v>317</v>
      </c>
      <c r="D2918" s="22">
        <v>4941720</v>
      </c>
    </row>
    <row r="2919" spans="1:4" x14ac:dyDescent="0.25">
      <c r="A2919">
        <v>1790</v>
      </c>
      <c r="B2919" s="16">
        <v>43891</v>
      </c>
      <c r="C2919" t="s">
        <v>317</v>
      </c>
      <c r="D2919" s="22">
        <v>4941720</v>
      </c>
    </row>
    <row r="2920" spans="1:4" x14ac:dyDescent="0.25">
      <c r="A2920">
        <v>1790</v>
      </c>
      <c r="B2920" s="16">
        <v>43922</v>
      </c>
      <c r="C2920" t="s">
        <v>317</v>
      </c>
      <c r="D2920" s="22">
        <v>4941720</v>
      </c>
    </row>
    <row r="2921" spans="1:4" x14ac:dyDescent="0.25">
      <c r="A2921">
        <v>1790</v>
      </c>
      <c r="B2921" s="16">
        <v>43556</v>
      </c>
      <c r="C2921" t="s">
        <v>174</v>
      </c>
      <c r="D2921" s="22">
        <v>4612272</v>
      </c>
    </row>
    <row r="2922" spans="1:4" x14ac:dyDescent="0.25">
      <c r="A2922">
        <v>1790</v>
      </c>
      <c r="B2922" s="16">
        <v>43586</v>
      </c>
      <c r="C2922" t="s">
        <v>174</v>
      </c>
      <c r="D2922" s="22">
        <v>4612272</v>
      </c>
    </row>
    <row r="2923" spans="1:4" x14ac:dyDescent="0.25">
      <c r="A2923">
        <v>1790</v>
      </c>
      <c r="B2923" s="16">
        <v>43617</v>
      </c>
      <c r="C2923" t="s">
        <v>174</v>
      </c>
      <c r="D2923" s="22">
        <v>4612272</v>
      </c>
    </row>
    <row r="2924" spans="1:4" x14ac:dyDescent="0.25">
      <c r="A2924">
        <v>1790</v>
      </c>
      <c r="B2924" s="16">
        <v>43647</v>
      </c>
      <c r="C2924" t="s">
        <v>174</v>
      </c>
      <c r="D2924" s="22">
        <v>4612272</v>
      </c>
    </row>
    <row r="2925" spans="1:4" x14ac:dyDescent="0.25">
      <c r="A2925">
        <v>1790</v>
      </c>
      <c r="B2925" s="16">
        <v>43678</v>
      </c>
      <c r="C2925" t="s">
        <v>174</v>
      </c>
      <c r="D2925" s="22">
        <v>4612272</v>
      </c>
    </row>
    <row r="2926" spans="1:4" x14ac:dyDescent="0.25">
      <c r="A2926">
        <v>1790</v>
      </c>
      <c r="B2926" s="16">
        <v>43709</v>
      </c>
      <c r="C2926" t="s">
        <v>174</v>
      </c>
      <c r="D2926" s="22">
        <v>4612272</v>
      </c>
    </row>
    <row r="2927" spans="1:4" x14ac:dyDescent="0.25">
      <c r="A2927">
        <v>1790</v>
      </c>
      <c r="B2927" s="16">
        <v>43739</v>
      </c>
      <c r="C2927" t="s">
        <v>174</v>
      </c>
      <c r="D2927" s="22">
        <v>4612272</v>
      </c>
    </row>
    <row r="2928" spans="1:4" x14ac:dyDescent="0.25">
      <c r="A2928">
        <v>1790</v>
      </c>
      <c r="B2928" s="16">
        <v>43770</v>
      </c>
      <c r="C2928" t="s">
        <v>174</v>
      </c>
      <c r="D2928" s="22">
        <v>4612272</v>
      </c>
    </row>
    <row r="2929" spans="1:4" x14ac:dyDescent="0.25">
      <c r="A2929">
        <v>1790</v>
      </c>
      <c r="B2929" s="16">
        <v>43800</v>
      </c>
      <c r="C2929" t="s">
        <v>174</v>
      </c>
      <c r="D2929" s="22">
        <v>4612272</v>
      </c>
    </row>
    <row r="2930" spans="1:4" x14ac:dyDescent="0.25">
      <c r="A2930">
        <v>1790</v>
      </c>
      <c r="B2930" s="16">
        <v>43831</v>
      </c>
      <c r="C2930" t="s">
        <v>174</v>
      </c>
      <c r="D2930" s="22">
        <v>4612272</v>
      </c>
    </row>
    <row r="2931" spans="1:4" x14ac:dyDescent="0.25">
      <c r="A2931">
        <v>1790</v>
      </c>
      <c r="B2931" s="16">
        <v>43862</v>
      </c>
      <c r="C2931" t="s">
        <v>174</v>
      </c>
      <c r="D2931" s="22">
        <v>4612272</v>
      </c>
    </row>
    <row r="2932" spans="1:4" x14ac:dyDescent="0.25">
      <c r="A2932">
        <v>1790</v>
      </c>
      <c r="B2932" s="16">
        <v>43891</v>
      </c>
      <c r="C2932" t="s">
        <v>174</v>
      </c>
      <c r="D2932" s="22">
        <v>4612272</v>
      </c>
    </row>
    <row r="2933" spans="1:4" x14ac:dyDescent="0.25">
      <c r="A2933">
        <v>1790</v>
      </c>
      <c r="B2933" s="16">
        <v>43922</v>
      </c>
      <c r="C2933" t="s">
        <v>174</v>
      </c>
      <c r="D2933" s="22">
        <v>4612272</v>
      </c>
    </row>
    <row r="2934" spans="1:4" x14ac:dyDescent="0.25">
      <c r="A2934">
        <v>1790</v>
      </c>
      <c r="B2934" s="16">
        <v>43556</v>
      </c>
      <c r="C2934" t="s">
        <v>135</v>
      </c>
      <c r="D2934" s="22">
        <v>3669727.95</v>
      </c>
    </row>
    <row r="2935" spans="1:4" x14ac:dyDescent="0.25">
      <c r="A2935">
        <v>1790</v>
      </c>
      <c r="B2935" s="16">
        <v>43586</v>
      </c>
      <c r="C2935" t="s">
        <v>135</v>
      </c>
      <c r="D2935" s="22">
        <v>3669727.95</v>
      </c>
    </row>
    <row r="2936" spans="1:4" x14ac:dyDescent="0.25">
      <c r="A2936">
        <v>1790</v>
      </c>
      <c r="B2936" s="16">
        <v>43617</v>
      </c>
      <c r="C2936" t="s">
        <v>135</v>
      </c>
      <c r="D2936" s="22">
        <v>3669727.95</v>
      </c>
    </row>
    <row r="2937" spans="1:4" x14ac:dyDescent="0.25">
      <c r="A2937">
        <v>1790</v>
      </c>
      <c r="B2937" s="16">
        <v>43647</v>
      </c>
      <c r="C2937" t="s">
        <v>135</v>
      </c>
      <c r="D2937" s="22">
        <v>3669727.95</v>
      </c>
    </row>
    <row r="2938" spans="1:4" x14ac:dyDescent="0.25">
      <c r="A2938">
        <v>1790</v>
      </c>
      <c r="B2938" s="16">
        <v>43678</v>
      </c>
      <c r="C2938" t="s">
        <v>135</v>
      </c>
      <c r="D2938" s="22">
        <v>3669727.95</v>
      </c>
    </row>
    <row r="2939" spans="1:4" x14ac:dyDescent="0.25">
      <c r="A2939">
        <v>1790</v>
      </c>
      <c r="B2939" s="16">
        <v>43709</v>
      </c>
      <c r="C2939" t="s">
        <v>135</v>
      </c>
      <c r="D2939" s="22">
        <v>3669727.95</v>
      </c>
    </row>
    <row r="2940" spans="1:4" x14ac:dyDescent="0.25">
      <c r="A2940">
        <v>1790</v>
      </c>
      <c r="B2940" s="16">
        <v>43739</v>
      </c>
      <c r="C2940" t="s">
        <v>135</v>
      </c>
      <c r="D2940" s="22">
        <v>3669727.95</v>
      </c>
    </row>
    <row r="2941" spans="1:4" x14ac:dyDescent="0.25">
      <c r="A2941">
        <v>1790</v>
      </c>
      <c r="B2941" s="16">
        <v>43770</v>
      </c>
      <c r="C2941" t="s">
        <v>135</v>
      </c>
      <c r="D2941" s="22">
        <v>3669727.95</v>
      </c>
    </row>
    <row r="2942" spans="1:4" x14ac:dyDescent="0.25">
      <c r="A2942">
        <v>1790</v>
      </c>
      <c r="B2942" s="16">
        <v>43800</v>
      </c>
      <c r="C2942" t="s">
        <v>135</v>
      </c>
      <c r="D2942" s="22">
        <v>3669727.95</v>
      </c>
    </row>
    <row r="2943" spans="1:4" x14ac:dyDescent="0.25">
      <c r="A2943">
        <v>1790</v>
      </c>
      <c r="B2943" s="16">
        <v>43831</v>
      </c>
      <c r="C2943" t="s">
        <v>135</v>
      </c>
      <c r="D2943" s="22">
        <v>3669727.95</v>
      </c>
    </row>
    <row r="2944" spans="1:4" x14ac:dyDescent="0.25">
      <c r="A2944">
        <v>1790</v>
      </c>
      <c r="B2944" s="16">
        <v>43862</v>
      </c>
      <c r="C2944" t="s">
        <v>135</v>
      </c>
      <c r="D2944" s="22">
        <v>3669727.95</v>
      </c>
    </row>
    <row r="2945" spans="1:4" x14ac:dyDescent="0.25">
      <c r="A2945">
        <v>1790</v>
      </c>
      <c r="B2945" s="16">
        <v>43891</v>
      </c>
      <c r="C2945" t="s">
        <v>135</v>
      </c>
      <c r="D2945" s="22">
        <v>3669727.95</v>
      </c>
    </row>
    <row r="2946" spans="1:4" x14ac:dyDescent="0.25">
      <c r="A2946">
        <v>1790</v>
      </c>
      <c r="B2946" s="16">
        <v>43922</v>
      </c>
      <c r="C2946" t="s">
        <v>135</v>
      </c>
      <c r="D2946" s="22">
        <v>3669727.95</v>
      </c>
    </row>
    <row r="2947" spans="1:4" x14ac:dyDescent="0.25">
      <c r="A2947">
        <v>1790</v>
      </c>
      <c r="B2947" s="16">
        <v>43556</v>
      </c>
      <c r="C2947" t="s">
        <v>182</v>
      </c>
      <c r="D2947" s="22">
        <v>3678242.4</v>
      </c>
    </row>
    <row r="2948" spans="1:4" x14ac:dyDescent="0.25">
      <c r="A2948">
        <v>1790</v>
      </c>
      <c r="B2948" s="16">
        <v>43586</v>
      </c>
      <c r="C2948" t="s">
        <v>182</v>
      </c>
      <c r="D2948" s="22">
        <v>3678242.4</v>
      </c>
    </row>
    <row r="2949" spans="1:4" x14ac:dyDescent="0.25">
      <c r="A2949">
        <v>1790</v>
      </c>
      <c r="B2949" s="16">
        <v>43617</v>
      </c>
      <c r="C2949" t="s">
        <v>182</v>
      </c>
      <c r="D2949" s="22">
        <v>3678242.4</v>
      </c>
    </row>
    <row r="2950" spans="1:4" x14ac:dyDescent="0.25">
      <c r="A2950">
        <v>1790</v>
      </c>
      <c r="B2950" s="16">
        <v>43647</v>
      </c>
      <c r="C2950" t="s">
        <v>182</v>
      </c>
      <c r="D2950" s="22">
        <v>3678242.4</v>
      </c>
    </row>
    <row r="2951" spans="1:4" x14ac:dyDescent="0.25">
      <c r="A2951">
        <v>1790</v>
      </c>
      <c r="B2951" s="16">
        <v>43678</v>
      </c>
      <c r="C2951" t="s">
        <v>182</v>
      </c>
      <c r="D2951" s="22">
        <v>3678242.4</v>
      </c>
    </row>
    <row r="2952" spans="1:4" x14ac:dyDescent="0.25">
      <c r="A2952">
        <v>1790</v>
      </c>
      <c r="B2952" s="16">
        <v>43709</v>
      </c>
      <c r="C2952" t="s">
        <v>182</v>
      </c>
      <c r="D2952" s="22">
        <v>3678242.4</v>
      </c>
    </row>
    <row r="2953" spans="1:4" x14ac:dyDescent="0.25">
      <c r="A2953">
        <v>1790</v>
      </c>
      <c r="B2953" s="16">
        <v>43739</v>
      </c>
      <c r="C2953" t="s">
        <v>182</v>
      </c>
      <c r="D2953" s="22">
        <v>3678242.4</v>
      </c>
    </row>
    <row r="2954" spans="1:4" x14ac:dyDescent="0.25">
      <c r="A2954">
        <v>1790</v>
      </c>
      <c r="B2954" s="16">
        <v>43770</v>
      </c>
      <c r="C2954" t="s">
        <v>182</v>
      </c>
      <c r="D2954" s="22">
        <v>3678242.4</v>
      </c>
    </row>
    <row r="2955" spans="1:4" x14ac:dyDescent="0.25">
      <c r="A2955">
        <v>1790</v>
      </c>
      <c r="B2955" s="16">
        <v>43800</v>
      </c>
      <c r="C2955" t="s">
        <v>182</v>
      </c>
      <c r="D2955" s="22">
        <v>3678242.4</v>
      </c>
    </row>
    <row r="2956" spans="1:4" x14ac:dyDescent="0.25">
      <c r="A2956">
        <v>1790</v>
      </c>
      <c r="B2956" s="16">
        <v>43831</v>
      </c>
      <c r="C2956" t="s">
        <v>182</v>
      </c>
      <c r="D2956" s="22">
        <v>3678242.4</v>
      </c>
    </row>
    <row r="2957" spans="1:4" x14ac:dyDescent="0.25">
      <c r="A2957">
        <v>1790</v>
      </c>
      <c r="B2957" s="16">
        <v>43862</v>
      </c>
      <c r="C2957" t="s">
        <v>182</v>
      </c>
      <c r="D2957" s="22">
        <v>3678242.4</v>
      </c>
    </row>
    <row r="2958" spans="1:4" x14ac:dyDescent="0.25">
      <c r="A2958">
        <v>1790</v>
      </c>
      <c r="B2958" s="16">
        <v>43891</v>
      </c>
      <c r="C2958" t="s">
        <v>182</v>
      </c>
      <c r="D2958" s="22">
        <v>3678242.4</v>
      </c>
    </row>
    <row r="2959" spans="1:4" x14ac:dyDescent="0.25">
      <c r="A2959">
        <v>1790</v>
      </c>
      <c r="B2959" s="16">
        <v>43922</v>
      </c>
      <c r="C2959" t="s">
        <v>182</v>
      </c>
      <c r="D2959" s="22">
        <v>3678242.4</v>
      </c>
    </row>
    <row r="2960" spans="1:4" x14ac:dyDescent="0.25">
      <c r="A2960">
        <v>1790</v>
      </c>
      <c r="B2960" s="16">
        <v>43556</v>
      </c>
      <c r="C2960" t="s">
        <v>318</v>
      </c>
      <c r="D2960" s="22">
        <v>3678242.4</v>
      </c>
    </row>
    <row r="2961" spans="1:4" x14ac:dyDescent="0.25">
      <c r="A2961">
        <v>1790</v>
      </c>
      <c r="B2961" s="16">
        <v>43586</v>
      </c>
      <c r="C2961" t="s">
        <v>318</v>
      </c>
      <c r="D2961" s="22">
        <v>3678242.4</v>
      </c>
    </row>
    <row r="2962" spans="1:4" x14ac:dyDescent="0.25">
      <c r="A2962">
        <v>1790</v>
      </c>
      <c r="B2962" s="16">
        <v>43617</v>
      </c>
      <c r="C2962" t="s">
        <v>318</v>
      </c>
      <c r="D2962" s="22">
        <v>3678242.4</v>
      </c>
    </row>
    <row r="2963" spans="1:4" x14ac:dyDescent="0.25">
      <c r="A2963">
        <v>1790</v>
      </c>
      <c r="B2963" s="16">
        <v>43647</v>
      </c>
      <c r="C2963" t="s">
        <v>318</v>
      </c>
      <c r="D2963" s="22">
        <v>3678242.4</v>
      </c>
    </row>
    <row r="2964" spans="1:4" x14ac:dyDescent="0.25">
      <c r="A2964">
        <v>1790</v>
      </c>
      <c r="B2964" s="16">
        <v>43678</v>
      </c>
      <c r="C2964" t="s">
        <v>318</v>
      </c>
      <c r="D2964" s="22">
        <v>3678242.4</v>
      </c>
    </row>
    <row r="2965" spans="1:4" x14ac:dyDescent="0.25">
      <c r="A2965">
        <v>1790</v>
      </c>
      <c r="B2965" s="16">
        <v>43709</v>
      </c>
      <c r="C2965" t="s">
        <v>318</v>
      </c>
      <c r="D2965" s="22">
        <v>3678242.4</v>
      </c>
    </row>
    <row r="2966" spans="1:4" x14ac:dyDescent="0.25">
      <c r="A2966">
        <v>1790</v>
      </c>
      <c r="B2966" s="16">
        <v>43739</v>
      </c>
      <c r="C2966" t="s">
        <v>318</v>
      </c>
      <c r="D2966" s="22">
        <v>3678242.4</v>
      </c>
    </row>
    <row r="2967" spans="1:4" x14ac:dyDescent="0.25">
      <c r="A2967">
        <v>1790</v>
      </c>
      <c r="B2967" s="16">
        <v>43770</v>
      </c>
      <c r="C2967" t="s">
        <v>318</v>
      </c>
      <c r="D2967" s="22">
        <v>3678242.4</v>
      </c>
    </row>
    <row r="2968" spans="1:4" x14ac:dyDescent="0.25">
      <c r="A2968">
        <v>1790</v>
      </c>
      <c r="B2968" s="16">
        <v>43800</v>
      </c>
      <c r="C2968" t="s">
        <v>318</v>
      </c>
      <c r="D2968" s="22">
        <v>3678242.4</v>
      </c>
    </row>
    <row r="2969" spans="1:4" x14ac:dyDescent="0.25">
      <c r="A2969">
        <v>1507</v>
      </c>
      <c r="B2969" s="16">
        <v>43617</v>
      </c>
      <c r="C2969" t="s">
        <v>192</v>
      </c>
      <c r="D2969" s="22">
        <v>577000000</v>
      </c>
    </row>
    <row r="2970" spans="1:4" x14ac:dyDescent="0.25">
      <c r="A2970">
        <v>1580</v>
      </c>
      <c r="B2970" s="16">
        <v>43466</v>
      </c>
      <c r="C2970" t="s">
        <v>192</v>
      </c>
      <c r="D2970" s="22">
        <v>29400000</v>
      </c>
    </row>
    <row r="2971" spans="1:4" x14ac:dyDescent="0.25">
      <c r="A2971">
        <v>1580</v>
      </c>
      <c r="B2971" s="16">
        <v>43497</v>
      </c>
      <c r="C2971" t="s">
        <v>192</v>
      </c>
      <c r="D2971" s="22">
        <v>29400000</v>
      </c>
    </row>
    <row r="2972" spans="1:4" x14ac:dyDescent="0.25">
      <c r="A2972">
        <v>1580</v>
      </c>
      <c r="B2972" s="16">
        <v>43525</v>
      </c>
      <c r="C2972" t="s">
        <v>192</v>
      </c>
      <c r="D2972" s="22">
        <v>29400000</v>
      </c>
    </row>
    <row r="2973" spans="1:4" x14ac:dyDescent="0.25">
      <c r="A2973">
        <v>1580</v>
      </c>
      <c r="B2973" s="16">
        <v>43556</v>
      </c>
      <c r="C2973" t="s">
        <v>192</v>
      </c>
      <c r="D2973" s="22">
        <v>29400000</v>
      </c>
    </row>
    <row r="2974" spans="1:4" x14ac:dyDescent="0.25">
      <c r="A2974">
        <v>1580</v>
      </c>
      <c r="B2974" s="16">
        <v>43586</v>
      </c>
      <c r="C2974" t="s">
        <v>192</v>
      </c>
      <c r="D2974" s="22">
        <v>29400000</v>
      </c>
    </row>
    <row r="2975" spans="1:4" x14ac:dyDescent="0.25">
      <c r="A2975">
        <v>1580</v>
      </c>
      <c r="B2975" s="16">
        <v>43617</v>
      </c>
      <c r="C2975" t="s">
        <v>192</v>
      </c>
      <c r="D2975" s="22">
        <v>29400000</v>
      </c>
    </row>
    <row r="2976" spans="1:4" x14ac:dyDescent="0.25">
      <c r="A2976">
        <v>1580</v>
      </c>
      <c r="B2976" s="16">
        <v>43647</v>
      </c>
      <c r="C2976" t="s">
        <v>192</v>
      </c>
      <c r="D2976" s="22">
        <v>29400000</v>
      </c>
    </row>
    <row r="2977" spans="1:4" x14ac:dyDescent="0.25">
      <c r="A2977">
        <v>1580</v>
      </c>
      <c r="B2977" s="16">
        <v>43678</v>
      </c>
      <c r="C2977" t="s">
        <v>192</v>
      </c>
      <c r="D2977" s="22">
        <v>29400000</v>
      </c>
    </row>
    <row r="2978" spans="1:4" x14ac:dyDescent="0.25">
      <c r="A2978">
        <v>1580</v>
      </c>
      <c r="B2978" s="16">
        <v>43709</v>
      </c>
      <c r="C2978" t="s">
        <v>192</v>
      </c>
      <c r="D2978" s="22">
        <v>29400000</v>
      </c>
    </row>
    <row r="2979" spans="1:4" x14ac:dyDescent="0.25">
      <c r="A2979">
        <v>1580</v>
      </c>
      <c r="B2979" s="16">
        <v>43739</v>
      </c>
      <c r="C2979" t="s">
        <v>192</v>
      </c>
      <c r="D2979" s="22">
        <v>29400000</v>
      </c>
    </row>
    <row r="2980" spans="1:4" x14ac:dyDescent="0.25">
      <c r="A2980">
        <v>1580</v>
      </c>
      <c r="B2980" s="16">
        <v>43770</v>
      </c>
      <c r="C2980" t="s">
        <v>192</v>
      </c>
      <c r="D2980" s="22">
        <v>29400000</v>
      </c>
    </row>
    <row r="2981" spans="1:4" x14ac:dyDescent="0.25">
      <c r="A2981">
        <v>1580</v>
      </c>
      <c r="B2981" s="16">
        <v>43800</v>
      </c>
      <c r="C2981" t="s">
        <v>192</v>
      </c>
      <c r="D2981" s="22">
        <v>29400000</v>
      </c>
    </row>
    <row r="2982" spans="1:4" x14ac:dyDescent="0.25">
      <c r="A2982">
        <v>1580</v>
      </c>
      <c r="B2982" s="16">
        <v>43831</v>
      </c>
      <c r="C2982" t="s">
        <v>192</v>
      </c>
      <c r="D2982" s="22">
        <v>29400000</v>
      </c>
    </row>
    <row r="2983" spans="1:4" x14ac:dyDescent="0.25">
      <c r="A2983">
        <v>1580</v>
      </c>
      <c r="B2983" s="16">
        <v>43862</v>
      </c>
      <c r="C2983" t="s">
        <v>192</v>
      </c>
      <c r="D2983" s="22">
        <v>29400000</v>
      </c>
    </row>
    <row r="2984" spans="1:4" x14ac:dyDescent="0.25">
      <c r="A2984">
        <v>1596</v>
      </c>
      <c r="B2984" s="16">
        <v>43466</v>
      </c>
      <c r="C2984" t="s">
        <v>192</v>
      </c>
      <c r="D2984" s="22">
        <v>21263797.894736841</v>
      </c>
    </row>
    <row r="2985" spans="1:4" x14ac:dyDescent="0.25">
      <c r="A2985">
        <v>1596</v>
      </c>
      <c r="B2985" s="16">
        <v>43497</v>
      </c>
      <c r="C2985" t="s">
        <v>192</v>
      </c>
      <c r="D2985" s="22">
        <v>21263797.894736841</v>
      </c>
    </row>
    <row r="2986" spans="1:4" x14ac:dyDescent="0.25">
      <c r="A2986">
        <v>1596</v>
      </c>
      <c r="B2986" s="16">
        <v>43525</v>
      </c>
      <c r="C2986" t="s">
        <v>192</v>
      </c>
      <c r="D2986" s="22">
        <v>21263797.894736841</v>
      </c>
    </row>
    <row r="2987" spans="1:4" x14ac:dyDescent="0.25">
      <c r="A2987">
        <v>1596</v>
      </c>
      <c r="B2987" s="16">
        <v>43556</v>
      </c>
      <c r="C2987" t="s">
        <v>192</v>
      </c>
      <c r="D2987" s="22">
        <v>21263797.894736841</v>
      </c>
    </row>
    <row r="2988" spans="1:4" x14ac:dyDescent="0.25">
      <c r="A2988">
        <v>1596</v>
      </c>
      <c r="B2988" s="16">
        <v>43586</v>
      </c>
      <c r="C2988" t="s">
        <v>192</v>
      </c>
      <c r="D2988" s="22">
        <v>21263797.894736841</v>
      </c>
    </row>
    <row r="2989" spans="1:4" x14ac:dyDescent="0.25">
      <c r="A2989">
        <v>1596</v>
      </c>
      <c r="B2989" s="16">
        <v>43617</v>
      </c>
      <c r="C2989" t="s">
        <v>192</v>
      </c>
      <c r="D2989" s="22">
        <v>21263797.894736841</v>
      </c>
    </row>
    <row r="2990" spans="1:4" x14ac:dyDescent="0.25">
      <c r="A2990">
        <v>1689</v>
      </c>
      <c r="B2990" s="16">
        <v>43466</v>
      </c>
      <c r="C2990" t="s">
        <v>192</v>
      </c>
      <c r="D2990" s="22">
        <v>15665740</v>
      </c>
    </row>
    <row r="2991" spans="1:4" x14ac:dyDescent="0.25">
      <c r="A2991">
        <v>1689</v>
      </c>
      <c r="B2991" s="16">
        <v>43497</v>
      </c>
      <c r="C2991" t="s">
        <v>192</v>
      </c>
      <c r="D2991" s="22">
        <v>15665740</v>
      </c>
    </row>
    <row r="2992" spans="1:4" x14ac:dyDescent="0.25">
      <c r="A2992">
        <v>1689</v>
      </c>
      <c r="B2992" s="16">
        <v>43525</v>
      </c>
      <c r="C2992" t="s">
        <v>192</v>
      </c>
      <c r="D2992" s="22">
        <v>15665740</v>
      </c>
    </row>
    <row r="2993" spans="1:4" x14ac:dyDescent="0.25">
      <c r="A2993">
        <v>1689</v>
      </c>
      <c r="B2993" s="16">
        <v>43556</v>
      </c>
      <c r="C2993" t="s">
        <v>192</v>
      </c>
      <c r="D2993" s="22">
        <v>15665740</v>
      </c>
    </row>
    <row r="2994" spans="1:4" x14ac:dyDescent="0.25">
      <c r="A2994">
        <v>1689</v>
      </c>
      <c r="B2994" s="16">
        <v>43586</v>
      </c>
      <c r="C2994" t="s">
        <v>192</v>
      </c>
      <c r="D2994" s="22">
        <v>15665740</v>
      </c>
    </row>
    <row r="2995" spans="1:4" x14ac:dyDescent="0.25">
      <c r="A2995">
        <v>1689</v>
      </c>
      <c r="B2995" s="16">
        <v>43617</v>
      </c>
      <c r="C2995" t="s">
        <v>192</v>
      </c>
      <c r="D2995" s="22">
        <v>15665740</v>
      </c>
    </row>
    <row r="2996" spans="1:4" x14ac:dyDescent="0.25">
      <c r="A2996">
        <v>1689</v>
      </c>
      <c r="B2996" s="16">
        <v>43647</v>
      </c>
      <c r="C2996" t="s">
        <v>192</v>
      </c>
      <c r="D2996" s="22">
        <v>15665740</v>
      </c>
    </row>
    <row r="2997" spans="1:4" x14ac:dyDescent="0.25">
      <c r="A2997">
        <v>1689</v>
      </c>
      <c r="B2997" s="16">
        <v>43678</v>
      </c>
      <c r="C2997" t="s">
        <v>192</v>
      </c>
      <c r="D2997" s="22">
        <v>15665740</v>
      </c>
    </row>
    <row r="2998" spans="1:4" x14ac:dyDescent="0.25">
      <c r="A2998">
        <v>1689</v>
      </c>
      <c r="B2998" s="16">
        <v>43709</v>
      </c>
      <c r="C2998" t="s">
        <v>192</v>
      </c>
      <c r="D2998" s="22">
        <v>15665740</v>
      </c>
    </row>
    <row r="2999" spans="1:4" x14ac:dyDescent="0.25">
      <c r="A2999">
        <v>1744</v>
      </c>
      <c r="B2999" s="16">
        <v>43466</v>
      </c>
      <c r="C2999" t="s">
        <v>192</v>
      </c>
      <c r="D2999" s="22">
        <v>35458635</v>
      </c>
    </row>
    <row r="3000" spans="1:4" x14ac:dyDescent="0.25">
      <c r="A3000">
        <v>1744</v>
      </c>
      <c r="B3000" s="16">
        <v>43497</v>
      </c>
      <c r="C3000" t="s">
        <v>192</v>
      </c>
      <c r="D3000" s="22">
        <v>35458635</v>
      </c>
    </row>
    <row r="3001" spans="1:4" x14ac:dyDescent="0.25">
      <c r="A3001">
        <v>1744</v>
      </c>
      <c r="B3001" s="16">
        <v>43525</v>
      </c>
      <c r="C3001" t="s">
        <v>192</v>
      </c>
      <c r="D3001" s="22">
        <v>35458635</v>
      </c>
    </row>
    <row r="3002" spans="1:4" x14ac:dyDescent="0.25">
      <c r="A3002">
        <v>1744</v>
      </c>
      <c r="B3002" s="16">
        <v>43556</v>
      </c>
      <c r="C3002" t="s">
        <v>192</v>
      </c>
      <c r="D3002" s="22">
        <v>35458635</v>
      </c>
    </row>
    <row r="3003" spans="1:4" x14ac:dyDescent="0.25">
      <c r="A3003">
        <v>1744</v>
      </c>
      <c r="B3003" s="16">
        <v>43586</v>
      </c>
      <c r="C3003" t="s">
        <v>192</v>
      </c>
      <c r="D3003" s="22">
        <v>35458635</v>
      </c>
    </row>
    <row r="3004" spans="1:4" x14ac:dyDescent="0.25">
      <c r="A3004">
        <v>1744</v>
      </c>
      <c r="B3004" s="16">
        <v>43617</v>
      </c>
      <c r="C3004" t="s">
        <v>192</v>
      </c>
      <c r="D3004" s="22">
        <v>35458635</v>
      </c>
    </row>
    <row r="3005" spans="1:4" x14ac:dyDescent="0.25">
      <c r="A3005">
        <v>1744</v>
      </c>
      <c r="B3005" s="16">
        <v>43647</v>
      </c>
      <c r="C3005" t="s">
        <v>192</v>
      </c>
      <c r="D3005" s="22">
        <v>35458635</v>
      </c>
    </row>
    <row r="3006" spans="1:4" x14ac:dyDescent="0.25">
      <c r="A3006">
        <v>1744</v>
      </c>
      <c r="B3006" s="16">
        <v>43678</v>
      </c>
      <c r="C3006" t="s">
        <v>192</v>
      </c>
      <c r="D3006" s="22">
        <v>35458635</v>
      </c>
    </row>
    <row r="3007" spans="1:4" x14ac:dyDescent="0.25">
      <c r="A3007">
        <v>1751</v>
      </c>
      <c r="B3007" s="16">
        <v>43466</v>
      </c>
      <c r="C3007" t="s">
        <v>192</v>
      </c>
      <c r="D3007" s="22">
        <v>15500000</v>
      </c>
    </row>
    <row r="3008" spans="1:4" x14ac:dyDescent="0.25">
      <c r="A3008">
        <v>1751</v>
      </c>
      <c r="B3008" s="16">
        <v>43497</v>
      </c>
      <c r="C3008" t="s">
        <v>192</v>
      </c>
      <c r="D3008" s="22">
        <v>15500000</v>
      </c>
    </row>
    <row r="3009" spans="1:4" x14ac:dyDescent="0.25">
      <c r="A3009">
        <v>1751</v>
      </c>
      <c r="B3009" s="16">
        <v>43525</v>
      </c>
      <c r="C3009" t="s">
        <v>192</v>
      </c>
      <c r="D3009" s="22">
        <v>15500000</v>
      </c>
    </row>
    <row r="3010" spans="1:4" x14ac:dyDescent="0.25">
      <c r="A3010">
        <v>1751</v>
      </c>
      <c r="B3010" s="16">
        <v>43556</v>
      </c>
      <c r="C3010" t="s">
        <v>192</v>
      </c>
      <c r="D3010" s="22">
        <v>15500000</v>
      </c>
    </row>
    <row r="3011" spans="1:4" x14ac:dyDescent="0.25">
      <c r="A3011">
        <v>1751</v>
      </c>
      <c r="B3011" s="16">
        <v>43586</v>
      </c>
      <c r="C3011" t="s">
        <v>192</v>
      </c>
      <c r="D3011" s="22">
        <v>15500000</v>
      </c>
    </row>
    <row r="3012" spans="1:4" x14ac:dyDescent="0.25">
      <c r="A3012">
        <v>1753</v>
      </c>
      <c r="B3012" s="16">
        <v>43466</v>
      </c>
      <c r="C3012" t="s">
        <v>192</v>
      </c>
      <c r="D3012" s="22">
        <v>10000000</v>
      </c>
    </row>
    <row r="3013" spans="1:4" x14ac:dyDescent="0.25">
      <c r="A3013">
        <v>1756</v>
      </c>
      <c r="B3013" s="16">
        <v>43466</v>
      </c>
      <c r="C3013" t="s">
        <v>192</v>
      </c>
      <c r="D3013" s="22">
        <v>62778573</v>
      </c>
    </row>
    <row r="3014" spans="1:4" x14ac:dyDescent="0.25">
      <c r="A3014">
        <v>1756</v>
      </c>
      <c r="B3014" s="16">
        <v>43497</v>
      </c>
      <c r="C3014" t="s">
        <v>192</v>
      </c>
      <c r="D3014" s="22">
        <v>62778573</v>
      </c>
    </row>
    <row r="3015" spans="1:4" x14ac:dyDescent="0.25">
      <c r="A3015">
        <v>1756</v>
      </c>
      <c r="B3015" s="16">
        <v>43525</v>
      </c>
      <c r="C3015" t="s">
        <v>192</v>
      </c>
      <c r="D3015" s="22">
        <v>62778573</v>
      </c>
    </row>
    <row r="3016" spans="1:4" x14ac:dyDescent="0.25">
      <c r="A3016">
        <v>1756</v>
      </c>
      <c r="B3016" s="16">
        <v>43556</v>
      </c>
      <c r="C3016" t="s">
        <v>192</v>
      </c>
      <c r="D3016" s="22">
        <v>62778573</v>
      </c>
    </row>
    <row r="3017" spans="1:4" x14ac:dyDescent="0.25">
      <c r="A3017">
        <v>1756</v>
      </c>
      <c r="B3017" s="16">
        <v>43586</v>
      </c>
      <c r="C3017" t="s">
        <v>192</v>
      </c>
      <c r="D3017" s="22">
        <v>62778573</v>
      </c>
    </row>
    <row r="3018" spans="1:4" x14ac:dyDescent="0.25">
      <c r="A3018">
        <v>1756</v>
      </c>
      <c r="B3018" s="16">
        <v>43617</v>
      </c>
      <c r="C3018" t="s">
        <v>192</v>
      </c>
      <c r="D3018" s="22">
        <v>62778573</v>
      </c>
    </row>
    <row r="3019" spans="1:4" x14ac:dyDescent="0.25">
      <c r="A3019">
        <v>1756</v>
      </c>
      <c r="B3019" s="16">
        <v>43647</v>
      </c>
      <c r="C3019" t="s">
        <v>192</v>
      </c>
      <c r="D3019" s="22">
        <v>62778573</v>
      </c>
    </row>
    <row r="3020" spans="1:4" x14ac:dyDescent="0.25">
      <c r="A3020">
        <v>1756</v>
      </c>
      <c r="B3020" s="16">
        <v>43678</v>
      </c>
      <c r="C3020" t="s">
        <v>192</v>
      </c>
      <c r="D3020" s="22">
        <v>62778573</v>
      </c>
    </row>
    <row r="3021" spans="1:4" x14ac:dyDescent="0.25">
      <c r="A3021">
        <v>1756</v>
      </c>
      <c r="B3021" s="16">
        <v>43709</v>
      </c>
      <c r="C3021" t="s">
        <v>192</v>
      </c>
      <c r="D3021" s="22">
        <v>62778573</v>
      </c>
    </row>
    <row r="3022" spans="1:4" x14ac:dyDescent="0.25">
      <c r="A3022">
        <v>1758</v>
      </c>
      <c r="B3022" s="16">
        <v>43466</v>
      </c>
      <c r="C3022" t="s">
        <v>192</v>
      </c>
      <c r="D3022" s="22">
        <v>16500000</v>
      </c>
    </row>
    <row r="3023" spans="1:4" x14ac:dyDescent="0.25">
      <c r="A3023">
        <v>1758</v>
      </c>
      <c r="B3023" s="16">
        <v>43497</v>
      </c>
      <c r="C3023" t="s">
        <v>192</v>
      </c>
      <c r="D3023" s="22">
        <v>16500000</v>
      </c>
    </row>
    <row r="3024" spans="1:4" x14ac:dyDescent="0.25">
      <c r="A3024">
        <v>1758</v>
      </c>
      <c r="B3024" s="16">
        <v>43525</v>
      </c>
      <c r="C3024" t="s">
        <v>192</v>
      </c>
      <c r="D3024" s="22">
        <v>16500000</v>
      </c>
    </row>
    <row r="3025" spans="1:4" x14ac:dyDescent="0.25">
      <c r="A3025">
        <v>1758</v>
      </c>
      <c r="B3025" s="16">
        <v>43556</v>
      </c>
      <c r="C3025" t="s">
        <v>192</v>
      </c>
      <c r="D3025" s="22">
        <v>16500000</v>
      </c>
    </row>
    <row r="3026" spans="1:4" x14ac:dyDescent="0.25">
      <c r="A3026">
        <v>1758</v>
      </c>
      <c r="B3026" s="16">
        <v>43586</v>
      </c>
      <c r="C3026" t="s">
        <v>192</v>
      </c>
      <c r="D3026" s="22">
        <v>16500000</v>
      </c>
    </row>
    <row r="3027" spans="1:4" x14ac:dyDescent="0.25">
      <c r="A3027">
        <v>1758</v>
      </c>
      <c r="B3027" s="16">
        <v>43617</v>
      </c>
      <c r="C3027" t="s">
        <v>192</v>
      </c>
      <c r="D3027" s="22">
        <v>16500000</v>
      </c>
    </row>
    <row r="3028" spans="1:4" x14ac:dyDescent="0.25">
      <c r="A3028">
        <v>1758</v>
      </c>
      <c r="B3028" s="16">
        <v>43647</v>
      </c>
      <c r="C3028" t="s">
        <v>192</v>
      </c>
      <c r="D3028" s="22">
        <v>16500000</v>
      </c>
    </row>
    <row r="3029" spans="1:4" x14ac:dyDescent="0.25">
      <c r="A3029">
        <v>1758</v>
      </c>
      <c r="B3029" s="16">
        <v>43678</v>
      </c>
      <c r="C3029" t="s">
        <v>192</v>
      </c>
      <c r="D3029" s="22">
        <v>16500000</v>
      </c>
    </row>
    <row r="3030" spans="1:4" x14ac:dyDescent="0.25">
      <c r="A3030">
        <v>1758</v>
      </c>
      <c r="B3030" s="16">
        <v>43709</v>
      </c>
      <c r="C3030" t="s">
        <v>192</v>
      </c>
      <c r="D3030" s="22">
        <v>16500000</v>
      </c>
    </row>
    <row r="3031" spans="1:4" x14ac:dyDescent="0.25">
      <c r="A3031">
        <v>1758</v>
      </c>
      <c r="B3031" s="16">
        <v>43739</v>
      </c>
      <c r="C3031" t="s">
        <v>192</v>
      </c>
      <c r="D3031" s="22">
        <v>16500000</v>
      </c>
    </row>
    <row r="3032" spans="1:4" x14ac:dyDescent="0.25">
      <c r="A3032">
        <v>1758</v>
      </c>
      <c r="B3032" s="16">
        <v>43770</v>
      </c>
      <c r="C3032" t="s">
        <v>192</v>
      </c>
      <c r="D3032" s="22">
        <v>16500000</v>
      </c>
    </row>
    <row r="3033" spans="1:4" x14ac:dyDescent="0.25">
      <c r="A3033">
        <v>1758</v>
      </c>
      <c r="B3033" s="16">
        <v>43800</v>
      </c>
      <c r="C3033" t="s">
        <v>192</v>
      </c>
      <c r="D3033" s="22">
        <v>16500000</v>
      </c>
    </row>
    <row r="3034" spans="1:4" x14ac:dyDescent="0.25">
      <c r="A3034">
        <v>1789</v>
      </c>
      <c r="B3034" s="16">
        <v>43466</v>
      </c>
      <c r="C3034" t="s">
        <v>192</v>
      </c>
      <c r="D3034" s="22">
        <v>15400000</v>
      </c>
    </row>
    <row r="3035" spans="1:4" x14ac:dyDescent="0.25">
      <c r="A3035">
        <v>1802</v>
      </c>
      <c r="B3035" s="16">
        <v>43466</v>
      </c>
      <c r="C3035" t="s">
        <v>192</v>
      </c>
      <c r="D3035" s="22">
        <v>21063300</v>
      </c>
    </row>
    <row r="3036" spans="1:4" x14ac:dyDescent="0.25">
      <c r="A3036">
        <v>1802</v>
      </c>
      <c r="B3036" s="16">
        <v>43497</v>
      </c>
      <c r="C3036" t="s">
        <v>192</v>
      </c>
      <c r="D3036" s="22">
        <v>21063300</v>
      </c>
    </row>
    <row r="3037" spans="1:4" x14ac:dyDescent="0.25">
      <c r="A3037">
        <v>1802</v>
      </c>
      <c r="B3037" s="16">
        <v>43525</v>
      </c>
      <c r="C3037" t="s">
        <v>192</v>
      </c>
      <c r="D3037" s="22">
        <v>21063300</v>
      </c>
    </row>
    <row r="3038" spans="1:4" x14ac:dyDescent="0.25">
      <c r="A3038">
        <v>1802</v>
      </c>
      <c r="B3038" s="16">
        <v>43556</v>
      </c>
      <c r="C3038" t="s">
        <v>192</v>
      </c>
      <c r="D3038" s="22">
        <v>21063300</v>
      </c>
    </row>
    <row r="3039" spans="1:4" x14ac:dyDescent="0.25">
      <c r="A3039">
        <v>1802</v>
      </c>
      <c r="B3039" s="16">
        <v>43586</v>
      </c>
      <c r="C3039" t="s">
        <v>192</v>
      </c>
      <c r="D3039" s="22">
        <v>21063300</v>
      </c>
    </row>
    <row r="3040" spans="1:4" x14ac:dyDescent="0.25">
      <c r="A3040">
        <v>1802</v>
      </c>
      <c r="B3040" s="16">
        <v>43617</v>
      </c>
      <c r="C3040" t="s">
        <v>192</v>
      </c>
      <c r="D3040" s="22">
        <v>21063300</v>
      </c>
    </row>
    <row r="3041" spans="1:4" x14ac:dyDescent="0.25">
      <c r="A3041">
        <v>1802</v>
      </c>
      <c r="B3041" s="16">
        <v>43647</v>
      </c>
      <c r="C3041" t="s">
        <v>192</v>
      </c>
      <c r="D3041" s="22">
        <v>21063300</v>
      </c>
    </row>
    <row r="3042" spans="1:4" x14ac:dyDescent="0.25">
      <c r="A3042">
        <v>1802</v>
      </c>
      <c r="B3042" s="16">
        <v>43678</v>
      </c>
      <c r="C3042" t="s">
        <v>192</v>
      </c>
      <c r="D3042" s="22">
        <v>21063300</v>
      </c>
    </row>
    <row r="3043" spans="1:4" x14ac:dyDescent="0.25">
      <c r="A3043">
        <v>1802</v>
      </c>
      <c r="B3043" s="16">
        <v>43709</v>
      </c>
      <c r="C3043" t="s">
        <v>192</v>
      </c>
      <c r="D3043" s="22">
        <v>21063300</v>
      </c>
    </row>
    <row r="3044" spans="1:4" x14ac:dyDescent="0.25">
      <c r="A3044">
        <v>1802</v>
      </c>
      <c r="B3044" s="16">
        <v>43739</v>
      </c>
      <c r="C3044" t="s">
        <v>192</v>
      </c>
      <c r="D3044" s="22">
        <v>21063300</v>
      </c>
    </row>
    <row r="3045" spans="1:4" x14ac:dyDescent="0.25">
      <c r="A3045">
        <v>1802</v>
      </c>
      <c r="B3045" s="16">
        <v>43770</v>
      </c>
      <c r="C3045" t="s">
        <v>192</v>
      </c>
      <c r="D3045" s="22">
        <v>21063300</v>
      </c>
    </row>
    <row r="3046" spans="1:4" x14ac:dyDescent="0.25">
      <c r="A3046">
        <v>1802</v>
      </c>
      <c r="B3046" s="16">
        <v>43800</v>
      </c>
      <c r="C3046" t="s">
        <v>192</v>
      </c>
      <c r="D3046" s="22">
        <v>21063300</v>
      </c>
    </row>
    <row r="3047" spans="1:4" x14ac:dyDescent="0.25">
      <c r="A3047">
        <v>1802</v>
      </c>
      <c r="B3047" s="16">
        <v>43831</v>
      </c>
      <c r="C3047" t="s">
        <v>192</v>
      </c>
      <c r="D3047" s="22">
        <v>21063300</v>
      </c>
    </row>
    <row r="3048" spans="1:4" x14ac:dyDescent="0.25">
      <c r="A3048">
        <v>1802</v>
      </c>
      <c r="B3048" s="16">
        <v>43862</v>
      </c>
      <c r="C3048" t="s">
        <v>192</v>
      </c>
      <c r="D3048" s="22">
        <v>21063300</v>
      </c>
    </row>
    <row r="3049" spans="1:4" x14ac:dyDescent="0.25">
      <c r="A3049">
        <v>1804</v>
      </c>
      <c r="B3049" s="16">
        <v>43466</v>
      </c>
      <c r="C3049" t="s">
        <v>192</v>
      </c>
      <c r="D3049" s="22">
        <v>29813870</v>
      </c>
    </row>
    <row r="3050" spans="1:4" x14ac:dyDescent="0.25">
      <c r="A3050">
        <v>1804</v>
      </c>
      <c r="B3050" s="16">
        <v>43497</v>
      </c>
      <c r="C3050" t="s">
        <v>192</v>
      </c>
      <c r="D3050" s="22">
        <v>29813870</v>
      </c>
    </row>
    <row r="3051" spans="1:4" x14ac:dyDescent="0.25">
      <c r="A3051">
        <v>1804</v>
      </c>
      <c r="B3051" s="16">
        <v>43525</v>
      </c>
      <c r="C3051" t="s">
        <v>192</v>
      </c>
      <c r="D3051" s="22">
        <v>29813870</v>
      </c>
    </row>
    <row r="3052" spans="1:4" x14ac:dyDescent="0.25">
      <c r="A3052">
        <v>1813</v>
      </c>
      <c r="B3052" s="16">
        <v>43466</v>
      </c>
      <c r="C3052" t="s">
        <v>192</v>
      </c>
      <c r="D3052" s="22">
        <v>39668026.912500001</v>
      </c>
    </row>
    <row r="3053" spans="1:4" x14ac:dyDescent="0.25">
      <c r="A3053">
        <v>1813</v>
      </c>
      <c r="B3053" s="16">
        <v>43497</v>
      </c>
      <c r="C3053" t="s">
        <v>192</v>
      </c>
      <c r="D3053" s="22">
        <v>39668026.912500001</v>
      </c>
    </row>
    <row r="3054" spans="1:4" x14ac:dyDescent="0.25">
      <c r="A3054">
        <v>1813</v>
      </c>
      <c r="B3054" s="16">
        <v>43525</v>
      </c>
      <c r="C3054" t="s">
        <v>192</v>
      </c>
      <c r="D3054" s="22">
        <v>39668026.912500001</v>
      </c>
    </row>
    <row r="3055" spans="1:4" x14ac:dyDescent="0.25">
      <c r="A3055">
        <v>1813</v>
      </c>
      <c r="B3055" s="16">
        <v>43556</v>
      </c>
      <c r="C3055" t="s">
        <v>192</v>
      </c>
      <c r="D3055" s="22">
        <v>39668026.912500001</v>
      </c>
    </row>
    <row r="3056" spans="1:4" x14ac:dyDescent="0.25">
      <c r="A3056">
        <v>1813</v>
      </c>
      <c r="B3056" s="16">
        <v>43586</v>
      </c>
      <c r="C3056" t="s">
        <v>192</v>
      </c>
      <c r="D3056" s="22">
        <v>39668026.912500001</v>
      </c>
    </row>
    <row r="3057" spans="1:4" x14ac:dyDescent="0.25">
      <c r="A3057">
        <v>1813</v>
      </c>
      <c r="B3057" s="16">
        <v>43466</v>
      </c>
      <c r="C3057" t="s">
        <v>192</v>
      </c>
      <c r="D3057" s="22">
        <v>86911842.894736797</v>
      </c>
    </row>
    <row r="3058" spans="1:4" x14ac:dyDescent="0.25">
      <c r="A3058">
        <v>1813</v>
      </c>
      <c r="B3058" s="16">
        <v>43497</v>
      </c>
      <c r="C3058" t="s">
        <v>192</v>
      </c>
      <c r="D3058" s="22">
        <v>86911842.894736797</v>
      </c>
    </row>
    <row r="3059" spans="1:4" x14ac:dyDescent="0.25">
      <c r="A3059">
        <v>1813</v>
      </c>
      <c r="B3059" s="16">
        <v>43525</v>
      </c>
      <c r="C3059" t="s">
        <v>192</v>
      </c>
      <c r="D3059" s="22">
        <v>86911842.894736797</v>
      </c>
    </row>
    <row r="3060" spans="1:4" x14ac:dyDescent="0.25">
      <c r="A3060">
        <v>1813</v>
      </c>
      <c r="B3060" s="16">
        <v>43556</v>
      </c>
      <c r="C3060" t="s">
        <v>192</v>
      </c>
      <c r="D3060" s="22">
        <v>86911842.894736797</v>
      </c>
    </row>
    <row r="3061" spans="1:4" x14ac:dyDescent="0.25">
      <c r="A3061">
        <v>1813</v>
      </c>
      <c r="B3061" s="16">
        <v>43586</v>
      </c>
      <c r="C3061" t="s">
        <v>192</v>
      </c>
      <c r="D3061" s="22">
        <v>86911842.894736797</v>
      </c>
    </row>
    <row r="3062" spans="1:4" x14ac:dyDescent="0.25">
      <c r="A3062">
        <v>1818</v>
      </c>
      <c r="B3062" s="16">
        <v>43466</v>
      </c>
      <c r="C3062" t="s">
        <v>192</v>
      </c>
      <c r="D3062" s="22">
        <v>14500000</v>
      </c>
    </row>
    <row r="3063" spans="1:4" x14ac:dyDescent="0.25">
      <c r="A3063">
        <v>1818</v>
      </c>
      <c r="B3063" s="16">
        <v>43497</v>
      </c>
      <c r="C3063" t="s">
        <v>192</v>
      </c>
      <c r="D3063" s="22">
        <v>14500000</v>
      </c>
    </row>
    <row r="3064" spans="1:4" x14ac:dyDescent="0.25">
      <c r="A3064">
        <v>1818</v>
      </c>
      <c r="B3064" s="16">
        <v>43525</v>
      </c>
      <c r="C3064" t="s">
        <v>192</v>
      </c>
      <c r="D3064" s="22">
        <v>14500000</v>
      </c>
    </row>
    <row r="3065" spans="1:4" x14ac:dyDescent="0.25">
      <c r="A3065">
        <v>1818</v>
      </c>
      <c r="B3065" s="16">
        <v>43556</v>
      </c>
      <c r="C3065" t="s">
        <v>192</v>
      </c>
      <c r="D3065" s="22">
        <v>14500000</v>
      </c>
    </row>
    <row r="3066" spans="1:4" x14ac:dyDescent="0.25">
      <c r="A3066">
        <v>1818</v>
      </c>
      <c r="B3066" s="16">
        <v>43586</v>
      </c>
      <c r="C3066" t="s">
        <v>192</v>
      </c>
      <c r="D3066" s="22">
        <v>14500000</v>
      </c>
    </row>
    <row r="3067" spans="1:4" x14ac:dyDescent="0.25">
      <c r="A3067">
        <v>1818</v>
      </c>
      <c r="B3067" s="16">
        <v>43617</v>
      </c>
      <c r="C3067" t="s">
        <v>192</v>
      </c>
      <c r="D3067" s="22">
        <v>14500000</v>
      </c>
    </row>
    <row r="3068" spans="1:4" x14ac:dyDescent="0.25">
      <c r="A3068">
        <v>1818</v>
      </c>
      <c r="B3068" s="16">
        <v>43647</v>
      </c>
      <c r="C3068" t="s">
        <v>192</v>
      </c>
      <c r="D3068" s="22">
        <v>14500000</v>
      </c>
    </row>
    <row r="3069" spans="1:4" x14ac:dyDescent="0.25">
      <c r="A3069">
        <v>1818</v>
      </c>
      <c r="B3069" s="16">
        <v>43678</v>
      </c>
      <c r="C3069" t="s">
        <v>192</v>
      </c>
      <c r="D3069" s="22">
        <v>14500000</v>
      </c>
    </row>
    <row r="3070" spans="1:4" x14ac:dyDescent="0.25">
      <c r="A3070">
        <v>1818</v>
      </c>
      <c r="B3070" s="16">
        <v>43709</v>
      </c>
      <c r="C3070" t="s">
        <v>192</v>
      </c>
      <c r="D3070" s="22">
        <v>14500000</v>
      </c>
    </row>
    <row r="3071" spans="1:4" x14ac:dyDescent="0.25">
      <c r="A3071">
        <v>1818</v>
      </c>
      <c r="B3071" s="16">
        <v>43739</v>
      </c>
      <c r="C3071" t="s">
        <v>192</v>
      </c>
      <c r="D3071" s="22">
        <v>14500000</v>
      </c>
    </row>
    <row r="3072" spans="1:4" x14ac:dyDescent="0.25">
      <c r="A3072">
        <v>1818</v>
      </c>
      <c r="B3072" s="16">
        <v>43770</v>
      </c>
      <c r="C3072" t="s">
        <v>192</v>
      </c>
      <c r="D3072" s="22">
        <v>14500000</v>
      </c>
    </row>
    <row r="3073" spans="1:4" x14ac:dyDescent="0.25">
      <c r="A3073">
        <v>1818</v>
      </c>
      <c r="B3073" s="16">
        <v>43800</v>
      </c>
      <c r="C3073" t="s">
        <v>192</v>
      </c>
      <c r="D3073" s="22">
        <v>14500000</v>
      </c>
    </row>
    <row r="3074" spans="1:4" x14ac:dyDescent="0.25">
      <c r="A3074">
        <v>1829</v>
      </c>
      <c r="B3074" s="16">
        <v>43466</v>
      </c>
      <c r="C3074" t="s">
        <v>192</v>
      </c>
      <c r="D3074" s="22">
        <v>13393000</v>
      </c>
    </row>
    <row r="3075" spans="1:4" x14ac:dyDescent="0.25">
      <c r="A3075">
        <v>1829</v>
      </c>
      <c r="B3075" s="16">
        <v>43497</v>
      </c>
      <c r="C3075" t="s">
        <v>192</v>
      </c>
      <c r="D3075" s="22">
        <v>13393000</v>
      </c>
    </row>
    <row r="3076" spans="1:4" x14ac:dyDescent="0.25">
      <c r="A3076">
        <v>1829</v>
      </c>
      <c r="B3076" s="16">
        <v>43525</v>
      </c>
      <c r="C3076" t="s">
        <v>192</v>
      </c>
      <c r="D3076" s="22">
        <v>13393000</v>
      </c>
    </row>
    <row r="3077" spans="1:4" x14ac:dyDescent="0.25">
      <c r="A3077">
        <v>1829</v>
      </c>
      <c r="B3077" s="16">
        <v>43556</v>
      </c>
      <c r="C3077" t="s">
        <v>192</v>
      </c>
      <c r="D3077" s="22">
        <v>13393000</v>
      </c>
    </row>
    <row r="3078" spans="1:4" x14ac:dyDescent="0.25">
      <c r="A3078">
        <v>1829</v>
      </c>
      <c r="B3078" s="16">
        <v>43586</v>
      </c>
      <c r="C3078" t="s">
        <v>192</v>
      </c>
      <c r="D3078" s="22">
        <v>13393000</v>
      </c>
    </row>
    <row r="3079" spans="1:4" x14ac:dyDescent="0.25">
      <c r="A3079">
        <v>1829</v>
      </c>
      <c r="B3079" s="16">
        <v>43617</v>
      </c>
      <c r="C3079" t="s">
        <v>192</v>
      </c>
      <c r="D3079" s="22">
        <v>13393000</v>
      </c>
    </row>
    <row r="3080" spans="1:4" x14ac:dyDescent="0.25">
      <c r="A3080">
        <v>1829</v>
      </c>
      <c r="B3080" s="16">
        <v>43647</v>
      </c>
      <c r="C3080" t="s">
        <v>192</v>
      </c>
      <c r="D3080" s="22">
        <v>13393000</v>
      </c>
    </row>
    <row r="3081" spans="1:4" x14ac:dyDescent="0.25">
      <c r="A3081">
        <v>1829</v>
      </c>
      <c r="B3081" s="16">
        <v>43678</v>
      </c>
      <c r="C3081" t="s">
        <v>192</v>
      </c>
      <c r="D3081" s="22">
        <v>13393000</v>
      </c>
    </row>
    <row r="3082" spans="1:4" x14ac:dyDescent="0.25">
      <c r="A3082">
        <v>1829</v>
      </c>
      <c r="B3082" s="16">
        <v>43709</v>
      </c>
      <c r="C3082" t="s">
        <v>192</v>
      </c>
      <c r="D3082" s="22">
        <v>13393000</v>
      </c>
    </row>
    <row r="3083" spans="1:4" x14ac:dyDescent="0.25">
      <c r="A3083">
        <v>1829</v>
      </c>
      <c r="B3083" s="16">
        <v>43739</v>
      </c>
      <c r="C3083" t="s">
        <v>192</v>
      </c>
      <c r="D3083" s="22">
        <v>13393000</v>
      </c>
    </row>
    <row r="3084" spans="1:4" x14ac:dyDescent="0.25">
      <c r="A3084">
        <v>1829</v>
      </c>
      <c r="B3084" s="16">
        <v>43770</v>
      </c>
      <c r="C3084" t="s">
        <v>192</v>
      </c>
      <c r="D3084" s="22">
        <v>13393000</v>
      </c>
    </row>
    <row r="3085" spans="1:4" x14ac:dyDescent="0.25">
      <c r="A3085">
        <v>1829</v>
      </c>
      <c r="B3085" s="16">
        <v>43800</v>
      </c>
      <c r="C3085" t="s">
        <v>192</v>
      </c>
      <c r="D3085" s="22">
        <v>13393000</v>
      </c>
    </row>
    <row r="3086" spans="1:4" x14ac:dyDescent="0.25">
      <c r="A3086">
        <v>1829</v>
      </c>
      <c r="B3086" s="16">
        <v>43831</v>
      </c>
      <c r="C3086" t="s">
        <v>192</v>
      </c>
      <c r="D3086" s="22">
        <v>13393000</v>
      </c>
    </row>
    <row r="3087" spans="1:4" x14ac:dyDescent="0.25">
      <c r="A3087">
        <v>1829</v>
      </c>
      <c r="B3087" s="16">
        <v>43862</v>
      </c>
      <c r="C3087" t="s">
        <v>192</v>
      </c>
      <c r="D3087" s="22">
        <v>13393000</v>
      </c>
    </row>
    <row r="3088" spans="1:4" x14ac:dyDescent="0.25">
      <c r="A3088">
        <v>1829</v>
      </c>
      <c r="B3088" s="16">
        <v>43891</v>
      </c>
      <c r="C3088" t="s">
        <v>192</v>
      </c>
      <c r="D3088" s="22">
        <v>13393000</v>
      </c>
    </row>
    <row r="3089" spans="1:4" x14ac:dyDescent="0.25">
      <c r="A3089">
        <v>1829</v>
      </c>
      <c r="B3089" s="16">
        <v>43922</v>
      </c>
      <c r="C3089" t="s">
        <v>192</v>
      </c>
      <c r="D3089" s="22">
        <v>13393000</v>
      </c>
    </row>
    <row r="3090" spans="1:4" x14ac:dyDescent="0.25">
      <c r="A3090">
        <v>1829</v>
      </c>
      <c r="B3090" s="16">
        <v>43952</v>
      </c>
      <c r="C3090" t="s">
        <v>192</v>
      </c>
      <c r="D3090" s="22">
        <v>13393000</v>
      </c>
    </row>
    <row r="3091" spans="1:4" x14ac:dyDescent="0.25">
      <c r="A3091">
        <v>1829</v>
      </c>
      <c r="B3091" s="16">
        <v>43983</v>
      </c>
      <c r="C3091" t="s">
        <v>192</v>
      </c>
      <c r="D3091" s="22">
        <v>13393000</v>
      </c>
    </row>
    <row r="3092" spans="1:4" x14ac:dyDescent="0.25">
      <c r="A3092">
        <v>1829</v>
      </c>
      <c r="B3092" s="16">
        <v>43466</v>
      </c>
      <c r="C3092" t="s">
        <v>192</v>
      </c>
      <c r="D3092" s="22">
        <v>2337394.9579831935</v>
      </c>
    </row>
    <row r="3093" spans="1:4" x14ac:dyDescent="0.25">
      <c r="A3093">
        <v>1829</v>
      </c>
      <c r="B3093" s="16">
        <v>43497</v>
      </c>
      <c r="C3093" t="s">
        <v>192</v>
      </c>
      <c r="D3093" s="22">
        <v>2337394.9579831935</v>
      </c>
    </row>
    <row r="3094" spans="1:4" x14ac:dyDescent="0.25">
      <c r="A3094">
        <v>1829</v>
      </c>
      <c r="B3094" s="16">
        <v>43525</v>
      </c>
      <c r="C3094" t="s">
        <v>192</v>
      </c>
      <c r="D3094" s="22">
        <v>2337394.9579831935</v>
      </c>
    </row>
    <row r="3095" spans="1:4" x14ac:dyDescent="0.25">
      <c r="A3095">
        <v>1829</v>
      </c>
      <c r="B3095" s="16">
        <v>43556</v>
      </c>
      <c r="C3095" t="s">
        <v>192</v>
      </c>
      <c r="D3095" s="22">
        <v>2337394.9579831935</v>
      </c>
    </row>
    <row r="3096" spans="1:4" x14ac:dyDescent="0.25">
      <c r="A3096">
        <v>1829</v>
      </c>
      <c r="B3096" s="16">
        <v>43586</v>
      </c>
      <c r="C3096" t="s">
        <v>192</v>
      </c>
      <c r="D3096" s="22">
        <v>2337394.9579831935</v>
      </c>
    </row>
    <row r="3097" spans="1:4" x14ac:dyDescent="0.25">
      <c r="A3097">
        <v>1829</v>
      </c>
      <c r="B3097" s="16">
        <v>43617</v>
      </c>
      <c r="C3097" t="s">
        <v>192</v>
      </c>
      <c r="D3097" s="22">
        <v>2337394.9579831935</v>
      </c>
    </row>
    <row r="3098" spans="1:4" x14ac:dyDescent="0.25">
      <c r="A3098">
        <v>1829</v>
      </c>
      <c r="B3098" s="16">
        <v>43647</v>
      </c>
      <c r="C3098" t="s">
        <v>192</v>
      </c>
      <c r="D3098" s="22">
        <v>2337394.9579831935</v>
      </c>
    </row>
    <row r="3099" spans="1:4" x14ac:dyDescent="0.25">
      <c r="A3099">
        <v>1829</v>
      </c>
      <c r="B3099" s="16">
        <v>43678</v>
      </c>
      <c r="C3099" t="s">
        <v>192</v>
      </c>
      <c r="D3099" s="22">
        <v>2337394.9579831935</v>
      </c>
    </row>
    <row r="3100" spans="1:4" x14ac:dyDescent="0.25">
      <c r="A3100">
        <v>1829</v>
      </c>
      <c r="B3100" s="16">
        <v>43709</v>
      </c>
      <c r="C3100" t="s">
        <v>192</v>
      </c>
      <c r="D3100" s="22">
        <v>2337394.9579831935</v>
      </c>
    </row>
    <row r="3101" spans="1:4" x14ac:dyDescent="0.25">
      <c r="A3101">
        <v>1829</v>
      </c>
      <c r="B3101" s="16">
        <v>43739</v>
      </c>
      <c r="C3101" t="s">
        <v>192</v>
      </c>
      <c r="D3101" s="22">
        <v>2337394.9579831935</v>
      </c>
    </row>
    <row r="3102" spans="1:4" x14ac:dyDescent="0.25">
      <c r="A3102">
        <v>1829</v>
      </c>
      <c r="B3102" s="16">
        <v>43770</v>
      </c>
      <c r="C3102" t="s">
        <v>192</v>
      </c>
      <c r="D3102" s="22">
        <v>2337394.9579831935</v>
      </c>
    </row>
    <row r="3103" spans="1:4" x14ac:dyDescent="0.25">
      <c r="A3103">
        <v>1829</v>
      </c>
      <c r="B3103" s="16">
        <v>43800</v>
      </c>
      <c r="C3103" t="s">
        <v>192</v>
      </c>
      <c r="D3103" s="22">
        <v>2337394.9579831935</v>
      </c>
    </row>
    <row r="3104" spans="1:4" x14ac:dyDescent="0.25">
      <c r="A3104">
        <v>1829</v>
      </c>
      <c r="B3104" s="16">
        <v>43831</v>
      </c>
      <c r="C3104" t="s">
        <v>192</v>
      </c>
      <c r="D3104" s="22">
        <v>2337394.9579831935</v>
      </c>
    </row>
    <row r="3105" spans="1:4" x14ac:dyDescent="0.25">
      <c r="A3105">
        <v>1829</v>
      </c>
      <c r="B3105" s="16">
        <v>43862</v>
      </c>
      <c r="C3105" t="s">
        <v>192</v>
      </c>
      <c r="D3105" s="22">
        <v>2337394.9579831935</v>
      </c>
    </row>
    <row r="3106" spans="1:4" x14ac:dyDescent="0.25">
      <c r="A3106">
        <v>1829</v>
      </c>
      <c r="B3106" s="16">
        <v>43891</v>
      </c>
      <c r="C3106" t="s">
        <v>192</v>
      </c>
      <c r="D3106" s="22">
        <v>2337394.9579831935</v>
      </c>
    </row>
    <row r="3107" spans="1:4" x14ac:dyDescent="0.25">
      <c r="A3107">
        <v>1829</v>
      </c>
      <c r="B3107" s="16">
        <v>43922</v>
      </c>
      <c r="C3107" t="s">
        <v>192</v>
      </c>
      <c r="D3107" s="22">
        <v>2337394.9579831935</v>
      </c>
    </row>
    <row r="3108" spans="1:4" x14ac:dyDescent="0.25">
      <c r="A3108">
        <v>1829</v>
      </c>
      <c r="B3108" s="16">
        <v>43952</v>
      </c>
      <c r="C3108" t="s">
        <v>192</v>
      </c>
      <c r="D3108" s="22">
        <v>2337394.9579831935</v>
      </c>
    </row>
    <row r="3109" spans="1:4" x14ac:dyDescent="0.25">
      <c r="A3109">
        <v>1829</v>
      </c>
      <c r="B3109" s="16">
        <v>43983</v>
      </c>
      <c r="C3109" t="s">
        <v>192</v>
      </c>
      <c r="D3109" s="22">
        <v>2337394.9579831935</v>
      </c>
    </row>
    <row r="3110" spans="1:4" x14ac:dyDescent="0.25">
      <c r="A3110">
        <v>1838</v>
      </c>
      <c r="B3110" s="16">
        <v>43466</v>
      </c>
      <c r="C3110" t="s">
        <v>192</v>
      </c>
      <c r="D3110" s="22">
        <v>5797541</v>
      </c>
    </row>
    <row r="3111" spans="1:4" x14ac:dyDescent="0.25">
      <c r="A3111">
        <v>1838</v>
      </c>
      <c r="B3111" s="16">
        <v>43497</v>
      </c>
      <c r="C3111" t="s">
        <v>192</v>
      </c>
      <c r="D3111" s="22">
        <v>5797541</v>
      </c>
    </row>
    <row r="3112" spans="1:4" x14ac:dyDescent="0.25">
      <c r="A3112">
        <v>1838</v>
      </c>
      <c r="B3112" s="16">
        <v>43525</v>
      </c>
      <c r="C3112" t="s">
        <v>192</v>
      </c>
      <c r="D3112" s="22">
        <v>5797541</v>
      </c>
    </row>
    <row r="3113" spans="1:4" x14ac:dyDescent="0.25">
      <c r="A3113">
        <v>1856</v>
      </c>
      <c r="B3113" s="16">
        <v>43466</v>
      </c>
      <c r="C3113" t="s">
        <v>192</v>
      </c>
      <c r="D3113" s="22">
        <v>20000000</v>
      </c>
    </row>
    <row r="3114" spans="1:4" x14ac:dyDescent="0.25">
      <c r="A3114">
        <v>1856</v>
      </c>
      <c r="B3114" s="16">
        <v>43497</v>
      </c>
      <c r="C3114" t="s">
        <v>192</v>
      </c>
      <c r="D3114" s="22">
        <v>20000000</v>
      </c>
    </row>
    <row r="3115" spans="1:4" x14ac:dyDescent="0.25">
      <c r="A3115">
        <v>1856</v>
      </c>
      <c r="B3115" s="16">
        <v>43525</v>
      </c>
      <c r="C3115" t="s">
        <v>192</v>
      </c>
      <c r="D3115" s="22">
        <v>20000000</v>
      </c>
    </row>
    <row r="3116" spans="1:4" x14ac:dyDescent="0.25">
      <c r="A3116">
        <v>1856</v>
      </c>
      <c r="B3116" s="16">
        <v>43556</v>
      </c>
      <c r="C3116" t="s">
        <v>192</v>
      </c>
      <c r="D3116" s="22">
        <v>20000000</v>
      </c>
    </row>
    <row r="3117" spans="1:4" x14ac:dyDescent="0.25">
      <c r="A3117">
        <v>1856</v>
      </c>
      <c r="B3117" s="16">
        <v>43586</v>
      </c>
      <c r="C3117" t="s">
        <v>192</v>
      </c>
      <c r="D3117" s="22">
        <v>20000000</v>
      </c>
    </row>
    <row r="3118" spans="1:4" x14ac:dyDescent="0.25">
      <c r="A3118">
        <v>1856</v>
      </c>
      <c r="B3118" s="16">
        <v>43617</v>
      </c>
      <c r="C3118" t="s">
        <v>192</v>
      </c>
      <c r="D3118" s="22">
        <v>20000000</v>
      </c>
    </row>
    <row r="3119" spans="1:4" x14ac:dyDescent="0.25">
      <c r="A3119">
        <v>1856</v>
      </c>
      <c r="B3119" s="16">
        <v>43647</v>
      </c>
      <c r="C3119" t="s">
        <v>192</v>
      </c>
      <c r="D3119" s="22">
        <v>20000000</v>
      </c>
    </row>
    <row r="3120" spans="1:4" x14ac:dyDescent="0.25">
      <c r="A3120">
        <v>1856</v>
      </c>
      <c r="B3120" s="16">
        <v>43678</v>
      </c>
      <c r="C3120" t="s">
        <v>192</v>
      </c>
      <c r="D3120" s="22">
        <v>20000000</v>
      </c>
    </row>
    <row r="3121" spans="1:4" x14ac:dyDescent="0.25">
      <c r="A3121">
        <v>1856</v>
      </c>
      <c r="B3121" s="16">
        <v>43709</v>
      </c>
      <c r="C3121" t="s">
        <v>192</v>
      </c>
      <c r="D3121" s="22">
        <v>20000000</v>
      </c>
    </row>
    <row r="3122" spans="1:4" x14ac:dyDescent="0.25">
      <c r="A3122">
        <v>1856</v>
      </c>
      <c r="B3122" s="16">
        <v>43739</v>
      </c>
      <c r="C3122" t="s">
        <v>192</v>
      </c>
      <c r="D3122" s="22">
        <v>20000000</v>
      </c>
    </row>
    <row r="3123" spans="1:4" x14ac:dyDescent="0.25">
      <c r="A3123">
        <v>1856</v>
      </c>
      <c r="B3123" s="16">
        <v>43770</v>
      </c>
      <c r="C3123" t="s">
        <v>192</v>
      </c>
      <c r="D3123" s="22">
        <v>20000000</v>
      </c>
    </row>
    <row r="3124" spans="1:4" x14ac:dyDescent="0.25">
      <c r="A3124">
        <v>1856</v>
      </c>
      <c r="B3124" s="16">
        <v>43800</v>
      </c>
      <c r="C3124" t="s">
        <v>192</v>
      </c>
      <c r="D3124" s="22">
        <v>20000000</v>
      </c>
    </row>
    <row r="3125" spans="1:4" x14ac:dyDescent="0.25">
      <c r="A3125">
        <v>1856</v>
      </c>
      <c r="B3125" s="16">
        <v>43831</v>
      </c>
      <c r="C3125" t="s">
        <v>192</v>
      </c>
      <c r="D3125" s="22">
        <v>20000000</v>
      </c>
    </row>
    <row r="3126" spans="1:4" x14ac:dyDescent="0.25">
      <c r="A3126">
        <v>1856</v>
      </c>
      <c r="B3126" s="16">
        <v>43862</v>
      </c>
      <c r="C3126" t="s">
        <v>192</v>
      </c>
      <c r="D3126" s="22">
        <v>20000000</v>
      </c>
    </row>
    <row r="3127" spans="1:4" x14ac:dyDescent="0.25">
      <c r="A3127">
        <v>1856</v>
      </c>
      <c r="B3127" s="16">
        <v>43891</v>
      </c>
      <c r="C3127" t="s">
        <v>192</v>
      </c>
      <c r="D3127" s="22">
        <v>20000000</v>
      </c>
    </row>
    <row r="3128" spans="1:4" x14ac:dyDescent="0.25">
      <c r="A3128">
        <v>1856</v>
      </c>
      <c r="B3128" s="16">
        <v>43922</v>
      </c>
      <c r="C3128" t="s">
        <v>192</v>
      </c>
      <c r="D3128" s="22">
        <v>20000000</v>
      </c>
    </row>
    <row r="3129" spans="1:4" x14ac:dyDescent="0.25">
      <c r="A3129">
        <v>1856</v>
      </c>
      <c r="B3129" s="16">
        <v>43952</v>
      </c>
      <c r="C3129" t="s">
        <v>192</v>
      </c>
      <c r="D3129" s="22">
        <v>20000000</v>
      </c>
    </row>
    <row r="3130" spans="1:4" x14ac:dyDescent="0.25">
      <c r="A3130">
        <v>1856</v>
      </c>
      <c r="B3130" s="16">
        <v>43983</v>
      </c>
      <c r="C3130" t="s">
        <v>192</v>
      </c>
      <c r="D3130" s="22">
        <v>20000000</v>
      </c>
    </row>
    <row r="3131" spans="1:4" x14ac:dyDescent="0.25">
      <c r="A3131">
        <v>1856</v>
      </c>
      <c r="B3131" s="16">
        <v>44013</v>
      </c>
      <c r="C3131" t="s">
        <v>192</v>
      </c>
      <c r="D3131" s="22">
        <v>20000000</v>
      </c>
    </row>
    <row r="3132" spans="1:4" x14ac:dyDescent="0.25">
      <c r="A3132">
        <v>1856</v>
      </c>
      <c r="B3132" s="16">
        <v>44044</v>
      </c>
      <c r="C3132" t="s">
        <v>192</v>
      </c>
      <c r="D3132" s="22">
        <v>20000000</v>
      </c>
    </row>
    <row r="3133" spans="1:4" x14ac:dyDescent="0.25">
      <c r="A3133">
        <v>1856</v>
      </c>
      <c r="B3133" s="16">
        <v>44075</v>
      </c>
      <c r="C3133" t="s">
        <v>192</v>
      </c>
      <c r="D3133" s="22">
        <v>20000000</v>
      </c>
    </row>
    <row r="3134" spans="1:4" x14ac:dyDescent="0.25">
      <c r="A3134">
        <v>1856</v>
      </c>
      <c r="B3134" s="16">
        <v>44105</v>
      </c>
      <c r="C3134" t="s">
        <v>192</v>
      </c>
      <c r="D3134" s="22">
        <v>20000000</v>
      </c>
    </row>
    <row r="3135" spans="1:4" x14ac:dyDescent="0.25">
      <c r="A3135">
        <v>1856</v>
      </c>
      <c r="B3135" s="16">
        <v>44136</v>
      </c>
      <c r="C3135" t="s">
        <v>192</v>
      </c>
      <c r="D3135" s="22">
        <v>20000000</v>
      </c>
    </row>
    <row r="3136" spans="1:4" x14ac:dyDescent="0.25">
      <c r="A3136">
        <v>1856</v>
      </c>
      <c r="B3136" s="16">
        <v>44166</v>
      </c>
      <c r="C3136" t="s">
        <v>192</v>
      </c>
      <c r="D3136" s="22">
        <v>20000000</v>
      </c>
    </row>
    <row r="3137" spans="1:4" x14ac:dyDescent="0.25">
      <c r="A3137">
        <v>1856</v>
      </c>
      <c r="B3137" s="16">
        <v>44197</v>
      </c>
      <c r="C3137" t="s">
        <v>192</v>
      </c>
      <c r="D3137" s="22">
        <v>20000000</v>
      </c>
    </row>
    <row r="3138" spans="1:4" x14ac:dyDescent="0.25">
      <c r="A3138">
        <v>1857</v>
      </c>
      <c r="B3138" s="16">
        <v>43466</v>
      </c>
      <c r="C3138" t="s">
        <v>192</v>
      </c>
      <c r="D3138" s="22">
        <v>9800000</v>
      </c>
    </row>
    <row r="3139" spans="1:4" x14ac:dyDescent="0.25">
      <c r="A3139">
        <v>1857</v>
      </c>
      <c r="B3139" s="16">
        <v>43497</v>
      </c>
      <c r="C3139" t="s">
        <v>192</v>
      </c>
      <c r="D3139" s="22">
        <v>9800000</v>
      </c>
    </row>
    <row r="3140" spans="1:4" x14ac:dyDescent="0.25">
      <c r="A3140">
        <v>1857</v>
      </c>
      <c r="B3140" s="16">
        <v>43525</v>
      </c>
      <c r="C3140" t="s">
        <v>192</v>
      </c>
      <c r="D3140" s="22">
        <v>9800000</v>
      </c>
    </row>
    <row r="3141" spans="1:4" x14ac:dyDescent="0.25">
      <c r="A3141">
        <v>1857</v>
      </c>
      <c r="B3141" s="16">
        <v>43556</v>
      </c>
      <c r="C3141" t="s">
        <v>192</v>
      </c>
      <c r="D3141" s="22">
        <v>9800000</v>
      </c>
    </row>
    <row r="3142" spans="1:4" x14ac:dyDescent="0.25">
      <c r="A3142">
        <v>1857</v>
      </c>
      <c r="B3142" s="16">
        <v>43586</v>
      </c>
      <c r="C3142" t="s">
        <v>192</v>
      </c>
      <c r="D3142" s="22">
        <v>9800000</v>
      </c>
    </row>
    <row r="3143" spans="1:4" x14ac:dyDescent="0.25">
      <c r="A3143">
        <v>1857</v>
      </c>
      <c r="B3143" s="16">
        <v>43617</v>
      </c>
      <c r="C3143" t="s">
        <v>192</v>
      </c>
      <c r="D3143" s="22">
        <v>9800000</v>
      </c>
    </row>
    <row r="3144" spans="1:4" x14ac:dyDescent="0.25">
      <c r="A3144">
        <v>1857</v>
      </c>
      <c r="B3144" s="16">
        <v>43647</v>
      </c>
      <c r="C3144" t="s">
        <v>192</v>
      </c>
      <c r="D3144" s="22">
        <v>9800000</v>
      </c>
    </row>
    <row r="3145" spans="1:4" x14ac:dyDescent="0.25">
      <c r="A3145">
        <v>1857</v>
      </c>
      <c r="B3145" s="16">
        <v>43678</v>
      </c>
      <c r="C3145" t="s">
        <v>192</v>
      </c>
      <c r="D3145" s="22">
        <v>9800000</v>
      </c>
    </row>
    <row r="3146" spans="1:4" x14ac:dyDescent="0.25">
      <c r="A3146">
        <v>1857</v>
      </c>
      <c r="B3146" s="16">
        <v>43709</v>
      </c>
      <c r="C3146" t="s">
        <v>192</v>
      </c>
      <c r="D3146" s="22">
        <v>9800000</v>
      </c>
    </row>
    <row r="3147" spans="1:4" x14ac:dyDescent="0.25">
      <c r="A3147">
        <v>1860</v>
      </c>
      <c r="B3147" s="16">
        <v>43466</v>
      </c>
      <c r="C3147" t="s">
        <v>192</v>
      </c>
      <c r="D3147" s="22">
        <v>7700000</v>
      </c>
    </row>
    <row r="3148" spans="1:4" x14ac:dyDescent="0.25">
      <c r="A3148">
        <v>1860</v>
      </c>
      <c r="B3148" s="16">
        <v>43497</v>
      </c>
      <c r="C3148" t="s">
        <v>192</v>
      </c>
      <c r="D3148" s="22">
        <v>7700000</v>
      </c>
    </row>
    <row r="3149" spans="1:4" x14ac:dyDescent="0.25">
      <c r="A3149">
        <v>1860</v>
      </c>
      <c r="B3149" s="16">
        <v>43525</v>
      </c>
      <c r="C3149" t="s">
        <v>192</v>
      </c>
      <c r="D3149" s="22">
        <v>7700000</v>
      </c>
    </row>
    <row r="3150" spans="1:4" x14ac:dyDescent="0.25">
      <c r="A3150">
        <v>1860</v>
      </c>
      <c r="B3150" s="16">
        <v>43556</v>
      </c>
      <c r="C3150" t="s">
        <v>192</v>
      </c>
      <c r="D3150" s="22">
        <v>7700000</v>
      </c>
    </row>
    <row r="3151" spans="1:4" x14ac:dyDescent="0.25">
      <c r="A3151">
        <v>1860</v>
      </c>
      <c r="B3151" s="16">
        <v>43586</v>
      </c>
      <c r="C3151" t="s">
        <v>192</v>
      </c>
      <c r="D3151" s="22">
        <v>7700000</v>
      </c>
    </row>
    <row r="3152" spans="1:4" x14ac:dyDescent="0.25">
      <c r="A3152">
        <v>1860</v>
      </c>
      <c r="B3152" s="16">
        <v>43617</v>
      </c>
      <c r="C3152" t="s">
        <v>192</v>
      </c>
      <c r="D3152" s="22">
        <v>7700000</v>
      </c>
    </row>
    <row r="3153" spans="1:4" x14ac:dyDescent="0.25">
      <c r="A3153">
        <v>1860</v>
      </c>
      <c r="B3153" s="16">
        <v>43647</v>
      </c>
      <c r="C3153" t="s">
        <v>192</v>
      </c>
      <c r="D3153" s="22">
        <v>7700000</v>
      </c>
    </row>
    <row r="3154" spans="1:4" x14ac:dyDescent="0.25">
      <c r="A3154">
        <v>1860</v>
      </c>
      <c r="B3154" s="16">
        <v>43678</v>
      </c>
      <c r="C3154" t="s">
        <v>192</v>
      </c>
      <c r="D3154" s="22">
        <v>7700000</v>
      </c>
    </row>
    <row r="3155" spans="1:4" x14ac:dyDescent="0.25">
      <c r="A3155">
        <v>1860</v>
      </c>
      <c r="B3155" s="16">
        <v>43709</v>
      </c>
      <c r="C3155" t="s">
        <v>192</v>
      </c>
      <c r="D3155" s="22">
        <v>7700000</v>
      </c>
    </row>
    <row r="3156" spans="1:4" x14ac:dyDescent="0.25">
      <c r="A3156">
        <v>1860</v>
      </c>
      <c r="B3156" s="16">
        <v>43739</v>
      </c>
      <c r="C3156" t="s">
        <v>192</v>
      </c>
      <c r="D3156" s="22">
        <v>7700000</v>
      </c>
    </row>
    <row r="3157" spans="1:4" x14ac:dyDescent="0.25">
      <c r="A3157">
        <v>1860</v>
      </c>
      <c r="B3157" s="16">
        <v>43770</v>
      </c>
      <c r="C3157" t="s">
        <v>192</v>
      </c>
      <c r="D3157" s="22">
        <v>7700000</v>
      </c>
    </row>
    <row r="3158" spans="1:4" x14ac:dyDescent="0.25">
      <c r="A3158">
        <v>1860</v>
      </c>
      <c r="B3158" s="16">
        <v>43800</v>
      </c>
      <c r="C3158" t="s">
        <v>192</v>
      </c>
      <c r="D3158" s="22">
        <v>7700000</v>
      </c>
    </row>
    <row r="3159" spans="1:4" x14ac:dyDescent="0.25">
      <c r="A3159">
        <v>1860</v>
      </c>
      <c r="B3159" s="16">
        <v>43831</v>
      </c>
      <c r="C3159" t="s">
        <v>192</v>
      </c>
      <c r="D3159" s="22">
        <v>7700000</v>
      </c>
    </row>
    <row r="3160" spans="1:4" x14ac:dyDescent="0.25">
      <c r="A3160">
        <v>1860</v>
      </c>
      <c r="B3160" s="16">
        <v>43862</v>
      </c>
      <c r="C3160" t="s">
        <v>192</v>
      </c>
      <c r="D3160" s="22">
        <v>7700000</v>
      </c>
    </row>
    <row r="3161" spans="1:4" x14ac:dyDescent="0.25">
      <c r="A3161">
        <v>1860</v>
      </c>
      <c r="B3161" s="16">
        <v>43891</v>
      </c>
      <c r="C3161" t="s">
        <v>192</v>
      </c>
      <c r="D3161" s="22">
        <v>7700000</v>
      </c>
    </row>
    <row r="3162" spans="1:4" x14ac:dyDescent="0.25">
      <c r="A3162">
        <v>1860</v>
      </c>
      <c r="B3162" s="16">
        <v>43922</v>
      </c>
      <c r="C3162" t="s">
        <v>192</v>
      </c>
      <c r="D3162" s="22">
        <v>7700000</v>
      </c>
    </row>
    <row r="3163" spans="1:4" x14ac:dyDescent="0.25">
      <c r="A3163">
        <v>1860</v>
      </c>
      <c r="B3163" s="16">
        <v>43952</v>
      </c>
      <c r="C3163" t="s">
        <v>192</v>
      </c>
      <c r="D3163" s="22">
        <v>7700000</v>
      </c>
    </row>
    <row r="3164" spans="1:4" x14ac:dyDescent="0.25">
      <c r="A3164">
        <v>1860</v>
      </c>
      <c r="B3164" s="16">
        <v>43983</v>
      </c>
      <c r="C3164" t="s">
        <v>192</v>
      </c>
      <c r="D3164" s="22">
        <v>7700000</v>
      </c>
    </row>
    <row r="3165" spans="1:4" x14ac:dyDescent="0.25">
      <c r="A3165">
        <v>1860</v>
      </c>
      <c r="B3165" s="16">
        <v>44013</v>
      </c>
      <c r="C3165" t="s">
        <v>192</v>
      </c>
      <c r="D3165" s="22">
        <v>7700000</v>
      </c>
    </row>
    <row r="3166" spans="1:4" x14ac:dyDescent="0.25">
      <c r="A3166">
        <v>1860</v>
      </c>
      <c r="B3166" s="16">
        <v>44044</v>
      </c>
      <c r="C3166" t="s">
        <v>192</v>
      </c>
      <c r="D3166" s="22">
        <v>7700000</v>
      </c>
    </row>
    <row r="3167" spans="1:4" x14ac:dyDescent="0.25">
      <c r="A3167">
        <v>1860</v>
      </c>
      <c r="B3167" s="16">
        <v>44075</v>
      </c>
      <c r="C3167" t="s">
        <v>192</v>
      </c>
      <c r="D3167" s="22">
        <v>7700000</v>
      </c>
    </row>
    <row r="3168" spans="1:4" x14ac:dyDescent="0.25">
      <c r="A3168">
        <v>1860</v>
      </c>
      <c r="B3168" s="16">
        <v>44105</v>
      </c>
      <c r="C3168" t="s">
        <v>192</v>
      </c>
      <c r="D3168" s="22">
        <v>7700000</v>
      </c>
    </row>
    <row r="3169" spans="1:4" x14ac:dyDescent="0.25">
      <c r="A3169">
        <v>1860</v>
      </c>
      <c r="B3169" s="16">
        <v>44136</v>
      </c>
      <c r="C3169" t="s">
        <v>192</v>
      </c>
      <c r="D3169" s="22">
        <v>7700000</v>
      </c>
    </row>
    <row r="3170" spans="1:4" x14ac:dyDescent="0.25">
      <c r="A3170">
        <v>1860</v>
      </c>
      <c r="B3170" s="16">
        <v>44166</v>
      </c>
      <c r="C3170" t="s">
        <v>192</v>
      </c>
      <c r="D3170" s="22">
        <v>7700000</v>
      </c>
    </row>
    <row r="3171" spans="1:4" x14ac:dyDescent="0.25">
      <c r="A3171">
        <v>1860</v>
      </c>
      <c r="B3171" s="16">
        <v>44197</v>
      </c>
      <c r="C3171" t="s">
        <v>192</v>
      </c>
      <c r="D3171" s="22">
        <v>7700000</v>
      </c>
    </row>
    <row r="3172" spans="1:4" x14ac:dyDescent="0.25">
      <c r="A3172">
        <v>1860</v>
      </c>
      <c r="B3172" s="16">
        <v>44228</v>
      </c>
      <c r="C3172" t="s">
        <v>192</v>
      </c>
      <c r="D3172" s="22">
        <v>7700000</v>
      </c>
    </row>
    <row r="3173" spans="1:4" x14ac:dyDescent="0.25">
      <c r="A3173">
        <v>1860</v>
      </c>
      <c r="B3173" s="16">
        <v>44256</v>
      </c>
      <c r="C3173" t="s">
        <v>192</v>
      </c>
      <c r="D3173" s="22">
        <v>7700000</v>
      </c>
    </row>
    <row r="3174" spans="1:4" x14ac:dyDescent="0.25">
      <c r="A3174">
        <v>1860</v>
      </c>
      <c r="B3174" s="16">
        <v>44287</v>
      </c>
      <c r="C3174" t="s">
        <v>192</v>
      </c>
      <c r="D3174" s="22">
        <v>7700000</v>
      </c>
    </row>
    <row r="3175" spans="1:4" x14ac:dyDescent="0.25">
      <c r="A3175">
        <v>1861</v>
      </c>
      <c r="B3175" s="16">
        <v>43466</v>
      </c>
      <c r="C3175" t="s">
        <v>192</v>
      </c>
      <c r="D3175" s="22">
        <v>64030000</v>
      </c>
    </row>
    <row r="3176" spans="1:4" x14ac:dyDescent="0.25">
      <c r="A3176">
        <v>1861</v>
      </c>
      <c r="B3176" s="16">
        <v>43497</v>
      </c>
      <c r="C3176" t="s">
        <v>192</v>
      </c>
      <c r="D3176" s="22">
        <v>64030000</v>
      </c>
    </row>
    <row r="3177" spans="1:4" x14ac:dyDescent="0.25">
      <c r="A3177">
        <v>1861</v>
      </c>
      <c r="B3177" s="16">
        <v>43525</v>
      </c>
      <c r="C3177" t="s">
        <v>192</v>
      </c>
      <c r="D3177" s="22">
        <v>64030000</v>
      </c>
    </row>
    <row r="3178" spans="1:4" x14ac:dyDescent="0.25">
      <c r="A3178">
        <v>1861</v>
      </c>
      <c r="B3178" s="16">
        <v>43466</v>
      </c>
      <c r="C3178" t="s">
        <v>192</v>
      </c>
      <c r="D3178" s="22">
        <v>48811000</v>
      </c>
    </row>
    <row r="3179" spans="1:4" x14ac:dyDescent="0.25">
      <c r="A3179">
        <v>1861</v>
      </c>
      <c r="B3179" s="16">
        <v>43497</v>
      </c>
      <c r="C3179" t="s">
        <v>192</v>
      </c>
      <c r="D3179" s="22">
        <v>48811000</v>
      </c>
    </row>
    <row r="3180" spans="1:4" x14ac:dyDescent="0.25">
      <c r="A3180">
        <v>1861</v>
      </c>
      <c r="B3180" s="16">
        <v>43525</v>
      </c>
      <c r="C3180" t="s">
        <v>192</v>
      </c>
      <c r="D3180" s="22">
        <v>48811000</v>
      </c>
    </row>
    <row r="3181" spans="1:4" x14ac:dyDescent="0.25">
      <c r="A3181">
        <v>1861</v>
      </c>
      <c r="B3181" s="16">
        <v>43556</v>
      </c>
      <c r="C3181" t="s">
        <v>192</v>
      </c>
      <c r="D3181" s="22">
        <v>48811000</v>
      </c>
    </row>
    <row r="3182" spans="1:4" x14ac:dyDescent="0.25">
      <c r="A3182">
        <v>1861</v>
      </c>
      <c r="B3182" s="16">
        <v>43586</v>
      </c>
      <c r="C3182" t="s">
        <v>192</v>
      </c>
      <c r="D3182" s="22">
        <v>48811000</v>
      </c>
    </row>
    <row r="3183" spans="1:4" x14ac:dyDescent="0.25">
      <c r="A3183">
        <v>1861</v>
      </c>
      <c r="B3183" s="16">
        <v>43617</v>
      </c>
      <c r="C3183" t="s">
        <v>192</v>
      </c>
      <c r="D3183" s="22">
        <v>48811000</v>
      </c>
    </row>
    <row r="3184" spans="1:4" x14ac:dyDescent="0.25">
      <c r="A3184">
        <v>1861</v>
      </c>
      <c r="B3184" s="16">
        <v>43647</v>
      </c>
      <c r="C3184" t="s">
        <v>192</v>
      </c>
      <c r="D3184" s="22">
        <v>48811000</v>
      </c>
    </row>
    <row r="3185" spans="1:4" x14ac:dyDescent="0.25">
      <c r="A3185">
        <v>1861</v>
      </c>
      <c r="B3185" s="16">
        <v>43678</v>
      </c>
      <c r="C3185" t="s">
        <v>192</v>
      </c>
      <c r="D3185" s="22">
        <v>48811000</v>
      </c>
    </row>
    <row r="3186" spans="1:4" x14ac:dyDescent="0.25">
      <c r="A3186">
        <v>1861</v>
      </c>
      <c r="B3186" s="16">
        <v>43709</v>
      </c>
      <c r="C3186" t="s">
        <v>192</v>
      </c>
      <c r="D3186" s="22">
        <v>48811000</v>
      </c>
    </row>
    <row r="3187" spans="1:4" x14ac:dyDescent="0.25">
      <c r="A3187">
        <v>1861</v>
      </c>
      <c r="B3187" s="16">
        <v>43739</v>
      </c>
      <c r="C3187" t="s">
        <v>192</v>
      </c>
      <c r="D3187" s="22">
        <v>48811000</v>
      </c>
    </row>
    <row r="3188" spans="1:4" x14ac:dyDescent="0.25">
      <c r="A3188">
        <v>1861</v>
      </c>
      <c r="B3188" s="16">
        <v>43770</v>
      </c>
      <c r="C3188" t="s">
        <v>192</v>
      </c>
      <c r="D3188" s="22">
        <v>48811000</v>
      </c>
    </row>
    <row r="3189" spans="1:4" x14ac:dyDescent="0.25">
      <c r="A3189">
        <v>1861</v>
      </c>
      <c r="B3189" s="16">
        <v>43800</v>
      </c>
      <c r="C3189" t="s">
        <v>192</v>
      </c>
      <c r="D3189" s="22">
        <v>48811000</v>
      </c>
    </row>
    <row r="3190" spans="1:4" x14ac:dyDescent="0.25">
      <c r="A3190">
        <v>1861</v>
      </c>
      <c r="B3190" s="16">
        <v>43831</v>
      </c>
      <c r="C3190" t="s">
        <v>192</v>
      </c>
      <c r="D3190" s="22">
        <v>48811000</v>
      </c>
    </row>
    <row r="3191" spans="1:4" x14ac:dyDescent="0.25">
      <c r="A3191">
        <v>1861</v>
      </c>
      <c r="B3191" s="16">
        <v>43862</v>
      </c>
      <c r="C3191" t="s">
        <v>192</v>
      </c>
      <c r="D3191" s="22">
        <v>48811000</v>
      </c>
    </row>
    <row r="3192" spans="1:4" x14ac:dyDescent="0.25">
      <c r="A3192">
        <v>1861</v>
      </c>
      <c r="B3192" s="16">
        <v>43891</v>
      </c>
      <c r="C3192" t="s">
        <v>192</v>
      </c>
      <c r="D3192" s="22">
        <v>48811000</v>
      </c>
    </row>
    <row r="3193" spans="1:4" x14ac:dyDescent="0.25">
      <c r="A3193">
        <v>1861</v>
      </c>
      <c r="B3193" s="16">
        <v>43922</v>
      </c>
      <c r="C3193" t="s">
        <v>192</v>
      </c>
      <c r="D3193" s="22">
        <v>48811000</v>
      </c>
    </row>
    <row r="3194" spans="1:4" x14ac:dyDescent="0.25">
      <c r="A3194">
        <v>1861</v>
      </c>
      <c r="B3194" s="16">
        <v>43952</v>
      </c>
      <c r="C3194" t="s">
        <v>192</v>
      </c>
      <c r="D3194" s="22">
        <v>48811000</v>
      </c>
    </row>
    <row r="3195" spans="1:4" x14ac:dyDescent="0.25">
      <c r="A3195">
        <v>1861</v>
      </c>
      <c r="B3195" s="16">
        <v>43983</v>
      </c>
      <c r="C3195" t="s">
        <v>192</v>
      </c>
      <c r="D3195" s="22">
        <v>48811000</v>
      </c>
    </row>
    <row r="3196" spans="1:4" x14ac:dyDescent="0.25">
      <c r="A3196">
        <v>1861</v>
      </c>
      <c r="B3196" s="16">
        <v>44013</v>
      </c>
      <c r="C3196" t="s">
        <v>192</v>
      </c>
      <c r="D3196" s="22">
        <v>48811000</v>
      </c>
    </row>
    <row r="3197" spans="1:4" x14ac:dyDescent="0.25">
      <c r="A3197">
        <v>1861</v>
      </c>
      <c r="B3197" s="16">
        <v>44044</v>
      </c>
      <c r="C3197" t="s">
        <v>192</v>
      </c>
      <c r="D3197" s="22">
        <v>48811000</v>
      </c>
    </row>
    <row r="3198" spans="1:4" x14ac:dyDescent="0.25">
      <c r="A3198">
        <v>1861</v>
      </c>
      <c r="B3198" s="16">
        <v>44075</v>
      </c>
      <c r="C3198" t="s">
        <v>192</v>
      </c>
      <c r="D3198" s="22">
        <v>48811000</v>
      </c>
    </row>
    <row r="3199" spans="1:4" x14ac:dyDescent="0.25">
      <c r="A3199">
        <v>1861</v>
      </c>
      <c r="B3199" s="16">
        <v>44105</v>
      </c>
      <c r="C3199" t="s">
        <v>192</v>
      </c>
      <c r="D3199" s="22">
        <v>48811000</v>
      </c>
    </row>
    <row r="3200" spans="1:4" x14ac:dyDescent="0.25">
      <c r="A3200">
        <v>1861</v>
      </c>
      <c r="B3200" s="16">
        <v>44136</v>
      </c>
      <c r="C3200" t="s">
        <v>192</v>
      </c>
      <c r="D3200" s="22">
        <v>48811000</v>
      </c>
    </row>
    <row r="3201" spans="1:4" x14ac:dyDescent="0.25">
      <c r="A3201">
        <v>1861</v>
      </c>
      <c r="B3201" s="16">
        <v>44166</v>
      </c>
      <c r="C3201" t="s">
        <v>192</v>
      </c>
      <c r="D3201" s="22">
        <v>48811000</v>
      </c>
    </row>
    <row r="3202" spans="1:4" x14ac:dyDescent="0.25">
      <c r="A3202">
        <v>1873</v>
      </c>
      <c r="B3202" s="16">
        <v>43466</v>
      </c>
      <c r="C3202" t="s">
        <v>192</v>
      </c>
      <c r="D3202" s="22">
        <v>6950000</v>
      </c>
    </row>
    <row r="3203" spans="1:4" x14ac:dyDescent="0.25">
      <c r="A3203">
        <v>1873</v>
      </c>
      <c r="B3203" s="16">
        <v>43497</v>
      </c>
      <c r="C3203" t="s">
        <v>192</v>
      </c>
      <c r="D3203" s="22">
        <v>6950000</v>
      </c>
    </row>
    <row r="3204" spans="1:4" x14ac:dyDescent="0.25">
      <c r="A3204">
        <v>1873</v>
      </c>
      <c r="B3204" s="16">
        <v>43525</v>
      </c>
      <c r="C3204" t="s">
        <v>192</v>
      </c>
      <c r="D3204" s="22">
        <v>6950000</v>
      </c>
    </row>
    <row r="3205" spans="1:4" x14ac:dyDescent="0.25">
      <c r="A3205">
        <v>1873</v>
      </c>
      <c r="B3205" s="16">
        <v>43556</v>
      </c>
      <c r="C3205" t="s">
        <v>192</v>
      </c>
      <c r="D3205" s="22">
        <v>6950000</v>
      </c>
    </row>
    <row r="3206" spans="1:4" x14ac:dyDescent="0.25">
      <c r="A3206">
        <v>1873</v>
      </c>
      <c r="B3206" s="16">
        <v>43586</v>
      </c>
      <c r="C3206" t="s">
        <v>192</v>
      </c>
      <c r="D3206" s="22">
        <v>6950000</v>
      </c>
    </row>
    <row r="3207" spans="1:4" x14ac:dyDescent="0.25">
      <c r="A3207">
        <v>1873</v>
      </c>
      <c r="B3207" s="16">
        <v>43617</v>
      </c>
      <c r="C3207" t="s">
        <v>192</v>
      </c>
      <c r="D3207" s="22">
        <v>6950000</v>
      </c>
    </row>
    <row r="3208" spans="1:4" x14ac:dyDescent="0.25">
      <c r="A3208">
        <v>1873</v>
      </c>
      <c r="B3208" s="16">
        <v>43647</v>
      </c>
      <c r="C3208" t="s">
        <v>192</v>
      </c>
      <c r="D3208" s="22">
        <v>6950000</v>
      </c>
    </row>
    <row r="3209" spans="1:4" x14ac:dyDescent="0.25">
      <c r="A3209">
        <v>1873</v>
      </c>
      <c r="B3209" s="16">
        <v>43678</v>
      </c>
      <c r="C3209" t="s">
        <v>192</v>
      </c>
      <c r="D3209" s="22">
        <v>6950000</v>
      </c>
    </row>
    <row r="3210" spans="1:4" x14ac:dyDescent="0.25">
      <c r="A3210">
        <v>1873</v>
      </c>
      <c r="B3210" s="16">
        <v>43709</v>
      </c>
      <c r="C3210" t="s">
        <v>192</v>
      </c>
      <c r="D3210" s="22">
        <v>6950000</v>
      </c>
    </row>
    <row r="3211" spans="1:4" x14ac:dyDescent="0.25">
      <c r="A3211">
        <v>1873</v>
      </c>
      <c r="B3211" s="16">
        <v>43739</v>
      </c>
      <c r="C3211" t="s">
        <v>192</v>
      </c>
      <c r="D3211" s="22">
        <v>6950000</v>
      </c>
    </row>
    <row r="3212" spans="1:4" x14ac:dyDescent="0.25">
      <c r="A3212">
        <v>1873</v>
      </c>
      <c r="B3212" s="16">
        <v>43770</v>
      </c>
      <c r="C3212" t="s">
        <v>192</v>
      </c>
      <c r="D3212" s="22">
        <v>6950000</v>
      </c>
    </row>
    <row r="3213" spans="1:4" x14ac:dyDescent="0.25">
      <c r="A3213">
        <v>1873</v>
      </c>
      <c r="B3213" s="16">
        <v>43800</v>
      </c>
      <c r="C3213" t="s">
        <v>192</v>
      </c>
      <c r="D3213" s="22">
        <v>6950000</v>
      </c>
    </row>
    <row r="3214" spans="1:4" x14ac:dyDescent="0.25">
      <c r="A3214">
        <v>1874</v>
      </c>
      <c r="B3214" s="16">
        <v>43466</v>
      </c>
      <c r="C3214" t="s">
        <v>192</v>
      </c>
      <c r="D3214" s="22">
        <v>19400000</v>
      </c>
    </row>
    <row r="3215" spans="1:4" x14ac:dyDescent="0.25">
      <c r="A3215">
        <v>1874</v>
      </c>
      <c r="B3215" s="16">
        <v>43497</v>
      </c>
      <c r="C3215" t="s">
        <v>192</v>
      </c>
      <c r="D3215" s="22">
        <v>19400000</v>
      </c>
    </row>
    <row r="3216" spans="1:4" x14ac:dyDescent="0.25">
      <c r="A3216">
        <v>1874</v>
      </c>
      <c r="B3216" s="16">
        <v>43525</v>
      </c>
      <c r="C3216" t="s">
        <v>192</v>
      </c>
      <c r="D3216" s="22">
        <v>19400000</v>
      </c>
    </row>
    <row r="3217" spans="1:4" x14ac:dyDescent="0.25">
      <c r="A3217">
        <v>1874</v>
      </c>
      <c r="B3217" s="16">
        <v>43556</v>
      </c>
      <c r="C3217" t="s">
        <v>192</v>
      </c>
      <c r="D3217" s="22">
        <v>19400000</v>
      </c>
    </row>
    <row r="3218" spans="1:4" x14ac:dyDescent="0.25">
      <c r="A3218">
        <v>1874</v>
      </c>
      <c r="B3218" s="16">
        <v>43586</v>
      </c>
      <c r="C3218" t="s">
        <v>192</v>
      </c>
      <c r="D3218" s="22">
        <v>19400000</v>
      </c>
    </row>
    <row r="3219" spans="1:4" x14ac:dyDescent="0.25">
      <c r="A3219">
        <v>1874</v>
      </c>
      <c r="B3219" s="16">
        <v>43617</v>
      </c>
      <c r="C3219" t="s">
        <v>192</v>
      </c>
      <c r="D3219" s="22">
        <v>19400000</v>
      </c>
    </row>
    <row r="3220" spans="1:4" x14ac:dyDescent="0.25">
      <c r="A3220">
        <v>1874</v>
      </c>
      <c r="B3220" s="16">
        <v>43647</v>
      </c>
      <c r="C3220" t="s">
        <v>192</v>
      </c>
      <c r="D3220" s="22">
        <v>19400000</v>
      </c>
    </row>
    <row r="3221" spans="1:4" x14ac:dyDescent="0.25">
      <c r="A3221">
        <v>1874</v>
      </c>
      <c r="B3221" s="16">
        <v>43678</v>
      </c>
      <c r="C3221" t="s">
        <v>192</v>
      </c>
      <c r="D3221" s="22">
        <v>19400000</v>
      </c>
    </row>
    <row r="3222" spans="1:4" x14ac:dyDescent="0.25">
      <c r="A3222">
        <v>1874</v>
      </c>
      <c r="B3222" s="16">
        <v>43709</v>
      </c>
      <c r="C3222" t="s">
        <v>192</v>
      </c>
      <c r="D3222" s="22">
        <v>19400000</v>
      </c>
    </row>
    <row r="3223" spans="1:4" x14ac:dyDescent="0.25">
      <c r="A3223">
        <v>1874</v>
      </c>
      <c r="B3223" s="16">
        <v>43739</v>
      </c>
      <c r="C3223" t="s">
        <v>192</v>
      </c>
      <c r="D3223" s="22">
        <v>19400000</v>
      </c>
    </row>
    <row r="3224" spans="1:4" x14ac:dyDescent="0.25">
      <c r="A3224">
        <v>1883</v>
      </c>
      <c r="B3224" s="16">
        <v>43466</v>
      </c>
      <c r="C3224" t="s">
        <v>192</v>
      </c>
      <c r="D3224" s="22">
        <v>11029019</v>
      </c>
    </row>
    <row r="3225" spans="1:4" x14ac:dyDescent="0.25">
      <c r="A3225">
        <v>1883</v>
      </c>
      <c r="B3225" s="16">
        <v>43497</v>
      </c>
      <c r="C3225" t="s">
        <v>192</v>
      </c>
      <c r="D3225" s="22">
        <v>11029019</v>
      </c>
    </row>
    <row r="3226" spans="1:4" x14ac:dyDescent="0.25">
      <c r="A3226">
        <v>1883</v>
      </c>
      <c r="B3226" s="16">
        <v>43525</v>
      </c>
      <c r="C3226" t="s">
        <v>192</v>
      </c>
      <c r="D3226" s="22">
        <v>11029019</v>
      </c>
    </row>
    <row r="3227" spans="1:4" x14ac:dyDescent="0.25">
      <c r="A3227">
        <v>1883</v>
      </c>
      <c r="B3227" s="16">
        <v>43556</v>
      </c>
      <c r="C3227" t="s">
        <v>192</v>
      </c>
      <c r="D3227" s="22">
        <v>11029019</v>
      </c>
    </row>
    <row r="3228" spans="1:4" x14ac:dyDescent="0.25">
      <c r="A3228">
        <v>1883</v>
      </c>
      <c r="B3228" s="16">
        <v>43586</v>
      </c>
      <c r="C3228" t="s">
        <v>192</v>
      </c>
      <c r="D3228" s="22">
        <v>11029019</v>
      </c>
    </row>
    <row r="3229" spans="1:4" x14ac:dyDescent="0.25">
      <c r="A3229">
        <v>1883</v>
      </c>
      <c r="B3229" s="16">
        <v>43617</v>
      </c>
      <c r="C3229" t="s">
        <v>192</v>
      </c>
      <c r="D3229" s="22">
        <v>11029019</v>
      </c>
    </row>
    <row r="3230" spans="1:4" x14ac:dyDescent="0.25">
      <c r="A3230">
        <v>1883</v>
      </c>
      <c r="B3230" s="16">
        <v>43647</v>
      </c>
      <c r="C3230" t="s">
        <v>192</v>
      </c>
      <c r="D3230" s="22">
        <v>11029019</v>
      </c>
    </row>
    <row r="3231" spans="1:4" x14ac:dyDescent="0.25">
      <c r="A3231">
        <v>1883</v>
      </c>
      <c r="B3231" s="16">
        <v>43678</v>
      </c>
      <c r="C3231" t="s">
        <v>192</v>
      </c>
      <c r="D3231" s="22">
        <v>11029019</v>
      </c>
    </row>
    <row r="3232" spans="1:4" x14ac:dyDescent="0.25">
      <c r="A3232">
        <v>1883</v>
      </c>
      <c r="B3232" s="16">
        <v>43709</v>
      </c>
      <c r="C3232" t="s">
        <v>192</v>
      </c>
      <c r="D3232" s="22">
        <v>11029019</v>
      </c>
    </row>
    <row r="3233" spans="1:4" x14ac:dyDescent="0.25">
      <c r="A3233">
        <v>1883</v>
      </c>
      <c r="B3233" s="16">
        <v>43739</v>
      </c>
      <c r="C3233" t="s">
        <v>192</v>
      </c>
      <c r="D3233" s="22">
        <v>11029019</v>
      </c>
    </row>
    <row r="3234" spans="1:4" x14ac:dyDescent="0.25">
      <c r="A3234">
        <v>1883</v>
      </c>
      <c r="B3234" s="16">
        <v>43770</v>
      </c>
      <c r="C3234" t="s">
        <v>192</v>
      </c>
      <c r="D3234" s="22">
        <v>11029019</v>
      </c>
    </row>
    <row r="3235" spans="1:4" x14ac:dyDescent="0.25">
      <c r="A3235">
        <v>1883</v>
      </c>
      <c r="B3235" s="16">
        <v>43800</v>
      </c>
      <c r="C3235" t="s">
        <v>192</v>
      </c>
      <c r="D3235" s="22">
        <v>11029019</v>
      </c>
    </row>
    <row r="3236" spans="1:4" x14ac:dyDescent="0.25">
      <c r="A3236">
        <v>1883</v>
      </c>
      <c r="B3236" s="16">
        <v>43831</v>
      </c>
      <c r="C3236" t="s">
        <v>192</v>
      </c>
      <c r="D3236" s="22">
        <v>11029019</v>
      </c>
    </row>
    <row r="3237" spans="1:4" x14ac:dyDescent="0.25">
      <c r="A3237">
        <v>1883</v>
      </c>
      <c r="B3237" s="16">
        <v>43862</v>
      </c>
      <c r="C3237" t="s">
        <v>192</v>
      </c>
      <c r="D3237" s="22">
        <v>11029019</v>
      </c>
    </row>
    <row r="3238" spans="1:4" x14ac:dyDescent="0.25">
      <c r="A3238">
        <v>1883</v>
      </c>
      <c r="B3238" s="16">
        <v>43891</v>
      </c>
      <c r="C3238" t="s">
        <v>192</v>
      </c>
      <c r="D3238" s="22">
        <v>11029019</v>
      </c>
    </row>
    <row r="3239" spans="1:4" x14ac:dyDescent="0.25">
      <c r="A3239">
        <v>1883</v>
      </c>
      <c r="B3239" s="16">
        <v>43922</v>
      </c>
      <c r="C3239" t="s">
        <v>192</v>
      </c>
      <c r="D3239" s="22">
        <v>11029019</v>
      </c>
    </row>
    <row r="3240" spans="1:4" x14ac:dyDescent="0.25">
      <c r="A3240">
        <v>1883</v>
      </c>
      <c r="B3240" s="16">
        <v>43952</v>
      </c>
      <c r="C3240" t="s">
        <v>192</v>
      </c>
      <c r="D3240" s="22">
        <v>11029019</v>
      </c>
    </row>
    <row r="3241" spans="1:4" x14ac:dyDescent="0.25">
      <c r="A3241">
        <v>1883</v>
      </c>
      <c r="B3241" s="16">
        <v>43983</v>
      </c>
      <c r="C3241" t="s">
        <v>192</v>
      </c>
      <c r="D3241" s="22">
        <v>11029019</v>
      </c>
    </row>
    <row r="3242" spans="1:4" x14ac:dyDescent="0.25">
      <c r="A3242">
        <v>1883</v>
      </c>
      <c r="B3242" s="16">
        <v>44013</v>
      </c>
      <c r="C3242" t="s">
        <v>192</v>
      </c>
      <c r="D3242" s="22">
        <v>11029019</v>
      </c>
    </row>
    <row r="3243" spans="1:4" x14ac:dyDescent="0.25">
      <c r="A3243">
        <v>1883</v>
      </c>
      <c r="B3243" s="16">
        <v>44044</v>
      </c>
      <c r="C3243" t="s">
        <v>192</v>
      </c>
      <c r="D3243" s="22">
        <v>11029019</v>
      </c>
    </row>
    <row r="3244" spans="1:4" x14ac:dyDescent="0.25">
      <c r="A3244">
        <v>1883</v>
      </c>
      <c r="B3244" s="16">
        <v>44075</v>
      </c>
      <c r="C3244" t="s">
        <v>192</v>
      </c>
      <c r="D3244" s="22">
        <v>11029019</v>
      </c>
    </row>
    <row r="3245" spans="1:4" x14ac:dyDescent="0.25">
      <c r="A3245">
        <v>1883</v>
      </c>
      <c r="B3245" s="16">
        <v>44105</v>
      </c>
      <c r="C3245" t="s">
        <v>192</v>
      </c>
      <c r="D3245" s="22">
        <v>11029019</v>
      </c>
    </row>
    <row r="3246" spans="1:4" x14ac:dyDescent="0.25">
      <c r="A3246">
        <v>1883</v>
      </c>
      <c r="B3246" s="16">
        <v>44136</v>
      </c>
      <c r="C3246" t="s">
        <v>192</v>
      </c>
      <c r="D3246" s="22">
        <v>11029019</v>
      </c>
    </row>
    <row r="3247" spans="1:4" x14ac:dyDescent="0.25">
      <c r="A3247">
        <v>1883</v>
      </c>
      <c r="B3247" s="16">
        <v>44166</v>
      </c>
      <c r="C3247" t="s">
        <v>192</v>
      </c>
      <c r="D3247" s="22">
        <v>11029019</v>
      </c>
    </row>
    <row r="3248" spans="1:4" x14ac:dyDescent="0.25">
      <c r="A3248">
        <v>1883</v>
      </c>
      <c r="B3248" s="16">
        <v>44197</v>
      </c>
      <c r="C3248" t="s">
        <v>192</v>
      </c>
      <c r="D3248" s="22">
        <v>11029019</v>
      </c>
    </row>
    <row r="3249" spans="1:4" x14ac:dyDescent="0.25">
      <c r="A3249">
        <v>1883</v>
      </c>
      <c r="B3249" s="16">
        <v>44228</v>
      </c>
      <c r="C3249" t="s">
        <v>192</v>
      </c>
      <c r="D3249" s="22">
        <v>11029019</v>
      </c>
    </row>
    <row r="3250" spans="1:4" x14ac:dyDescent="0.25">
      <c r="A3250">
        <v>1884</v>
      </c>
      <c r="B3250" s="16">
        <v>43466</v>
      </c>
      <c r="C3250" t="s">
        <v>192</v>
      </c>
      <c r="D3250" s="22">
        <v>10920000</v>
      </c>
    </row>
    <row r="3251" spans="1:4" x14ac:dyDescent="0.25">
      <c r="A3251">
        <v>1884</v>
      </c>
      <c r="B3251" s="16">
        <v>43497</v>
      </c>
      <c r="C3251" t="s">
        <v>192</v>
      </c>
      <c r="D3251" s="22">
        <v>10920000</v>
      </c>
    </row>
    <row r="3252" spans="1:4" x14ac:dyDescent="0.25">
      <c r="A3252">
        <v>1884</v>
      </c>
      <c r="B3252" s="16">
        <v>43525</v>
      </c>
      <c r="C3252" t="s">
        <v>192</v>
      </c>
      <c r="D3252" s="22">
        <v>10920000</v>
      </c>
    </row>
    <row r="3253" spans="1:4" x14ac:dyDescent="0.25">
      <c r="A3253">
        <v>1884</v>
      </c>
      <c r="B3253" s="16">
        <v>43556</v>
      </c>
      <c r="C3253" t="s">
        <v>192</v>
      </c>
      <c r="D3253" s="22">
        <v>10920000</v>
      </c>
    </row>
    <row r="3254" spans="1:4" x14ac:dyDescent="0.25">
      <c r="A3254">
        <v>1884</v>
      </c>
      <c r="B3254" s="16">
        <v>43586</v>
      </c>
      <c r="C3254" t="s">
        <v>192</v>
      </c>
      <c r="D3254" s="22">
        <v>10920000</v>
      </c>
    </row>
    <row r="3255" spans="1:4" x14ac:dyDescent="0.25">
      <c r="A3255">
        <v>1884</v>
      </c>
      <c r="B3255" s="16">
        <v>43617</v>
      </c>
      <c r="C3255" t="s">
        <v>192</v>
      </c>
      <c r="D3255" s="22">
        <v>10920000</v>
      </c>
    </row>
    <row r="3256" spans="1:4" x14ac:dyDescent="0.25">
      <c r="A3256">
        <v>1884</v>
      </c>
      <c r="B3256" s="16">
        <v>43647</v>
      </c>
      <c r="C3256" t="s">
        <v>192</v>
      </c>
      <c r="D3256" s="22">
        <v>10920000</v>
      </c>
    </row>
    <row r="3257" spans="1:4" x14ac:dyDescent="0.25">
      <c r="A3257">
        <v>1884</v>
      </c>
      <c r="B3257" s="16">
        <v>43678</v>
      </c>
      <c r="C3257" t="s">
        <v>192</v>
      </c>
      <c r="D3257" s="22">
        <v>10920000</v>
      </c>
    </row>
    <row r="3258" spans="1:4" x14ac:dyDescent="0.25">
      <c r="A3258">
        <v>1884</v>
      </c>
      <c r="B3258" s="16">
        <v>43709</v>
      </c>
      <c r="C3258" t="s">
        <v>192</v>
      </c>
      <c r="D3258" s="22">
        <v>10920000</v>
      </c>
    </row>
    <row r="3259" spans="1:4" x14ac:dyDescent="0.25">
      <c r="A3259">
        <v>1884</v>
      </c>
      <c r="B3259" s="16">
        <v>43739</v>
      </c>
      <c r="C3259" t="s">
        <v>192</v>
      </c>
      <c r="D3259" s="22">
        <v>10920000</v>
      </c>
    </row>
    <row r="3260" spans="1:4" x14ac:dyDescent="0.25">
      <c r="A3260">
        <v>1884</v>
      </c>
      <c r="B3260" s="16">
        <v>43770</v>
      </c>
      <c r="C3260" t="s">
        <v>192</v>
      </c>
      <c r="D3260" s="22">
        <v>10920000</v>
      </c>
    </row>
    <row r="3261" spans="1:4" x14ac:dyDescent="0.25">
      <c r="A3261">
        <v>1884</v>
      </c>
      <c r="B3261" s="16">
        <v>43800</v>
      </c>
      <c r="C3261" t="s">
        <v>192</v>
      </c>
      <c r="D3261" s="22">
        <v>10920000</v>
      </c>
    </row>
    <row r="3262" spans="1:4" x14ac:dyDescent="0.25">
      <c r="A3262">
        <v>1884</v>
      </c>
      <c r="B3262" s="16">
        <v>43831</v>
      </c>
      <c r="C3262" t="s">
        <v>192</v>
      </c>
      <c r="D3262" s="22">
        <v>10920000</v>
      </c>
    </row>
    <row r="3263" spans="1:4" x14ac:dyDescent="0.25">
      <c r="A3263">
        <v>1881</v>
      </c>
      <c r="B3263" s="16">
        <v>43466</v>
      </c>
      <c r="C3263" t="s">
        <v>192</v>
      </c>
      <c r="D3263" s="22">
        <v>8200000</v>
      </c>
    </row>
    <row r="3264" spans="1:4" x14ac:dyDescent="0.25">
      <c r="A3264">
        <v>1881</v>
      </c>
      <c r="B3264" s="16">
        <v>43497</v>
      </c>
      <c r="C3264" t="s">
        <v>192</v>
      </c>
      <c r="D3264" s="22">
        <v>8200000</v>
      </c>
    </row>
    <row r="3265" spans="1:4" x14ac:dyDescent="0.25">
      <c r="A3265">
        <v>1881</v>
      </c>
      <c r="B3265" s="16">
        <v>43525</v>
      </c>
      <c r="C3265" t="s">
        <v>192</v>
      </c>
      <c r="D3265" s="22">
        <v>8200000</v>
      </c>
    </row>
    <row r="3266" spans="1:4" x14ac:dyDescent="0.25">
      <c r="A3266">
        <v>1881</v>
      </c>
      <c r="B3266" s="16">
        <v>43556</v>
      </c>
      <c r="C3266" t="s">
        <v>192</v>
      </c>
      <c r="D3266" s="22">
        <v>8200000</v>
      </c>
    </row>
    <row r="3267" spans="1:4" x14ac:dyDescent="0.25">
      <c r="A3267">
        <v>1881</v>
      </c>
      <c r="B3267" s="16">
        <v>43586</v>
      </c>
      <c r="C3267" t="s">
        <v>192</v>
      </c>
      <c r="D3267" s="22">
        <v>8200000</v>
      </c>
    </row>
    <row r="3268" spans="1:4" x14ac:dyDescent="0.25">
      <c r="A3268">
        <v>1881</v>
      </c>
      <c r="B3268" s="16">
        <v>43617</v>
      </c>
      <c r="C3268" t="s">
        <v>192</v>
      </c>
      <c r="D3268" s="22">
        <v>8200000</v>
      </c>
    </row>
    <row r="3269" spans="1:4" x14ac:dyDescent="0.25">
      <c r="A3269">
        <v>1881</v>
      </c>
      <c r="B3269" s="16">
        <v>43647</v>
      </c>
      <c r="C3269" t="s">
        <v>192</v>
      </c>
      <c r="D3269" s="22">
        <v>8200000</v>
      </c>
    </row>
    <row r="3270" spans="1:4" x14ac:dyDescent="0.25">
      <c r="A3270">
        <v>1881</v>
      </c>
      <c r="B3270" s="16">
        <v>43678</v>
      </c>
      <c r="C3270" t="s">
        <v>192</v>
      </c>
      <c r="D3270" s="22">
        <v>8200000</v>
      </c>
    </row>
    <row r="3271" spans="1:4" x14ac:dyDescent="0.25">
      <c r="A3271">
        <v>1881</v>
      </c>
      <c r="B3271" s="16">
        <v>43709</v>
      </c>
      <c r="C3271" t="s">
        <v>192</v>
      </c>
      <c r="D3271" s="22">
        <v>8200000</v>
      </c>
    </row>
    <row r="3272" spans="1:4" x14ac:dyDescent="0.25">
      <c r="A3272">
        <v>1881</v>
      </c>
      <c r="B3272" s="16">
        <v>43739</v>
      </c>
      <c r="C3272" t="s">
        <v>192</v>
      </c>
      <c r="D3272" s="22">
        <v>8200000</v>
      </c>
    </row>
    <row r="3273" spans="1:4" x14ac:dyDescent="0.25">
      <c r="A3273">
        <v>1881</v>
      </c>
      <c r="B3273" s="16">
        <v>43770</v>
      </c>
      <c r="C3273" t="s">
        <v>192</v>
      </c>
      <c r="D3273" s="22">
        <v>8200000</v>
      </c>
    </row>
    <row r="3274" spans="1:4" x14ac:dyDescent="0.25">
      <c r="A3274">
        <v>1881</v>
      </c>
      <c r="B3274" s="16">
        <v>43800</v>
      </c>
      <c r="C3274" t="s">
        <v>192</v>
      </c>
      <c r="D3274" s="22">
        <v>8200000</v>
      </c>
    </row>
    <row r="3275" spans="1:4" x14ac:dyDescent="0.25">
      <c r="A3275">
        <v>1881</v>
      </c>
      <c r="B3275" s="16">
        <v>43831</v>
      </c>
      <c r="C3275" t="s">
        <v>192</v>
      </c>
      <c r="D3275" s="22">
        <v>8200000</v>
      </c>
    </row>
    <row r="3276" spans="1:4" x14ac:dyDescent="0.25">
      <c r="A3276">
        <v>1881</v>
      </c>
      <c r="B3276" s="16">
        <v>43862</v>
      </c>
      <c r="C3276" t="s">
        <v>192</v>
      </c>
      <c r="D3276" s="22">
        <v>8200000</v>
      </c>
    </row>
    <row r="3277" spans="1:4" x14ac:dyDescent="0.25">
      <c r="A3277">
        <v>1881</v>
      </c>
      <c r="B3277" s="16">
        <v>43891</v>
      </c>
      <c r="C3277" t="s">
        <v>192</v>
      </c>
      <c r="D3277" s="22">
        <v>8200000</v>
      </c>
    </row>
    <row r="3278" spans="1:4" x14ac:dyDescent="0.25">
      <c r="A3278">
        <v>1881</v>
      </c>
      <c r="B3278" s="16">
        <v>43922</v>
      </c>
      <c r="C3278" t="s">
        <v>192</v>
      </c>
      <c r="D3278" s="22">
        <v>8200000</v>
      </c>
    </row>
    <row r="3279" spans="1:4" x14ac:dyDescent="0.25">
      <c r="A3279">
        <v>1881</v>
      </c>
      <c r="B3279" s="16">
        <v>43952</v>
      </c>
      <c r="C3279" t="s">
        <v>192</v>
      </c>
      <c r="D3279" s="22">
        <v>8200000</v>
      </c>
    </row>
    <row r="3280" spans="1:4" x14ac:dyDescent="0.25">
      <c r="A3280">
        <v>1881</v>
      </c>
      <c r="B3280" s="16">
        <v>43983</v>
      </c>
      <c r="C3280" t="s">
        <v>192</v>
      </c>
      <c r="D3280" s="22">
        <v>8200000</v>
      </c>
    </row>
    <row r="3281" spans="1:4" x14ac:dyDescent="0.25">
      <c r="A3281">
        <v>1881</v>
      </c>
      <c r="B3281" s="16">
        <v>44013</v>
      </c>
      <c r="C3281" t="s">
        <v>192</v>
      </c>
      <c r="D3281" s="22">
        <v>8200000</v>
      </c>
    </row>
    <row r="3282" spans="1:4" x14ac:dyDescent="0.25">
      <c r="A3282">
        <v>1880</v>
      </c>
      <c r="B3282" s="16">
        <v>43466</v>
      </c>
      <c r="C3282" t="s">
        <v>192</v>
      </c>
      <c r="D3282" s="22">
        <v>9080000</v>
      </c>
    </row>
    <row r="3283" spans="1:4" x14ac:dyDescent="0.25">
      <c r="A3283">
        <v>1880</v>
      </c>
      <c r="B3283" s="16">
        <v>43497</v>
      </c>
      <c r="C3283" t="s">
        <v>192</v>
      </c>
      <c r="D3283" s="22">
        <v>9080000</v>
      </c>
    </row>
    <row r="3284" spans="1:4" x14ac:dyDescent="0.25">
      <c r="A3284">
        <v>1880</v>
      </c>
      <c r="B3284" s="16">
        <v>43525</v>
      </c>
      <c r="C3284" t="s">
        <v>192</v>
      </c>
      <c r="D3284" s="22">
        <v>9080000</v>
      </c>
    </row>
    <row r="3285" spans="1:4" x14ac:dyDescent="0.25">
      <c r="A3285">
        <v>1880</v>
      </c>
      <c r="B3285" s="16">
        <v>43556</v>
      </c>
      <c r="C3285" t="s">
        <v>192</v>
      </c>
      <c r="D3285" s="22">
        <v>9080000</v>
      </c>
    </row>
    <row r="3286" spans="1:4" x14ac:dyDescent="0.25">
      <c r="A3286">
        <v>1880</v>
      </c>
      <c r="B3286" s="16">
        <v>43586</v>
      </c>
      <c r="C3286" t="s">
        <v>192</v>
      </c>
      <c r="D3286" s="22">
        <v>9080000</v>
      </c>
    </row>
    <row r="3287" spans="1:4" x14ac:dyDescent="0.25">
      <c r="A3287">
        <v>1880</v>
      </c>
      <c r="B3287" s="16">
        <v>43617</v>
      </c>
      <c r="C3287" t="s">
        <v>192</v>
      </c>
      <c r="D3287" s="22">
        <v>9080000</v>
      </c>
    </row>
    <row r="3288" spans="1:4" x14ac:dyDescent="0.25">
      <c r="A3288">
        <v>1877</v>
      </c>
      <c r="B3288" s="16">
        <v>43466</v>
      </c>
      <c r="C3288" t="s">
        <v>192</v>
      </c>
      <c r="D3288" s="22">
        <v>27800000</v>
      </c>
    </row>
    <row r="3289" spans="1:4" x14ac:dyDescent="0.25">
      <c r="A3289">
        <v>1877</v>
      </c>
      <c r="B3289" s="16">
        <v>43497</v>
      </c>
      <c r="C3289" t="s">
        <v>192</v>
      </c>
      <c r="D3289" s="22">
        <v>27800000</v>
      </c>
    </row>
    <row r="3290" spans="1:4" x14ac:dyDescent="0.25">
      <c r="A3290">
        <v>1877</v>
      </c>
      <c r="B3290" s="16">
        <v>43525</v>
      </c>
      <c r="C3290" t="s">
        <v>192</v>
      </c>
      <c r="D3290" s="22">
        <v>27800000</v>
      </c>
    </row>
    <row r="3291" spans="1:4" x14ac:dyDescent="0.25">
      <c r="A3291">
        <v>1877</v>
      </c>
      <c r="B3291" s="16">
        <v>43556</v>
      </c>
      <c r="C3291" t="s">
        <v>192</v>
      </c>
      <c r="D3291" s="22">
        <v>27800000</v>
      </c>
    </row>
    <row r="3292" spans="1:4" x14ac:dyDescent="0.25">
      <c r="A3292">
        <v>1877</v>
      </c>
      <c r="B3292" s="16">
        <v>43586</v>
      </c>
      <c r="C3292" t="s">
        <v>192</v>
      </c>
      <c r="D3292" s="22">
        <v>27800000</v>
      </c>
    </row>
    <row r="3293" spans="1:4" x14ac:dyDescent="0.25">
      <c r="A3293">
        <v>1877</v>
      </c>
      <c r="B3293" s="16">
        <v>43617</v>
      </c>
      <c r="C3293" t="s">
        <v>192</v>
      </c>
      <c r="D3293" s="22">
        <v>27800000</v>
      </c>
    </row>
    <row r="3294" spans="1:4" x14ac:dyDescent="0.25">
      <c r="A3294">
        <v>1877</v>
      </c>
      <c r="B3294" s="16">
        <v>43647</v>
      </c>
      <c r="C3294" t="s">
        <v>192</v>
      </c>
      <c r="D3294" s="22">
        <v>27800000</v>
      </c>
    </row>
    <row r="3295" spans="1:4" x14ac:dyDescent="0.25">
      <c r="A3295">
        <v>1877</v>
      </c>
      <c r="B3295" s="16">
        <v>43678</v>
      </c>
      <c r="C3295" t="s">
        <v>192</v>
      </c>
      <c r="D3295" s="22">
        <v>27800000</v>
      </c>
    </row>
    <row r="3296" spans="1:4" x14ac:dyDescent="0.25">
      <c r="A3296">
        <v>1877</v>
      </c>
      <c r="B3296" s="16">
        <v>43709</v>
      </c>
      <c r="C3296" t="s">
        <v>192</v>
      </c>
      <c r="D3296" s="22">
        <v>27800000</v>
      </c>
    </row>
    <row r="3297" spans="1:4" x14ac:dyDescent="0.25">
      <c r="A3297">
        <v>1877</v>
      </c>
      <c r="B3297" s="16">
        <v>43739</v>
      </c>
      <c r="C3297" t="s">
        <v>192</v>
      </c>
      <c r="D3297" s="22">
        <v>27800000</v>
      </c>
    </row>
    <row r="3298" spans="1:4" x14ac:dyDescent="0.25">
      <c r="A3298">
        <v>1877</v>
      </c>
      <c r="B3298" s="16">
        <v>43770</v>
      </c>
      <c r="C3298" t="s">
        <v>192</v>
      </c>
      <c r="D3298" s="22">
        <v>27800000</v>
      </c>
    </row>
    <row r="3299" spans="1:4" x14ac:dyDescent="0.25">
      <c r="A3299">
        <v>1877</v>
      </c>
      <c r="B3299" s="16">
        <v>43800</v>
      </c>
      <c r="C3299" t="s">
        <v>192</v>
      </c>
      <c r="D3299" s="22">
        <v>27800000</v>
      </c>
    </row>
    <row r="3300" spans="1:4" x14ac:dyDescent="0.25">
      <c r="A3300">
        <v>1877</v>
      </c>
      <c r="B3300" s="16">
        <v>43831</v>
      </c>
      <c r="C3300" t="s">
        <v>192</v>
      </c>
      <c r="D3300" s="22">
        <v>27800000</v>
      </c>
    </row>
    <row r="3301" spans="1:4" x14ac:dyDescent="0.25">
      <c r="A3301">
        <v>1877</v>
      </c>
      <c r="B3301" s="16">
        <v>43862</v>
      </c>
      <c r="C3301" t="s">
        <v>192</v>
      </c>
      <c r="D3301" s="22">
        <v>27800000</v>
      </c>
    </row>
    <row r="3302" spans="1:4" x14ac:dyDescent="0.25">
      <c r="A3302">
        <v>1877</v>
      </c>
      <c r="B3302" s="16">
        <v>43891</v>
      </c>
      <c r="C3302" t="s">
        <v>192</v>
      </c>
      <c r="D3302" s="22">
        <v>27800000</v>
      </c>
    </row>
    <row r="3303" spans="1:4" x14ac:dyDescent="0.25">
      <c r="A3303">
        <v>1813</v>
      </c>
      <c r="B3303" s="16">
        <v>43466</v>
      </c>
      <c r="C3303" t="s">
        <v>192</v>
      </c>
      <c r="D3303" s="22">
        <v>0</v>
      </c>
    </row>
    <row r="3304" spans="1:4" x14ac:dyDescent="0.25">
      <c r="A3304">
        <v>1813</v>
      </c>
      <c r="B3304" s="16">
        <v>43497</v>
      </c>
      <c r="C3304" t="s">
        <v>192</v>
      </c>
      <c r="D3304" s="22">
        <v>0</v>
      </c>
    </row>
    <row r="3305" spans="1:4" x14ac:dyDescent="0.25">
      <c r="A3305">
        <v>1813</v>
      </c>
      <c r="B3305" s="16">
        <v>43525</v>
      </c>
      <c r="C3305" t="s">
        <v>192</v>
      </c>
      <c r="D3305" s="22">
        <v>0</v>
      </c>
    </row>
    <row r="3306" spans="1:4" x14ac:dyDescent="0.25">
      <c r="A3306">
        <v>1813</v>
      </c>
      <c r="B3306" s="16">
        <v>43556</v>
      </c>
      <c r="C3306" t="s">
        <v>192</v>
      </c>
      <c r="D3306" s="22">
        <v>0</v>
      </c>
    </row>
    <row r="3307" spans="1:4" x14ac:dyDescent="0.25">
      <c r="A3307">
        <v>1813</v>
      </c>
      <c r="B3307" s="16">
        <v>43586</v>
      </c>
      <c r="C3307" t="s">
        <v>192</v>
      </c>
      <c r="D3307" s="22">
        <v>0</v>
      </c>
    </row>
    <row r="3308" spans="1:4" x14ac:dyDescent="0.25">
      <c r="A3308">
        <v>1701</v>
      </c>
      <c r="B3308" s="16">
        <v>43466</v>
      </c>
      <c r="C3308" t="s">
        <v>192</v>
      </c>
      <c r="D3308" s="22">
        <v>19000000</v>
      </c>
    </row>
    <row r="3309" spans="1:4" x14ac:dyDescent="0.25">
      <c r="A3309">
        <v>1701</v>
      </c>
      <c r="B3309" s="16">
        <v>43497</v>
      </c>
      <c r="C3309" t="s">
        <v>192</v>
      </c>
      <c r="D3309" s="22">
        <v>19000000</v>
      </c>
    </row>
    <row r="3310" spans="1:4" x14ac:dyDescent="0.25">
      <c r="A3310">
        <v>1701</v>
      </c>
      <c r="B3310" s="16">
        <v>43525</v>
      </c>
      <c r="C3310" t="s">
        <v>192</v>
      </c>
      <c r="D3310" s="22">
        <v>19000000</v>
      </c>
    </row>
    <row r="3311" spans="1:4" x14ac:dyDescent="0.25">
      <c r="A3311">
        <v>1701</v>
      </c>
      <c r="B3311" s="16">
        <v>43556</v>
      </c>
      <c r="C3311" t="s">
        <v>192</v>
      </c>
      <c r="D3311" s="22">
        <v>19000000</v>
      </c>
    </row>
    <row r="3312" spans="1:4" x14ac:dyDescent="0.25">
      <c r="A3312">
        <v>1701</v>
      </c>
      <c r="B3312" s="16">
        <v>43586</v>
      </c>
      <c r="C3312" t="s">
        <v>192</v>
      </c>
      <c r="D3312" s="22">
        <v>19000000</v>
      </c>
    </row>
    <row r="3313" spans="1:4" x14ac:dyDescent="0.25">
      <c r="A3313">
        <v>1701</v>
      </c>
      <c r="B3313" s="16">
        <v>43617</v>
      </c>
      <c r="C3313" t="s">
        <v>192</v>
      </c>
      <c r="D3313" s="22">
        <v>19000000</v>
      </c>
    </row>
    <row r="3314" spans="1:4" x14ac:dyDescent="0.25">
      <c r="A3314">
        <v>1701</v>
      </c>
      <c r="B3314" s="16">
        <v>43647</v>
      </c>
      <c r="C3314" t="s">
        <v>192</v>
      </c>
      <c r="D3314" s="22">
        <v>19000000</v>
      </c>
    </row>
    <row r="3315" spans="1:4" x14ac:dyDescent="0.25">
      <c r="A3315">
        <v>1701</v>
      </c>
      <c r="B3315" s="16">
        <v>43678</v>
      </c>
      <c r="C3315" t="s">
        <v>192</v>
      </c>
      <c r="D3315" s="22">
        <v>19000000</v>
      </c>
    </row>
    <row r="3316" spans="1:4" x14ac:dyDescent="0.25">
      <c r="A3316">
        <v>1701</v>
      </c>
      <c r="B3316" s="16">
        <v>43709</v>
      </c>
      <c r="C3316" t="s">
        <v>192</v>
      </c>
      <c r="D3316" s="22">
        <v>19000000</v>
      </c>
    </row>
    <row r="3317" spans="1:4" x14ac:dyDescent="0.25">
      <c r="A3317">
        <v>1701</v>
      </c>
      <c r="B3317" s="16">
        <v>43739</v>
      </c>
      <c r="C3317" t="s">
        <v>192</v>
      </c>
      <c r="D3317" s="22">
        <v>19000000</v>
      </c>
    </row>
    <row r="3318" spans="1:4" x14ac:dyDescent="0.25">
      <c r="A3318">
        <v>1701</v>
      </c>
      <c r="B3318" s="16">
        <v>43770</v>
      </c>
      <c r="C3318" t="s">
        <v>192</v>
      </c>
      <c r="D3318" s="22">
        <v>19000000</v>
      </c>
    </row>
    <row r="3319" spans="1:4" x14ac:dyDescent="0.25">
      <c r="A3319">
        <v>1701</v>
      </c>
      <c r="B3319" s="16">
        <v>43800</v>
      </c>
      <c r="C3319" t="s">
        <v>192</v>
      </c>
      <c r="D3319" s="22">
        <v>19000000</v>
      </c>
    </row>
    <row r="3320" spans="1:4" x14ac:dyDescent="0.25">
      <c r="A3320">
        <v>1687</v>
      </c>
      <c r="B3320" s="16">
        <v>43466</v>
      </c>
      <c r="C3320" t="s">
        <v>192</v>
      </c>
      <c r="D3320" s="22">
        <v>32000000</v>
      </c>
    </row>
    <row r="3321" spans="1:4" x14ac:dyDescent="0.25">
      <c r="A3321">
        <v>1577</v>
      </c>
      <c r="B3321" s="16">
        <v>43466</v>
      </c>
      <c r="C3321" t="s">
        <v>192</v>
      </c>
      <c r="D3321" s="22">
        <v>33000000</v>
      </c>
    </row>
    <row r="3322" spans="1:4" x14ac:dyDescent="0.25">
      <c r="A3322">
        <v>1577</v>
      </c>
      <c r="B3322" s="16">
        <v>43497</v>
      </c>
      <c r="C3322" t="s">
        <v>192</v>
      </c>
      <c r="D3322" s="22">
        <v>33000000</v>
      </c>
    </row>
    <row r="3323" spans="1:4" x14ac:dyDescent="0.25">
      <c r="A3323">
        <v>1577</v>
      </c>
      <c r="B3323" s="16">
        <v>43525</v>
      </c>
      <c r="C3323" t="s">
        <v>192</v>
      </c>
      <c r="D3323" s="22">
        <v>33000000</v>
      </c>
    </row>
    <row r="3324" spans="1:4" x14ac:dyDescent="0.25">
      <c r="A3324">
        <v>1577</v>
      </c>
      <c r="B3324" s="16">
        <v>43556</v>
      </c>
      <c r="C3324" t="s">
        <v>192</v>
      </c>
      <c r="D3324" s="22">
        <v>33000000</v>
      </c>
    </row>
    <row r="3325" spans="1:4" x14ac:dyDescent="0.25">
      <c r="A3325">
        <v>1577</v>
      </c>
      <c r="B3325" s="16">
        <v>43586</v>
      </c>
      <c r="C3325" t="s">
        <v>192</v>
      </c>
      <c r="D3325" s="22">
        <v>33000000</v>
      </c>
    </row>
    <row r="3326" spans="1:4" x14ac:dyDescent="0.25">
      <c r="A3326">
        <v>1577</v>
      </c>
      <c r="B3326" s="16">
        <v>43617</v>
      </c>
      <c r="C3326" t="s">
        <v>192</v>
      </c>
      <c r="D3326" s="22">
        <v>15000000</v>
      </c>
    </row>
    <row r="3327" spans="1:4" x14ac:dyDescent="0.25">
      <c r="A3327">
        <v>1577</v>
      </c>
      <c r="B3327" s="16">
        <v>43647</v>
      </c>
      <c r="C3327" t="s">
        <v>192</v>
      </c>
      <c r="D3327" s="22">
        <v>15000000</v>
      </c>
    </row>
    <row r="3328" spans="1:4" x14ac:dyDescent="0.25">
      <c r="A3328">
        <v>1622</v>
      </c>
      <c r="B3328" s="16">
        <v>43466</v>
      </c>
      <c r="C3328" t="s">
        <v>192</v>
      </c>
      <c r="D3328" s="22">
        <v>36049228</v>
      </c>
    </row>
    <row r="3329" spans="1:4" x14ac:dyDescent="0.25">
      <c r="A3329">
        <v>1622</v>
      </c>
      <c r="B3329" s="16">
        <v>43497</v>
      </c>
      <c r="C3329" t="s">
        <v>192</v>
      </c>
      <c r="D3329" s="22">
        <v>36049228</v>
      </c>
    </row>
    <row r="3330" spans="1:4" x14ac:dyDescent="0.25">
      <c r="A3330">
        <v>1622</v>
      </c>
      <c r="B3330" s="16">
        <v>43525</v>
      </c>
      <c r="C3330" t="s">
        <v>192</v>
      </c>
      <c r="D3330" s="22">
        <v>36049228</v>
      </c>
    </row>
    <row r="3331" spans="1:4" x14ac:dyDescent="0.25">
      <c r="A3331">
        <v>1622</v>
      </c>
      <c r="B3331" s="16">
        <v>43466</v>
      </c>
      <c r="C3331" t="s">
        <v>192</v>
      </c>
      <c r="D3331" s="22">
        <v>44700000</v>
      </c>
    </row>
    <row r="3332" spans="1:4" x14ac:dyDescent="0.25">
      <c r="A3332">
        <v>1622</v>
      </c>
      <c r="B3332" s="16">
        <v>43497</v>
      </c>
      <c r="C3332" t="s">
        <v>192</v>
      </c>
      <c r="D3332" s="22">
        <v>44700000</v>
      </c>
    </row>
    <row r="3333" spans="1:4" x14ac:dyDescent="0.25">
      <c r="A3333">
        <v>1622</v>
      </c>
      <c r="B3333" s="16">
        <v>43525</v>
      </c>
      <c r="C3333" t="s">
        <v>192</v>
      </c>
      <c r="D3333" s="22">
        <v>44700000</v>
      </c>
    </row>
    <row r="3334" spans="1:4" x14ac:dyDescent="0.25">
      <c r="A3334">
        <v>1622</v>
      </c>
      <c r="B3334" s="16">
        <v>43556</v>
      </c>
      <c r="C3334" t="s">
        <v>192</v>
      </c>
      <c r="D3334" s="22">
        <v>44700000</v>
      </c>
    </row>
    <row r="3335" spans="1:4" x14ac:dyDescent="0.25">
      <c r="A3335">
        <v>1588</v>
      </c>
      <c r="B3335" s="16">
        <v>43466</v>
      </c>
      <c r="C3335" t="s">
        <v>192</v>
      </c>
      <c r="D3335" s="22">
        <v>20430000</v>
      </c>
    </row>
    <row r="3336" spans="1:4" x14ac:dyDescent="0.25">
      <c r="A3336">
        <v>1588</v>
      </c>
      <c r="B3336" s="16">
        <v>43497</v>
      </c>
      <c r="C3336" t="s">
        <v>192</v>
      </c>
      <c r="D3336" s="22">
        <v>20430000</v>
      </c>
    </row>
    <row r="3337" spans="1:4" x14ac:dyDescent="0.25">
      <c r="A3337">
        <v>1588</v>
      </c>
      <c r="B3337" s="16">
        <v>43525</v>
      </c>
      <c r="C3337" t="s">
        <v>192</v>
      </c>
      <c r="D3337" s="22">
        <v>20430000</v>
      </c>
    </row>
    <row r="3338" spans="1:4" x14ac:dyDescent="0.25">
      <c r="A3338">
        <v>1723</v>
      </c>
      <c r="B3338" s="16">
        <v>43466</v>
      </c>
      <c r="C3338" t="s">
        <v>192</v>
      </c>
      <c r="D3338" s="22">
        <v>48600000</v>
      </c>
    </row>
    <row r="3339" spans="1:4" x14ac:dyDescent="0.25">
      <c r="A3339">
        <v>1723</v>
      </c>
      <c r="B3339" s="16">
        <v>43497</v>
      </c>
      <c r="C3339" t="s">
        <v>192</v>
      </c>
      <c r="D3339" s="22">
        <v>48600000</v>
      </c>
    </row>
    <row r="3340" spans="1:4" x14ac:dyDescent="0.25">
      <c r="A3340">
        <v>1723</v>
      </c>
      <c r="B3340" s="16">
        <v>43525</v>
      </c>
      <c r="C3340" t="s">
        <v>192</v>
      </c>
      <c r="D3340" s="22">
        <v>48600000</v>
      </c>
    </row>
    <row r="3341" spans="1:4" x14ac:dyDescent="0.25">
      <c r="A3341">
        <v>1723</v>
      </c>
      <c r="B3341" s="16">
        <v>43556</v>
      </c>
      <c r="C3341" t="s">
        <v>192</v>
      </c>
      <c r="D3341" s="22">
        <v>48600000</v>
      </c>
    </row>
    <row r="3342" spans="1:4" x14ac:dyDescent="0.25">
      <c r="A3342">
        <v>1723</v>
      </c>
      <c r="B3342" s="16">
        <v>43586</v>
      </c>
      <c r="C3342" t="s">
        <v>192</v>
      </c>
      <c r="D3342" s="22">
        <v>48600000</v>
      </c>
    </row>
    <row r="3343" spans="1:4" x14ac:dyDescent="0.25">
      <c r="A3343">
        <v>1723</v>
      </c>
      <c r="B3343" s="16">
        <v>43617</v>
      </c>
      <c r="C3343" t="s">
        <v>192</v>
      </c>
      <c r="D3343" s="22">
        <v>48600000</v>
      </c>
    </row>
    <row r="3344" spans="1:4" x14ac:dyDescent="0.25">
      <c r="A3344">
        <v>1888</v>
      </c>
      <c r="B3344" s="16">
        <v>43525</v>
      </c>
      <c r="C3344" t="s">
        <v>192</v>
      </c>
      <c r="D3344" s="22">
        <v>6040000</v>
      </c>
    </row>
    <row r="3345" spans="1:4" x14ac:dyDescent="0.25">
      <c r="A3345">
        <v>1888</v>
      </c>
      <c r="B3345" s="16">
        <v>43556</v>
      </c>
      <c r="C3345" t="s">
        <v>192</v>
      </c>
      <c r="D3345" s="22">
        <v>6040000</v>
      </c>
    </row>
    <row r="3346" spans="1:4" x14ac:dyDescent="0.25">
      <c r="A3346">
        <v>1888</v>
      </c>
      <c r="B3346" s="16">
        <v>43586</v>
      </c>
      <c r="C3346" t="s">
        <v>192</v>
      </c>
      <c r="D3346" s="22">
        <v>6040000</v>
      </c>
    </row>
    <row r="3347" spans="1:4" x14ac:dyDescent="0.25">
      <c r="A3347">
        <v>1888</v>
      </c>
      <c r="B3347" s="16">
        <v>43617</v>
      </c>
      <c r="C3347" t="s">
        <v>192</v>
      </c>
      <c r="D3347" s="22">
        <v>6040000</v>
      </c>
    </row>
    <row r="3348" spans="1:4" x14ac:dyDescent="0.25">
      <c r="A3348">
        <v>1888</v>
      </c>
      <c r="B3348" s="16">
        <v>43525</v>
      </c>
      <c r="C3348" t="s">
        <v>192</v>
      </c>
      <c r="D3348" s="22">
        <v>19220000</v>
      </c>
    </row>
    <row r="3349" spans="1:4" x14ac:dyDescent="0.25">
      <c r="A3349">
        <v>1888</v>
      </c>
      <c r="B3349" s="16">
        <v>43556</v>
      </c>
      <c r="C3349" t="s">
        <v>192</v>
      </c>
      <c r="D3349" s="22">
        <v>19220000</v>
      </c>
    </row>
    <row r="3350" spans="1:4" x14ac:dyDescent="0.25">
      <c r="A3350">
        <v>1888</v>
      </c>
      <c r="B3350" s="16">
        <v>43586</v>
      </c>
      <c r="C3350" t="s">
        <v>192</v>
      </c>
      <c r="D3350" s="22">
        <v>19220000</v>
      </c>
    </row>
    <row r="3351" spans="1:4" x14ac:dyDescent="0.25">
      <c r="A3351">
        <v>1888</v>
      </c>
      <c r="B3351" s="16">
        <v>43617</v>
      </c>
      <c r="C3351" t="s">
        <v>192</v>
      </c>
      <c r="D3351" s="22">
        <v>19220000</v>
      </c>
    </row>
    <row r="3352" spans="1:4" x14ac:dyDescent="0.25">
      <c r="A3352">
        <v>1888</v>
      </c>
      <c r="B3352" s="16">
        <v>43647</v>
      </c>
      <c r="C3352" t="s">
        <v>192</v>
      </c>
      <c r="D3352" s="22">
        <v>19220000</v>
      </c>
    </row>
    <row r="3353" spans="1:4" x14ac:dyDescent="0.25">
      <c r="A3353">
        <v>1888</v>
      </c>
      <c r="B3353" s="16">
        <v>43678</v>
      </c>
      <c r="C3353" t="s">
        <v>192</v>
      </c>
      <c r="D3353" s="22">
        <v>19220000</v>
      </c>
    </row>
    <row r="3354" spans="1:4" x14ac:dyDescent="0.25">
      <c r="A3354">
        <v>1888</v>
      </c>
      <c r="B3354" s="16">
        <v>43709</v>
      </c>
      <c r="C3354" t="s">
        <v>192</v>
      </c>
      <c r="D3354" s="22">
        <v>19220000</v>
      </c>
    </row>
    <row r="3355" spans="1:4" x14ac:dyDescent="0.25">
      <c r="A3355">
        <v>1888</v>
      </c>
      <c r="B3355" s="16">
        <v>43739</v>
      </c>
      <c r="C3355" t="s">
        <v>192</v>
      </c>
      <c r="D3355" s="22">
        <v>19220000</v>
      </c>
    </row>
    <row r="3356" spans="1:4" x14ac:dyDescent="0.25">
      <c r="A3356">
        <v>1888</v>
      </c>
      <c r="B3356" s="16">
        <v>43770</v>
      </c>
      <c r="C3356" t="s">
        <v>192</v>
      </c>
      <c r="D3356" s="22">
        <v>19220000</v>
      </c>
    </row>
    <row r="3357" spans="1:4" x14ac:dyDescent="0.25">
      <c r="A3357">
        <v>1888</v>
      </c>
      <c r="B3357" s="16">
        <v>43800</v>
      </c>
      <c r="C3357" t="s">
        <v>192</v>
      </c>
      <c r="D3357" s="22">
        <v>19220000</v>
      </c>
    </row>
    <row r="3358" spans="1:4" x14ac:dyDescent="0.25">
      <c r="A3358">
        <v>1888</v>
      </c>
      <c r="B3358" s="16">
        <v>43831</v>
      </c>
      <c r="C3358" t="s">
        <v>192</v>
      </c>
      <c r="D3358" s="22">
        <v>19220000</v>
      </c>
    </row>
    <row r="3359" spans="1:4" x14ac:dyDescent="0.25">
      <c r="A3359">
        <v>1888</v>
      </c>
      <c r="B3359" s="16">
        <v>43862</v>
      </c>
      <c r="C3359" t="s">
        <v>192</v>
      </c>
      <c r="D3359" s="22">
        <v>19220000</v>
      </c>
    </row>
    <row r="3360" spans="1:4" x14ac:dyDescent="0.25">
      <c r="A3360">
        <v>1891</v>
      </c>
      <c r="B3360" s="16">
        <v>43497</v>
      </c>
      <c r="C3360" t="s">
        <v>192</v>
      </c>
      <c r="D3360" s="22">
        <v>23250000</v>
      </c>
    </row>
    <row r="3361" spans="1:4" x14ac:dyDescent="0.25">
      <c r="A3361">
        <v>1891</v>
      </c>
      <c r="B3361" s="16">
        <v>43525</v>
      </c>
      <c r="C3361" t="s">
        <v>192</v>
      </c>
      <c r="D3361" s="22">
        <v>23250000</v>
      </c>
    </row>
    <row r="3362" spans="1:4" x14ac:dyDescent="0.25">
      <c r="A3362">
        <v>1891</v>
      </c>
      <c r="B3362" s="16">
        <v>43556</v>
      </c>
      <c r="C3362" t="s">
        <v>192</v>
      </c>
      <c r="D3362" s="22">
        <v>23250000</v>
      </c>
    </row>
    <row r="3363" spans="1:4" x14ac:dyDescent="0.25">
      <c r="A3363">
        <v>1891</v>
      </c>
      <c r="B3363" s="16">
        <v>43586</v>
      </c>
      <c r="C3363" t="s">
        <v>192</v>
      </c>
      <c r="D3363" s="22">
        <v>23250000</v>
      </c>
    </row>
    <row r="3364" spans="1:4" x14ac:dyDescent="0.25">
      <c r="A3364">
        <v>1891</v>
      </c>
      <c r="B3364" s="16">
        <v>43617</v>
      </c>
      <c r="C3364" t="s">
        <v>192</v>
      </c>
      <c r="D3364" s="22">
        <v>23250000</v>
      </c>
    </row>
    <row r="3365" spans="1:4" x14ac:dyDescent="0.25">
      <c r="A3365">
        <v>1891</v>
      </c>
      <c r="B3365" s="16">
        <v>43647</v>
      </c>
      <c r="C3365" t="s">
        <v>192</v>
      </c>
      <c r="D3365" s="22">
        <v>23250000</v>
      </c>
    </row>
    <row r="3366" spans="1:4" x14ac:dyDescent="0.25">
      <c r="A3366">
        <v>1891</v>
      </c>
      <c r="B3366" s="16">
        <v>43678</v>
      </c>
      <c r="C3366" t="s">
        <v>192</v>
      </c>
      <c r="D3366" s="22">
        <v>23250000</v>
      </c>
    </row>
    <row r="3367" spans="1:4" x14ac:dyDescent="0.25">
      <c r="A3367">
        <v>1891</v>
      </c>
      <c r="B3367" s="16">
        <v>43709</v>
      </c>
      <c r="C3367" t="s">
        <v>192</v>
      </c>
      <c r="D3367" s="22">
        <v>23250000</v>
      </c>
    </row>
    <row r="3368" spans="1:4" x14ac:dyDescent="0.25">
      <c r="A3368">
        <v>1891</v>
      </c>
      <c r="B3368" s="16">
        <v>43739</v>
      </c>
      <c r="C3368" t="s">
        <v>192</v>
      </c>
      <c r="D3368" s="22">
        <v>23250000</v>
      </c>
    </row>
    <row r="3369" spans="1:4" x14ac:dyDescent="0.25">
      <c r="A3369">
        <v>1891</v>
      </c>
      <c r="B3369" s="16">
        <v>43770</v>
      </c>
      <c r="C3369" t="s">
        <v>192</v>
      </c>
      <c r="D3369" s="22">
        <v>23250000</v>
      </c>
    </row>
    <row r="3370" spans="1:4" x14ac:dyDescent="0.25">
      <c r="A3370">
        <v>1891</v>
      </c>
      <c r="B3370" s="16">
        <v>43800</v>
      </c>
      <c r="C3370" t="s">
        <v>192</v>
      </c>
      <c r="D3370" s="22">
        <v>23250000</v>
      </c>
    </row>
    <row r="3371" spans="1:4" x14ac:dyDescent="0.25">
      <c r="A3371">
        <v>1891</v>
      </c>
      <c r="B3371" s="16">
        <v>43831</v>
      </c>
      <c r="C3371" t="s">
        <v>192</v>
      </c>
      <c r="D3371" s="22">
        <v>23250000</v>
      </c>
    </row>
    <row r="3372" spans="1:4" x14ac:dyDescent="0.25">
      <c r="A3372">
        <v>1891</v>
      </c>
      <c r="B3372" s="16">
        <v>43862</v>
      </c>
      <c r="C3372" t="s">
        <v>192</v>
      </c>
      <c r="D3372" s="22">
        <v>23250000</v>
      </c>
    </row>
    <row r="3373" spans="1:4" x14ac:dyDescent="0.25">
      <c r="A3373">
        <v>1891</v>
      </c>
      <c r="B3373" s="16">
        <v>43891</v>
      </c>
      <c r="C3373" t="s">
        <v>192</v>
      </c>
      <c r="D3373" s="22">
        <v>23250000</v>
      </c>
    </row>
    <row r="3374" spans="1:4" x14ac:dyDescent="0.25">
      <c r="A3374">
        <v>1891</v>
      </c>
      <c r="B3374" s="16">
        <v>43922</v>
      </c>
      <c r="C3374" t="s">
        <v>192</v>
      </c>
      <c r="D3374" s="22">
        <v>23250000</v>
      </c>
    </row>
    <row r="3375" spans="1:4" x14ac:dyDescent="0.25">
      <c r="A3375">
        <v>1891</v>
      </c>
      <c r="B3375" s="16">
        <v>43952</v>
      </c>
      <c r="C3375" t="s">
        <v>192</v>
      </c>
      <c r="D3375" s="22">
        <v>23250000</v>
      </c>
    </row>
    <row r="3376" spans="1:4" x14ac:dyDescent="0.25">
      <c r="A3376">
        <v>1891</v>
      </c>
      <c r="B3376" s="16">
        <v>43983</v>
      </c>
      <c r="C3376" t="s">
        <v>192</v>
      </c>
      <c r="D3376" s="22">
        <v>23250000</v>
      </c>
    </row>
    <row r="3377" spans="1:4" x14ac:dyDescent="0.25">
      <c r="A3377">
        <v>1891</v>
      </c>
      <c r="B3377" s="16">
        <v>44013</v>
      </c>
      <c r="C3377" t="s">
        <v>192</v>
      </c>
      <c r="D3377" s="22">
        <v>23250000</v>
      </c>
    </row>
    <row r="3378" spans="1:4" x14ac:dyDescent="0.25">
      <c r="A3378">
        <v>1891</v>
      </c>
      <c r="B3378" s="16">
        <v>44044</v>
      </c>
      <c r="C3378" t="s">
        <v>192</v>
      </c>
      <c r="D3378" s="22">
        <v>23250000</v>
      </c>
    </row>
    <row r="3379" spans="1:4" x14ac:dyDescent="0.25">
      <c r="A3379">
        <v>1891</v>
      </c>
      <c r="B3379" s="16">
        <v>44075</v>
      </c>
      <c r="C3379" t="s">
        <v>192</v>
      </c>
      <c r="D3379" s="22">
        <v>23250000</v>
      </c>
    </row>
    <row r="3380" spans="1:4" x14ac:dyDescent="0.25">
      <c r="A3380">
        <v>1891</v>
      </c>
      <c r="B3380" s="16">
        <v>44105</v>
      </c>
      <c r="C3380" t="s">
        <v>192</v>
      </c>
      <c r="D3380" s="22">
        <v>23250000</v>
      </c>
    </row>
    <row r="3381" spans="1:4" x14ac:dyDescent="0.25">
      <c r="A3381">
        <v>1891</v>
      </c>
      <c r="B3381" s="16">
        <v>44136</v>
      </c>
      <c r="C3381" t="s">
        <v>192</v>
      </c>
      <c r="D3381" s="22">
        <v>23250000</v>
      </c>
    </row>
    <row r="3382" spans="1:4" x14ac:dyDescent="0.25">
      <c r="A3382">
        <v>1891</v>
      </c>
      <c r="B3382" s="16">
        <v>44166</v>
      </c>
      <c r="C3382" t="s">
        <v>192</v>
      </c>
      <c r="D3382" s="22">
        <v>23250000</v>
      </c>
    </row>
    <row r="3383" spans="1:4" x14ac:dyDescent="0.25">
      <c r="A3383">
        <v>1791</v>
      </c>
      <c r="B3383" s="16">
        <v>43466</v>
      </c>
      <c r="C3383" t="s">
        <v>192</v>
      </c>
      <c r="D3383" s="22">
        <v>60561853.894285716</v>
      </c>
    </row>
    <row r="3384" spans="1:4" x14ac:dyDescent="0.25">
      <c r="A3384">
        <v>1791</v>
      </c>
      <c r="B3384" s="16">
        <v>43497</v>
      </c>
      <c r="C3384" t="s">
        <v>192</v>
      </c>
      <c r="D3384" s="22">
        <v>60561853.894285716</v>
      </c>
    </row>
    <row r="3385" spans="1:4" x14ac:dyDescent="0.25">
      <c r="A3385">
        <v>1791</v>
      </c>
      <c r="B3385" s="16">
        <v>43525</v>
      </c>
      <c r="C3385" t="s">
        <v>192</v>
      </c>
      <c r="D3385" s="22">
        <v>60561853.894285716</v>
      </c>
    </row>
    <row r="3386" spans="1:4" x14ac:dyDescent="0.25">
      <c r="A3386">
        <v>1791</v>
      </c>
      <c r="B3386" s="16">
        <v>43556</v>
      </c>
      <c r="C3386" t="s">
        <v>192</v>
      </c>
      <c r="D3386" s="22">
        <v>60561853.894285716</v>
      </c>
    </row>
    <row r="3387" spans="1:4" x14ac:dyDescent="0.25">
      <c r="A3387">
        <v>1791</v>
      </c>
      <c r="B3387" s="16">
        <v>43586</v>
      </c>
      <c r="C3387" t="s">
        <v>192</v>
      </c>
      <c r="D3387" s="22">
        <v>60561853.894285716</v>
      </c>
    </row>
    <row r="3388" spans="1:4" x14ac:dyDescent="0.25">
      <c r="A3388">
        <v>1791</v>
      </c>
      <c r="B3388" s="16">
        <v>43617</v>
      </c>
      <c r="C3388" t="s">
        <v>192</v>
      </c>
      <c r="D3388" s="22">
        <v>60561853.894285716</v>
      </c>
    </row>
    <row r="3389" spans="1:4" x14ac:dyDescent="0.25">
      <c r="A3389">
        <v>1791</v>
      </c>
      <c r="B3389" s="16">
        <v>43647</v>
      </c>
      <c r="C3389" t="s">
        <v>192</v>
      </c>
      <c r="D3389" s="22">
        <v>60561853.894285716</v>
      </c>
    </row>
    <row r="3390" spans="1:4" x14ac:dyDescent="0.25">
      <c r="A3390">
        <v>1791</v>
      </c>
      <c r="B3390" s="16">
        <v>43678</v>
      </c>
      <c r="C3390" t="s">
        <v>192</v>
      </c>
      <c r="D3390" s="22">
        <v>60561853.894285716</v>
      </c>
    </row>
    <row r="3391" spans="1:4" x14ac:dyDescent="0.25">
      <c r="A3391">
        <v>1791</v>
      </c>
      <c r="B3391" s="16">
        <v>43709</v>
      </c>
      <c r="C3391" t="s">
        <v>192</v>
      </c>
      <c r="D3391" s="22">
        <v>60561853.894285716</v>
      </c>
    </row>
    <row r="3392" spans="1:4" x14ac:dyDescent="0.25">
      <c r="A3392">
        <v>1791</v>
      </c>
      <c r="B3392" s="16">
        <v>43739</v>
      </c>
      <c r="C3392" t="s">
        <v>192</v>
      </c>
      <c r="D3392" s="22">
        <v>60561853.894285716</v>
      </c>
    </row>
    <row r="3393" spans="1:4" x14ac:dyDescent="0.25">
      <c r="A3393">
        <v>1791</v>
      </c>
      <c r="B3393" s="16">
        <v>43770</v>
      </c>
      <c r="C3393" t="s">
        <v>192</v>
      </c>
      <c r="D3393" s="22">
        <v>60561853.894285716</v>
      </c>
    </row>
    <row r="3394" spans="1:4" x14ac:dyDescent="0.25">
      <c r="A3394">
        <v>1791</v>
      </c>
      <c r="B3394" s="16">
        <v>43800</v>
      </c>
      <c r="C3394" t="s">
        <v>192</v>
      </c>
      <c r="D3394" s="22">
        <v>60561853.894285716</v>
      </c>
    </row>
    <row r="3395" spans="1:4" x14ac:dyDescent="0.25">
      <c r="A3395">
        <v>1453</v>
      </c>
      <c r="B3395" s="16">
        <v>43466</v>
      </c>
      <c r="C3395" t="s">
        <v>192</v>
      </c>
      <c r="D3395" s="22">
        <v>15250000</v>
      </c>
    </row>
    <row r="3396" spans="1:4" x14ac:dyDescent="0.25">
      <c r="A3396">
        <v>1453</v>
      </c>
      <c r="B3396" s="16">
        <v>43497</v>
      </c>
      <c r="C3396" t="s">
        <v>192</v>
      </c>
      <c r="D3396" s="22">
        <v>15250000</v>
      </c>
    </row>
    <row r="3397" spans="1:4" x14ac:dyDescent="0.25">
      <c r="A3397">
        <v>1453</v>
      </c>
      <c r="B3397" s="16">
        <v>43525</v>
      </c>
      <c r="C3397" t="s">
        <v>192</v>
      </c>
      <c r="D3397" s="22">
        <v>15250000</v>
      </c>
    </row>
    <row r="3398" spans="1:4" x14ac:dyDescent="0.25">
      <c r="A3398">
        <v>1453</v>
      </c>
      <c r="B3398" s="16">
        <v>43556</v>
      </c>
      <c r="C3398" t="s">
        <v>192</v>
      </c>
      <c r="D3398" s="22">
        <v>15250000</v>
      </c>
    </row>
    <row r="3399" spans="1:4" x14ac:dyDescent="0.25">
      <c r="A3399">
        <v>1453</v>
      </c>
      <c r="B3399" s="16">
        <v>43586</v>
      </c>
      <c r="C3399" t="s">
        <v>192</v>
      </c>
      <c r="D3399" s="22">
        <v>15250000</v>
      </c>
    </row>
    <row r="3400" spans="1:4" x14ac:dyDescent="0.25">
      <c r="A3400">
        <v>1453</v>
      </c>
      <c r="B3400" s="16">
        <v>43617</v>
      </c>
      <c r="C3400" t="s">
        <v>192</v>
      </c>
      <c r="D3400" s="22">
        <v>15250000</v>
      </c>
    </row>
    <row r="3401" spans="1:4" x14ac:dyDescent="0.25">
      <c r="A3401">
        <v>1453</v>
      </c>
      <c r="B3401" s="16">
        <v>43647</v>
      </c>
      <c r="C3401" t="s">
        <v>192</v>
      </c>
      <c r="D3401" s="22">
        <v>15250000</v>
      </c>
    </row>
    <row r="3402" spans="1:4" x14ac:dyDescent="0.25">
      <c r="A3402">
        <v>1453</v>
      </c>
      <c r="B3402" s="16">
        <v>43678</v>
      </c>
      <c r="C3402" t="s">
        <v>192</v>
      </c>
      <c r="D3402" s="22">
        <v>15250000</v>
      </c>
    </row>
    <row r="3403" spans="1:4" x14ac:dyDescent="0.25">
      <c r="A3403">
        <v>1453</v>
      </c>
      <c r="B3403" s="16">
        <v>43709</v>
      </c>
      <c r="C3403" t="s">
        <v>192</v>
      </c>
      <c r="D3403" s="22">
        <v>15250000</v>
      </c>
    </row>
    <row r="3404" spans="1:4" x14ac:dyDescent="0.25">
      <c r="A3404">
        <v>1453</v>
      </c>
      <c r="B3404" s="16">
        <v>43739</v>
      </c>
      <c r="C3404" t="s">
        <v>192</v>
      </c>
      <c r="D3404" s="22">
        <v>15250000</v>
      </c>
    </row>
    <row r="3405" spans="1:4" x14ac:dyDescent="0.25">
      <c r="A3405">
        <v>1453</v>
      </c>
      <c r="B3405" s="16">
        <v>43770</v>
      </c>
      <c r="C3405" t="s">
        <v>192</v>
      </c>
      <c r="D3405" s="22">
        <v>15250000</v>
      </c>
    </row>
    <row r="3406" spans="1:4" x14ac:dyDescent="0.25">
      <c r="A3406">
        <v>1453</v>
      </c>
      <c r="B3406" s="16">
        <v>43800</v>
      </c>
      <c r="C3406" t="s">
        <v>192</v>
      </c>
      <c r="D3406" s="22">
        <v>15250000</v>
      </c>
    </row>
    <row r="3407" spans="1:4" x14ac:dyDescent="0.25">
      <c r="A3407">
        <v>1826</v>
      </c>
      <c r="B3407" s="16">
        <v>43466</v>
      </c>
      <c r="C3407" t="s">
        <v>192</v>
      </c>
      <c r="D3407" s="22">
        <v>20341421</v>
      </c>
    </row>
    <row r="3408" spans="1:4" x14ac:dyDescent="0.25">
      <c r="A3408">
        <v>1826</v>
      </c>
      <c r="B3408" s="16">
        <v>43497</v>
      </c>
      <c r="C3408" t="s">
        <v>192</v>
      </c>
      <c r="D3408" s="22">
        <v>20341421</v>
      </c>
    </row>
    <row r="3409" spans="1:4" x14ac:dyDescent="0.25">
      <c r="A3409">
        <v>1826</v>
      </c>
      <c r="B3409" s="16">
        <v>43525</v>
      </c>
      <c r="C3409" t="s">
        <v>192</v>
      </c>
      <c r="D3409" s="22">
        <v>20341421</v>
      </c>
    </row>
    <row r="3410" spans="1:4" x14ac:dyDescent="0.25">
      <c r="A3410">
        <v>1895</v>
      </c>
      <c r="B3410" s="16">
        <v>43466</v>
      </c>
      <c r="C3410" t="s">
        <v>192</v>
      </c>
      <c r="D3410" s="22">
        <v>7100000</v>
      </c>
    </row>
    <row r="3411" spans="1:4" x14ac:dyDescent="0.25">
      <c r="A3411">
        <v>1734</v>
      </c>
      <c r="B3411" s="16">
        <v>43466</v>
      </c>
      <c r="C3411" t="s">
        <v>192</v>
      </c>
      <c r="D3411" s="22">
        <v>15173515.981735155</v>
      </c>
    </row>
    <row r="3412" spans="1:4" x14ac:dyDescent="0.25">
      <c r="A3412">
        <v>1734</v>
      </c>
      <c r="B3412" s="16">
        <v>43497</v>
      </c>
      <c r="C3412" t="s">
        <v>192</v>
      </c>
      <c r="D3412" s="22">
        <v>14609589.041095892</v>
      </c>
    </row>
    <row r="3413" spans="1:4" x14ac:dyDescent="0.25">
      <c r="A3413">
        <v>1734</v>
      </c>
      <c r="B3413" s="16">
        <v>43525</v>
      </c>
      <c r="C3413" t="s">
        <v>192</v>
      </c>
      <c r="D3413" s="22">
        <v>15203196.347031964</v>
      </c>
    </row>
    <row r="3414" spans="1:4" x14ac:dyDescent="0.25">
      <c r="A3414">
        <v>1734</v>
      </c>
      <c r="B3414" s="16">
        <v>43556</v>
      </c>
      <c r="C3414" t="s">
        <v>192</v>
      </c>
      <c r="D3414" s="22">
        <v>18824200.913242016</v>
      </c>
    </row>
    <row r="3415" spans="1:4" x14ac:dyDescent="0.25">
      <c r="A3415">
        <v>1734</v>
      </c>
      <c r="B3415" s="16">
        <v>43586</v>
      </c>
      <c r="C3415" t="s">
        <v>192</v>
      </c>
      <c r="D3415" s="22">
        <v>21317351.598173514</v>
      </c>
    </row>
    <row r="3416" spans="1:4" x14ac:dyDescent="0.25">
      <c r="A3416">
        <v>1734</v>
      </c>
      <c r="B3416" s="16">
        <v>43617</v>
      </c>
      <c r="C3416" t="s">
        <v>192</v>
      </c>
      <c r="D3416" s="22">
        <v>22860730.593607314</v>
      </c>
    </row>
    <row r="3417" spans="1:4" x14ac:dyDescent="0.25">
      <c r="A3417">
        <v>1734</v>
      </c>
      <c r="B3417" s="16">
        <v>43647</v>
      </c>
      <c r="C3417" t="s">
        <v>192</v>
      </c>
      <c r="D3417" s="22">
        <v>21079908.675799087</v>
      </c>
    </row>
    <row r="3418" spans="1:4" x14ac:dyDescent="0.25">
      <c r="A3418">
        <v>1734</v>
      </c>
      <c r="B3418" s="16">
        <v>43678</v>
      </c>
      <c r="C3418" t="s">
        <v>192</v>
      </c>
      <c r="D3418" s="22">
        <v>25917808.219178069</v>
      </c>
    </row>
    <row r="3419" spans="1:4" x14ac:dyDescent="0.25">
      <c r="A3419">
        <v>1734</v>
      </c>
      <c r="B3419" s="16">
        <v>43709</v>
      </c>
      <c r="C3419" t="s">
        <v>192</v>
      </c>
      <c r="D3419" s="22">
        <v>23216894.977168947</v>
      </c>
    </row>
    <row r="3420" spans="1:4" x14ac:dyDescent="0.25">
      <c r="A3420">
        <v>1734</v>
      </c>
      <c r="B3420" s="16">
        <v>43739</v>
      </c>
      <c r="C3420" t="s">
        <v>192</v>
      </c>
      <c r="D3420" s="22">
        <v>24226027.397260282</v>
      </c>
    </row>
    <row r="3421" spans="1:4" x14ac:dyDescent="0.25">
      <c r="A3421">
        <v>1734</v>
      </c>
      <c r="B3421" s="16">
        <v>43770</v>
      </c>
      <c r="C3421" t="s">
        <v>192</v>
      </c>
      <c r="D3421" s="22">
        <v>25977168.949771687</v>
      </c>
    </row>
    <row r="3422" spans="1:4" x14ac:dyDescent="0.25">
      <c r="A3422">
        <v>1734</v>
      </c>
      <c r="B3422" s="16">
        <v>43800</v>
      </c>
      <c r="C3422" t="s">
        <v>192</v>
      </c>
      <c r="D3422" s="22">
        <v>20456621.00456623</v>
      </c>
    </row>
    <row r="3423" spans="1:4" x14ac:dyDescent="0.25">
      <c r="A3423">
        <v>1734</v>
      </c>
      <c r="B3423" s="16">
        <v>43831</v>
      </c>
      <c r="C3423" t="s">
        <v>192</v>
      </c>
      <c r="D3423" s="22">
        <v>20812785.388127822</v>
      </c>
    </row>
    <row r="3424" spans="1:4" x14ac:dyDescent="0.25">
      <c r="A3424">
        <v>1734</v>
      </c>
      <c r="B3424" s="16">
        <v>43862</v>
      </c>
      <c r="C3424" t="s">
        <v>192</v>
      </c>
      <c r="D3424" s="22">
        <v>23038812.785388142</v>
      </c>
    </row>
    <row r="3425" spans="1:4" x14ac:dyDescent="0.25">
      <c r="A3425">
        <v>1734</v>
      </c>
      <c r="B3425" s="16">
        <v>43891</v>
      </c>
      <c r="C3425" t="s">
        <v>192</v>
      </c>
      <c r="D3425" s="22">
        <v>20219178.082191784</v>
      </c>
    </row>
    <row r="3426" spans="1:4" x14ac:dyDescent="0.25">
      <c r="A3426">
        <v>1734</v>
      </c>
      <c r="B3426" s="16">
        <v>43922</v>
      </c>
      <c r="C3426" t="s">
        <v>192</v>
      </c>
      <c r="D3426" s="22">
        <v>22415525.11415524</v>
      </c>
    </row>
    <row r="3427" spans="1:4" x14ac:dyDescent="0.25">
      <c r="A3427">
        <v>1734</v>
      </c>
      <c r="B3427" s="16">
        <v>43952</v>
      </c>
      <c r="C3427" t="s">
        <v>192</v>
      </c>
      <c r="D3427" s="22">
        <v>22920091.324200906</v>
      </c>
    </row>
    <row r="3428" spans="1:4" x14ac:dyDescent="0.25">
      <c r="A3428">
        <v>1734</v>
      </c>
      <c r="B3428" s="16">
        <v>43983</v>
      </c>
      <c r="C3428" t="s">
        <v>192</v>
      </c>
      <c r="D3428" s="22">
        <v>18468036.529680401</v>
      </c>
    </row>
    <row r="3429" spans="1:4" x14ac:dyDescent="0.25">
      <c r="A3429">
        <v>1734</v>
      </c>
      <c r="B3429" s="16">
        <v>44013</v>
      </c>
      <c r="C3429" t="s">
        <v>192</v>
      </c>
      <c r="D3429" s="22">
        <v>17013698.630136952</v>
      </c>
    </row>
    <row r="3430" spans="1:4" x14ac:dyDescent="0.25">
      <c r="A3430">
        <v>1734</v>
      </c>
      <c r="B3430" s="16">
        <v>44044</v>
      </c>
      <c r="C3430" t="s">
        <v>192</v>
      </c>
      <c r="D3430" s="22">
        <v>16894977.168949805</v>
      </c>
    </row>
    <row r="3431" spans="1:4" x14ac:dyDescent="0.25">
      <c r="A3431">
        <v>1734</v>
      </c>
      <c r="B3431" s="16">
        <v>44075</v>
      </c>
      <c r="C3431" t="s">
        <v>192</v>
      </c>
      <c r="D3431" s="22">
        <v>14609589.041095892</v>
      </c>
    </row>
    <row r="3432" spans="1:4" x14ac:dyDescent="0.25">
      <c r="A3432">
        <v>1846</v>
      </c>
      <c r="B3432" s="16">
        <v>43466</v>
      </c>
      <c r="C3432" t="s">
        <v>192</v>
      </c>
      <c r="D3432" s="22">
        <v>29900000</v>
      </c>
    </row>
    <row r="3433" spans="1:4" x14ac:dyDescent="0.25">
      <c r="A3433">
        <v>1846</v>
      </c>
      <c r="B3433" s="16">
        <v>43497</v>
      </c>
      <c r="C3433" t="s">
        <v>192</v>
      </c>
      <c r="D3433" s="22">
        <v>29900000</v>
      </c>
    </row>
    <row r="3434" spans="1:4" x14ac:dyDescent="0.25">
      <c r="A3434">
        <v>1846</v>
      </c>
      <c r="B3434" s="16">
        <v>43525</v>
      </c>
      <c r="C3434" t="s">
        <v>192</v>
      </c>
      <c r="D3434" s="22">
        <v>29900000</v>
      </c>
    </row>
    <row r="3435" spans="1:4" x14ac:dyDescent="0.25">
      <c r="A3435">
        <v>1858</v>
      </c>
      <c r="B3435" s="16">
        <v>43466</v>
      </c>
      <c r="C3435" t="s">
        <v>192</v>
      </c>
      <c r="D3435" s="22">
        <v>118601976.15000001</v>
      </c>
    </row>
    <row r="3436" spans="1:4" x14ac:dyDescent="0.25">
      <c r="A3436">
        <v>1858</v>
      </c>
      <c r="B3436" s="16">
        <v>43497</v>
      </c>
      <c r="C3436" t="s">
        <v>192</v>
      </c>
      <c r="D3436" s="22">
        <v>197669960.25</v>
      </c>
    </row>
    <row r="3437" spans="1:4" x14ac:dyDescent="0.25">
      <c r="A3437">
        <v>1858</v>
      </c>
      <c r="B3437" s="16">
        <v>43525</v>
      </c>
      <c r="C3437" t="s">
        <v>192</v>
      </c>
      <c r="D3437" s="22">
        <v>171313965.55000007</v>
      </c>
    </row>
    <row r="3438" spans="1:4" x14ac:dyDescent="0.25">
      <c r="A3438">
        <v>1858</v>
      </c>
      <c r="B3438" s="16">
        <v>43556</v>
      </c>
      <c r="C3438" t="s">
        <v>192</v>
      </c>
      <c r="D3438" s="22">
        <v>210847957.5999999</v>
      </c>
    </row>
    <row r="3439" spans="1:4" x14ac:dyDescent="0.25">
      <c r="A3439">
        <v>1893</v>
      </c>
      <c r="B3439" s="16">
        <v>43466</v>
      </c>
      <c r="C3439" t="s">
        <v>192</v>
      </c>
      <c r="D3439" s="22">
        <v>14000000</v>
      </c>
    </row>
    <row r="3440" spans="1:4" x14ac:dyDescent="0.25">
      <c r="A3440">
        <v>1893</v>
      </c>
      <c r="B3440" s="16">
        <v>43497</v>
      </c>
      <c r="C3440" t="s">
        <v>192</v>
      </c>
      <c r="D3440" s="22">
        <v>14000000</v>
      </c>
    </row>
    <row r="3441" spans="1:4" x14ac:dyDescent="0.25">
      <c r="A3441">
        <v>1893</v>
      </c>
      <c r="B3441" s="16">
        <v>43525</v>
      </c>
      <c r="C3441" t="s">
        <v>192</v>
      </c>
      <c r="D3441" s="22">
        <v>14000000</v>
      </c>
    </row>
    <row r="3442" spans="1:4" x14ac:dyDescent="0.25">
      <c r="A3442">
        <v>1893</v>
      </c>
      <c r="B3442" s="16">
        <v>43556</v>
      </c>
      <c r="C3442" t="s">
        <v>192</v>
      </c>
      <c r="D3442" s="22">
        <v>14000000</v>
      </c>
    </row>
    <row r="3443" spans="1:4" x14ac:dyDescent="0.25">
      <c r="A3443">
        <v>1893</v>
      </c>
      <c r="B3443" s="16">
        <v>43586</v>
      </c>
      <c r="C3443" t="s">
        <v>192</v>
      </c>
      <c r="D3443" s="22">
        <v>14000000</v>
      </c>
    </row>
    <row r="3444" spans="1:4" x14ac:dyDescent="0.25">
      <c r="A3444">
        <v>1893</v>
      </c>
      <c r="B3444" s="16">
        <v>43617</v>
      </c>
      <c r="C3444" t="s">
        <v>192</v>
      </c>
      <c r="D3444" s="22">
        <v>14000000</v>
      </c>
    </row>
    <row r="3445" spans="1:4" x14ac:dyDescent="0.25">
      <c r="A3445">
        <v>1893</v>
      </c>
      <c r="B3445" s="16">
        <v>43647</v>
      </c>
      <c r="C3445" t="s">
        <v>192</v>
      </c>
      <c r="D3445" s="22">
        <v>14000000</v>
      </c>
    </row>
    <row r="3446" spans="1:4" x14ac:dyDescent="0.25">
      <c r="A3446">
        <v>1893</v>
      </c>
      <c r="B3446" s="16">
        <v>43678</v>
      </c>
      <c r="C3446" t="s">
        <v>192</v>
      </c>
      <c r="D3446" s="22">
        <v>14000000</v>
      </c>
    </row>
    <row r="3447" spans="1:4" x14ac:dyDescent="0.25">
      <c r="A3447">
        <v>1893</v>
      </c>
      <c r="B3447" s="16">
        <v>43709</v>
      </c>
      <c r="C3447" t="s">
        <v>192</v>
      </c>
      <c r="D3447" s="22">
        <v>14000000</v>
      </c>
    </row>
    <row r="3448" spans="1:4" x14ac:dyDescent="0.25">
      <c r="A3448">
        <v>1893</v>
      </c>
      <c r="B3448" s="16">
        <v>43739</v>
      </c>
      <c r="C3448" t="s">
        <v>192</v>
      </c>
      <c r="D3448" s="22">
        <v>14000000</v>
      </c>
    </row>
    <row r="3449" spans="1:4" x14ac:dyDescent="0.25">
      <c r="A3449">
        <v>1893</v>
      </c>
      <c r="B3449" s="16">
        <v>43770</v>
      </c>
      <c r="C3449" t="s">
        <v>192</v>
      </c>
      <c r="D3449" s="22">
        <v>14000000</v>
      </c>
    </row>
    <row r="3450" spans="1:4" x14ac:dyDescent="0.25">
      <c r="A3450">
        <v>1893</v>
      </c>
      <c r="B3450" s="16">
        <v>43800</v>
      </c>
      <c r="C3450" t="s">
        <v>192</v>
      </c>
      <c r="D3450" s="22">
        <v>14000000</v>
      </c>
    </row>
    <row r="3451" spans="1:4" x14ac:dyDescent="0.25">
      <c r="A3451">
        <v>1893</v>
      </c>
      <c r="B3451" s="16">
        <v>43831</v>
      </c>
      <c r="C3451" t="s">
        <v>192</v>
      </c>
      <c r="D3451" s="22">
        <v>14000000</v>
      </c>
    </row>
    <row r="3452" spans="1:4" x14ac:dyDescent="0.25">
      <c r="A3452">
        <v>1893</v>
      </c>
      <c r="B3452" s="16">
        <v>43862</v>
      </c>
      <c r="C3452" t="s">
        <v>192</v>
      </c>
      <c r="D3452" s="22">
        <v>14000000</v>
      </c>
    </row>
    <row r="3453" spans="1:4" x14ac:dyDescent="0.25">
      <c r="A3453">
        <v>1893</v>
      </c>
      <c r="B3453" s="16">
        <v>43891</v>
      </c>
      <c r="C3453" t="s">
        <v>192</v>
      </c>
      <c r="D3453" s="22">
        <v>14000000</v>
      </c>
    </row>
    <row r="3454" spans="1:4" x14ac:dyDescent="0.25">
      <c r="A3454">
        <v>1890</v>
      </c>
      <c r="B3454" s="16">
        <v>43466</v>
      </c>
      <c r="C3454" t="s">
        <v>192</v>
      </c>
      <c r="D3454" s="22">
        <v>12000000</v>
      </c>
    </row>
    <row r="3455" spans="1:4" x14ac:dyDescent="0.25">
      <c r="A3455">
        <v>1890</v>
      </c>
      <c r="B3455" s="16">
        <v>43497</v>
      </c>
      <c r="C3455" t="s">
        <v>192</v>
      </c>
      <c r="D3455" s="22">
        <v>12000000</v>
      </c>
    </row>
    <row r="3456" spans="1:4" x14ac:dyDescent="0.25">
      <c r="A3456">
        <v>1890</v>
      </c>
      <c r="B3456" s="16">
        <v>43525</v>
      </c>
      <c r="C3456" t="s">
        <v>192</v>
      </c>
      <c r="D3456" s="22">
        <v>12000000</v>
      </c>
    </row>
    <row r="3457" spans="1:4" x14ac:dyDescent="0.25">
      <c r="A3457">
        <v>1890</v>
      </c>
      <c r="B3457" s="16">
        <v>43556</v>
      </c>
      <c r="C3457" t="s">
        <v>192</v>
      </c>
      <c r="D3457" s="22">
        <v>12000000</v>
      </c>
    </row>
    <row r="3458" spans="1:4" x14ac:dyDescent="0.25">
      <c r="A3458">
        <v>1890</v>
      </c>
      <c r="B3458" s="16">
        <v>43586</v>
      </c>
      <c r="C3458" t="s">
        <v>192</v>
      </c>
      <c r="D3458" s="22">
        <v>12000000</v>
      </c>
    </row>
    <row r="3459" spans="1:4" x14ac:dyDescent="0.25">
      <c r="A3459">
        <v>1890</v>
      </c>
      <c r="B3459" s="16">
        <v>43617</v>
      </c>
      <c r="C3459" t="s">
        <v>192</v>
      </c>
      <c r="D3459" s="22">
        <v>12000000</v>
      </c>
    </row>
    <row r="3460" spans="1:4" x14ac:dyDescent="0.25">
      <c r="A3460">
        <v>1890</v>
      </c>
      <c r="B3460" s="16">
        <v>43647</v>
      </c>
      <c r="C3460" t="s">
        <v>192</v>
      </c>
      <c r="D3460" s="22">
        <v>12000000</v>
      </c>
    </row>
    <row r="3461" spans="1:4" x14ac:dyDescent="0.25">
      <c r="A3461">
        <v>1890</v>
      </c>
      <c r="B3461" s="16">
        <v>43678</v>
      </c>
      <c r="C3461" t="s">
        <v>192</v>
      </c>
      <c r="D3461" s="22">
        <v>12000000</v>
      </c>
    </row>
    <row r="3462" spans="1:4" x14ac:dyDescent="0.25">
      <c r="A3462">
        <v>1890</v>
      </c>
      <c r="B3462" s="16">
        <v>43709</v>
      </c>
      <c r="C3462" t="s">
        <v>192</v>
      </c>
      <c r="D3462" s="22">
        <v>12000000</v>
      </c>
    </row>
    <row r="3463" spans="1:4" x14ac:dyDescent="0.25">
      <c r="A3463">
        <v>1890</v>
      </c>
      <c r="B3463" s="16">
        <v>43739</v>
      </c>
      <c r="C3463" t="s">
        <v>192</v>
      </c>
      <c r="D3463" s="22">
        <v>12000000</v>
      </c>
    </row>
    <row r="3464" spans="1:4" x14ac:dyDescent="0.25">
      <c r="A3464">
        <v>1890</v>
      </c>
      <c r="B3464" s="16">
        <v>43770</v>
      </c>
      <c r="C3464" t="s">
        <v>192</v>
      </c>
      <c r="D3464" s="22">
        <v>12000000</v>
      </c>
    </row>
    <row r="3465" spans="1:4" x14ac:dyDescent="0.25">
      <c r="A3465">
        <v>1890</v>
      </c>
      <c r="B3465" s="16">
        <v>43800</v>
      </c>
      <c r="C3465" t="s">
        <v>192</v>
      </c>
      <c r="D3465" s="22">
        <v>12000000</v>
      </c>
    </row>
    <row r="3466" spans="1:4" x14ac:dyDescent="0.25">
      <c r="A3466">
        <v>1890</v>
      </c>
      <c r="B3466" s="16">
        <v>43831</v>
      </c>
      <c r="C3466" t="s">
        <v>192</v>
      </c>
      <c r="D3466" s="22">
        <v>12000000</v>
      </c>
    </row>
    <row r="3467" spans="1:4" x14ac:dyDescent="0.25">
      <c r="A3467">
        <v>1890</v>
      </c>
      <c r="B3467" s="16">
        <v>43862</v>
      </c>
      <c r="C3467" t="s">
        <v>192</v>
      </c>
      <c r="D3467" s="22">
        <v>12000000</v>
      </c>
    </row>
    <row r="3468" spans="1:4" x14ac:dyDescent="0.25">
      <c r="A3468">
        <v>1890</v>
      </c>
      <c r="B3468" s="16">
        <v>43891</v>
      </c>
      <c r="C3468" t="s">
        <v>192</v>
      </c>
      <c r="D3468" s="22">
        <v>12000000</v>
      </c>
    </row>
    <row r="3469" spans="1:4" x14ac:dyDescent="0.25">
      <c r="A3469">
        <v>1890</v>
      </c>
      <c r="B3469" s="16">
        <v>43922</v>
      </c>
      <c r="C3469" t="s">
        <v>192</v>
      </c>
      <c r="D3469" s="22">
        <v>12000000</v>
      </c>
    </row>
    <row r="3470" spans="1:4" x14ac:dyDescent="0.25">
      <c r="A3470">
        <v>1890</v>
      </c>
      <c r="B3470" s="16">
        <v>43952</v>
      </c>
      <c r="C3470" t="s">
        <v>192</v>
      </c>
      <c r="D3470" s="22">
        <v>12000000</v>
      </c>
    </row>
    <row r="3471" spans="1:4" x14ac:dyDescent="0.25">
      <c r="A3471">
        <v>1890</v>
      </c>
      <c r="B3471" s="16">
        <v>43983</v>
      </c>
      <c r="C3471" t="s">
        <v>192</v>
      </c>
      <c r="D3471" s="22">
        <v>12000000</v>
      </c>
    </row>
    <row r="3472" spans="1:4" x14ac:dyDescent="0.25">
      <c r="A3472">
        <v>1890</v>
      </c>
      <c r="B3472" s="16">
        <v>44013</v>
      </c>
      <c r="C3472" t="s">
        <v>192</v>
      </c>
      <c r="D3472" s="22">
        <v>12000000</v>
      </c>
    </row>
    <row r="3473" spans="1:4" x14ac:dyDescent="0.25">
      <c r="A3473">
        <v>1890</v>
      </c>
      <c r="B3473" s="16">
        <v>44044</v>
      </c>
      <c r="C3473" t="s">
        <v>192</v>
      </c>
      <c r="D3473" s="22">
        <v>12000000</v>
      </c>
    </row>
    <row r="3474" spans="1:4" x14ac:dyDescent="0.25">
      <c r="A3474">
        <v>1890</v>
      </c>
      <c r="B3474" s="16">
        <v>44075</v>
      </c>
      <c r="C3474" t="s">
        <v>192</v>
      </c>
      <c r="D3474" s="22">
        <v>12000000</v>
      </c>
    </row>
    <row r="3475" spans="1:4" x14ac:dyDescent="0.25">
      <c r="A3475">
        <v>1890</v>
      </c>
      <c r="B3475" s="16">
        <v>44105</v>
      </c>
      <c r="C3475" t="s">
        <v>192</v>
      </c>
      <c r="D3475" s="22">
        <v>12000000</v>
      </c>
    </row>
    <row r="3476" spans="1:4" x14ac:dyDescent="0.25">
      <c r="A3476">
        <v>1890</v>
      </c>
      <c r="B3476" s="16">
        <v>44136</v>
      </c>
      <c r="C3476" t="s">
        <v>192</v>
      </c>
      <c r="D3476" s="22">
        <v>12000000</v>
      </c>
    </row>
    <row r="3477" spans="1:4" x14ac:dyDescent="0.25">
      <c r="A3477">
        <v>1890</v>
      </c>
      <c r="B3477" s="16">
        <v>44166</v>
      </c>
      <c r="C3477" t="s">
        <v>192</v>
      </c>
      <c r="D3477" s="22">
        <v>12000000</v>
      </c>
    </row>
    <row r="3478" spans="1:4" x14ac:dyDescent="0.25">
      <c r="A3478">
        <v>1715</v>
      </c>
      <c r="B3478" s="16">
        <v>43466</v>
      </c>
      <c r="C3478" t="s">
        <v>192</v>
      </c>
      <c r="D3478" s="22">
        <v>7050296.2803877732</v>
      </c>
    </row>
    <row r="3479" spans="1:4" x14ac:dyDescent="0.25">
      <c r="A3479">
        <v>1715</v>
      </c>
      <c r="B3479" s="16">
        <v>43497</v>
      </c>
      <c r="C3479" t="s">
        <v>192</v>
      </c>
      <c r="D3479" s="22">
        <v>7050296.2803877732</v>
      </c>
    </row>
    <row r="3480" spans="1:4" x14ac:dyDescent="0.25">
      <c r="A3480">
        <v>1715</v>
      </c>
      <c r="B3480" s="16">
        <v>43525</v>
      </c>
      <c r="C3480" t="s">
        <v>192</v>
      </c>
      <c r="D3480" s="22">
        <v>7050296.2803877732</v>
      </c>
    </row>
    <row r="3481" spans="1:4" x14ac:dyDescent="0.25">
      <c r="A3481">
        <v>1715</v>
      </c>
      <c r="B3481" s="16">
        <v>43556</v>
      </c>
      <c r="C3481" t="s">
        <v>192</v>
      </c>
      <c r="D3481" s="22">
        <v>7050296.2803877732</v>
      </c>
    </row>
    <row r="3482" spans="1:4" x14ac:dyDescent="0.25">
      <c r="A3482">
        <v>1715</v>
      </c>
      <c r="B3482" s="16">
        <v>43466</v>
      </c>
      <c r="C3482" t="s">
        <v>192</v>
      </c>
      <c r="D3482" s="22">
        <v>5301683.8089733012</v>
      </c>
    </row>
    <row r="3483" spans="1:4" x14ac:dyDescent="0.25">
      <c r="A3483">
        <v>1715</v>
      </c>
      <c r="B3483" s="16">
        <v>43497</v>
      </c>
      <c r="C3483" t="s">
        <v>192</v>
      </c>
      <c r="D3483" s="22">
        <v>5301683.8089733012</v>
      </c>
    </row>
    <row r="3484" spans="1:4" x14ac:dyDescent="0.25">
      <c r="A3484">
        <v>1715</v>
      </c>
      <c r="B3484" s="16">
        <v>43525</v>
      </c>
      <c r="C3484" t="s">
        <v>192</v>
      </c>
      <c r="D3484" s="22">
        <v>5301683.8089733012</v>
      </c>
    </row>
    <row r="3485" spans="1:4" x14ac:dyDescent="0.25">
      <c r="A3485">
        <v>1715</v>
      </c>
      <c r="B3485" s="16">
        <v>43556</v>
      </c>
      <c r="C3485" t="s">
        <v>192</v>
      </c>
      <c r="D3485" s="22">
        <v>5301683.8089733012</v>
      </c>
    </row>
    <row r="3486" spans="1:4" x14ac:dyDescent="0.25">
      <c r="A3486">
        <v>1715</v>
      </c>
      <c r="B3486" s="16">
        <v>43466</v>
      </c>
      <c r="C3486" t="s">
        <v>192</v>
      </c>
      <c r="D3486" s="22">
        <v>7122595.6118260631</v>
      </c>
    </row>
    <row r="3487" spans="1:4" x14ac:dyDescent="0.25">
      <c r="A3487">
        <v>1715</v>
      </c>
      <c r="B3487" s="16">
        <v>43497</v>
      </c>
      <c r="C3487" t="s">
        <v>192</v>
      </c>
      <c r="D3487" s="22">
        <v>7122595.6118260631</v>
      </c>
    </row>
    <row r="3488" spans="1:4" x14ac:dyDescent="0.25">
      <c r="A3488">
        <v>1715</v>
      </c>
      <c r="B3488" s="16">
        <v>43525</v>
      </c>
      <c r="C3488" t="s">
        <v>192</v>
      </c>
      <c r="D3488" s="22">
        <v>7122595.6118260631</v>
      </c>
    </row>
    <row r="3489" spans="1:4" x14ac:dyDescent="0.25">
      <c r="A3489">
        <v>1715</v>
      </c>
      <c r="B3489" s="16">
        <v>43556</v>
      </c>
      <c r="C3489" t="s">
        <v>192</v>
      </c>
      <c r="D3489" s="22">
        <v>7122595.6118260631</v>
      </c>
    </row>
    <row r="3490" spans="1:4" x14ac:dyDescent="0.25">
      <c r="A3490">
        <v>1715</v>
      </c>
      <c r="B3490" s="16">
        <v>43466</v>
      </c>
      <c r="C3490" t="s">
        <v>192</v>
      </c>
      <c r="D3490" s="22">
        <v>2753063.7872998388</v>
      </c>
    </row>
    <row r="3491" spans="1:4" x14ac:dyDescent="0.25">
      <c r="A3491">
        <v>1715</v>
      </c>
      <c r="B3491" s="16">
        <v>43497</v>
      </c>
      <c r="C3491" t="s">
        <v>192</v>
      </c>
      <c r="D3491" s="22">
        <v>2753063.7872998388</v>
      </c>
    </row>
    <row r="3492" spans="1:4" x14ac:dyDescent="0.25">
      <c r="A3492">
        <v>1715</v>
      </c>
      <c r="B3492" s="16">
        <v>43525</v>
      </c>
      <c r="C3492" t="s">
        <v>192</v>
      </c>
      <c r="D3492" s="22">
        <v>2753063.7872998388</v>
      </c>
    </row>
    <row r="3493" spans="1:4" x14ac:dyDescent="0.25">
      <c r="A3493">
        <v>1715</v>
      </c>
      <c r="B3493" s="16">
        <v>43556</v>
      </c>
      <c r="C3493" t="s">
        <v>192</v>
      </c>
      <c r="D3493" s="22">
        <v>2753063.7872998388</v>
      </c>
    </row>
    <row r="3494" spans="1:4" x14ac:dyDescent="0.25">
      <c r="A3494">
        <v>1715</v>
      </c>
      <c r="B3494" s="16">
        <v>43466</v>
      </c>
      <c r="C3494" t="s">
        <v>192</v>
      </c>
      <c r="D3494" s="22">
        <v>4064763.0345789804</v>
      </c>
    </row>
    <row r="3495" spans="1:4" x14ac:dyDescent="0.25">
      <c r="A3495">
        <v>1715</v>
      </c>
      <c r="B3495" s="16">
        <v>43497</v>
      </c>
      <c r="C3495" t="s">
        <v>192</v>
      </c>
      <c r="D3495" s="22">
        <v>4064763.0345789804</v>
      </c>
    </row>
    <row r="3496" spans="1:4" x14ac:dyDescent="0.25">
      <c r="A3496">
        <v>1715</v>
      </c>
      <c r="B3496" s="16">
        <v>43525</v>
      </c>
      <c r="C3496" t="s">
        <v>192</v>
      </c>
      <c r="D3496" s="22">
        <v>4064763.0345789804</v>
      </c>
    </row>
    <row r="3497" spans="1:4" x14ac:dyDescent="0.25">
      <c r="A3497">
        <v>1715</v>
      </c>
      <c r="B3497" s="16">
        <v>43556</v>
      </c>
      <c r="C3497" t="s">
        <v>192</v>
      </c>
      <c r="D3497" s="22">
        <v>4064763.0345789804</v>
      </c>
    </row>
    <row r="3498" spans="1:4" x14ac:dyDescent="0.25">
      <c r="A3498">
        <v>1715</v>
      </c>
      <c r="B3498" s="16">
        <v>43466</v>
      </c>
      <c r="C3498" t="s">
        <v>192</v>
      </c>
      <c r="D3498" s="22">
        <v>3114204.2269340428</v>
      </c>
    </row>
    <row r="3499" spans="1:4" x14ac:dyDescent="0.25">
      <c r="A3499">
        <v>1715</v>
      </c>
      <c r="B3499" s="16">
        <v>43497</v>
      </c>
      <c r="C3499" t="s">
        <v>192</v>
      </c>
      <c r="D3499" s="22">
        <v>3114204.2269340428</v>
      </c>
    </row>
    <row r="3500" spans="1:4" x14ac:dyDescent="0.25">
      <c r="A3500">
        <v>1715</v>
      </c>
      <c r="B3500" s="16">
        <v>43525</v>
      </c>
      <c r="C3500" t="s">
        <v>192</v>
      </c>
      <c r="D3500" s="22">
        <v>3114204.2269340428</v>
      </c>
    </row>
    <row r="3501" spans="1:4" x14ac:dyDescent="0.25">
      <c r="A3501">
        <v>1715</v>
      </c>
      <c r="B3501" s="16">
        <v>43556</v>
      </c>
      <c r="C3501" t="s">
        <v>192</v>
      </c>
      <c r="D3501" s="22">
        <v>3114204.2269340428</v>
      </c>
    </row>
    <row r="3502" spans="1:4" x14ac:dyDescent="0.25">
      <c r="A3502">
        <v>1848</v>
      </c>
      <c r="B3502" s="16">
        <v>43466</v>
      </c>
      <c r="C3502" t="s">
        <v>192</v>
      </c>
      <c r="D3502" s="22">
        <v>12773052.833333334</v>
      </c>
    </row>
    <row r="3503" spans="1:4" x14ac:dyDescent="0.25">
      <c r="A3503">
        <v>1848</v>
      </c>
      <c r="B3503" s="16">
        <v>43497</v>
      </c>
      <c r="C3503" t="s">
        <v>192</v>
      </c>
      <c r="D3503" s="22">
        <v>12773052.833333334</v>
      </c>
    </row>
    <row r="3504" spans="1:4" x14ac:dyDescent="0.25">
      <c r="A3504">
        <v>1806</v>
      </c>
      <c r="B3504" s="16">
        <v>43466</v>
      </c>
      <c r="C3504" t="s">
        <v>192</v>
      </c>
      <c r="D3504" s="22">
        <v>50000000</v>
      </c>
    </row>
    <row r="3505" spans="1:4" x14ac:dyDescent="0.25">
      <c r="A3505">
        <v>1806</v>
      </c>
      <c r="B3505" s="16">
        <v>43497</v>
      </c>
      <c r="C3505" t="s">
        <v>192</v>
      </c>
      <c r="D3505" s="22">
        <v>50000000</v>
      </c>
    </row>
    <row r="3506" spans="1:4" x14ac:dyDescent="0.25">
      <c r="A3506">
        <v>1806</v>
      </c>
      <c r="B3506" s="16">
        <v>43525</v>
      </c>
      <c r="C3506" t="s">
        <v>192</v>
      </c>
      <c r="D3506" s="22">
        <v>50000000</v>
      </c>
    </row>
    <row r="3507" spans="1:4" x14ac:dyDescent="0.25">
      <c r="A3507">
        <v>1806</v>
      </c>
      <c r="B3507" s="16">
        <v>43556</v>
      </c>
      <c r="C3507" t="s">
        <v>192</v>
      </c>
      <c r="D3507" s="22">
        <v>50000000</v>
      </c>
    </row>
    <row r="3508" spans="1:4" x14ac:dyDescent="0.25">
      <c r="A3508">
        <v>1806</v>
      </c>
      <c r="B3508" s="16">
        <v>43586</v>
      </c>
      <c r="C3508" t="s">
        <v>192</v>
      </c>
      <c r="D3508" s="22">
        <v>50000000</v>
      </c>
    </row>
    <row r="3509" spans="1:4" x14ac:dyDescent="0.25">
      <c r="A3509">
        <v>1824</v>
      </c>
      <c r="B3509" s="16">
        <v>43466</v>
      </c>
      <c r="C3509" t="s">
        <v>192</v>
      </c>
      <c r="D3509" s="22">
        <v>48166666.666666664</v>
      </c>
    </row>
    <row r="3510" spans="1:4" x14ac:dyDescent="0.25">
      <c r="A3510">
        <v>1824</v>
      </c>
      <c r="B3510" s="16">
        <v>43497</v>
      </c>
      <c r="C3510" t="s">
        <v>192</v>
      </c>
      <c r="D3510" s="22">
        <v>48166666.666666664</v>
      </c>
    </row>
    <row r="3511" spans="1:4" x14ac:dyDescent="0.25">
      <c r="A3511">
        <v>1824</v>
      </c>
      <c r="B3511" s="16">
        <v>43525</v>
      </c>
      <c r="C3511" t="s">
        <v>192</v>
      </c>
      <c r="D3511" s="22">
        <v>48166666.666666664</v>
      </c>
    </row>
    <row r="3512" spans="1:4" x14ac:dyDescent="0.25">
      <c r="A3512">
        <v>1824</v>
      </c>
      <c r="B3512" s="16">
        <v>43556</v>
      </c>
      <c r="C3512" t="s">
        <v>192</v>
      </c>
      <c r="D3512" s="22">
        <v>48166666.666666664</v>
      </c>
    </row>
    <row r="3513" spans="1:4" x14ac:dyDescent="0.25">
      <c r="A3513">
        <v>1824</v>
      </c>
      <c r="B3513" s="16">
        <v>43586</v>
      </c>
      <c r="C3513" t="s">
        <v>192</v>
      </c>
      <c r="D3513" s="22">
        <v>48166666.666666664</v>
      </c>
    </row>
    <row r="3514" spans="1:4" x14ac:dyDescent="0.25">
      <c r="A3514">
        <v>1824</v>
      </c>
      <c r="B3514" s="16">
        <v>43617</v>
      </c>
      <c r="C3514" t="s">
        <v>192</v>
      </c>
      <c r="D3514" s="22">
        <v>48166666.666666664</v>
      </c>
    </row>
    <row r="3515" spans="1:4" x14ac:dyDescent="0.25">
      <c r="A3515">
        <v>1837</v>
      </c>
      <c r="B3515" s="16">
        <v>43466</v>
      </c>
      <c r="C3515" t="s">
        <v>192</v>
      </c>
      <c r="D3515" s="22">
        <v>10500000</v>
      </c>
    </row>
    <row r="3516" spans="1:4" x14ac:dyDescent="0.25">
      <c r="A3516">
        <v>1837</v>
      </c>
      <c r="B3516" s="16">
        <v>43497</v>
      </c>
      <c r="C3516" t="s">
        <v>192</v>
      </c>
      <c r="D3516" s="22">
        <v>10500000</v>
      </c>
    </row>
    <row r="3517" spans="1:4" x14ac:dyDescent="0.25">
      <c r="A3517">
        <v>1837</v>
      </c>
      <c r="B3517" s="16">
        <v>43525</v>
      </c>
      <c r="C3517" t="s">
        <v>192</v>
      </c>
      <c r="D3517" s="22">
        <v>10500000</v>
      </c>
    </row>
    <row r="3518" spans="1:4" x14ac:dyDescent="0.25">
      <c r="A3518">
        <v>1837</v>
      </c>
      <c r="B3518" s="16">
        <v>43556</v>
      </c>
      <c r="C3518" t="s">
        <v>192</v>
      </c>
      <c r="D3518" s="22">
        <v>10500000</v>
      </c>
    </row>
    <row r="3519" spans="1:4" x14ac:dyDescent="0.25">
      <c r="A3519">
        <v>1837</v>
      </c>
      <c r="B3519" s="16">
        <v>43586</v>
      </c>
      <c r="C3519" t="s">
        <v>192</v>
      </c>
      <c r="D3519" s="22">
        <v>10500000</v>
      </c>
    </row>
    <row r="3520" spans="1:4" x14ac:dyDescent="0.25">
      <c r="A3520">
        <v>1837</v>
      </c>
      <c r="B3520" s="16">
        <v>43617</v>
      </c>
      <c r="C3520" t="s">
        <v>192</v>
      </c>
      <c r="D3520" s="22">
        <v>10500000</v>
      </c>
    </row>
    <row r="3521" spans="1:4" x14ac:dyDescent="0.25">
      <c r="A3521">
        <v>1866</v>
      </c>
      <c r="B3521" s="16">
        <v>43497</v>
      </c>
      <c r="C3521" t="s">
        <v>192</v>
      </c>
      <c r="D3521" s="22">
        <v>9800000</v>
      </c>
    </row>
    <row r="3522" spans="1:4" x14ac:dyDescent="0.25">
      <c r="A3522">
        <v>1866</v>
      </c>
      <c r="B3522" s="16">
        <v>43525</v>
      </c>
      <c r="C3522" t="s">
        <v>192</v>
      </c>
      <c r="D3522" s="22">
        <v>9800000</v>
      </c>
    </row>
    <row r="3523" spans="1:4" x14ac:dyDescent="0.25">
      <c r="A3523">
        <v>1866</v>
      </c>
      <c r="B3523" s="16">
        <v>43556</v>
      </c>
      <c r="C3523" t="s">
        <v>192</v>
      </c>
      <c r="D3523" s="22">
        <v>9800000</v>
      </c>
    </row>
    <row r="3524" spans="1:4" x14ac:dyDescent="0.25">
      <c r="A3524">
        <v>1866</v>
      </c>
      <c r="B3524" s="16">
        <v>43586</v>
      </c>
      <c r="C3524" t="s">
        <v>192</v>
      </c>
      <c r="D3524" s="22">
        <v>9800000</v>
      </c>
    </row>
    <row r="3525" spans="1:4" x14ac:dyDescent="0.25">
      <c r="A3525">
        <v>1866</v>
      </c>
      <c r="B3525" s="16">
        <v>43617</v>
      </c>
      <c r="C3525" t="s">
        <v>192</v>
      </c>
      <c r="D3525" s="22">
        <v>9800000</v>
      </c>
    </row>
    <row r="3526" spans="1:4" x14ac:dyDescent="0.25">
      <c r="A3526">
        <v>1866</v>
      </c>
      <c r="B3526" s="16">
        <v>43647</v>
      </c>
      <c r="C3526" t="s">
        <v>192</v>
      </c>
      <c r="D3526" s="22">
        <v>9800000</v>
      </c>
    </row>
    <row r="3527" spans="1:4" x14ac:dyDescent="0.25">
      <c r="A3527">
        <v>1866</v>
      </c>
      <c r="B3527" s="16">
        <v>43678</v>
      </c>
      <c r="C3527" t="s">
        <v>192</v>
      </c>
      <c r="D3527" s="22">
        <v>9800000</v>
      </c>
    </row>
    <row r="3528" spans="1:4" x14ac:dyDescent="0.25">
      <c r="A3528">
        <v>1866</v>
      </c>
      <c r="B3528" s="16">
        <v>43709</v>
      </c>
      <c r="C3528" t="s">
        <v>192</v>
      </c>
      <c r="D3528" s="22">
        <v>9800000</v>
      </c>
    </row>
    <row r="3529" spans="1:4" x14ac:dyDescent="0.25">
      <c r="A3529">
        <v>1866</v>
      </c>
      <c r="B3529" s="16">
        <v>43739</v>
      </c>
      <c r="C3529" t="s">
        <v>192</v>
      </c>
      <c r="D3529" s="22">
        <v>9800000</v>
      </c>
    </row>
    <row r="3530" spans="1:4" x14ac:dyDescent="0.25">
      <c r="A3530">
        <v>1866</v>
      </c>
      <c r="B3530" s="16">
        <v>43770</v>
      </c>
      <c r="C3530" t="s">
        <v>192</v>
      </c>
      <c r="D3530" s="22">
        <v>9800000</v>
      </c>
    </row>
    <row r="3531" spans="1:4" x14ac:dyDescent="0.25">
      <c r="A3531">
        <v>1866</v>
      </c>
      <c r="B3531" s="16">
        <v>43800</v>
      </c>
      <c r="C3531" t="s">
        <v>192</v>
      </c>
      <c r="D3531" s="22">
        <v>9800000</v>
      </c>
    </row>
    <row r="3532" spans="1:4" x14ac:dyDescent="0.25">
      <c r="A3532">
        <v>1866</v>
      </c>
      <c r="B3532" s="16">
        <v>43831</v>
      </c>
      <c r="C3532" t="s">
        <v>192</v>
      </c>
      <c r="D3532" s="22">
        <v>9800000</v>
      </c>
    </row>
    <row r="3533" spans="1:4" x14ac:dyDescent="0.25">
      <c r="A3533">
        <v>1866</v>
      </c>
      <c r="B3533" s="16">
        <v>43862</v>
      </c>
      <c r="C3533" t="s">
        <v>192</v>
      </c>
      <c r="D3533" s="22">
        <v>9800000</v>
      </c>
    </row>
    <row r="3534" spans="1:4" x14ac:dyDescent="0.25">
      <c r="A3534">
        <v>1866</v>
      </c>
      <c r="B3534" s="16">
        <v>43891</v>
      </c>
      <c r="C3534" t="s">
        <v>192</v>
      </c>
      <c r="D3534" s="22">
        <v>9800000</v>
      </c>
    </row>
    <row r="3535" spans="1:4" x14ac:dyDescent="0.25">
      <c r="A3535">
        <v>1848</v>
      </c>
      <c r="B3535" s="16">
        <v>43525</v>
      </c>
      <c r="C3535" t="s">
        <v>192</v>
      </c>
      <c r="D3535" s="22">
        <v>12773052.833333334</v>
      </c>
    </row>
    <row r="3536" spans="1:4" x14ac:dyDescent="0.25">
      <c r="A3536">
        <v>1848</v>
      </c>
      <c r="B3536" s="16">
        <v>43556</v>
      </c>
      <c r="C3536" t="s">
        <v>192</v>
      </c>
      <c r="D3536" s="22">
        <v>12773052.833333334</v>
      </c>
    </row>
    <row r="3537" spans="1:4" x14ac:dyDescent="0.25">
      <c r="A3537">
        <v>1848</v>
      </c>
      <c r="B3537" s="16">
        <v>43586</v>
      </c>
      <c r="C3537" t="s">
        <v>192</v>
      </c>
      <c r="D3537" s="22">
        <v>12773052.833333334</v>
      </c>
    </row>
    <row r="3538" spans="1:4" x14ac:dyDescent="0.25">
      <c r="A3538">
        <v>1848</v>
      </c>
      <c r="B3538" s="16">
        <v>43617</v>
      </c>
      <c r="C3538" t="s">
        <v>192</v>
      </c>
      <c r="D3538" s="22">
        <v>12773052.833333334</v>
      </c>
    </row>
    <row r="3539" spans="1:4" x14ac:dyDescent="0.25">
      <c r="A3539">
        <v>1848</v>
      </c>
      <c r="B3539" s="16">
        <v>43647</v>
      </c>
      <c r="C3539" t="s">
        <v>192</v>
      </c>
      <c r="D3539" s="22">
        <v>12773052.833333334</v>
      </c>
    </row>
    <row r="3540" spans="1:4" x14ac:dyDescent="0.25">
      <c r="A3540">
        <v>1848</v>
      </c>
      <c r="B3540" s="16">
        <v>43678</v>
      </c>
      <c r="C3540" t="s">
        <v>192</v>
      </c>
      <c r="D3540" s="22">
        <v>12773052.833333334</v>
      </c>
    </row>
    <row r="3541" spans="1:4" x14ac:dyDescent="0.25">
      <c r="A3541">
        <v>1848</v>
      </c>
      <c r="B3541" s="16">
        <v>43709</v>
      </c>
      <c r="C3541" t="s">
        <v>192</v>
      </c>
      <c r="D3541" s="22">
        <v>12773052.833333334</v>
      </c>
    </row>
    <row r="3542" spans="1:4" x14ac:dyDescent="0.25">
      <c r="A3542">
        <v>1848</v>
      </c>
      <c r="B3542" s="16">
        <v>43739</v>
      </c>
      <c r="C3542" t="s">
        <v>192</v>
      </c>
      <c r="D3542" s="22">
        <v>12773052.833333334</v>
      </c>
    </row>
    <row r="3543" spans="1:4" x14ac:dyDescent="0.25">
      <c r="A3543">
        <v>1848</v>
      </c>
      <c r="B3543" s="16">
        <v>43770</v>
      </c>
      <c r="C3543" t="s">
        <v>192</v>
      </c>
      <c r="D3543" s="22">
        <v>12773052.833333334</v>
      </c>
    </row>
    <row r="3544" spans="1:4" x14ac:dyDescent="0.25">
      <c r="A3544">
        <v>1845</v>
      </c>
      <c r="B3544" s="16">
        <v>43497</v>
      </c>
      <c r="C3544" t="s">
        <v>192</v>
      </c>
      <c r="D3544" s="22">
        <v>22250000</v>
      </c>
    </row>
    <row r="3545" spans="1:4" x14ac:dyDescent="0.25">
      <c r="A3545">
        <v>1845</v>
      </c>
      <c r="B3545" s="16">
        <v>43525</v>
      </c>
      <c r="C3545" t="s">
        <v>192</v>
      </c>
      <c r="D3545" s="22">
        <v>22250000</v>
      </c>
    </row>
    <row r="3546" spans="1:4" x14ac:dyDescent="0.25">
      <c r="A3546">
        <v>1845</v>
      </c>
      <c r="B3546" s="16">
        <v>43556</v>
      </c>
      <c r="C3546" t="s">
        <v>192</v>
      </c>
      <c r="D3546" s="22">
        <v>22250000</v>
      </c>
    </row>
    <row r="3547" spans="1:4" x14ac:dyDescent="0.25">
      <c r="A3547">
        <v>1845</v>
      </c>
      <c r="B3547" s="16">
        <v>43586</v>
      </c>
      <c r="C3547" t="s">
        <v>192</v>
      </c>
      <c r="D3547" s="22">
        <v>22250000</v>
      </c>
    </row>
    <row r="3548" spans="1:4" x14ac:dyDescent="0.25">
      <c r="A3548">
        <v>1845</v>
      </c>
      <c r="B3548" s="16">
        <v>43617</v>
      </c>
      <c r="C3548" t="s">
        <v>192</v>
      </c>
      <c r="D3548" s="22">
        <v>22250000</v>
      </c>
    </row>
    <row r="3549" spans="1:4" x14ac:dyDescent="0.25">
      <c r="A3549">
        <v>1845</v>
      </c>
      <c r="B3549" s="16">
        <v>43647</v>
      </c>
      <c r="C3549" t="s">
        <v>192</v>
      </c>
      <c r="D3549" s="22">
        <v>22250000</v>
      </c>
    </row>
    <row r="3550" spans="1:4" x14ac:dyDescent="0.25">
      <c r="A3550">
        <v>1845</v>
      </c>
      <c r="B3550" s="16">
        <v>43678</v>
      </c>
      <c r="C3550" t="s">
        <v>192</v>
      </c>
      <c r="D3550" s="22">
        <v>22250000</v>
      </c>
    </row>
    <row r="3551" spans="1:4" x14ac:dyDescent="0.25">
      <c r="A3551">
        <v>1790</v>
      </c>
      <c r="B3551" s="16">
        <v>43556</v>
      </c>
      <c r="C3551" t="s">
        <v>192</v>
      </c>
      <c r="D3551" s="22">
        <v>17160000</v>
      </c>
    </row>
    <row r="3552" spans="1:4" x14ac:dyDescent="0.25">
      <c r="A3552">
        <v>1790</v>
      </c>
      <c r="B3552" s="16">
        <v>43586</v>
      </c>
      <c r="C3552" t="s">
        <v>192</v>
      </c>
      <c r="D3552" s="22">
        <v>17160000</v>
      </c>
    </row>
    <row r="3553" spans="1:4" x14ac:dyDescent="0.25">
      <c r="A3553">
        <v>1790</v>
      </c>
      <c r="B3553" s="16">
        <v>43617</v>
      </c>
      <c r="C3553" t="s">
        <v>192</v>
      </c>
      <c r="D3553" s="22">
        <v>17160000</v>
      </c>
    </row>
    <row r="3554" spans="1:4" x14ac:dyDescent="0.25">
      <c r="A3554">
        <v>1790</v>
      </c>
      <c r="B3554" s="16">
        <v>43647</v>
      </c>
      <c r="C3554" t="s">
        <v>192</v>
      </c>
      <c r="D3554" s="22">
        <v>17160000</v>
      </c>
    </row>
    <row r="3555" spans="1:4" x14ac:dyDescent="0.25">
      <c r="A3555">
        <v>1790</v>
      </c>
      <c r="B3555" s="16">
        <v>43678</v>
      </c>
      <c r="C3555" t="s">
        <v>192</v>
      </c>
      <c r="D3555" s="22">
        <v>17160000</v>
      </c>
    </row>
    <row r="3556" spans="1:4" x14ac:dyDescent="0.25">
      <c r="A3556">
        <v>1790</v>
      </c>
      <c r="B3556" s="16">
        <v>43709</v>
      </c>
      <c r="C3556" t="s">
        <v>192</v>
      </c>
      <c r="D3556" s="22">
        <v>17160000</v>
      </c>
    </row>
    <row r="3557" spans="1:4" x14ac:dyDescent="0.25">
      <c r="A3557">
        <v>1790</v>
      </c>
      <c r="B3557" s="16">
        <v>43739</v>
      </c>
      <c r="C3557" t="s">
        <v>192</v>
      </c>
      <c r="D3557" s="22">
        <v>17160000</v>
      </c>
    </row>
    <row r="3558" spans="1:4" x14ac:dyDescent="0.25">
      <c r="A3558">
        <v>1790</v>
      </c>
      <c r="B3558" s="16">
        <v>43770</v>
      </c>
      <c r="C3558" t="s">
        <v>192</v>
      </c>
      <c r="D3558" s="22">
        <v>17160000</v>
      </c>
    </row>
    <row r="3559" spans="1:4" x14ac:dyDescent="0.25">
      <c r="A3559">
        <v>1790</v>
      </c>
      <c r="B3559" s="16">
        <v>43800</v>
      </c>
      <c r="C3559" t="s">
        <v>192</v>
      </c>
      <c r="D3559" s="22">
        <v>17160000</v>
      </c>
    </row>
    <row r="3560" spans="1:4" x14ac:dyDescent="0.25">
      <c r="A3560">
        <v>1790</v>
      </c>
      <c r="B3560" s="16">
        <v>43831</v>
      </c>
      <c r="C3560" t="s">
        <v>192</v>
      </c>
      <c r="D3560" s="22">
        <v>17160000</v>
      </c>
    </row>
    <row r="3561" spans="1:4" x14ac:dyDescent="0.25">
      <c r="A3561">
        <v>1790</v>
      </c>
      <c r="B3561" s="16">
        <v>43862</v>
      </c>
      <c r="C3561" t="s">
        <v>192</v>
      </c>
      <c r="D3561" s="22">
        <v>17160000</v>
      </c>
    </row>
    <row r="3562" spans="1:4" x14ac:dyDescent="0.25">
      <c r="A3562">
        <v>1790</v>
      </c>
      <c r="B3562" s="16">
        <v>43891</v>
      </c>
      <c r="C3562" t="s">
        <v>192</v>
      </c>
      <c r="D3562" s="22">
        <v>17160000</v>
      </c>
    </row>
    <row r="3563" spans="1:4" x14ac:dyDescent="0.25">
      <c r="A3563">
        <v>1790</v>
      </c>
      <c r="B3563" s="16">
        <v>43922</v>
      </c>
      <c r="C3563" t="s">
        <v>192</v>
      </c>
      <c r="D3563" s="22">
        <v>17160000</v>
      </c>
    </row>
    <row r="3564" spans="1:4" x14ac:dyDescent="0.25">
      <c r="A3564">
        <v>1899</v>
      </c>
      <c r="B3564" s="16">
        <v>43525</v>
      </c>
      <c r="C3564" t="s">
        <v>192</v>
      </c>
      <c r="D3564" s="22">
        <v>26936126</v>
      </c>
    </row>
    <row r="3565" spans="1:4" x14ac:dyDescent="0.25">
      <c r="A3565">
        <v>1899</v>
      </c>
      <c r="B3565" s="16">
        <v>43556</v>
      </c>
      <c r="C3565" t="s">
        <v>192</v>
      </c>
      <c r="D3565" s="22">
        <v>26936126</v>
      </c>
    </row>
    <row r="3566" spans="1:4" x14ac:dyDescent="0.25">
      <c r="A3566">
        <v>1899</v>
      </c>
      <c r="B3566" s="16">
        <v>43586</v>
      </c>
      <c r="C3566" t="s">
        <v>192</v>
      </c>
      <c r="D3566" s="22">
        <v>26936126</v>
      </c>
    </row>
    <row r="3567" spans="1:4" x14ac:dyDescent="0.25">
      <c r="A3567">
        <v>1899</v>
      </c>
      <c r="B3567" s="16">
        <v>43617</v>
      </c>
      <c r="C3567" t="s">
        <v>192</v>
      </c>
      <c r="D3567" s="22">
        <v>26936126</v>
      </c>
    </row>
    <row r="3568" spans="1:4" x14ac:dyDescent="0.25">
      <c r="A3568">
        <v>1899</v>
      </c>
      <c r="B3568" s="16">
        <v>43647</v>
      </c>
      <c r="C3568" t="s">
        <v>192</v>
      </c>
      <c r="D3568" s="22">
        <v>26936126</v>
      </c>
    </row>
    <row r="3569" spans="1:4" x14ac:dyDescent="0.25">
      <c r="A3569">
        <v>1899</v>
      </c>
      <c r="B3569" s="16">
        <v>43678</v>
      </c>
      <c r="C3569" t="s">
        <v>192</v>
      </c>
      <c r="D3569" s="22">
        <v>26936126</v>
      </c>
    </row>
    <row r="3570" spans="1:4" x14ac:dyDescent="0.25">
      <c r="A3570">
        <v>1899</v>
      </c>
      <c r="B3570" s="16">
        <v>43709</v>
      </c>
      <c r="C3570" t="s">
        <v>192</v>
      </c>
      <c r="D3570" s="22">
        <v>26936126</v>
      </c>
    </row>
    <row r="3571" spans="1:4" x14ac:dyDescent="0.25">
      <c r="A3571">
        <v>1899</v>
      </c>
      <c r="B3571" s="16">
        <v>43739</v>
      </c>
      <c r="C3571" t="s">
        <v>192</v>
      </c>
      <c r="D3571" s="22">
        <v>26936126</v>
      </c>
    </row>
    <row r="3572" spans="1:4" x14ac:dyDescent="0.25">
      <c r="A3572">
        <v>1899</v>
      </c>
      <c r="B3572" s="16">
        <v>43770</v>
      </c>
      <c r="C3572" t="s">
        <v>192</v>
      </c>
      <c r="D3572" s="22">
        <v>26936126</v>
      </c>
    </row>
    <row r="3573" spans="1:4" x14ac:dyDescent="0.25">
      <c r="A3573">
        <v>1899</v>
      </c>
      <c r="B3573" s="16">
        <v>43800</v>
      </c>
      <c r="C3573" t="s">
        <v>192</v>
      </c>
      <c r="D3573" s="22">
        <v>26936126</v>
      </c>
    </row>
    <row r="3574" spans="1:4" x14ac:dyDescent="0.25">
      <c r="A3574">
        <v>1899</v>
      </c>
      <c r="B3574" s="16">
        <v>43831</v>
      </c>
      <c r="C3574" t="s">
        <v>192</v>
      </c>
      <c r="D3574" s="22">
        <v>26936126</v>
      </c>
    </row>
    <row r="3575" spans="1:4" x14ac:dyDescent="0.25">
      <c r="A3575">
        <v>1899</v>
      </c>
      <c r="B3575" s="16">
        <v>43862</v>
      </c>
      <c r="C3575" t="s">
        <v>192</v>
      </c>
      <c r="D3575" s="22">
        <v>26936126</v>
      </c>
    </row>
    <row r="3576" spans="1:4" x14ac:dyDescent="0.25">
      <c r="A3576">
        <v>1899</v>
      </c>
      <c r="B3576" s="16">
        <v>43891</v>
      </c>
      <c r="C3576" t="s">
        <v>192</v>
      </c>
      <c r="D3576" s="22">
        <v>26936126</v>
      </c>
    </row>
    <row r="3577" spans="1:4" x14ac:dyDescent="0.25">
      <c r="A3577">
        <v>1899</v>
      </c>
      <c r="B3577" s="16">
        <v>43922</v>
      </c>
      <c r="C3577" t="s">
        <v>192</v>
      </c>
      <c r="D3577" s="22">
        <v>26936126</v>
      </c>
    </row>
    <row r="3578" spans="1:4" x14ac:dyDescent="0.25">
      <c r="A3578">
        <v>1899</v>
      </c>
      <c r="B3578" s="16">
        <v>43952</v>
      </c>
      <c r="C3578" t="s">
        <v>192</v>
      </c>
      <c r="D3578" s="22">
        <v>26936126</v>
      </c>
    </row>
    <row r="3579" spans="1:4" x14ac:dyDescent="0.25">
      <c r="A3579">
        <v>1899</v>
      </c>
      <c r="B3579" s="16">
        <v>43983</v>
      </c>
      <c r="C3579" t="s">
        <v>192</v>
      </c>
      <c r="D3579" s="22">
        <v>26936126</v>
      </c>
    </row>
    <row r="3580" spans="1:4" x14ac:dyDescent="0.25">
      <c r="A3580">
        <v>1899</v>
      </c>
      <c r="B3580" s="16">
        <v>44013</v>
      </c>
      <c r="C3580" t="s">
        <v>192</v>
      </c>
      <c r="D3580" s="22">
        <v>26936126</v>
      </c>
    </row>
    <row r="3581" spans="1:4" x14ac:dyDescent="0.25">
      <c r="A3581">
        <v>1899</v>
      </c>
      <c r="B3581" s="16">
        <v>44044</v>
      </c>
      <c r="C3581" t="s">
        <v>192</v>
      </c>
      <c r="D3581" s="22">
        <v>26936126</v>
      </c>
    </row>
    <row r="3582" spans="1:4" x14ac:dyDescent="0.25">
      <c r="A3582">
        <v>1899</v>
      </c>
      <c r="B3582" s="16">
        <v>44075</v>
      </c>
      <c r="C3582" t="s">
        <v>192</v>
      </c>
      <c r="D3582" s="22">
        <v>26936126</v>
      </c>
    </row>
    <row r="3583" spans="1:4" x14ac:dyDescent="0.25">
      <c r="A3583">
        <v>1899</v>
      </c>
      <c r="B3583" s="16">
        <v>44105</v>
      </c>
      <c r="C3583" t="s">
        <v>192</v>
      </c>
      <c r="D3583" s="22">
        <v>26936126</v>
      </c>
    </row>
    <row r="3584" spans="1:4" x14ac:dyDescent="0.25">
      <c r="A3584">
        <v>1899</v>
      </c>
      <c r="B3584" s="16">
        <v>44136</v>
      </c>
      <c r="C3584" t="s">
        <v>192</v>
      </c>
      <c r="D3584" s="22">
        <v>26936126</v>
      </c>
    </row>
    <row r="3585" spans="1:4" x14ac:dyDescent="0.25">
      <c r="A3585">
        <v>1899</v>
      </c>
      <c r="B3585" s="16">
        <v>44166</v>
      </c>
      <c r="C3585" t="s">
        <v>192</v>
      </c>
      <c r="D3585" s="22">
        <v>26936126</v>
      </c>
    </row>
    <row r="3586" spans="1:4" x14ac:dyDescent="0.25">
      <c r="A3586">
        <v>1899</v>
      </c>
      <c r="B3586" s="16">
        <v>44197</v>
      </c>
      <c r="C3586" t="s">
        <v>192</v>
      </c>
      <c r="D3586" s="22">
        <v>26936126</v>
      </c>
    </row>
    <row r="3587" spans="1:4" x14ac:dyDescent="0.25">
      <c r="A3587">
        <v>1899</v>
      </c>
      <c r="B3587" s="16">
        <v>44228</v>
      </c>
      <c r="C3587" t="s">
        <v>192</v>
      </c>
      <c r="D3587" s="22">
        <v>26936126</v>
      </c>
    </row>
    <row r="3588" spans="1:4" x14ac:dyDescent="0.25">
      <c r="A3588">
        <v>1899</v>
      </c>
      <c r="B3588" s="16">
        <v>44256</v>
      </c>
      <c r="C3588" t="s">
        <v>192</v>
      </c>
      <c r="D3588" s="22">
        <v>26936126</v>
      </c>
    </row>
    <row r="3589" spans="1:4" x14ac:dyDescent="0.25">
      <c r="A3589">
        <v>1900</v>
      </c>
      <c r="B3589" s="16">
        <v>43556</v>
      </c>
      <c r="C3589" t="s">
        <v>192</v>
      </c>
      <c r="D3589" s="22">
        <v>8700000</v>
      </c>
    </row>
    <row r="3590" spans="1:4" x14ac:dyDescent="0.25">
      <c r="A3590">
        <v>1900</v>
      </c>
      <c r="B3590" s="16">
        <v>43556</v>
      </c>
      <c r="C3590" t="s">
        <v>192</v>
      </c>
      <c r="D3590" s="22">
        <v>20600000</v>
      </c>
    </row>
    <row r="3591" spans="1:4" x14ac:dyDescent="0.25">
      <c r="A3591">
        <v>1900</v>
      </c>
      <c r="B3591" s="16">
        <v>43586</v>
      </c>
      <c r="C3591" t="s">
        <v>192</v>
      </c>
      <c r="D3591" s="22">
        <v>20600000</v>
      </c>
    </row>
    <row r="3592" spans="1:4" x14ac:dyDescent="0.25">
      <c r="A3592">
        <v>1900</v>
      </c>
      <c r="B3592" s="16">
        <v>43617</v>
      </c>
      <c r="C3592" t="s">
        <v>192</v>
      </c>
      <c r="D3592" s="22">
        <v>20600000</v>
      </c>
    </row>
    <row r="3593" spans="1:4" x14ac:dyDescent="0.25">
      <c r="A3593">
        <v>1900</v>
      </c>
      <c r="B3593" s="16">
        <v>43647</v>
      </c>
      <c r="C3593" t="s">
        <v>192</v>
      </c>
      <c r="D3593" s="22">
        <v>20600000</v>
      </c>
    </row>
    <row r="3594" spans="1:4" x14ac:dyDescent="0.25">
      <c r="A3594">
        <v>1900</v>
      </c>
      <c r="B3594" s="16">
        <v>43678</v>
      </c>
      <c r="C3594" t="s">
        <v>192</v>
      </c>
      <c r="D3594" s="22">
        <v>20600000</v>
      </c>
    </row>
    <row r="3595" spans="1:4" x14ac:dyDescent="0.25">
      <c r="A3595">
        <v>1900</v>
      </c>
      <c r="B3595" s="16">
        <v>43709</v>
      </c>
      <c r="C3595" t="s">
        <v>192</v>
      </c>
      <c r="D3595" s="22">
        <v>20600000</v>
      </c>
    </row>
    <row r="3596" spans="1:4" x14ac:dyDescent="0.25">
      <c r="A3596">
        <v>1900</v>
      </c>
      <c r="B3596" s="16">
        <v>43739</v>
      </c>
      <c r="C3596" t="s">
        <v>192</v>
      </c>
      <c r="D3596" s="22">
        <v>20600000</v>
      </c>
    </row>
    <row r="3597" spans="1:4" x14ac:dyDescent="0.25">
      <c r="A3597">
        <v>1900</v>
      </c>
      <c r="B3597" s="16">
        <v>43770</v>
      </c>
      <c r="C3597" t="s">
        <v>192</v>
      </c>
      <c r="D3597" s="22">
        <v>20600000</v>
      </c>
    </row>
    <row r="3598" spans="1:4" x14ac:dyDescent="0.25">
      <c r="A3598">
        <v>1900</v>
      </c>
      <c r="B3598" s="16">
        <v>43800</v>
      </c>
      <c r="C3598" t="s">
        <v>192</v>
      </c>
      <c r="D3598" s="22">
        <v>20600000</v>
      </c>
    </row>
    <row r="3599" spans="1:4" x14ac:dyDescent="0.25">
      <c r="A3599">
        <v>1900</v>
      </c>
      <c r="B3599" s="16">
        <v>43831</v>
      </c>
      <c r="C3599" t="s">
        <v>192</v>
      </c>
      <c r="D3599" s="22">
        <v>20600000</v>
      </c>
    </row>
    <row r="3600" spans="1:4" x14ac:dyDescent="0.25">
      <c r="A3600">
        <v>1900</v>
      </c>
      <c r="B3600" s="16">
        <v>43556</v>
      </c>
      <c r="C3600" t="s">
        <v>192</v>
      </c>
      <c r="D3600" s="22">
        <v>14200000</v>
      </c>
    </row>
    <row r="3601" spans="1:4" x14ac:dyDescent="0.25">
      <c r="A3601">
        <v>1900</v>
      </c>
      <c r="B3601" s="16">
        <v>43586</v>
      </c>
      <c r="C3601" t="s">
        <v>192</v>
      </c>
      <c r="D3601" s="22">
        <v>14200000</v>
      </c>
    </row>
    <row r="3602" spans="1:4" x14ac:dyDescent="0.25">
      <c r="A3602">
        <v>1900</v>
      </c>
      <c r="B3602" s="16">
        <v>43617</v>
      </c>
      <c r="C3602" t="s">
        <v>192</v>
      </c>
      <c r="D3602" s="22">
        <v>14200000</v>
      </c>
    </row>
    <row r="3603" spans="1:4" x14ac:dyDescent="0.25">
      <c r="A3603">
        <v>1900</v>
      </c>
      <c r="B3603" s="16">
        <v>43647</v>
      </c>
      <c r="C3603" t="s">
        <v>192</v>
      </c>
      <c r="D3603" s="22">
        <v>14200000</v>
      </c>
    </row>
    <row r="3604" spans="1:4" x14ac:dyDescent="0.25">
      <c r="A3604">
        <v>1898</v>
      </c>
      <c r="B3604" s="16">
        <v>43556</v>
      </c>
      <c r="C3604" t="s">
        <v>192</v>
      </c>
      <c r="D3604" s="22">
        <v>10000000</v>
      </c>
    </row>
    <row r="3605" spans="1:4" x14ac:dyDescent="0.25">
      <c r="A3605">
        <v>1898</v>
      </c>
      <c r="B3605" s="16">
        <v>43586</v>
      </c>
      <c r="C3605" t="s">
        <v>192</v>
      </c>
      <c r="D3605" s="22">
        <v>10000000</v>
      </c>
    </row>
    <row r="3606" spans="1:4" x14ac:dyDescent="0.25">
      <c r="A3606">
        <v>1898</v>
      </c>
      <c r="B3606" s="16">
        <v>43617</v>
      </c>
      <c r="C3606" t="s">
        <v>192</v>
      </c>
      <c r="D3606" s="22">
        <v>10000000</v>
      </c>
    </row>
  </sheetData>
  <autoFilter ref="A1:D360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11"/>
  <sheetViews>
    <sheetView workbookViewId="0">
      <pane xSplit="1" ySplit="5" topLeftCell="B6" activePane="bottomRight" state="frozen"/>
      <selection activeCell="B6" sqref="B6"/>
      <selection pane="topRight" activeCell="B6" sqref="B6"/>
      <selection pane="bottomLeft" activeCell="B6" sqref="B6"/>
      <selection pane="bottomRight" activeCell="B8" sqref="B8"/>
    </sheetView>
  </sheetViews>
  <sheetFormatPr baseColWidth="10" defaultRowHeight="15" x14ac:dyDescent="0.25"/>
  <cols>
    <col min="1" max="1" width="40.42578125" bestFit="1" customWidth="1"/>
    <col min="2" max="2" width="22.42578125" customWidth="1"/>
    <col min="3" max="3" width="13" bestFit="1" customWidth="1"/>
    <col min="4" max="4" width="13" customWidth="1"/>
    <col min="5" max="7" width="13" bestFit="1" customWidth="1"/>
    <col min="8" max="8" width="14" bestFit="1" customWidth="1"/>
    <col min="9" max="9" width="13" bestFit="1" customWidth="1"/>
    <col min="10" max="11" width="13" customWidth="1"/>
    <col min="12" max="14" width="13" bestFit="1" customWidth="1"/>
    <col min="15" max="18" width="13" customWidth="1"/>
    <col min="19" max="19" width="14" bestFit="1" customWidth="1"/>
    <col min="20" max="26" width="13" customWidth="1"/>
    <col min="27" max="27" width="15.5703125" bestFit="1" customWidth="1"/>
    <col min="28" max="28" width="14" bestFit="1" customWidth="1"/>
    <col min="29" max="35" width="13" bestFit="1" customWidth="1"/>
    <col min="36" max="36" width="16.7109375" bestFit="1" customWidth="1"/>
    <col min="37" max="37" width="13" customWidth="1"/>
    <col min="38" max="38" width="13" bestFit="1" customWidth="1"/>
    <col min="39" max="39" width="13" customWidth="1"/>
    <col min="40" max="40" width="13" bestFit="1" customWidth="1"/>
    <col min="41" max="41" width="13" customWidth="1"/>
    <col min="42" max="43" width="13" bestFit="1" customWidth="1"/>
    <col min="44" max="44" width="13" customWidth="1"/>
    <col min="45" max="45" width="13" bestFit="1" customWidth="1"/>
    <col min="46" max="50" width="13" customWidth="1"/>
    <col min="51" max="51" width="15.5703125" bestFit="1" customWidth="1"/>
    <col min="52" max="58" width="13" bestFit="1" customWidth="1"/>
    <col min="59" max="59" width="14" bestFit="1" customWidth="1"/>
    <col min="60" max="63" width="13" bestFit="1" customWidth="1"/>
    <col min="64" max="70" width="14" bestFit="1" customWidth="1"/>
    <col min="71" max="77" width="13" bestFit="1" customWidth="1"/>
    <col min="78" max="78" width="14" bestFit="1" customWidth="1"/>
    <col min="79" max="84" width="13" bestFit="1" customWidth="1"/>
    <col min="85" max="85" width="14" bestFit="1" customWidth="1"/>
    <col min="86" max="102" width="13" bestFit="1" customWidth="1"/>
    <col min="103" max="103" width="14" bestFit="1" customWidth="1"/>
    <col min="104" max="115" width="13" bestFit="1" customWidth="1"/>
    <col min="116" max="116" width="14" bestFit="1" customWidth="1"/>
    <col min="117" max="132" width="13" bestFit="1" customWidth="1"/>
    <col min="133" max="133" width="14" bestFit="1" customWidth="1"/>
    <col min="134" max="145" width="13" bestFit="1" customWidth="1"/>
    <col min="146" max="146" width="14" bestFit="1" customWidth="1"/>
    <col min="147" max="155" width="12" bestFit="1" customWidth="1"/>
    <col min="156" max="168" width="13" bestFit="1" customWidth="1"/>
    <col min="169" max="181" width="14" bestFit="1" customWidth="1"/>
    <col min="182" max="182" width="15.5703125" bestFit="1" customWidth="1"/>
    <col min="183" max="194" width="13" bestFit="1" customWidth="1"/>
    <col min="195" max="195" width="14" bestFit="1" customWidth="1"/>
    <col min="196" max="205" width="13" bestFit="1" customWidth="1"/>
    <col min="206" max="206" width="14" bestFit="1" customWidth="1"/>
    <col min="207" max="218" width="13" bestFit="1" customWidth="1"/>
    <col min="219" max="219" width="15.5703125" bestFit="1" customWidth="1"/>
    <col min="220" max="224" width="13" bestFit="1" customWidth="1"/>
    <col min="225" max="225" width="12" bestFit="1" customWidth="1"/>
    <col min="226" max="238" width="13" bestFit="1" customWidth="1"/>
    <col min="239" max="239" width="14" bestFit="1" customWidth="1"/>
    <col min="240" max="251" width="13" bestFit="1" customWidth="1"/>
    <col min="252" max="252" width="14" bestFit="1" customWidth="1"/>
    <col min="253" max="264" width="13" bestFit="1" customWidth="1"/>
    <col min="265" max="265" width="14" bestFit="1" customWidth="1"/>
    <col min="266" max="276" width="13" bestFit="1" customWidth="1"/>
    <col min="277" max="277" width="14" bestFit="1" customWidth="1"/>
    <col min="278" max="280" width="13" bestFit="1" customWidth="1"/>
    <col min="281" max="284" width="14" bestFit="1" customWidth="1"/>
    <col min="285" max="290" width="13" bestFit="1" customWidth="1"/>
    <col min="291" max="291" width="14" bestFit="1" customWidth="1"/>
    <col min="292" max="295" width="13" bestFit="1" customWidth="1"/>
    <col min="296" max="296" width="14" bestFit="1" customWidth="1"/>
    <col min="297" max="306" width="13" bestFit="1" customWidth="1"/>
    <col min="307" max="307" width="14" bestFit="1" customWidth="1"/>
    <col min="308" max="318" width="12" bestFit="1" customWidth="1"/>
    <col min="319" max="333" width="13" bestFit="1" customWidth="1"/>
    <col min="334" max="334" width="14" bestFit="1" customWidth="1"/>
    <col min="335" max="346" width="13" bestFit="1" customWidth="1"/>
    <col min="347" max="347" width="14" bestFit="1" customWidth="1"/>
    <col min="348" max="351" width="13" bestFit="1" customWidth="1"/>
    <col min="352" max="353" width="14" bestFit="1" customWidth="1"/>
    <col min="354" max="367" width="13" bestFit="1" customWidth="1"/>
    <col min="368" max="368" width="14" bestFit="1" customWidth="1"/>
    <col min="369" max="383" width="13" bestFit="1" customWidth="1"/>
    <col min="384" max="384" width="14" bestFit="1" customWidth="1"/>
    <col min="385" max="396" width="13" bestFit="1" customWidth="1"/>
    <col min="397" max="397" width="14" bestFit="1" customWidth="1"/>
    <col min="398" max="403" width="13" bestFit="1" customWidth="1"/>
    <col min="404" max="404" width="14" bestFit="1" customWidth="1"/>
    <col min="405" max="407" width="13" bestFit="1" customWidth="1"/>
    <col min="408" max="410" width="14" bestFit="1" customWidth="1"/>
    <col min="411" max="413" width="13" bestFit="1" customWidth="1"/>
    <col min="414" max="419" width="14" bestFit="1" customWidth="1"/>
    <col min="420" max="420" width="16.7109375" bestFit="1" customWidth="1"/>
  </cols>
  <sheetData>
    <row r="1" spans="1:8" x14ac:dyDescent="0.25">
      <c r="A1" s="34" t="s">
        <v>184</v>
      </c>
      <c r="B1" s="35">
        <v>1837</v>
      </c>
    </row>
    <row r="3" spans="1:8" x14ac:dyDescent="0.25">
      <c r="A3" s="34" t="s">
        <v>263</v>
      </c>
      <c r="B3" s="34" t="s">
        <v>262</v>
      </c>
    </row>
    <row r="4" spans="1:8" x14ac:dyDescent="0.25">
      <c r="B4" t="s">
        <v>264</v>
      </c>
      <c r="H4" t="s">
        <v>261</v>
      </c>
    </row>
    <row r="5" spans="1:8" x14ac:dyDescent="0.25">
      <c r="A5" s="34" t="s">
        <v>260</v>
      </c>
      <c r="B5" s="16" t="s">
        <v>265</v>
      </c>
      <c r="C5" s="16" t="s">
        <v>266</v>
      </c>
      <c r="D5" s="16" t="s">
        <v>333</v>
      </c>
      <c r="E5" s="16" t="s">
        <v>334</v>
      </c>
      <c r="F5" s="16" t="s">
        <v>335</v>
      </c>
      <c r="G5" s="16" t="s">
        <v>336</v>
      </c>
    </row>
    <row r="6" spans="1:8" x14ac:dyDescent="0.25">
      <c r="A6" s="35" t="s">
        <v>192</v>
      </c>
      <c r="B6" s="31">
        <v>10500000</v>
      </c>
      <c r="C6" s="31">
        <v>10500000</v>
      </c>
      <c r="D6" s="31">
        <v>10500000</v>
      </c>
      <c r="E6" s="31">
        <v>10500000</v>
      </c>
      <c r="F6" s="31">
        <v>10500000</v>
      </c>
      <c r="G6" s="31">
        <v>10500000</v>
      </c>
      <c r="H6" s="31">
        <v>63000000</v>
      </c>
    </row>
    <row r="7" spans="1:8" x14ac:dyDescent="0.25">
      <c r="A7" s="35" t="s">
        <v>135</v>
      </c>
      <c r="B7" s="31">
        <v>3764722.4999999995</v>
      </c>
      <c r="C7" s="31">
        <v>3764722.4999999995</v>
      </c>
      <c r="D7" s="31">
        <v>3764722.4999999995</v>
      </c>
      <c r="E7" s="31">
        <v>3764722.4999999995</v>
      </c>
      <c r="F7" s="31">
        <v>3764722.4999999995</v>
      </c>
      <c r="G7" s="31">
        <v>3764722.4999999995</v>
      </c>
      <c r="H7" s="31">
        <v>22588334.999999996</v>
      </c>
    </row>
    <row r="8" spans="1:8" x14ac:dyDescent="0.25">
      <c r="A8" s="35" t="s">
        <v>122</v>
      </c>
      <c r="B8" s="31">
        <v>7426125</v>
      </c>
      <c r="C8" s="31">
        <v>7426125</v>
      </c>
      <c r="D8" s="31">
        <v>7426125</v>
      </c>
      <c r="E8" s="31">
        <v>7426125</v>
      </c>
      <c r="F8" s="31">
        <v>7426125</v>
      </c>
      <c r="G8" s="31">
        <v>7426125</v>
      </c>
      <c r="H8" s="31">
        <v>44556750</v>
      </c>
    </row>
    <row r="9" spans="1:8" x14ac:dyDescent="0.25">
      <c r="A9" s="35" t="s">
        <v>164</v>
      </c>
      <c r="B9" s="31">
        <v>964096.875</v>
      </c>
      <c r="C9" s="31">
        <v>964096.875</v>
      </c>
      <c r="D9" s="31">
        <v>964096.875</v>
      </c>
      <c r="E9" s="31"/>
      <c r="F9" s="31"/>
      <c r="G9" s="31"/>
      <c r="H9" s="31">
        <v>2892290.625</v>
      </c>
    </row>
    <row r="10" spans="1:8" x14ac:dyDescent="0.25">
      <c r="A10" s="35" t="s">
        <v>290</v>
      </c>
      <c r="B10" s="31">
        <v>1778395.5</v>
      </c>
      <c r="C10" s="31">
        <v>1778395.5</v>
      </c>
      <c r="D10" s="31">
        <v>1778395.5</v>
      </c>
      <c r="E10" s="31">
        <v>1778395.5</v>
      </c>
      <c r="F10" s="31">
        <v>1778395.5</v>
      </c>
      <c r="G10" s="31">
        <v>1778395.5</v>
      </c>
      <c r="H10" s="31">
        <v>10670373</v>
      </c>
    </row>
    <row r="11" spans="1:8" x14ac:dyDescent="0.25">
      <c r="A11" s="35" t="s">
        <v>261</v>
      </c>
      <c r="B11" s="31">
        <v>24433339.875</v>
      </c>
      <c r="C11" s="31">
        <v>24433339.875</v>
      </c>
      <c r="D11" s="31">
        <v>24433339.875</v>
      </c>
      <c r="E11" s="31">
        <v>23469243</v>
      </c>
      <c r="F11" s="31">
        <v>23469243</v>
      </c>
      <c r="G11" s="31">
        <v>23469243</v>
      </c>
      <c r="H11" s="31">
        <v>143707748.625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E7133"/>
  <sheetViews>
    <sheetView workbookViewId="0">
      <pane xSplit="1" ySplit="1" topLeftCell="B7124" activePane="bottomRight" state="frozen"/>
      <selection pane="topRight" activeCell="B1" sqref="B1"/>
      <selection pane="bottomLeft" activeCell="A2" sqref="A2"/>
      <selection pane="bottomRight" activeCell="E2" sqref="E2"/>
    </sheetView>
  </sheetViews>
  <sheetFormatPr baseColWidth="10" defaultRowHeight="15" x14ac:dyDescent="0.25"/>
  <cols>
    <col min="2" max="2" width="11.42578125" style="16"/>
  </cols>
  <sheetData>
    <row r="1" spans="1:5" x14ac:dyDescent="0.25">
      <c r="A1" t="s">
        <v>184</v>
      </c>
      <c r="B1" s="16" t="s">
        <v>224</v>
      </c>
      <c r="C1" t="s">
        <v>225</v>
      </c>
      <c r="D1" t="s">
        <v>220</v>
      </c>
      <c r="E1" t="s">
        <v>332</v>
      </c>
    </row>
    <row r="2" spans="1:5" x14ac:dyDescent="0.25">
      <c r="A2">
        <v>1580</v>
      </c>
      <c r="B2" s="16">
        <v>43466</v>
      </c>
      <c r="C2" t="s">
        <v>19</v>
      </c>
      <c r="D2">
        <v>-5273934.6806999994</v>
      </c>
      <c r="E2" t="s">
        <v>331</v>
      </c>
    </row>
    <row r="3" spans="1:5" x14ac:dyDescent="0.25">
      <c r="A3">
        <v>1580</v>
      </c>
      <c r="B3" s="16">
        <v>43497</v>
      </c>
      <c r="C3" t="s">
        <v>19</v>
      </c>
      <c r="D3">
        <v>-5273934.6806999994</v>
      </c>
      <c r="E3" t="s">
        <v>331</v>
      </c>
    </row>
    <row r="4" spans="1:5" x14ac:dyDescent="0.25">
      <c r="A4">
        <v>1580</v>
      </c>
      <c r="B4" s="16">
        <v>43525</v>
      </c>
      <c r="C4" t="s">
        <v>19</v>
      </c>
      <c r="D4">
        <v>-5273934.6806999994</v>
      </c>
      <c r="E4" t="s">
        <v>331</v>
      </c>
    </row>
    <row r="5" spans="1:5" x14ac:dyDescent="0.25">
      <c r="A5">
        <v>1580</v>
      </c>
      <c r="B5" s="16">
        <v>43556</v>
      </c>
      <c r="C5" t="s">
        <v>19</v>
      </c>
      <c r="D5">
        <v>-5273934.6806999994</v>
      </c>
      <c r="E5" t="s">
        <v>331</v>
      </c>
    </row>
    <row r="6" spans="1:5" x14ac:dyDescent="0.25">
      <c r="A6">
        <v>1580</v>
      </c>
      <c r="B6" s="16">
        <v>43586</v>
      </c>
      <c r="C6" t="s">
        <v>19</v>
      </c>
      <c r="D6">
        <v>-5273934.6806999994</v>
      </c>
      <c r="E6" t="s">
        <v>331</v>
      </c>
    </row>
    <row r="7" spans="1:5" x14ac:dyDescent="0.25">
      <c r="A7">
        <v>1580</v>
      </c>
      <c r="B7" s="16">
        <v>43617</v>
      </c>
      <c r="C7" t="s">
        <v>19</v>
      </c>
      <c r="D7">
        <v>-5273934.6806999994</v>
      </c>
      <c r="E7" t="s">
        <v>331</v>
      </c>
    </row>
    <row r="8" spans="1:5" x14ac:dyDescent="0.25">
      <c r="A8">
        <v>1580</v>
      </c>
      <c r="B8" s="16">
        <v>43647</v>
      </c>
      <c r="C8" t="s">
        <v>19</v>
      </c>
      <c r="D8">
        <v>-5273934.6806999994</v>
      </c>
      <c r="E8" t="s">
        <v>331</v>
      </c>
    </row>
    <row r="9" spans="1:5" x14ac:dyDescent="0.25">
      <c r="A9">
        <v>1580</v>
      </c>
      <c r="B9" s="16">
        <v>43678</v>
      </c>
      <c r="C9" t="s">
        <v>19</v>
      </c>
      <c r="D9">
        <v>-5273934.6806999994</v>
      </c>
      <c r="E9" t="s">
        <v>331</v>
      </c>
    </row>
    <row r="10" spans="1:5" x14ac:dyDescent="0.25">
      <c r="A10">
        <v>1580</v>
      </c>
      <c r="B10" s="16">
        <v>43709</v>
      </c>
      <c r="C10" t="s">
        <v>19</v>
      </c>
      <c r="D10">
        <v>-5273934.6806999994</v>
      </c>
      <c r="E10" t="s">
        <v>331</v>
      </c>
    </row>
    <row r="11" spans="1:5" x14ac:dyDescent="0.25">
      <c r="A11">
        <v>1580</v>
      </c>
      <c r="B11" s="16">
        <v>43739</v>
      </c>
      <c r="C11" t="s">
        <v>19</v>
      </c>
      <c r="D11">
        <v>-5273934.6806999994</v>
      </c>
      <c r="E11" t="s">
        <v>331</v>
      </c>
    </row>
    <row r="12" spans="1:5" x14ac:dyDescent="0.25">
      <c r="A12">
        <v>1580</v>
      </c>
      <c r="B12" s="16">
        <v>43770</v>
      </c>
      <c r="C12" t="s">
        <v>19</v>
      </c>
      <c r="D12">
        <v>-5273934.6806999994</v>
      </c>
      <c r="E12" t="s">
        <v>331</v>
      </c>
    </row>
    <row r="13" spans="1:5" x14ac:dyDescent="0.25">
      <c r="A13">
        <v>1580</v>
      </c>
      <c r="B13" s="16">
        <v>43800</v>
      </c>
      <c r="C13" t="s">
        <v>19</v>
      </c>
      <c r="D13">
        <v>-5273934.6806999994</v>
      </c>
      <c r="E13" t="s">
        <v>331</v>
      </c>
    </row>
    <row r="14" spans="1:5" x14ac:dyDescent="0.25">
      <c r="A14">
        <v>1580</v>
      </c>
      <c r="B14" s="16">
        <v>43831</v>
      </c>
      <c r="C14" t="s">
        <v>19</v>
      </c>
      <c r="D14">
        <v>-5273934.6806999994</v>
      </c>
      <c r="E14" t="s">
        <v>331</v>
      </c>
    </row>
    <row r="15" spans="1:5" x14ac:dyDescent="0.25">
      <c r="A15">
        <v>1580</v>
      </c>
      <c r="B15" s="16">
        <v>43862</v>
      </c>
      <c r="C15" t="s">
        <v>19</v>
      </c>
      <c r="D15">
        <v>-5273934.6806999994</v>
      </c>
      <c r="E15" t="s">
        <v>331</v>
      </c>
    </row>
    <row r="16" spans="1:5" x14ac:dyDescent="0.25">
      <c r="A16">
        <v>1580</v>
      </c>
      <c r="B16" s="16">
        <v>43466</v>
      </c>
      <c r="C16" t="s">
        <v>12</v>
      </c>
      <c r="D16">
        <v>-7784590.2750000004</v>
      </c>
      <c r="E16" t="s">
        <v>331</v>
      </c>
    </row>
    <row r="17" spans="1:5" x14ac:dyDescent="0.25">
      <c r="A17">
        <v>1580</v>
      </c>
      <c r="B17" s="16">
        <v>43497</v>
      </c>
      <c r="C17" t="s">
        <v>12</v>
      </c>
      <c r="D17">
        <v>-7784590.2750000004</v>
      </c>
      <c r="E17" t="s">
        <v>331</v>
      </c>
    </row>
    <row r="18" spans="1:5" x14ac:dyDescent="0.25">
      <c r="A18">
        <v>1580</v>
      </c>
      <c r="B18" s="16">
        <v>43525</v>
      </c>
      <c r="C18" t="s">
        <v>12</v>
      </c>
      <c r="D18">
        <v>-7784590.2750000004</v>
      </c>
      <c r="E18" t="s">
        <v>331</v>
      </c>
    </row>
    <row r="19" spans="1:5" x14ac:dyDescent="0.25">
      <c r="A19">
        <v>1580</v>
      </c>
      <c r="B19" s="16">
        <v>43556</v>
      </c>
      <c r="C19" t="s">
        <v>12</v>
      </c>
      <c r="D19">
        <v>-7784590.2750000004</v>
      </c>
      <c r="E19" t="s">
        <v>331</v>
      </c>
    </row>
    <row r="20" spans="1:5" x14ac:dyDescent="0.25">
      <c r="A20">
        <v>1580</v>
      </c>
      <c r="B20" s="16">
        <v>43586</v>
      </c>
      <c r="C20" t="s">
        <v>12</v>
      </c>
      <c r="D20">
        <v>-7784590.2750000004</v>
      </c>
      <c r="E20" t="s">
        <v>331</v>
      </c>
    </row>
    <row r="21" spans="1:5" x14ac:dyDescent="0.25">
      <c r="A21">
        <v>1580</v>
      </c>
      <c r="B21" s="16">
        <v>43617</v>
      </c>
      <c r="C21" t="s">
        <v>12</v>
      </c>
      <c r="D21">
        <v>-7784590.2750000004</v>
      </c>
      <c r="E21" t="s">
        <v>331</v>
      </c>
    </row>
    <row r="22" spans="1:5" x14ac:dyDescent="0.25">
      <c r="A22">
        <v>1580</v>
      </c>
      <c r="B22" s="16">
        <v>43647</v>
      </c>
      <c r="C22" t="s">
        <v>12</v>
      </c>
      <c r="D22">
        <v>-7784590.2750000004</v>
      </c>
      <c r="E22" t="s">
        <v>331</v>
      </c>
    </row>
    <row r="23" spans="1:5" x14ac:dyDescent="0.25">
      <c r="A23">
        <v>1580</v>
      </c>
      <c r="B23" s="16">
        <v>43678</v>
      </c>
      <c r="C23" t="s">
        <v>12</v>
      </c>
      <c r="D23">
        <v>-7784590.2750000004</v>
      </c>
      <c r="E23" t="s">
        <v>331</v>
      </c>
    </row>
    <row r="24" spans="1:5" x14ac:dyDescent="0.25">
      <c r="A24">
        <v>1580</v>
      </c>
      <c r="B24" s="16">
        <v>43709</v>
      </c>
      <c r="C24" t="s">
        <v>12</v>
      </c>
      <c r="D24">
        <v>-7784590.2750000004</v>
      </c>
      <c r="E24" t="s">
        <v>331</v>
      </c>
    </row>
    <row r="25" spans="1:5" x14ac:dyDescent="0.25">
      <c r="A25">
        <v>1580</v>
      </c>
      <c r="B25" s="16">
        <v>43739</v>
      </c>
      <c r="C25" t="s">
        <v>12</v>
      </c>
      <c r="D25">
        <v>-7784590.2750000004</v>
      </c>
      <c r="E25" t="s">
        <v>331</v>
      </c>
    </row>
    <row r="26" spans="1:5" x14ac:dyDescent="0.25">
      <c r="A26">
        <v>1580</v>
      </c>
      <c r="B26" s="16">
        <v>43770</v>
      </c>
      <c r="C26" t="s">
        <v>12</v>
      </c>
      <c r="D26">
        <v>-7784590.2750000004</v>
      </c>
      <c r="E26" t="s">
        <v>331</v>
      </c>
    </row>
    <row r="27" spans="1:5" x14ac:dyDescent="0.25">
      <c r="A27">
        <v>1580</v>
      </c>
      <c r="B27" s="16">
        <v>43800</v>
      </c>
      <c r="C27" t="s">
        <v>12</v>
      </c>
      <c r="D27">
        <v>-7784590.2750000004</v>
      </c>
      <c r="E27" t="s">
        <v>331</v>
      </c>
    </row>
    <row r="28" spans="1:5" x14ac:dyDescent="0.25">
      <c r="A28">
        <v>1580</v>
      </c>
      <c r="B28" s="16">
        <v>43831</v>
      </c>
      <c r="C28" t="s">
        <v>12</v>
      </c>
      <c r="D28">
        <v>-7784590.2750000004</v>
      </c>
      <c r="E28" t="s">
        <v>331</v>
      </c>
    </row>
    <row r="29" spans="1:5" x14ac:dyDescent="0.25">
      <c r="A29">
        <v>1580</v>
      </c>
      <c r="B29" s="16">
        <v>43862</v>
      </c>
      <c r="C29" t="s">
        <v>12</v>
      </c>
      <c r="D29">
        <v>-7784590.2750000004</v>
      </c>
      <c r="E29" t="s">
        <v>331</v>
      </c>
    </row>
    <row r="30" spans="1:5" x14ac:dyDescent="0.25">
      <c r="A30">
        <v>1580</v>
      </c>
      <c r="B30" s="16">
        <v>43466</v>
      </c>
      <c r="C30" t="s">
        <v>13</v>
      </c>
      <c r="D30">
        <v>-6517329.5250000004</v>
      </c>
      <c r="E30" t="s">
        <v>331</v>
      </c>
    </row>
    <row r="31" spans="1:5" x14ac:dyDescent="0.25">
      <c r="A31">
        <v>1580</v>
      </c>
      <c r="B31" s="16">
        <v>43497</v>
      </c>
      <c r="C31" t="s">
        <v>13</v>
      </c>
      <c r="D31">
        <v>-6517329.5250000004</v>
      </c>
      <c r="E31" t="s">
        <v>331</v>
      </c>
    </row>
    <row r="32" spans="1:5" x14ac:dyDescent="0.25">
      <c r="A32">
        <v>1580</v>
      </c>
      <c r="B32" s="16">
        <v>43525</v>
      </c>
      <c r="C32" t="s">
        <v>13</v>
      </c>
      <c r="D32">
        <v>-6517329.5250000004</v>
      </c>
      <c r="E32" t="s">
        <v>331</v>
      </c>
    </row>
    <row r="33" spans="1:5" x14ac:dyDescent="0.25">
      <c r="A33">
        <v>1580</v>
      </c>
      <c r="B33" s="16">
        <v>43556</v>
      </c>
      <c r="C33" t="s">
        <v>13</v>
      </c>
      <c r="D33">
        <v>-6517329.5250000004</v>
      </c>
      <c r="E33" t="s">
        <v>331</v>
      </c>
    </row>
    <row r="34" spans="1:5" x14ac:dyDescent="0.25">
      <c r="A34">
        <v>1580</v>
      </c>
      <c r="B34" s="16">
        <v>43586</v>
      </c>
      <c r="C34" t="s">
        <v>13</v>
      </c>
      <c r="D34">
        <v>-6517329.5250000004</v>
      </c>
      <c r="E34" t="s">
        <v>331</v>
      </c>
    </row>
    <row r="35" spans="1:5" x14ac:dyDescent="0.25">
      <c r="A35">
        <v>1580</v>
      </c>
      <c r="B35" s="16">
        <v>43617</v>
      </c>
      <c r="C35" t="s">
        <v>13</v>
      </c>
      <c r="D35">
        <v>-6517329.5250000004</v>
      </c>
      <c r="E35" t="s">
        <v>331</v>
      </c>
    </row>
    <row r="36" spans="1:5" x14ac:dyDescent="0.25">
      <c r="A36">
        <v>1580</v>
      </c>
      <c r="B36" s="16">
        <v>43647</v>
      </c>
      <c r="C36" t="s">
        <v>13</v>
      </c>
      <c r="D36">
        <v>-6517329.5250000004</v>
      </c>
      <c r="E36" t="s">
        <v>331</v>
      </c>
    </row>
    <row r="37" spans="1:5" x14ac:dyDescent="0.25">
      <c r="A37">
        <v>1580</v>
      </c>
      <c r="B37" s="16">
        <v>43678</v>
      </c>
      <c r="C37" t="s">
        <v>13</v>
      </c>
      <c r="D37">
        <v>-6517329.5250000004</v>
      </c>
      <c r="E37" t="s">
        <v>331</v>
      </c>
    </row>
    <row r="38" spans="1:5" x14ac:dyDescent="0.25">
      <c r="A38">
        <v>1580</v>
      </c>
      <c r="B38" s="16">
        <v>43709</v>
      </c>
      <c r="C38" t="s">
        <v>13</v>
      </c>
      <c r="D38">
        <v>-6517329.5250000004</v>
      </c>
      <c r="E38" t="s">
        <v>331</v>
      </c>
    </row>
    <row r="39" spans="1:5" x14ac:dyDescent="0.25">
      <c r="A39">
        <v>1580</v>
      </c>
      <c r="B39" s="16">
        <v>43739</v>
      </c>
      <c r="C39" t="s">
        <v>13</v>
      </c>
      <c r="D39">
        <v>-6517329.5250000004</v>
      </c>
      <c r="E39" t="s">
        <v>331</v>
      </c>
    </row>
    <row r="40" spans="1:5" x14ac:dyDescent="0.25">
      <c r="A40">
        <v>1580</v>
      </c>
      <c r="B40" s="16">
        <v>43770</v>
      </c>
      <c r="C40" t="s">
        <v>13</v>
      </c>
      <c r="D40">
        <v>-6517329.5250000004</v>
      </c>
      <c r="E40" t="s">
        <v>331</v>
      </c>
    </row>
    <row r="41" spans="1:5" x14ac:dyDescent="0.25">
      <c r="A41">
        <v>1580</v>
      </c>
      <c r="B41" s="16">
        <v>43800</v>
      </c>
      <c r="C41" t="s">
        <v>13</v>
      </c>
      <c r="D41">
        <v>-6517329.5250000004</v>
      </c>
      <c r="E41" t="s">
        <v>331</v>
      </c>
    </row>
    <row r="42" spans="1:5" x14ac:dyDescent="0.25">
      <c r="A42">
        <v>1580</v>
      </c>
      <c r="B42" s="16">
        <v>43831</v>
      </c>
      <c r="C42" t="s">
        <v>13</v>
      </c>
      <c r="D42">
        <v>-6517329.5250000004</v>
      </c>
      <c r="E42" t="s">
        <v>331</v>
      </c>
    </row>
    <row r="43" spans="1:5" x14ac:dyDescent="0.25">
      <c r="A43">
        <v>1580</v>
      </c>
      <c r="B43" s="16">
        <v>43466</v>
      </c>
      <c r="C43" t="s">
        <v>14</v>
      </c>
      <c r="D43">
        <v>-7791940.1186286025</v>
      </c>
      <c r="E43" t="s">
        <v>331</v>
      </c>
    </row>
    <row r="44" spans="1:5" x14ac:dyDescent="0.25">
      <c r="A44">
        <v>1580</v>
      </c>
      <c r="B44" s="16">
        <v>43497</v>
      </c>
      <c r="C44" t="s">
        <v>14</v>
      </c>
      <c r="D44">
        <v>-7791940.1186286025</v>
      </c>
      <c r="E44" t="s">
        <v>331</v>
      </c>
    </row>
    <row r="45" spans="1:5" x14ac:dyDescent="0.25">
      <c r="A45">
        <v>1580</v>
      </c>
      <c r="B45" s="16">
        <v>43525</v>
      </c>
      <c r="C45" t="s">
        <v>14</v>
      </c>
      <c r="D45">
        <v>-7791940.1186286025</v>
      </c>
      <c r="E45" t="s">
        <v>331</v>
      </c>
    </row>
    <row r="46" spans="1:5" x14ac:dyDescent="0.25">
      <c r="A46">
        <v>1580</v>
      </c>
      <c r="B46" s="16">
        <v>43556</v>
      </c>
      <c r="C46" t="s">
        <v>14</v>
      </c>
      <c r="D46">
        <v>-7791940.1186286025</v>
      </c>
      <c r="E46" t="s">
        <v>331</v>
      </c>
    </row>
    <row r="47" spans="1:5" x14ac:dyDescent="0.25">
      <c r="A47">
        <v>1580</v>
      </c>
      <c r="B47" s="16">
        <v>43586</v>
      </c>
      <c r="C47" t="s">
        <v>14</v>
      </c>
      <c r="D47">
        <v>-7791940.1186286025</v>
      </c>
      <c r="E47" t="s">
        <v>331</v>
      </c>
    </row>
    <row r="48" spans="1:5" x14ac:dyDescent="0.25">
      <c r="A48">
        <v>1580</v>
      </c>
      <c r="B48" s="16">
        <v>43617</v>
      </c>
      <c r="C48" t="s">
        <v>14</v>
      </c>
      <c r="D48">
        <v>-7791940.1186286025</v>
      </c>
      <c r="E48" t="s">
        <v>331</v>
      </c>
    </row>
    <row r="49" spans="1:5" x14ac:dyDescent="0.25">
      <c r="A49">
        <v>1580</v>
      </c>
      <c r="B49" s="16">
        <v>43647</v>
      </c>
      <c r="C49" t="s">
        <v>14</v>
      </c>
      <c r="D49">
        <v>-7791940.1186286025</v>
      </c>
      <c r="E49" t="s">
        <v>331</v>
      </c>
    </row>
    <row r="50" spans="1:5" x14ac:dyDescent="0.25">
      <c r="A50">
        <v>1580</v>
      </c>
      <c r="B50" s="16">
        <v>43678</v>
      </c>
      <c r="C50" t="s">
        <v>14</v>
      </c>
      <c r="D50">
        <v>-7791940.1186286025</v>
      </c>
      <c r="E50" t="s">
        <v>331</v>
      </c>
    </row>
    <row r="51" spans="1:5" x14ac:dyDescent="0.25">
      <c r="A51">
        <v>1580</v>
      </c>
      <c r="B51" s="16">
        <v>43709</v>
      </c>
      <c r="C51" t="s">
        <v>14</v>
      </c>
      <c r="D51">
        <v>-7791940.1186286025</v>
      </c>
      <c r="E51" t="s">
        <v>331</v>
      </c>
    </row>
    <row r="52" spans="1:5" x14ac:dyDescent="0.25">
      <c r="A52">
        <v>1580</v>
      </c>
      <c r="B52" s="16">
        <v>43739</v>
      </c>
      <c r="C52" t="s">
        <v>14</v>
      </c>
      <c r="D52">
        <v>-7791940.1186286025</v>
      </c>
      <c r="E52" t="s">
        <v>331</v>
      </c>
    </row>
    <row r="53" spans="1:5" x14ac:dyDescent="0.25">
      <c r="A53">
        <v>1580</v>
      </c>
      <c r="B53" s="16">
        <v>43770</v>
      </c>
      <c r="C53" t="s">
        <v>14</v>
      </c>
      <c r="D53">
        <v>-7791940.1186286025</v>
      </c>
      <c r="E53" t="s">
        <v>331</v>
      </c>
    </row>
    <row r="54" spans="1:5" x14ac:dyDescent="0.25">
      <c r="A54">
        <v>1580</v>
      </c>
      <c r="B54" s="16">
        <v>43800</v>
      </c>
      <c r="C54" t="s">
        <v>14</v>
      </c>
      <c r="D54">
        <v>-7791940.1186286025</v>
      </c>
      <c r="E54" t="s">
        <v>331</v>
      </c>
    </row>
    <row r="55" spans="1:5" x14ac:dyDescent="0.25">
      <c r="A55">
        <v>1580</v>
      </c>
      <c r="B55" s="16">
        <v>43831</v>
      </c>
      <c r="C55" t="s">
        <v>14</v>
      </c>
      <c r="D55">
        <v>-7791940.1186286025</v>
      </c>
      <c r="E55" t="s">
        <v>331</v>
      </c>
    </row>
    <row r="56" spans="1:5" x14ac:dyDescent="0.25">
      <c r="A56">
        <v>1580</v>
      </c>
      <c r="B56" s="16">
        <v>43862</v>
      </c>
      <c r="C56" t="s">
        <v>14</v>
      </c>
      <c r="D56">
        <v>-7791940.1186286025</v>
      </c>
      <c r="E56" t="s">
        <v>331</v>
      </c>
    </row>
    <row r="57" spans="1:5" x14ac:dyDescent="0.25">
      <c r="A57">
        <v>1580</v>
      </c>
      <c r="B57" s="16">
        <v>43466</v>
      </c>
      <c r="C57" t="s">
        <v>15</v>
      </c>
      <c r="D57">
        <v>-4525924.49505</v>
      </c>
      <c r="E57" t="s">
        <v>331</v>
      </c>
    </row>
    <row r="58" spans="1:5" x14ac:dyDescent="0.25">
      <c r="A58">
        <v>1580</v>
      </c>
      <c r="B58" s="16">
        <v>43497</v>
      </c>
      <c r="C58" t="s">
        <v>15</v>
      </c>
      <c r="D58">
        <v>-4525924.49505</v>
      </c>
      <c r="E58" t="s">
        <v>331</v>
      </c>
    </row>
    <row r="59" spans="1:5" x14ac:dyDescent="0.25">
      <c r="A59">
        <v>1580</v>
      </c>
      <c r="B59" s="16">
        <v>43525</v>
      </c>
      <c r="C59" t="s">
        <v>15</v>
      </c>
      <c r="D59">
        <v>-4525924.49505</v>
      </c>
      <c r="E59" t="s">
        <v>331</v>
      </c>
    </row>
    <row r="60" spans="1:5" x14ac:dyDescent="0.25">
      <c r="A60">
        <v>1580</v>
      </c>
      <c r="B60" s="16">
        <v>43556</v>
      </c>
      <c r="C60" t="s">
        <v>15</v>
      </c>
      <c r="D60">
        <v>-4525924.49505</v>
      </c>
      <c r="E60" t="s">
        <v>331</v>
      </c>
    </row>
    <row r="61" spans="1:5" x14ac:dyDescent="0.25">
      <c r="A61">
        <v>1580</v>
      </c>
      <c r="B61" s="16">
        <v>43586</v>
      </c>
      <c r="C61" t="s">
        <v>15</v>
      </c>
      <c r="D61">
        <v>-4525924.49505</v>
      </c>
      <c r="E61" t="s">
        <v>331</v>
      </c>
    </row>
    <row r="62" spans="1:5" x14ac:dyDescent="0.25">
      <c r="A62">
        <v>1580</v>
      </c>
      <c r="B62" s="16">
        <v>43617</v>
      </c>
      <c r="C62" t="s">
        <v>15</v>
      </c>
      <c r="D62">
        <v>-4525924.49505</v>
      </c>
      <c r="E62" t="s">
        <v>331</v>
      </c>
    </row>
    <row r="63" spans="1:5" x14ac:dyDescent="0.25">
      <c r="A63">
        <v>1580</v>
      </c>
      <c r="B63" s="16">
        <v>43647</v>
      </c>
      <c r="C63" t="s">
        <v>15</v>
      </c>
      <c r="D63">
        <v>-4525924.49505</v>
      </c>
      <c r="E63" t="s">
        <v>331</v>
      </c>
    </row>
    <row r="64" spans="1:5" x14ac:dyDescent="0.25">
      <c r="A64">
        <v>1580</v>
      </c>
      <c r="B64" s="16">
        <v>43678</v>
      </c>
      <c r="C64" t="s">
        <v>15</v>
      </c>
      <c r="D64">
        <v>-4525924.49505</v>
      </c>
      <c r="E64" t="s">
        <v>331</v>
      </c>
    </row>
    <row r="65" spans="1:5" x14ac:dyDescent="0.25">
      <c r="A65">
        <v>1580</v>
      </c>
      <c r="B65" s="16">
        <v>43709</v>
      </c>
      <c r="C65" t="s">
        <v>15</v>
      </c>
      <c r="D65">
        <v>-4525924.49505</v>
      </c>
      <c r="E65" t="s">
        <v>331</v>
      </c>
    </row>
    <row r="66" spans="1:5" x14ac:dyDescent="0.25">
      <c r="A66">
        <v>1580</v>
      </c>
      <c r="B66" s="16">
        <v>43739</v>
      </c>
      <c r="C66" t="s">
        <v>15</v>
      </c>
      <c r="D66">
        <v>-4525924.49505</v>
      </c>
      <c r="E66" t="s">
        <v>331</v>
      </c>
    </row>
    <row r="67" spans="1:5" x14ac:dyDescent="0.25">
      <c r="A67">
        <v>1580</v>
      </c>
      <c r="B67" s="16">
        <v>43770</v>
      </c>
      <c r="C67" t="s">
        <v>15</v>
      </c>
      <c r="D67">
        <v>-4525924.49505</v>
      </c>
      <c r="E67" t="s">
        <v>331</v>
      </c>
    </row>
    <row r="68" spans="1:5" x14ac:dyDescent="0.25">
      <c r="A68">
        <v>1580</v>
      </c>
      <c r="B68" s="16">
        <v>43800</v>
      </c>
      <c r="C68" t="s">
        <v>15</v>
      </c>
      <c r="D68">
        <v>-4525924.49505</v>
      </c>
      <c r="E68" t="s">
        <v>331</v>
      </c>
    </row>
    <row r="69" spans="1:5" x14ac:dyDescent="0.25">
      <c r="A69">
        <v>1580</v>
      </c>
      <c r="B69" s="16">
        <v>43831</v>
      </c>
      <c r="C69" t="s">
        <v>15</v>
      </c>
      <c r="D69">
        <v>-4525924.49505</v>
      </c>
      <c r="E69" t="s">
        <v>331</v>
      </c>
    </row>
    <row r="70" spans="1:5" x14ac:dyDescent="0.25">
      <c r="A70">
        <v>1580</v>
      </c>
      <c r="B70" s="16">
        <v>43862</v>
      </c>
      <c r="C70" t="s">
        <v>15</v>
      </c>
      <c r="D70">
        <v>-4525924.49505</v>
      </c>
      <c r="E70" t="s">
        <v>331</v>
      </c>
    </row>
    <row r="71" spans="1:5" x14ac:dyDescent="0.25">
      <c r="A71">
        <v>1580</v>
      </c>
      <c r="B71" s="16">
        <v>43466</v>
      </c>
      <c r="C71" t="s">
        <v>16</v>
      </c>
      <c r="D71">
        <v>-4797479.3643000005</v>
      </c>
      <c r="E71" t="s">
        <v>331</v>
      </c>
    </row>
    <row r="72" spans="1:5" x14ac:dyDescent="0.25">
      <c r="A72">
        <v>1580</v>
      </c>
      <c r="B72" s="16">
        <v>43497</v>
      </c>
      <c r="C72" t="s">
        <v>16</v>
      </c>
      <c r="D72">
        <v>-4797479.3643000005</v>
      </c>
      <c r="E72" t="s">
        <v>331</v>
      </c>
    </row>
    <row r="73" spans="1:5" x14ac:dyDescent="0.25">
      <c r="A73">
        <v>1580</v>
      </c>
      <c r="B73" s="16">
        <v>43525</v>
      </c>
      <c r="C73" t="s">
        <v>16</v>
      </c>
      <c r="D73">
        <v>-4797479.3643000005</v>
      </c>
      <c r="E73" t="s">
        <v>331</v>
      </c>
    </row>
    <row r="74" spans="1:5" x14ac:dyDescent="0.25">
      <c r="A74">
        <v>1580</v>
      </c>
      <c r="B74" s="16">
        <v>43556</v>
      </c>
      <c r="C74" t="s">
        <v>16</v>
      </c>
      <c r="D74">
        <v>-4797479.3643000005</v>
      </c>
      <c r="E74" t="s">
        <v>331</v>
      </c>
    </row>
    <row r="75" spans="1:5" x14ac:dyDescent="0.25">
      <c r="A75">
        <v>1580</v>
      </c>
      <c r="B75" s="16">
        <v>43586</v>
      </c>
      <c r="C75" t="s">
        <v>16</v>
      </c>
      <c r="D75">
        <v>-4797479.3643000005</v>
      </c>
      <c r="E75" t="s">
        <v>331</v>
      </c>
    </row>
    <row r="76" spans="1:5" x14ac:dyDescent="0.25">
      <c r="A76">
        <v>1580</v>
      </c>
      <c r="B76" s="16">
        <v>43617</v>
      </c>
      <c r="C76" t="s">
        <v>16</v>
      </c>
      <c r="D76">
        <v>-4797479.3643000005</v>
      </c>
      <c r="E76" t="s">
        <v>331</v>
      </c>
    </row>
    <row r="77" spans="1:5" x14ac:dyDescent="0.25">
      <c r="A77">
        <v>1580</v>
      </c>
      <c r="B77" s="16">
        <v>43647</v>
      </c>
      <c r="C77" t="s">
        <v>16</v>
      </c>
      <c r="D77">
        <v>-4797479.3643000005</v>
      </c>
      <c r="E77" t="s">
        <v>331</v>
      </c>
    </row>
    <row r="78" spans="1:5" x14ac:dyDescent="0.25">
      <c r="A78">
        <v>1580</v>
      </c>
      <c r="B78" s="16">
        <v>43678</v>
      </c>
      <c r="C78" t="s">
        <v>16</v>
      </c>
      <c r="D78">
        <v>-4797479.3643000005</v>
      </c>
      <c r="E78" t="s">
        <v>331</v>
      </c>
    </row>
    <row r="79" spans="1:5" x14ac:dyDescent="0.25">
      <c r="A79">
        <v>1580</v>
      </c>
      <c r="B79" s="16">
        <v>43709</v>
      </c>
      <c r="C79" t="s">
        <v>16</v>
      </c>
      <c r="D79">
        <v>-4797479.3643000005</v>
      </c>
      <c r="E79" t="s">
        <v>331</v>
      </c>
    </row>
    <row r="80" spans="1:5" x14ac:dyDescent="0.25">
      <c r="A80">
        <v>1580</v>
      </c>
      <c r="B80" s="16">
        <v>43466</v>
      </c>
      <c r="C80" t="s">
        <v>17</v>
      </c>
      <c r="D80">
        <v>-4024174.4865000001</v>
      </c>
      <c r="E80" t="s">
        <v>331</v>
      </c>
    </row>
    <row r="81" spans="1:5" x14ac:dyDescent="0.25">
      <c r="A81">
        <v>1580</v>
      </c>
      <c r="B81" s="16">
        <v>43497</v>
      </c>
      <c r="C81" t="s">
        <v>17</v>
      </c>
      <c r="D81">
        <v>-4024174.4865000001</v>
      </c>
      <c r="E81" t="s">
        <v>331</v>
      </c>
    </row>
    <row r="82" spans="1:5" x14ac:dyDescent="0.25">
      <c r="A82">
        <v>1580</v>
      </c>
      <c r="B82" s="16">
        <v>43525</v>
      </c>
      <c r="C82" t="s">
        <v>17</v>
      </c>
      <c r="D82">
        <v>-4024174.4865000001</v>
      </c>
      <c r="E82" t="s">
        <v>331</v>
      </c>
    </row>
    <row r="83" spans="1:5" x14ac:dyDescent="0.25">
      <c r="A83">
        <v>1580</v>
      </c>
      <c r="B83" s="16">
        <v>43556</v>
      </c>
      <c r="C83" t="s">
        <v>17</v>
      </c>
      <c r="D83">
        <v>-4024174.4865000001</v>
      </c>
      <c r="E83" t="s">
        <v>331</v>
      </c>
    </row>
    <row r="84" spans="1:5" x14ac:dyDescent="0.25">
      <c r="A84">
        <v>1580</v>
      </c>
      <c r="B84" s="16">
        <v>43586</v>
      </c>
      <c r="C84" t="s">
        <v>17</v>
      </c>
      <c r="D84">
        <v>-4024174.4865000001</v>
      </c>
      <c r="E84" t="s">
        <v>331</v>
      </c>
    </row>
    <row r="85" spans="1:5" x14ac:dyDescent="0.25">
      <c r="A85">
        <v>1580</v>
      </c>
      <c r="B85" s="16">
        <v>43617</v>
      </c>
      <c r="C85" t="s">
        <v>17</v>
      </c>
      <c r="D85">
        <v>-4024174.4865000001</v>
      </c>
      <c r="E85" t="s">
        <v>331</v>
      </c>
    </row>
    <row r="86" spans="1:5" x14ac:dyDescent="0.25">
      <c r="A86">
        <v>1580</v>
      </c>
      <c r="B86" s="16">
        <v>43647</v>
      </c>
      <c r="C86" t="s">
        <v>17</v>
      </c>
      <c r="D86">
        <v>-4024174.4865000001</v>
      </c>
      <c r="E86" t="s">
        <v>331</v>
      </c>
    </row>
    <row r="87" spans="1:5" x14ac:dyDescent="0.25">
      <c r="A87">
        <v>1580</v>
      </c>
      <c r="B87" s="16">
        <v>43678</v>
      </c>
      <c r="C87" t="s">
        <v>17</v>
      </c>
      <c r="D87">
        <v>-4024174.4865000001</v>
      </c>
      <c r="E87" t="s">
        <v>331</v>
      </c>
    </row>
    <row r="88" spans="1:5" x14ac:dyDescent="0.25">
      <c r="A88">
        <v>1580</v>
      </c>
      <c r="B88" s="16">
        <v>43709</v>
      </c>
      <c r="C88" t="s">
        <v>17</v>
      </c>
      <c r="D88">
        <v>-4024174.4865000001</v>
      </c>
      <c r="E88" t="s">
        <v>331</v>
      </c>
    </row>
    <row r="89" spans="1:5" x14ac:dyDescent="0.25">
      <c r="A89">
        <v>1580</v>
      </c>
      <c r="B89" s="16">
        <v>43739</v>
      </c>
      <c r="C89" t="s">
        <v>17</v>
      </c>
      <c r="D89">
        <v>-4024174.4865000001</v>
      </c>
      <c r="E89" t="s">
        <v>331</v>
      </c>
    </row>
    <row r="90" spans="1:5" x14ac:dyDescent="0.25">
      <c r="A90">
        <v>1580</v>
      </c>
      <c r="B90" s="16">
        <v>43770</v>
      </c>
      <c r="C90" t="s">
        <v>17</v>
      </c>
      <c r="D90">
        <v>-4024174.4865000001</v>
      </c>
      <c r="E90" t="s">
        <v>331</v>
      </c>
    </row>
    <row r="91" spans="1:5" x14ac:dyDescent="0.25">
      <c r="A91">
        <v>1580</v>
      </c>
      <c r="B91" s="16">
        <v>43800</v>
      </c>
      <c r="C91" t="s">
        <v>17</v>
      </c>
      <c r="D91">
        <v>-4024174.4865000001</v>
      </c>
      <c r="E91" t="s">
        <v>331</v>
      </c>
    </row>
    <row r="92" spans="1:5" x14ac:dyDescent="0.25">
      <c r="A92">
        <v>1580</v>
      </c>
      <c r="B92" s="16">
        <v>43831</v>
      </c>
      <c r="C92" t="s">
        <v>17</v>
      </c>
      <c r="D92">
        <v>-4024174.4865000001</v>
      </c>
      <c r="E92" t="s">
        <v>331</v>
      </c>
    </row>
    <row r="93" spans="1:5" x14ac:dyDescent="0.25">
      <c r="A93">
        <v>1580</v>
      </c>
      <c r="B93" s="16">
        <v>43556</v>
      </c>
      <c r="C93" t="s">
        <v>18</v>
      </c>
      <c r="D93">
        <v>-3995634.3839999996</v>
      </c>
      <c r="E93" t="s">
        <v>331</v>
      </c>
    </row>
    <row r="94" spans="1:5" x14ac:dyDescent="0.25">
      <c r="A94">
        <v>1580</v>
      </c>
      <c r="B94" s="16">
        <v>43586</v>
      </c>
      <c r="C94" t="s">
        <v>18</v>
      </c>
      <c r="D94">
        <v>-3995634.3839999996</v>
      </c>
      <c r="E94" t="s">
        <v>331</v>
      </c>
    </row>
    <row r="95" spans="1:5" x14ac:dyDescent="0.25">
      <c r="A95">
        <v>1580</v>
      </c>
      <c r="B95" s="16">
        <v>43617</v>
      </c>
      <c r="C95" t="s">
        <v>18</v>
      </c>
      <c r="D95">
        <v>-3995634.3839999996</v>
      </c>
      <c r="E95" t="s">
        <v>331</v>
      </c>
    </row>
    <row r="96" spans="1:5" x14ac:dyDescent="0.25">
      <c r="A96">
        <v>1580</v>
      </c>
      <c r="B96" s="16">
        <v>43647</v>
      </c>
      <c r="C96" t="s">
        <v>18</v>
      </c>
      <c r="D96">
        <v>-3995634.3839999996</v>
      </c>
      <c r="E96" t="s">
        <v>331</v>
      </c>
    </row>
    <row r="97" spans="1:5" x14ac:dyDescent="0.25">
      <c r="A97">
        <v>1580</v>
      </c>
      <c r="B97" s="16">
        <v>43678</v>
      </c>
      <c r="C97" t="s">
        <v>18</v>
      </c>
      <c r="D97">
        <v>-3995634.3839999996</v>
      </c>
      <c r="E97" t="s">
        <v>331</v>
      </c>
    </row>
    <row r="98" spans="1:5" x14ac:dyDescent="0.25">
      <c r="A98">
        <v>1580</v>
      </c>
      <c r="B98" s="16">
        <v>43709</v>
      </c>
      <c r="C98" t="s">
        <v>18</v>
      </c>
      <c r="D98">
        <v>-3995634.3839999996</v>
      </c>
      <c r="E98" t="s">
        <v>331</v>
      </c>
    </row>
    <row r="99" spans="1:5" x14ac:dyDescent="0.25">
      <c r="A99">
        <v>1580</v>
      </c>
      <c r="B99" s="16">
        <v>43739</v>
      </c>
      <c r="C99" t="s">
        <v>18</v>
      </c>
      <c r="D99">
        <v>-3995634.3839999996</v>
      </c>
      <c r="E99" t="s">
        <v>331</v>
      </c>
    </row>
    <row r="100" spans="1:5" x14ac:dyDescent="0.25">
      <c r="A100">
        <v>1580</v>
      </c>
      <c r="B100" s="16">
        <v>43770</v>
      </c>
      <c r="C100" t="s">
        <v>18</v>
      </c>
      <c r="D100">
        <v>-3995634.3839999996</v>
      </c>
      <c r="E100" t="s">
        <v>331</v>
      </c>
    </row>
    <row r="101" spans="1:5" x14ac:dyDescent="0.25">
      <c r="A101">
        <v>1580</v>
      </c>
      <c r="B101" s="16">
        <v>43800</v>
      </c>
      <c r="C101" t="s">
        <v>18</v>
      </c>
      <c r="D101">
        <v>-3995634.3839999996</v>
      </c>
      <c r="E101" t="s">
        <v>331</v>
      </c>
    </row>
    <row r="102" spans="1:5" x14ac:dyDescent="0.25">
      <c r="A102">
        <v>1588</v>
      </c>
      <c r="B102" s="16">
        <v>43466</v>
      </c>
      <c r="C102" t="s">
        <v>12</v>
      </c>
      <c r="D102">
        <v>-10120918.862249998</v>
      </c>
      <c r="E102" t="s">
        <v>331</v>
      </c>
    </row>
    <row r="103" spans="1:5" x14ac:dyDescent="0.25">
      <c r="A103">
        <v>1588</v>
      </c>
      <c r="B103" s="16">
        <v>43497</v>
      </c>
      <c r="C103" t="s">
        <v>12</v>
      </c>
      <c r="D103">
        <v>-10120918.862249998</v>
      </c>
      <c r="E103" t="s">
        <v>331</v>
      </c>
    </row>
    <row r="104" spans="1:5" x14ac:dyDescent="0.25">
      <c r="A104">
        <v>1588</v>
      </c>
      <c r="B104" s="16">
        <v>43525</v>
      </c>
      <c r="C104" t="s">
        <v>12</v>
      </c>
      <c r="D104">
        <v>-10120918.862249998</v>
      </c>
      <c r="E104" t="s">
        <v>331</v>
      </c>
    </row>
    <row r="105" spans="1:5" x14ac:dyDescent="0.25">
      <c r="A105">
        <v>1588</v>
      </c>
      <c r="B105" s="16">
        <v>43466</v>
      </c>
      <c r="C105" t="s">
        <v>21</v>
      </c>
      <c r="D105">
        <v>-3845949.1676549995</v>
      </c>
      <c r="E105" t="s">
        <v>331</v>
      </c>
    </row>
    <row r="106" spans="1:5" x14ac:dyDescent="0.25">
      <c r="A106">
        <v>1588</v>
      </c>
      <c r="B106" s="16">
        <v>43497</v>
      </c>
      <c r="C106" t="s">
        <v>21</v>
      </c>
      <c r="D106">
        <v>-3845949.1676549995</v>
      </c>
      <c r="E106" t="s">
        <v>331</v>
      </c>
    </row>
    <row r="107" spans="1:5" x14ac:dyDescent="0.25">
      <c r="A107">
        <v>1588</v>
      </c>
      <c r="B107" s="16">
        <v>43525</v>
      </c>
      <c r="C107" t="s">
        <v>21</v>
      </c>
      <c r="D107">
        <v>-3845949.1676549995</v>
      </c>
      <c r="E107" t="s">
        <v>331</v>
      </c>
    </row>
    <row r="108" spans="1:5" x14ac:dyDescent="0.25">
      <c r="A108">
        <v>1588</v>
      </c>
      <c r="B108" s="16">
        <v>43466</v>
      </c>
      <c r="C108" t="s">
        <v>22</v>
      </c>
      <c r="D108">
        <v>-3845949.1676549995</v>
      </c>
      <c r="E108" t="s">
        <v>331</v>
      </c>
    </row>
    <row r="109" spans="1:5" x14ac:dyDescent="0.25">
      <c r="A109">
        <v>1588</v>
      </c>
      <c r="B109" s="16">
        <v>43497</v>
      </c>
      <c r="C109" t="s">
        <v>22</v>
      </c>
      <c r="D109">
        <v>-3845949.1676549995</v>
      </c>
      <c r="E109" t="s">
        <v>331</v>
      </c>
    </row>
    <row r="110" spans="1:5" x14ac:dyDescent="0.25">
      <c r="A110">
        <v>1588</v>
      </c>
      <c r="B110" s="16">
        <v>43525</v>
      </c>
      <c r="C110" t="s">
        <v>22</v>
      </c>
      <c r="D110">
        <v>-3845949.1676549995</v>
      </c>
      <c r="E110" t="s">
        <v>331</v>
      </c>
    </row>
    <row r="111" spans="1:5" x14ac:dyDescent="0.25">
      <c r="A111">
        <v>1588</v>
      </c>
      <c r="B111" s="16">
        <v>43466</v>
      </c>
      <c r="C111" t="s">
        <v>23</v>
      </c>
      <c r="D111">
        <v>-4250785.9221449997</v>
      </c>
      <c r="E111" t="s">
        <v>331</v>
      </c>
    </row>
    <row r="112" spans="1:5" x14ac:dyDescent="0.25">
      <c r="A112">
        <v>1588</v>
      </c>
      <c r="B112" s="16">
        <v>43497</v>
      </c>
      <c r="C112" t="s">
        <v>23</v>
      </c>
      <c r="D112">
        <v>-4250785.9221449997</v>
      </c>
      <c r="E112" t="s">
        <v>331</v>
      </c>
    </row>
    <row r="113" spans="1:5" x14ac:dyDescent="0.25">
      <c r="A113">
        <v>1588</v>
      </c>
      <c r="B113" s="16">
        <v>43525</v>
      </c>
      <c r="C113" t="s">
        <v>23</v>
      </c>
      <c r="D113">
        <v>-4250785.9221449997</v>
      </c>
      <c r="E113" t="s">
        <v>331</v>
      </c>
    </row>
    <row r="114" spans="1:5" x14ac:dyDescent="0.25">
      <c r="A114">
        <v>1588</v>
      </c>
      <c r="B114" s="16">
        <v>43466</v>
      </c>
      <c r="C114" t="s">
        <v>24</v>
      </c>
      <c r="D114">
        <v>-3643530.7904099999</v>
      </c>
      <c r="E114" t="s">
        <v>331</v>
      </c>
    </row>
    <row r="115" spans="1:5" x14ac:dyDescent="0.25">
      <c r="A115">
        <v>1588</v>
      </c>
      <c r="B115" s="16">
        <v>43497</v>
      </c>
      <c r="C115" t="s">
        <v>24</v>
      </c>
      <c r="D115">
        <v>-3643530.7904099999</v>
      </c>
      <c r="E115" t="s">
        <v>331</v>
      </c>
    </row>
    <row r="116" spans="1:5" x14ac:dyDescent="0.25">
      <c r="A116">
        <v>1588</v>
      </c>
      <c r="B116" s="16">
        <v>43525</v>
      </c>
      <c r="C116" t="s">
        <v>24</v>
      </c>
      <c r="D116">
        <v>-3643530.7904099999</v>
      </c>
      <c r="E116" t="s">
        <v>331</v>
      </c>
    </row>
    <row r="117" spans="1:5" x14ac:dyDescent="0.25">
      <c r="A117">
        <v>1588</v>
      </c>
      <c r="B117" s="16">
        <v>43466</v>
      </c>
      <c r="C117" t="s">
        <v>25</v>
      </c>
      <c r="D117">
        <v>-4964979.0644999994</v>
      </c>
      <c r="E117" t="s">
        <v>331</v>
      </c>
    </row>
    <row r="118" spans="1:5" x14ac:dyDescent="0.25">
      <c r="A118">
        <v>1588</v>
      </c>
      <c r="B118" s="16">
        <v>43497</v>
      </c>
      <c r="C118" t="s">
        <v>25</v>
      </c>
      <c r="D118">
        <v>-4964979.0644999994</v>
      </c>
      <c r="E118" t="s">
        <v>331</v>
      </c>
    </row>
    <row r="119" spans="1:5" x14ac:dyDescent="0.25">
      <c r="A119">
        <v>1588</v>
      </c>
      <c r="B119" s="16">
        <v>43525</v>
      </c>
      <c r="C119" t="s">
        <v>25</v>
      </c>
      <c r="D119">
        <v>-4964979.0644999994</v>
      </c>
      <c r="E119" t="s">
        <v>331</v>
      </c>
    </row>
    <row r="120" spans="1:5" x14ac:dyDescent="0.25">
      <c r="A120">
        <v>1588</v>
      </c>
      <c r="B120" s="16">
        <v>43466</v>
      </c>
      <c r="C120" t="s">
        <v>14</v>
      </c>
      <c r="D120">
        <v>-8593232.9962500017</v>
      </c>
      <c r="E120" t="s">
        <v>331</v>
      </c>
    </row>
    <row r="121" spans="1:5" x14ac:dyDescent="0.25">
      <c r="A121">
        <v>1588</v>
      </c>
      <c r="B121" s="16">
        <v>43497</v>
      </c>
      <c r="C121" t="s">
        <v>14</v>
      </c>
      <c r="D121">
        <v>-8593232.9962500017</v>
      </c>
      <c r="E121" t="s">
        <v>331</v>
      </c>
    </row>
    <row r="122" spans="1:5" x14ac:dyDescent="0.25">
      <c r="A122">
        <v>1588</v>
      </c>
      <c r="B122" s="16">
        <v>43525</v>
      </c>
      <c r="C122" t="s">
        <v>14</v>
      </c>
      <c r="D122">
        <v>-8593232.9962500017</v>
      </c>
      <c r="E122" t="s">
        <v>331</v>
      </c>
    </row>
    <row r="123" spans="1:5" x14ac:dyDescent="0.25">
      <c r="A123">
        <v>1588</v>
      </c>
      <c r="B123" s="16">
        <v>43466</v>
      </c>
      <c r="C123" t="s">
        <v>26</v>
      </c>
      <c r="D123">
        <v>-6110743.4639999997</v>
      </c>
      <c r="E123" t="s">
        <v>331</v>
      </c>
    </row>
    <row r="124" spans="1:5" x14ac:dyDescent="0.25">
      <c r="A124">
        <v>1588</v>
      </c>
      <c r="B124" s="16">
        <v>43497</v>
      </c>
      <c r="C124" t="s">
        <v>26</v>
      </c>
      <c r="D124">
        <v>-6110743.4639999997</v>
      </c>
      <c r="E124" t="s">
        <v>331</v>
      </c>
    </row>
    <row r="125" spans="1:5" x14ac:dyDescent="0.25">
      <c r="A125">
        <v>1588</v>
      </c>
      <c r="B125" s="16">
        <v>43525</v>
      </c>
      <c r="C125" t="s">
        <v>26</v>
      </c>
      <c r="D125">
        <v>-6110743.4639999997</v>
      </c>
      <c r="E125" t="s">
        <v>331</v>
      </c>
    </row>
    <row r="126" spans="1:5" x14ac:dyDescent="0.25">
      <c r="A126">
        <v>1596</v>
      </c>
      <c r="B126" s="16">
        <v>43466</v>
      </c>
      <c r="C126" t="s">
        <v>19</v>
      </c>
      <c r="D126">
        <v>-2679075</v>
      </c>
      <c r="E126" t="s">
        <v>331</v>
      </c>
    </row>
    <row r="127" spans="1:5" x14ac:dyDescent="0.25">
      <c r="A127">
        <v>1596</v>
      </c>
      <c r="B127" s="16">
        <v>43497</v>
      </c>
      <c r="C127" t="s">
        <v>19</v>
      </c>
      <c r="D127">
        <v>-2679075</v>
      </c>
      <c r="E127" t="s">
        <v>331</v>
      </c>
    </row>
    <row r="128" spans="1:5" x14ac:dyDescent="0.25">
      <c r="A128">
        <v>1596</v>
      </c>
      <c r="B128" s="16">
        <v>43525</v>
      </c>
      <c r="C128" t="s">
        <v>19</v>
      </c>
      <c r="D128">
        <v>-2679075</v>
      </c>
      <c r="E128" t="s">
        <v>331</v>
      </c>
    </row>
    <row r="129" spans="1:5" x14ac:dyDescent="0.25">
      <c r="A129">
        <v>1596</v>
      </c>
      <c r="B129" s="16">
        <v>43556</v>
      </c>
      <c r="C129" t="s">
        <v>19</v>
      </c>
      <c r="D129">
        <v>-2679075</v>
      </c>
      <c r="E129" t="s">
        <v>331</v>
      </c>
    </row>
    <row r="130" spans="1:5" x14ac:dyDescent="0.25">
      <c r="A130">
        <v>1596</v>
      </c>
      <c r="B130" s="16">
        <v>43586</v>
      </c>
      <c r="C130" t="s">
        <v>19</v>
      </c>
      <c r="D130">
        <v>-2679075</v>
      </c>
      <c r="E130" t="s">
        <v>331</v>
      </c>
    </row>
    <row r="131" spans="1:5" x14ac:dyDescent="0.25">
      <c r="A131">
        <v>1596</v>
      </c>
      <c r="B131" s="16">
        <v>43617</v>
      </c>
      <c r="C131" t="s">
        <v>19</v>
      </c>
      <c r="D131">
        <v>-2679075</v>
      </c>
      <c r="E131" t="s">
        <v>331</v>
      </c>
    </row>
    <row r="132" spans="1:5" x14ac:dyDescent="0.25">
      <c r="A132">
        <v>1596</v>
      </c>
      <c r="B132" s="16">
        <v>43466</v>
      </c>
      <c r="C132" t="s">
        <v>12</v>
      </c>
      <c r="D132">
        <v>-9754920</v>
      </c>
      <c r="E132" t="s">
        <v>331</v>
      </c>
    </row>
    <row r="133" spans="1:5" x14ac:dyDescent="0.25">
      <c r="A133">
        <v>1596</v>
      </c>
      <c r="B133" s="16">
        <v>43497</v>
      </c>
      <c r="C133" t="s">
        <v>12</v>
      </c>
      <c r="D133">
        <v>-9754920</v>
      </c>
      <c r="E133" t="s">
        <v>331</v>
      </c>
    </row>
    <row r="134" spans="1:5" x14ac:dyDescent="0.25">
      <c r="A134">
        <v>1596</v>
      </c>
      <c r="B134" s="16">
        <v>43525</v>
      </c>
      <c r="C134" t="s">
        <v>12</v>
      </c>
      <c r="D134">
        <v>-9754920</v>
      </c>
      <c r="E134" t="s">
        <v>331</v>
      </c>
    </row>
    <row r="135" spans="1:5" x14ac:dyDescent="0.25">
      <c r="A135">
        <v>1596</v>
      </c>
      <c r="B135" s="16">
        <v>43556</v>
      </c>
      <c r="C135" t="s">
        <v>12</v>
      </c>
      <c r="D135">
        <v>-9754920</v>
      </c>
      <c r="E135" t="s">
        <v>331</v>
      </c>
    </row>
    <row r="136" spans="1:5" x14ac:dyDescent="0.25">
      <c r="A136">
        <v>1596</v>
      </c>
      <c r="B136" s="16">
        <v>43586</v>
      </c>
      <c r="C136" t="s">
        <v>12</v>
      </c>
      <c r="D136">
        <v>-9754920</v>
      </c>
      <c r="E136" t="s">
        <v>331</v>
      </c>
    </row>
    <row r="137" spans="1:5" x14ac:dyDescent="0.25">
      <c r="A137">
        <v>1596</v>
      </c>
      <c r="B137" s="16">
        <v>43617</v>
      </c>
      <c r="C137" t="s">
        <v>12</v>
      </c>
      <c r="D137">
        <v>-9754920</v>
      </c>
      <c r="E137" t="s">
        <v>331</v>
      </c>
    </row>
    <row r="138" spans="1:5" x14ac:dyDescent="0.25">
      <c r="A138">
        <v>1596</v>
      </c>
      <c r="B138" s="16">
        <v>43466</v>
      </c>
      <c r="C138" t="s">
        <v>38</v>
      </c>
      <c r="D138">
        <v>-4163260.5</v>
      </c>
      <c r="E138" t="s">
        <v>331</v>
      </c>
    </row>
    <row r="139" spans="1:5" x14ac:dyDescent="0.25">
      <c r="A139">
        <v>1596</v>
      </c>
      <c r="B139" s="16">
        <v>43497</v>
      </c>
      <c r="C139" t="s">
        <v>38</v>
      </c>
      <c r="D139">
        <v>-4163260.5</v>
      </c>
      <c r="E139" t="s">
        <v>331</v>
      </c>
    </row>
    <row r="140" spans="1:5" x14ac:dyDescent="0.25">
      <c r="A140">
        <v>1596</v>
      </c>
      <c r="B140" s="16">
        <v>43525</v>
      </c>
      <c r="C140" t="s">
        <v>38</v>
      </c>
      <c r="D140">
        <v>-4163260.5</v>
      </c>
      <c r="E140" t="s">
        <v>331</v>
      </c>
    </row>
    <row r="141" spans="1:5" x14ac:dyDescent="0.25">
      <c r="A141">
        <v>1596</v>
      </c>
      <c r="B141" s="16">
        <v>43556</v>
      </c>
      <c r="C141" t="s">
        <v>38</v>
      </c>
      <c r="D141">
        <v>-4163260.5</v>
      </c>
      <c r="E141" t="s">
        <v>331</v>
      </c>
    </row>
    <row r="142" spans="1:5" x14ac:dyDescent="0.25">
      <c r="A142">
        <v>1596</v>
      </c>
      <c r="B142" s="16">
        <v>43466</v>
      </c>
      <c r="C142" t="s">
        <v>16</v>
      </c>
      <c r="D142">
        <v>-1950380.3812500001</v>
      </c>
      <c r="E142" t="s">
        <v>331</v>
      </c>
    </row>
    <row r="143" spans="1:5" x14ac:dyDescent="0.25">
      <c r="A143">
        <v>1596</v>
      </c>
      <c r="B143" s="16">
        <v>43497</v>
      </c>
      <c r="C143" t="s">
        <v>16</v>
      </c>
      <c r="D143">
        <v>-1950380.3812500001</v>
      </c>
      <c r="E143" t="s">
        <v>331</v>
      </c>
    </row>
    <row r="144" spans="1:5" x14ac:dyDescent="0.25">
      <c r="A144">
        <v>1596</v>
      </c>
      <c r="B144" s="16">
        <v>43525</v>
      </c>
      <c r="C144" t="s">
        <v>16</v>
      </c>
      <c r="D144">
        <v>-1950380.3812500001</v>
      </c>
      <c r="E144" t="s">
        <v>331</v>
      </c>
    </row>
    <row r="145" spans="1:5" x14ac:dyDescent="0.25">
      <c r="A145">
        <v>1596</v>
      </c>
      <c r="B145" s="16">
        <v>43556</v>
      </c>
      <c r="C145" t="s">
        <v>16</v>
      </c>
      <c r="D145">
        <v>-1950380.3812500001</v>
      </c>
      <c r="E145" t="s">
        <v>331</v>
      </c>
    </row>
    <row r="146" spans="1:5" x14ac:dyDescent="0.25">
      <c r="A146">
        <v>1596</v>
      </c>
      <c r="B146" s="16">
        <v>43466</v>
      </c>
      <c r="C146" t="s">
        <v>39</v>
      </c>
      <c r="D146">
        <v>-5521981.5</v>
      </c>
      <c r="E146" t="s">
        <v>331</v>
      </c>
    </row>
    <row r="147" spans="1:5" x14ac:dyDescent="0.25">
      <c r="A147">
        <v>1596</v>
      </c>
      <c r="B147" s="16">
        <v>43497</v>
      </c>
      <c r="C147" t="s">
        <v>39</v>
      </c>
      <c r="D147">
        <v>-5521981.5</v>
      </c>
      <c r="E147" t="s">
        <v>331</v>
      </c>
    </row>
    <row r="148" spans="1:5" x14ac:dyDescent="0.25">
      <c r="A148">
        <v>1596</v>
      </c>
      <c r="B148" s="16">
        <v>43525</v>
      </c>
      <c r="C148" t="s">
        <v>39</v>
      </c>
      <c r="D148">
        <v>-5521981.5</v>
      </c>
      <c r="E148" t="s">
        <v>331</v>
      </c>
    </row>
    <row r="149" spans="1:5" x14ac:dyDescent="0.25">
      <c r="A149">
        <v>1687</v>
      </c>
      <c r="B149" s="16">
        <v>43466</v>
      </c>
      <c r="C149" t="s">
        <v>19</v>
      </c>
      <c r="D149">
        <v>-3804794.5320000006</v>
      </c>
      <c r="E149" t="s">
        <v>331</v>
      </c>
    </row>
    <row r="150" spans="1:5" x14ac:dyDescent="0.25">
      <c r="A150">
        <v>1687</v>
      </c>
      <c r="B150" s="16">
        <v>43497</v>
      </c>
      <c r="C150" t="s">
        <v>19</v>
      </c>
      <c r="D150">
        <v>-3804794.5320000006</v>
      </c>
      <c r="E150" t="s">
        <v>331</v>
      </c>
    </row>
    <row r="151" spans="1:5" x14ac:dyDescent="0.25">
      <c r="A151">
        <v>1687</v>
      </c>
      <c r="B151" s="16">
        <v>43525</v>
      </c>
      <c r="C151" t="s">
        <v>19</v>
      </c>
      <c r="D151">
        <v>-3804794.5320000006</v>
      </c>
      <c r="E151" t="s">
        <v>331</v>
      </c>
    </row>
    <row r="152" spans="1:5" x14ac:dyDescent="0.25">
      <c r="A152">
        <v>1687</v>
      </c>
      <c r="B152" s="16">
        <v>43556</v>
      </c>
      <c r="C152" t="s">
        <v>19</v>
      </c>
      <c r="D152">
        <v>-3804794.5320000006</v>
      </c>
      <c r="E152" t="s">
        <v>331</v>
      </c>
    </row>
    <row r="153" spans="1:5" x14ac:dyDescent="0.25">
      <c r="A153">
        <v>1687</v>
      </c>
      <c r="B153" s="16">
        <v>43466</v>
      </c>
      <c r="C153" t="s">
        <v>12</v>
      </c>
      <c r="D153">
        <v>-10868700</v>
      </c>
      <c r="E153" t="s">
        <v>331</v>
      </c>
    </row>
    <row r="154" spans="1:5" x14ac:dyDescent="0.25">
      <c r="A154">
        <v>1687</v>
      </c>
      <c r="B154" s="16">
        <v>43497</v>
      </c>
      <c r="C154" t="s">
        <v>12</v>
      </c>
      <c r="D154">
        <v>-10868700</v>
      </c>
      <c r="E154" t="s">
        <v>331</v>
      </c>
    </row>
    <row r="155" spans="1:5" x14ac:dyDescent="0.25">
      <c r="A155">
        <v>1687</v>
      </c>
      <c r="B155" s="16">
        <v>43525</v>
      </c>
      <c r="C155" t="s">
        <v>12</v>
      </c>
      <c r="D155">
        <v>-10868700</v>
      </c>
      <c r="E155" t="s">
        <v>331</v>
      </c>
    </row>
    <row r="156" spans="1:5" x14ac:dyDescent="0.25">
      <c r="A156">
        <v>1687</v>
      </c>
      <c r="B156" s="16">
        <v>43556</v>
      </c>
      <c r="C156" t="s">
        <v>12</v>
      </c>
      <c r="D156">
        <v>-10868700</v>
      </c>
      <c r="E156" t="s">
        <v>331</v>
      </c>
    </row>
    <row r="157" spans="1:5" x14ac:dyDescent="0.25">
      <c r="A157">
        <v>1687</v>
      </c>
      <c r="B157" s="16">
        <v>43466</v>
      </c>
      <c r="C157" t="s">
        <v>38</v>
      </c>
      <c r="D157">
        <v>-3601566.2399999998</v>
      </c>
      <c r="E157" t="s">
        <v>331</v>
      </c>
    </row>
    <row r="158" spans="1:5" x14ac:dyDescent="0.25">
      <c r="A158">
        <v>1687</v>
      </c>
      <c r="B158" s="16">
        <v>43497</v>
      </c>
      <c r="C158" t="s">
        <v>38</v>
      </c>
      <c r="D158">
        <v>-3601566.2399999998</v>
      </c>
      <c r="E158" t="s">
        <v>331</v>
      </c>
    </row>
    <row r="159" spans="1:5" x14ac:dyDescent="0.25">
      <c r="A159">
        <v>1687</v>
      </c>
      <c r="B159" s="16">
        <v>43525</v>
      </c>
      <c r="C159" t="s">
        <v>38</v>
      </c>
      <c r="D159">
        <v>-3601566.2399999998</v>
      </c>
      <c r="E159" t="s">
        <v>331</v>
      </c>
    </row>
    <row r="160" spans="1:5" x14ac:dyDescent="0.25">
      <c r="A160">
        <v>1687</v>
      </c>
      <c r="B160" s="16">
        <v>43556</v>
      </c>
      <c r="C160" t="s">
        <v>38</v>
      </c>
      <c r="D160">
        <v>-3601566.2399999998</v>
      </c>
      <c r="E160" t="s">
        <v>331</v>
      </c>
    </row>
    <row r="161" spans="1:5" x14ac:dyDescent="0.25">
      <c r="A161">
        <v>1687</v>
      </c>
      <c r="B161" s="16">
        <v>43466</v>
      </c>
      <c r="C161" t="s">
        <v>67</v>
      </c>
      <c r="D161">
        <v>-5246958</v>
      </c>
      <c r="E161" t="s">
        <v>331</v>
      </c>
    </row>
    <row r="162" spans="1:5" x14ac:dyDescent="0.25">
      <c r="A162">
        <v>1687</v>
      </c>
      <c r="B162" s="16">
        <v>43497</v>
      </c>
      <c r="C162" t="s">
        <v>67</v>
      </c>
      <c r="D162">
        <v>-5246958</v>
      </c>
      <c r="E162" t="s">
        <v>331</v>
      </c>
    </row>
    <row r="163" spans="1:5" x14ac:dyDescent="0.25">
      <c r="A163">
        <v>1687</v>
      </c>
      <c r="B163" s="16">
        <v>43525</v>
      </c>
      <c r="C163" t="s">
        <v>67</v>
      </c>
      <c r="D163">
        <v>-5246958</v>
      </c>
      <c r="E163" t="s">
        <v>331</v>
      </c>
    </row>
    <row r="164" spans="1:5" x14ac:dyDescent="0.25">
      <c r="A164">
        <v>1687</v>
      </c>
      <c r="B164" s="16">
        <v>43556</v>
      </c>
      <c r="C164" t="s">
        <v>67</v>
      </c>
      <c r="D164">
        <v>-5246958</v>
      </c>
      <c r="E164" t="s">
        <v>331</v>
      </c>
    </row>
    <row r="165" spans="1:5" x14ac:dyDescent="0.25">
      <c r="A165">
        <v>1687</v>
      </c>
      <c r="B165" s="16">
        <v>43466</v>
      </c>
      <c r="C165" t="s">
        <v>39</v>
      </c>
      <c r="D165">
        <v>-4544697</v>
      </c>
      <c r="E165" t="s">
        <v>331</v>
      </c>
    </row>
    <row r="166" spans="1:5" x14ac:dyDescent="0.25">
      <c r="A166">
        <v>1687</v>
      </c>
      <c r="B166" s="16">
        <v>43497</v>
      </c>
      <c r="C166" t="s">
        <v>39</v>
      </c>
      <c r="D166">
        <v>-4544697</v>
      </c>
      <c r="E166" t="s">
        <v>331</v>
      </c>
    </row>
    <row r="167" spans="1:5" x14ac:dyDescent="0.25">
      <c r="A167">
        <v>1687</v>
      </c>
      <c r="B167" s="16">
        <v>43525</v>
      </c>
      <c r="C167" t="s">
        <v>39</v>
      </c>
      <c r="D167">
        <v>-4544697</v>
      </c>
      <c r="E167" t="s">
        <v>331</v>
      </c>
    </row>
    <row r="168" spans="1:5" x14ac:dyDescent="0.25">
      <c r="A168">
        <v>1687</v>
      </c>
      <c r="B168" s="16">
        <v>43556</v>
      </c>
      <c r="C168" t="s">
        <v>39</v>
      </c>
      <c r="D168">
        <v>-4544697</v>
      </c>
      <c r="E168" t="s">
        <v>331</v>
      </c>
    </row>
    <row r="169" spans="1:5" x14ac:dyDescent="0.25">
      <c r="A169">
        <v>1687</v>
      </c>
      <c r="B169" s="16">
        <v>43466</v>
      </c>
      <c r="C169" t="s">
        <v>68</v>
      </c>
      <c r="D169">
        <v>-7308264</v>
      </c>
      <c r="E169" t="s">
        <v>331</v>
      </c>
    </row>
    <row r="170" spans="1:5" x14ac:dyDescent="0.25">
      <c r="A170">
        <v>1687</v>
      </c>
      <c r="B170" s="16">
        <v>43497</v>
      </c>
      <c r="C170" t="s">
        <v>68</v>
      </c>
      <c r="D170">
        <v>-7308264</v>
      </c>
      <c r="E170" t="s">
        <v>331</v>
      </c>
    </row>
    <row r="171" spans="1:5" x14ac:dyDescent="0.25">
      <c r="A171">
        <v>1687</v>
      </c>
      <c r="B171" s="16">
        <v>43525</v>
      </c>
      <c r="C171" t="s">
        <v>68</v>
      </c>
      <c r="D171">
        <v>-7308264</v>
      </c>
      <c r="E171" t="s">
        <v>331</v>
      </c>
    </row>
    <row r="172" spans="1:5" x14ac:dyDescent="0.25">
      <c r="A172">
        <v>1687</v>
      </c>
      <c r="B172" s="16">
        <v>43556</v>
      </c>
      <c r="C172" t="s">
        <v>68</v>
      </c>
      <c r="D172">
        <v>-7308264</v>
      </c>
      <c r="E172" t="s">
        <v>331</v>
      </c>
    </row>
    <row r="173" spans="1:5" x14ac:dyDescent="0.25">
      <c r="A173">
        <v>1687</v>
      </c>
      <c r="B173" s="16">
        <v>43466</v>
      </c>
      <c r="C173" t="s">
        <v>69</v>
      </c>
      <c r="D173">
        <v>-3989386.5</v>
      </c>
      <c r="E173" t="s">
        <v>331</v>
      </c>
    </row>
    <row r="174" spans="1:5" x14ac:dyDescent="0.25">
      <c r="A174">
        <v>1687</v>
      </c>
      <c r="B174" s="16">
        <v>43497</v>
      </c>
      <c r="C174" t="s">
        <v>69</v>
      </c>
      <c r="D174">
        <v>-3989386.5</v>
      </c>
      <c r="E174" t="s">
        <v>331</v>
      </c>
    </row>
    <row r="175" spans="1:5" x14ac:dyDescent="0.25">
      <c r="A175">
        <v>1687</v>
      </c>
      <c r="B175" s="16">
        <v>43525</v>
      </c>
      <c r="C175" t="s">
        <v>69</v>
      </c>
      <c r="D175">
        <v>-3989386.5</v>
      </c>
      <c r="E175" t="s">
        <v>331</v>
      </c>
    </row>
    <row r="176" spans="1:5" x14ac:dyDescent="0.25">
      <c r="A176">
        <v>1689</v>
      </c>
      <c r="B176" s="16">
        <v>43466</v>
      </c>
      <c r="C176" t="s">
        <v>12</v>
      </c>
      <c r="D176">
        <v>-9724050.0000000019</v>
      </c>
      <c r="E176" t="s">
        <v>331</v>
      </c>
    </row>
    <row r="177" spans="1:5" x14ac:dyDescent="0.25">
      <c r="A177">
        <v>1689</v>
      </c>
      <c r="B177" s="16">
        <v>43497</v>
      </c>
      <c r="C177" t="s">
        <v>12</v>
      </c>
      <c r="D177">
        <v>-9724050.0000000019</v>
      </c>
      <c r="E177" t="s">
        <v>331</v>
      </c>
    </row>
    <row r="178" spans="1:5" x14ac:dyDescent="0.25">
      <c r="A178">
        <v>1689</v>
      </c>
      <c r="B178" s="16">
        <v>43525</v>
      </c>
      <c r="C178" t="s">
        <v>12</v>
      </c>
      <c r="D178">
        <v>-9724050.0000000019</v>
      </c>
      <c r="E178" t="s">
        <v>331</v>
      </c>
    </row>
    <row r="179" spans="1:5" x14ac:dyDescent="0.25">
      <c r="A179">
        <v>1689</v>
      </c>
      <c r="B179" s="16">
        <v>43556</v>
      </c>
      <c r="C179" t="s">
        <v>12</v>
      </c>
      <c r="D179">
        <v>-9724050.0000000019</v>
      </c>
      <c r="E179" t="s">
        <v>331</v>
      </c>
    </row>
    <row r="180" spans="1:5" x14ac:dyDescent="0.25">
      <c r="A180">
        <v>1689</v>
      </c>
      <c r="B180" s="16">
        <v>43586</v>
      </c>
      <c r="C180" t="s">
        <v>12</v>
      </c>
      <c r="D180">
        <v>-9724050.0000000019</v>
      </c>
      <c r="E180" t="s">
        <v>331</v>
      </c>
    </row>
    <row r="181" spans="1:5" x14ac:dyDescent="0.25">
      <c r="A181">
        <v>1689</v>
      </c>
      <c r="B181" s="16">
        <v>43617</v>
      </c>
      <c r="C181" t="s">
        <v>12</v>
      </c>
      <c r="D181">
        <v>-9724050.0000000019</v>
      </c>
      <c r="E181" t="s">
        <v>331</v>
      </c>
    </row>
    <row r="182" spans="1:5" x14ac:dyDescent="0.25">
      <c r="A182">
        <v>1689</v>
      </c>
      <c r="B182" s="16">
        <v>43647</v>
      </c>
      <c r="C182" t="s">
        <v>12</v>
      </c>
      <c r="D182">
        <v>-9724050.0000000019</v>
      </c>
      <c r="E182" t="s">
        <v>331</v>
      </c>
    </row>
    <row r="183" spans="1:5" x14ac:dyDescent="0.25">
      <c r="A183">
        <v>1689</v>
      </c>
      <c r="B183" s="16">
        <v>43678</v>
      </c>
      <c r="C183" t="s">
        <v>12</v>
      </c>
      <c r="D183">
        <v>-9724050.0000000019</v>
      </c>
      <c r="E183" t="s">
        <v>331</v>
      </c>
    </row>
    <row r="184" spans="1:5" x14ac:dyDescent="0.25">
      <c r="A184">
        <v>1689</v>
      </c>
      <c r="B184" s="16">
        <v>43709</v>
      </c>
      <c r="C184" t="s">
        <v>12</v>
      </c>
      <c r="D184">
        <v>-9724050.0000000019</v>
      </c>
      <c r="E184" t="s">
        <v>331</v>
      </c>
    </row>
    <row r="185" spans="1:5" x14ac:dyDescent="0.25">
      <c r="A185">
        <v>1689</v>
      </c>
      <c r="B185" s="16">
        <v>43739</v>
      </c>
      <c r="C185" t="s">
        <v>12</v>
      </c>
      <c r="D185">
        <v>-9724050.0000000019</v>
      </c>
      <c r="E185" t="s">
        <v>331</v>
      </c>
    </row>
    <row r="186" spans="1:5" x14ac:dyDescent="0.25">
      <c r="A186">
        <v>1689</v>
      </c>
      <c r="B186" s="16">
        <v>43770</v>
      </c>
      <c r="C186" t="s">
        <v>12</v>
      </c>
      <c r="D186">
        <v>-9724050.0000000019</v>
      </c>
      <c r="E186" t="s">
        <v>331</v>
      </c>
    </row>
    <row r="187" spans="1:5" x14ac:dyDescent="0.25">
      <c r="A187">
        <v>1689</v>
      </c>
      <c r="B187" s="16">
        <v>43466</v>
      </c>
      <c r="C187" t="s">
        <v>36</v>
      </c>
      <c r="D187">
        <v>-3533997.5999999996</v>
      </c>
      <c r="E187" t="s">
        <v>331</v>
      </c>
    </row>
    <row r="188" spans="1:5" x14ac:dyDescent="0.25">
      <c r="A188">
        <v>1689</v>
      </c>
      <c r="B188" s="16">
        <v>43497</v>
      </c>
      <c r="C188" t="s">
        <v>36</v>
      </c>
      <c r="D188">
        <v>-3533997.5999999996</v>
      </c>
      <c r="E188" t="s">
        <v>331</v>
      </c>
    </row>
    <row r="189" spans="1:5" x14ac:dyDescent="0.25">
      <c r="A189">
        <v>1689</v>
      </c>
      <c r="B189" s="16">
        <v>43525</v>
      </c>
      <c r="C189" t="s">
        <v>36</v>
      </c>
      <c r="D189">
        <v>-3533997.5999999996</v>
      </c>
      <c r="E189" t="s">
        <v>331</v>
      </c>
    </row>
    <row r="190" spans="1:5" x14ac:dyDescent="0.25">
      <c r="A190">
        <v>1689</v>
      </c>
      <c r="B190" s="16">
        <v>43556</v>
      </c>
      <c r="C190" t="s">
        <v>36</v>
      </c>
      <c r="D190">
        <v>-3533997.5999999996</v>
      </c>
      <c r="E190" t="s">
        <v>331</v>
      </c>
    </row>
    <row r="191" spans="1:5" x14ac:dyDescent="0.25">
      <c r="A191">
        <v>1689</v>
      </c>
      <c r="B191" s="16">
        <v>43586</v>
      </c>
      <c r="C191" t="s">
        <v>36</v>
      </c>
      <c r="D191">
        <v>-3533997.5999999996</v>
      </c>
      <c r="E191" t="s">
        <v>331</v>
      </c>
    </row>
    <row r="192" spans="1:5" x14ac:dyDescent="0.25">
      <c r="A192">
        <v>1689</v>
      </c>
      <c r="B192" s="16">
        <v>43617</v>
      </c>
      <c r="C192" t="s">
        <v>36</v>
      </c>
      <c r="D192">
        <v>-3533997.5999999996</v>
      </c>
      <c r="E192" t="s">
        <v>331</v>
      </c>
    </row>
    <row r="193" spans="1:5" x14ac:dyDescent="0.25">
      <c r="A193">
        <v>1689</v>
      </c>
      <c r="B193" s="16">
        <v>43647</v>
      </c>
      <c r="C193" t="s">
        <v>36</v>
      </c>
      <c r="D193">
        <v>-3533997.5999999996</v>
      </c>
      <c r="E193" t="s">
        <v>331</v>
      </c>
    </row>
    <row r="194" spans="1:5" x14ac:dyDescent="0.25">
      <c r="A194">
        <v>1689</v>
      </c>
      <c r="B194" s="16">
        <v>43678</v>
      </c>
      <c r="C194" t="s">
        <v>36</v>
      </c>
      <c r="D194">
        <v>-3533997.5999999996</v>
      </c>
      <c r="E194" t="s">
        <v>331</v>
      </c>
    </row>
    <row r="195" spans="1:5" x14ac:dyDescent="0.25">
      <c r="A195">
        <v>1689</v>
      </c>
      <c r="B195" s="16">
        <v>43709</v>
      </c>
      <c r="C195" t="s">
        <v>36</v>
      </c>
      <c r="D195">
        <v>-3533997.5999999996</v>
      </c>
      <c r="E195" t="s">
        <v>331</v>
      </c>
    </row>
    <row r="196" spans="1:5" x14ac:dyDescent="0.25">
      <c r="A196">
        <v>1689</v>
      </c>
      <c r="B196" s="16">
        <v>43739</v>
      </c>
      <c r="C196" t="s">
        <v>36</v>
      </c>
      <c r="D196">
        <v>-3533997.5999999996</v>
      </c>
      <c r="E196" t="s">
        <v>331</v>
      </c>
    </row>
    <row r="197" spans="1:5" x14ac:dyDescent="0.25">
      <c r="A197">
        <v>1689</v>
      </c>
      <c r="B197" s="16">
        <v>43770</v>
      </c>
      <c r="C197" t="s">
        <v>36</v>
      </c>
      <c r="D197">
        <v>-3533997.5999999996</v>
      </c>
      <c r="E197" t="s">
        <v>331</v>
      </c>
    </row>
    <row r="198" spans="1:5" x14ac:dyDescent="0.25">
      <c r="A198">
        <v>1689</v>
      </c>
      <c r="B198" s="16">
        <v>43466</v>
      </c>
      <c r="C198" t="s">
        <v>35</v>
      </c>
      <c r="D198">
        <v>-3902122.35</v>
      </c>
      <c r="E198" t="s">
        <v>331</v>
      </c>
    </row>
    <row r="199" spans="1:5" x14ac:dyDescent="0.25">
      <c r="A199">
        <v>1689</v>
      </c>
      <c r="B199" s="16">
        <v>43497</v>
      </c>
      <c r="C199" t="s">
        <v>35</v>
      </c>
      <c r="D199">
        <v>-3902122.35</v>
      </c>
      <c r="E199" t="s">
        <v>331</v>
      </c>
    </row>
    <row r="200" spans="1:5" x14ac:dyDescent="0.25">
      <c r="A200">
        <v>1689</v>
      </c>
      <c r="B200" s="16">
        <v>43525</v>
      </c>
      <c r="C200" t="s">
        <v>35</v>
      </c>
      <c r="D200">
        <v>-3902122.35</v>
      </c>
      <c r="E200" t="s">
        <v>331</v>
      </c>
    </row>
    <row r="201" spans="1:5" x14ac:dyDescent="0.25">
      <c r="A201">
        <v>1689</v>
      </c>
      <c r="B201" s="16">
        <v>43556</v>
      </c>
      <c r="C201" t="s">
        <v>35</v>
      </c>
      <c r="D201">
        <v>-3902122.35</v>
      </c>
      <c r="E201" t="s">
        <v>331</v>
      </c>
    </row>
    <row r="202" spans="1:5" x14ac:dyDescent="0.25">
      <c r="A202">
        <v>1689</v>
      </c>
      <c r="B202" s="16">
        <v>43586</v>
      </c>
      <c r="C202" t="s">
        <v>35</v>
      </c>
      <c r="D202">
        <v>-3902122.35</v>
      </c>
      <c r="E202" t="s">
        <v>331</v>
      </c>
    </row>
    <row r="203" spans="1:5" x14ac:dyDescent="0.25">
      <c r="A203">
        <v>1689</v>
      </c>
      <c r="B203" s="16">
        <v>43617</v>
      </c>
      <c r="C203" t="s">
        <v>35</v>
      </c>
      <c r="D203">
        <v>-3902122.35</v>
      </c>
      <c r="E203" t="s">
        <v>331</v>
      </c>
    </row>
    <row r="204" spans="1:5" x14ac:dyDescent="0.25">
      <c r="A204">
        <v>1689</v>
      </c>
      <c r="B204" s="16">
        <v>43647</v>
      </c>
      <c r="C204" t="s">
        <v>35</v>
      </c>
      <c r="D204">
        <v>-3902122.35</v>
      </c>
      <c r="E204" t="s">
        <v>331</v>
      </c>
    </row>
    <row r="205" spans="1:5" x14ac:dyDescent="0.25">
      <c r="A205">
        <v>1689</v>
      </c>
      <c r="B205" s="16">
        <v>43678</v>
      </c>
      <c r="C205" t="s">
        <v>35</v>
      </c>
      <c r="D205">
        <v>-3902122.35</v>
      </c>
      <c r="E205" t="s">
        <v>331</v>
      </c>
    </row>
    <row r="206" spans="1:5" x14ac:dyDescent="0.25">
      <c r="A206">
        <v>1689</v>
      </c>
      <c r="B206" s="16">
        <v>43466</v>
      </c>
      <c r="C206" t="s">
        <v>39</v>
      </c>
      <c r="D206">
        <v>-3993806.2500000005</v>
      </c>
      <c r="E206" t="s">
        <v>331</v>
      </c>
    </row>
    <row r="207" spans="1:5" x14ac:dyDescent="0.25">
      <c r="A207">
        <v>1689</v>
      </c>
      <c r="B207" s="16">
        <v>43497</v>
      </c>
      <c r="C207" t="s">
        <v>39</v>
      </c>
      <c r="D207">
        <v>-3993806.2500000005</v>
      </c>
      <c r="E207" t="s">
        <v>331</v>
      </c>
    </row>
    <row r="208" spans="1:5" x14ac:dyDescent="0.25">
      <c r="A208">
        <v>1689</v>
      </c>
      <c r="B208" s="16">
        <v>43525</v>
      </c>
      <c r="C208" t="s">
        <v>39</v>
      </c>
      <c r="D208">
        <v>-3993806.2500000005</v>
      </c>
      <c r="E208" t="s">
        <v>331</v>
      </c>
    </row>
    <row r="209" spans="1:5" x14ac:dyDescent="0.25">
      <c r="A209">
        <v>1689</v>
      </c>
      <c r="B209" s="16">
        <v>43556</v>
      </c>
      <c r="C209" t="s">
        <v>39</v>
      </c>
      <c r="D209">
        <v>-3993806.2500000005</v>
      </c>
      <c r="E209" t="s">
        <v>331</v>
      </c>
    </row>
    <row r="210" spans="1:5" x14ac:dyDescent="0.25">
      <c r="A210">
        <v>1689</v>
      </c>
      <c r="B210" s="16">
        <v>43586</v>
      </c>
      <c r="C210" t="s">
        <v>39</v>
      </c>
      <c r="D210">
        <v>-3993806.2500000005</v>
      </c>
      <c r="E210" t="s">
        <v>331</v>
      </c>
    </row>
    <row r="211" spans="1:5" x14ac:dyDescent="0.25">
      <c r="A211">
        <v>1689</v>
      </c>
      <c r="B211" s="16">
        <v>43617</v>
      </c>
      <c r="C211" t="s">
        <v>39</v>
      </c>
      <c r="D211">
        <v>-3993806.2500000005</v>
      </c>
      <c r="E211" t="s">
        <v>331</v>
      </c>
    </row>
    <row r="212" spans="1:5" x14ac:dyDescent="0.25">
      <c r="A212">
        <v>1689</v>
      </c>
      <c r="B212" s="16">
        <v>43647</v>
      </c>
      <c r="C212" t="s">
        <v>39</v>
      </c>
      <c r="D212">
        <v>-3993806.2500000005</v>
      </c>
      <c r="E212" t="s">
        <v>331</v>
      </c>
    </row>
    <row r="213" spans="1:5" x14ac:dyDescent="0.25">
      <c r="A213">
        <v>1689</v>
      </c>
      <c r="B213" s="16">
        <v>43678</v>
      </c>
      <c r="C213" t="s">
        <v>39</v>
      </c>
      <c r="D213">
        <v>-3993806.2500000005</v>
      </c>
      <c r="E213" t="s">
        <v>331</v>
      </c>
    </row>
    <row r="214" spans="1:5" x14ac:dyDescent="0.25">
      <c r="A214">
        <v>1701</v>
      </c>
      <c r="B214" s="16">
        <v>43466</v>
      </c>
      <c r="C214" t="s">
        <v>19</v>
      </c>
      <c r="D214">
        <v>-4388324.8500000006</v>
      </c>
      <c r="E214" t="s">
        <v>331</v>
      </c>
    </row>
    <row r="215" spans="1:5" x14ac:dyDescent="0.25">
      <c r="A215">
        <v>1701</v>
      </c>
      <c r="B215" s="16">
        <v>43497</v>
      </c>
      <c r="C215" t="s">
        <v>19</v>
      </c>
      <c r="D215">
        <v>-4388324.8500000006</v>
      </c>
      <c r="E215" t="s">
        <v>331</v>
      </c>
    </row>
    <row r="216" spans="1:5" x14ac:dyDescent="0.25">
      <c r="A216">
        <v>1701</v>
      </c>
      <c r="B216" s="16">
        <v>43525</v>
      </c>
      <c r="C216" t="s">
        <v>19</v>
      </c>
      <c r="D216">
        <v>-4388324.8500000006</v>
      </c>
      <c r="E216" t="s">
        <v>331</v>
      </c>
    </row>
    <row r="217" spans="1:5" x14ac:dyDescent="0.25">
      <c r="A217">
        <v>1701</v>
      </c>
      <c r="B217" s="16">
        <v>43556</v>
      </c>
      <c r="C217" t="s">
        <v>19</v>
      </c>
      <c r="D217">
        <v>-4388324.8500000006</v>
      </c>
      <c r="E217" t="s">
        <v>331</v>
      </c>
    </row>
    <row r="218" spans="1:5" x14ac:dyDescent="0.25">
      <c r="A218">
        <v>1701</v>
      </c>
      <c r="B218" s="16">
        <v>43586</v>
      </c>
      <c r="C218" t="s">
        <v>19</v>
      </c>
      <c r="D218">
        <v>-4388324.8500000006</v>
      </c>
      <c r="E218" t="s">
        <v>331</v>
      </c>
    </row>
    <row r="219" spans="1:5" x14ac:dyDescent="0.25">
      <c r="A219">
        <v>1701</v>
      </c>
      <c r="B219" s="16">
        <v>43466</v>
      </c>
      <c r="C219" t="s">
        <v>12</v>
      </c>
      <c r="D219">
        <v>-8682187.5000000019</v>
      </c>
      <c r="E219" t="s">
        <v>331</v>
      </c>
    </row>
    <row r="220" spans="1:5" x14ac:dyDescent="0.25">
      <c r="A220">
        <v>1701</v>
      </c>
      <c r="B220" s="16">
        <v>43497</v>
      </c>
      <c r="C220" t="s">
        <v>12</v>
      </c>
      <c r="D220">
        <v>-8682187.5000000019</v>
      </c>
      <c r="E220" t="s">
        <v>331</v>
      </c>
    </row>
    <row r="221" spans="1:5" x14ac:dyDescent="0.25">
      <c r="A221">
        <v>1701</v>
      </c>
      <c r="B221" s="16">
        <v>43525</v>
      </c>
      <c r="C221" t="s">
        <v>12</v>
      </c>
      <c r="D221">
        <v>-8682187.5000000019</v>
      </c>
      <c r="E221" t="s">
        <v>331</v>
      </c>
    </row>
    <row r="222" spans="1:5" x14ac:dyDescent="0.25">
      <c r="A222">
        <v>1701</v>
      </c>
      <c r="B222" s="16">
        <v>43556</v>
      </c>
      <c r="C222" t="s">
        <v>12</v>
      </c>
      <c r="D222">
        <v>-8682187.5000000019</v>
      </c>
      <c r="E222" t="s">
        <v>331</v>
      </c>
    </row>
    <row r="223" spans="1:5" x14ac:dyDescent="0.25">
      <c r="A223">
        <v>1701</v>
      </c>
      <c r="B223" s="16">
        <v>43586</v>
      </c>
      <c r="C223" t="s">
        <v>12</v>
      </c>
      <c r="D223">
        <v>-8682187.5000000019</v>
      </c>
      <c r="E223" t="s">
        <v>331</v>
      </c>
    </row>
    <row r="224" spans="1:5" x14ac:dyDescent="0.25">
      <c r="A224">
        <v>1701</v>
      </c>
      <c r="B224" s="16">
        <v>43466</v>
      </c>
      <c r="C224" t="s">
        <v>38</v>
      </c>
      <c r="D224">
        <v>-3865309.875</v>
      </c>
      <c r="E224" t="s">
        <v>331</v>
      </c>
    </row>
    <row r="225" spans="1:5" x14ac:dyDescent="0.25">
      <c r="A225">
        <v>1701</v>
      </c>
      <c r="B225" s="16">
        <v>43497</v>
      </c>
      <c r="C225" t="s">
        <v>38</v>
      </c>
      <c r="D225">
        <v>-3865309.875</v>
      </c>
      <c r="E225" t="s">
        <v>331</v>
      </c>
    </row>
    <row r="226" spans="1:5" x14ac:dyDescent="0.25">
      <c r="A226">
        <v>1701</v>
      </c>
      <c r="B226" s="16">
        <v>43525</v>
      </c>
      <c r="C226" t="s">
        <v>38</v>
      </c>
      <c r="D226">
        <v>-3865309.875</v>
      </c>
      <c r="E226" t="s">
        <v>331</v>
      </c>
    </row>
    <row r="227" spans="1:5" x14ac:dyDescent="0.25">
      <c r="A227">
        <v>1701</v>
      </c>
      <c r="B227" s="16">
        <v>43556</v>
      </c>
      <c r="C227" t="s">
        <v>38</v>
      </c>
      <c r="D227">
        <v>-3865309.875</v>
      </c>
      <c r="E227" t="s">
        <v>331</v>
      </c>
    </row>
    <row r="228" spans="1:5" x14ac:dyDescent="0.25">
      <c r="A228">
        <v>1701</v>
      </c>
      <c r="B228" s="16">
        <v>43586</v>
      </c>
      <c r="C228" t="s">
        <v>38</v>
      </c>
      <c r="D228">
        <v>-3865309.875</v>
      </c>
      <c r="E228" t="s">
        <v>331</v>
      </c>
    </row>
    <row r="229" spans="1:5" x14ac:dyDescent="0.25">
      <c r="A229">
        <v>1701</v>
      </c>
      <c r="B229" s="16">
        <v>43466</v>
      </c>
      <c r="C229" t="s">
        <v>76</v>
      </c>
      <c r="D229">
        <v>-3497185.125</v>
      </c>
      <c r="E229" t="s">
        <v>331</v>
      </c>
    </row>
    <row r="230" spans="1:5" x14ac:dyDescent="0.25">
      <c r="A230">
        <v>1701</v>
      </c>
      <c r="B230" s="16">
        <v>43497</v>
      </c>
      <c r="C230" t="s">
        <v>76</v>
      </c>
      <c r="D230">
        <v>-3497185.125</v>
      </c>
      <c r="E230" t="s">
        <v>331</v>
      </c>
    </row>
    <row r="231" spans="1:5" x14ac:dyDescent="0.25">
      <c r="A231">
        <v>1701</v>
      </c>
      <c r="B231" s="16">
        <v>43525</v>
      </c>
      <c r="C231" t="s">
        <v>76</v>
      </c>
      <c r="D231">
        <v>-3497185.125</v>
      </c>
      <c r="E231" t="s">
        <v>331</v>
      </c>
    </row>
    <row r="232" spans="1:5" x14ac:dyDescent="0.25">
      <c r="A232">
        <v>1701</v>
      </c>
      <c r="B232" s="16">
        <v>43556</v>
      </c>
      <c r="C232" t="s">
        <v>76</v>
      </c>
      <c r="D232">
        <v>-3497185.125</v>
      </c>
      <c r="E232" t="s">
        <v>331</v>
      </c>
    </row>
    <row r="233" spans="1:5" x14ac:dyDescent="0.25">
      <c r="A233">
        <v>1701</v>
      </c>
      <c r="B233" s="16">
        <v>43586</v>
      </c>
      <c r="C233" t="s">
        <v>76</v>
      </c>
      <c r="D233">
        <v>-3497185.125</v>
      </c>
      <c r="E233" t="s">
        <v>331</v>
      </c>
    </row>
    <row r="234" spans="1:5" x14ac:dyDescent="0.25">
      <c r="A234">
        <v>1701</v>
      </c>
      <c r="B234" s="16">
        <v>43617</v>
      </c>
      <c r="C234" t="s">
        <v>76</v>
      </c>
      <c r="D234">
        <v>-3497185.125</v>
      </c>
      <c r="E234" t="s">
        <v>331</v>
      </c>
    </row>
    <row r="235" spans="1:5" x14ac:dyDescent="0.25">
      <c r="A235">
        <v>1701</v>
      </c>
      <c r="B235" s="16">
        <v>43647</v>
      </c>
      <c r="C235" t="s">
        <v>76</v>
      </c>
      <c r="D235">
        <v>-3497185.125</v>
      </c>
      <c r="E235" t="s">
        <v>331</v>
      </c>
    </row>
    <row r="236" spans="1:5" x14ac:dyDescent="0.25">
      <c r="A236">
        <v>1701</v>
      </c>
      <c r="B236" s="16">
        <v>43678</v>
      </c>
      <c r="C236" t="s">
        <v>76</v>
      </c>
      <c r="D236">
        <v>-3497185.125</v>
      </c>
      <c r="E236" t="s">
        <v>331</v>
      </c>
    </row>
    <row r="237" spans="1:5" x14ac:dyDescent="0.25">
      <c r="A237">
        <v>1701</v>
      </c>
      <c r="B237" s="16">
        <v>43709</v>
      </c>
      <c r="C237" t="s">
        <v>76</v>
      </c>
      <c r="D237">
        <v>-3497185.125</v>
      </c>
      <c r="E237" t="s">
        <v>331</v>
      </c>
    </row>
    <row r="238" spans="1:5" x14ac:dyDescent="0.25">
      <c r="A238">
        <v>1701</v>
      </c>
      <c r="B238" s="16">
        <v>43739</v>
      </c>
      <c r="C238" t="s">
        <v>76</v>
      </c>
      <c r="D238">
        <v>-3497185.125</v>
      </c>
      <c r="E238" t="s">
        <v>331</v>
      </c>
    </row>
    <row r="239" spans="1:5" x14ac:dyDescent="0.25">
      <c r="A239">
        <v>1701</v>
      </c>
      <c r="B239" s="16">
        <v>43770</v>
      </c>
      <c r="C239" t="s">
        <v>76</v>
      </c>
      <c r="D239">
        <v>-3497185.125</v>
      </c>
      <c r="E239" t="s">
        <v>331</v>
      </c>
    </row>
    <row r="240" spans="1:5" x14ac:dyDescent="0.25">
      <c r="A240">
        <v>1701</v>
      </c>
      <c r="B240" s="16">
        <v>43800</v>
      </c>
      <c r="C240" t="s">
        <v>76</v>
      </c>
      <c r="D240">
        <v>-3497185.125</v>
      </c>
      <c r="E240" t="s">
        <v>331</v>
      </c>
    </row>
    <row r="241" spans="1:5" x14ac:dyDescent="0.25">
      <c r="A241">
        <v>1701</v>
      </c>
      <c r="B241" s="16">
        <v>43831</v>
      </c>
      <c r="C241" t="s">
        <v>76</v>
      </c>
      <c r="D241">
        <v>-3497185.125</v>
      </c>
      <c r="E241" t="s">
        <v>331</v>
      </c>
    </row>
    <row r="242" spans="1:5" x14ac:dyDescent="0.25">
      <c r="A242">
        <v>1701</v>
      </c>
      <c r="B242" s="16">
        <v>43466</v>
      </c>
      <c r="C242" t="s">
        <v>39</v>
      </c>
      <c r="D242">
        <v>-3646518.7500000005</v>
      </c>
      <c r="E242" t="s">
        <v>331</v>
      </c>
    </row>
    <row r="243" spans="1:5" x14ac:dyDescent="0.25">
      <c r="A243">
        <v>1751</v>
      </c>
      <c r="B243" s="16">
        <v>43466</v>
      </c>
      <c r="C243" t="s">
        <v>26</v>
      </c>
      <c r="D243">
        <v>-8365287.65625</v>
      </c>
      <c r="E243" t="s">
        <v>331</v>
      </c>
    </row>
    <row r="244" spans="1:5" x14ac:dyDescent="0.25">
      <c r="A244">
        <v>1751</v>
      </c>
      <c r="B244" s="16">
        <v>43497</v>
      </c>
      <c r="C244" t="s">
        <v>26</v>
      </c>
      <c r="D244">
        <v>-8365287.65625</v>
      </c>
      <c r="E244" t="s">
        <v>331</v>
      </c>
    </row>
    <row r="245" spans="1:5" x14ac:dyDescent="0.25">
      <c r="A245">
        <v>1758</v>
      </c>
      <c r="B245" s="16">
        <v>43466</v>
      </c>
      <c r="C245" t="s">
        <v>19</v>
      </c>
      <c r="D245">
        <v>-3839596.7085000006</v>
      </c>
      <c r="E245" t="s">
        <v>331</v>
      </c>
    </row>
    <row r="246" spans="1:5" x14ac:dyDescent="0.25">
      <c r="A246">
        <v>1758</v>
      </c>
      <c r="B246" s="16">
        <v>43497</v>
      </c>
      <c r="C246" t="s">
        <v>19</v>
      </c>
      <c r="D246">
        <v>-3839596.7085000006</v>
      </c>
      <c r="E246" t="s">
        <v>331</v>
      </c>
    </row>
    <row r="247" spans="1:5" x14ac:dyDescent="0.25">
      <c r="A247">
        <v>1758</v>
      </c>
      <c r="B247" s="16">
        <v>43525</v>
      </c>
      <c r="C247" t="s">
        <v>19</v>
      </c>
      <c r="D247">
        <v>-3839596.7085000006</v>
      </c>
      <c r="E247" t="s">
        <v>331</v>
      </c>
    </row>
    <row r="248" spans="1:5" x14ac:dyDescent="0.25">
      <c r="A248">
        <v>1758</v>
      </c>
      <c r="B248" s="16">
        <v>43556</v>
      </c>
      <c r="C248" t="s">
        <v>19</v>
      </c>
      <c r="D248">
        <v>-3839596.7085000006</v>
      </c>
      <c r="E248" t="s">
        <v>331</v>
      </c>
    </row>
    <row r="249" spans="1:5" x14ac:dyDescent="0.25">
      <c r="A249">
        <v>1758</v>
      </c>
      <c r="B249" s="16">
        <v>43586</v>
      </c>
      <c r="C249" t="s">
        <v>19</v>
      </c>
      <c r="D249">
        <v>-3839596.7085000006</v>
      </c>
      <c r="E249" t="s">
        <v>331</v>
      </c>
    </row>
    <row r="250" spans="1:5" x14ac:dyDescent="0.25">
      <c r="A250">
        <v>1758</v>
      </c>
      <c r="B250" s="16">
        <v>43617</v>
      </c>
      <c r="C250" t="s">
        <v>19</v>
      </c>
      <c r="D250">
        <v>-3839596.7085000006</v>
      </c>
      <c r="E250" t="s">
        <v>331</v>
      </c>
    </row>
    <row r="251" spans="1:5" x14ac:dyDescent="0.25">
      <c r="A251">
        <v>1758</v>
      </c>
      <c r="B251" s="16">
        <v>43647</v>
      </c>
      <c r="C251" t="s">
        <v>19</v>
      </c>
      <c r="D251">
        <v>-3839596.7085000006</v>
      </c>
      <c r="E251" t="s">
        <v>331</v>
      </c>
    </row>
    <row r="252" spans="1:5" x14ac:dyDescent="0.25">
      <c r="A252">
        <v>1758</v>
      </c>
      <c r="B252" s="16">
        <v>43678</v>
      </c>
      <c r="C252" t="s">
        <v>19</v>
      </c>
      <c r="D252">
        <v>-3839596.7085000006</v>
      </c>
      <c r="E252" t="s">
        <v>331</v>
      </c>
    </row>
    <row r="253" spans="1:5" x14ac:dyDescent="0.25">
      <c r="A253">
        <v>1758</v>
      </c>
      <c r="B253" s="16">
        <v>43709</v>
      </c>
      <c r="C253" t="s">
        <v>19</v>
      </c>
      <c r="D253">
        <v>-3839596.7085000006</v>
      </c>
      <c r="E253" t="s">
        <v>331</v>
      </c>
    </row>
    <row r="254" spans="1:5" x14ac:dyDescent="0.25">
      <c r="A254">
        <v>1758</v>
      </c>
      <c r="B254" s="16">
        <v>43739</v>
      </c>
      <c r="C254" t="s">
        <v>19</v>
      </c>
      <c r="D254">
        <v>-3839596.7085000006</v>
      </c>
      <c r="E254" t="s">
        <v>331</v>
      </c>
    </row>
    <row r="255" spans="1:5" x14ac:dyDescent="0.25">
      <c r="A255">
        <v>1758</v>
      </c>
      <c r="B255" s="16">
        <v>43770</v>
      </c>
      <c r="C255" t="s">
        <v>19</v>
      </c>
      <c r="D255">
        <v>-3839596.7085000006</v>
      </c>
      <c r="E255" t="s">
        <v>331</v>
      </c>
    </row>
    <row r="256" spans="1:5" x14ac:dyDescent="0.25">
      <c r="A256">
        <v>1758</v>
      </c>
      <c r="B256" s="16">
        <v>43800</v>
      </c>
      <c r="C256" t="s">
        <v>19</v>
      </c>
      <c r="D256">
        <v>-3839596.7085000006</v>
      </c>
      <c r="E256" t="s">
        <v>331</v>
      </c>
    </row>
    <row r="257" spans="1:5" x14ac:dyDescent="0.25">
      <c r="A257">
        <v>1758</v>
      </c>
      <c r="B257" s="16">
        <v>43466</v>
      </c>
      <c r="C257" t="s">
        <v>12</v>
      </c>
      <c r="D257">
        <v>-12599152.25625</v>
      </c>
      <c r="E257" t="s">
        <v>331</v>
      </c>
    </row>
    <row r="258" spans="1:5" x14ac:dyDescent="0.25">
      <c r="A258">
        <v>1758</v>
      </c>
      <c r="B258" s="16">
        <v>43497</v>
      </c>
      <c r="C258" t="s">
        <v>12</v>
      </c>
      <c r="D258">
        <v>-12599152.25625</v>
      </c>
      <c r="E258" t="s">
        <v>331</v>
      </c>
    </row>
    <row r="259" spans="1:5" x14ac:dyDescent="0.25">
      <c r="A259">
        <v>1758</v>
      </c>
      <c r="B259" s="16">
        <v>43525</v>
      </c>
      <c r="C259" t="s">
        <v>12</v>
      </c>
      <c r="D259">
        <v>-12599152.25625</v>
      </c>
      <c r="E259" t="s">
        <v>331</v>
      </c>
    </row>
    <row r="260" spans="1:5" x14ac:dyDescent="0.25">
      <c r="A260">
        <v>1758</v>
      </c>
      <c r="B260" s="16">
        <v>43556</v>
      </c>
      <c r="C260" t="s">
        <v>12</v>
      </c>
      <c r="D260">
        <v>-12599152.25625</v>
      </c>
      <c r="E260" t="s">
        <v>331</v>
      </c>
    </row>
    <row r="261" spans="1:5" x14ac:dyDescent="0.25">
      <c r="A261">
        <v>1758</v>
      </c>
      <c r="B261" s="16">
        <v>43586</v>
      </c>
      <c r="C261" t="s">
        <v>12</v>
      </c>
      <c r="D261">
        <v>-12599152.25625</v>
      </c>
      <c r="E261" t="s">
        <v>331</v>
      </c>
    </row>
    <row r="262" spans="1:5" x14ac:dyDescent="0.25">
      <c r="A262">
        <v>1758</v>
      </c>
      <c r="B262" s="16">
        <v>43617</v>
      </c>
      <c r="C262" t="s">
        <v>12</v>
      </c>
      <c r="D262">
        <v>-12599152.25625</v>
      </c>
      <c r="E262" t="s">
        <v>331</v>
      </c>
    </row>
    <row r="263" spans="1:5" x14ac:dyDescent="0.25">
      <c r="A263">
        <v>1758</v>
      </c>
      <c r="B263" s="16">
        <v>43647</v>
      </c>
      <c r="C263" t="s">
        <v>12</v>
      </c>
      <c r="D263">
        <v>-12599152.25625</v>
      </c>
      <c r="E263" t="s">
        <v>331</v>
      </c>
    </row>
    <row r="264" spans="1:5" x14ac:dyDescent="0.25">
      <c r="A264">
        <v>1758</v>
      </c>
      <c r="B264" s="16">
        <v>43678</v>
      </c>
      <c r="C264" t="s">
        <v>12</v>
      </c>
      <c r="D264">
        <v>-12599152.25625</v>
      </c>
      <c r="E264" t="s">
        <v>331</v>
      </c>
    </row>
    <row r="265" spans="1:5" x14ac:dyDescent="0.25">
      <c r="A265">
        <v>1758</v>
      </c>
      <c r="B265" s="16">
        <v>43709</v>
      </c>
      <c r="C265" t="s">
        <v>12</v>
      </c>
      <c r="D265">
        <v>-12599152.25625</v>
      </c>
      <c r="E265" t="s">
        <v>331</v>
      </c>
    </row>
    <row r="266" spans="1:5" x14ac:dyDescent="0.25">
      <c r="A266">
        <v>1758</v>
      </c>
      <c r="B266" s="16">
        <v>43739</v>
      </c>
      <c r="C266" t="s">
        <v>12</v>
      </c>
      <c r="D266">
        <v>-12599152.25625</v>
      </c>
      <c r="E266" t="s">
        <v>331</v>
      </c>
    </row>
    <row r="267" spans="1:5" x14ac:dyDescent="0.25">
      <c r="A267">
        <v>1758</v>
      </c>
      <c r="B267" s="16">
        <v>43770</v>
      </c>
      <c r="C267" t="s">
        <v>12</v>
      </c>
      <c r="D267">
        <v>-12599152.25625</v>
      </c>
      <c r="E267" t="s">
        <v>331</v>
      </c>
    </row>
    <row r="268" spans="1:5" x14ac:dyDescent="0.25">
      <c r="A268">
        <v>1758</v>
      </c>
      <c r="B268" s="16">
        <v>43800</v>
      </c>
      <c r="C268" t="s">
        <v>12</v>
      </c>
      <c r="D268">
        <v>-12599152.25625</v>
      </c>
      <c r="E268" t="s">
        <v>331</v>
      </c>
    </row>
    <row r="269" spans="1:5" x14ac:dyDescent="0.25">
      <c r="A269">
        <v>1758</v>
      </c>
      <c r="B269" s="16">
        <v>43466</v>
      </c>
      <c r="C269" t="s">
        <v>125</v>
      </c>
      <c r="D269">
        <v>-7005285</v>
      </c>
      <c r="E269" t="s">
        <v>331</v>
      </c>
    </row>
    <row r="270" spans="1:5" x14ac:dyDescent="0.25">
      <c r="A270">
        <v>1758</v>
      </c>
      <c r="B270" s="16">
        <v>43497</v>
      </c>
      <c r="C270" t="s">
        <v>125</v>
      </c>
      <c r="D270">
        <v>-7005285</v>
      </c>
      <c r="E270" t="s">
        <v>331</v>
      </c>
    </row>
    <row r="271" spans="1:5" x14ac:dyDescent="0.25">
      <c r="A271">
        <v>1758</v>
      </c>
      <c r="B271" s="16">
        <v>43525</v>
      </c>
      <c r="C271" t="s">
        <v>125</v>
      </c>
      <c r="D271">
        <v>-7005285</v>
      </c>
      <c r="E271" t="s">
        <v>331</v>
      </c>
    </row>
    <row r="272" spans="1:5" x14ac:dyDescent="0.25">
      <c r="A272">
        <v>1758</v>
      </c>
      <c r="B272" s="16">
        <v>43556</v>
      </c>
      <c r="C272" t="s">
        <v>125</v>
      </c>
      <c r="D272">
        <v>-7005285</v>
      </c>
      <c r="E272" t="s">
        <v>331</v>
      </c>
    </row>
    <row r="273" spans="1:5" x14ac:dyDescent="0.25">
      <c r="A273">
        <v>1758</v>
      </c>
      <c r="B273" s="16">
        <v>43586</v>
      </c>
      <c r="C273" t="s">
        <v>125</v>
      </c>
      <c r="D273">
        <v>-7005285</v>
      </c>
      <c r="E273" t="s">
        <v>331</v>
      </c>
    </row>
    <row r="274" spans="1:5" x14ac:dyDescent="0.25">
      <c r="A274">
        <v>1758</v>
      </c>
      <c r="B274" s="16">
        <v>43617</v>
      </c>
      <c r="C274" t="s">
        <v>125</v>
      </c>
      <c r="D274">
        <v>-7005285</v>
      </c>
      <c r="E274" t="s">
        <v>331</v>
      </c>
    </row>
    <row r="275" spans="1:5" x14ac:dyDescent="0.25">
      <c r="A275">
        <v>1758</v>
      </c>
      <c r="B275" s="16">
        <v>43647</v>
      </c>
      <c r="C275" t="s">
        <v>125</v>
      </c>
      <c r="D275">
        <v>-7005285</v>
      </c>
      <c r="E275" t="s">
        <v>331</v>
      </c>
    </row>
    <row r="276" spans="1:5" x14ac:dyDescent="0.25">
      <c r="A276">
        <v>1758</v>
      </c>
      <c r="B276" s="16">
        <v>43678</v>
      </c>
      <c r="C276" t="s">
        <v>125</v>
      </c>
      <c r="D276">
        <v>-7005285</v>
      </c>
      <c r="E276" t="s">
        <v>331</v>
      </c>
    </row>
    <row r="277" spans="1:5" x14ac:dyDescent="0.25">
      <c r="A277">
        <v>1758</v>
      </c>
      <c r="B277" s="16">
        <v>43709</v>
      </c>
      <c r="C277" t="s">
        <v>125</v>
      </c>
      <c r="D277">
        <v>-7005285</v>
      </c>
      <c r="E277" t="s">
        <v>331</v>
      </c>
    </row>
    <row r="278" spans="1:5" x14ac:dyDescent="0.25">
      <c r="A278">
        <v>1758</v>
      </c>
      <c r="B278" s="16">
        <v>43739</v>
      </c>
      <c r="C278" t="s">
        <v>125</v>
      </c>
      <c r="D278">
        <v>-7005285</v>
      </c>
      <c r="E278" t="s">
        <v>331</v>
      </c>
    </row>
    <row r="279" spans="1:5" x14ac:dyDescent="0.25">
      <c r="A279">
        <v>1758</v>
      </c>
      <c r="B279" s="16">
        <v>43770</v>
      </c>
      <c r="C279" t="s">
        <v>125</v>
      </c>
      <c r="D279">
        <v>-7005285</v>
      </c>
      <c r="E279" t="s">
        <v>331</v>
      </c>
    </row>
    <row r="280" spans="1:5" x14ac:dyDescent="0.25">
      <c r="A280">
        <v>1758</v>
      </c>
      <c r="B280" s="16">
        <v>43800</v>
      </c>
      <c r="C280" t="s">
        <v>125</v>
      </c>
      <c r="D280">
        <v>-7005285</v>
      </c>
      <c r="E280" t="s">
        <v>331</v>
      </c>
    </row>
    <row r="281" spans="1:5" x14ac:dyDescent="0.25">
      <c r="A281">
        <v>1789</v>
      </c>
      <c r="B281" s="16">
        <v>43466</v>
      </c>
      <c r="C281" t="s">
        <v>19</v>
      </c>
      <c r="D281">
        <v>-2727772.2</v>
      </c>
      <c r="E281" t="s">
        <v>331</v>
      </c>
    </row>
    <row r="282" spans="1:5" x14ac:dyDescent="0.25">
      <c r="A282">
        <v>1789</v>
      </c>
      <c r="B282" s="16">
        <v>43466</v>
      </c>
      <c r="C282" t="s">
        <v>126</v>
      </c>
      <c r="D282">
        <v>-8520078</v>
      </c>
      <c r="E282" t="s">
        <v>331</v>
      </c>
    </row>
    <row r="283" spans="1:5" x14ac:dyDescent="0.25">
      <c r="A283">
        <v>1789</v>
      </c>
      <c r="B283" s="16">
        <v>43466</v>
      </c>
      <c r="C283" t="s">
        <v>127</v>
      </c>
      <c r="D283">
        <v>-8520078</v>
      </c>
      <c r="E283" t="s">
        <v>331</v>
      </c>
    </row>
    <row r="284" spans="1:5" x14ac:dyDescent="0.25">
      <c r="A284">
        <v>1789</v>
      </c>
      <c r="B284" s="16">
        <v>43466</v>
      </c>
      <c r="C284" t="s">
        <v>128</v>
      </c>
      <c r="D284">
        <v>-4462096.5</v>
      </c>
      <c r="E284" t="s">
        <v>331</v>
      </c>
    </row>
    <row r="285" spans="1:5" x14ac:dyDescent="0.25">
      <c r="A285">
        <v>1789</v>
      </c>
      <c r="B285" s="16">
        <v>43466</v>
      </c>
      <c r="C285" t="s">
        <v>39</v>
      </c>
      <c r="D285">
        <v>-3872763</v>
      </c>
      <c r="E285" t="s">
        <v>331</v>
      </c>
    </row>
    <row r="286" spans="1:5" x14ac:dyDescent="0.25">
      <c r="A286">
        <v>1802</v>
      </c>
      <c r="B286" s="16">
        <v>43466</v>
      </c>
      <c r="C286" t="s">
        <v>12</v>
      </c>
      <c r="D286">
        <v>-11721250.800000001</v>
      </c>
      <c r="E286" t="s">
        <v>331</v>
      </c>
    </row>
    <row r="287" spans="1:5" x14ac:dyDescent="0.25">
      <c r="A287">
        <v>1802</v>
      </c>
      <c r="B287" s="16">
        <v>43497</v>
      </c>
      <c r="C287" t="s">
        <v>12</v>
      </c>
      <c r="D287">
        <v>-11721250.800000001</v>
      </c>
      <c r="E287" t="s">
        <v>331</v>
      </c>
    </row>
    <row r="288" spans="1:5" x14ac:dyDescent="0.25">
      <c r="A288">
        <v>1802</v>
      </c>
      <c r="B288" s="16">
        <v>43525</v>
      </c>
      <c r="C288" t="s">
        <v>12</v>
      </c>
      <c r="D288">
        <v>-11721250.800000001</v>
      </c>
      <c r="E288" t="s">
        <v>331</v>
      </c>
    </row>
    <row r="289" spans="1:5" x14ac:dyDescent="0.25">
      <c r="A289">
        <v>1802</v>
      </c>
      <c r="B289" s="16">
        <v>43556</v>
      </c>
      <c r="C289" t="s">
        <v>12</v>
      </c>
      <c r="D289">
        <v>-11721250.800000001</v>
      </c>
      <c r="E289" t="s">
        <v>331</v>
      </c>
    </row>
    <row r="290" spans="1:5" x14ac:dyDescent="0.25">
      <c r="A290">
        <v>1802</v>
      </c>
      <c r="B290" s="16">
        <v>43586</v>
      </c>
      <c r="C290" t="s">
        <v>12</v>
      </c>
      <c r="D290">
        <v>-11721250.800000001</v>
      </c>
      <c r="E290" t="s">
        <v>331</v>
      </c>
    </row>
    <row r="291" spans="1:5" x14ac:dyDescent="0.25">
      <c r="A291">
        <v>1802</v>
      </c>
      <c r="B291" s="16">
        <v>43617</v>
      </c>
      <c r="C291" t="s">
        <v>12</v>
      </c>
      <c r="D291">
        <v>-11721250.800000001</v>
      </c>
      <c r="E291" t="s">
        <v>331</v>
      </c>
    </row>
    <row r="292" spans="1:5" x14ac:dyDescent="0.25">
      <c r="A292">
        <v>1802</v>
      </c>
      <c r="B292" s="16">
        <v>43647</v>
      </c>
      <c r="C292" t="s">
        <v>12</v>
      </c>
      <c r="D292">
        <v>-11721250.800000001</v>
      </c>
      <c r="E292" t="s">
        <v>331</v>
      </c>
    </row>
    <row r="293" spans="1:5" x14ac:dyDescent="0.25">
      <c r="A293">
        <v>1802</v>
      </c>
      <c r="B293" s="16">
        <v>43678</v>
      </c>
      <c r="C293" t="s">
        <v>12</v>
      </c>
      <c r="D293">
        <v>-11721250.800000001</v>
      </c>
      <c r="E293" t="s">
        <v>331</v>
      </c>
    </row>
    <row r="294" spans="1:5" x14ac:dyDescent="0.25">
      <c r="A294">
        <v>1802</v>
      </c>
      <c r="B294" s="16">
        <v>43466</v>
      </c>
      <c r="C294" t="s">
        <v>38</v>
      </c>
      <c r="D294">
        <v>-3810634.5847499999</v>
      </c>
      <c r="E294" t="s">
        <v>331</v>
      </c>
    </row>
    <row r="295" spans="1:5" x14ac:dyDescent="0.25">
      <c r="A295">
        <v>1802</v>
      </c>
      <c r="B295" s="16">
        <v>43497</v>
      </c>
      <c r="C295" t="s">
        <v>38</v>
      </c>
      <c r="D295">
        <v>-3810634.5847499999</v>
      </c>
      <c r="E295" t="s">
        <v>331</v>
      </c>
    </row>
    <row r="296" spans="1:5" x14ac:dyDescent="0.25">
      <c r="A296">
        <v>1802</v>
      </c>
      <c r="B296" s="16">
        <v>43525</v>
      </c>
      <c r="C296" t="s">
        <v>38</v>
      </c>
      <c r="D296">
        <v>-3810634.5847499999</v>
      </c>
      <c r="E296" t="s">
        <v>331</v>
      </c>
    </row>
    <row r="297" spans="1:5" x14ac:dyDescent="0.25">
      <c r="A297">
        <v>1802</v>
      </c>
      <c r="B297" s="16">
        <v>43556</v>
      </c>
      <c r="C297" t="s">
        <v>38</v>
      </c>
      <c r="D297">
        <v>-3810634.5847499999</v>
      </c>
      <c r="E297" t="s">
        <v>331</v>
      </c>
    </row>
    <row r="298" spans="1:5" x14ac:dyDescent="0.25">
      <c r="A298">
        <v>1802</v>
      </c>
      <c r="B298" s="16">
        <v>43586</v>
      </c>
      <c r="C298" t="s">
        <v>38</v>
      </c>
      <c r="D298">
        <v>-3810634.5847499999</v>
      </c>
      <c r="E298" t="s">
        <v>331</v>
      </c>
    </row>
    <row r="299" spans="1:5" x14ac:dyDescent="0.25">
      <c r="A299">
        <v>1802</v>
      </c>
      <c r="B299" s="16">
        <v>43617</v>
      </c>
      <c r="C299" t="s">
        <v>38</v>
      </c>
      <c r="D299">
        <v>-3810634.5847499999</v>
      </c>
      <c r="E299" t="s">
        <v>331</v>
      </c>
    </row>
    <row r="300" spans="1:5" x14ac:dyDescent="0.25">
      <c r="A300">
        <v>1802</v>
      </c>
      <c r="B300" s="16">
        <v>43647</v>
      </c>
      <c r="C300" t="s">
        <v>38</v>
      </c>
      <c r="D300">
        <v>-3810634.5847499999</v>
      </c>
      <c r="E300" t="s">
        <v>331</v>
      </c>
    </row>
    <row r="301" spans="1:5" x14ac:dyDescent="0.25">
      <c r="A301">
        <v>1802</v>
      </c>
      <c r="B301" s="16">
        <v>43466</v>
      </c>
      <c r="C301" t="s">
        <v>39</v>
      </c>
      <c r="D301">
        <v>-5301459.45</v>
      </c>
      <c r="E301" t="s">
        <v>331</v>
      </c>
    </row>
    <row r="302" spans="1:5" x14ac:dyDescent="0.25">
      <c r="A302">
        <v>1802</v>
      </c>
      <c r="B302" s="16">
        <v>43497</v>
      </c>
      <c r="C302" t="s">
        <v>39</v>
      </c>
      <c r="D302">
        <v>-5301459.45</v>
      </c>
      <c r="E302" t="s">
        <v>331</v>
      </c>
    </row>
    <row r="303" spans="1:5" x14ac:dyDescent="0.25">
      <c r="A303">
        <v>1802</v>
      </c>
      <c r="B303" s="16">
        <v>43525</v>
      </c>
      <c r="C303" t="s">
        <v>39</v>
      </c>
      <c r="D303">
        <v>-5301459.45</v>
      </c>
      <c r="E303" t="s">
        <v>331</v>
      </c>
    </row>
    <row r="304" spans="1:5" x14ac:dyDescent="0.25">
      <c r="A304">
        <v>1802</v>
      </c>
      <c r="B304" s="16">
        <v>43556</v>
      </c>
      <c r="C304" t="s">
        <v>39</v>
      </c>
      <c r="D304">
        <v>-5301459.45</v>
      </c>
      <c r="E304" t="s">
        <v>331</v>
      </c>
    </row>
    <row r="305" spans="1:5" x14ac:dyDescent="0.25">
      <c r="A305">
        <v>1802</v>
      </c>
      <c r="B305" s="16">
        <v>43586</v>
      </c>
      <c r="C305" t="s">
        <v>39</v>
      </c>
      <c r="D305">
        <v>-5301459.45</v>
      </c>
      <c r="E305" t="s">
        <v>331</v>
      </c>
    </row>
    <row r="306" spans="1:5" x14ac:dyDescent="0.25">
      <c r="A306">
        <v>1802</v>
      </c>
      <c r="B306" s="16">
        <v>43617</v>
      </c>
      <c r="C306" t="s">
        <v>39</v>
      </c>
      <c r="D306">
        <v>-5301459.45</v>
      </c>
      <c r="E306" t="s">
        <v>331</v>
      </c>
    </row>
    <row r="307" spans="1:5" x14ac:dyDescent="0.25">
      <c r="A307">
        <v>1802</v>
      </c>
      <c r="B307" s="16">
        <v>43647</v>
      </c>
      <c r="C307" t="s">
        <v>39</v>
      </c>
      <c r="D307">
        <v>-5301459.45</v>
      </c>
      <c r="E307" t="s">
        <v>331</v>
      </c>
    </row>
    <row r="308" spans="1:5" x14ac:dyDescent="0.25">
      <c r="A308">
        <v>1802</v>
      </c>
      <c r="B308" s="16">
        <v>43678</v>
      </c>
      <c r="C308" t="s">
        <v>39</v>
      </c>
      <c r="D308">
        <v>-5301459.45</v>
      </c>
      <c r="E308" t="s">
        <v>331</v>
      </c>
    </row>
    <row r="309" spans="1:5" x14ac:dyDescent="0.25">
      <c r="A309">
        <v>1802</v>
      </c>
      <c r="B309" s="16">
        <v>43466</v>
      </c>
      <c r="C309" t="s">
        <v>69</v>
      </c>
      <c r="D309">
        <v>-4777683.75</v>
      </c>
      <c r="E309" t="s">
        <v>331</v>
      </c>
    </row>
    <row r="310" spans="1:5" x14ac:dyDescent="0.25">
      <c r="A310">
        <v>1802</v>
      </c>
      <c r="B310" s="16">
        <v>43497</v>
      </c>
      <c r="C310" t="s">
        <v>69</v>
      </c>
      <c r="D310">
        <v>-4777683.75</v>
      </c>
      <c r="E310" t="s">
        <v>331</v>
      </c>
    </row>
    <row r="311" spans="1:5" x14ac:dyDescent="0.25">
      <c r="A311">
        <v>1802</v>
      </c>
      <c r="B311" s="16">
        <v>43525</v>
      </c>
      <c r="C311" t="s">
        <v>69</v>
      </c>
      <c r="D311">
        <v>-4777683.75</v>
      </c>
      <c r="E311" t="s">
        <v>331</v>
      </c>
    </row>
    <row r="312" spans="1:5" x14ac:dyDescent="0.25">
      <c r="A312">
        <v>1802</v>
      </c>
      <c r="B312" s="16">
        <v>43556</v>
      </c>
      <c r="C312" t="s">
        <v>69</v>
      </c>
      <c r="D312">
        <v>-4777683.75</v>
      </c>
      <c r="E312" t="s">
        <v>331</v>
      </c>
    </row>
    <row r="313" spans="1:5" x14ac:dyDescent="0.25">
      <c r="A313">
        <v>1802</v>
      </c>
      <c r="B313" s="16">
        <v>43586</v>
      </c>
      <c r="C313" t="s">
        <v>69</v>
      </c>
      <c r="D313">
        <v>-4777683.75</v>
      </c>
      <c r="E313" t="s">
        <v>331</v>
      </c>
    </row>
    <row r="314" spans="1:5" x14ac:dyDescent="0.25">
      <c r="A314">
        <v>1802</v>
      </c>
      <c r="B314" s="16">
        <v>43617</v>
      </c>
      <c r="C314" t="s">
        <v>69</v>
      </c>
      <c r="D314">
        <v>-4777683.75</v>
      </c>
      <c r="E314" t="s">
        <v>331</v>
      </c>
    </row>
    <row r="315" spans="1:5" x14ac:dyDescent="0.25">
      <c r="A315">
        <v>1802</v>
      </c>
      <c r="B315" s="16">
        <v>43647</v>
      </c>
      <c r="C315" t="s">
        <v>69</v>
      </c>
      <c r="D315">
        <v>-4777683.75</v>
      </c>
      <c r="E315" t="s">
        <v>331</v>
      </c>
    </row>
    <row r="316" spans="1:5" x14ac:dyDescent="0.25">
      <c r="A316">
        <v>1802</v>
      </c>
      <c r="B316" s="16">
        <v>43466</v>
      </c>
      <c r="C316" t="s">
        <v>26</v>
      </c>
      <c r="D316">
        <v>-7255001.25</v>
      </c>
      <c r="E316" t="s">
        <v>331</v>
      </c>
    </row>
    <row r="317" spans="1:5" x14ac:dyDescent="0.25">
      <c r="A317">
        <v>1802</v>
      </c>
      <c r="B317" s="16">
        <v>43497</v>
      </c>
      <c r="C317" t="s">
        <v>26</v>
      </c>
      <c r="D317">
        <v>-7255001.25</v>
      </c>
      <c r="E317" t="s">
        <v>331</v>
      </c>
    </row>
    <row r="318" spans="1:5" x14ac:dyDescent="0.25">
      <c r="A318">
        <v>1802</v>
      </c>
      <c r="B318" s="16">
        <v>43525</v>
      </c>
      <c r="C318" t="s">
        <v>26</v>
      </c>
      <c r="D318">
        <v>-7255001.25</v>
      </c>
      <c r="E318" t="s">
        <v>331</v>
      </c>
    </row>
    <row r="319" spans="1:5" x14ac:dyDescent="0.25">
      <c r="A319">
        <v>1802</v>
      </c>
      <c r="B319" s="16">
        <v>43556</v>
      </c>
      <c r="C319" t="s">
        <v>26</v>
      </c>
      <c r="D319">
        <v>-7255001.25</v>
      </c>
      <c r="E319" t="s">
        <v>331</v>
      </c>
    </row>
    <row r="320" spans="1:5" x14ac:dyDescent="0.25">
      <c r="A320">
        <v>1802</v>
      </c>
      <c r="B320" s="16">
        <v>43586</v>
      </c>
      <c r="C320" t="s">
        <v>26</v>
      </c>
      <c r="D320">
        <v>-7255001.25</v>
      </c>
      <c r="E320" t="s">
        <v>331</v>
      </c>
    </row>
    <row r="321" spans="1:5" x14ac:dyDescent="0.25">
      <c r="A321">
        <v>1802</v>
      </c>
      <c r="B321" s="16">
        <v>43617</v>
      </c>
      <c r="C321" t="s">
        <v>26</v>
      </c>
      <c r="D321">
        <v>-7255001.25</v>
      </c>
      <c r="E321" t="s">
        <v>331</v>
      </c>
    </row>
    <row r="322" spans="1:5" x14ac:dyDescent="0.25">
      <c r="A322">
        <v>1802</v>
      </c>
      <c r="B322" s="16">
        <v>43647</v>
      </c>
      <c r="C322" t="s">
        <v>26</v>
      </c>
      <c r="D322">
        <v>-7255001.25</v>
      </c>
      <c r="E322" t="s">
        <v>331</v>
      </c>
    </row>
    <row r="323" spans="1:5" x14ac:dyDescent="0.25">
      <c r="A323">
        <v>1802</v>
      </c>
      <c r="B323" s="16">
        <v>43678</v>
      </c>
      <c r="C323" t="s">
        <v>26</v>
      </c>
      <c r="D323">
        <v>-7255001.25</v>
      </c>
      <c r="E323" t="s">
        <v>331</v>
      </c>
    </row>
    <row r="324" spans="1:5" x14ac:dyDescent="0.25">
      <c r="A324">
        <v>1802</v>
      </c>
      <c r="B324" s="16">
        <v>43709</v>
      </c>
      <c r="C324" t="s">
        <v>26</v>
      </c>
      <c r="D324">
        <v>-7255001.25</v>
      </c>
      <c r="E324" t="s">
        <v>331</v>
      </c>
    </row>
    <row r="325" spans="1:5" x14ac:dyDescent="0.25">
      <c r="A325">
        <v>1802</v>
      </c>
      <c r="B325" s="16">
        <v>43739</v>
      </c>
      <c r="C325" t="s">
        <v>26</v>
      </c>
      <c r="D325">
        <v>-7255001.25</v>
      </c>
      <c r="E325" t="s">
        <v>331</v>
      </c>
    </row>
    <row r="326" spans="1:5" x14ac:dyDescent="0.25">
      <c r="A326">
        <v>1802</v>
      </c>
      <c r="B326" s="16">
        <v>43770</v>
      </c>
      <c r="C326" t="s">
        <v>26</v>
      </c>
      <c r="D326">
        <v>-7255001.25</v>
      </c>
      <c r="E326" t="s">
        <v>331</v>
      </c>
    </row>
    <row r="327" spans="1:5" x14ac:dyDescent="0.25">
      <c r="A327">
        <v>1802</v>
      </c>
      <c r="B327" s="16">
        <v>43800</v>
      </c>
      <c r="C327" t="s">
        <v>26</v>
      </c>
      <c r="D327">
        <v>-7255001.25</v>
      </c>
      <c r="E327" t="s">
        <v>331</v>
      </c>
    </row>
    <row r="328" spans="1:5" x14ac:dyDescent="0.25">
      <c r="A328">
        <v>1818</v>
      </c>
      <c r="B328" s="16">
        <v>43466</v>
      </c>
      <c r="C328" t="s">
        <v>19</v>
      </c>
      <c r="D328">
        <v>-4704455.7</v>
      </c>
      <c r="E328" t="s">
        <v>331</v>
      </c>
    </row>
    <row r="329" spans="1:5" x14ac:dyDescent="0.25">
      <c r="A329">
        <v>1818</v>
      </c>
      <c r="B329" s="16">
        <v>43497</v>
      </c>
      <c r="C329" t="s">
        <v>19</v>
      </c>
      <c r="D329">
        <v>-4704455.7</v>
      </c>
      <c r="E329" t="s">
        <v>331</v>
      </c>
    </row>
    <row r="330" spans="1:5" x14ac:dyDescent="0.25">
      <c r="A330">
        <v>1818</v>
      </c>
      <c r="B330" s="16">
        <v>43525</v>
      </c>
      <c r="C330" t="s">
        <v>19</v>
      </c>
      <c r="D330">
        <v>-4704455.7</v>
      </c>
      <c r="E330" t="s">
        <v>331</v>
      </c>
    </row>
    <row r="331" spans="1:5" x14ac:dyDescent="0.25">
      <c r="A331">
        <v>1818</v>
      </c>
      <c r="B331" s="16">
        <v>43556</v>
      </c>
      <c r="C331" t="s">
        <v>19</v>
      </c>
      <c r="D331">
        <v>-4704455.7</v>
      </c>
      <c r="E331" t="s">
        <v>331</v>
      </c>
    </row>
    <row r="332" spans="1:5" x14ac:dyDescent="0.25">
      <c r="A332">
        <v>1818</v>
      </c>
      <c r="B332" s="16">
        <v>43586</v>
      </c>
      <c r="C332" t="s">
        <v>19</v>
      </c>
      <c r="D332">
        <v>-4704455.7</v>
      </c>
      <c r="E332" t="s">
        <v>331</v>
      </c>
    </row>
    <row r="333" spans="1:5" x14ac:dyDescent="0.25">
      <c r="A333">
        <v>1818</v>
      </c>
      <c r="B333" s="16">
        <v>43617</v>
      </c>
      <c r="C333" t="s">
        <v>19</v>
      </c>
      <c r="D333">
        <v>-4704455.7</v>
      </c>
      <c r="E333" t="s">
        <v>331</v>
      </c>
    </row>
    <row r="334" spans="1:5" x14ac:dyDescent="0.25">
      <c r="A334">
        <v>1818</v>
      </c>
      <c r="B334" s="16">
        <v>43647</v>
      </c>
      <c r="C334" t="s">
        <v>19</v>
      </c>
      <c r="D334">
        <v>-4704455.7</v>
      </c>
      <c r="E334" t="s">
        <v>331</v>
      </c>
    </row>
    <row r="335" spans="1:5" x14ac:dyDescent="0.25">
      <c r="A335">
        <v>1818</v>
      </c>
      <c r="B335" s="16">
        <v>43678</v>
      </c>
      <c r="C335" t="s">
        <v>19</v>
      </c>
      <c r="D335">
        <v>-4704455.7</v>
      </c>
      <c r="E335" t="s">
        <v>331</v>
      </c>
    </row>
    <row r="336" spans="1:5" x14ac:dyDescent="0.25">
      <c r="A336">
        <v>1818</v>
      </c>
      <c r="B336" s="16">
        <v>43709</v>
      </c>
      <c r="C336" t="s">
        <v>19</v>
      </c>
      <c r="D336">
        <v>-4704455.7</v>
      </c>
      <c r="E336" t="s">
        <v>331</v>
      </c>
    </row>
    <row r="337" spans="1:5" x14ac:dyDescent="0.25">
      <c r="A337">
        <v>1818</v>
      </c>
      <c r="B337" s="16">
        <v>43739</v>
      </c>
      <c r="C337" t="s">
        <v>19</v>
      </c>
      <c r="D337">
        <v>-4704455.7</v>
      </c>
      <c r="E337" t="s">
        <v>331</v>
      </c>
    </row>
    <row r="338" spans="1:5" x14ac:dyDescent="0.25">
      <c r="A338">
        <v>1818</v>
      </c>
      <c r="B338" s="16">
        <v>43770</v>
      </c>
      <c r="C338" t="s">
        <v>19</v>
      </c>
      <c r="D338">
        <v>-4704455.7</v>
      </c>
      <c r="E338" t="s">
        <v>331</v>
      </c>
    </row>
    <row r="339" spans="1:5" x14ac:dyDescent="0.25">
      <c r="A339">
        <v>1818</v>
      </c>
      <c r="B339" s="16">
        <v>43800</v>
      </c>
      <c r="C339" t="s">
        <v>19</v>
      </c>
      <c r="D339">
        <v>-4704455.7</v>
      </c>
      <c r="E339" t="s">
        <v>331</v>
      </c>
    </row>
    <row r="340" spans="1:5" x14ac:dyDescent="0.25">
      <c r="A340">
        <v>1818</v>
      </c>
      <c r="B340" s="16">
        <v>43466</v>
      </c>
      <c r="C340" t="s">
        <v>12</v>
      </c>
      <c r="D340">
        <v>-8351437.5</v>
      </c>
      <c r="E340" t="s">
        <v>331</v>
      </c>
    </row>
    <row r="341" spans="1:5" x14ac:dyDescent="0.25">
      <c r="A341">
        <v>1818</v>
      </c>
      <c r="B341" s="16">
        <v>43497</v>
      </c>
      <c r="C341" t="s">
        <v>12</v>
      </c>
      <c r="D341">
        <v>-8351437.5</v>
      </c>
      <c r="E341" t="s">
        <v>331</v>
      </c>
    </row>
    <row r="342" spans="1:5" x14ac:dyDescent="0.25">
      <c r="A342">
        <v>1818</v>
      </c>
      <c r="B342" s="16">
        <v>43525</v>
      </c>
      <c r="C342" t="s">
        <v>12</v>
      </c>
      <c r="D342">
        <v>-8351437.5</v>
      </c>
      <c r="E342" t="s">
        <v>331</v>
      </c>
    </row>
    <row r="343" spans="1:5" x14ac:dyDescent="0.25">
      <c r="A343">
        <v>1818</v>
      </c>
      <c r="B343" s="16">
        <v>43556</v>
      </c>
      <c r="C343" t="s">
        <v>12</v>
      </c>
      <c r="D343">
        <v>-8351437.5</v>
      </c>
      <c r="E343" t="s">
        <v>331</v>
      </c>
    </row>
    <row r="344" spans="1:5" x14ac:dyDescent="0.25">
      <c r="A344">
        <v>1818</v>
      </c>
      <c r="B344" s="16">
        <v>43586</v>
      </c>
      <c r="C344" t="s">
        <v>12</v>
      </c>
      <c r="D344">
        <v>-8351437.5</v>
      </c>
      <c r="E344" t="s">
        <v>331</v>
      </c>
    </row>
    <row r="345" spans="1:5" x14ac:dyDescent="0.25">
      <c r="A345">
        <v>1818</v>
      </c>
      <c r="B345" s="16">
        <v>43617</v>
      </c>
      <c r="C345" t="s">
        <v>12</v>
      </c>
      <c r="D345">
        <v>-8351437.5</v>
      </c>
      <c r="E345" t="s">
        <v>331</v>
      </c>
    </row>
    <row r="346" spans="1:5" x14ac:dyDescent="0.25">
      <c r="A346">
        <v>1818</v>
      </c>
      <c r="B346" s="16">
        <v>43647</v>
      </c>
      <c r="C346" t="s">
        <v>12</v>
      </c>
      <c r="D346">
        <v>-8351437.5</v>
      </c>
      <c r="E346" t="s">
        <v>331</v>
      </c>
    </row>
    <row r="347" spans="1:5" x14ac:dyDescent="0.25">
      <c r="A347">
        <v>1818</v>
      </c>
      <c r="B347" s="16">
        <v>43678</v>
      </c>
      <c r="C347" t="s">
        <v>12</v>
      </c>
      <c r="D347">
        <v>-8351437.5</v>
      </c>
      <c r="E347" t="s">
        <v>331</v>
      </c>
    </row>
    <row r="348" spans="1:5" x14ac:dyDescent="0.25">
      <c r="A348">
        <v>1818</v>
      </c>
      <c r="B348" s="16">
        <v>43709</v>
      </c>
      <c r="C348" t="s">
        <v>12</v>
      </c>
      <c r="D348">
        <v>-8351437.5</v>
      </c>
      <c r="E348" t="s">
        <v>331</v>
      </c>
    </row>
    <row r="349" spans="1:5" x14ac:dyDescent="0.25">
      <c r="A349">
        <v>1818</v>
      </c>
      <c r="B349" s="16">
        <v>43739</v>
      </c>
      <c r="C349" t="s">
        <v>12</v>
      </c>
      <c r="D349">
        <v>-8351437.5</v>
      </c>
      <c r="E349" t="s">
        <v>331</v>
      </c>
    </row>
    <row r="350" spans="1:5" x14ac:dyDescent="0.25">
      <c r="A350">
        <v>1818</v>
      </c>
      <c r="B350" s="16">
        <v>43770</v>
      </c>
      <c r="C350" t="s">
        <v>12</v>
      </c>
      <c r="D350">
        <v>-8351437.5</v>
      </c>
      <c r="E350" t="s">
        <v>331</v>
      </c>
    </row>
    <row r="351" spans="1:5" x14ac:dyDescent="0.25">
      <c r="A351">
        <v>1818</v>
      </c>
      <c r="B351" s="16">
        <v>43800</v>
      </c>
      <c r="C351" t="s">
        <v>12</v>
      </c>
      <c r="D351">
        <v>-8351437.5</v>
      </c>
      <c r="E351" t="s">
        <v>331</v>
      </c>
    </row>
    <row r="352" spans="1:5" x14ac:dyDescent="0.25">
      <c r="A352">
        <v>1818</v>
      </c>
      <c r="B352" s="16">
        <v>43466</v>
      </c>
      <c r="C352" t="s">
        <v>132</v>
      </c>
      <c r="D352">
        <v>-2356593.75</v>
      </c>
      <c r="E352" t="s">
        <v>331</v>
      </c>
    </row>
    <row r="353" spans="1:5" x14ac:dyDescent="0.25">
      <c r="A353">
        <v>1818</v>
      </c>
      <c r="B353" s="16">
        <v>43497</v>
      </c>
      <c r="C353" t="s">
        <v>132</v>
      </c>
      <c r="D353">
        <v>-2356593.75</v>
      </c>
      <c r="E353" t="s">
        <v>331</v>
      </c>
    </row>
    <row r="354" spans="1:5" x14ac:dyDescent="0.25">
      <c r="A354">
        <v>1818</v>
      </c>
      <c r="B354" s="16">
        <v>43525</v>
      </c>
      <c r="C354" t="s">
        <v>132</v>
      </c>
      <c r="D354">
        <v>-2356593.75</v>
      </c>
      <c r="E354" t="s">
        <v>331</v>
      </c>
    </row>
    <row r="355" spans="1:5" x14ac:dyDescent="0.25">
      <c r="A355">
        <v>1818</v>
      </c>
      <c r="B355" s="16">
        <v>43556</v>
      </c>
      <c r="C355" t="s">
        <v>132</v>
      </c>
      <c r="D355">
        <v>-2356593.75</v>
      </c>
      <c r="E355" t="s">
        <v>331</v>
      </c>
    </row>
    <row r="356" spans="1:5" x14ac:dyDescent="0.25">
      <c r="A356">
        <v>1818</v>
      </c>
      <c r="B356" s="16">
        <v>43586</v>
      </c>
      <c r="C356" t="s">
        <v>132</v>
      </c>
      <c r="D356">
        <v>-2356593.75</v>
      </c>
      <c r="E356" t="s">
        <v>331</v>
      </c>
    </row>
    <row r="357" spans="1:5" x14ac:dyDescent="0.25">
      <c r="A357">
        <v>1818</v>
      </c>
      <c r="B357" s="16">
        <v>43617</v>
      </c>
      <c r="C357" t="s">
        <v>132</v>
      </c>
      <c r="D357">
        <v>-2356593.75</v>
      </c>
      <c r="E357" t="s">
        <v>331</v>
      </c>
    </row>
    <row r="358" spans="1:5" x14ac:dyDescent="0.25">
      <c r="A358">
        <v>1818</v>
      </c>
      <c r="B358" s="16">
        <v>43466</v>
      </c>
      <c r="C358" t="s">
        <v>38</v>
      </c>
      <c r="D358">
        <v>-3786425.9999999995</v>
      </c>
      <c r="E358" t="s">
        <v>331</v>
      </c>
    </row>
    <row r="359" spans="1:5" x14ac:dyDescent="0.25">
      <c r="A359">
        <v>1818</v>
      </c>
      <c r="B359" s="16">
        <v>43497</v>
      </c>
      <c r="C359" t="s">
        <v>38</v>
      </c>
      <c r="D359">
        <v>-3786425.9999999995</v>
      </c>
      <c r="E359" t="s">
        <v>331</v>
      </c>
    </row>
    <row r="360" spans="1:5" x14ac:dyDescent="0.25">
      <c r="A360">
        <v>1818</v>
      </c>
      <c r="B360" s="16">
        <v>43525</v>
      </c>
      <c r="C360" t="s">
        <v>38</v>
      </c>
      <c r="D360">
        <v>-3786425.9999999995</v>
      </c>
      <c r="E360" t="s">
        <v>331</v>
      </c>
    </row>
    <row r="361" spans="1:5" x14ac:dyDescent="0.25">
      <c r="A361">
        <v>1818</v>
      </c>
      <c r="B361" s="16">
        <v>43556</v>
      </c>
      <c r="C361" t="s">
        <v>38</v>
      </c>
      <c r="D361">
        <v>-3786425.9999999995</v>
      </c>
      <c r="E361" t="s">
        <v>331</v>
      </c>
    </row>
    <row r="362" spans="1:5" x14ac:dyDescent="0.25">
      <c r="A362">
        <v>1818</v>
      </c>
      <c r="B362" s="16">
        <v>43586</v>
      </c>
      <c r="C362" t="s">
        <v>38</v>
      </c>
      <c r="D362">
        <v>-3786425.9999999995</v>
      </c>
      <c r="E362" t="s">
        <v>331</v>
      </c>
    </row>
    <row r="363" spans="1:5" x14ac:dyDescent="0.25">
      <c r="A363">
        <v>1818</v>
      </c>
      <c r="B363" s="16">
        <v>43617</v>
      </c>
      <c r="C363" t="s">
        <v>38</v>
      </c>
      <c r="D363">
        <v>-3786425.9999999995</v>
      </c>
      <c r="E363" t="s">
        <v>331</v>
      </c>
    </row>
    <row r="364" spans="1:5" x14ac:dyDescent="0.25">
      <c r="A364">
        <v>1818</v>
      </c>
      <c r="B364" s="16">
        <v>43647</v>
      </c>
      <c r="C364" t="s">
        <v>38</v>
      </c>
      <c r="D364">
        <v>-3786425.9999999995</v>
      </c>
      <c r="E364" t="s">
        <v>331</v>
      </c>
    </row>
    <row r="365" spans="1:5" x14ac:dyDescent="0.25">
      <c r="A365">
        <v>1818</v>
      </c>
      <c r="B365" s="16">
        <v>43678</v>
      </c>
      <c r="C365" t="s">
        <v>38</v>
      </c>
      <c r="D365">
        <v>-3786425.9999999995</v>
      </c>
      <c r="E365" t="s">
        <v>331</v>
      </c>
    </row>
    <row r="366" spans="1:5" x14ac:dyDescent="0.25">
      <c r="A366">
        <v>1818</v>
      </c>
      <c r="B366" s="16">
        <v>43709</v>
      </c>
      <c r="C366" t="s">
        <v>38</v>
      </c>
      <c r="D366">
        <v>-3786425.9999999995</v>
      </c>
      <c r="E366" t="s">
        <v>331</v>
      </c>
    </row>
    <row r="367" spans="1:5" x14ac:dyDescent="0.25">
      <c r="A367">
        <v>1818</v>
      </c>
      <c r="B367" s="16">
        <v>43739</v>
      </c>
      <c r="C367" t="s">
        <v>38</v>
      </c>
      <c r="D367">
        <v>-3786425.9999999995</v>
      </c>
      <c r="E367" t="s">
        <v>331</v>
      </c>
    </row>
    <row r="368" spans="1:5" x14ac:dyDescent="0.25">
      <c r="A368">
        <v>1818</v>
      </c>
      <c r="B368" s="16">
        <v>43770</v>
      </c>
      <c r="C368" t="s">
        <v>38</v>
      </c>
      <c r="D368">
        <v>-3786425.9999999995</v>
      </c>
      <c r="E368" t="s">
        <v>331</v>
      </c>
    </row>
    <row r="369" spans="1:5" x14ac:dyDescent="0.25">
      <c r="A369">
        <v>1818</v>
      </c>
      <c r="B369" s="16">
        <v>43466</v>
      </c>
      <c r="C369" t="s">
        <v>39</v>
      </c>
      <c r="D369">
        <v>-3853237.5</v>
      </c>
      <c r="E369" t="s">
        <v>331</v>
      </c>
    </row>
    <row r="370" spans="1:5" x14ac:dyDescent="0.25">
      <c r="A370">
        <v>1818</v>
      </c>
      <c r="B370" s="16">
        <v>43497</v>
      </c>
      <c r="C370" t="s">
        <v>39</v>
      </c>
      <c r="D370">
        <v>-3853237.5</v>
      </c>
      <c r="E370" t="s">
        <v>331</v>
      </c>
    </row>
    <row r="371" spans="1:5" x14ac:dyDescent="0.25">
      <c r="A371">
        <v>1818</v>
      </c>
      <c r="B371" s="16">
        <v>43525</v>
      </c>
      <c r="C371" t="s">
        <v>39</v>
      </c>
      <c r="D371">
        <v>-3853237.5</v>
      </c>
      <c r="E371" t="s">
        <v>331</v>
      </c>
    </row>
    <row r="372" spans="1:5" x14ac:dyDescent="0.25">
      <c r="A372">
        <v>1818</v>
      </c>
      <c r="B372" s="16">
        <v>43556</v>
      </c>
      <c r="C372" t="s">
        <v>39</v>
      </c>
      <c r="D372">
        <v>-3853237.5</v>
      </c>
      <c r="E372" t="s">
        <v>331</v>
      </c>
    </row>
    <row r="373" spans="1:5" x14ac:dyDescent="0.25">
      <c r="A373">
        <v>1818</v>
      </c>
      <c r="B373" s="16">
        <v>43586</v>
      </c>
      <c r="C373" t="s">
        <v>39</v>
      </c>
      <c r="D373">
        <v>-3853237.5</v>
      </c>
      <c r="E373" t="s">
        <v>331</v>
      </c>
    </row>
    <row r="374" spans="1:5" x14ac:dyDescent="0.25">
      <c r="A374">
        <v>1818</v>
      </c>
      <c r="B374" s="16">
        <v>43617</v>
      </c>
      <c r="C374" t="s">
        <v>39</v>
      </c>
      <c r="D374">
        <v>-3853237.5</v>
      </c>
      <c r="E374" t="s">
        <v>331</v>
      </c>
    </row>
    <row r="375" spans="1:5" x14ac:dyDescent="0.25">
      <c r="A375">
        <v>1818</v>
      </c>
      <c r="B375" s="16">
        <v>43647</v>
      </c>
      <c r="C375" t="s">
        <v>39</v>
      </c>
      <c r="D375">
        <v>-3853237.5</v>
      </c>
      <c r="E375" t="s">
        <v>331</v>
      </c>
    </row>
    <row r="376" spans="1:5" x14ac:dyDescent="0.25">
      <c r="A376">
        <v>1818</v>
      </c>
      <c r="B376" s="16">
        <v>43678</v>
      </c>
      <c r="C376" t="s">
        <v>39</v>
      </c>
      <c r="D376">
        <v>-3853237.5</v>
      </c>
      <c r="E376" t="s">
        <v>331</v>
      </c>
    </row>
    <row r="377" spans="1:5" x14ac:dyDescent="0.25">
      <c r="A377">
        <v>1818</v>
      </c>
      <c r="B377" s="16">
        <v>43709</v>
      </c>
      <c r="C377" t="s">
        <v>39</v>
      </c>
      <c r="D377">
        <v>-3853237.5</v>
      </c>
      <c r="E377" t="s">
        <v>331</v>
      </c>
    </row>
    <row r="378" spans="1:5" x14ac:dyDescent="0.25">
      <c r="A378">
        <v>1818</v>
      </c>
      <c r="B378" s="16">
        <v>43739</v>
      </c>
      <c r="C378" t="s">
        <v>39</v>
      </c>
      <c r="D378">
        <v>-3853237.5</v>
      </c>
      <c r="E378" t="s">
        <v>331</v>
      </c>
    </row>
    <row r="379" spans="1:5" x14ac:dyDescent="0.25">
      <c r="A379">
        <v>1818</v>
      </c>
      <c r="B379" s="16">
        <v>43770</v>
      </c>
      <c r="C379" t="s">
        <v>39</v>
      </c>
      <c r="D379">
        <v>-3853237.5</v>
      </c>
      <c r="E379" t="s">
        <v>331</v>
      </c>
    </row>
    <row r="380" spans="1:5" x14ac:dyDescent="0.25">
      <c r="A380">
        <v>1818</v>
      </c>
      <c r="B380" s="16">
        <v>43800</v>
      </c>
      <c r="C380" t="s">
        <v>39</v>
      </c>
      <c r="D380">
        <v>-3853237.5</v>
      </c>
      <c r="E380" t="s">
        <v>331</v>
      </c>
    </row>
    <row r="381" spans="1:5" x14ac:dyDescent="0.25">
      <c r="A381">
        <v>1829</v>
      </c>
      <c r="B381" s="16">
        <v>43466</v>
      </c>
      <c r="C381" t="s">
        <v>19</v>
      </c>
      <c r="D381">
        <v>-3811675.6440000003</v>
      </c>
      <c r="E381" t="s">
        <v>331</v>
      </c>
    </row>
    <row r="382" spans="1:5" x14ac:dyDescent="0.25">
      <c r="A382">
        <v>1829</v>
      </c>
      <c r="B382" s="16">
        <v>43497</v>
      </c>
      <c r="C382" t="s">
        <v>19</v>
      </c>
      <c r="D382">
        <v>-3811675.6440000003</v>
      </c>
      <c r="E382" t="s">
        <v>331</v>
      </c>
    </row>
    <row r="383" spans="1:5" x14ac:dyDescent="0.25">
      <c r="A383">
        <v>1829</v>
      </c>
      <c r="B383" s="16">
        <v>43525</v>
      </c>
      <c r="C383" t="s">
        <v>19</v>
      </c>
      <c r="D383">
        <v>-3811675.6440000003</v>
      </c>
      <c r="E383" t="s">
        <v>331</v>
      </c>
    </row>
    <row r="384" spans="1:5" x14ac:dyDescent="0.25">
      <c r="A384">
        <v>1829</v>
      </c>
      <c r="B384" s="16">
        <v>43556</v>
      </c>
      <c r="C384" t="s">
        <v>19</v>
      </c>
      <c r="D384">
        <v>-3811675.6440000003</v>
      </c>
      <c r="E384" t="s">
        <v>331</v>
      </c>
    </row>
    <row r="385" spans="1:5" x14ac:dyDescent="0.25">
      <c r="A385">
        <v>1829</v>
      </c>
      <c r="B385" s="16">
        <v>43586</v>
      </c>
      <c r="C385" t="s">
        <v>19</v>
      </c>
      <c r="D385">
        <v>-3811675.6440000003</v>
      </c>
      <c r="E385" t="s">
        <v>331</v>
      </c>
    </row>
    <row r="386" spans="1:5" x14ac:dyDescent="0.25">
      <c r="A386">
        <v>1829</v>
      </c>
      <c r="B386" s="16">
        <v>43617</v>
      </c>
      <c r="C386" t="s">
        <v>19</v>
      </c>
      <c r="D386">
        <v>-3811675.6440000003</v>
      </c>
      <c r="E386" t="s">
        <v>331</v>
      </c>
    </row>
    <row r="387" spans="1:5" x14ac:dyDescent="0.25">
      <c r="A387">
        <v>1829</v>
      </c>
      <c r="B387" s="16">
        <v>43647</v>
      </c>
      <c r="C387" t="s">
        <v>19</v>
      </c>
      <c r="D387">
        <v>-3811675.6440000003</v>
      </c>
      <c r="E387" t="s">
        <v>331</v>
      </c>
    </row>
    <row r="388" spans="1:5" x14ac:dyDescent="0.25">
      <c r="A388">
        <v>1829</v>
      </c>
      <c r="B388" s="16">
        <v>43678</v>
      </c>
      <c r="C388" t="s">
        <v>19</v>
      </c>
      <c r="D388">
        <v>-3811675.6440000003</v>
      </c>
      <c r="E388" t="s">
        <v>331</v>
      </c>
    </row>
    <row r="389" spans="1:5" x14ac:dyDescent="0.25">
      <c r="A389">
        <v>1829</v>
      </c>
      <c r="B389" s="16">
        <v>43709</v>
      </c>
      <c r="C389" t="s">
        <v>19</v>
      </c>
      <c r="D389">
        <v>-3811675.6440000003</v>
      </c>
      <c r="E389" t="s">
        <v>331</v>
      </c>
    </row>
    <row r="390" spans="1:5" x14ac:dyDescent="0.25">
      <c r="A390">
        <v>1829</v>
      </c>
      <c r="B390" s="16">
        <v>43739</v>
      </c>
      <c r="C390" t="s">
        <v>19</v>
      </c>
      <c r="D390">
        <v>-3811675.6440000003</v>
      </c>
      <c r="E390" t="s">
        <v>331</v>
      </c>
    </row>
    <row r="391" spans="1:5" x14ac:dyDescent="0.25">
      <c r="A391">
        <v>1829</v>
      </c>
      <c r="B391" s="16">
        <v>43770</v>
      </c>
      <c r="C391" t="s">
        <v>19</v>
      </c>
      <c r="D391">
        <v>-3811675.6440000003</v>
      </c>
      <c r="E391" t="s">
        <v>331</v>
      </c>
    </row>
    <row r="392" spans="1:5" x14ac:dyDescent="0.25">
      <c r="A392">
        <v>1829</v>
      </c>
      <c r="B392" s="16">
        <v>43800</v>
      </c>
      <c r="C392" t="s">
        <v>19</v>
      </c>
      <c r="D392">
        <v>-3811675.6440000003</v>
      </c>
      <c r="E392" t="s">
        <v>331</v>
      </c>
    </row>
    <row r="393" spans="1:5" x14ac:dyDescent="0.25">
      <c r="A393">
        <v>1829</v>
      </c>
      <c r="B393" s="16">
        <v>43831</v>
      </c>
      <c r="C393" t="s">
        <v>19</v>
      </c>
      <c r="D393">
        <v>-3811675.6440000003</v>
      </c>
      <c r="E393" t="s">
        <v>331</v>
      </c>
    </row>
    <row r="394" spans="1:5" x14ac:dyDescent="0.25">
      <c r="A394">
        <v>1829</v>
      </c>
      <c r="B394" s="16">
        <v>43862</v>
      </c>
      <c r="C394" t="s">
        <v>19</v>
      </c>
      <c r="D394">
        <v>-3811675.6440000003</v>
      </c>
      <c r="E394" t="s">
        <v>331</v>
      </c>
    </row>
    <row r="395" spans="1:5" x14ac:dyDescent="0.25">
      <c r="A395">
        <v>1829</v>
      </c>
      <c r="B395" s="16">
        <v>43891</v>
      </c>
      <c r="C395" t="s">
        <v>19</v>
      </c>
      <c r="D395">
        <v>-3811675.6440000003</v>
      </c>
      <c r="E395" t="s">
        <v>331</v>
      </c>
    </row>
    <row r="396" spans="1:5" x14ac:dyDescent="0.25">
      <c r="A396">
        <v>1829</v>
      </c>
      <c r="B396" s="16">
        <v>43922</v>
      </c>
      <c r="C396" t="s">
        <v>19</v>
      </c>
      <c r="D396">
        <v>-3811675.6440000003</v>
      </c>
      <c r="E396" t="s">
        <v>331</v>
      </c>
    </row>
    <row r="397" spans="1:5" x14ac:dyDescent="0.25">
      <c r="A397">
        <v>1829</v>
      </c>
      <c r="B397" s="16">
        <v>43952</v>
      </c>
      <c r="C397" t="s">
        <v>19</v>
      </c>
      <c r="D397">
        <v>-3811675.6440000003</v>
      </c>
      <c r="E397" t="s">
        <v>331</v>
      </c>
    </row>
    <row r="398" spans="1:5" x14ac:dyDescent="0.25">
      <c r="A398">
        <v>1829</v>
      </c>
      <c r="B398" s="16">
        <v>43983</v>
      </c>
      <c r="C398" t="s">
        <v>19</v>
      </c>
      <c r="D398">
        <v>-3811675.6440000003</v>
      </c>
      <c r="E398" t="s">
        <v>331</v>
      </c>
    </row>
    <row r="399" spans="1:5" x14ac:dyDescent="0.25">
      <c r="A399">
        <v>1829</v>
      </c>
      <c r="B399" s="16">
        <v>43466</v>
      </c>
      <c r="C399" t="s">
        <v>139</v>
      </c>
      <c r="D399">
        <v>-7505662.5</v>
      </c>
      <c r="E399" t="s">
        <v>331</v>
      </c>
    </row>
    <row r="400" spans="1:5" x14ac:dyDescent="0.25">
      <c r="A400">
        <v>1829</v>
      </c>
      <c r="B400" s="16">
        <v>43497</v>
      </c>
      <c r="C400" t="s">
        <v>139</v>
      </c>
      <c r="D400">
        <v>-7505662.5</v>
      </c>
      <c r="E400" t="s">
        <v>331</v>
      </c>
    </row>
    <row r="401" spans="1:5" x14ac:dyDescent="0.25">
      <c r="A401">
        <v>1829</v>
      </c>
      <c r="B401" s="16">
        <v>43525</v>
      </c>
      <c r="C401" t="s">
        <v>139</v>
      </c>
      <c r="D401">
        <v>-7505662.5</v>
      </c>
      <c r="E401" t="s">
        <v>331</v>
      </c>
    </row>
    <row r="402" spans="1:5" x14ac:dyDescent="0.25">
      <c r="A402">
        <v>1829</v>
      </c>
      <c r="B402" s="16">
        <v>43556</v>
      </c>
      <c r="C402" t="s">
        <v>139</v>
      </c>
      <c r="D402">
        <v>-7505662.5</v>
      </c>
      <c r="E402" t="s">
        <v>331</v>
      </c>
    </row>
    <row r="403" spans="1:5" x14ac:dyDescent="0.25">
      <c r="A403">
        <v>1829</v>
      </c>
      <c r="B403" s="16">
        <v>43586</v>
      </c>
      <c r="C403" t="s">
        <v>139</v>
      </c>
      <c r="D403">
        <v>-7505662.5</v>
      </c>
      <c r="E403" t="s">
        <v>331</v>
      </c>
    </row>
    <row r="404" spans="1:5" x14ac:dyDescent="0.25">
      <c r="A404">
        <v>1829</v>
      </c>
      <c r="B404" s="16">
        <v>43617</v>
      </c>
      <c r="C404" t="s">
        <v>139</v>
      </c>
      <c r="D404">
        <v>-7505662.5</v>
      </c>
      <c r="E404" t="s">
        <v>331</v>
      </c>
    </row>
    <row r="405" spans="1:5" x14ac:dyDescent="0.25">
      <c r="A405">
        <v>1829</v>
      </c>
      <c r="B405" s="16">
        <v>43647</v>
      </c>
      <c r="C405" t="s">
        <v>139</v>
      </c>
      <c r="D405">
        <v>-7505662.5</v>
      </c>
      <c r="E405" t="s">
        <v>331</v>
      </c>
    </row>
    <row r="406" spans="1:5" x14ac:dyDescent="0.25">
      <c r="A406">
        <v>1829</v>
      </c>
      <c r="B406" s="16">
        <v>43678</v>
      </c>
      <c r="C406" t="s">
        <v>139</v>
      </c>
      <c r="D406">
        <v>-7505662.5</v>
      </c>
      <c r="E406" t="s">
        <v>331</v>
      </c>
    </row>
    <row r="407" spans="1:5" x14ac:dyDescent="0.25">
      <c r="A407">
        <v>1829</v>
      </c>
      <c r="B407" s="16">
        <v>43709</v>
      </c>
      <c r="C407" t="s">
        <v>139</v>
      </c>
      <c r="D407">
        <v>-7505662.5</v>
      </c>
      <c r="E407" t="s">
        <v>331</v>
      </c>
    </row>
    <row r="408" spans="1:5" x14ac:dyDescent="0.25">
      <c r="A408">
        <v>1829</v>
      </c>
      <c r="B408" s="16">
        <v>43739</v>
      </c>
      <c r="C408" t="s">
        <v>139</v>
      </c>
      <c r="D408">
        <v>-7505662.5</v>
      </c>
      <c r="E408" t="s">
        <v>331</v>
      </c>
    </row>
    <row r="409" spans="1:5" x14ac:dyDescent="0.25">
      <c r="A409">
        <v>1829</v>
      </c>
      <c r="B409" s="16">
        <v>43770</v>
      </c>
      <c r="C409" t="s">
        <v>139</v>
      </c>
      <c r="D409">
        <v>-7505662.5</v>
      </c>
      <c r="E409" t="s">
        <v>331</v>
      </c>
    </row>
    <row r="410" spans="1:5" x14ac:dyDescent="0.25">
      <c r="A410">
        <v>1829</v>
      </c>
      <c r="B410" s="16">
        <v>43800</v>
      </c>
      <c r="C410" t="s">
        <v>139</v>
      </c>
      <c r="D410">
        <v>-7505662.5</v>
      </c>
      <c r="E410" t="s">
        <v>331</v>
      </c>
    </row>
    <row r="411" spans="1:5" x14ac:dyDescent="0.25">
      <c r="A411">
        <v>1829</v>
      </c>
      <c r="B411" s="16">
        <v>43831</v>
      </c>
      <c r="C411" t="s">
        <v>139</v>
      </c>
      <c r="D411">
        <v>-7505662.5</v>
      </c>
      <c r="E411" t="s">
        <v>331</v>
      </c>
    </row>
    <row r="412" spans="1:5" x14ac:dyDescent="0.25">
      <c r="A412">
        <v>1829</v>
      </c>
      <c r="B412" s="16">
        <v>43862</v>
      </c>
      <c r="C412" t="s">
        <v>139</v>
      </c>
      <c r="D412">
        <v>-7505662.5</v>
      </c>
      <c r="E412" t="s">
        <v>331</v>
      </c>
    </row>
    <row r="413" spans="1:5" x14ac:dyDescent="0.25">
      <c r="A413">
        <v>1829</v>
      </c>
      <c r="B413" s="16">
        <v>43891</v>
      </c>
      <c r="C413" t="s">
        <v>139</v>
      </c>
      <c r="D413">
        <v>-7505662.5</v>
      </c>
      <c r="E413" t="s">
        <v>331</v>
      </c>
    </row>
    <row r="414" spans="1:5" x14ac:dyDescent="0.25">
      <c r="A414">
        <v>1829</v>
      </c>
      <c r="B414" s="16">
        <v>43922</v>
      </c>
      <c r="C414" t="s">
        <v>139</v>
      </c>
      <c r="D414">
        <v>-7505662.5</v>
      </c>
      <c r="E414" t="s">
        <v>331</v>
      </c>
    </row>
    <row r="415" spans="1:5" x14ac:dyDescent="0.25">
      <c r="A415">
        <v>1829</v>
      </c>
      <c r="B415" s="16">
        <v>43952</v>
      </c>
      <c r="C415" t="s">
        <v>139</v>
      </c>
      <c r="D415">
        <v>-7505662.5</v>
      </c>
      <c r="E415" t="s">
        <v>331</v>
      </c>
    </row>
    <row r="416" spans="1:5" x14ac:dyDescent="0.25">
      <c r="A416">
        <v>1829</v>
      </c>
      <c r="B416" s="16">
        <v>43466</v>
      </c>
      <c r="C416" t="s">
        <v>12</v>
      </c>
      <c r="D416">
        <v>-17112910.5</v>
      </c>
      <c r="E416" t="s">
        <v>331</v>
      </c>
    </row>
    <row r="417" spans="1:5" x14ac:dyDescent="0.25">
      <c r="A417">
        <v>1829</v>
      </c>
      <c r="B417" s="16">
        <v>43497</v>
      </c>
      <c r="C417" t="s">
        <v>12</v>
      </c>
      <c r="D417">
        <v>-17112910.5</v>
      </c>
      <c r="E417" t="s">
        <v>331</v>
      </c>
    </row>
    <row r="418" spans="1:5" x14ac:dyDescent="0.25">
      <c r="A418">
        <v>1829</v>
      </c>
      <c r="B418" s="16">
        <v>43525</v>
      </c>
      <c r="C418" t="s">
        <v>12</v>
      </c>
      <c r="D418">
        <v>-17112910.5</v>
      </c>
      <c r="E418" t="s">
        <v>331</v>
      </c>
    </row>
    <row r="419" spans="1:5" x14ac:dyDescent="0.25">
      <c r="A419">
        <v>1829</v>
      </c>
      <c r="B419" s="16">
        <v>43556</v>
      </c>
      <c r="C419" t="s">
        <v>12</v>
      </c>
      <c r="D419">
        <v>-17112910.5</v>
      </c>
      <c r="E419" t="s">
        <v>331</v>
      </c>
    </row>
    <row r="420" spans="1:5" x14ac:dyDescent="0.25">
      <c r="A420">
        <v>1829</v>
      </c>
      <c r="B420" s="16">
        <v>43586</v>
      </c>
      <c r="C420" t="s">
        <v>12</v>
      </c>
      <c r="D420">
        <v>-17112910.5</v>
      </c>
      <c r="E420" t="s">
        <v>331</v>
      </c>
    </row>
    <row r="421" spans="1:5" x14ac:dyDescent="0.25">
      <c r="A421">
        <v>1829</v>
      </c>
      <c r="B421" s="16">
        <v>43617</v>
      </c>
      <c r="C421" t="s">
        <v>12</v>
      </c>
      <c r="D421">
        <v>-17112910.5</v>
      </c>
      <c r="E421" t="s">
        <v>331</v>
      </c>
    </row>
    <row r="422" spans="1:5" x14ac:dyDescent="0.25">
      <c r="A422">
        <v>1829</v>
      </c>
      <c r="B422" s="16">
        <v>43647</v>
      </c>
      <c r="C422" t="s">
        <v>12</v>
      </c>
      <c r="D422">
        <v>-17112910.5</v>
      </c>
      <c r="E422" t="s">
        <v>331</v>
      </c>
    </row>
    <row r="423" spans="1:5" x14ac:dyDescent="0.25">
      <c r="A423">
        <v>1829</v>
      </c>
      <c r="B423" s="16">
        <v>43678</v>
      </c>
      <c r="C423" t="s">
        <v>12</v>
      </c>
      <c r="D423">
        <v>-17112910.5</v>
      </c>
      <c r="E423" t="s">
        <v>331</v>
      </c>
    </row>
    <row r="424" spans="1:5" x14ac:dyDescent="0.25">
      <c r="A424">
        <v>1829</v>
      </c>
      <c r="B424" s="16">
        <v>43709</v>
      </c>
      <c r="C424" t="s">
        <v>12</v>
      </c>
      <c r="D424">
        <v>-17112910.5</v>
      </c>
      <c r="E424" t="s">
        <v>331</v>
      </c>
    </row>
    <row r="425" spans="1:5" x14ac:dyDescent="0.25">
      <c r="A425">
        <v>1829</v>
      </c>
      <c r="B425" s="16">
        <v>43739</v>
      </c>
      <c r="C425" t="s">
        <v>12</v>
      </c>
      <c r="D425">
        <v>-17112910.5</v>
      </c>
      <c r="E425" t="s">
        <v>331</v>
      </c>
    </row>
    <row r="426" spans="1:5" x14ac:dyDescent="0.25">
      <c r="A426">
        <v>1829</v>
      </c>
      <c r="B426" s="16">
        <v>43770</v>
      </c>
      <c r="C426" t="s">
        <v>12</v>
      </c>
      <c r="D426">
        <v>-17112910.5</v>
      </c>
      <c r="E426" t="s">
        <v>331</v>
      </c>
    </row>
    <row r="427" spans="1:5" x14ac:dyDescent="0.25">
      <c r="A427">
        <v>1829</v>
      </c>
      <c r="B427" s="16">
        <v>43800</v>
      </c>
      <c r="C427" t="s">
        <v>12</v>
      </c>
      <c r="D427">
        <v>-17112910.5</v>
      </c>
      <c r="E427" t="s">
        <v>331</v>
      </c>
    </row>
    <row r="428" spans="1:5" x14ac:dyDescent="0.25">
      <c r="A428">
        <v>1829</v>
      </c>
      <c r="B428" s="16">
        <v>43831</v>
      </c>
      <c r="C428" t="s">
        <v>12</v>
      </c>
      <c r="D428">
        <v>-17112910.5</v>
      </c>
      <c r="E428" t="s">
        <v>331</v>
      </c>
    </row>
    <row r="429" spans="1:5" x14ac:dyDescent="0.25">
      <c r="A429">
        <v>1829</v>
      </c>
      <c r="B429" s="16">
        <v>43862</v>
      </c>
      <c r="C429" t="s">
        <v>12</v>
      </c>
      <c r="D429">
        <v>-17112910.5</v>
      </c>
      <c r="E429" t="s">
        <v>331</v>
      </c>
    </row>
    <row r="430" spans="1:5" x14ac:dyDescent="0.25">
      <c r="A430">
        <v>1829</v>
      </c>
      <c r="B430" s="16">
        <v>43891</v>
      </c>
      <c r="C430" t="s">
        <v>12</v>
      </c>
      <c r="D430">
        <v>-17112910.5</v>
      </c>
      <c r="E430" t="s">
        <v>331</v>
      </c>
    </row>
    <row r="431" spans="1:5" x14ac:dyDescent="0.25">
      <c r="A431">
        <v>1829</v>
      </c>
      <c r="B431" s="16">
        <v>43922</v>
      </c>
      <c r="C431" t="s">
        <v>12</v>
      </c>
      <c r="D431">
        <v>-17112910.5</v>
      </c>
      <c r="E431" t="s">
        <v>331</v>
      </c>
    </row>
    <row r="432" spans="1:5" x14ac:dyDescent="0.25">
      <c r="A432">
        <v>1829</v>
      </c>
      <c r="B432" s="16">
        <v>43952</v>
      </c>
      <c r="C432" t="s">
        <v>12</v>
      </c>
      <c r="D432">
        <v>-17112910.5</v>
      </c>
      <c r="E432" t="s">
        <v>331</v>
      </c>
    </row>
    <row r="433" spans="1:5" x14ac:dyDescent="0.25">
      <c r="A433">
        <v>1829</v>
      </c>
      <c r="B433" s="16">
        <v>43983</v>
      </c>
      <c r="C433" t="s">
        <v>12</v>
      </c>
      <c r="D433">
        <v>-17112910.5</v>
      </c>
      <c r="E433" t="s">
        <v>331</v>
      </c>
    </row>
    <row r="434" spans="1:5" x14ac:dyDescent="0.25">
      <c r="A434">
        <v>1829</v>
      </c>
      <c r="B434" s="16">
        <v>43466</v>
      </c>
      <c r="C434" t="s">
        <v>140</v>
      </c>
      <c r="D434">
        <v>-5821058.25</v>
      </c>
      <c r="E434" t="s">
        <v>331</v>
      </c>
    </row>
    <row r="435" spans="1:5" x14ac:dyDescent="0.25">
      <c r="A435">
        <v>1829</v>
      </c>
      <c r="B435" s="16">
        <v>43497</v>
      </c>
      <c r="C435" t="s">
        <v>140</v>
      </c>
      <c r="D435">
        <v>-5821058.25</v>
      </c>
      <c r="E435" t="s">
        <v>331</v>
      </c>
    </row>
    <row r="436" spans="1:5" x14ac:dyDescent="0.25">
      <c r="A436">
        <v>1829</v>
      </c>
      <c r="B436" s="16">
        <v>43525</v>
      </c>
      <c r="C436" t="s">
        <v>140</v>
      </c>
      <c r="D436">
        <v>-5821058.25</v>
      </c>
      <c r="E436" t="s">
        <v>331</v>
      </c>
    </row>
    <row r="437" spans="1:5" x14ac:dyDescent="0.25">
      <c r="A437">
        <v>1829</v>
      </c>
      <c r="B437" s="16">
        <v>43556</v>
      </c>
      <c r="C437" t="s">
        <v>140</v>
      </c>
      <c r="D437">
        <v>-5821058.25</v>
      </c>
      <c r="E437" t="s">
        <v>331</v>
      </c>
    </row>
    <row r="438" spans="1:5" x14ac:dyDescent="0.25">
      <c r="A438">
        <v>1829</v>
      </c>
      <c r="B438" s="16">
        <v>43586</v>
      </c>
      <c r="C438" t="s">
        <v>140</v>
      </c>
      <c r="D438">
        <v>-5821058.25</v>
      </c>
      <c r="E438" t="s">
        <v>331</v>
      </c>
    </row>
    <row r="439" spans="1:5" x14ac:dyDescent="0.25">
      <c r="A439">
        <v>1829</v>
      </c>
      <c r="B439" s="16">
        <v>43617</v>
      </c>
      <c r="C439" t="s">
        <v>140</v>
      </c>
      <c r="D439">
        <v>-5821058.25</v>
      </c>
      <c r="E439" t="s">
        <v>331</v>
      </c>
    </row>
    <row r="440" spans="1:5" x14ac:dyDescent="0.25">
      <c r="A440">
        <v>1829</v>
      </c>
      <c r="B440" s="16">
        <v>43647</v>
      </c>
      <c r="C440" t="s">
        <v>140</v>
      </c>
      <c r="D440">
        <v>-5821058.25</v>
      </c>
      <c r="E440" t="s">
        <v>331</v>
      </c>
    </row>
    <row r="441" spans="1:5" x14ac:dyDescent="0.25">
      <c r="A441">
        <v>1829</v>
      </c>
      <c r="B441" s="16">
        <v>43678</v>
      </c>
      <c r="C441" t="s">
        <v>140</v>
      </c>
      <c r="D441">
        <v>-5821058.25</v>
      </c>
      <c r="E441" t="s">
        <v>331</v>
      </c>
    </row>
    <row r="442" spans="1:5" x14ac:dyDescent="0.25">
      <c r="A442">
        <v>1829</v>
      </c>
      <c r="B442" s="16">
        <v>43709</v>
      </c>
      <c r="C442" t="s">
        <v>140</v>
      </c>
      <c r="D442">
        <v>-5821058.25</v>
      </c>
      <c r="E442" t="s">
        <v>331</v>
      </c>
    </row>
    <row r="443" spans="1:5" x14ac:dyDescent="0.25">
      <c r="A443">
        <v>1829</v>
      </c>
      <c r="B443" s="16">
        <v>43739</v>
      </c>
      <c r="C443" t="s">
        <v>140</v>
      </c>
      <c r="D443">
        <v>-5821058.25</v>
      </c>
      <c r="E443" t="s">
        <v>331</v>
      </c>
    </row>
    <row r="444" spans="1:5" x14ac:dyDescent="0.25">
      <c r="A444">
        <v>1829</v>
      </c>
      <c r="B444" s="16">
        <v>43770</v>
      </c>
      <c r="C444" t="s">
        <v>140</v>
      </c>
      <c r="D444">
        <v>-5821058.25</v>
      </c>
      <c r="E444" t="s">
        <v>331</v>
      </c>
    </row>
    <row r="445" spans="1:5" x14ac:dyDescent="0.25">
      <c r="A445">
        <v>1829</v>
      </c>
      <c r="B445" s="16">
        <v>43800</v>
      </c>
      <c r="C445" t="s">
        <v>140</v>
      </c>
      <c r="D445">
        <v>-5821058.25</v>
      </c>
      <c r="E445" t="s">
        <v>331</v>
      </c>
    </row>
    <row r="446" spans="1:5" x14ac:dyDescent="0.25">
      <c r="A446">
        <v>1829</v>
      </c>
      <c r="B446" s="16">
        <v>43466</v>
      </c>
      <c r="C446" t="s">
        <v>142</v>
      </c>
      <c r="D446">
        <v>-4154801.1749999998</v>
      </c>
      <c r="E446" t="s">
        <v>331</v>
      </c>
    </row>
    <row r="447" spans="1:5" x14ac:dyDescent="0.25">
      <c r="A447">
        <v>1829</v>
      </c>
      <c r="B447" s="16">
        <v>43497</v>
      </c>
      <c r="C447" t="s">
        <v>142</v>
      </c>
      <c r="D447">
        <v>-4154801.1749999998</v>
      </c>
      <c r="E447" t="s">
        <v>331</v>
      </c>
    </row>
    <row r="448" spans="1:5" x14ac:dyDescent="0.25">
      <c r="A448">
        <v>1829</v>
      </c>
      <c r="B448" s="16">
        <v>43525</v>
      </c>
      <c r="C448" t="s">
        <v>142</v>
      </c>
      <c r="D448">
        <v>-4154801.1749999998</v>
      </c>
      <c r="E448" t="s">
        <v>331</v>
      </c>
    </row>
    <row r="449" spans="1:5" x14ac:dyDescent="0.25">
      <c r="A449">
        <v>1829</v>
      </c>
      <c r="B449" s="16">
        <v>43556</v>
      </c>
      <c r="C449" t="s">
        <v>142</v>
      </c>
      <c r="D449">
        <v>-4154801.1749999998</v>
      </c>
      <c r="E449" t="s">
        <v>331</v>
      </c>
    </row>
    <row r="450" spans="1:5" x14ac:dyDescent="0.25">
      <c r="A450">
        <v>1829</v>
      </c>
      <c r="B450" s="16">
        <v>43586</v>
      </c>
      <c r="C450" t="s">
        <v>142</v>
      </c>
      <c r="D450">
        <v>-4154801.1749999998</v>
      </c>
      <c r="E450" t="s">
        <v>331</v>
      </c>
    </row>
    <row r="451" spans="1:5" x14ac:dyDescent="0.25">
      <c r="A451">
        <v>1829</v>
      </c>
      <c r="B451" s="16">
        <v>43617</v>
      </c>
      <c r="C451" t="s">
        <v>142</v>
      </c>
      <c r="D451">
        <v>-4154801.1749999998</v>
      </c>
      <c r="E451" t="s">
        <v>331</v>
      </c>
    </row>
    <row r="452" spans="1:5" x14ac:dyDescent="0.25">
      <c r="A452">
        <v>1829</v>
      </c>
      <c r="B452" s="16">
        <v>43647</v>
      </c>
      <c r="C452" t="s">
        <v>142</v>
      </c>
      <c r="D452">
        <v>-4154801.1749999998</v>
      </c>
      <c r="E452" t="s">
        <v>331</v>
      </c>
    </row>
    <row r="453" spans="1:5" x14ac:dyDescent="0.25">
      <c r="A453">
        <v>1829</v>
      </c>
      <c r="B453" s="16">
        <v>43678</v>
      </c>
      <c r="C453" t="s">
        <v>142</v>
      </c>
      <c r="D453">
        <v>-4154801.1749999998</v>
      </c>
      <c r="E453" t="s">
        <v>331</v>
      </c>
    </row>
    <row r="454" spans="1:5" x14ac:dyDescent="0.25">
      <c r="A454">
        <v>1829</v>
      </c>
      <c r="B454" s="16">
        <v>43709</v>
      </c>
      <c r="C454" t="s">
        <v>142</v>
      </c>
      <c r="D454">
        <v>-4154801.1749999998</v>
      </c>
      <c r="E454" t="s">
        <v>331</v>
      </c>
    </row>
    <row r="455" spans="1:5" x14ac:dyDescent="0.25">
      <c r="A455">
        <v>1829</v>
      </c>
      <c r="B455" s="16">
        <v>43739</v>
      </c>
      <c r="C455" t="s">
        <v>142</v>
      </c>
      <c r="D455">
        <v>-4154801.1749999998</v>
      </c>
      <c r="E455" t="s">
        <v>331</v>
      </c>
    </row>
    <row r="456" spans="1:5" x14ac:dyDescent="0.25">
      <c r="A456">
        <v>1829</v>
      </c>
      <c r="B456" s="16">
        <v>43770</v>
      </c>
      <c r="C456" t="s">
        <v>142</v>
      </c>
      <c r="D456">
        <v>-4154801.1749999998</v>
      </c>
      <c r="E456" t="s">
        <v>331</v>
      </c>
    </row>
    <row r="457" spans="1:5" x14ac:dyDescent="0.25">
      <c r="A457">
        <v>1829</v>
      </c>
      <c r="B457" s="16">
        <v>43800</v>
      </c>
      <c r="C457" t="s">
        <v>142</v>
      </c>
      <c r="D457">
        <v>-4154801.1749999998</v>
      </c>
      <c r="E457" t="s">
        <v>331</v>
      </c>
    </row>
    <row r="458" spans="1:5" x14ac:dyDescent="0.25">
      <c r="A458">
        <v>1829</v>
      </c>
      <c r="B458" s="16">
        <v>43831</v>
      </c>
      <c r="C458" t="s">
        <v>142</v>
      </c>
      <c r="D458">
        <v>-4154801.1749999998</v>
      </c>
      <c r="E458" t="s">
        <v>331</v>
      </c>
    </row>
    <row r="459" spans="1:5" x14ac:dyDescent="0.25">
      <c r="A459">
        <v>1829</v>
      </c>
      <c r="B459" s="16">
        <v>43862</v>
      </c>
      <c r="C459" t="s">
        <v>142</v>
      </c>
      <c r="D459">
        <v>-4154801.1749999998</v>
      </c>
      <c r="E459" t="s">
        <v>331</v>
      </c>
    </row>
    <row r="460" spans="1:5" x14ac:dyDescent="0.25">
      <c r="A460">
        <v>1829</v>
      </c>
      <c r="B460" s="16">
        <v>43466</v>
      </c>
      <c r="C460" t="s">
        <v>59</v>
      </c>
      <c r="D460">
        <v>-1667925</v>
      </c>
      <c r="E460" t="s">
        <v>331</v>
      </c>
    </row>
    <row r="461" spans="1:5" x14ac:dyDescent="0.25">
      <c r="A461">
        <v>1829</v>
      </c>
      <c r="B461" s="16">
        <v>43497</v>
      </c>
      <c r="C461" t="s">
        <v>59</v>
      </c>
      <c r="D461">
        <v>-1667925</v>
      </c>
      <c r="E461" t="s">
        <v>331</v>
      </c>
    </row>
    <row r="462" spans="1:5" x14ac:dyDescent="0.25">
      <c r="A462">
        <v>1829</v>
      </c>
      <c r="B462" s="16">
        <v>43525</v>
      </c>
      <c r="C462" t="s">
        <v>59</v>
      </c>
      <c r="D462">
        <v>-1667925</v>
      </c>
      <c r="E462" t="s">
        <v>331</v>
      </c>
    </row>
    <row r="463" spans="1:5" x14ac:dyDescent="0.25">
      <c r="A463">
        <v>1829</v>
      </c>
      <c r="B463" s="16">
        <v>43556</v>
      </c>
      <c r="C463" t="s">
        <v>59</v>
      </c>
      <c r="D463">
        <v>-1667925</v>
      </c>
      <c r="E463" t="s">
        <v>331</v>
      </c>
    </row>
    <row r="464" spans="1:5" x14ac:dyDescent="0.25">
      <c r="A464">
        <v>1829</v>
      </c>
      <c r="B464" s="16">
        <v>43586</v>
      </c>
      <c r="C464" t="s">
        <v>59</v>
      </c>
      <c r="D464">
        <v>-1667925</v>
      </c>
      <c r="E464" t="s">
        <v>331</v>
      </c>
    </row>
    <row r="465" spans="1:5" x14ac:dyDescent="0.25">
      <c r="A465">
        <v>1829</v>
      </c>
      <c r="B465" s="16">
        <v>43617</v>
      </c>
      <c r="C465" t="s">
        <v>59</v>
      </c>
      <c r="D465">
        <v>-1667925</v>
      </c>
      <c r="E465" t="s">
        <v>331</v>
      </c>
    </row>
    <row r="466" spans="1:5" x14ac:dyDescent="0.25">
      <c r="A466">
        <v>1829</v>
      </c>
      <c r="B466" s="16">
        <v>43647</v>
      </c>
      <c r="C466" t="s">
        <v>59</v>
      </c>
      <c r="D466">
        <v>-1667925</v>
      </c>
      <c r="E466" t="s">
        <v>331</v>
      </c>
    </row>
    <row r="467" spans="1:5" x14ac:dyDescent="0.25">
      <c r="A467">
        <v>1829</v>
      </c>
      <c r="B467" s="16">
        <v>43678</v>
      </c>
      <c r="C467" t="s">
        <v>59</v>
      </c>
      <c r="D467">
        <v>-1667925</v>
      </c>
      <c r="E467" t="s">
        <v>331</v>
      </c>
    </row>
    <row r="468" spans="1:5" x14ac:dyDescent="0.25">
      <c r="A468">
        <v>1829</v>
      </c>
      <c r="B468" s="16">
        <v>43709</v>
      </c>
      <c r="C468" t="s">
        <v>59</v>
      </c>
      <c r="D468">
        <v>-1667925</v>
      </c>
      <c r="E468" t="s">
        <v>331</v>
      </c>
    </row>
    <row r="469" spans="1:5" x14ac:dyDescent="0.25">
      <c r="A469">
        <v>1829</v>
      </c>
      <c r="B469" s="16">
        <v>43739</v>
      </c>
      <c r="C469" t="s">
        <v>59</v>
      </c>
      <c r="D469">
        <v>-1667925</v>
      </c>
      <c r="E469" t="s">
        <v>331</v>
      </c>
    </row>
    <row r="470" spans="1:5" x14ac:dyDescent="0.25">
      <c r="A470">
        <v>1829</v>
      </c>
      <c r="B470" s="16">
        <v>43770</v>
      </c>
      <c r="C470" t="s">
        <v>59</v>
      </c>
      <c r="D470">
        <v>-1667925</v>
      </c>
      <c r="E470" t="s">
        <v>331</v>
      </c>
    </row>
    <row r="471" spans="1:5" x14ac:dyDescent="0.25">
      <c r="A471">
        <v>1829</v>
      </c>
      <c r="B471" s="16">
        <v>43800</v>
      </c>
      <c r="C471" t="s">
        <v>59</v>
      </c>
      <c r="D471">
        <v>-1667925</v>
      </c>
      <c r="E471" t="s">
        <v>331</v>
      </c>
    </row>
    <row r="472" spans="1:5" x14ac:dyDescent="0.25">
      <c r="A472">
        <v>1829</v>
      </c>
      <c r="B472" s="16">
        <v>43831</v>
      </c>
      <c r="C472" t="s">
        <v>59</v>
      </c>
      <c r="D472">
        <v>-1667925</v>
      </c>
      <c r="E472" t="s">
        <v>331</v>
      </c>
    </row>
    <row r="473" spans="1:5" x14ac:dyDescent="0.25">
      <c r="A473">
        <v>1829</v>
      </c>
      <c r="B473" s="16">
        <v>43862</v>
      </c>
      <c r="C473" t="s">
        <v>59</v>
      </c>
      <c r="D473">
        <v>-1667925</v>
      </c>
      <c r="E473" t="s">
        <v>331</v>
      </c>
    </row>
    <row r="474" spans="1:5" x14ac:dyDescent="0.25">
      <c r="A474">
        <v>1829</v>
      </c>
      <c r="B474" s="16">
        <v>43891</v>
      </c>
      <c r="C474" t="s">
        <v>59</v>
      </c>
      <c r="D474">
        <v>-1667925</v>
      </c>
      <c r="E474" t="s">
        <v>331</v>
      </c>
    </row>
    <row r="475" spans="1:5" x14ac:dyDescent="0.25">
      <c r="A475">
        <v>1829</v>
      </c>
      <c r="B475" s="16">
        <v>43922</v>
      </c>
      <c r="C475" t="s">
        <v>59</v>
      </c>
      <c r="D475">
        <v>-1667925</v>
      </c>
      <c r="E475" t="s">
        <v>331</v>
      </c>
    </row>
    <row r="476" spans="1:5" x14ac:dyDescent="0.25">
      <c r="A476">
        <v>1829</v>
      </c>
      <c r="B476" s="16">
        <v>43466</v>
      </c>
      <c r="C476" t="s">
        <v>39</v>
      </c>
      <c r="D476">
        <v>-3886265.25</v>
      </c>
      <c r="E476" t="s">
        <v>331</v>
      </c>
    </row>
    <row r="477" spans="1:5" x14ac:dyDescent="0.25">
      <c r="A477">
        <v>1829</v>
      </c>
      <c r="B477" s="16">
        <v>43497</v>
      </c>
      <c r="C477" t="s">
        <v>39</v>
      </c>
      <c r="D477">
        <v>-3886265.25</v>
      </c>
      <c r="E477" t="s">
        <v>331</v>
      </c>
    </row>
    <row r="478" spans="1:5" x14ac:dyDescent="0.25">
      <c r="A478">
        <v>1829</v>
      </c>
      <c r="B478" s="16">
        <v>43525</v>
      </c>
      <c r="C478" t="s">
        <v>39</v>
      </c>
      <c r="D478">
        <v>-3886265.25</v>
      </c>
      <c r="E478" t="s">
        <v>331</v>
      </c>
    </row>
    <row r="479" spans="1:5" x14ac:dyDescent="0.25">
      <c r="A479">
        <v>1829</v>
      </c>
      <c r="B479" s="16">
        <v>43556</v>
      </c>
      <c r="C479" t="s">
        <v>39</v>
      </c>
      <c r="D479">
        <v>-3886265.25</v>
      </c>
      <c r="E479" t="s">
        <v>331</v>
      </c>
    </row>
    <row r="480" spans="1:5" x14ac:dyDescent="0.25">
      <c r="A480">
        <v>1829</v>
      </c>
      <c r="B480" s="16">
        <v>43586</v>
      </c>
      <c r="C480" t="s">
        <v>39</v>
      </c>
      <c r="D480">
        <v>-3886265.25</v>
      </c>
      <c r="E480" t="s">
        <v>331</v>
      </c>
    </row>
    <row r="481" spans="1:5" x14ac:dyDescent="0.25">
      <c r="A481">
        <v>1829</v>
      </c>
      <c r="B481" s="16">
        <v>43617</v>
      </c>
      <c r="C481" t="s">
        <v>39</v>
      </c>
      <c r="D481">
        <v>-3886265.25</v>
      </c>
      <c r="E481" t="s">
        <v>331</v>
      </c>
    </row>
    <row r="482" spans="1:5" x14ac:dyDescent="0.25">
      <c r="A482">
        <v>1829</v>
      </c>
      <c r="B482" s="16">
        <v>43647</v>
      </c>
      <c r="C482" t="s">
        <v>39</v>
      </c>
      <c r="D482">
        <v>-3886265.25</v>
      </c>
      <c r="E482" t="s">
        <v>331</v>
      </c>
    </row>
    <row r="483" spans="1:5" x14ac:dyDescent="0.25">
      <c r="A483">
        <v>1829</v>
      </c>
      <c r="B483" s="16">
        <v>43678</v>
      </c>
      <c r="C483" t="s">
        <v>39</v>
      </c>
      <c r="D483">
        <v>-3886265.25</v>
      </c>
      <c r="E483" t="s">
        <v>331</v>
      </c>
    </row>
    <row r="484" spans="1:5" x14ac:dyDescent="0.25">
      <c r="A484">
        <v>1829</v>
      </c>
      <c r="B484" s="16">
        <v>43709</v>
      </c>
      <c r="C484" t="s">
        <v>39</v>
      </c>
      <c r="D484">
        <v>-3886265.25</v>
      </c>
      <c r="E484" t="s">
        <v>331</v>
      </c>
    </row>
    <row r="485" spans="1:5" x14ac:dyDescent="0.25">
      <c r="A485">
        <v>1829</v>
      </c>
      <c r="B485" s="16">
        <v>43739</v>
      </c>
      <c r="C485" t="s">
        <v>39</v>
      </c>
      <c r="D485">
        <v>-3886265.25</v>
      </c>
      <c r="E485" t="s">
        <v>331</v>
      </c>
    </row>
    <row r="486" spans="1:5" x14ac:dyDescent="0.25">
      <c r="A486">
        <v>1829</v>
      </c>
      <c r="B486" s="16">
        <v>43770</v>
      </c>
      <c r="C486" t="s">
        <v>39</v>
      </c>
      <c r="D486">
        <v>-3886265.25</v>
      </c>
      <c r="E486" t="s">
        <v>331</v>
      </c>
    </row>
    <row r="487" spans="1:5" x14ac:dyDescent="0.25">
      <c r="A487">
        <v>1829</v>
      </c>
      <c r="B487" s="16">
        <v>43800</v>
      </c>
      <c r="C487" t="s">
        <v>39</v>
      </c>
      <c r="D487">
        <v>-3886265.25</v>
      </c>
      <c r="E487" t="s">
        <v>331</v>
      </c>
    </row>
    <row r="488" spans="1:5" x14ac:dyDescent="0.25">
      <c r="A488">
        <v>1829</v>
      </c>
      <c r="B488" s="16">
        <v>43831</v>
      </c>
      <c r="C488" t="s">
        <v>39</v>
      </c>
      <c r="D488">
        <v>-3886265.25</v>
      </c>
      <c r="E488" t="s">
        <v>331</v>
      </c>
    </row>
    <row r="489" spans="1:5" x14ac:dyDescent="0.25">
      <c r="A489">
        <v>1829</v>
      </c>
      <c r="B489" s="16">
        <v>43862</v>
      </c>
      <c r="C489" t="s">
        <v>39</v>
      </c>
      <c r="D489">
        <v>-3886265.25</v>
      </c>
      <c r="E489" t="s">
        <v>331</v>
      </c>
    </row>
    <row r="490" spans="1:5" x14ac:dyDescent="0.25">
      <c r="A490">
        <v>1829</v>
      </c>
      <c r="B490" s="16">
        <v>43891</v>
      </c>
      <c r="C490" t="s">
        <v>39</v>
      </c>
      <c r="D490">
        <v>-3886265.25</v>
      </c>
      <c r="E490" t="s">
        <v>331</v>
      </c>
    </row>
    <row r="491" spans="1:5" x14ac:dyDescent="0.25">
      <c r="A491">
        <v>1829</v>
      </c>
      <c r="B491" s="16">
        <v>43922</v>
      </c>
      <c r="C491" t="s">
        <v>39</v>
      </c>
      <c r="D491">
        <v>-3886265.25</v>
      </c>
      <c r="E491" t="s">
        <v>331</v>
      </c>
    </row>
    <row r="492" spans="1:5" x14ac:dyDescent="0.25">
      <c r="A492">
        <v>1829</v>
      </c>
      <c r="B492" s="16">
        <v>43952</v>
      </c>
      <c r="C492" t="s">
        <v>39</v>
      </c>
      <c r="D492">
        <v>-3886265.25</v>
      </c>
      <c r="E492" t="s">
        <v>331</v>
      </c>
    </row>
    <row r="493" spans="1:5" x14ac:dyDescent="0.25">
      <c r="A493">
        <v>1829</v>
      </c>
      <c r="B493" s="16">
        <v>43983</v>
      </c>
      <c r="C493" t="s">
        <v>39</v>
      </c>
      <c r="D493">
        <v>-3886265.25</v>
      </c>
      <c r="E493" t="s">
        <v>331</v>
      </c>
    </row>
    <row r="494" spans="1:5" x14ac:dyDescent="0.25">
      <c r="A494">
        <v>1829</v>
      </c>
      <c r="B494" s="16">
        <v>43466</v>
      </c>
      <c r="C494" t="s">
        <v>136</v>
      </c>
      <c r="D494">
        <v>-6004530</v>
      </c>
      <c r="E494" t="s">
        <v>331</v>
      </c>
    </row>
    <row r="495" spans="1:5" x14ac:dyDescent="0.25">
      <c r="A495">
        <v>1829</v>
      </c>
      <c r="B495" s="16">
        <v>43497</v>
      </c>
      <c r="C495" t="s">
        <v>136</v>
      </c>
      <c r="D495">
        <v>-6004530</v>
      </c>
      <c r="E495" t="s">
        <v>331</v>
      </c>
    </row>
    <row r="496" spans="1:5" x14ac:dyDescent="0.25">
      <c r="A496">
        <v>1829</v>
      </c>
      <c r="B496" s="16">
        <v>43525</v>
      </c>
      <c r="C496" t="s">
        <v>136</v>
      </c>
      <c r="D496">
        <v>-6004530</v>
      </c>
      <c r="E496" t="s">
        <v>331</v>
      </c>
    </row>
    <row r="497" spans="1:5" x14ac:dyDescent="0.25">
      <c r="A497">
        <v>1829</v>
      </c>
      <c r="B497" s="16">
        <v>43556</v>
      </c>
      <c r="C497" t="s">
        <v>136</v>
      </c>
      <c r="D497">
        <v>-6004530</v>
      </c>
      <c r="E497" t="s">
        <v>331</v>
      </c>
    </row>
    <row r="498" spans="1:5" x14ac:dyDescent="0.25">
      <c r="A498">
        <v>1829</v>
      </c>
      <c r="B498" s="16">
        <v>43586</v>
      </c>
      <c r="C498" t="s">
        <v>136</v>
      </c>
      <c r="D498">
        <v>-6004530</v>
      </c>
      <c r="E498" t="s">
        <v>331</v>
      </c>
    </row>
    <row r="499" spans="1:5" x14ac:dyDescent="0.25">
      <c r="A499">
        <v>1829</v>
      </c>
      <c r="B499" s="16">
        <v>43617</v>
      </c>
      <c r="C499" t="s">
        <v>136</v>
      </c>
      <c r="D499">
        <v>-6004530</v>
      </c>
      <c r="E499" t="s">
        <v>331</v>
      </c>
    </row>
    <row r="500" spans="1:5" x14ac:dyDescent="0.25">
      <c r="A500">
        <v>1829</v>
      </c>
      <c r="B500" s="16">
        <v>43647</v>
      </c>
      <c r="C500" t="s">
        <v>136</v>
      </c>
      <c r="D500">
        <v>-6004530</v>
      </c>
      <c r="E500" t="s">
        <v>331</v>
      </c>
    </row>
    <row r="501" spans="1:5" x14ac:dyDescent="0.25">
      <c r="A501">
        <v>1829</v>
      </c>
      <c r="B501" s="16">
        <v>43678</v>
      </c>
      <c r="C501" t="s">
        <v>136</v>
      </c>
      <c r="D501">
        <v>-6004530</v>
      </c>
      <c r="E501" t="s">
        <v>331</v>
      </c>
    </row>
    <row r="502" spans="1:5" x14ac:dyDescent="0.25">
      <c r="A502">
        <v>1829</v>
      </c>
      <c r="B502" s="16">
        <v>43709</v>
      </c>
      <c r="C502" t="s">
        <v>136</v>
      </c>
      <c r="D502">
        <v>-6004530</v>
      </c>
      <c r="E502" t="s">
        <v>331</v>
      </c>
    </row>
    <row r="503" spans="1:5" x14ac:dyDescent="0.25">
      <c r="A503">
        <v>1829</v>
      </c>
      <c r="B503" s="16">
        <v>43739</v>
      </c>
      <c r="C503" t="s">
        <v>136</v>
      </c>
      <c r="D503">
        <v>-6004530</v>
      </c>
      <c r="E503" t="s">
        <v>331</v>
      </c>
    </row>
    <row r="504" spans="1:5" x14ac:dyDescent="0.25">
      <c r="A504">
        <v>1829</v>
      </c>
      <c r="B504" s="16">
        <v>43770</v>
      </c>
      <c r="C504" t="s">
        <v>136</v>
      </c>
      <c r="D504">
        <v>-6004530</v>
      </c>
      <c r="E504" t="s">
        <v>331</v>
      </c>
    </row>
    <row r="505" spans="1:5" x14ac:dyDescent="0.25">
      <c r="A505">
        <v>1829</v>
      </c>
      <c r="B505" s="16">
        <v>43800</v>
      </c>
      <c r="C505" t="s">
        <v>136</v>
      </c>
      <c r="D505">
        <v>-6004530</v>
      </c>
      <c r="E505" t="s">
        <v>331</v>
      </c>
    </row>
    <row r="506" spans="1:5" x14ac:dyDescent="0.25">
      <c r="A506">
        <v>1829</v>
      </c>
      <c r="B506" s="16">
        <v>43831</v>
      </c>
      <c r="C506" t="s">
        <v>136</v>
      </c>
      <c r="D506">
        <v>-6004530</v>
      </c>
      <c r="E506" t="s">
        <v>331</v>
      </c>
    </row>
    <row r="507" spans="1:5" x14ac:dyDescent="0.25">
      <c r="A507">
        <v>1829</v>
      </c>
      <c r="B507" s="16">
        <v>43862</v>
      </c>
      <c r="C507" t="s">
        <v>136</v>
      </c>
      <c r="D507">
        <v>-6004530</v>
      </c>
      <c r="E507" t="s">
        <v>331</v>
      </c>
    </row>
    <row r="508" spans="1:5" x14ac:dyDescent="0.25">
      <c r="A508">
        <v>1829</v>
      </c>
      <c r="B508" s="16">
        <v>43891</v>
      </c>
      <c r="C508" t="s">
        <v>136</v>
      </c>
      <c r="D508">
        <v>-6004530</v>
      </c>
      <c r="E508" t="s">
        <v>331</v>
      </c>
    </row>
    <row r="509" spans="1:5" x14ac:dyDescent="0.25">
      <c r="A509">
        <v>1838</v>
      </c>
      <c r="B509" s="16">
        <v>43466</v>
      </c>
      <c r="C509" t="s">
        <v>144</v>
      </c>
      <c r="D509">
        <v>-1289925</v>
      </c>
      <c r="E509" t="s">
        <v>331</v>
      </c>
    </row>
    <row r="510" spans="1:5" x14ac:dyDescent="0.25">
      <c r="A510">
        <v>1838</v>
      </c>
      <c r="B510" s="16">
        <v>43497</v>
      </c>
      <c r="C510" t="s">
        <v>144</v>
      </c>
      <c r="D510">
        <v>-1289925</v>
      </c>
      <c r="E510" t="s">
        <v>331</v>
      </c>
    </row>
    <row r="511" spans="1:5" x14ac:dyDescent="0.25">
      <c r="A511">
        <v>1838</v>
      </c>
      <c r="B511" s="16">
        <v>43525</v>
      </c>
      <c r="C511" t="s">
        <v>144</v>
      </c>
      <c r="D511">
        <v>-1289925</v>
      </c>
      <c r="E511" t="s">
        <v>331</v>
      </c>
    </row>
    <row r="512" spans="1:5" x14ac:dyDescent="0.25">
      <c r="A512">
        <v>1838</v>
      </c>
      <c r="B512" s="16">
        <v>43466</v>
      </c>
      <c r="C512" t="s">
        <v>83</v>
      </c>
      <c r="D512">
        <v>-1129511.25</v>
      </c>
      <c r="E512" t="s">
        <v>331</v>
      </c>
    </row>
    <row r="513" spans="1:5" x14ac:dyDescent="0.25">
      <c r="A513">
        <v>1838</v>
      </c>
      <c r="B513" s="16">
        <v>43497</v>
      </c>
      <c r="C513" t="s">
        <v>83</v>
      </c>
      <c r="D513">
        <v>-1129511.25</v>
      </c>
      <c r="E513" t="s">
        <v>331</v>
      </c>
    </row>
    <row r="514" spans="1:5" x14ac:dyDescent="0.25">
      <c r="A514">
        <v>1838</v>
      </c>
      <c r="B514" s="16">
        <v>43525</v>
      </c>
      <c r="C514" t="s">
        <v>83</v>
      </c>
      <c r="D514">
        <v>-1129511.25</v>
      </c>
      <c r="E514" t="s">
        <v>331</v>
      </c>
    </row>
    <row r="515" spans="1:5" x14ac:dyDescent="0.25">
      <c r="A515">
        <v>1838</v>
      </c>
      <c r="B515" s="16">
        <v>43466</v>
      </c>
      <c r="C515" t="s">
        <v>119</v>
      </c>
      <c r="D515">
        <v>-7607250</v>
      </c>
      <c r="E515" t="s">
        <v>331</v>
      </c>
    </row>
    <row r="516" spans="1:5" x14ac:dyDescent="0.25">
      <c r="A516">
        <v>1838</v>
      </c>
      <c r="B516" s="16">
        <v>43497</v>
      </c>
      <c r="C516" t="s">
        <v>119</v>
      </c>
      <c r="D516">
        <v>-7607250</v>
      </c>
      <c r="E516" t="s">
        <v>331</v>
      </c>
    </row>
    <row r="517" spans="1:5" x14ac:dyDescent="0.25">
      <c r="A517">
        <v>1838</v>
      </c>
      <c r="B517" s="16">
        <v>43525</v>
      </c>
      <c r="C517" t="s">
        <v>119</v>
      </c>
      <c r="D517">
        <v>-7607250</v>
      </c>
      <c r="E517" t="s">
        <v>331</v>
      </c>
    </row>
    <row r="518" spans="1:5" x14ac:dyDescent="0.25">
      <c r="A518">
        <v>1846</v>
      </c>
      <c r="B518" s="16">
        <v>43466</v>
      </c>
      <c r="C518" t="s">
        <v>145</v>
      </c>
      <c r="D518">
        <v>-3780000</v>
      </c>
      <c r="E518" t="s">
        <v>331</v>
      </c>
    </row>
    <row r="519" spans="1:5" x14ac:dyDescent="0.25">
      <c r="A519">
        <v>1846</v>
      </c>
      <c r="B519" s="16">
        <v>43497</v>
      </c>
      <c r="C519" t="s">
        <v>145</v>
      </c>
      <c r="D519">
        <v>-3780000</v>
      </c>
      <c r="E519" t="s">
        <v>331</v>
      </c>
    </row>
    <row r="520" spans="1:5" x14ac:dyDescent="0.25">
      <c r="A520">
        <v>1846</v>
      </c>
      <c r="B520" s="16">
        <v>43525</v>
      </c>
      <c r="C520" t="s">
        <v>145</v>
      </c>
      <c r="D520">
        <v>-3780000</v>
      </c>
      <c r="E520" t="s">
        <v>331</v>
      </c>
    </row>
    <row r="521" spans="1:5" x14ac:dyDescent="0.25">
      <c r="A521">
        <v>1846</v>
      </c>
      <c r="B521" s="16">
        <v>43466</v>
      </c>
      <c r="C521" t="s">
        <v>146</v>
      </c>
      <c r="D521">
        <v>-5868450</v>
      </c>
      <c r="E521" t="s">
        <v>331</v>
      </c>
    </row>
    <row r="522" spans="1:5" x14ac:dyDescent="0.25">
      <c r="A522">
        <v>1846</v>
      </c>
      <c r="B522" s="16">
        <v>43497</v>
      </c>
      <c r="C522" t="s">
        <v>146</v>
      </c>
      <c r="D522">
        <v>-5868450</v>
      </c>
      <c r="E522" t="s">
        <v>331</v>
      </c>
    </row>
    <row r="523" spans="1:5" x14ac:dyDescent="0.25">
      <c r="A523">
        <v>1846</v>
      </c>
      <c r="B523" s="16">
        <v>43525</v>
      </c>
      <c r="C523" t="s">
        <v>146</v>
      </c>
      <c r="D523">
        <v>-5868450</v>
      </c>
      <c r="E523" t="s">
        <v>331</v>
      </c>
    </row>
    <row r="524" spans="1:5" x14ac:dyDescent="0.25">
      <c r="A524">
        <v>1846</v>
      </c>
      <c r="B524" s="16">
        <v>43525</v>
      </c>
      <c r="C524" t="s">
        <v>147</v>
      </c>
      <c r="D524">
        <v>-1535625</v>
      </c>
      <c r="E524" t="s">
        <v>331</v>
      </c>
    </row>
    <row r="525" spans="1:5" x14ac:dyDescent="0.25">
      <c r="A525">
        <v>1846</v>
      </c>
      <c r="B525" s="16">
        <v>43466</v>
      </c>
      <c r="C525" t="s">
        <v>83</v>
      </c>
      <c r="D525">
        <v>-19561500</v>
      </c>
      <c r="E525" t="s">
        <v>331</v>
      </c>
    </row>
    <row r="526" spans="1:5" x14ac:dyDescent="0.25">
      <c r="A526">
        <v>1846</v>
      </c>
      <c r="B526" s="16">
        <v>43497</v>
      </c>
      <c r="C526" t="s">
        <v>83</v>
      </c>
      <c r="D526">
        <v>-19561500</v>
      </c>
      <c r="E526" t="s">
        <v>331</v>
      </c>
    </row>
    <row r="527" spans="1:5" x14ac:dyDescent="0.25">
      <c r="A527">
        <v>1846</v>
      </c>
      <c r="B527" s="16">
        <v>43466</v>
      </c>
      <c r="C527" t="s">
        <v>148</v>
      </c>
      <c r="D527">
        <v>-2835913.5</v>
      </c>
      <c r="E527" t="s">
        <v>331</v>
      </c>
    </row>
    <row r="528" spans="1:5" x14ac:dyDescent="0.25">
      <c r="A528">
        <v>1846</v>
      </c>
      <c r="B528" s="16">
        <v>43497</v>
      </c>
      <c r="C528" t="s">
        <v>148</v>
      </c>
      <c r="D528">
        <v>-2835913.5</v>
      </c>
      <c r="E528" t="s">
        <v>331</v>
      </c>
    </row>
    <row r="529" spans="1:5" x14ac:dyDescent="0.25">
      <c r="A529">
        <v>1846</v>
      </c>
      <c r="B529" s="16">
        <v>43466</v>
      </c>
      <c r="C529" t="s">
        <v>149</v>
      </c>
      <c r="D529">
        <v>-5868450</v>
      </c>
      <c r="E529" t="s">
        <v>331</v>
      </c>
    </row>
    <row r="530" spans="1:5" x14ac:dyDescent="0.25">
      <c r="A530">
        <v>1846</v>
      </c>
      <c r="B530" s="16">
        <v>43497</v>
      </c>
      <c r="C530" t="s">
        <v>149</v>
      </c>
      <c r="D530">
        <v>-5868450</v>
      </c>
      <c r="E530" t="s">
        <v>331</v>
      </c>
    </row>
    <row r="531" spans="1:5" x14ac:dyDescent="0.25">
      <c r="A531">
        <v>1846</v>
      </c>
      <c r="B531" s="16">
        <v>43525</v>
      </c>
      <c r="C531" t="s">
        <v>149</v>
      </c>
      <c r="D531">
        <v>-5868450</v>
      </c>
      <c r="E531" t="s">
        <v>331</v>
      </c>
    </row>
    <row r="532" spans="1:5" x14ac:dyDescent="0.25">
      <c r="A532">
        <v>1846</v>
      </c>
      <c r="B532" s="16">
        <v>43466</v>
      </c>
      <c r="C532" t="s">
        <v>150</v>
      </c>
      <c r="D532">
        <v>-2531377.8000000003</v>
      </c>
      <c r="E532" t="s">
        <v>331</v>
      </c>
    </row>
    <row r="533" spans="1:5" x14ac:dyDescent="0.25">
      <c r="A533">
        <v>1846</v>
      </c>
      <c r="B533" s="16">
        <v>43497</v>
      </c>
      <c r="C533" t="s">
        <v>150</v>
      </c>
      <c r="D533">
        <v>-2531377.8000000003</v>
      </c>
      <c r="E533" t="s">
        <v>331</v>
      </c>
    </row>
    <row r="534" spans="1:5" x14ac:dyDescent="0.25">
      <c r="A534">
        <v>1846</v>
      </c>
      <c r="B534" s="16">
        <v>43525</v>
      </c>
      <c r="C534" t="s">
        <v>150</v>
      </c>
      <c r="D534">
        <v>-2531377.8000000003</v>
      </c>
      <c r="E534" t="s">
        <v>331</v>
      </c>
    </row>
    <row r="535" spans="1:5" x14ac:dyDescent="0.25">
      <c r="A535">
        <v>1846</v>
      </c>
      <c r="B535" s="16">
        <v>43466</v>
      </c>
      <c r="C535" t="s">
        <v>151</v>
      </c>
      <c r="D535">
        <v>-3780000</v>
      </c>
      <c r="E535" t="s">
        <v>331</v>
      </c>
    </row>
    <row r="536" spans="1:5" x14ac:dyDescent="0.25">
      <c r="A536">
        <v>1846</v>
      </c>
      <c r="B536" s="16">
        <v>43497</v>
      </c>
      <c r="C536" t="s">
        <v>151</v>
      </c>
      <c r="D536">
        <v>-3780000</v>
      </c>
      <c r="E536" t="s">
        <v>331</v>
      </c>
    </row>
    <row r="537" spans="1:5" x14ac:dyDescent="0.25">
      <c r="A537">
        <v>1846</v>
      </c>
      <c r="B537" s="16">
        <v>43525</v>
      </c>
      <c r="C537" t="s">
        <v>151</v>
      </c>
      <c r="D537">
        <v>-3780000</v>
      </c>
      <c r="E537" t="s">
        <v>331</v>
      </c>
    </row>
    <row r="538" spans="1:5" x14ac:dyDescent="0.25">
      <c r="A538">
        <v>1846</v>
      </c>
      <c r="B538" s="16">
        <v>43466</v>
      </c>
      <c r="C538" t="s">
        <v>152</v>
      </c>
      <c r="D538">
        <v>-2173500</v>
      </c>
      <c r="E538" t="s">
        <v>331</v>
      </c>
    </row>
    <row r="539" spans="1:5" x14ac:dyDescent="0.25">
      <c r="A539">
        <v>1846</v>
      </c>
      <c r="B539" s="16">
        <v>43497</v>
      </c>
      <c r="C539" t="s">
        <v>152</v>
      </c>
      <c r="D539">
        <v>-2173500</v>
      </c>
      <c r="E539" t="s">
        <v>331</v>
      </c>
    </row>
    <row r="540" spans="1:5" x14ac:dyDescent="0.25">
      <c r="A540">
        <v>1846</v>
      </c>
      <c r="B540" s="16">
        <v>43525</v>
      </c>
      <c r="C540" t="s">
        <v>152</v>
      </c>
      <c r="D540">
        <v>-2173500</v>
      </c>
      <c r="E540" t="s">
        <v>331</v>
      </c>
    </row>
    <row r="541" spans="1:5" x14ac:dyDescent="0.25">
      <c r="A541">
        <v>1846</v>
      </c>
      <c r="B541" s="16">
        <v>43466</v>
      </c>
      <c r="C541" t="s">
        <v>153</v>
      </c>
      <c r="D541">
        <v>-5460525</v>
      </c>
      <c r="E541" t="s">
        <v>331</v>
      </c>
    </row>
    <row r="542" spans="1:5" x14ac:dyDescent="0.25">
      <c r="A542">
        <v>1846</v>
      </c>
      <c r="B542" s="16">
        <v>43497</v>
      </c>
      <c r="C542" t="s">
        <v>153</v>
      </c>
      <c r="D542">
        <v>-5460525</v>
      </c>
      <c r="E542" t="s">
        <v>331</v>
      </c>
    </row>
    <row r="543" spans="1:5" x14ac:dyDescent="0.25">
      <c r="A543">
        <v>1846</v>
      </c>
      <c r="B543" s="16">
        <v>43525</v>
      </c>
      <c r="C543" t="s">
        <v>153</v>
      </c>
      <c r="D543">
        <v>-5460525</v>
      </c>
      <c r="E543" t="s">
        <v>331</v>
      </c>
    </row>
    <row r="544" spans="1:5" x14ac:dyDescent="0.25">
      <c r="A544">
        <v>1846</v>
      </c>
      <c r="B544" s="16">
        <v>43466</v>
      </c>
      <c r="C544" t="s">
        <v>154</v>
      </c>
      <c r="D544">
        <v>-3213000</v>
      </c>
      <c r="E544" t="s">
        <v>331</v>
      </c>
    </row>
    <row r="545" spans="1:5" x14ac:dyDescent="0.25">
      <c r="A545">
        <v>1846</v>
      </c>
      <c r="B545" s="16">
        <v>43497</v>
      </c>
      <c r="C545" t="s">
        <v>154</v>
      </c>
      <c r="D545">
        <v>-3213000</v>
      </c>
      <c r="E545" t="s">
        <v>331</v>
      </c>
    </row>
    <row r="546" spans="1:5" x14ac:dyDescent="0.25">
      <c r="A546">
        <v>1846</v>
      </c>
      <c r="B546" s="16">
        <v>43525</v>
      </c>
      <c r="C546" t="s">
        <v>154</v>
      </c>
      <c r="D546">
        <v>-3213000</v>
      </c>
      <c r="E546" t="s">
        <v>331</v>
      </c>
    </row>
    <row r="547" spans="1:5" x14ac:dyDescent="0.25">
      <c r="A547">
        <v>1846</v>
      </c>
      <c r="B547" s="16">
        <v>43466</v>
      </c>
      <c r="C547" t="s">
        <v>155</v>
      </c>
      <c r="D547">
        <v>-2173500</v>
      </c>
      <c r="E547" t="s">
        <v>331</v>
      </c>
    </row>
    <row r="548" spans="1:5" x14ac:dyDescent="0.25">
      <c r="A548">
        <v>1846</v>
      </c>
      <c r="B548" s="16">
        <v>43497</v>
      </c>
      <c r="C548" t="s">
        <v>155</v>
      </c>
      <c r="D548">
        <v>-2173500</v>
      </c>
      <c r="E548" t="s">
        <v>331</v>
      </c>
    </row>
    <row r="549" spans="1:5" x14ac:dyDescent="0.25">
      <c r="A549">
        <v>1846</v>
      </c>
      <c r="B549" s="16">
        <v>43525</v>
      </c>
      <c r="C549" t="s">
        <v>155</v>
      </c>
      <c r="D549">
        <v>-2173500</v>
      </c>
      <c r="E549" t="s">
        <v>331</v>
      </c>
    </row>
    <row r="550" spans="1:5" x14ac:dyDescent="0.25">
      <c r="A550">
        <v>1846</v>
      </c>
      <c r="B550" s="16">
        <v>43466</v>
      </c>
      <c r="C550" t="s">
        <v>156</v>
      </c>
      <c r="D550">
        <v>-3780000</v>
      </c>
      <c r="E550" t="s">
        <v>331</v>
      </c>
    </row>
    <row r="551" spans="1:5" x14ac:dyDescent="0.25">
      <c r="A551">
        <v>1846</v>
      </c>
      <c r="B551" s="16">
        <v>43497</v>
      </c>
      <c r="C551" t="s">
        <v>156</v>
      </c>
      <c r="D551">
        <v>-3780000</v>
      </c>
      <c r="E551" t="s">
        <v>331</v>
      </c>
    </row>
    <row r="552" spans="1:5" x14ac:dyDescent="0.25">
      <c r="A552">
        <v>1846</v>
      </c>
      <c r="B552" s="16">
        <v>43525</v>
      </c>
      <c r="C552" t="s">
        <v>156</v>
      </c>
      <c r="D552">
        <v>-3780000</v>
      </c>
      <c r="E552" t="s">
        <v>331</v>
      </c>
    </row>
    <row r="553" spans="1:5" x14ac:dyDescent="0.25">
      <c r="A553">
        <v>1846</v>
      </c>
      <c r="B553" s="16">
        <v>43466</v>
      </c>
      <c r="C553" t="s">
        <v>157</v>
      </c>
      <c r="D553">
        <v>-1890000</v>
      </c>
      <c r="E553" t="s">
        <v>331</v>
      </c>
    </row>
    <row r="554" spans="1:5" x14ac:dyDescent="0.25">
      <c r="A554">
        <v>1846</v>
      </c>
      <c r="B554" s="16">
        <v>43497</v>
      </c>
      <c r="C554" t="s">
        <v>157</v>
      </c>
      <c r="D554">
        <v>-1890000</v>
      </c>
      <c r="E554" t="s">
        <v>331</v>
      </c>
    </row>
    <row r="555" spans="1:5" x14ac:dyDescent="0.25">
      <c r="A555">
        <v>1846</v>
      </c>
      <c r="B555" s="16">
        <v>43525</v>
      </c>
      <c r="C555" t="s">
        <v>157</v>
      </c>
      <c r="D555">
        <v>-1890000</v>
      </c>
      <c r="E555" t="s">
        <v>331</v>
      </c>
    </row>
    <row r="556" spans="1:5" x14ac:dyDescent="0.25">
      <c r="A556">
        <v>1846</v>
      </c>
      <c r="B556" s="16">
        <v>43466</v>
      </c>
      <c r="C556" t="s">
        <v>158</v>
      </c>
      <c r="D556">
        <v>-1265688.9000000001</v>
      </c>
      <c r="E556" t="s">
        <v>331</v>
      </c>
    </row>
    <row r="557" spans="1:5" x14ac:dyDescent="0.25">
      <c r="A557">
        <v>1846</v>
      </c>
      <c r="B557" s="16">
        <v>43497</v>
      </c>
      <c r="C557" t="s">
        <v>158</v>
      </c>
      <c r="D557">
        <v>-1265688.9000000001</v>
      </c>
      <c r="E557" t="s">
        <v>331</v>
      </c>
    </row>
    <row r="558" spans="1:5" x14ac:dyDescent="0.25">
      <c r="A558">
        <v>1846</v>
      </c>
      <c r="B558" s="16">
        <v>43525</v>
      </c>
      <c r="C558" t="s">
        <v>158</v>
      </c>
      <c r="D558">
        <v>-1265688.9000000001</v>
      </c>
      <c r="E558" t="s">
        <v>331</v>
      </c>
    </row>
    <row r="559" spans="1:5" x14ac:dyDescent="0.25">
      <c r="A559">
        <v>1846</v>
      </c>
      <c r="B559" s="16">
        <v>43466</v>
      </c>
      <c r="C559" t="s">
        <v>159</v>
      </c>
      <c r="D559">
        <v>-5827500</v>
      </c>
      <c r="E559" t="s">
        <v>331</v>
      </c>
    </row>
    <row r="560" spans="1:5" x14ac:dyDescent="0.25">
      <c r="A560">
        <v>1846</v>
      </c>
      <c r="B560" s="16">
        <v>43497</v>
      </c>
      <c r="C560" t="s">
        <v>159</v>
      </c>
      <c r="D560">
        <v>-5827500</v>
      </c>
      <c r="E560" t="s">
        <v>331</v>
      </c>
    </row>
    <row r="561" spans="1:5" x14ac:dyDescent="0.25">
      <c r="A561">
        <v>1846</v>
      </c>
      <c r="B561" s="16">
        <v>43525</v>
      </c>
      <c r="C561" t="s">
        <v>159</v>
      </c>
      <c r="D561">
        <v>-5827500</v>
      </c>
      <c r="E561" t="s">
        <v>331</v>
      </c>
    </row>
    <row r="562" spans="1:5" x14ac:dyDescent="0.25">
      <c r="A562">
        <v>1846</v>
      </c>
      <c r="B562" s="16">
        <v>43466</v>
      </c>
      <c r="C562" t="s">
        <v>160</v>
      </c>
      <c r="D562">
        <v>-5118750</v>
      </c>
      <c r="E562" t="s">
        <v>331</v>
      </c>
    </row>
    <row r="563" spans="1:5" x14ac:dyDescent="0.25">
      <c r="A563">
        <v>1846</v>
      </c>
      <c r="B563" s="16">
        <v>43497</v>
      </c>
      <c r="C563" t="s">
        <v>160</v>
      </c>
      <c r="D563">
        <v>-5118750</v>
      </c>
      <c r="E563" t="s">
        <v>331</v>
      </c>
    </row>
    <row r="564" spans="1:5" x14ac:dyDescent="0.25">
      <c r="A564">
        <v>1846</v>
      </c>
      <c r="B564" s="16">
        <v>43466</v>
      </c>
      <c r="C564" t="s">
        <v>88</v>
      </c>
      <c r="D564">
        <v>-7245000</v>
      </c>
      <c r="E564" t="s">
        <v>331</v>
      </c>
    </row>
    <row r="565" spans="1:5" x14ac:dyDescent="0.25">
      <c r="A565">
        <v>1846</v>
      </c>
      <c r="B565" s="16">
        <v>43497</v>
      </c>
      <c r="C565" t="s">
        <v>88</v>
      </c>
      <c r="D565">
        <v>-7245000</v>
      </c>
      <c r="E565" t="s">
        <v>331</v>
      </c>
    </row>
    <row r="566" spans="1:5" x14ac:dyDescent="0.25">
      <c r="A566">
        <v>1846</v>
      </c>
      <c r="B566" s="16">
        <v>43466</v>
      </c>
      <c r="C566" t="s">
        <v>161</v>
      </c>
      <c r="D566">
        <v>-5118750</v>
      </c>
      <c r="E566" t="s">
        <v>331</v>
      </c>
    </row>
    <row r="567" spans="1:5" x14ac:dyDescent="0.25">
      <c r="A567">
        <v>1846</v>
      </c>
      <c r="B567" s="16">
        <v>43497</v>
      </c>
      <c r="C567" t="s">
        <v>161</v>
      </c>
      <c r="D567">
        <v>-5118750</v>
      </c>
      <c r="E567" t="s">
        <v>331</v>
      </c>
    </row>
    <row r="568" spans="1:5" x14ac:dyDescent="0.25">
      <c r="A568">
        <v>1856</v>
      </c>
      <c r="B568" s="16">
        <v>43466</v>
      </c>
      <c r="C568" t="s">
        <v>12</v>
      </c>
      <c r="D568">
        <v>-9910003.9500000011</v>
      </c>
      <c r="E568" t="s">
        <v>331</v>
      </c>
    </row>
    <row r="569" spans="1:5" x14ac:dyDescent="0.25">
      <c r="A569">
        <v>1856</v>
      </c>
      <c r="B569" s="16">
        <v>43497</v>
      </c>
      <c r="C569" t="s">
        <v>12</v>
      </c>
      <c r="D569">
        <v>-9910003.9500000011</v>
      </c>
      <c r="E569" t="s">
        <v>331</v>
      </c>
    </row>
    <row r="570" spans="1:5" x14ac:dyDescent="0.25">
      <c r="A570">
        <v>1856</v>
      </c>
      <c r="B570" s="16">
        <v>43525</v>
      </c>
      <c r="C570" t="s">
        <v>12</v>
      </c>
      <c r="D570">
        <v>-9910003.9500000011</v>
      </c>
      <c r="E570" t="s">
        <v>331</v>
      </c>
    </row>
    <row r="571" spans="1:5" x14ac:dyDescent="0.25">
      <c r="A571">
        <v>1856</v>
      </c>
      <c r="B571" s="16">
        <v>43556</v>
      </c>
      <c r="C571" t="s">
        <v>12</v>
      </c>
      <c r="D571">
        <v>-9910003.9500000011</v>
      </c>
      <c r="E571" t="s">
        <v>331</v>
      </c>
    </row>
    <row r="572" spans="1:5" x14ac:dyDescent="0.25">
      <c r="A572">
        <v>1856</v>
      </c>
      <c r="B572" s="16">
        <v>43586</v>
      </c>
      <c r="C572" t="s">
        <v>12</v>
      </c>
      <c r="D572">
        <v>-9910003.9500000011</v>
      </c>
      <c r="E572" t="s">
        <v>331</v>
      </c>
    </row>
    <row r="573" spans="1:5" x14ac:dyDescent="0.25">
      <c r="A573">
        <v>1856</v>
      </c>
      <c r="B573" s="16">
        <v>43617</v>
      </c>
      <c r="C573" t="s">
        <v>12</v>
      </c>
      <c r="D573">
        <v>-9910003.9500000011</v>
      </c>
      <c r="E573" t="s">
        <v>331</v>
      </c>
    </row>
    <row r="574" spans="1:5" x14ac:dyDescent="0.25">
      <c r="A574">
        <v>1856</v>
      </c>
      <c r="B574" s="16">
        <v>43647</v>
      </c>
      <c r="C574" t="s">
        <v>12</v>
      </c>
      <c r="D574">
        <v>-9910003.9500000011</v>
      </c>
      <c r="E574" t="s">
        <v>331</v>
      </c>
    </row>
    <row r="575" spans="1:5" x14ac:dyDescent="0.25">
      <c r="A575">
        <v>1856</v>
      </c>
      <c r="B575" s="16">
        <v>43678</v>
      </c>
      <c r="C575" t="s">
        <v>12</v>
      </c>
      <c r="D575">
        <v>-9910003.9500000011</v>
      </c>
      <c r="E575" t="s">
        <v>331</v>
      </c>
    </row>
    <row r="576" spans="1:5" x14ac:dyDescent="0.25">
      <c r="A576">
        <v>1856</v>
      </c>
      <c r="B576" s="16">
        <v>43709</v>
      </c>
      <c r="C576" t="s">
        <v>12</v>
      </c>
      <c r="D576">
        <v>-9910003.9500000011</v>
      </c>
      <c r="E576" t="s">
        <v>331</v>
      </c>
    </row>
    <row r="577" spans="1:5" x14ac:dyDescent="0.25">
      <c r="A577">
        <v>1856</v>
      </c>
      <c r="B577" s="16">
        <v>43739</v>
      </c>
      <c r="C577" t="s">
        <v>12</v>
      </c>
      <c r="D577">
        <v>-9910003.9500000011</v>
      </c>
      <c r="E577" t="s">
        <v>331</v>
      </c>
    </row>
    <row r="578" spans="1:5" x14ac:dyDescent="0.25">
      <c r="A578">
        <v>1856</v>
      </c>
      <c r="B578" s="16">
        <v>43770</v>
      </c>
      <c r="C578" t="s">
        <v>12</v>
      </c>
      <c r="D578">
        <v>-9910003.9500000011</v>
      </c>
      <c r="E578" t="s">
        <v>331</v>
      </c>
    </row>
    <row r="579" spans="1:5" x14ac:dyDescent="0.25">
      <c r="A579">
        <v>1856</v>
      </c>
      <c r="B579" s="16">
        <v>43800</v>
      </c>
      <c r="C579" t="s">
        <v>12</v>
      </c>
      <c r="D579">
        <v>-9910003.9500000011</v>
      </c>
      <c r="E579" t="s">
        <v>331</v>
      </c>
    </row>
    <row r="580" spans="1:5" x14ac:dyDescent="0.25">
      <c r="A580">
        <v>1856</v>
      </c>
      <c r="B580" s="16">
        <v>43831</v>
      </c>
      <c r="C580" t="s">
        <v>12</v>
      </c>
      <c r="D580">
        <v>-9910003.9500000011</v>
      </c>
      <c r="E580" t="s">
        <v>331</v>
      </c>
    </row>
    <row r="581" spans="1:5" x14ac:dyDescent="0.25">
      <c r="A581">
        <v>1856</v>
      </c>
      <c r="B581" s="16">
        <v>43862</v>
      </c>
      <c r="C581" t="s">
        <v>12</v>
      </c>
      <c r="D581">
        <v>-9910003.9500000011</v>
      </c>
      <c r="E581" t="s">
        <v>331</v>
      </c>
    </row>
    <row r="582" spans="1:5" x14ac:dyDescent="0.25">
      <c r="A582">
        <v>1856</v>
      </c>
      <c r="B582" s="16">
        <v>43891</v>
      </c>
      <c r="C582" t="s">
        <v>12</v>
      </c>
      <c r="D582">
        <v>-9910003.9500000011</v>
      </c>
      <c r="E582" t="s">
        <v>331</v>
      </c>
    </row>
    <row r="583" spans="1:5" x14ac:dyDescent="0.25">
      <c r="A583">
        <v>1856</v>
      </c>
      <c r="B583" s="16">
        <v>43922</v>
      </c>
      <c r="C583" t="s">
        <v>12</v>
      </c>
      <c r="D583">
        <v>-9910003.9500000011</v>
      </c>
      <c r="E583" t="s">
        <v>331</v>
      </c>
    </row>
    <row r="584" spans="1:5" x14ac:dyDescent="0.25">
      <c r="A584">
        <v>1856</v>
      </c>
      <c r="B584" s="16">
        <v>43952</v>
      </c>
      <c r="C584" t="s">
        <v>12</v>
      </c>
      <c r="D584">
        <v>-9910003.9500000011</v>
      </c>
      <c r="E584" t="s">
        <v>331</v>
      </c>
    </row>
    <row r="585" spans="1:5" x14ac:dyDescent="0.25">
      <c r="A585">
        <v>1856</v>
      </c>
      <c r="B585" s="16">
        <v>43983</v>
      </c>
      <c r="C585" t="s">
        <v>12</v>
      </c>
      <c r="D585">
        <v>-9910003.9500000011</v>
      </c>
      <c r="E585" t="s">
        <v>331</v>
      </c>
    </row>
    <row r="586" spans="1:5" x14ac:dyDescent="0.25">
      <c r="A586">
        <v>1856</v>
      </c>
      <c r="B586" s="16">
        <v>44013</v>
      </c>
      <c r="C586" t="s">
        <v>12</v>
      </c>
      <c r="D586">
        <v>-9910003.9500000011</v>
      </c>
      <c r="E586" t="s">
        <v>331</v>
      </c>
    </row>
    <row r="587" spans="1:5" x14ac:dyDescent="0.25">
      <c r="A587">
        <v>1856</v>
      </c>
      <c r="B587" s="16">
        <v>44044</v>
      </c>
      <c r="C587" t="s">
        <v>12</v>
      </c>
      <c r="D587">
        <v>-9910003.9500000011</v>
      </c>
      <c r="E587" t="s">
        <v>331</v>
      </c>
    </row>
    <row r="588" spans="1:5" x14ac:dyDescent="0.25">
      <c r="A588">
        <v>1856</v>
      </c>
      <c r="B588" s="16">
        <v>44075</v>
      </c>
      <c r="C588" t="s">
        <v>12</v>
      </c>
      <c r="D588">
        <v>-9910003.9500000011</v>
      </c>
      <c r="E588" t="s">
        <v>331</v>
      </c>
    </row>
    <row r="589" spans="1:5" x14ac:dyDescent="0.25">
      <c r="A589">
        <v>1856</v>
      </c>
      <c r="B589" s="16">
        <v>44105</v>
      </c>
      <c r="C589" t="s">
        <v>12</v>
      </c>
      <c r="D589">
        <v>-9910003.9500000011</v>
      </c>
      <c r="E589" t="s">
        <v>331</v>
      </c>
    </row>
    <row r="590" spans="1:5" x14ac:dyDescent="0.25">
      <c r="A590">
        <v>1856</v>
      </c>
      <c r="B590" s="16">
        <v>44136</v>
      </c>
      <c r="C590" t="s">
        <v>12</v>
      </c>
      <c r="D590">
        <v>-9910003.9500000011</v>
      </c>
      <c r="E590" t="s">
        <v>331</v>
      </c>
    </row>
    <row r="591" spans="1:5" x14ac:dyDescent="0.25">
      <c r="A591">
        <v>1856</v>
      </c>
      <c r="B591" s="16">
        <v>44166</v>
      </c>
      <c r="C591" t="s">
        <v>12</v>
      </c>
      <c r="D591">
        <v>-9910003.9500000011</v>
      </c>
      <c r="E591" t="s">
        <v>331</v>
      </c>
    </row>
    <row r="592" spans="1:5" x14ac:dyDescent="0.25">
      <c r="A592">
        <v>1856</v>
      </c>
      <c r="B592" s="16">
        <v>44197</v>
      </c>
      <c r="C592" t="s">
        <v>12</v>
      </c>
      <c r="D592">
        <v>-9910003.9500000011</v>
      </c>
      <c r="E592" t="s">
        <v>331</v>
      </c>
    </row>
    <row r="593" spans="1:5" x14ac:dyDescent="0.25">
      <c r="A593">
        <v>1856</v>
      </c>
      <c r="B593" s="16">
        <v>44228</v>
      </c>
      <c r="C593" t="s">
        <v>12</v>
      </c>
      <c r="D593">
        <v>-9910003.9500000011</v>
      </c>
      <c r="E593" t="s">
        <v>331</v>
      </c>
    </row>
    <row r="594" spans="1:5" x14ac:dyDescent="0.25">
      <c r="A594">
        <v>1856</v>
      </c>
      <c r="B594" s="16">
        <v>43466</v>
      </c>
      <c r="C594" t="s">
        <v>162</v>
      </c>
      <c r="D594">
        <v>-5019615.5309999995</v>
      </c>
      <c r="E594" t="s">
        <v>331</v>
      </c>
    </row>
    <row r="595" spans="1:5" x14ac:dyDescent="0.25">
      <c r="A595">
        <v>1856</v>
      </c>
      <c r="B595" s="16">
        <v>43497</v>
      </c>
      <c r="C595" t="s">
        <v>162</v>
      </c>
      <c r="D595">
        <v>-5019615.5309999995</v>
      </c>
      <c r="E595" t="s">
        <v>331</v>
      </c>
    </row>
    <row r="596" spans="1:5" x14ac:dyDescent="0.25">
      <c r="A596">
        <v>1856</v>
      </c>
      <c r="B596" s="16">
        <v>43525</v>
      </c>
      <c r="C596" t="s">
        <v>162</v>
      </c>
      <c r="D596">
        <v>-5019615.5309999995</v>
      </c>
      <c r="E596" t="s">
        <v>331</v>
      </c>
    </row>
    <row r="597" spans="1:5" x14ac:dyDescent="0.25">
      <c r="A597">
        <v>1856</v>
      </c>
      <c r="B597" s="16">
        <v>43556</v>
      </c>
      <c r="C597" t="s">
        <v>162</v>
      </c>
      <c r="D597">
        <v>-5019615.5309999995</v>
      </c>
      <c r="E597" t="s">
        <v>331</v>
      </c>
    </row>
    <row r="598" spans="1:5" x14ac:dyDescent="0.25">
      <c r="A598">
        <v>1856</v>
      </c>
      <c r="B598" s="16">
        <v>43586</v>
      </c>
      <c r="C598" t="s">
        <v>162</v>
      </c>
      <c r="D598">
        <v>-5019615.5309999995</v>
      </c>
      <c r="E598" t="s">
        <v>331</v>
      </c>
    </row>
    <row r="599" spans="1:5" x14ac:dyDescent="0.25">
      <c r="A599">
        <v>1856</v>
      </c>
      <c r="B599" s="16">
        <v>43617</v>
      </c>
      <c r="C599" t="s">
        <v>162</v>
      </c>
      <c r="D599">
        <v>-5019615.5309999995</v>
      </c>
      <c r="E599" t="s">
        <v>331</v>
      </c>
    </row>
    <row r="600" spans="1:5" x14ac:dyDescent="0.25">
      <c r="A600">
        <v>1856</v>
      </c>
      <c r="B600" s="16">
        <v>43647</v>
      </c>
      <c r="C600" t="s">
        <v>162</v>
      </c>
      <c r="D600">
        <v>-5019615.5309999995</v>
      </c>
      <c r="E600" t="s">
        <v>331</v>
      </c>
    </row>
    <row r="601" spans="1:5" x14ac:dyDescent="0.25">
      <c r="A601">
        <v>1856</v>
      </c>
      <c r="B601" s="16">
        <v>43678</v>
      </c>
      <c r="C601" t="s">
        <v>162</v>
      </c>
      <c r="D601">
        <v>-5019615.5309999995</v>
      </c>
      <c r="E601" t="s">
        <v>331</v>
      </c>
    </row>
    <row r="602" spans="1:5" x14ac:dyDescent="0.25">
      <c r="A602">
        <v>1856</v>
      </c>
      <c r="B602" s="16">
        <v>43709</v>
      </c>
      <c r="C602" t="s">
        <v>162</v>
      </c>
      <c r="D602">
        <v>-5019615.5309999995</v>
      </c>
      <c r="E602" t="s">
        <v>331</v>
      </c>
    </row>
    <row r="603" spans="1:5" x14ac:dyDescent="0.25">
      <c r="A603">
        <v>1856</v>
      </c>
      <c r="B603" s="16">
        <v>43739</v>
      </c>
      <c r="C603" t="s">
        <v>162</v>
      </c>
      <c r="D603">
        <v>-5019615.5309999995</v>
      </c>
      <c r="E603" t="s">
        <v>331</v>
      </c>
    </row>
    <row r="604" spans="1:5" x14ac:dyDescent="0.25">
      <c r="A604">
        <v>1856</v>
      </c>
      <c r="B604" s="16">
        <v>43770</v>
      </c>
      <c r="C604" t="s">
        <v>162</v>
      </c>
      <c r="D604">
        <v>-5019615.5309999995</v>
      </c>
      <c r="E604" t="s">
        <v>331</v>
      </c>
    </row>
    <row r="605" spans="1:5" x14ac:dyDescent="0.25">
      <c r="A605">
        <v>1856</v>
      </c>
      <c r="B605" s="16">
        <v>43800</v>
      </c>
      <c r="C605" t="s">
        <v>162</v>
      </c>
      <c r="D605">
        <v>-5019615.5309999995</v>
      </c>
      <c r="E605" t="s">
        <v>331</v>
      </c>
    </row>
    <row r="606" spans="1:5" x14ac:dyDescent="0.25">
      <c r="A606">
        <v>1856</v>
      </c>
      <c r="B606" s="16">
        <v>43831</v>
      </c>
      <c r="C606" t="s">
        <v>162</v>
      </c>
      <c r="D606">
        <v>-5019615.5309999995</v>
      </c>
      <c r="E606" t="s">
        <v>331</v>
      </c>
    </row>
    <row r="607" spans="1:5" x14ac:dyDescent="0.25">
      <c r="A607">
        <v>1856</v>
      </c>
      <c r="B607" s="16">
        <v>43862</v>
      </c>
      <c r="C607" t="s">
        <v>162</v>
      </c>
      <c r="D607">
        <v>-5019615.5309999995</v>
      </c>
      <c r="E607" t="s">
        <v>331</v>
      </c>
    </row>
    <row r="608" spans="1:5" x14ac:dyDescent="0.25">
      <c r="A608">
        <v>1856</v>
      </c>
      <c r="B608" s="16">
        <v>43891</v>
      </c>
      <c r="C608" t="s">
        <v>162</v>
      </c>
      <c r="D608">
        <v>-5019615.5309999995</v>
      </c>
      <c r="E608" t="s">
        <v>331</v>
      </c>
    </row>
    <row r="609" spans="1:5" x14ac:dyDescent="0.25">
      <c r="A609">
        <v>1856</v>
      </c>
      <c r="B609" s="16">
        <v>43922</v>
      </c>
      <c r="C609" t="s">
        <v>162</v>
      </c>
      <c r="D609">
        <v>-5019615.5309999995</v>
      </c>
      <c r="E609" t="s">
        <v>331</v>
      </c>
    </row>
    <row r="610" spans="1:5" x14ac:dyDescent="0.25">
      <c r="A610">
        <v>1856</v>
      </c>
      <c r="B610" s="16">
        <v>43952</v>
      </c>
      <c r="C610" t="s">
        <v>162</v>
      </c>
      <c r="D610">
        <v>-5019615.5309999995</v>
      </c>
      <c r="E610" t="s">
        <v>331</v>
      </c>
    </row>
    <row r="611" spans="1:5" x14ac:dyDescent="0.25">
      <c r="A611">
        <v>1856</v>
      </c>
      <c r="B611" s="16">
        <v>43983</v>
      </c>
      <c r="C611" t="s">
        <v>162</v>
      </c>
      <c r="D611">
        <v>-5019615.5309999995</v>
      </c>
      <c r="E611" t="s">
        <v>331</v>
      </c>
    </row>
    <row r="612" spans="1:5" x14ac:dyDescent="0.25">
      <c r="A612">
        <v>1856</v>
      </c>
      <c r="B612" s="16">
        <v>44013</v>
      </c>
      <c r="C612" t="s">
        <v>162</v>
      </c>
      <c r="D612">
        <v>-5019615.5309999995</v>
      </c>
      <c r="E612" t="s">
        <v>331</v>
      </c>
    </row>
    <row r="613" spans="1:5" x14ac:dyDescent="0.25">
      <c r="A613">
        <v>1856</v>
      </c>
      <c r="B613" s="16">
        <v>44044</v>
      </c>
      <c r="C613" t="s">
        <v>162</v>
      </c>
      <c r="D613">
        <v>-5019615.5309999995</v>
      </c>
      <c r="E613" t="s">
        <v>331</v>
      </c>
    </row>
    <row r="614" spans="1:5" x14ac:dyDescent="0.25">
      <c r="A614">
        <v>1856</v>
      </c>
      <c r="B614" s="16">
        <v>44075</v>
      </c>
      <c r="C614" t="s">
        <v>162</v>
      </c>
      <c r="D614">
        <v>-5019615.5309999995</v>
      </c>
      <c r="E614" t="s">
        <v>331</v>
      </c>
    </row>
    <row r="615" spans="1:5" x14ac:dyDescent="0.25">
      <c r="A615">
        <v>1856</v>
      </c>
      <c r="B615" s="16">
        <v>44105</v>
      </c>
      <c r="C615" t="s">
        <v>162</v>
      </c>
      <c r="D615">
        <v>-5019615.5309999995</v>
      </c>
      <c r="E615" t="s">
        <v>331</v>
      </c>
    </row>
    <row r="616" spans="1:5" x14ac:dyDescent="0.25">
      <c r="A616">
        <v>1856</v>
      </c>
      <c r="B616" s="16">
        <v>44136</v>
      </c>
      <c r="C616" t="s">
        <v>162</v>
      </c>
      <c r="D616">
        <v>-5019615.5309999995</v>
      </c>
      <c r="E616" t="s">
        <v>331</v>
      </c>
    </row>
    <row r="617" spans="1:5" x14ac:dyDescent="0.25">
      <c r="A617">
        <v>1856</v>
      </c>
      <c r="B617" s="16">
        <v>44166</v>
      </c>
      <c r="C617" t="s">
        <v>162</v>
      </c>
      <c r="D617">
        <v>-5019615.5309999995</v>
      </c>
      <c r="E617" t="s">
        <v>331</v>
      </c>
    </row>
    <row r="618" spans="1:5" x14ac:dyDescent="0.25">
      <c r="A618">
        <v>1856</v>
      </c>
      <c r="B618" s="16">
        <v>44197</v>
      </c>
      <c r="C618" t="s">
        <v>162</v>
      </c>
      <c r="D618">
        <v>-5019615.5309999995</v>
      </c>
      <c r="E618" t="s">
        <v>331</v>
      </c>
    </row>
    <row r="619" spans="1:5" x14ac:dyDescent="0.25">
      <c r="A619">
        <v>1856</v>
      </c>
      <c r="B619" s="16">
        <v>43466</v>
      </c>
      <c r="C619" t="s">
        <v>76</v>
      </c>
      <c r="D619">
        <v>-4260730.9499999993</v>
      </c>
      <c r="E619" t="s">
        <v>331</v>
      </c>
    </row>
    <row r="620" spans="1:5" x14ac:dyDescent="0.25">
      <c r="A620">
        <v>1856</v>
      </c>
      <c r="B620" s="16">
        <v>43497</v>
      </c>
      <c r="C620" t="s">
        <v>76</v>
      </c>
      <c r="D620">
        <v>-4260730.9499999993</v>
      </c>
      <c r="E620" t="s">
        <v>331</v>
      </c>
    </row>
    <row r="621" spans="1:5" x14ac:dyDescent="0.25">
      <c r="A621">
        <v>1856</v>
      </c>
      <c r="B621" s="16">
        <v>43525</v>
      </c>
      <c r="C621" t="s">
        <v>76</v>
      </c>
      <c r="D621">
        <v>-4260730.9499999993</v>
      </c>
      <c r="E621" t="s">
        <v>331</v>
      </c>
    </row>
    <row r="622" spans="1:5" x14ac:dyDescent="0.25">
      <c r="A622">
        <v>1856</v>
      </c>
      <c r="B622" s="16">
        <v>43556</v>
      </c>
      <c r="C622" t="s">
        <v>76</v>
      </c>
      <c r="D622">
        <v>-4260730.9499999993</v>
      </c>
      <c r="E622" t="s">
        <v>331</v>
      </c>
    </row>
    <row r="623" spans="1:5" x14ac:dyDescent="0.25">
      <c r="A623">
        <v>1856</v>
      </c>
      <c r="B623" s="16">
        <v>43586</v>
      </c>
      <c r="C623" t="s">
        <v>76</v>
      </c>
      <c r="D623">
        <v>-4260730.9499999993</v>
      </c>
      <c r="E623" t="s">
        <v>331</v>
      </c>
    </row>
    <row r="624" spans="1:5" x14ac:dyDescent="0.25">
      <c r="A624">
        <v>1856</v>
      </c>
      <c r="B624" s="16">
        <v>43617</v>
      </c>
      <c r="C624" t="s">
        <v>76</v>
      </c>
      <c r="D624">
        <v>-4260730.9499999993</v>
      </c>
      <c r="E624" t="s">
        <v>331</v>
      </c>
    </row>
    <row r="625" spans="1:5" x14ac:dyDescent="0.25">
      <c r="A625">
        <v>1856</v>
      </c>
      <c r="B625" s="16">
        <v>43647</v>
      </c>
      <c r="C625" t="s">
        <v>76</v>
      </c>
      <c r="D625">
        <v>-4260730.9499999993</v>
      </c>
      <c r="E625" t="s">
        <v>331</v>
      </c>
    </row>
    <row r="626" spans="1:5" x14ac:dyDescent="0.25">
      <c r="A626">
        <v>1856</v>
      </c>
      <c r="B626" s="16">
        <v>43678</v>
      </c>
      <c r="C626" t="s">
        <v>76</v>
      </c>
      <c r="D626">
        <v>-4260730.9499999993</v>
      </c>
      <c r="E626" t="s">
        <v>331</v>
      </c>
    </row>
    <row r="627" spans="1:5" x14ac:dyDescent="0.25">
      <c r="A627">
        <v>1856</v>
      </c>
      <c r="B627" s="16">
        <v>43466</v>
      </c>
      <c r="C627" t="s">
        <v>163</v>
      </c>
      <c r="D627">
        <v>-3984270.0974999997</v>
      </c>
      <c r="E627" t="s">
        <v>331</v>
      </c>
    </row>
    <row r="628" spans="1:5" x14ac:dyDescent="0.25">
      <c r="A628">
        <v>1856</v>
      </c>
      <c r="B628" s="16">
        <v>43466</v>
      </c>
      <c r="C628" t="s">
        <v>39</v>
      </c>
      <c r="D628">
        <v>-4205787.0750000002</v>
      </c>
      <c r="E628" t="s">
        <v>331</v>
      </c>
    </row>
    <row r="629" spans="1:5" x14ac:dyDescent="0.25">
      <c r="A629">
        <v>1856</v>
      </c>
      <c r="B629" s="16">
        <v>43497</v>
      </c>
      <c r="C629" t="s">
        <v>39</v>
      </c>
      <c r="D629">
        <v>-4205787.0750000002</v>
      </c>
      <c r="E629" t="s">
        <v>331</v>
      </c>
    </row>
    <row r="630" spans="1:5" x14ac:dyDescent="0.25">
      <c r="A630">
        <v>1856</v>
      </c>
      <c r="B630" s="16">
        <v>43525</v>
      </c>
      <c r="C630" t="s">
        <v>39</v>
      </c>
      <c r="D630">
        <v>-4205787.0750000002</v>
      </c>
      <c r="E630" t="s">
        <v>331</v>
      </c>
    </row>
    <row r="631" spans="1:5" x14ac:dyDescent="0.25">
      <c r="A631">
        <v>1856</v>
      </c>
      <c r="B631" s="16">
        <v>43556</v>
      </c>
      <c r="C631" t="s">
        <v>39</v>
      </c>
      <c r="D631">
        <v>-4205787.0750000002</v>
      </c>
      <c r="E631" t="s">
        <v>331</v>
      </c>
    </row>
    <row r="632" spans="1:5" x14ac:dyDescent="0.25">
      <c r="A632">
        <v>1856</v>
      </c>
      <c r="B632" s="16">
        <v>43586</v>
      </c>
      <c r="C632" t="s">
        <v>39</v>
      </c>
      <c r="D632">
        <v>-4205787.0750000002</v>
      </c>
      <c r="E632" t="s">
        <v>331</v>
      </c>
    </row>
    <row r="633" spans="1:5" x14ac:dyDescent="0.25">
      <c r="A633">
        <v>1856</v>
      </c>
      <c r="B633" s="16">
        <v>43617</v>
      </c>
      <c r="C633" t="s">
        <v>39</v>
      </c>
      <c r="D633">
        <v>-4205787.0750000002</v>
      </c>
      <c r="E633" t="s">
        <v>331</v>
      </c>
    </row>
    <row r="634" spans="1:5" x14ac:dyDescent="0.25">
      <c r="A634">
        <v>1856</v>
      </c>
      <c r="B634" s="16">
        <v>43647</v>
      </c>
      <c r="C634" t="s">
        <v>39</v>
      </c>
      <c r="D634">
        <v>-4205787.0750000002</v>
      </c>
      <c r="E634" t="s">
        <v>331</v>
      </c>
    </row>
    <row r="635" spans="1:5" x14ac:dyDescent="0.25">
      <c r="A635">
        <v>1856</v>
      </c>
      <c r="B635" s="16">
        <v>43678</v>
      </c>
      <c r="C635" t="s">
        <v>39</v>
      </c>
      <c r="D635">
        <v>-4205787.0750000002</v>
      </c>
      <c r="E635" t="s">
        <v>331</v>
      </c>
    </row>
    <row r="636" spans="1:5" x14ac:dyDescent="0.25">
      <c r="A636">
        <v>1856</v>
      </c>
      <c r="B636" s="16">
        <v>43709</v>
      </c>
      <c r="C636" t="s">
        <v>39</v>
      </c>
      <c r="D636">
        <v>-4205787.0750000002</v>
      </c>
      <c r="E636" t="s">
        <v>331</v>
      </c>
    </row>
    <row r="637" spans="1:5" x14ac:dyDescent="0.25">
      <c r="A637">
        <v>1856</v>
      </c>
      <c r="B637" s="16">
        <v>43739</v>
      </c>
      <c r="C637" t="s">
        <v>39</v>
      </c>
      <c r="D637">
        <v>-4205787.0750000002</v>
      </c>
      <c r="E637" t="s">
        <v>331</v>
      </c>
    </row>
    <row r="638" spans="1:5" x14ac:dyDescent="0.25">
      <c r="A638">
        <v>1856</v>
      </c>
      <c r="B638" s="16">
        <v>43770</v>
      </c>
      <c r="C638" t="s">
        <v>39</v>
      </c>
      <c r="D638">
        <v>-4205787.0750000002</v>
      </c>
      <c r="E638" t="s">
        <v>331</v>
      </c>
    </row>
    <row r="639" spans="1:5" x14ac:dyDescent="0.25">
      <c r="A639">
        <v>1856</v>
      </c>
      <c r="B639" s="16">
        <v>43800</v>
      </c>
      <c r="C639" t="s">
        <v>39</v>
      </c>
      <c r="D639">
        <v>-4205787.0750000002</v>
      </c>
      <c r="E639" t="s">
        <v>331</v>
      </c>
    </row>
    <row r="640" spans="1:5" x14ac:dyDescent="0.25">
      <c r="A640">
        <v>1856</v>
      </c>
      <c r="B640" s="16">
        <v>43831</v>
      </c>
      <c r="C640" t="s">
        <v>39</v>
      </c>
      <c r="D640">
        <v>-4205787.0750000002</v>
      </c>
      <c r="E640" t="s">
        <v>331</v>
      </c>
    </row>
    <row r="641" spans="1:5" x14ac:dyDescent="0.25">
      <c r="A641">
        <v>1856</v>
      </c>
      <c r="B641" s="16">
        <v>43862</v>
      </c>
      <c r="C641" t="s">
        <v>39</v>
      </c>
      <c r="D641">
        <v>-4205787.0750000002</v>
      </c>
      <c r="E641" t="s">
        <v>331</v>
      </c>
    </row>
    <row r="642" spans="1:5" x14ac:dyDescent="0.25">
      <c r="A642">
        <v>1856</v>
      </c>
      <c r="B642" s="16">
        <v>43891</v>
      </c>
      <c r="C642" t="s">
        <v>39</v>
      </c>
      <c r="D642">
        <v>-4205787.0750000002</v>
      </c>
      <c r="E642" t="s">
        <v>331</v>
      </c>
    </row>
    <row r="643" spans="1:5" x14ac:dyDescent="0.25">
      <c r="A643">
        <v>1856</v>
      </c>
      <c r="B643" s="16">
        <v>43922</v>
      </c>
      <c r="C643" t="s">
        <v>39</v>
      </c>
      <c r="D643">
        <v>-4205787.0750000002</v>
      </c>
      <c r="E643" t="s">
        <v>331</v>
      </c>
    </row>
    <row r="644" spans="1:5" x14ac:dyDescent="0.25">
      <c r="A644">
        <v>1856</v>
      </c>
      <c r="B644" s="16">
        <v>43952</v>
      </c>
      <c r="C644" t="s">
        <v>39</v>
      </c>
      <c r="D644">
        <v>-4205787.0750000002</v>
      </c>
      <c r="E644" t="s">
        <v>331</v>
      </c>
    </row>
    <row r="645" spans="1:5" x14ac:dyDescent="0.25">
      <c r="A645">
        <v>1856</v>
      </c>
      <c r="B645" s="16">
        <v>43983</v>
      </c>
      <c r="C645" t="s">
        <v>39</v>
      </c>
      <c r="D645">
        <v>-4205787.0750000002</v>
      </c>
      <c r="E645" t="s">
        <v>331</v>
      </c>
    </row>
    <row r="646" spans="1:5" x14ac:dyDescent="0.25">
      <c r="A646">
        <v>1856</v>
      </c>
      <c r="B646" s="16">
        <v>44013</v>
      </c>
      <c r="C646" t="s">
        <v>39</v>
      </c>
      <c r="D646">
        <v>-4205787.0750000002</v>
      </c>
      <c r="E646" t="s">
        <v>331</v>
      </c>
    </row>
    <row r="647" spans="1:5" x14ac:dyDescent="0.25">
      <c r="A647">
        <v>1856</v>
      </c>
      <c r="B647" s="16">
        <v>44044</v>
      </c>
      <c r="C647" t="s">
        <v>39</v>
      </c>
      <c r="D647">
        <v>-4205787.0750000002</v>
      </c>
      <c r="E647" t="s">
        <v>331</v>
      </c>
    </row>
    <row r="648" spans="1:5" x14ac:dyDescent="0.25">
      <c r="A648">
        <v>1856</v>
      </c>
      <c r="B648" s="16">
        <v>44075</v>
      </c>
      <c r="C648" t="s">
        <v>39</v>
      </c>
      <c r="D648">
        <v>-4205787.0750000002</v>
      </c>
      <c r="E648" t="s">
        <v>331</v>
      </c>
    </row>
    <row r="649" spans="1:5" x14ac:dyDescent="0.25">
      <c r="A649">
        <v>1856</v>
      </c>
      <c r="B649" s="16">
        <v>44105</v>
      </c>
      <c r="C649" t="s">
        <v>39</v>
      </c>
      <c r="D649">
        <v>-4205787.0750000002</v>
      </c>
      <c r="E649" t="s">
        <v>331</v>
      </c>
    </row>
    <row r="650" spans="1:5" x14ac:dyDescent="0.25">
      <c r="A650">
        <v>1856</v>
      </c>
      <c r="B650" s="16">
        <v>44136</v>
      </c>
      <c r="C650" t="s">
        <v>39</v>
      </c>
      <c r="D650">
        <v>-4205787.0750000002</v>
      </c>
      <c r="E650" t="s">
        <v>331</v>
      </c>
    </row>
    <row r="651" spans="1:5" x14ac:dyDescent="0.25">
      <c r="A651">
        <v>1856</v>
      </c>
      <c r="B651" s="16">
        <v>44166</v>
      </c>
      <c r="C651" t="s">
        <v>39</v>
      </c>
      <c r="D651">
        <v>-4205787.0750000002</v>
      </c>
      <c r="E651" t="s">
        <v>331</v>
      </c>
    </row>
    <row r="652" spans="1:5" x14ac:dyDescent="0.25">
      <c r="A652">
        <v>1856</v>
      </c>
      <c r="B652" s="16">
        <v>44197</v>
      </c>
      <c r="C652" t="s">
        <v>39</v>
      </c>
      <c r="D652">
        <v>-4205787.0750000002</v>
      </c>
      <c r="E652" t="s">
        <v>331</v>
      </c>
    </row>
    <row r="653" spans="1:5" x14ac:dyDescent="0.25">
      <c r="A653">
        <v>1856</v>
      </c>
      <c r="B653" s="16">
        <v>43556</v>
      </c>
      <c r="C653" t="s">
        <v>26</v>
      </c>
      <c r="D653">
        <v>-6444668.4750000006</v>
      </c>
      <c r="E653" t="s">
        <v>331</v>
      </c>
    </row>
    <row r="654" spans="1:5" x14ac:dyDescent="0.25">
      <c r="A654">
        <v>1856</v>
      </c>
      <c r="B654" s="16">
        <v>43586</v>
      </c>
      <c r="C654" t="s">
        <v>26</v>
      </c>
      <c r="D654">
        <v>-6444668.4750000006</v>
      </c>
      <c r="E654" t="s">
        <v>331</v>
      </c>
    </row>
    <row r="655" spans="1:5" x14ac:dyDescent="0.25">
      <c r="A655">
        <v>1856</v>
      </c>
      <c r="B655" s="16">
        <v>43617</v>
      </c>
      <c r="C655" t="s">
        <v>26</v>
      </c>
      <c r="D655">
        <v>-6444668.4750000006</v>
      </c>
      <c r="E655" t="s">
        <v>331</v>
      </c>
    </row>
    <row r="656" spans="1:5" x14ac:dyDescent="0.25">
      <c r="A656">
        <v>1856</v>
      </c>
      <c r="B656" s="16">
        <v>43647</v>
      </c>
      <c r="C656" t="s">
        <v>26</v>
      </c>
      <c r="D656">
        <v>-6444668.4750000006</v>
      </c>
      <c r="E656" t="s">
        <v>331</v>
      </c>
    </row>
    <row r="657" spans="1:5" x14ac:dyDescent="0.25">
      <c r="A657">
        <v>1856</v>
      </c>
      <c r="B657" s="16">
        <v>43678</v>
      </c>
      <c r="C657" t="s">
        <v>26</v>
      </c>
      <c r="D657">
        <v>-6444668.4750000006</v>
      </c>
      <c r="E657" t="s">
        <v>331</v>
      </c>
    </row>
    <row r="658" spans="1:5" x14ac:dyDescent="0.25">
      <c r="A658">
        <v>1856</v>
      </c>
      <c r="B658" s="16">
        <v>43709</v>
      </c>
      <c r="C658" t="s">
        <v>26</v>
      </c>
      <c r="D658">
        <v>-6444668.4750000006</v>
      </c>
      <c r="E658" t="s">
        <v>331</v>
      </c>
    </row>
    <row r="659" spans="1:5" x14ac:dyDescent="0.25">
      <c r="A659">
        <v>1856</v>
      </c>
      <c r="B659" s="16">
        <v>43739</v>
      </c>
      <c r="C659" t="s">
        <v>26</v>
      </c>
      <c r="D659">
        <v>-6444668.4750000006</v>
      </c>
      <c r="E659" t="s">
        <v>331</v>
      </c>
    </row>
    <row r="660" spans="1:5" x14ac:dyDescent="0.25">
      <c r="A660">
        <v>1856</v>
      </c>
      <c r="B660" s="16">
        <v>43770</v>
      </c>
      <c r="C660" t="s">
        <v>26</v>
      </c>
      <c r="D660">
        <v>-6444668.4750000006</v>
      </c>
      <c r="E660" t="s">
        <v>331</v>
      </c>
    </row>
    <row r="661" spans="1:5" x14ac:dyDescent="0.25">
      <c r="A661">
        <v>1856</v>
      </c>
      <c r="B661" s="16">
        <v>43800</v>
      </c>
      <c r="C661" t="s">
        <v>26</v>
      </c>
      <c r="D661">
        <v>-6444668.4750000006</v>
      </c>
      <c r="E661" t="s">
        <v>331</v>
      </c>
    </row>
    <row r="662" spans="1:5" x14ac:dyDescent="0.25">
      <c r="A662">
        <v>1856</v>
      </c>
      <c r="B662" s="16">
        <v>43831</v>
      </c>
      <c r="C662" t="s">
        <v>26</v>
      </c>
      <c r="D662">
        <v>-6444668.4750000006</v>
      </c>
      <c r="E662" t="s">
        <v>331</v>
      </c>
    </row>
    <row r="663" spans="1:5" x14ac:dyDescent="0.25">
      <c r="A663">
        <v>1856</v>
      </c>
      <c r="B663" s="16">
        <v>43862</v>
      </c>
      <c r="C663" t="s">
        <v>26</v>
      </c>
      <c r="D663">
        <v>-6444668.4750000006</v>
      </c>
      <c r="E663" t="s">
        <v>331</v>
      </c>
    </row>
    <row r="664" spans="1:5" x14ac:dyDescent="0.25">
      <c r="A664">
        <v>1856</v>
      </c>
      <c r="B664" s="16">
        <v>43891</v>
      </c>
      <c r="C664" t="s">
        <v>26</v>
      </c>
      <c r="D664">
        <v>-6444668.4750000006</v>
      </c>
      <c r="E664" t="s">
        <v>331</v>
      </c>
    </row>
    <row r="665" spans="1:5" x14ac:dyDescent="0.25">
      <c r="A665">
        <v>1856</v>
      </c>
      <c r="B665" s="16">
        <v>43922</v>
      </c>
      <c r="C665" t="s">
        <v>26</v>
      </c>
      <c r="D665">
        <v>-6444668.4750000006</v>
      </c>
      <c r="E665" t="s">
        <v>331</v>
      </c>
    </row>
    <row r="666" spans="1:5" x14ac:dyDescent="0.25">
      <c r="A666">
        <v>1856</v>
      </c>
      <c r="B666" s="16">
        <v>43952</v>
      </c>
      <c r="C666" t="s">
        <v>26</v>
      </c>
      <c r="D666">
        <v>-6444668.4750000006</v>
      </c>
      <c r="E666" t="s">
        <v>331</v>
      </c>
    </row>
    <row r="667" spans="1:5" x14ac:dyDescent="0.25">
      <c r="A667">
        <v>1856</v>
      </c>
      <c r="B667" s="16">
        <v>43983</v>
      </c>
      <c r="C667" t="s">
        <v>26</v>
      </c>
      <c r="D667">
        <v>-6444668.4750000006</v>
      </c>
      <c r="E667" t="s">
        <v>331</v>
      </c>
    </row>
    <row r="668" spans="1:5" x14ac:dyDescent="0.25">
      <c r="A668">
        <v>1856</v>
      </c>
      <c r="B668" s="16">
        <v>44013</v>
      </c>
      <c r="C668" t="s">
        <v>26</v>
      </c>
      <c r="D668">
        <v>-6444668.4750000006</v>
      </c>
      <c r="E668" t="s">
        <v>331</v>
      </c>
    </row>
    <row r="669" spans="1:5" x14ac:dyDescent="0.25">
      <c r="A669">
        <v>1856</v>
      </c>
      <c r="B669" s="16">
        <v>44044</v>
      </c>
      <c r="C669" t="s">
        <v>26</v>
      </c>
      <c r="D669">
        <v>-6444668.4750000006</v>
      </c>
      <c r="E669" t="s">
        <v>331</v>
      </c>
    </row>
    <row r="670" spans="1:5" x14ac:dyDescent="0.25">
      <c r="A670">
        <v>1856</v>
      </c>
      <c r="B670" s="16">
        <v>44075</v>
      </c>
      <c r="C670" t="s">
        <v>26</v>
      </c>
      <c r="D670">
        <v>-6444668.4750000006</v>
      </c>
      <c r="E670" t="s">
        <v>331</v>
      </c>
    </row>
    <row r="671" spans="1:5" x14ac:dyDescent="0.25">
      <c r="A671">
        <v>1856</v>
      </c>
      <c r="B671" s="16">
        <v>44105</v>
      </c>
      <c r="C671" t="s">
        <v>26</v>
      </c>
      <c r="D671">
        <v>-6444668.4750000006</v>
      </c>
      <c r="E671" t="s">
        <v>331</v>
      </c>
    </row>
    <row r="672" spans="1:5" x14ac:dyDescent="0.25">
      <c r="A672">
        <v>1856</v>
      </c>
      <c r="B672" s="16">
        <v>44136</v>
      </c>
      <c r="C672" t="s">
        <v>26</v>
      </c>
      <c r="D672">
        <v>-6444668.4750000006</v>
      </c>
      <c r="E672" t="s">
        <v>331</v>
      </c>
    </row>
    <row r="673" spans="1:5" x14ac:dyDescent="0.25">
      <c r="A673">
        <v>1856</v>
      </c>
      <c r="B673" s="16">
        <v>44166</v>
      </c>
      <c r="C673" t="s">
        <v>26</v>
      </c>
      <c r="D673">
        <v>-6444668.4750000006</v>
      </c>
      <c r="E673" t="s">
        <v>331</v>
      </c>
    </row>
    <row r="674" spans="1:5" x14ac:dyDescent="0.25">
      <c r="A674">
        <v>1856</v>
      </c>
      <c r="B674" s="16">
        <v>44197</v>
      </c>
      <c r="C674" t="s">
        <v>26</v>
      </c>
      <c r="D674">
        <v>-6444668.4750000006</v>
      </c>
      <c r="E674" t="s">
        <v>331</v>
      </c>
    </row>
    <row r="675" spans="1:5" x14ac:dyDescent="0.25">
      <c r="A675">
        <v>1860</v>
      </c>
      <c r="B675" s="16">
        <v>43466</v>
      </c>
      <c r="C675" t="s">
        <v>19</v>
      </c>
      <c r="D675">
        <v>-1905120.0000000002</v>
      </c>
      <c r="E675" t="s">
        <v>331</v>
      </c>
    </row>
    <row r="676" spans="1:5" x14ac:dyDescent="0.25">
      <c r="A676">
        <v>1860</v>
      </c>
      <c r="B676" s="16">
        <v>43497</v>
      </c>
      <c r="C676" t="s">
        <v>19</v>
      </c>
      <c r="D676">
        <v>-1905120.0000000002</v>
      </c>
      <c r="E676" t="s">
        <v>331</v>
      </c>
    </row>
    <row r="677" spans="1:5" x14ac:dyDescent="0.25">
      <c r="A677">
        <v>1860</v>
      </c>
      <c r="B677" s="16">
        <v>43525</v>
      </c>
      <c r="C677" t="s">
        <v>19</v>
      </c>
      <c r="D677">
        <v>-1905120.0000000002</v>
      </c>
      <c r="E677" t="s">
        <v>331</v>
      </c>
    </row>
    <row r="678" spans="1:5" x14ac:dyDescent="0.25">
      <c r="A678">
        <v>1860</v>
      </c>
      <c r="B678" s="16">
        <v>43556</v>
      </c>
      <c r="C678" t="s">
        <v>19</v>
      </c>
      <c r="D678">
        <v>-1905120.0000000002</v>
      </c>
      <c r="E678" t="s">
        <v>331</v>
      </c>
    </row>
    <row r="679" spans="1:5" x14ac:dyDescent="0.25">
      <c r="A679">
        <v>1860</v>
      </c>
      <c r="B679" s="16">
        <v>43586</v>
      </c>
      <c r="C679" t="s">
        <v>19</v>
      </c>
      <c r="D679">
        <v>-1905120.0000000002</v>
      </c>
      <c r="E679" t="s">
        <v>331</v>
      </c>
    </row>
    <row r="680" spans="1:5" x14ac:dyDescent="0.25">
      <c r="A680">
        <v>1860</v>
      </c>
      <c r="B680" s="16">
        <v>43617</v>
      </c>
      <c r="C680" t="s">
        <v>19</v>
      </c>
      <c r="D680">
        <v>-1905120.0000000002</v>
      </c>
      <c r="E680" t="s">
        <v>331</v>
      </c>
    </row>
    <row r="681" spans="1:5" x14ac:dyDescent="0.25">
      <c r="A681">
        <v>1860</v>
      </c>
      <c r="B681" s="16">
        <v>43647</v>
      </c>
      <c r="C681" t="s">
        <v>19</v>
      </c>
      <c r="D681">
        <v>-1905120.0000000002</v>
      </c>
      <c r="E681" t="s">
        <v>331</v>
      </c>
    </row>
    <row r="682" spans="1:5" x14ac:dyDescent="0.25">
      <c r="A682">
        <v>1860</v>
      </c>
      <c r="B682" s="16">
        <v>43678</v>
      </c>
      <c r="C682" t="s">
        <v>19</v>
      </c>
      <c r="D682">
        <v>-1905120.0000000002</v>
      </c>
      <c r="E682" t="s">
        <v>331</v>
      </c>
    </row>
    <row r="683" spans="1:5" x14ac:dyDescent="0.25">
      <c r="A683">
        <v>1860</v>
      </c>
      <c r="B683" s="16">
        <v>43709</v>
      </c>
      <c r="C683" t="s">
        <v>19</v>
      </c>
      <c r="D683">
        <v>-1905120.0000000002</v>
      </c>
      <c r="E683" t="s">
        <v>331</v>
      </c>
    </row>
    <row r="684" spans="1:5" x14ac:dyDescent="0.25">
      <c r="A684">
        <v>1860</v>
      </c>
      <c r="B684" s="16">
        <v>43739</v>
      </c>
      <c r="C684" t="s">
        <v>19</v>
      </c>
      <c r="D684">
        <v>-1905120.0000000002</v>
      </c>
      <c r="E684" t="s">
        <v>331</v>
      </c>
    </row>
    <row r="685" spans="1:5" x14ac:dyDescent="0.25">
      <c r="A685">
        <v>1860</v>
      </c>
      <c r="B685" s="16">
        <v>43770</v>
      </c>
      <c r="C685" t="s">
        <v>19</v>
      </c>
      <c r="D685">
        <v>-1905120.0000000002</v>
      </c>
      <c r="E685" t="s">
        <v>331</v>
      </c>
    </row>
    <row r="686" spans="1:5" x14ac:dyDescent="0.25">
      <c r="A686">
        <v>1860</v>
      </c>
      <c r="B686" s="16">
        <v>43800</v>
      </c>
      <c r="C686" t="s">
        <v>19</v>
      </c>
      <c r="D686">
        <v>-1905120.0000000002</v>
      </c>
      <c r="E686" t="s">
        <v>331</v>
      </c>
    </row>
    <row r="687" spans="1:5" x14ac:dyDescent="0.25">
      <c r="A687">
        <v>1860</v>
      </c>
      <c r="B687" s="16">
        <v>43831</v>
      </c>
      <c r="C687" t="s">
        <v>19</v>
      </c>
      <c r="D687">
        <v>-1905120.0000000002</v>
      </c>
      <c r="E687" t="s">
        <v>331</v>
      </c>
    </row>
    <row r="688" spans="1:5" x14ac:dyDescent="0.25">
      <c r="A688">
        <v>1860</v>
      </c>
      <c r="B688" s="16">
        <v>43862</v>
      </c>
      <c r="C688" t="s">
        <v>19</v>
      </c>
      <c r="D688">
        <v>-1905120.0000000002</v>
      </c>
      <c r="E688" t="s">
        <v>331</v>
      </c>
    </row>
    <row r="689" spans="1:5" x14ac:dyDescent="0.25">
      <c r="A689">
        <v>1860</v>
      </c>
      <c r="B689" s="16">
        <v>43891</v>
      </c>
      <c r="C689" t="s">
        <v>19</v>
      </c>
      <c r="D689">
        <v>-1905120.0000000002</v>
      </c>
      <c r="E689" t="s">
        <v>331</v>
      </c>
    </row>
    <row r="690" spans="1:5" x14ac:dyDescent="0.25">
      <c r="A690">
        <v>1860</v>
      </c>
      <c r="B690" s="16">
        <v>43922</v>
      </c>
      <c r="C690" t="s">
        <v>19</v>
      </c>
      <c r="D690">
        <v>-1905120.0000000002</v>
      </c>
      <c r="E690" t="s">
        <v>331</v>
      </c>
    </row>
    <row r="691" spans="1:5" x14ac:dyDescent="0.25">
      <c r="A691">
        <v>1860</v>
      </c>
      <c r="B691" s="16">
        <v>43952</v>
      </c>
      <c r="C691" t="s">
        <v>19</v>
      </c>
      <c r="D691">
        <v>-1905120.0000000002</v>
      </c>
      <c r="E691" t="s">
        <v>331</v>
      </c>
    </row>
    <row r="692" spans="1:5" x14ac:dyDescent="0.25">
      <c r="A692">
        <v>1860</v>
      </c>
      <c r="B692" s="16">
        <v>43983</v>
      </c>
      <c r="C692" t="s">
        <v>19</v>
      </c>
      <c r="D692">
        <v>-1905120.0000000002</v>
      </c>
      <c r="E692" t="s">
        <v>331</v>
      </c>
    </row>
    <row r="693" spans="1:5" x14ac:dyDescent="0.25">
      <c r="A693">
        <v>1860</v>
      </c>
      <c r="B693" s="16">
        <v>44013</v>
      </c>
      <c r="C693" t="s">
        <v>19</v>
      </c>
      <c r="D693">
        <v>-1905120.0000000002</v>
      </c>
      <c r="E693" t="s">
        <v>331</v>
      </c>
    </row>
    <row r="694" spans="1:5" x14ac:dyDescent="0.25">
      <c r="A694">
        <v>1860</v>
      </c>
      <c r="B694" s="16">
        <v>44044</v>
      </c>
      <c r="C694" t="s">
        <v>19</v>
      </c>
      <c r="D694">
        <v>-1905120.0000000002</v>
      </c>
      <c r="E694" t="s">
        <v>331</v>
      </c>
    </row>
    <row r="695" spans="1:5" x14ac:dyDescent="0.25">
      <c r="A695">
        <v>1860</v>
      </c>
      <c r="B695" s="16">
        <v>44075</v>
      </c>
      <c r="C695" t="s">
        <v>19</v>
      </c>
      <c r="D695">
        <v>-1905120.0000000002</v>
      </c>
      <c r="E695" t="s">
        <v>331</v>
      </c>
    </row>
    <row r="696" spans="1:5" x14ac:dyDescent="0.25">
      <c r="A696">
        <v>1860</v>
      </c>
      <c r="B696" s="16">
        <v>44105</v>
      </c>
      <c r="C696" t="s">
        <v>19</v>
      </c>
      <c r="D696">
        <v>-1905120.0000000002</v>
      </c>
      <c r="E696" t="s">
        <v>331</v>
      </c>
    </row>
    <row r="697" spans="1:5" x14ac:dyDescent="0.25">
      <c r="A697">
        <v>1860</v>
      </c>
      <c r="B697" s="16">
        <v>44136</v>
      </c>
      <c r="C697" t="s">
        <v>19</v>
      </c>
      <c r="D697">
        <v>-1905120.0000000002</v>
      </c>
      <c r="E697" t="s">
        <v>331</v>
      </c>
    </row>
    <row r="698" spans="1:5" x14ac:dyDescent="0.25">
      <c r="A698">
        <v>1860</v>
      </c>
      <c r="B698" s="16">
        <v>44166</v>
      </c>
      <c r="C698" t="s">
        <v>19</v>
      </c>
      <c r="D698">
        <v>-1905120.0000000002</v>
      </c>
      <c r="E698" t="s">
        <v>331</v>
      </c>
    </row>
    <row r="699" spans="1:5" x14ac:dyDescent="0.25">
      <c r="A699">
        <v>1860</v>
      </c>
      <c r="B699" s="16">
        <v>44197</v>
      </c>
      <c r="C699" t="s">
        <v>19</v>
      </c>
      <c r="D699">
        <v>-1905120.0000000002</v>
      </c>
      <c r="E699" t="s">
        <v>331</v>
      </c>
    </row>
    <row r="700" spans="1:5" x14ac:dyDescent="0.25">
      <c r="A700">
        <v>1860</v>
      </c>
      <c r="B700" s="16">
        <v>44228</v>
      </c>
      <c r="C700" t="s">
        <v>19</v>
      </c>
      <c r="D700">
        <v>-1905120.0000000002</v>
      </c>
      <c r="E700" t="s">
        <v>331</v>
      </c>
    </row>
    <row r="701" spans="1:5" x14ac:dyDescent="0.25">
      <c r="A701">
        <v>1860</v>
      </c>
      <c r="B701" s="16">
        <v>44256</v>
      </c>
      <c r="C701" t="s">
        <v>19</v>
      </c>
      <c r="D701">
        <v>-1905120.0000000002</v>
      </c>
      <c r="E701" t="s">
        <v>331</v>
      </c>
    </row>
    <row r="702" spans="1:5" x14ac:dyDescent="0.25">
      <c r="A702">
        <v>1860</v>
      </c>
      <c r="B702" s="16">
        <v>44287</v>
      </c>
      <c r="C702" t="s">
        <v>19</v>
      </c>
      <c r="D702">
        <v>-1905120.0000000002</v>
      </c>
      <c r="E702" t="s">
        <v>331</v>
      </c>
    </row>
    <row r="703" spans="1:5" x14ac:dyDescent="0.25">
      <c r="A703">
        <v>1860</v>
      </c>
      <c r="B703" s="16">
        <v>44044</v>
      </c>
      <c r="C703" t="s">
        <v>76</v>
      </c>
      <c r="D703">
        <v>-3923324.9999999995</v>
      </c>
      <c r="E703" t="s">
        <v>331</v>
      </c>
    </row>
    <row r="704" spans="1:5" x14ac:dyDescent="0.25">
      <c r="A704">
        <v>1860</v>
      </c>
      <c r="B704" s="16">
        <v>44075</v>
      </c>
      <c r="C704" t="s">
        <v>76</v>
      </c>
      <c r="D704">
        <v>-3923324.9999999995</v>
      </c>
      <c r="E704" t="s">
        <v>331</v>
      </c>
    </row>
    <row r="705" spans="1:5" x14ac:dyDescent="0.25">
      <c r="A705">
        <v>1860</v>
      </c>
      <c r="B705" s="16">
        <v>44105</v>
      </c>
      <c r="C705" t="s">
        <v>76</v>
      </c>
      <c r="D705">
        <v>-3923324.9999999995</v>
      </c>
      <c r="E705" t="s">
        <v>331</v>
      </c>
    </row>
    <row r="706" spans="1:5" x14ac:dyDescent="0.25">
      <c r="A706">
        <v>1860</v>
      </c>
      <c r="B706" s="16">
        <v>44136</v>
      </c>
      <c r="C706" t="s">
        <v>76</v>
      </c>
      <c r="D706">
        <v>-3923324.9999999995</v>
      </c>
      <c r="E706" t="s">
        <v>331</v>
      </c>
    </row>
    <row r="707" spans="1:5" x14ac:dyDescent="0.25">
      <c r="A707">
        <v>1860</v>
      </c>
      <c r="B707" s="16">
        <v>44166</v>
      </c>
      <c r="C707" t="s">
        <v>76</v>
      </c>
      <c r="D707">
        <v>-3923324.9999999995</v>
      </c>
      <c r="E707" t="s">
        <v>331</v>
      </c>
    </row>
    <row r="708" spans="1:5" x14ac:dyDescent="0.25">
      <c r="A708">
        <v>1860</v>
      </c>
      <c r="B708" s="16">
        <v>44197</v>
      </c>
      <c r="C708" t="s">
        <v>76</v>
      </c>
      <c r="D708">
        <v>-3923324.9999999995</v>
      </c>
      <c r="E708" t="s">
        <v>331</v>
      </c>
    </row>
    <row r="709" spans="1:5" x14ac:dyDescent="0.25">
      <c r="A709">
        <v>1860</v>
      </c>
      <c r="B709" s="16">
        <v>44228</v>
      </c>
      <c r="C709" t="s">
        <v>76</v>
      </c>
      <c r="D709">
        <v>-3923324.9999999995</v>
      </c>
      <c r="E709" t="s">
        <v>331</v>
      </c>
    </row>
    <row r="710" spans="1:5" x14ac:dyDescent="0.25">
      <c r="A710">
        <v>1860</v>
      </c>
      <c r="B710" s="16">
        <v>44256</v>
      </c>
      <c r="C710" t="s">
        <v>76</v>
      </c>
      <c r="D710">
        <v>-3923324.9999999995</v>
      </c>
      <c r="E710" t="s">
        <v>331</v>
      </c>
    </row>
    <row r="711" spans="1:5" x14ac:dyDescent="0.25">
      <c r="A711">
        <v>1860</v>
      </c>
      <c r="B711" s="16">
        <v>44287</v>
      </c>
      <c r="C711" t="s">
        <v>76</v>
      </c>
      <c r="D711">
        <v>-3923324.9999999995</v>
      </c>
      <c r="E711" t="s">
        <v>331</v>
      </c>
    </row>
    <row r="712" spans="1:5" x14ac:dyDescent="0.25">
      <c r="A712">
        <v>1860</v>
      </c>
      <c r="B712" s="16">
        <v>44317</v>
      </c>
      <c r="C712" t="s">
        <v>76</v>
      </c>
      <c r="D712">
        <v>-3923324.9999999995</v>
      </c>
      <c r="E712" t="s">
        <v>331</v>
      </c>
    </row>
    <row r="713" spans="1:5" x14ac:dyDescent="0.25">
      <c r="A713">
        <v>1860</v>
      </c>
      <c r="B713" s="16">
        <v>44348</v>
      </c>
      <c r="C713" t="s">
        <v>76</v>
      </c>
      <c r="D713">
        <v>-3923324.9999999995</v>
      </c>
      <c r="E713" t="s">
        <v>331</v>
      </c>
    </row>
    <row r="714" spans="1:5" x14ac:dyDescent="0.25">
      <c r="A714">
        <v>1860</v>
      </c>
      <c r="B714" s="16">
        <v>44378</v>
      </c>
      <c r="C714" t="s">
        <v>76</v>
      </c>
      <c r="D714">
        <v>-3923324.9999999995</v>
      </c>
      <c r="E714" t="s">
        <v>331</v>
      </c>
    </row>
    <row r="715" spans="1:5" x14ac:dyDescent="0.25">
      <c r="A715">
        <v>1860</v>
      </c>
      <c r="B715" s="16">
        <v>43466</v>
      </c>
      <c r="C715" t="s">
        <v>162</v>
      </c>
      <c r="D715">
        <v>-4758075</v>
      </c>
      <c r="E715" t="s">
        <v>331</v>
      </c>
    </row>
    <row r="716" spans="1:5" x14ac:dyDescent="0.25">
      <c r="A716">
        <v>1860</v>
      </c>
      <c r="B716" s="16">
        <v>43497</v>
      </c>
      <c r="C716" t="s">
        <v>162</v>
      </c>
      <c r="D716">
        <v>-4758075</v>
      </c>
      <c r="E716" t="s">
        <v>331</v>
      </c>
    </row>
    <row r="717" spans="1:5" x14ac:dyDescent="0.25">
      <c r="A717">
        <v>1860</v>
      </c>
      <c r="B717" s="16">
        <v>43525</v>
      </c>
      <c r="C717" t="s">
        <v>162</v>
      </c>
      <c r="D717">
        <v>-4758075</v>
      </c>
      <c r="E717" t="s">
        <v>331</v>
      </c>
    </row>
    <row r="718" spans="1:5" x14ac:dyDescent="0.25">
      <c r="A718">
        <v>1860</v>
      </c>
      <c r="B718" s="16">
        <v>43556</v>
      </c>
      <c r="C718" t="s">
        <v>162</v>
      </c>
      <c r="D718">
        <v>-4758075</v>
      </c>
      <c r="E718" t="s">
        <v>331</v>
      </c>
    </row>
    <row r="719" spans="1:5" x14ac:dyDescent="0.25">
      <c r="A719">
        <v>1860</v>
      </c>
      <c r="B719" s="16">
        <v>43586</v>
      </c>
      <c r="C719" t="s">
        <v>162</v>
      </c>
      <c r="D719">
        <v>-4758075</v>
      </c>
      <c r="E719" t="s">
        <v>331</v>
      </c>
    </row>
    <row r="720" spans="1:5" x14ac:dyDescent="0.25">
      <c r="A720">
        <v>1860</v>
      </c>
      <c r="B720" s="16">
        <v>43617</v>
      </c>
      <c r="C720" t="s">
        <v>162</v>
      </c>
      <c r="D720">
        <v>-4758075</v>
      </c>
      <c r="E720" t="s">
        <v>331</v>
      </c>
    </row>
    <row r="721" spans="1:5" x14ac:dyDescent="0.25">
      <c r="A721">
        <v>1860</v>
      </c>
      <c r="B721" s="16">
        <v>43647</v>
      </c>
      <c r="C721" t="s">
        <v>162</v>
      </c>
      <c r="D721">
        <v>-4758075</v>
      </c>
      <c r="E721" t="s">
        <v>331</v>
      </c>
    </row>
    <row r="722" spans="1:5" x14ac:dyDescent="0.25">
      <c r="A722">
        <v>1860</v>
      </c>
      <c r="B722" s="16">
        <v>43678</v>
      </c>
      <c r="C722" t="s">
        <v>162</v>
      </c>
      <c r="D722">
        <v>-4758075</v>
      </c>
      <c r="E722" t="s">
        <v>331</v>
      </c>
    </row>
    <row r="723" spans="1:5" x14ac:dyDescent="0.25">
      <c r="A723">
        <v>1860</v>
      </c>
      <c r="B723" s="16">
        <v>43709</v>
      </c>
      <c r="C723" t="s">
        <v>162</v>
      </c>
      <c r="D723">
        <v>-4758075</v>
      </c>
      <c r="E723" t="s">
        <v>331</v>
      </c>
    </row>
    <row r="724" spans="1:5" x14ac:dyDescent="0.25">
      <c r="A724">
        <v>1860</v>
      </c>
      <c r="B724" s="16">
        <v>43739</v>
      </c>
      <c r="C724" t="s">
        <v>162</v>
      </c>
      <c r="D724">
        <v>-4758075</v>
      </c>
      <c r="E724" t="s">
        <v>331</v>
      </c>
    </row>
    <row r="725" spans="1:5" x14ac:dyDescent="0.25">
      <c r="A725">
        <v>1860</v>
      </c>
      <c r="B725" s="16">
        <v>43770</v>
      </c>
      <c r="C725" t="s">
        <v>162</v>
      </c>
      <c r="D725">
        <v>-4758075</v>
      </c>
      <c r="E725" t="s">
        <v>331</v>
      </c>
    </row>
    <row r="726" spans="1:5" x14ac:dyDescent="0.25">
      <c r="A726">
        <v>1860</v>
      </c>
      <c r="B726" s="16">
        <v>43800</v>
      </c>
      <c r="C726" t="s">
        <v>162</v>
      </c>
      <c r="D726">
        <v>-4758075</v>
      </c>
      <c r="E726" t="s">
        <v>331</v>
      </c>
    </row>
    <row r="727" spans="1:5" x14ac:dyDescent="0.25">
      <c r="A727">
        <v>1860</v>
      </c>
      <c r="B727" s="16">
        <v>43831</v>
      </c>
      <c r="C727" t="s">
        <v>162</v>
      </c>
      <c r="D727">
        <v>-4758075</v>
      </c>
      <c r="E727" t="s">
        <v>331</v>
      </c>
    </row>
    <row r="728" spans="1:5" x14ac:dyDescent="0.25">
      <c r="A728">
        <v>1860</v>
      </c>
      <c r="B728" s="16">
        <v>43862</v>
      </c>
      <c r="C728" t="s">
        <v>162</v>
      </c>
      <c r="D728">
        <v>-4758075</v>
      </c>
      <c r="E728" t="s">
        <v>331</v>
      </c>
    </row>
    <row r="729" spans="1:5" x14ac:dyDescent="0.25">
      <c r="A729">
        <v>1860</v>
      </c>
      <c r="B729" s="16">
        <v>43891</v>
      </c>
      <c r="C729" t="s">
        <v>162</v>
      </c>
      <c r="D729">
        <v>-4758075</v>
      </c>
      <c r="E729" t="s">
        <v>331</v>
      </c>
    </row>
    <row r="730" spans="1:5" x14ac:dyDescent="0.25">
      <c r="A730">
        <v>1860</v>
      </c>
      <c r="B730" s="16">
        <v>43922</v>
      </c>
      <c r="C730" t="s">
        <v>162</v>
      </c>
      <c r="D730">
        <v>-4758075</v>
      </c>
      <c r="E730" t="s">
        <v>331</v>
      </c>
    </row>
    <row r="731" spans="1:5" x14ac:dyDescent="0.25">
      <c r="A731">
        <v>1860</v>
      </c>
      <c r="B731" s="16">
        <v>43952</v>
      </c>
      <c r="C731" t="s">
        <v>162</v>
      </c>
      <c r="D731">
        <v>-4758075</v>
      </c>
      <c r="E731" t="s">
        <v>331</v>
      </c>
    </row>
    <row r="732" spans="1:5" x14ac:dyDescent="0.25">
      <c r="A732">
        <v>1860</v>
      </c>
      <c r="B732" s="16">
        <v>43983</v>
      </c>
      <c r="C732" t="s">
        <v>162</v>
      </c>
      <c r="D732">
        <v>-4758075</v>
      </c>
      <c r="E732" t="s">
        <v>331</v>
      </c>
    </row>
    <row r="733" spans="1:5" x14ac:dyDescent="0.25">
      <c r="A733">
        <v>1860</v>
      </c>
      <c r="B733" s="16">
        <v>44013</v>
      </c>
      <c r="C733" t="s">
        <v>162</v>
      </c>
      <c r="D733">
        <v>-4758075</v>
      </c>
      <c r="E733" t="s">
        <v>331</v>
      </c>
    </row>
    <row r="734" spans="1:5" x14ac:dyDescent="0.25">
      <c r="A734">
        <v>1860</v>
      </c>
      <c r="B734" s="16">
        <v>44044</v>
      </c>
      <c r="C734" t="s">
        <v>162</v>
      </c>
      <c r="D734">
        <v>-4758075</v>
      </c>
      <c r="E734" t="s">
        <v>331</v>
      </c>
    </row>
    <row r="735" spans="1:5" x14ac:dyDescent="0.25">
      <c r="A735">
        <v>1860</v>
      </c>
      <c r="B735" s="16">
        <v>44075</v>
      </c>
      <c r="C735" t="s">
        <v>162</v>
      </c>
      <c r="D735">
        <v>-4758075</v>
      </c>
      <c r="E735" t="s">
        <v>331</v>
      </c>
    </row>
    <row r="736" spans="1:5" x14ac:dyDescent="0.25">
      <c r="A736">
        <v>1860</v>
      </c>
      <c r="B736" s="16">
        <v>44105</v>
      </c>
      <c r="C736" t="s">
        <v>162</v>
      </c>
      <c r="D736">
        <v>-4758075</v>
      </c>
      <c r="E736" t="s">
        <v>331</v>
      </c>
    </row>
    <row r="737" spans="1:5" x14ac:dyDescent="0.25">
      <c r="A737">
        <v>1860</v>
      </c>
      <c r="B737" s="16">
        <v>44136</v>
      </c>
      <c r="C737" t="s">
        <v>162</v>
      </c>
      <c r="D737">
        <v>-4758075</v>
      </c>
      <c r="E737" t="s">
        <v>331</v>
      </c>
    </row>
    <row r="738" spans="1:5" x14ac:dyDescent="0.25">
      <c r="A738">
        <v>1860</v>
      </c>
      <c r="B738" s="16">
        <v>44166</v>
      </c>
      <c r="C738" t="s">
        <v>162</v>
      </c>
      <c r="D738">
        <v>-4758075</v>
      </c>
      <c r="E738" t="s">
        <v>331</v>
      </c>
    </row>
    <row r="739" spans="1:5" x14ac:dyDescent="0.25">
      <c r="A739">
        <v>1860</v>
      </c>
      <c r="B739" s="16">
        <v>44197</v>
      </c>
      <c r="C739" t="s">
        <v>162</v>
      </c>
      <c r="D739">
        <v>-4758075</v>
      </c>
      <c r="E739" t="s">
        <v>331</v>
      </c>
    </row>
    <row r="740" spans="1:5" x14ac:dyDescent="0.25">
      <c r="A740">
        <v>1860</v>
      </c>
      <c r="B740" s="16">
        <v>44228</v>
      </c>
      <c r="C740" t="s">
        <v>162</v>
      </c>
      <c r="D740">
        <v>-4758075</v>
      </c>
      <c r="E740" t="s">
        <v>331</v>
      </c>
    </row>
    <row r="741" spans="1:5" x14ac:dyDescent="0.25">
      <c r="A741">
        <v>1860</v>
      </c>
      <c r="B741" s="16">
        <v>44256</v>
      </c>
      <c r="C741" t="s">
        <v>162</v>
      </c>
      <c r="D741">
        <v>-4758075</v>
      </c>
      <c r="E741" t="s">
        <v>331</v>
      </c>
    </row>
    <row r="742" spans="1:5" x14ac:dyDescent="0.25">
      <c r="A742">
        <v>1860</v>
      </c>
      <c r="B742" s="16">
        <v>43466</v>
      </c>
      <c r="C742" t="s">
        <v>26</v>
      </c>
      <c r="D742">
        <v>-5985000</v>
      </c>
      <c r="E742" t="s">
        <v>331</v>
      </c>
    </row>
    <row r="743" spans="1:5" x14ac:dyDescent="0.25">
      <c r="A743">
        <v>1860</v>
      </c>
      <c r="B743" s="16">
        <v>43497</v>
      </c>
      <c r="C743" t="s">
        <v>26</v>
      </c>
      <c r="D743">
        <v>-5985000</v>
      </c>
      <c r="E743" t="s">
        <v>331</v>
      </c>
    </row>
    <row r="744" spans="1:5" x14ac:dyDescent="0.25">
      <c r="A744">
        <v>1860</v>
      </c>
      <c r="B744" s="16">
        <v>43525</v>
      </c>
      <c r="C744" t="s">
        <v>26</v>
      </c>
      <c r="D744">
        <v>-5985000</v>
      </c>
      <c r="E744" t="s">
        <v>331</v>
      </c>
    </row>
    <row r="745" spans="1:5" x14ac:dyDescent="0.25">
      <c r="A745">
        <v>1860</v>
      </c>
      <c r="B745" s="16">
        <v>43556</v>
      </c>
      <c r="C745" t="s">
        <v>26</v>
      </c>
      <c r="D745">
        <v>-5985000</v>
      </c>
      <c r="E745" t="s">
        <v>331</v>
      </c>
    </row>
    <row r="746" spans="1:5" x14ac:dyDescent="0.25">
      <c r="A746">
        <v>1860</v>
      </c>
      <c r="B746" s="16">
        <v>43586</v>
      </c>
      <c r="C746" t="s">
        <v>26</v>
      </c>
      <c r="D746">
        <v>-5985000</v>
      </c>
      <c r="E746" t="s">
        <v>331</v>
      </c>
    </row>
    <row r="747" spans="1:5" x14ac:dyDescent="0.25">
      <c r="A747">
        <v>1860</v>
      </c>
      <c r="B747" s="16">
        <v>43617</v>
      </c>
      <c r="C747" t="s">
        <v>26</v>
      </c>
      <c r="D747">
        <v>-5985000</v>
      </c>
      <c r="E747" t="s">
        <v>331</v>
      </c>
    </row>
    <row r="748" spans="1:5" x14ac:dyDescent="0.25">
      <c r="A748">
        <v>1860</v>
      </c>
      <c r="B748" s="16">
        <v>43647</v>
      </c>
      <c r="C748" t="s">
        <v>26</v>
      </c>
      <c r="D748">
        <v>-5985000</v>
      </c>
      <c r="E748" t="s">
        <v>331</v>
      </c>
    </row>
    <row r="749" spans="1:5" x14ac:dyDescent="0.25">
      <c r="A749">
        <v>1860</v>
      </c>
      <c r="B749" s="16">
        <v>43678</v>
      </c>
      <c r="C749" t="s">
        <v>26</v>
      </c>
      <c r="D749">
        <v>-5985000</v>
      </c>
      <c r="E749" t="s">
        <v>331</v>
      </c>
    </row>
    <row r="750" spans="1:5" x14ac:dyDescent="0.25">
      <c r="A750">
        <v>1860</v>
      </c>
      <c r="B750" s="16">
        <v>43709</v>
      </c>
      <c r="C750" t="s">
        <v>26</v>
      </c>
      <c r="D750">
        <v>-5985000</v>
      </c>
      <c r="E750" t="s">
        <v>331</v>
      </c>
    </row>
    <row r="751" spans="1:5" x14ac:dyDescent="0.25">
      <c r="A751">
        <v>1860</v>
      </c>
      <c r="B751" s="16">
        <v>43739</v>
      </c>
      <c r="C751" t="s">
        <v>26</v>
      </c>
      <c r="D751">
        <v>-5985000</v>
      </c>
      <c r="E751" t="s">
        <v>331</v>
      </c>
    </row>
    <row r="752" spans="1:5" x14ac:dyDescent="0.25">
      <c r="A752">
        <v>1860</v>
      </c>
      <c r="B752" s="16">
        <v>43770</v>
      </c>
      <c r="C752" t="s">
        <v>26</v>
      </c>
      <c r="D752">
        <v>-5985000</v>
      </c>
      <c r="E752" t="s">
        <v>331</v>
      </c>
    </row>
    <row r="753" spans="1:5" x14ac:dyDescent="0.25">
      <c r="A753">
        <v>1860</v>
      </c>
      <c r="B753" s="16">
        <v>43800</v>
      </c>
      <c r="C753" t="s">
        <v>26</v>
      </c>
      <c r="D753">
        <v>-5985000</v>
      </c>
      <c r="E753" t="s">
        <v>331</v>
      </c>
    </row>
    <row r="754" spans="1:5" x14ac:dyDescent="0.25">
      <c r="A754">
        <v>1860</v>
      </c>
      <c r="B754" s="16">
        <v>43831</v>
      </c>
      <c r="C754" t="s">
        <v>26</v>
      </c>
      <c r="D754">
        <v>-5985000</v>
      </c>
      <c r="E754" t="s">
        <v>331</v>
      </c>
    </row>
    <row r="755" spans="1:5" x14ac:dyDescent="0.25">
      <c r="A755">
        <v>1860</v>
      </c>
      <c r="B755" s="16">
        <v>43862</v>
      </c>
      <c r="C755" t="s">
        <v>26</v>
      </c>
      <c r="D755">
        <v>-5985000</v>
      </c>
      <c r="E755" t="s">
        <v>331</v>
      </c>
    </row>
    <row r="756" spans="1:5" x14ac:dyDescent="0.25">
      <c r="A756">
        <v>1860</v>
      </c>
      <c r="B756" s="16">
        <v>43891</v>
      </c>
      <c r="C756" t="s">
        <v>26</v>
      </c>
      <c r="D756">
        <v>-5985000</v>
      </c>
      <c r="E756" t="s">
        <v>331</v>
      </c>
    </row>
    <row r="757" spans="1:5" x14ac:dyDescent="0.25">
      <c r="A757">
        <v>1860</v>
      </c>
      <c r="B757" s="16">
        <v>43922</v>
      </c>
      <c r="C757" t="s">
        <v>26</v>
      </c>
      <c r="D757">
        <v>-5985000</v>
      </c>
      <c r="E757" t="s">
        <v>331</v>
      </c>
    </row>
    <row r="758" spans="1:5" x14ac:dyDescent="0.25">
      <c r="A758">
        <v>1860</v>
      </c>
      <c r="B758" s="16">
        <v>43952</v>
      </c>
      <c r="C758" t="s">
        <v>26</v>
      </c>
      <c r="D758">
        <v>-5985000</v>
      </c>
      <c r="E758" t="s">
        <v>331</v>
      </c>
    </row>
    <row r="759" spans="1:5" x14ac:dyDescent="0.25">
      <c r="A759">
        <v>1860</v>
      </c>
      <c r="B759" s="16">
        <v>43983</v>
      </c>
      <c r="C759" t="s">
        <v>26</v>
      </c>
      <c r="D759">
        <v>-5985000</v>
      </c>
      <c r="E759" t="s">
        <v>331</v>
      </c>
    </row>
    <row r="760" spans="1:5" x14ac:dyDescent="0.25">
      <c r="A760">
        <v>1860</v>
      </c>
      <c r="B760" s="16">
        <v>44013</v>
      </c>
      <c r="C760" t="s">
        <v>26</v>
      </c>
      <c r="D760">
        <v>-5985000</v>
      </c>
      <c r="E760" t="s">
        <v>331</v>
      </c>
    </row>
    <row r="761" spans="1:5" x14ac:dyDescent="0.25">
      <c r="A761">
        <v>1860</v>
      </c>
      <c r="B761" s="16">
        <v>44044</v>
      </c>
      <c r="C761" t="s">
        <v>26</v>
      </c>
      <c r="D761">
        <v>-5985000</v>
      </c>
      <c r="E761" t="s">
        <v>331</v>
      </c>
    </row>
    <row r="762" spans="1:5" x14ac:dyDescent="0.25">
      <c r="A762">
        <v>1860</v>
      </c>
      <c r="B762" s="16">
        <v>44075</v>
      </c>
      <c r="C762" t="s">
        <v>26</v>
      </c>
      <c r="D762">
        <v>-5985000</v>
      </c>
      <c r="E762" t="s">
        <v>331</v>
      </c>
    </row>
    <row r="763" spans="1:5" x14ac:dyDescent="0.25">
      <c r="A763">
        <v>1860</v>
      </c>
      <c r="B763" s="16">
        <v>44105</v>
      </c>
      <c r="C763" t="s">
        <v>26</v>
      </c>
      <c r="D763">
        <v>-5985000</v>
      </c>
      <c r="E763" t="s">
        <v>331</v>
      </c>
    </row>
    <row r="764" spans="1:5" x14ac:dyDescent="0.25">
      <c r="A764">
        <v>1860</v>
      </c>
      <c r="B764" s="16">
        <v>44136</v>
      </c>
      <c r="C764" t="s">
        <v>26</v>
      </c>
      <c r="D764">
        <v>-5985000</v>
      </c>
      <c r="E764" t="s">
        <v>331</v>
      </c>
    </row>
    <row r="765" spans="1:5" x14ac:dyDescent="0.25">
      <c r="A765">
        <v>1860</v>
      </c>
      <c r="B765" s="16">
        <v>44166</v>
      </c>
      <c r="C765" t="s">
        <v>26</v>
      </c>
      <c r="D765">
        <v>-5985000</v>
      </c>
      <c r="E765" t="s">
        <v>331</v>
      </c>
    </row>
    <row r="766" spans="1:5" x14ac:dyDescent="0.25">
      <c r="A766">
        <v>1860</v>
      </c>
      <c r="B766" s="16">
        <v>44197</v>
      </c>
      <c r="C766" t="s">
        <v>26</v>
      </c>
      <c r="D766">
        <v>-5985000</v>
      </c>
      <c r="E766" t="s">
        <v>331</v>
      </c>
    </row>
    <row r="767" spans="1:5" x14ac:dyDescent="0.25">
      <c r="A767">
        <v>1860</v>
      </c>
      <c r="B767" s="16">
        <v>44228</v>
      </c>
      <c r="C767" t="s">
        <v>26</v>
      </c>
      <c r="D767">
        <v>-5985000</v>
      </c>
      <c r="E767" t="s">
        <v>331</v>
      </c>
    </row>
    <row r="768" spans="1:5" x14ac:dyDescent="0.25">
      <c r="A768">
        <v>1860</v>
      </c>
      <c r="B768" s="16">
        <v>44256</v>
      </c>
      <c r="C768" t="s">
        <v>26</v>
      </c>
      <c r="D768">
        <v>-5985000</v>
      </c>
      <c r="E768" t="s">
        <v>331</v>
      </c>
    </row>
    <row r="769" spans="1:5" x14ac:dyDescent="0.25">
      <c r="A769">
        <v>1860</v>
      </c>
      <c r="B769" s="16">
        <v>44287</v>
      </c>
      <c r="C769" t="s">
        <v>26</v>
      </c>
      <c r="D769">
        <v>-5985000</v>
      </c>
      <c r="E769" t="s">
        <v>331</v>
      </c>
    </row>
    <row r="770" spans="1:5" x14ac:dyDescent="0.25">
      <c r="A770">
        <v>1861</v>
      </c>
      <c r="B770" s="16">
        <v>43466</v>
      </c>
      <c r="C770" t="s">
        <v>166</v>
      </c>
      <c r="D770">
        <v>-5768028</v>
      </c>
      <c r="E770" t="s">
        <v>331</v>
      </c>
    </row>
    <row r="771" spans="1:5" x14ac:dyDescent="0.25">
      <c r="A771">
        <v>1861</v>
      </c>
      <c r="B771" s="16">
        <v>43497</v>
      </c>
      <c r="C771" t="s">
        <v>166</v>
      </c>
      <c r="D771">
        <v>-5768028</v>
      </c>
      <c r="E771" t="s">
        <v>331</v>
      </c>
    </row>
    <row r="772" spans="1:5" x14ac:dyDescent="0.25">
      <c r="A772">
        <v>1861</v>
      </c>
      <c r="B772" s="16">
        <v>43525</v>
      </c>
      <c r="C772" t="s">
        <v>166</v>
      </c>
      <c r="D772">
        <v>-5768028</v>
      </c>
      <c r="E772" t="s">
        <v>331</v>
      </c>
    </row>
    <row r="773" spans="1:5" x14ac:dyDescent="0.25">
      <c r="A773">
        <v>1861</v>
      </c>
      <c r="B773" s="16">
        <v>43556</v>
      </c>
      <c r="C773" t="s">
        <v>166</v>
      </c>
      <c r="D773">
        <v>-5768028</v>
      </c>
      <c r="E773" t="s">
        <v>331</v>
      </c>
    </row>
    <row r="774" spans="1:5" x14ac:dyDescent="0.25">
      <c r="A774">
        <v>1861</v>
      </c>
      <c r="B774" s="16">
        <v>43586</v>
      </c>
      <c r="C774" t="s">
        <v>166</v>
      </c>
      <c r="D774">
        <v>-5768028</v>
      </c>
      <c r="E774" t="s">
        <v>331</v>
      </c>
    </row>
    <row r="775" spans="1:5" x14ac:dyDescent="0.25">
      <c r="A775">
        <v>1861</v>
      </c>
      <c r="B775" s="16">
        <v>43617</v>
      </c>
      <c r="C775" t="s">
        <v>166</v>
      </c>
      <c r="D775">
        <v>-5768028</v>
      </c>
      <c r="E775" t="s">
        <v>331</v>
      </c>
    </row>
    <row r="776" spans="1:5" x14ac:dyDescent="0.25">
      <c r="A776">
        <v>1861</v>
      </c>
      <c r="B776" s="16">
        <v>43647</v>
      </c>
      <c r="C776" t="s">
        <v>166</v>
      </c>
      <c r="D776">
        <v>-5768028</v>
      </c>
      <c r="E776" t="s">
        <v>331</v>
      </c>
    </row>
    <row r="777" spans="1:5" x14ac:dyDescent="0.25">
      <c r="A777">
        <v>1861</v>
      </c>
      <c r="B777" s="16">
        <v>43678</v>
      </c>
      <c r="C777" t="s">
        <v>166</v>
      </c>
      <c r="D777">
        <v>-5768028</v>
      </c>
      <c r="E777" t="s">
        <v>331</v>
      </c>
    </row>
    <row r="778" spans="1:5" x14ac:dyDescent="0.25">
      <c r="A778">
        <v>1861</v>
      </c>
      <c r="B778" s="16">
        <v>43709</v>
      </c>
      <c r="C778" t="s">
        <v>166</v>
      </c>
      <c r="D778">
        <v>-5768028</v>
      </c>
      <c r="E778" t="s">
        <v>331</v>
      </c>
    </row>
    <row r="779" spans="1:5" x14ac:dyDescent="0.25">
      <c r="A779">
        <v>1861</v>
      </c>
      <c r="B779" s="16">
        <v>43739</v>
      </c>
      <c r="C779" t="s">
        <v>166</v>
      </c>
      <c r="D779">
        <v>-5768028</v>
      </c>
      <c r="E779" t="s">
        <v>331</v>
      </c>
    </row>
    <row r="780" spans="1:5" x14ac:dyDescent="0.25">
      <c r="A780">
        <v>1861</v>
      </c>
      <c r="B780" s="16">
        <v>43770</v>
      </c>
      <c r="C780" t="s">
        <v>166</v>
      </c>
      <c r="D780">
        <v>-5768028</v>
      </c>
      <c r="E780" t="s">
        <v>331</v>
      </c>
    </row>
    <row r="781" spans="1:5" x14ac:dyDescent="0.25">
      <c r="A781">
        <v>1861</v>
      </c>
      <c r="B781" s="16">
        <v>43800</v>
      </c>
      <c r="C781" t="s">
        <v>166</v>
      </c>
      <c r="D781">
        <v>-5768028</v>
      </c>
      <c r="E781" t="s">
        <v>331</v>
      </c>
    </row>
    <row r="782" spans="1:5" x14ac:dyDescent="0.25">
      <c r="A782">
        <v>1861</v>
      </c>
      <c r="B782" s="16">
        <v>43831</v>
      </c>
      <c r="C782" t="s">
        <v>166</v>
      </c>
      <c r="D782">
        <v>-5768028</v>
      </c>
      <c r="E782" t="s">
        <v>331</v>
      </c>
    </row>
    <row r="783" spans="1:5" x14ac:dyDescent="0.25">
      <c r="A783">
        <v>1861</v>
      </c>
      <c r="B783" s="16">
        <v>43862</v>
      </c>
      <c r="C783" t="s">
        <v>166</v>
      </c>
      <c r="D783">
        <v>-5768028</v>
      </c>
      <c r="E783" t="s">
        <v>331</v>
      </c>
    </row>
    <row r="784" spans="1:5" x14ac:dyDescent="0.25">
      <c r="A784">
        <v>1861</v>
      </c>
      <c r="B784" s="16">
        <v>43891</v>
      </c>
      <c r="C784" t="s">
        <v>166</v>
      </c>
      <c r="D784">
        <v>-5768028</v>
      </c>
      <c r="E784" t="s">
        <v>331</v>
      </c>
    </row>
    <row r="785" spans="1:5" x14ac:dyDescent="0.25">
      <c r="A785">
        <v>1861</v>
      </c>
      <c r="B785" s="16">
        <v>43922</v>
      </c>
      <c r="C785" t="s">
        <v>166</v>
      </c>
      <c r="D785">
        <v>-5768028</v>
      </c>
      <c r="E785" t="s">
        <v>331</v>
      </c>
    </row>
    <row r="786" spans="1:5" x14ac:dyDescent="0.25">
      <c r="A786">
        <v>1861</v>
      </c>
      <c r="B786" s="16">
        <v>43952</v>
      </c>
      <c r="C786" t="s">
        <v>166</v>
      </c>
      <c r="D786">
        <v>-5768028</v>
      </c>
      <c r="E786" t="s">
        <v>331</v>
      </c>
    </row>
    <row r="787" spans="1:5" x14ac:dyDescent="0.25">
      <c r="A787">
        <v>1861</v>
      </c>
      <c r="B787" s="16">
        <v>43983</v>
      </c>
      <c r="C787" t="s">
        <v>166</v>
      </c>
      <c r="D787">
        <v>-5768028</v>
      </c>
      <c r="E787" t="s">
        <v>331</v>
      </c>
    </row>
    <row r="788" spans="1:5" x14ac:dyDescent="0.25">
      <c r="A788">
        <v>1861</v>
      </c>
      <c r="B788" s="16">
        <v>44013</v>
      </c>
      <c r="C788" t="s">
        <v>166</v>
      </c>
      <c r="D788">
        <v>-5768028</v>
      </c>
      <c r="E788" t="s">
        <v>331</v>
      </c>
    </row>
    <row r="789" spans="1:5" x14ac:dyDescent="0.25">
      <c r="A789">
        <v>1861</v>
      </c>
      <c r="B789" s="16">
        <v>44044</v>
      </c>
      <c r="C789" t="s">
        <v>166</v>
      </c>
      <c r="D789">
        <v>-5768028</v>
      </c>
      <c r="E789" t="s">
        <v>331</v>
      </c>
    </row>
    <row r="790" spans="1:5" x14ac:dyDescent="0.25">
      <c r="A790">
        <v>1861</v>
      </c>
      <c r="B790" s="16">
        <v>44075</v>
      </c>
      <c r="C790" t="s">
        <v>166</v>
      </c>
      <c r="D790">
        <v>-5768028</v>
      </c>
      <c r="E790" t="s">
        <v>331</v>
      </c>
    </row>
    <row r="791" spans="1:5" x14ac:dyDescent="0.25">
      <c r="A791">
        <v>1861</v>
      </c>
      <c r="B791" s="16">
        <v>44105</v>
      </c>
      <c r="C791" t="s">
        <v>166</v>
      </c>
      <c r="D791">
        <v>-5768028</v>
      </c>
      <c r="E791" t="s">
        <v>331</v>
      </c>
    </row>
    <row r="792" spans="1:5" x14ac:dyDescent="0.25">
      <c r="A792">
        <v>1861</v>
      </c>
      <c r="B792" s="16">
        <v>44136</v>
      </c>
      <c r="C792" t="s">
        <v>166</v>
      </c>
      <c r="D792">
        <v>-5768028</v>
      </c>
      <c r="E792" t="s">
        <v>331</v>
      </c>
    </row>
    <row r="793" spans="1:5" x14ac:dyDescent="0.25">
      <c r="A793">
        <v>1861</v>
      </c>
      <c r="B793" s="16">
        <v>43466</v>
      </c>
      <c r="C793" t="s">
        <v>166</v>
      </c>
      <c r="D793">
        <v>-5853202.4250000007</v>
      </c>
      <c r="E793" t="s">
        <v>331</v>
      </c>
    </row>
    <row r="794" spans="1:5" x14ac:dyDescent="0.25">
      <c r="A794">
        <v>1861</v>
      </c>
      <c r="B794" s="16">
        <v>43497</v>
      </c>
      <c r="C794" t="s">
        <v>166</v>
      </c>
      <c r="D794">
        <v>-5853202.4250000007</v>
      </c>
      <c r="E794" t="s">
        <v>331</v>
      </c>
    </row>
    <row r="795" spans="1:5" x14ac:dyDescent="0.25">
      <c r="A795">
        <v>1861</v>
      </c>
      <c r="B795" s="16">
        <v>43525</v>
      </c>
      <c r="C795" t="s">
        <v>166</v>
      </c>
      <c r="D795">
        <v>-5853202.4250000007</v>
      </c>
      <c r="E795" t="s">
        <v>331</v>
      </c>
    </row>
    <row r="796" spans="1:5" x14ac:dyDescent="0.25">
      <c r="A796">
        <v>1861</v>
      </c>
      <c r="B796" s="16">
        <v>43556</v>
      </c>
      <c r="C796" t="s">
        <v>166</v>
      </c>
      <c r="D796">
        <v>-5853202.4250000007</v>
      </c>
      <c r="E796" t="s">
        <v>331</v>
      </c>
    </row>
    <row r="797" spans="1:5" x14ac:dyDescent="0.25">
      <c r="A797">
        <v>1861</v>
      </c>
      <c r="B797" s="16">
        <v>43586</v>
      </c>
      <c r="C797" t="s">
        <v>166</v>
      </c>
      <c r="D797">
        <v>-5853202.4250000007</v>
      </c>
      <c r="E797" t="s">
        <v>331</v>
      </c>
    </row>
    <row r="798" spans="1:5" x14ac:dyDescent="0.25">
      <c r="A798">
        <v>1861</v>
      </c>
      <c r="B798" s="16">
        <v>43617</v>
      </c>
      <c r="C798" t="s">
        <v>166</v>
      </c>
      <c r="D798">
        <v>-5853202.4250000007</v>
      </c>
      <c r="E798" t="s">
        <v>331</v>
      </c>
    </row>
    <row r="799" spans="1:5" x14ac:dyDescent="0.25">
      <c r="A799">
        <v>1861</v>
      </c>
      <c r="B799" s="16">
        <v>43647</v>
      </c>
      <c r="C799" t="s">
        <v>166</v>
      </c>
      <c r="D799">
        <v>-5853202.4250000007</v>
      </c>
      <c r="E799" t="s">
        <v>331</v>
      </c>
    </row>
    <row r="800" spans="1:5" x14ac:dyDescent="0.25">
      <c r="A800">
        <v>1861</v>
      </c>
      <c r="B800" s="16">
        <v>43678</v>
      </c>
      <c r="C800" t="s">
        <v>166</v>
      </c>
      <c r="D800">
        <v>-5853202.4250000007</v>
      </c>
      <c r="E800" t="s">
        <v>331</v>
      </c>
    </row>
    <row r="801" spans="1:5" x14ac:dyDescent="0.25">
      <c r="A801">
        <v>1861</v>
      </c>
      <c r="B801" s="16">
        <v>43709</v>
      </c>
      <c r="C801" t="s">
        <v>166</v>
      </c>
      <c r="D801">
        <v>-5853202.4250000007</v>
      </c>
      <c r="E801" t="s">
        <v>331</v>
      </c>
    </row>
    <row r="802" spans="1:5" x14ac:dyDescent="0.25">
      <c r="A802">
        <v>1861</v>
      </c>
      <c r="B802" s="16">
        <v>43739</v>
      </c>
      <c r="C802" t="s">
        <v>166</v>
      </c>
      <c r="D802">
        <v>-5853202.4250000007</v>
      </c>
      <c r="E802" t="s">
        <v>331</v>
      </c>
    </row>
    <row r="803" spans="1:5" x14ac:dyDescent="0.25">
      <c r="A803">
        <v>1861</v>
      </c>
      <c r="B803" s="16">
        <v>43770</v>
      </c>
      <c r="C803" t="s">
        <v>166</v>
      </c>
      <c r="D803">
        <v>-5853202.4250000007</v>
      </c>
      <c r="E803" t="s">
        <v>331</v>
      </c>
    </row>
    <row r="804" spans="1:5" x14ac:dyDescent="0.25">
      <c r="A804">
        <v>1861</v>
      </c>
      <c r="B804" s="16">
        <v>43800</v>
      </c>
      <c r="C804" t="s">
        <v>166</v>
      </c>
      <c r="D804">
        <v>-5853202.4250000007</v>
      </c>
      <c r="E804" t="s">
        <v>331</v>
      </c>
    </row>
    <row r="805" spans="1:5" x14ac:dyDescent="0.25">
      <c r="A805">
        <v>1861</v>
      </c>
      <c r="B805" s="16">
        <v>43831</v>
      </c>
      <c r="C805" t="s">
        <v>166</v>
      </c>
      <c r="D805">
        <v>-5853202.4250000007</v>
      </c>
      <c r="E805" t="s">
        <v>331</v>
      </c>
    </row>
    <row r="806" spans="1:5" x14ac:dyDescent="0.25">
      <c r="A806">
        <v>1861</v>
      </c>
      <c r="B806" s="16">
        <v>43862</v>
      </c>
      <c r="C806" t="s">
        <v>166</v>
      </c>
      <c r="D806">
        <v>-5853202.4250000007</v>
      </c>
      <c r="E806" t="s">
        <v>331</v>
      </c>
    </row>
    <row r="807" spans="1:5" x14ac:dyDescent="0.25">
      <c r="A807">
        <v>1861</v>
      </c>
      <c r="B807" s="16">
        <v>43891</v>
      </c>
      <c r="C807" t="s">
        <v>166</v>
      </c>
      <c r="D807">
        <v>-5853202.4250000007</v>
      </c>
      <c r="E807" t="s">
        <v>331</v>
      </c>
    </row>
    <row r="808" spans="1:5" x14ac:dyDescent="0.25">
      <c r="A808">
        <v>1861</v>
      </c>
      <c r="B808" s="16">
        <v>43922</v>
      </c>
      <c r="C808" t="s">
        <v>166</v>
      </c>
      <c r="D808">
        <v>-5853202.4250000007</v>
      </c>
      <c r="E808" t="s">
        <v>331</v>
      </c>
    </row>
    <row r="809" spans="1:5" x14ac:dyDescent="0.25">
      <c r="A809">
        <v>1861</v>
      </c>
      <c r="B809" s="16">
        <v>43952</v>
      </c>
      <c r="C809" t="s">
        <v>166</v>
      </c>
      <c r="D809">
        <v>-5853202.4250000007</v>
      </c>
      <c r="E809" t="s">
        <v>331</v>
      </c>
    </row>
    <row r="810" spans="1:5" x14ac:dyDescent="0.25">
      <c r="A810">
        <v>1861</v>
      </c>
      <c r="B810" s="16">
        <v>43466</v>
      </c>
      <c r="C810" t="s">
        <v>12</v>
      </c>
      <c r="D810">
        <v>-11280052.350000001</v>
      </c>
      <c r="E810" t="s">
        <v>331</v>
      </c>
    </row>
    <row r="811" spans="1:5" x14ac:dyDescent="0.25">
      <c r="A811">
        <v>1861</v>
      </c>
      <c r="B811" s="16">
        <v>43497</v>
      </c>
      <c r="C811" t="s">
        <v>12</v>
      </c>
      <c r="D811">
        <v>-11280052.350000001</v>
      </c>
      <c r="E811" t="s">
        <v>331</v>
      </c>
    </row>
    <row r="812" spans="1:5" x14ac:dyDescent="0.25">
      <c r="A812">
        <v>1861</v>
      </c>
      <c r="B812" s="16">
        <v>43525</v>
      </c>
      <c r="C812" t="s">
        <v>12</v>
      </c>
      <c r="D812">
        <v>-11280052.350000001</v>
      </c>
      <c r="E812" t="s">
        <v>331</v>
      </c>
    </row>
    <row r="813" spans="1:5" x14ac:dyDescent="0.25">
      <c r="A813">
        <v>1861</v>
      </c>
      <c r="B813" s="16">
        <v>43556</v>
      </c>
      <c r="C813" t="s">
        <v>12</v>
      </c>
      <c r="D813">
        <v>-11280052.350000001</v>
      </c>
      <c r="E813" t="s">
        <v>331</v>
      </c>
    </row>
    <row r="814" spans="1:5" x14ac:dyDescent="0.25">
      <c r="A814">
        <v>1861</v>
      </c>
      <c r="B814" s="16">
        <v>43586</v>
      </c>
      <c r="C814" t="s">
        <v>12</v>
      </c>
      <c r="D814">
        <v>-11280052.350000001</v>
      </c>
      <c r="E814" t="s">
        <v>331</v>
      </c>
    </row>
    <row r="815" spans="1:5" x14ac:dyDescent="0.25">
      <c r="A815">
        <v>1861</v>
      </c>
      <c r="B815" s="16">
        <v>43617</v>
      </c>
      <c r="C815" t="s">
        <v>12</v>
      </c>
      <c r="D815">
        <v>-11280052.350000001</v>
      </c>
      <c r="E815" t="s">
        <v>331</v>
      </c>
    </row>
    <row r="816" spans="1:5" x14ac:dyDescent="0.25">
      <c r="A816">
        <v>1861</v>
      </c>
      <c r="B816" s="16">
        <v>43647</v>
      </c>
      <c r="C816" t="s">
        <v>12</v>
      </c>
      <c r="D816">
        <v>-11280052.350000001</v>
      </c>
      <c r="E816" t="s">
        <v>331</v>
      </c>
    </row>
    <row r="817" spans="1:5" x14ac:dyDescent="0.25">
      <c r="A817">
        <v>1861</v>
      </c>
      <c r="B817" s="16">
        <v>43678</v>
      </c>
      <c r="C817" t="s">
        <v>12</v>
      </c>
      <c r="D817">
        <v>-11280052.350000001</v>
      </c>
      <c r="E817" t="s">
        <v>331</v>
      </c>
    </row>
    <row r="818" spans="1:5" x14ac:dyDescent="0.25">
      <c r="A818">
        <v>1861</v>
      </c>
      <c r="B818" s="16">
        <v>43709</v>
      </c>
      <c r="C818" t="s">
        <v>12</v>
      </c>
      <c r="D818">
        <v>-11280052.350000001</v>
      </c>
      <c r="E818" t="s">
        <v>331</v>
      </c>
    </row>
    <row r="819" spans="1:5" x14ac:dyDescent="0.25">
      <c r="A819">
        <v>1861</v>
      </c>
      <c r="B819" s="16">
        <v>43739</v>
      </c>
      <c r="C819" t="s">
        <v>12</v>
      </c>
      <c r="D819">
        <v>-11280052.350000001</v>
      </c>
      <c r="E819" t="s">
        <v>331</v>
      </c>
    </row>
    <row r="820" spans="1:5" x14ac:dyDescent="0.25">
      <c r="A820">
        <v>1861</v>
      </c>
      <c r="B820" s="16">
        <v>43770</v>
      </c>
      <c r="C820" t="s">
        <v>12</v>
      </c>
      <c r="D820">
        <v>-11280052.350000001</v>
      </c>
      <c r="E820" t="s">
        <v>331</v>
      </c>
    </row>
    <row r="821" spans="1:5" x14ac:dyDescent="0.25">
      <c r="A821">
        <v>1861</v>
      </c>
      <c r="B821" s="16">
        <v>43800</v>
      </c>
      <c r="C821" t="s">
        <v>12</v>
      </c>
      <c r="D821">
        <v>-11280052.350000001</v>
      </c>
      <c r="E821" t="s">
        <v>331</v>
      </c>
    </row>
    <row r="822" spans="1:5" x14ac:dyDescent="0.25">
      <c r="A822">
        <v>1861</v>
      </c>
      <c r="B822" s="16">
        <v>43831</v>
      </c>
      <c r="C822" t="s">
        <v>12</v>
      </c>
      <c r="D822">
        <v>-11280052.350000001</v>
      </c>
      <c r="E822" t="s">
        <v>331</v>
      </c>
    </row>
    <row r="823" spans="1:5" x14ac:dyDescent="0.25">
      <c r="A823">
        <v>1861</v>
      </c>
      <c r="B823" s="16">
        <v>43862</v>
      </c>
      <c r="C823" t="s">
        <v>12</v>
      </c>
      <c r="D823">
        <v>-11280052.350000001</v>
      </c>
      <c r="E823" t="s">
        <v>331</v>
      </c>
    </row>
    <row r="824" spans="1:5" x14ac:dyDescent="0.25">
      <c r="A824">
        <v>1861</v>
      </c>
      <c r="B824" s="16">
        <v>43891</v>
      </c>
      <c r="C824" t="s">
        <v>12</v>
      </c>
      <c r="D824">
        <v>-11280052.350000001</v>
      </c>
      <c r="E824" t="s">
        <v>331</v>
      </c>
    </row>
    <row r="825" spans="1:5" x14ac:dyDescent="0.25">
      <c r="A825">
        <v>1861</v>
      </c>
      <c r="B825" s="16">
        <v>43922</v>
      </c>
      <c r="C825" t="s">
        <v>12</v>
      </c>
      <c r="D825">
        <v>-11280052.350000001</v>
      </c>
      <c r="E825" t="s">
        <v>331</v>
      </c>
    </row>
    <row r="826" spans="1:5" x14ac:dyDescent="0.25">
      <c r="A826">
        <v>1861</v>
      </c>
      <c r="B826" s="16">
        <v>43952</v>
      </c>
      <c r="C826" t="s">
        <v>12</v>
      </c>
      <c r="D826">
        <v>-11280052.350000001</v>
      </c>
      <c r="E826" t="s">
        <v>331</v>
      </c>
    </row>
    <row r="827" spans="1:5" x14ac:dyDescent="0.25">
      <c r="A827">
        <v>1861</v>
      </c>
      <c r="B827" s="16">
        <v>43983</v>
      </c>
      <c r="C827" t="s">
        <v>12</v>
      </c>
      <c r="D827">
        <v>-11280052.350000001</v>
      </c>
      <c r="E827" t="s">
        <v>331</v>
      </c>
    </row>
    <row r="828" spans="1:5" x14ac:dyDescent="0.25">
      <c r="A828">
        <v>1861</v>
      </c>
      <c r="B828" s="16">
        <v>44013</v>
      </c>
      <c r="C828" t="s">
        <v>12</v>
      </c>
      <c r="D828">
        <v>-11280052.350000001</v>
      </c>
      <c r="E828" t="s">
        <v>331</v>
      </c>
    </row>
    <row r="829" spans="1:5" x14ac:dyDescent="0.25">
      <c r="A829">
        <v>1861</v>
      </c>
      <c r="B829" s="16">
        <v>44044</v>
      </c>
      <c r="C829" t="s">
        <v>12</v>
      </c>
      <c r="D829">
        <v>-11280052.350000001</v>
      </c>
      <c r="E829" t="s">
        <v>331</v>
      </c>
    </row>
    <row r="830" spans="1:5" x14ac:dyDescent="0.25">
      <c r="A830">
        <v>1861</v>
      </c>
      <c r="B830" s="16">
        <v>44075</v>
      </c>
      <c r="C830" t="s">
        <v>12</v>
      </c>
      <c r="D830">
        <v>-11280052.350000001</v>
      </c>
      <c r="E830" t="s">
        <v>331</v>
      </c>
    </row>
    <row r="831" spans="1:5" x14ac:dyDescent="0.25">
      <c r="A831">
        <v>1861</v>
      </c>
      <c r="B831" s="16">
        <v>43466</v>
      </c>
      <c r="C831" t="s">
        <v>167</v>
      </c>
      <c r="D831">
        <v>-4765579.4024999999</v>
      </c>
      <c r="E831" t="s">
        <v>331</v>
      </c>
    </row>
    <row r="832" spans="1:5" x14ac:dyDescent="0.25">
      <c r="A832">
        <v>1861</v>
      </c>
      <c r="B832" s="16">
        <v>43497</v>
      </c>
      <c r="C832" t="s">
        <v>167</v>
      </c>
      <c r="D832">
        <v>-4765579.4024999999</v>
      </c>
      <c r="E832" t="s">
        <v>331</v>
      </c>
    </row>
    <row r="833" spans="1:5" x14ac:dyDescent="0.25">
      <c r="A833">
        <v>1861</v>
      </c>
      <c r="B833" s="16">
        <v>43525</v>
      </c>
      <c r="C833" t="s">
        <v>167</v>
      </c>
      <c r="D833">
        <v>-4765579.4024999999</v>
      </c>
      <c r="E833" t="s">
        <v>331</v>
      </c>
    </row>
    <row r="834" spans="1:5" x14ac:dyDescent="0.25">
      <c r="A834">
        <v>1861</v>
      </c>
      <c r="B834" s="16">
        <v>43556</v>
      </c>
      <c r="C834" t="s">
        <v>167</v>
      </c>
      <c r="D834">
        <v>-4765579.4024999999</v>
      </c>
      <c r="E834" t="s">
        <v>331</v>
      </c>
    </row>
    <row r="835" spans="1:5" x14ac:dyDescent="0.25">
      <c r="A835">
        <v>1861</v>
      </c>
      <c r="B835" s="16">
        <v>43586</v>
      </c>
      <c r="C835" t="s">
        <v>167</v>
      </c>
      <c r="D835">
        <v>-4765579.4024999999</v>
      </c>
      <c r="E835" t="s">
        <v>331</v>
      </c>
    </row>
    <row r="836" spans="1:5" x14ac:dyDescent="0.25">
      <c r="A836">
        <v>1861</v>
      </c>
      <c r="B836" s="16">
        <v>43617</v>
      </c>
      <c r="C836" t="s">
        <v>167</v>
      </c>
      <c r="D836">
        <v>-4765579.4024999999</v>
      </c>
      <c r="E836" t="s">
        <v>331</v>
      </c>
    </row>
    <row r="837" spans="1:5" x14ac:dyDescent="0.25">
      <c r="A837">
        <v>1861</v>
      </c>
      <c r="B837" s="16">
        <v>43647</v>
      </c>
      <c r="C837" t="s">
        <v>167</v>
      </c>
      <c r="D837">
        <v>-4765579.4024999999</v>
      </c>
      <c r="E837" t="s">
        <v>331</v>
      </c>
    </row>
    <row r="838" spans="1:5" x14ac:dyDescent="0.25">
      <c r="A838">
        <v>1861</v>
      </c>
      <c r="B838" s="16">
        <v>43678</v>
      </c>
      <c r="C838" t="s">
        <v>167</v>
      </c>
      <c r="D838">
        <v>-4765579.4024999999</v>
      </c>
      <c r="E838" t="s">
        <v>331</v>
      </c>
    </row>
    <row r="839" spans="1:5" x14ac:dyDescent="0.25">
      <c r="A839">
        <v>1861</v>
      </c>
      <c r="B839" s="16">
        <v>43709</v>
      </c>
      <c r="C839" t="s">
        <v>167</v>
      </c>
      <c r="D839">
        <v>-4765579.4024999999</v>
      </c>
      <c r="E839" t="s">
        <v>331</v>
      </c>
    </row>
    <row r="840" spans="1:5" x14ac:dyDescent="0.25">
      <c r="A840">
        <v>1861</v>
      </c>
      <c r="B840" s="16">
        <v>43739</v>
      </c>
      <c r="C840" t="s">
        <v>167</v>
      </c>
      <c r="D840">
        <v>-4765579.4024999999</v>
      </c>
      <c r="E840" t="s">
        <v>331</v>
      </c>
    </row>
    <row r="841" spans="1:5" x14ac:dyDescent="0.25">
      <c r="A841">
        <v>1861</v>
      </c>
      <c r="B841" s="16">
        <v>43770</v>
      </c>
      <c r="C841" t="s">
        <v>167</v>
      </c>
      <c r="D841">
        <v>-4765579.4024999999</v>
      </c>
      <c r="E841" t="s">
        <v>331</v>
      </c>
    </row>
    <row r="842" spans="1:5" x14ac:dyDescent="0.25">
      <c r="A842">
        <v>1861</v>
      </c>
      <c r="B842" s="16">
        <v>43800</v>
      </c>
      <c r="C842" t="s">
        <v>167</v>
      </c>
      <c r="D842">
        <v>-4765579.4024999999</v>
      </c>
      <c r="E842" t="s">
        <v>331</v>
      </c>
    </row>
    <row r="843" spans="1:5" x14ac:dyDescent="0.25">
      <c r="A843">
        <v>1861</v>
      </c>
      <c r="B843" s="16">
        <v>43831</v>
      </c>
      <c r="C843" t="s">
        <v>167</v>
      </c>
      <c r="D843">
        <v>-4765579.4024999999</v>
      </c>
      <c r="E843" t="s">
        <v>331</v>
      </c>
    </row>
    <row r="844" spans="1:5" x14ac:dyDescent="0.25">
      <c r="A844">
        <v>1861</v>
      </c>
      <c r="B844" s="16">
        <v>43862</v>
      </c>
      <c r="C844" t="s">
        <v>167</v>
      </c>
      <c r="D844">
        <v>-4765579.4024999999</v>
      </c>
      <c r="E844" t="s">
        <v>331</v>
      </c>
    </row>
    <row r="845" spans="1:5" x14ac:dyDescent="0.25">
      <c r="A845">
        <v>1861</v>
      </c>
      <c r="B845" s="16">
        <v>43891</v>
      </c>
      <c r="C845" t="s">
        <v>167</v>
      </c>
      <c r="D845">
        <v>-4765579.4024999999</v>
      </c>
      <c r="E845" t="s">
        <v>331</v>
      </c>
    </row>
    <row r="846" spans="1:5" x14ac:dyDescent="0.25">
      <c r="A846">
        <v>1861</v>
      </c>
      <c r="B846" s="16">
        <v>43922</v>
      </c>
      <c r="C846" t="s">
        <v>167</v>
      </c>
      <c r="D846">
        <v>-4765579.4024999999</v>
      </c>
      <c r="E846" t="s">
        <v>331</v>
      </c>
    </row>
    <row r="847" spans="1:5" x14ac:dyDescent="0.25">
      <c r="A847">
        <v>1861</v>
      </c>
      <c r="B847" s="16">
        <v>43952</v>
      </c>
      <c r="C847" t="s">
        <v>167</v>
      </c>
      <c r="D847">
        <v>-4765579.4024999999</v>
      </c>
      <c r="E847" t="s">
        <v>331</v>
      </c>
    </row>
    <row r="848" spans="1:5" x14ac:dyDescent="0.25">
      <c r="A848">
        <v>1861</v>
      </c>
      <c r="B848" s="16">
        <v>43983</v>
      </c>
      <c r="C848" t="s">
        <v>167</v>
      </c>
      <c r="D848">
        <v>-4765579.4024999999</v>
      </c>
      <c r="E848" t="s">
        <v>331</v>
      </c>
    </row>
    <row r="849" spans="1:5" x14ac:dyDescent="0.25">
      <c r="A849">
        <v>1861</v>
      </c>
      <c r="B849" s="16">
        <v>44013</v>
      </c>
      <c r="C849" t="s">
        <v>167</v>
      </c>
      <c r="D849">
        <v>-4765579.4024999999</v>
      </c>
      <c r="E849" t="s">
        <v>331</v>
      </c>
    </row>
    <row r="850" spans="1:5" x14ac:dyDescent="0.25">
      <c r="A850">
        <v>1861</v>
      </c>
      <c r="B850" s="16">
        <v>44044</v>
      </c>
      <c r="C850" t="s">
        <v>167</v>
      </c>
      <c r="D850">
        <v>-4765579.4024999999</v>
      </c>
      <c r="E850" t="s">
        <v>331</v>
      </c>
    </row>
    <row r="851" spans="1:5" x14ac:dyDescent="0.25">
      <c r="A851">
        <v>1861</v>
      </c>
      <c r="B851" s="16">
        <v>44075</v>
      </c>
      <c r="C851" t="s">
        <v>167</v>
      </c>
      <c r="D851">
        <v>-4765579.4024999999</v>
      </c>
      <c r="E851" t="s">
        <v>331</v>
      </c>
    </row>
    <row r="852" spans="1:5" x14ac:dyDescent="0.25">
      <c r="A852">
        <v>1861</v>
      </c>
      <c r="B852" s="16">
        <v>44105</v>
      </c>
      <c r="C852" t="s">
        <v>167</v>
      </c>
      <c r="D852">
        <v>-4765579.4024999999</v>
      </c>
      <c r="E852" t="s">
        <v>331</v>
      </c>
    </row>
    <row r="853" spans="1:5" x14ac:dyDescent="0.25">
      <c r="A853">
        <v>1861</v>
      </c>
      <c r="B853" s="16">
        <v>44136</v>
      </c>
      <c r="C853" t="s">
        <v>167</v>
      </c>
      <c r="D853">
        <v>-4765579.4024999999</v>
      </c>
      <c r="E853" t="s">
        <v>331</v>
      </c>
    </row>
    <row r="854" spans="1:5" x14ac:dyDescent="0.25">
      <c r="A854">
        <v>1861</v>
      </c>
      <c r="B854" s="16">
        <v>43466</v>
      </c>
      <c r="C854" t="s">
        <v>167</v>
      </c>
      <c r="D854">
        <v>-6204394.5704999994</v>
      </c>
      <c r="E854" t="s">
        <v>331</v>
      </c>
    </row>
    <row r="855" spans="1:5" x14ac:dyDescent="0.25">
      <c r="A855">
        <v>1861</v>
      </c>
      <c r="B855" s="16">
        <v>43497</v>
      </c>
      <c r="C855" t="s">
        <v>167</v>
      </c>
      <c r="D855">
        <v>-6204394.5704999994</v>
      </c>
      <c r="E855" t="s">
        <v>331</v>
      </c>
    </row>
    <row r="856" spans="1:5" x14ac:dyDescent="0.25">
      <c r="A856">
        <v>1861</v>
      </c>
      <c r="B856" s="16">
        <v>43525</v>
      </c>
      <c r="C856" t="s">
        <v>167</v>
      </c>
      <c r="D856">
        <v>-6204394.5704999994</v>
      </c>
      <c r="E856" t="s">
        <v>331</v>
      </c>
    </row>
    <row r="857" spans="1:5" x14ac:dyDescent="0.25">
      <c r="A857">
        <v>1861</v>
      </c>
      <c r="B857" s="16">
        <v>43556</v>
      </c>
      <c r="C857" t="s">
        <v>167</v>
      </c>
      <c r="D857">
        <v>-6204394.5704999994</v>
      </c>
      <c r="E857" t="s">
        <v>331</v>
      </c>
    </row>
    <row r="858" spans="1:5" x14ac:dyDescent="0.25">
      <c r="A858">
        <v>1861</v>
      </c>
      <c r="B858" s="16">
        <v>43586</v>
      </c>
      <c r="C858" t="s">
        <v>167</v>
      </c>
      <c r="D858">
        <v>-6204394.5704999994</v>
      </c>
      <c r="E858" t="s">
        <v>331</v>
      </c>
    </row>
    <row r="859" spans="1:5" x14ac:dyDescent="0.25">
      <c r="A859">
        <v>1861</v>
      </c>
      <c r="B859" s="16">
        <v>43617</v>
      </c>
      <c r="C859" t="s">
        <v>167</v>
      </c>
      <c r="D859">
        <v>-6204394.5704999994</v>
      </c>
      <c r="E859" t="s">
        <v>331</v>
      </c>
    </row>
    <row r="860" spans="1:5" x14ac:dyDescent="0.25">
      <c r="A860">
        <v>1861</v>
      </c>
      <c r="B860" s="16">
        <v>43647</v>
      </c>
      <c r="C860" t="s">
        <v>167</v>
      </c>
      <c r="D860">
        <v>-6204394.5704999994</v>
      </c>
      <c r="E860" t="s">
        <v>331</v>
      </c>
    </row>
    <row r="861" spans="1:5" x14ac:dyDescent="0.25">
      <c r="A861">
        <v>1861</v>
      </c>
      <c r="B861" s="16">
        <v>43678</v>
      </c>
      <c r="C861" t="s">
        <v>167</v>
      </c>
      <c r="D861">
        <v>-6204394.5704999994</v>
      </c>
      <c r="E861" t="s">
        <v>331</v>
      </c>
    </row>
    <row r="862" spans="1:5" x14ac:dyDescent="0.25">
      <c r="A862">
        <v>1861</v>
      </c>
      <c r="B862" s="16">
        <v>43709</v>
      </c>
      <c r="C862" t="s">
        <v>167</v>
      </c>
      <c r="D862">
        <v>-6204394.5704999994</v>
      </c>
      <c r="E862" t="s">
        <v>331</v>
      </c>
    </row>
    <row r="863" spans="1:5" x14ac:dyDescent="0.25">
      <c r="A863">
        <v>1861</v>
      </c>
      <c r="B863" s="16">
        <v>43739</v>
      </c>
      <c r="C863" t="s">
        <v>167</v>
      </c>
      <c r="D863">
        <v>-6204394.5704999994</v>
      </c>
      <c r="E863" t="s">
        <v>331</v>
      </c>
    </row>
    <row r="864" spans="1:5" x14ac:dyDescent="0.25">
      <c r="A864">
        <v>1861</v>
      </c>
      <c r="B864" s="16">
        <v>43770</v>
      </c>
      <c r="C864" t="s">
        <v>167</v>
      </c>
      <c r="D864">
        <v>-6204394.5704999994</v>
      </c>
      <c r="E864" t="s">
        <v>331</v>
      </c>
    </row>
    <row r="865" spans="1:5" x14ac:dyDescent="0.25">
      <c r="A865">
        <v>1861</v>
      </c>
      <c r="B865" s="16">
        <v>43800</v>
      </c>
      <c r="C865" t="s">
        <v>167</v>
      </c>
      <c r="D865">
        <v>-6204394.5704999994</v>
      </c>
      <c r="E865" t="s">
        <v>331</v>
      </c>
    </row>
    <row r="866" spans="1:5" x14ac:dyDescent="0.25">
      <c r="A866">
        <v>1861</v>
      </c>
      <c r="B866" s="16">
        <v>43831</v>
      </c>
      <c r="C866" t="s">
        <v>167</v>
      </c>
      <c r="D866">
        <v>-6204394.5704999994</v>
      </c>
      <c r="E866" t="s">
        <v>331</v>
      </c>
    </row>
    <row r="867" spans="1:5" x14ac:dyDescent="0.25">
      <c r="A867">
        <v>1861</v>
      </c>
      <c r="B867" s="16">
        <v>43862</v>
      </c>
      <c r="C867" t="s">
        <v>167</v>
      </c>
      <c r="D867">
        <v>-6204394.5704999994</v>
      </c>
      <c r="E867" t="s">
        <v>331</v>
      </c>
    </row>
    <row r="868" spans="1:5" x14ac:dyDescent="0.25">
      <c r="A868">
        <v>1861</v>
      </c>
      <c r="B868" s="16">
        <v>43891</v>
      </c>
      <c r="C868" t="s">
        <v>167</v>
      </c>
      <c r="D868">
        <v>-6204394.5704999994</v>
      </c>
      <c r="E868" t="s">
        <v>331</v>
      </c>
    </row>
    <row r="869" spans="1:5" x14ac:dyDescent="0.25">
      <c r="A869">
        <v>1861</v>
      </c>
      <c r="B869" s="16">
        <v>43922</v>
      </c>
      <c r="C869" t="s">
        <v>167</v>
      </c>
      <c r="D869">
        <v>-6204394.5704999994</v>
      </c>
      <c r="E869" t="s">
        <v>331</v>
      </c>
    </row>
    <row r="870" spans="1:5" x14ac:dyDescent="0.25">
      <c r="A870">
        <v>1861</v>
      </c>
      <c r="B870" s="16">
        <v>43952</v>
      </c>
      <c r="C870" t="s">
        <v>167</v>
      </c>
      <c r="D870">
        <v>-6204394.5704999994</v>
      </c>
      <c r="E870" t="s">
        <v>331</v>
      </c>
    </row>
    <row r="871" spans="1:5" x14ac:dyDescent="0.25">
      <c r="A871">
        <v>1861</v>
      </c>
      <c r="B871" s="16">
        <v>43466</v>
      </c>
      <c r="C871" t="s">
        <v>168</v>
      </c>
      <c r="D871">
        <v>-4314814.4024999999</v>
      </c>
      <c r="E871" t="s">
        <v>331</v>
      </c>
    </row>
    <row r="872" spans="1:5" x14ac:dyDescent="0.25">
      <c r="A872">
        <v>1861</v>
      </c>
      <c r="B872" s="16">
        <v>43497</v>
      </c>
      <c r="C872" t="s">
        <v>168</v>
      </c>
      <c r="D872">
        <v>-4314814.4024999999</v>
      </c>
      <c r="E872" t="s">
        <v>331</v>
      </c>
    </row>
    <row r="873" spans="1:5" x14ac:dyDescent="0.25">
      <c r="A873">
        <v>1861</v>
      </c>
      <c r="B873" s="16">
        <v>43525</v>
      </c>
      <c r="C873" t="s">
        <v>168</v>
      </c>
      <c r="D873">
        <v>-4314814.4024999999</v>
      </c>
      <c r="E873" t="s">
        <v>331</v>
      </c>
    </row>
    <row r="874" spans="1:5" x14ac:dyDescent="0.25">
      <c r="A874">
        <v>1861</v>
      </c>
      <c r="B874" s="16">
        <v>43556</v>
      </c>
      <c r="C874" t="s">
        <v>168</v>
      </c>
      <c r="D874">
        <v>-4314814.4024999999</v>
      </c>
      <c r="E874" t="s">
        <v>331</v>
      </c>
    </row>
    <row r="875" spans="1:5" x14ac:dyDescent="0.25">
      <c r="A875">
        <v>1861</v>
      </c>
      <c r="B875" s="16">
        <v>43586</v>
      </c>
      <c r="C875" t="s">
        <v>168</v>
      </c>
      <c r="D875">
        <v>-4314814.4024999999</v>
      </c>
      <c r="E875" t="s">
        <v>331</v>
      </c>
    </row>
    <row r="876" spans="1:5" x14ac:dyDescent="0.25">
      <c r="A876">
        <v>1861</v>
      </c>
      <c r="B876" s="16">
        <v>43617</v>
      </c>
      <c r="C876" t="s">
        <v>168</v>
      </c>
      <c r="D876">
        <v>-4314814.4024999999</v>
      </c>
      <c r="E876" t="s">
        <v>331</v>
      </c>
    </row>
    <row r="877" spans="1:5" x14ac:dyDescent="0.25">
      <c r="A877">
        <v>1861</v>
      </c>
      <c r="B877" s="16">
        <v>43647</v>
      </c>
      <c r="C877" t="s">
        <v>168</v>
      </c>
      <c r="D877">
        <v>-4314814.4024999999</v>
      </c>
      <c r="E877" t="s">
        <v>331</v>
      </c>
    </row>
    <row r="878" spans="1:5" x14ac:dyDescent="0.25">
      <c r="A878">
        <v>1861</v>
      </c>
      <c r="B878" s="16">
        <v>43678</v>
      </c>
      <c r="C878" t="s">
        <v>168</v>
      </c>
      <c r="D878">
        <v>-4314814.4024999999</v>
      </c>
      <c r="E878" t="s">
        <v>331</v>
      </c>
    </row>
    <row r="879" spans="1:5" x14ac:dyDescent="0.25">
      <c r="A879">
        <v>1861</v>
      </c>
      <c r="B879" s="16">
        <v>43709</v>
      </c>
      <c r="C879" t="s">
        <v>168</v>
      </c>
      <c r="D879">
        <v>-4314814.4024999999</v>
      </c>
      <c r="E879" t="s">
        <v>331</v>
      </c>
    </row>
    <row r="880" spans="1:5" x14ac:dyDescent="0.25">
      <c r="A880">
        <v>1861</v>
      </c>
      <c r="B880" s="16">
        <v>43739</v>
      </c>
      <c r="C880" t="s">
        <v>168</v>
      </c>
      <c r="D880">
        <v>-4314814.4024999999</v>
      </c>
      <c r="E880" t="s">
        <v>331</v>
      </c>
    </row>
    <row r="881" spans="1:5" x14ac:dyDescent="0.25">
      <c r="A881">
        <v>1861</v>
      </c>
      <c r="B881" s="16">
        <v>43770</v>
      </c>
      <c r="C881" t="s">
        <v>168</v>
      </c>
      <c r="D881">
        <v>-4314814.4024999999</v>
      </c>
      <c r="E881" t="s">
        <v>331</v>
      </c>
    </row>
    <row r="882" spans="1:5" x14ac:dyDescent="0.25">
      <c r="A882">
        <v>1861</v>
      </c>
      <c r="B882" s="16">
        <v>43800</v>
      </c>
      <c r="C882" t="s">
        <v>168</v>
      </c>
      <c r="D882">
        <v>-4314814.4024999999</v>
      </c>
      <c r="E882" t="s">
        <v>331</v>
      </c>
    </row>
    <row r="883" spans="1:5" x14ac:dyDescent="0.25">
      <c r="A883">
        <v>1861</v>
      </c>
      <c r="B883" s="16">
        <v>43831</v>
      </c>
      <c r="C883" t="s">
        <v>168</v>
      </c>
      <c r="D883">
        <v>-4314814.4024999999</v>
      </c>
      <c r="E883" t="s">
        <v>331</v>
      </c>
    </row>
    <row r="884" spans="1:5" x14ac:dyDescent="0.25">
      <c r="A884">
        <v>1861</v>
      </c>
      <c r="B884" s="16">
        <v>43862</v>
      </c>
      <c r="C884" t="s">
        <v>168</v>
      </c>
      <c r="D884">
        <v>-4314814.4024999999</v>
      </c>
      <c r="E884" t="s">
        <v>331</v>
      </c>
    </row>
    <row r="885" spans="1:5" x14ac:dyDescent="0.25">
      <c r="A885">
        <v>1861</v>
      </c>
      <c r="B885" s="16">
        <v>43891</v>
      </c>
      <c r="C885" t="s">
        <v>168</v>
      </c>
      <c r="D885">
        <v>-4314814.4024999999</v>
      </c>
      <c r="E885" t="s">
        <v>331</v>
      </c>
    </row>
    <row r="886" spans="1:5" x14ac:dyDescent="0.25">
      <c r="A886">
        <v>1861</v>
      </c>
      <c r="B886" s="16">
        <v>43922</v>
      </c>
      <c r="C886" t="s">
        <v>168</v>
      </c>
      <c r="D886">
        <v>-4314814.4024999999</v>
      </c>
      <c r="E886" t="s">
        <v>331</v>
      </c>
    </row>
    <row r="887" spans="1:5" x14ac:dyDescent="0.25">
      <c r="A887">
        <v>1861</v>
      </c>
      <c r="B887" s="16">
        <v>43952</v>
      </c>
      <c r="C887" t="s">
        <v>168</v>
      </c>
      <c r="D887">
        <v>-4314814.4024999999</v>
      </c>
      <c r="E887" t="s">
        <v>331</v>
      </c>
    </row>
    <row r="888" spans="1:5" x14ac:dyDescent="0.25">
      <c r="A888">
        <v>1861</v>
      </c>
      <c r="B888" s="16">
        <v>43983</v>
      </c>
      <c r="C888" t="s">
        <v>168</v>
      </c>
      <c r="D888">
        <v>-4314814.4024999999</v>
      </c>
      <c r="E888" t="s">
        <v>331</v>
      </c>
    </row>
    <row r="889" spans="1:5" x14ac:dyDescent="0.25">
      <c r="A889">
        <v>1861</v>
      </c>
      <c r="B889" s="16">
        <v>44013</v>
      </c>
      <c r="C889" t="s">
        <v>168</v>
      </c>
      <c r="D889">
        <v>-4314814.4024999999</v>
      </c>
      <c r="E889" t="s">
        <v>331</v>
      </c>
    </row>
    <row r="890" spans="1:5" x14ac:dyDescent="0.25">
      <c r="A890">
        <v>1861</v>
      </c>
      <c r="B890" s="16">
        <v>44044</v>
      </c>
      <c r="C890" t="s">
        <v>168</v>
      </c>
      <c r="D890">
        <v>-4314814.4024999999</v>
      </c>
      <c r="E890" t="s">
        <v>331</v>
      </c>
    </row>
    <row r="891" spans="1:5" x14ac:dyDescent="0.25">
      <c r="A891">
        <v>1861</v>
      </c>
      <c r="B891" s="16">
        <v>44075</v>
      </c>
      <c r="C891" t="s">
        <v>168</v>
      </c>
      <c r="D891">
        <v>-4314814.4024999999</v>
      </c>
      <c r="E891" t="s">
        <v>331</v>
      </c>
    </row>
    <row r="892" spans="1:5" x14ac:dyDescent="0.25">
      <c r="A892">
        <v>1861</v>
      </c>
      <c r="B892" s="16">
        <v>44105</v>
      </c>
      <c r="C892" t="s">
        <v>168</v>
      </c>
      <c r="D892">
        <v>-4314814.4024999999</v>
      </c>
      <c r="E892" t="s">
        <v>331</v>
      </c>
    </row>
    <row r="893" spans="1:5" x14ac:dyDescent="0.25">
      <c r="A893">
        <v>1861</v>
      </c>
      <c r="B893" s="16">
        <v>44136</v>
      </c>
      <c r="C893" t="s">
        <v>168</v>
      </c>
      <c r="D893">
        <v>-4314814.4024999999</v>
      </c>
      <c r="E893" t="s">
        <v>331</v>
      </c>
    </row>
    <row r="894" spans="1:5" x14ac:dyDescent="0.25">
      <c r="A894">
        <v>1861</v>
      </c>
      <c r="B894" s="16">
        <v>43466</v>
      </c>
      <c r="C894" t="s">
        <v>168</v>
      </c>
      <c r="D894">
        <v>-4363154.7749999994</v>
      </c>
      <c r="E894" t="s">
        <v>331</v>
      </c>
    </row>
    <row r="895" spans="1:5" x14ac:dyDescent="0.25">
      <c r="A895">
        <v>1861</v>
      </c>
      <c r="B895" s="16">
        <v>43497</v>
      </c>
      <c r="C895" t="s">
        <v>168</v>
      </c>
      <c r="D895">
        <v>-4363154.7749999994</v>
      </c>
      <c r="E895" t="s">
        <v>331</v>
      </c>
    </row>
    <row r="896" spans="1:5" x14ac:dyDescent="0.25">
      <c r="A896">
        <v>1861</v>
      </c>
      <c r="B896" s="16">
        <v>43525</v>
      </c>
      <c r="C896" t="s">
        <v>168</v>
      </c>
      <c r="D896">
        <v>-4363154.7749999994</v>
      </c>
      <c r="E896" t="s">
        <v>331</v>
      </c>
    </row>
    <row r="897" spans="1:5" x14ac:dyDescent="0.25">
      <c r="A897">
        <v>1861</v>
      </c>
      <c r="B897" s="16">
        <v>43556</v>
      </c>
      <c r="C897" t="s">
        <v>168</v>
      </c>
      <c r="D897">
        <v>-4363154.7749999994</v>
      </c>
      <c r="E897" t="s">
        <v>331</v>
      </c>
    </row>
    <row r="898" spans="1:5" x14ac:dyDescent="0.25">
      <c r="A898">
        <v>1861</v>
      </c>
      <c r="B898" s="16">
        <v>43586</v>
      </c>
      <c r="C898" t="s">
        <v>168</v>
      </c>
      <c r="D898">
        <v>-4363154.7749999994</v>
      </c>
      <c r="E898" t="s">
        <v>331</v>
      </c>
    </row>
    <row r="899" spans="1:5" x14ac:dyDescent="0.25">
      <c r="A899">
        <v>1861</v>
      </c>
      <c r="B899" s="16">
        <v>43617</v>
      </c>
      <c r="C899" t="s">
        <v>168</v>
      </c>
      <c r="D899">
        <v>-4363154.7749999994</v>
      </c>
      <c r="E899" t="s">
        <v>331</v>
      </c>
    </row>
    <row r="900" spans="1:5" x14ac:dyDescent="0.25">
      <c r="A900">
        <v>1861</v>
      </c>
      <c r="B900" s="16">
        <v>43647</v>
      </c>
      <c r="C900" t="s">
        <v>168</v>
      </c>
      <c r="D900">
        <v>-4363154.7749999994</v>
      </c>
      <c r="E900" t="s">
        <v>331</v>
      </c>
    </row>
    <row r="901" spans="1:5" x14ac:dyDescent="0.25">
      <c r="A901">
        <v>1861</v>
      </c>
      <c r="B901" s="16">
        <v>43678</v>
      </c>
      <c r="C901" t="s">
        <v>168</v>
      </c>
      <c r="D901">
        <v>-4363154.7749999994</v>
      </c>
      <c r="E901" t="s">
        <v>331</v>
      </c>
    </row>
    <row r="902" spans="1:5" x14ac:dyDescent="0.25">
      <c r="A902">
        <v>1861</v>
      </c>
      <c r="B902" s="16">
        <v>43709</v>
      </c>
      <c r="C902" t="s">
        <v>168</v>
      </c>
      <c r="D902">
        <v>-4363154.7749999994</v>
      </c>
      <c r="E902" t="s">
        <v>331</v>
      </c>
    </row>
    <row r="903" spans="1:5" x14ac:dyDescent="0.25">
      <c r="A903">
        <v>1861</v>
      </c>
      <c r="B903" s="16">
        <v>43739</v>
      </c>
      <c r="C903" t="s">
        <v>168</v>
      </c>
      <c r="D903">
        <v>-4363154.7749999994</v>
      </c>
      <c r="E903" t="s">
        <v>331</v>
      </c>
    </row>
    <row r="904" spans="1:5" x14ac:dyDescent="0.25">
      <c r="A904">
        <v>1861</v>
      </c>
      <c r="B904" s="16">
        <v>43770</v>
      </c>
      <c r="C904" t="s">
        <v>168</v>
      </c>
      <c r="D904">
        <v>-4363154.7749999994</v>
      </c>
      <c r="E904" t="s">
        <v>331</v>
      </c>
    </row>
    <row r="905" spans="1:5" x14ac:dyDescent="0.25">
      <c r="A905">
        <v>1861</v>
      </c>
      <c r="B905" s="16">
        <v>43800</v>
      </c>
      <c r="C905" t="s">
        <v>168</v>
      </c>
      <c r="D905">
        <v>-4363154.7749999994</v>
      </c>
      <c r="E905" t="s">
        <v>331</v>
      </c>
    </row>
    <row r="906" spans="1:5" x14ac:dyDescent="0.25">
      <c r="A906">
        <v>1861</v>
      </c>
      <c r="B906" s="16">
        <v>43466</v>
      </c>
      <c r="C906" t="s">
        <v>29</v>
      </c>
      <c r="D906">
        <v>-5731070.625</v>
      </c>
      <c r="E906" t="s">
        <v>331</v>
      </c>
    </row>
    <row r="907" spans="1:5" x14ac:dyDescent="0.25">
      <c r="A907">
        <v>1861</v>
      </c>
      <c r="B907" s="16">
        <v>43497</v>
      </c>
      <c r="C907" t="s">
        <v>29</v>
      </c>
      <c r="D907">
        <v>-5731070.625</v>
      </c>
      <c r="E907" t="s">
        <v>331</v>
      </c>
    </row>
    <row r="908" spans="1:5" x14ac:dyDescent="0.25">
      <c r="A908">
        <v>1861</v>
      </c>
      <c r="B908" s="16">
        <v>43525</v>
      </c>
      <c r="C908" t="s">
        <v>29</v>
      </c>
      <c r="D908">
        <v>-5731070.625</v>
      </c>
      <c r="E908" t="s">
        <v>331</v>
      </c>
    </row>
    <row r="909" spans="1:5" x14ac:dyDescent="0.25">
      <c r="A909">
        <v>1861</v>
      </c>
      <c r="B909" s="16">
        <v>43556</v>
      </c>
      <c r="C909" t="s">
        <v>29</v>
      </c>
      <c r="D909">
        <v>-5731070.625</v>
      </c>
      <c r="E909" t="s">
        <v>331</v>
      </c>
    </row>
    <row r="910" spans="1:5" x14ac:dyDescent="0.25">
      <c r="A910">
        <v>1861</v>
      </c>
      <c r="B910" s="16">
        <v>43586</v>
      </c>
      <c r="C910" t="s">
        <v>29</v>
      </c>
      <c r="D910">
        <v>-5731070.625</v>
      </c>
      <c r="E910" t="s">
        <v>331</v>
      </c>
    </row>
    <row r="911" spans="1:5" x14ac:dyDescent="0.25">
      <c r="A911">
        <v>1861</v>
      </c>
      <c r="B911" s="16">
        <v>43617</v>
      </c>
      <c r="C911" t="s">
        <v>29</v>
      </c>
      <c r="D911">
        <v>-5731070.625</v>
      </c>
      <c r="E911" t="s">
        <v>331</v>
      </c>
    </row>
    <row r="912" spans="1:5" x14ac:dyDescent="0.25">
      <c r="A912">
        <v>1861</v>
      </c>
      <c r="B912" s="16">
        <v>43647</v>
      </c>
      <c r="C912" t="s">
        <v>29</v>
      </c>
      <c r="D912">
        <v>-5731070.625</v>
      </c>
      <c r="E912" t="s">
        <v>331</v>
      </c>
    </row>
    <row r="913" spans="1:5" x14ac:dyDescent="0.25">
      <c r="A913">
        <v>1861</v>
      </c>
      <c r="B913" s="16">
        <v>43678</v>
      </c>
      <c r="C913" t="s">
        <v>29</v>
      </c>
      <c r="D913">
        <v>-5731070.625</v>
      </c>
      <c r="E913" t="s">
        <v>331</v>
      </c>
    </row>
    <row r="914" spans="1:5" x14ac:dyDescent="0.25">
      <c r="A914">
        <v>1861</v>
      </c>
      <c r="B914" s="16">
        <v>43709</v>
      </c>
      <c r="C914" t="s">
        <v>29</v>
      </c>
      <c r="D914">
        <v>-5731070.625</v>
      </c>
      <c r="E914" t="s">
        <v>331</v>
      </c>
    </row>
    <row r="915" spans="1:5" x14ac:dyDescent="0.25">
      <c r="A915">
        <v>1861</v>
      </c>
      <c r="B915" s="16">
        <v>43739</v>
      </c>
      <c r="C915" t="s">
        <v>29</v>
      </c>
      <c r="D915">
        <v>-5731070.625</v>
      </c>
      <c r="E915" t="s">
        <v>331</v>
      </c>
    </row>
    <row r="916" spans="1:5" x14ac:dyDescent="0.25">
      <c r="A916">
        <v>1861</v>
      </c>
      <c r="B916" s="16">
        <v>43770</v>
      </c>
      <c r="C916" t="s">
        <v>29</v>
      </c>
      <c r="D916">
        <v>-5731070.625</v>
      </c>
      <c r="E916" t="s">
        <v>331</v>
      </c>
    </row>
    <row r="917" spans="1:5" x14ac:dyDescent="0.25">
      <c r="A917">
        <v>1861</v>
      </c>
      <c r="B917" s="16">
        <v>43800</v>
      </c>
      <c r="C917" t="s">
        <v>29</v>
      </c>
      <c r="D917">
        <v>-5731070.625</v>
      </c>
      <c r="E917" t="s">
        <v>331</v>
      </c>
    </row>
    <row r="918" spans="1:5" x14ac:dyDescent="0.25">
      <c r="A918">
        <v>1861</v>
      </c>
      <c r="B918" s="16">
        <v>43831</v>
      </c>
      <c r="C918" t="s">
        <v>29</v>
      </c>
      <c r="D918">
        <v>-5731070.625</v>
      </c>
      <c r="E918" t="s">
        <v>331</v>
      </c>
    </row>
    <row r="919" spans="1:5" x14ac:dyDescent="0.25">
      <c r="A919">
        <v>1861</v>
      </c>
      <c r="B919" s="16">
        <v>43862</v>
      </c>
      <c r="C919" t="s">
        <v>29</v>
      </c>
      <c r="D919">
        <v>-5731070.625</v>
      </c>
      <c r="E919" t="s">
        <v>331</v>
      </c>
    </row>
    <row r="920" spans="1:5" x14ac:dyDescent="0.25">
      <c r="A920">
        <v>1861</v>
      </c>
      <c r="B920" s="16">
        <v>43891</v>
      </c>
      <c r="C920" t="s">
        <v>29</v>
      </c>
      <c r="D920">
        <v>-5731070.625</v>
      </c>
      <c r="E920" t="s">
        <v>331</v>
      </c>
    </row>
    <row r="921" spans="1:5" x14ac:dyDescent="0.25">
      <c r="A921">
        <v>1861</v>
      </c>
      <c r="B921" s="16">
        <v>43922</v>
      </c>
      <c r="C921" t="s">
        <v>29</v>
      </c>
      <c r="D921">
        <v>-5731070.625</v>
      </c>
      <c r="E921" t="s">
        <v>331</v>
      </c>
    </row>
    <row r="922" spans="1:5" x14ac:dyDescent="0.25">
      <c r="A922">
        <v>1861</v>
      </c>
      <c r="B922" s="16">
        <v>43952</v>
      </c>
      <c r="C922" t="s">
        <v>29</v>
      </c>
      <c r="D922">
        <v>-5731070.625</v>
      </c>
      <c r="E922" t="s">
        <v>331</v>
      </c>
    </row>
    <row r="923" spans="1:5" x14ac:dyDescent="0.25">
      <c r="A923">
        <v>1861</v>
      </c>
      <c r="B923" s="16">
        <v>43983</v>
      </c>
      <c r="C923" t="s">
        <v>29</v>
      </c>
      <c r="D923">
        <v>-5731070.625</v>
      </c>
      <c r="E923" t="s">
        <v>331</v>
      </c>
    </row>
    <row r="924" spans="1:5" x14ac:dyDescent="0.25">
      <c r="A924">
        <v>1861</v>
      </c>
      <c r="B924" s="16">
        <v>44013</v>
      </c>
      <c r="C924" t="s">
        <v>29</v>
      </c>
      <c r="D924">
        <v>-5731070.625</v>
      </c>
      <c r="E924" t="s">
        <v>331</v>
      </c>
    </row>
    <row r="925" spans="1:5" x14ac:dyDescent="0.25">
      <c r="A925">
        <v>1861</v>
      </c>
      <c r="B925" s="16">
        <v>43466</v>
      </c>
      <c r="C925" t="s">
        <v>170</v>
      </c>
      <c r="D925">
        <v>-5735067.9750000006</v>
      </c>
      <c r="E925" t="s">
        <v>331</v>
      </c>
    </row>
    <row r="926" spans="1:5" x14ac:dyDescent="0.25">
      <c r="A926">
        <v>1861</v>
      </c>
      <c r="B926" s="16">
        <v>43497</v>
      </c>
      <c r="C926" t="s">
        <v>170</v>
      </c>
      <c r="D926">
        <v>-5735067.9750000006</v>
      </c>
      <c r="E926" t="s">
        <v>331</v>
      </c>
    </row>
    <row r="927" spans="1:5" x14ac:dyDescent="0.25">
      <c r="A927">
        <v>1861</v>
      </c>
      <c r="B927" s="16">
        <v>43525</v>
      </c>
      <c r="C927" t="s">
        <v>170</v>
      </c>
      <c r="D927">
        <v>-5735067.9750000006</v>
      </c>
      <c r="E927" t="s">
        <v>331</v>
      </c>
    </row>
    <row r="928" spans="1:5" x14ac:dyDescent="0.25">
      <c r="A928">
        <v>1861</v>
      </c>
      <c r="B928" s="16">
        <v>43556</v>
      </c>
      <c r="C928" t="s">
        <v>170</v>
      </c>
      <c r="D928">
        <v>-5735067.9750000006</v>
      </c>
      <c r="E928" t="s">
        <v>331</v>
      </c>
    </row>
    <row r="929" spans="1:5" x14ac:dyDescent="0.25">
      <c r="A929">
        <v>1861</v>
      </c>
      <c r="B929" s="16">
        <v>43586</v>
      </c>
      <c r="C929" t="s">
        <v>170</v>
      </c>
      <c r="D929">
        <v>-5735067.9750000006</v>
      </c>
      <c r="E929" t="s">
        <v>331</v>
      </c>
    </row>
    <row r="930" spans="1:5" x14ac:dyDescent="0.25">
      <c r="A930">
        <v>1861</v>
      </c>
      <c r="B930" s="16">
        <v>43617</v>
      </c>
      <c r="C930" t="s">
        <v>170</v>
      </c>
      <c r="D930">
        <v>-5735067.9750000006</v>
      </c>
      <c r="E930" t="s">
        <v>331</v>
      </c>
    </row>
    <row r="931" spans="1:5" x14ac:dyDescent="0.25">
      <c r="A931">
        <v>1861</v>
      </c>
      <c r="B931" s="16">
        <v>43647</v>
      </c>
      <c r="C931" t="s">
        <v>170</v>
      </c>
      <c r="D931">
        <v>-5735067.9750000006</v>
      </c>
      <c r="E931" t="s">
        <v>331</v>
      </c>
    </row>
    <row r="932" spans="1:5" x14ac:dyDescent="0.25">
      <c r="A932">
        <v>1861</v>
      </c>
      <c r="B932" s="16">
        <v>43678</v>
      </c>
      <c r="C932" t="s">
        <v>170</v>
      </c>
      <c r="D932">
        <v>-5735067.9750000006</v>
      </c>
      <c r="E932" t="s">
        <v>331</v>
      </c>
    </row>
    <row r="933" spans="1:5" x14ac:dyDescent="0.25">
      <c r="A933">
        <v>1861</v>
      </c>
      <c r="B933" s="16">
        <v>43709</v>
      </c>
      <c r="C933" t="s">
        <v>170</v>
      </c>
      <c r="D933">
        <v>-5735067.9750000006</v>
      </c>
      <c r="E933" t="s">
        <v>331</v>
      </c>
    </row>
    <row r="934" spans="1:5" x14ac:dyDescent="0.25">
      <c r="A934">
        <v>1861</v>
      </c>
      <c r="B934" s="16">
        <v>43739</v>
      </c>
      <c r="C934" t="s">
        <v>170</v>
      </c>
      <c r="D934">
        <v>-5735067.9750000006</v>
      </c>
      <c r="E934" t="s">
        <v>331</v>
      </c>
    </row>
    <row r="935" spans="1:5" x14ac:dyDescent="0.25">
      <c r="A935">
        <v>1861</v>
      </c>
      <c r="B935" s="16">
        <v>43770</v>
      </c>
      <c r="C935" t="s">
        <v>170</v>
      </c>
      <c r="D935">
        <v>-5735067.9750000006</v>
      </c>
      <c r="E935" t="s">
        <v>331</v>
      </c>
    </row>
    <row r="936" spans="1:5" x14ac:dyDescent="0.25">
      <c r="A936">
        <v>1861</v>
      </c>
      <c r="B936" s="16">
        <v>43800</v>
      </c>
      <c r="C936" t="s">
        <v>170</v>
      </c>
      <c r="D936">
        <v>-5735067.9750000006</v>
      </c>
      <c r="E936" t="s">
        <v>331</v>
      </c>
    </row>
    <row r="937" spans="1:5" x14ac:dyDescent="0.25">
      <c r="A937">
        <v>1861</v>
      </c>
      <c r="B937" s="16">
        <v>43831</v>
      </c>
      <c r="C937" t="s">
        <v>170</v>
      </c>
      <c r="D937">
        <v>-5735067.9750000006</v>
      </c>
      <c r="E937" t="s">
        <v>331</v>
      </c>
    </row>
    <row r="938" spans="1:5" x14ac:dyDescent="0.25">
      <c r="A938">
        <v>1861</v>
      </c>
      <c r="B938" s="16">
        <v>43862</v>
      </c>
      <c r="C938" t="s">
        <v>170</v>
      </c>
      <c r="D938">
        <v>-5735067.9750000006</v>
      </c>
      <c r="E938" t="s">
        <v>331</v>
      </c>
    </row>
    <row r="939" spans="1:5" x14ac:dyDescent="0.25">
      <c r="A939">
        <v>1861</v>
      </c>
      <c r="B939" s="16">
        <v>43891</v>
      </c>
      <c r="C939" t="s">
        <v>170</v>
      </c>
      <c r="D939">
        <v>-5735067.9750000006</v>
      </c>
      <c r="E939" t="s">
        <v>331</v>
      </c>
    </row>
    <row r="940" spans="1:5" x14ac:dyDescent="0.25">
      <c r="A940">
        <v>1861</v>
      </c>
      <c r="B940" s="16">
        <v>43922</v>
      </c>
      <c r="C940" t="s">
        <v>170</v>
      </c>
      <c r="D940">
        <v>-5735067.9750000006</v>
      </c>
      <c r="E940" t="s">
        <v>331</v>
      </c>
    </row>
    <row r="941" spans="1:5" x14ac:dyDescent="0.25">
      <c r="A941">
        <v>1861</v>
      </c>
      <c r="B941" s="16">
        <v>43952</v>
      </c>
      <c r="C941" t="s">
        <v>170</v>
      </c>
      <c r="D941">
        <v>-5735067.9750000006</v>
      </c>
      <c r="E941" t="s">
        <v>331</v>
      </c>
    </row>
    <row r="942" spans="1:5" x14ac:dyDescent="0.25">
      <c r="A942">
        <v>1861</v>
      </c>
      <c r="B942" s="16">
        <v>43983</v>
      </c>
      <c r="C942" t="s">
        <v>170</v>
      </c>
      <c r="D942">
        <v>-5735067.9750000006</v>
      </c>
      <c r="E942" t="s">
        <v>331</v>
      </c>
    </row>
    <row r="943" spans="1:5" x14ac:dyDescent="0.25">
      <c r="A943">
        <v>1861</v>
      </c>
      <c r="B943" s="16">
        <v>44013</v>
      </c>
      <c r="C943" t="s">
        <v>170</v>
      </c>
      <c r="D943">
        <v>-5735067.9750000006</v>
      </c>
      <c r="E943" t="s">
        <v>331</v>
      </c>
    </row>
    <row r="944" spans="1:5" x14ac:dyDescent="0.25">
      <c r="A944">
        <v>1861</v>
      </c>
      <c r="B944" s="16">
        <v>44044</v>
      </c>
      <c r="C944" t="s">
        <v>170</v>
      </c>
      <c r="D944">
        <v>-5735067.9750000006</v>
      </c>
      <c r="E944" t="s">
        <v>331</v>
      </c>
    </row>
    <row r="945" spans="1:5" x14ac:dyDescent="0.25">
      <c r="A945">
        <v>1861</v>
      </c>
      <c r="B945" s="16">
        <v>44075</v>
      </c>
      <c r="C945" t="s">
        <v>170</v>
      </c>
      <c r="D945">
        <v>-5735067.9750000006</v>
      </c>
      <c r="E945" t="s">
        <v>331</v>
      </c>
    </row>
    <row r="946" spans="1:5" x14ac:dyDescent="0.25">
      <c r="A946">
        <v>1861</v>
      </c>
      <c r="B946" s="16">
        <v>44105</v>
      </c>
      <c r="C946" t="s">
        <v>170</v>
      </c>
      <c r="D946">
        <v>-5735067.9750000006</v>
      </c>
      <c r="E946" t="s">
        <v>331</v>
      </c>
    </row>
    <row r="947" spans="1:5" x14ac:dyDescent="0.25">
      <c r="A947">
        <v>1861</v>
      </c>
      <c r="B947" s="16">
        <v>44136</v>
      </c>
      <c r="C947" t="s">
        <v>170</v>
      </c>
      <c r="D947">
        <v>-5735067.9750000006</v>
      </c>
      <c r="E947" t="s">
        <v>331</v>
      </c>
    </row>
    <row r="948" spans="1:5" x14ac:dyDescent="0.25">
      <c r="A948">
        <v>1861</v>
      </c>
      <c r="B948" s="16">
        <v>43466</v>
      </c>
      <c r="C948" t="s">
        <v>39</v>
      </c>
      <c r="D948">
        <v>-5532675.75</v>
      </c>
      <c r="E948" t="s">
        <v>331</v>
      </c>
    </row>
    <row r="949" spans="1:5" x14ac:dyDescent="0.25">
      <c r="A949">
        <v>1861</v>
      </c>
      <c r="B949" s="16">
        <v>43497</v>
      </c>
      <c r="C949" t="s">
        <v>39</v>
      </c>
      <c r="D949">
        <v>-5532675.75</v>
      </c>
      <c r="E949" t="s">
        <v>331</v>
      </c>
    </row>
    <row r="950" spans="1:5" x14ac:dyDescent="0.25">
      <c r="A950">
        <v>1861</v>
      </c>
      <c r="B950" s="16">
        <v>43525</v>
      </c>
      <c r="C950" t="s">
        <v>39</v>
      </c>
      <c r="D950">
        <v>-5532675.75</v>
      </c>
      <c r="E950" t="s">
        <v>331</v>
      </c>
    </row>
    <row r="951" spans="1:5" x14ac:dyDescent="0.25">
      <c r="A951">
        <v>1861</v>
      </c>
      <c r="B951" s="16">
        <v>43556</v>
      </c>
      <c r="C951" t="s">
        <v>39</v>
      </c>
      <c r="D951">
        <v>-5532675.75</v>
      </c>
      <c r="E951" t="s">
        <v>331</v>
      </c>
    </row>
    <row r="952" spans="1:5" x14ac:dyDescent="0.25">
      <c r="A952">
        <v>1861</v>
      </c>
      <c r="B952" s="16">
        <v>43586</v>
      </c>
      <c r="C952" t="s">
        <v>39</v>
      </c>
      <c r="D952">
        <v>-5532675.75</v>
      </c>
      <c r="E952" t="s">
        <v>331</v>
      </c>
    </row>
    <row r="953" spans="1:5" x14ac:dyDescent="0.25">
      <c r="A953">
        <v>1861</v>
      </c>
      <c r="B953" s="16">
        <v>43617</v>
      </c>
      <c r="C953" t="s">
        <v>39</v>
      </c>
      <c r="D953">
        <v>-5532675.75</v>
      </c>
      <c r="E953" t="s">
        <v>331</v>
      </c>
    </row>
    <row r="954" spans="1:5" x14ac:dyDescent="0.25">
      <c r="A954">
        <v>1861</v>
      </c>
      <c r="B954" s="16">
        <v>43647</v>
      </c>
      <c r="C954" t="s">
        <v>39</v>
      </c>
      <c r="D954">
        <v>-5532675.75</v>
      </c>
      <c r="E954" t="s">
        <v>331</v>
      </c>
    </row>
    <row r="955" spans="1:5" x14ac:dyDescent="0.25">
      <c r="A955">
        <v>1861</v>
      </c>
      <c r="B955" s="16">
        <v>43678</v>
      </c>
      <c r="C955" t="s">
        <v>39</v>
      </c>
      <c r="D955">
        <v>-5532675.75</v>
      </c>
      <c r="E955" t="s">
        <v>331</v>
      </c>
    </row>
    <row r="956" spans="1:5" x14ac:dyDescent="0.25">
      <c r="A956">
        <v>1861</v>
      </c>
      <c r="B956" s="16">
        <v>43709</v>
      </c>
      <c r="C956" t="s">
        <v>39</v>
      </c>
      <c r="D956">
        <v>-5532675.75</v>
      </c>
      <c r="E956" t="s">
        <v>331</v>
      </c>
    </row>
    <row r="957" spans="1:5" x14ac:dyDescent="0.25">
      <c r="A957">
        <v>1861</v>
      </c>
      <c r="B957" s="16">
        <v>43739</v>
      </c>
      <c r="C957" t="s">
        <v>39</v>
      </c>
      <c r="D957">
        <v>-5532675.75</v>
      </c>
      <c r="E957" t="s">
        <v>331</v>
      </c>
    </row>
    <row r="958" spans="1:5" x14ac:dyDescent="0.25">
      <c r="A958">
        <v>1861</v>
      </c>
      <c r="B958" s="16">
        <v>43770</v>
      </c>
      <c r="C958" t="s">
        <v>39</v>
      </c>
      <c r="D958">
        <v>-5532675.75</v>
      </c>
      <c r="E958" t="s">
        <v>331</v>
      </c>
    </row>
    <row r="959" spans="1:5" x14ac:dyDescent="0.25">
      <c r="A959">
        <v>1861</v>
      </c>
      <c r="B959" s="16">
        <v>43800</v>
      </c>
      <c r="C959" t="s">
        <v>39</v>
      </c>
      <c r="D959">
        <v>-5532675.75</v>
      </c>
      <c r="E959" t="s">
        <v>331</v>
      </c>
    </row>
    <row r="960" spans="1:5" x14ac:dyDescent="0.25">
      <c r="A960">
        <v>1861</v>
      </c>
      <c r="B960" s="16">
        <v>43831</v>
      </c>
      <c r="C960" t="s">
        <v>39</v>
      </c>
      <c r="D960">
        <v>-5532675.75</v>
      </c>
      <c r="E960" t="s">
        <v>331</v>
      </c>
    </row>
    <row r="961" spans="1:5" x14ac:dyDescent="0.25">
      <c r="A961">
        <v>1861</v>
      </c>
      <c r="B961" s="16">
        <v>43862</v>
      </c>
      <c r="C961" t="s">
        <v>39</v>
      </c>
      <c r="D961">
        <v>-5532675.75</v>
      </c>
      <c r="E961" t="s">
        <v>331</v>
      </c>
    </row>
    <row r="962" spans="1:5" x14ac:dyDescent="0.25">
      <c r="A962">
        <v>1861</v>
      </c>
      <c r="B962" s="16">
        <v>43891</v>
      </c>
      <c r="C962" t="s">
        <v>39</v>
      </c>
      <c r="D962">
        <v>-5532675.75</v>
      </c>
      <c r="E962" t="s">
        <v>331</v>
      </c>
    </row>
    <row r="963" spans="1:5" x14ac:dyDescent="0.25">
      <c r="A963">
        <v>1861</v>
      </c>
      <c r="B963" s="16">
        <v>43922</v>
      </c>
      <c r="C963" t="s">
        <v>39</v>
      </c>
      <c r="D963">
        <v>-5532675.75</v>
      </c>
      <c r="E963" t="s">
        <v>331</v>
      </c>
    </row>
    <row r="964" spans="1:5" x14ac:dyDescent="0.25">
      <c r="A964">
        <v>1861</v>
      </c>
      <c r="B964" s="16">
        <v>43952</v>
      </c>
      <c r="C964" t="s">
        <v>39</v>
      </c>
      <c r="D964">
        <v>-5532675.75</v>
      </c>
      <c r="E964" t="s">
        <v>331</v>
      </c>
    </row>
    <row r="965" spans="1:5" x14ac:dyDescent="0.25">
      <c r="A965">
        <v>1861</v>
      </c>
      <c r="B965" s="16">
        <v>43983</v>
      </c>
      <c r="C965" t="s">
        <v>39</v>
      </c>
      <c r="D965">
        <v>-5532675.75</v>
      </c>
      <c r="E965" t="s">
        <v>331</v>
      </c>
    </row>
    <row r="966" spans="1:5" x14ac:dyDescent="0.25">
      <c r="A966">
        <v>1861</v>
      </c>
      <c r="B966" s="16">
        <v>44013</v>
      </c>
      <c r="C966" t="s">
        <v>39</v>
      </c>
      <c r="D966">
        <v>-5532675.75</v>
      </c>
      <c r="E966" t="s">
        <v>331</v>
      </c>
    </row>
    <row r="967" spans="1:5" x14ac:dyDescent="0.25">
      <c r="A967">
        <v>1861</v>
      </c>
      <c r="B967" s="16">
        <v>44044</v>
      </c>
      <c r="C967" t="s">
        <v>39</v>
      </c>
      <c r="D967">
        <v>-5532675.75</v>
      </c>
      <c r="E967" t="s">
        <v>331</v>
      </c>
    </row>
    <row r="968" spans="1:5" x14ac:dyDescent="0.25">
      <c r="A968">
        <v>1861</v>
      </c>
      <c r="B968" s="16">
        <v>44075</v>
      </c>
      <c r="C968" t="s">
        <v>39</v>
      </c>
      <c r="D968">
        <v>-5532675.75</v>
      </c>
      <c r="E968" t="s">
        <v>331</v>
      </c>
    </row>
    <row r="969" spans="1:5" x14ac:dyDescent="0.25">
      <c r="A969">
        <v>1861</v>
      </c>
      <c r="B969" s="16">
        <v>44105</v>
      </c>
      <c r="C969" t="s">
        <v>39</v>
      </c>
      <c r="D969">
        <v>-5532675.75</v>
      </c>
      <c r="E969" t="s">
        <v>331</v>
      </c>
    </row>
    <row r="970" spans="1:5" x14ac:dyDescent="0.25">
      <c r="A970">
        <v>1861</v>
      </c>
      <c r="B970" s="16">
        <v>44136</v>
      </c>
      <c r="C970" t="s">
        <v>39</v>
      </c>
      <c r="D970">
        <v>-5532675.75</v>
      </c>
      <c r="E970" t="s">
        <v>331</v>
      </c>
    </row>
    <row r="971" spans="1:5" x14ac:dyDescent="0.25">
      <c r="A971">
        <v>1861</v>
      </c>
      <c r="B971" s="16">
        <v>44166</v>
      </c>
      <c r="C971" t="s">
        <v>39</v>
      </c>
      <c r="D971">
        <v>-5532675.75</v>
      </c>
      <c r="E971" t="s">
        <v>331</v>
      </c>
    </row>
    <row r="972" spans="1:5" x14ac:dyDescent="0.25">
      <c r="A972">
        <v>1861</v>
      </c>
      <c r="B972" s="16">
        <v>43466</v>
      </c>
      <c r="C972" t="s">
        <v>171</v>
      </c>
      <c r="D972">
        <v>-6478130.9250000007</v>
      </c>
      <c r="E972" t="s">
        <v>331</v>
      </c>
    </row>
    <row r="973" spans="1:5" x14ac:dyDescent="0.25">
      <c r="A973">
        <v>1861</v>
      </c>
      <c r="B973" s="16">
        <v>43497</v>
      </c>
      <c r="C973" t="s">
        <v>171</v>
      </c>
      <c r="D973">
        <v>-6478130.9250000007</v>
      </c>
      <c r="E973" t="s">
        <v>331</v>
      </c>
    </row>
    <row r="974" spans="1:5" x14ac:dyDescent="0.25">
      <c r="A974">
        <v>1861</v>
      </c>
      <c r="B974" s="16">
        <v>43525</v>
      </c>
      <c r="C974" t="s">
        <v>171</v>
      </c>
      <c r="D974">
        <v>-6478130.9250000007</v>
      </c>
      <c r="E974" t="s">
        <v>331</v>
      </c>
    </row>
    <row r="975" spans="1:5" x14ac:dyDescent="0.25">
      <c r="A975">
        <v>1861</v>
      </c>
      <c r="B975" s="16">
        <v>43556</v>
      </c>
      <c r="C975" t="s">
        <v>171</v>
      </c>
      <c r="D975">
        <v>-6478130.9250000007</v>
      </c>
      <c r="E975" t="s">
        <v>331</v>
      </c>
    </row>
    <row r="976" spans="1:5" x14ac:dyDescent="0.25">
      <c r="A976">
        <v>1861</v>
      </c>
      <c r="B976" s="16">
        <v>43586</v>
      </c>
      <c r="C976" t="s">
        <v>171</v>
      </c>
      <c r="D976">
        <v>-6478130.9250000007</v>
      </c>
      <c r="E976" t="s">
        <v>331</v>
      </c>
    </row>
    <row r="977" spans="1:5" x14ac:dyDescent="0.25">
      <c r="A977">
        <v>1861</v>
      </c>
      <c r="B977" s="16">
        <v>43617</v>
      </c>
      <c r="C977" t="s">
        <v>171</v>
      </c>
      <c r="D977">
        <v>-6478130.9250000007</v>
      </c>
      <c r="E977" t="s">
        <v>331</v>
      </c>
    </row>
    <row r="978" spans="1:5" x14ac:dyDescent="0.25">
      <c r="A978">
        <v>1861</v>
      </c>
      <c r="B978" s="16">
        <v>43647</v>
      </c>
      <c r="C978" t="s">
        <v>171</v>
      </c>
      <c r="D978">
        <v>-6478130.9250000007</v>
      </c>
      <c r="E978" t="s">
        <v>331</v>
      </c>
    </row>
    <row r="979" spans="1:5" x14ac:dyDescent="0.25">
      <c r="A979">
        <v>1861</v>
      </c>
      <c r="B979" s="16">
        <v>43678</v>
      </c>
      <c r="C979" t="s">
        <v>171</v>
      </c>
      <c r="D979">
        <v>-6478130.9250000007</v>
      </c>
      <c r="E979" t="s">
        <v>331</v>
      </c>
    </row>
    <row r="980" spans="1:5" x14ac:dyDescent="0.25">
      <c r="A980">
        <v>1861</v>
      </c>
      <c r="B980" s="16">
        <v>43709</v>
      </c>
      <c r="C980" t="s">
        <v>171</v>
      </c>
      <c r="D980">
        <v>-6478130.9250000007</v>
      </c>
      <c r="E980" t="s">
        <v>331</v>
      </c>
    </row>
    <row r="981" spans="1:5" x14ac:dyDescent="0.25">
      <c r="A981">
        <v>1861</v>
      </c>
      <c r="B981" s="16">
        <v>43739</v>
      </c>
      <c r="C981" t="s">
        <v>171</v>
      </c>
      <c r="D981">
        <v>-6478130.9250000007</v>
      </c>
      <c r="E981" t="s">
        <v>331</v>
      </c>
    </row>
    <row r="982" spans="1:5" x14ac:dyDescent="0.25">
      <c r="A982">
        <v>1861</v>
      </c>
      <c r="B982" s="16">
        <v>43770</v>
      </c>
      <c r="C982" t="s">
        <v>171</v>
      </c>
      <c r="D982">
        <v>-6478130.9250000007</v>
      </c>
      <c r="E982" t="s">
        <v>331</v>
      </c>
    </row>
    <row r="983" spans="1:5" x14ac:dyDescent="0.25">
      <c r="A983">
        <v>1861</v>
      </c>
      <c r="B983" s="16">
        <v>43800</v>
      </c>
      <c r="C983" t="s">
        <v>171</v>
      </c>
      <c r="D983">
        <v>-6478130.9250000007</v>
      </c>
      <c r="E983" t="s">
        <v>331</v>
      </c>
    </row>
    <row r="984" spans="1:5" x14ac:dyDescent="0.25">
      <c r="A984">
        <v>1861</v>
      </c>
      <c r="B984" s="16">
        <v>43831</v>
      </c>
      <c r="C984" t="s">
        <v>171</v>
      </c>
      <c r="D984">
        <v>-6478130.9250000007</v>
      </c>
      <c r="E984" t="s">
        <v>331</v>
      </c>
    </row>
    <row r="985" spans="1:5" x14ac:dyDescent="0.25">
      <c r="A985">
        <v>1861</v>
      </c>
      <c r="B985" s="16">
        <v>43862</v>
      </c>
      <c r="C985" t="s">
        <v>171</v>
      </c>
      <c r="D985">
        <v>-6478130.9250000007</v>
      </c>
      <c r="E985" t="s">
        <v>331</v>
      </c>
    </row>
    <row r="986" spans="1:5" x14ac:dyDescent="0.25">
      <c r="A986">
        <v>1861</v>
      </c>
      <c r="B986" s="16">
        <v>43891</v>
      </c>
      <c r="C986" t="s">
        <v>171</v>
      </c>
      <c r="D986">
        <v>-6478130.9250000007</v>
      </c>
      <c r="E986" t="s">
        <v>331</v>
      </c>
    </row>
    <row r="987" spans="1:5" x14ac:dyDescent="0.25">
      <c r="A987">
        <v>1861</v>
      </c>
      <c r="B987" s="16">
        <v>43922</v>
      </c>
      <c r="C987" t="s">
        <v>171</v>
      </c>
      <c r="D987">
        <v>-6478130.9250000007</v>
      </c>
      <c r="E987" t="s">
        <v>331</v>
      </c>
    </row>
    <row r="988" spans="1:5" x14ac:dyDescent="0.25">
      <c r="A988">
        <v>1861</v>
      </c>
      <c r="B988" s="16">
        <v>43952</v>
      </c>
      <c r="C988" t="s">
        <v>171</v>
      </c>
      <c r="D988">
        <v>-6478130.9250000007</v>
      </c>
      <c r="E988" t="s">
        <v>331</v>
      </c>
    </row>
    <row r="989" spans="1:5" x14ac:dyDescent="0.25">
      <c r="A989">
        <v>1861</v>
      </c>
      <c r="B989" s="16">
        <v>43983</v>
      </c>
      <c r="C989" t="s">
        <v>171</v>
      </c>
      <c r="D989">
        <v>-6478130.9250000007</v>
      </c>
      <c r="E989" t="s">
        <v>331</v>
      </c>
    </row>
    <row r="990" spans="1:5" x14ac:dyDescent="0.25">
      <c r="A990">
        <v>1861</v>
      </c>
      <c r="B990" s="16">
        <v>44013</v>
      </c>
      <c r="C990" t="s">
        <v>171</v>
      </c>
      <c r="D990">
        <v>-6478130.9250000007</v>
      </c>
      <c r="E990" t="s">
        <v>331</v>
      </c>
    </row>
    <row r="991" spans="1:5" x14ac:dyDescent="0.25">
      <c r="A991">
        <v>1861</v>
      </c>
      <c r="B991" s="16">
        <v>44044</v>
      </c>
      <c r="C991" t="s">
        <v>171</v>
      </c>
      <c r="D991">
        <v>-6478130.9250000007</v>
      </c>
      <c r="E991" t="s">
        <v>331</v>
      </c>
    </row>
    <row r="992" spans="1:5" x14ac:dyDescent="0.25">
      <c r="A992">
        <v>1861</v>
      </c>
      <c r="B992" s="16">
        <v>44075</v>
      </c>
      <c r="C992" t="s">
        <v>171</v>
      </c>
      <c r="D992">
        <v>-6478130.9250000007</v>
      </c>
      <c r="E992" t="s">
        <v>331</v>
      </c>
    </row>
    <row r="993" spans="1:5" x14ac:dyDescent="0.25">
      <c r="A993">
        <v>1861</v>
      </c>
      <c r="B993" s="16">
        <v>44105</v>
      </c>
      <c r="C993" t="s">
        <v>171</v>
      </c>
      <c r="D993">
        <v>-6478130.9250000007</v>
      </c>
      <c r="E993" t="s">
        <v>331</v>
      </c>
    </row>
    <row r="994" spans="1:5" x14ac:dyDescent="0.25">
      <c r="A994">
        <v>1861</v>
      </c>
      <c r="B994" s="16">
        <v>44136</v>
      </c>
      <c r="C994" t="s">
        <v>171</v>
      </c>
      <c r="D994">
        <v>-6478130.9250000007</v>
      </c>
      <c r="E994" t="s">
        <v>331</v>
      </c>
    </row>
    <row r="995" spans="1:5" x14ac:dyDescent="0.25">
      <c r="A995">
        <v>1861</v>
      </c>
      <c r="B995" s="16">
        <v>43466</v>
      </c>
      <c r="C995" t="s">
        <v>171</v>
      </c>
      <c r="D995">
        <v>-6478130.9250000007</v>
      </c>
      <c r="E995" t="s">
        <v>331</v>
      </c>
    </row>
    <row r="996" spans="1:5" x14ac:dyDescent="0.25">
      <c r="A996">
        <v>1861</v>
      </c>
      <c r="B996" s="16">
        <v>43497</v>
      </c>
      <c r="C996" t="s">
        <v>171</v>
      </c>
      <c r="D996">
        <v>-6478130.9250000007</v>
      </c>
      <c r="E996" t="s">
        <v>331</v>
      </c>
    </row>
    <row r="997" spans="1:5" x14ac:dyDescent="0.25">
      <c r="A997">
        <v>1861</v>
      </c>
      <c r="B997" s="16">
        <v>43525</v>
      </c>
      <c r="C997" t="s">
        <v>171</v>
      </c>
      <c r="D997">
        <v>-6478130.9250000007</v>
      </c>
      <c r="E997" t="s">
        <v>331</v>
      </c>
    </row>
    <row r="998" spans="1:5" x14ac:dyDescent="0.25">
      <c r="A998">
        <v>1861</v>
      </c>
      <c r="B998" s="16">
        <v>43556</v>
      </c>
      <c r="C998" t="s">
        <v>171</v>
      </c>
      <c r="D998">
        <v>-6478130.9250000007</v>
      </c>
      <c r="E998" t="s">
        <v>331</v>
      </c>
    </row>
    <row r="999" spans="1:5" x14ac:dyDescent="0.25">
      <c r="A999">
        <v>1861</v>
      </c>
      <c r="B999" s="16">
        <v>43586</v>
      </c>
      <c r="C999" t="s">
        <v>171</v>
      </c>
      <c r="D999">
        <v>-6478130.9250000007</v>
      </c>
      <c r="E999" t="s">
        <v>331</v>
      </c>
    </row>
    <row r="1000" spans="1:5" x14ac:dyDescent="0.25">
      <c r="A1000">
        <v>1861</v>
      </c>
      <c r="B1000" s="16">
        <v>43617</v>
      </c>
      <c r="C1000" t="s">
        <v>171</v>
      </c>
      <c r="D1000">
        <v>-6478130.9250000007</v>
      </c>
      <c r="E1000" t="s">
        <v>331</v>
      </c>
    </row>
    <row r="1001" spans="1:5" x14ac:dyDescent="0.25">
      <c r="A1001">
        <v>1861</v>
      </c>
      <c r="B1001" s="16">
        <v>43647</v>
      </c>
      <c r="C1001" t="s">
        <v>171</v>
      </c>
      <c r="D1001">
        <v>-6478130.9250000007</v>
      </c>
      <c r="E1001" t="s">
        <v>331</v>
      </c>
    </row>
    <row r="1002" spans="1:5" x14ac:dyDescent="0.25">
      <c r="A1002">
        <v>1861</v>
      </c>
      <c r="B1002" s="16">
        <v>43678</v>
      </c>
      <c r="C1002" t="s">
        <v>171</v>
      </c>
      <c r="D1002">
        <v>-6478130.9250000007</v>
      </c>
      <c r="E1002" t="s">
        <v>331</v>
      </c>
    </row>
    <row r="1003" spans="1:5" x14ac:dyDescent="0.25">
      <c r="A1003">
        <v>1861</v>
      </c>
      <c r="B1003" s="16">
        <v>43709</v>
      </c>
      <c r="C1003" t="s">
        <v>171</v>
      </c>
      <c r="D1003">
        <v>-6478130.9250000007</v>
      </c>
      <c r="E1003" t="s">
        <v>331</v>
      </c>
    </row>
    <row r="1004" spans="1:5" x14ac:dyDescent="0.25">
      <c r="A1004">
        <v>1861</v>
      </c>
      <c r="B1004" s="16">
        <v>43739</v>
      </c>
      <c r="C1004" t="s">
        <v>171</v>
      </c>
      <c r="D1004">
        <v>-6478130.9250000007</v>
      </c>
      <c r="E1004" t="s">
        <v>331</v>
      </c>
    </row>
    <row r="1005" spans="1:5" x14ac:dyDescent="0.25">
      <c r="A1005">
        <v>1861</v>
      </c>
      <c r="B1005" s="16">
        <v>43770</v>
      </c>
      <c r="C1005" t="s">
        <v>171</v>
      </c>
      <c r="D1005">
        <v>-6478130.9250000007</v>
      </c>
      <c r="E1005" t="s">
        <v>331</v>
      </c>
    </row>
    <row r="1006" spans="1:5" x14ac:dyDescent="0.25">
      <c r="A1006">
        <v>1861</v>
      </c>
      <c r="B1006" s="16">
        <v>43800</v>
      </c>
      <c r="C1006" t="s">
        <v>171</v>
      </c>
      <c r="D1006">
        <v>-6478130.9250000007</v>
      </c>
      <c r="E1006" t="s">
        <v>331</v>
      </c>
    </row>
    <row r="1007" spans="1:5" x14ac:dyDescent="0.25">
      <c r="A1007">
        <v>1861</v>
      </c>
      <c r="B1007" s="16">
        <v>43831</v>
      </c>
      <c r="C1007" t="s">
        <v>171</v>
      </c>
      <c r="D1007">
        <v>-6478130.9250000007</v>
      </c>
      <c r="E1007" t="s">
        <v>331</v>
      </c>
    </row>
    <row r="1008" spans="1:5" x14ac:dyDescent="0.25">
      <c r="A1008">
        <v>1861</v>
      </c>
      <c r="B1008" s="16">
        <v>43862</v>
      </c>
      <c r="C1008" t="s">
        <v>171</v>
      </c>
      <c r="D1008">
        <v>-6478130.9250000007</v>
      </c>
      <c r="E1008" t="s">
        <v>331</v>
      </c>
    </row>
    <row r="1009" spans="1:5" x14ac:dyDescent="0.25">
      <c r="A1009">
        <v>1861</v>
      </c>
      <c r="B1009" s="16">
        <v>43891</v>
      </c>
      <c r="C1009" t="s">
        <v>171</v>
      </c>
      <c r="D1009">
        <v>-6478130.9250000007</v>
      </c>
      <c r="E1009" t="s">
        <v>331</v>
      </c>
    </row>
    <row r="1010" spans="1:5" x14ac:dyDescent="0.25">
      <c r="A1010">
        <v>1861</v>
      </c>
      <c r="B1010" s="16">
        <v>43922</v>
      </c>
      <c r="C1010" t="s">
        <v>171</v>
      </c>
      <c r="D1010">
        <v>-6478130.9250000007</v>
      </c>
      <c r="E1010" t="s">
        <v>331</v>
      </c>
    </row>
    <row r="1011" spans="1:5" x14ac:dyDescent="0.25">
      <c r="A1011">
        <v>1861</v>
      </c>
      <c r="B1011" s="16">
        <v>43952</v>
      </c>
      <c r="C1011" t="s">
        <v>171</v>
      </c>
      <c r="D1011">
        <v>-6478130.9250000007</v>
      </c>
      <c r="E1011" t="s">
        <v>331</v>
      </c>
    </row>
    <row r="1012" spans="1:5" x14ac:dyDescent="0.25">
      <c r="A1012">
        <v>1861</v>
      </c>
      <c r="B1012" s="16">
        <v>43983</v>
      </c>
      <c r="C1012" t="s">
        <v>171</v>
      </c>
      <c r="D1012">
        <v>-6478130.9250000007</v>
      </c>
      <c r="E1012" t="s">
        <v>331</v>
      </c>
    </row>
    <row r="1013" spans="1:5" x14ac:dyDescent="0.25">
      <c r="A1013">
        <v>1861</v>
      </c>
      <c r="B1013" s="16">
        <v>44013</v>
      </c>
      <c r="C1013" t="s">
        <v>171</v>
      </c>
      <c r="D1013">
        <v>-6478130.9250000007</v>
      </c>
      <c r="E1013" t="s">
        <v>331</v>
      </c>
    </row>
    <row r="1014" spans="1:5" x14ac:dyDescent="0.25">
      <c r="A1014">
        <v>1861</v>
      </c>
      <c r="B1014" s="16">
        <v>44044</v>
      </c>
      <c r="C1014" t="s">
        <v>171</v>
      </c>
      <c r="D1014">
        <v>-6478130.9250000007</v>
      </c>
      <c r="E1014" t="s">
        <v>331</v>
      </c>
    </row>
    <row r="1015" spans="1:5" x14ac:dyDescent="0.25">
      <c r="A1015">
        <v>1861</v>
      </c>
      <c r="B1015" s="16">
        <v>44075</v>
      </c>
      <c r="C1015" t="s">
        <v>171</v>
      </c>
      <c r="D1015">
        <v>-6478130.9250000007</v>
      </c>
      <c r="E1015" t="s">
        <v>331</v>
      </c>
    </row>
    <row r="1016" spans="1:5" x14ac:dyDescent="0.25">
      <c r="A1016">
        <v>1861</v>
      </c>
      <c r="B1016" s="16">
        <v>44105</v>
      </c>
      <c r="C1016" t="s">
        <v>171</v>
      </c>
      <c r="D1016">
        <v>-6478130.9250000007</v>
      </c>
      <c r="E1016" t="s">
        <v>331</v>
      </c>
    </row>
    <row r="1017" spans="1:5" x14ac:dyDescent="0.25">
      <c r="A1017">
        <v>1861</v>
      </c>
      <c r="B1017" s="16">
        <v>44136</v>
      </c>
      <c r="C1017" t="s">
        <v>171</v>
      </c>
      <c r="D1017">
        <v>-6478130.9250000007</v>
      </c>
      <c r="E1017" t="s">
        <v>331</v>
      </c>
    </row>
    <row r="1018" spans="1:5" x14ac:dyDescent="0.25">
      <c r="A1018">
        <v>1873</v>
      </c>
      <c r="B1018" s="16">
        <v>43466</v>
      </c>
      <c r="C1018" t="s">
        <v>19</v>
      </c>
      <c r="D1018">
        <v>-2806650</v>
      </c>
      <c r="E1018" t="s">
        <v>331</v>
      </c>
    </row>
    <row r="1019" spans="1:5" x14ac:dyDescent="0.25">
      <c r="A1019">
        <v>1873</v>
      </c>
      <c r="B1019" s="16">
        <v>43497</v>
      </c>
      <c r="C1019" t="s">
        <v>19</v>
      </c>
      <c r="D1019">
        <v>-2806650</v>
      </c>
      <c r="E1019" t="s">
        <v>331</v>
      </c>
    </row>
    <row r="1020" spans="1:5" x14ac:dyDescent="0.25">
      <c r="A1020">
        <v>1873</v>
      </c>
      <c r="B1020" s="16">
        <v>43525</v>
      </c>
      <c r="C1020" t="s">
        <v>19</v>
      </c>
      <c r="D1020">
        <v>-2806650</v>
      </c>
      <c r="E1020" t="s">
        <v>331</v>
      </c>
    </row>
    <row r="1021" spans="1:5" x14ac:dyDescent="0.25">
      <c r="A1021">
        <v>1873</v>
      </c>
      <c r="B1021" s="16">
        <v>43556</v>
      </c>
      <c r="C1021" t="s">
        <v>19</v>
      </c>
      <c r="D1021">
        <v>-2806650</v>
      </c>
      <c r="E1021" t="s">
        <v>331</v>
      </c>
    </row>
    <row r="1022" spans="1:5" x14ac:dyDescent="0.25">
      <c r="A1022">
        <v>1873</v>
      </c>
      <c r="B1022" s="16">
        <v>43586</v>
      </c>
      <c r="C1022" t="s">
        <v>19</v>
      </c>
      <c r="D1022">
        <v>-2806650</v>
      </c>
      <c r="E1022" t="s">
        <v>331</v>
      </c>
    </row>
    <row r="1023" spans="1:5" x14ac:dyDescent="0.25">
      <c r="A1023">
        <v>1873</v>
      </c>
      <c r="B1023" s="16">
        <v>43617</v>
      </c>
      <c r="C1023" t="s">
        <v>19</v>
      </c>
      <c r="D1023">
        <v>-2806650</v>
      </c>
      <c r="E1023" t="s">
        <v>331</v>
      </c>
    </row>
    <row r="1024" spans="1:5" x14ac:dyDescent="0.25">
      <c r="A1024">
        <v>1873</v>
      </c>
      <c r="B1024" s="16">
        <v>43647</v>
      </c>
      <c r="C1024" t="s">
        <v>19</v>
      </c>
      <c r="D1024">
        <v>-2806650</v>
      </c>
      <c r="E1024" t="s">
        <v>331</v>
      </c>
    </row>
    <row r="1025" spans="1:5" x14ac:dyDescent="0.25">
      <c r="A1025">
        <v>1873</v>
      </c>
      <c r="B1025" s="16">
        <v>43678</v>
      </c>
      <c r="C1025" t="s">
        <v>19</v>
      </c>
      <c r="D1025">
        <v>-2806650</v>
      </c>
      <c r="E1025" t="s">
        <v>331</v>
      </c>
    </row>
    <row r="1026" spans="1:5" x14ac:dyDescent="0.25">
      <c r="A1026">
        <v>1873</v>
      </c>
      <c r="B1026" s="16">
        <v>43709</v>
      </c>
      <c r="C1026" t="s">
        <v>19</v>
      </c>
      <c r="D1026">
        <v>-2806650</v>
      </c>
      <c r="E1026" t="s">
        <v>331</v>
      </c>
    </row>
    <row r="1027" spans="1:5" x14ac:dyDescent="0.25">
      <c r="A1027">
        <v>1873</v>
      </c>
      <c r="B1027" s="16">
        <v>43739</v>
      </c>
      <c r="C1027" t="s">
        <v>19</v>
      </c>
      <c r="D1027">
        <v>-2806650</v>
      </c>
      <c r="E1027" t="s">
        <v>331</v>
      </c>
    </row>
    <row r="1028" spans="1:5" x14ac:dyDescent="0.25">
      <c r="A1028">
        <v>1873</v>
      </c>
      <c r="B1028" s="16">
        <v>43770</v>
      </c>
      <c r="C1028" t="s">
        <v>19</v>
      </c>
      <c r="D1028">
        <v>-2806650</v>
      </c>
      <c r="E1028" t="s">
        <v>331</v>
      </c>
    </row>
    <row r="1029" spans="1:5" x14ac:dyDescent="0.25">
      <c r="A1029">
        <v>1873</v>
      </c>
      <c r="B1029" s="16">
        <v>43466</v>
      </c>
      <c r="C1029" t="s">
        <v>26</v>
      </c>
      <c r="D1029">
        <v>-5355000</v>
      </c>
      <c r="E1029" t="s">
        <v>331</v>
      </c>
    </row>
    <row r="1030" spans="1:5" x14ac:dyDescent="0.25">
      <c r="A1030">
        <v>1873</v>
      </c>
      <c r="B1030" s="16">
        <v>43497</v>
      </c>
      <c r="C1030" t="s">
        <v>26</v>
      </c>
      <c r="D1030">
        <v>-5355000</v>
      </c>
      <c r="E1030" t="s">
        <v>331</v>
      </c>
    </row>
    <row r="1031" spans="1:5" x14ac:dyDescent="0.25">
      <c r="A1031">
        <v>1873</v>
      </c>
      <c r="B1031" s="16">
        <v>43525</v>
      </c>
      <c r="C1031" t="s">
        <v>26</v>
      </c>
      <c r="D1031">
        <v>-5355000</v>
      </c>
      <c r="E1031" t="s">
        <v>331</v>
      </c>
    </row>
    <row r="1032" spans="1:5" x14ac:dyDescent="0.25">
      <c r="A1032">
        <v>1873</v>
      </c>
      <c r="B1032" s="16">
        <v>43556</v>
      </c>
      <c r="C1032" t="s">
        <v>26</v>
      </c>
      <c r="D1032">
        <v>-5355000</v>
      </c>
      <c r="E1032" t="s">
        <v>331</v>
      </c>
    </row>
    <row r="1033" spans="1:5" x14ac:dyDescent="0.25">
      <c r="A1033">
        <v>1873</v>
      </c>
      <c r="B1033" s="16">
        <v>43586</v>
      </c>
      <c r="C1033" t="s">
        <v>26</v>
      </c>
      <c r="D1033">
        <v>-5355000</v>
      </c>
      <c r="E1033" t="s">
        <v>331</v>
      </c>
    </row>
    <row r="1034" spans="1:5" x14ac:dyDescent="0.25">
      <c r="A1034">
        <v>1873</v>
      </c>
      <c r="B1034" s="16">
        <v>43617</v>
      </c>
      <c r="C1034" t="s">
        <v>26</v>
      </c>
      <c r="D1034">
        <v>-5355000</v>
      </c>
      <c r="E1034" t="s">
        <v>331</v>
      </c>
    </row>
    <row r="1035" spans="1:5" x14ac:dyDescent="0.25">
      <c r="A1035">
        <v>1873</v>
      </c>
      <c r="B1035" s="16">
        <v>43647</v>
      </c>
      <c r="C1035" t="s">
        <v>26</v>
      </c>
      <c r="D1035">
        <v>-5355000</v>
      </c>
      <c r="E1035" t="s">
        <v>331</v>
      </c>
    </row>
    <row r="1036" spans="1:5" x14ac:dyDescent="0.25">
      <c r="A1036">
        <v>1873</v>
      </c>
      <c r="B1036" s="16">
        <v>43678</v>
      </c>
      <c r="C1036" t="s">
        <v>26</v>
      </c>
      <c r="D1036">
        <v>-5355000</v>
      </c>
      <c r="E1036" t="s">
        <v>331</v>
      </c>
    </row>
    <row r="1037" spans="1:5" x14ac:dyDescent="0.25">
      <c r="A1037">
        <v>1873</v>
      </c>
      <c r="B1037" s="16">
        <v>43709</v>
      </c>
      <c r="C1037" t="s">
        <v>26</v>
      </c>
      <c r="D1037">
        <v>-5355000</v>
      </c>
      <c r="E1037" t="s">
        <v>331</v>
      </c>
    </row>
    <row r="1038" spans="1:5" x14ac:dyDescent="0.25">
      <c r="A1038">
        <v>1873</v>
      </c>
      <c r="B1038" s="16">
        <v>43739</v>
      </c>
      <c r="C1038" t="s">
        <v>26</v>
      </c>
      <c r="D1038">
        <v>-5355000</v>
      </c>
      <c r="E1038" t="s">
        <v>331</v>
      </c>
    </row>
    <row r="1039" spans="1:5" x14ac:dyDescent="0.25">
      <c r="A1039">
        <v>1873</v>
      </c>
      <c r="B1039" s="16">
        <v>43770</v>
      </c>
      <c r="C1039" t="s">
        <v>26</v>
      </c>
      <c r="D1039">
        <v>-5355000</v>
      </c>
      <c r="E1039" t="s">
        <v>331</v>
      </c>
    </row>
    <row r="1040" spans="1:5" x14ac:dyDescent="0.25">
      <c r="A1040">
        <v>1873</v>
      </c>
      <c r="B1040" s="16">
        <v>43466</v>
      </c>
      <c r="C1040" t="s">
        <v>38</v>
      </c>
      <c r="D1040">
        <v>-4123664.9999999995</v>
      </c>
      <c r="E1040" t="s">
        <v>331</v>
      </c>
    </row>
    <row r="1041" spans="1:5" x14ac:dyDescent="0.25">
      <c r="A1041">
        <v>1873</v>
      </c>
      <c r="B1041" s="16">
        <v>43497</v>
      </c>
      <c r="C1041" t="s">
        <v>38</v>
      </c>
      <c r="D1041">
        <v>-4123664.9999999995</v>
      </c>
      <c r="E1041" t="s">
        <v>331</v>
      </c>
    </row>
    <row r="1042" spans="1:5" x14ac:dyDescent="0.25">
      <c r="A1042">
        <v>1873</v>
      </c>
      <c r="B1042" s="16">
        <v>43525</v>
      </c>
      <c r="C1042" t="s">
        <v>38</v>
      </c>
      <c r="D1042">
        <v>-4123664.9999999995</v>
      </c>
      <c r="E1042" t="s">
        <v>331</v>
      </c>
    </row>
    <row r="1043" spans="1:5" x14ac:dyDescent="0.25">
      <c r="A1043">
        <v>1873</v>
      </c>
      <c r="B1043" s="16">
        <v>43556</v>
      </c>
      <c r="C1043" t="s">
        <v>38</v>
      </c>
      <c r="D1043">
        <v>-4123664.9999999995</v>
      </c>
      <c r="E1043" t="s">
        <v>331</v>
      </c>
    </row>
    <row r="1044" spans="1:5" x14ac:dyDescent="0.25">
      <c r="A1044">
        <v>1873</v>
      </c>
      <c r="B1044" s="16">
        <v>43586</v>
      </c>
      <c r="C1044" t="s">
        <v>38</v>
      </c>
      <c r="D1044">
        <v>-4123664.9999999995</v>
      </c>
      <c r="E1044" t="s">
        <v>331</v>
      </c>
    </row>
    <row r="1045" spans="1:5" x14ac:dyDescent="0.25">
      <c r="A1045">
        <v>1873</v>
      </c>
      <c r="B1045" s="16">
        <v>43617</v>
      </c>
      <c r="C1045" t="s">
        <v>38</v>
      </c>
      <c r="D1045">
        <v>-4123664.9999999995</v>
      </c>
      <c r="E1045" t="s">
        <v>331</v>
      </c>
    </row>
    <row r="1046" spans="1:5" x14ac:dyDescent="0.25">
      <c r="A1046">
        <v>1873</v>
      </c>
      <c r="B1046" s="16">
        <v>43647</v>
      </c>
      <c r="C1046" t="s">
        <v>38</v>
      </c>
      <c r="D1046">
        <v>-4123664.9999999995</v>
      </c>
      <c r="E1046" t="s">
        <v>331</v>
      </c>
    </row>
    <row r="1047" spans="1:5" x14ac:dyDescent="0.25">
      <c r="A1047">
        <v>1873</v>
      </c>
      <c r="B1047" s="16">
        <v>43678</v>
      </c>
      <c r="C1047" t="s">
        <v>38</v>
      </c>
      <c r="D1047">
        <v>-4123664.9999999995</v>
      </c>
      <c r="E1047" t="s">
        <v>331</v>
      </c>
    </row>
    <row r="1048" spans="1:5" x14ac:dyDescent="0.25">
      <c r="A1048">
        <v>1873</v>
      </c>
      <c r="B1048" s="16">
        <v>43466</v>
      </c>
      <c r="C1048" t="s">
        <v>172</v>
      </c>
      <c r="D1048">
        <v>-4123666.6694999998</v>
      </c>
      <c r="E1048" t="s">
        <v>331</v>
      </c>
    </row>
    <row r="1049" spans="1:5" x14ac:dyDescent="0.25">
      <c r="A1049">
        <v>1873</v>
      </c>
      <c r="B1049" s="16">
        <v>43497</v>
      </c>
      <c r="C1049" t="s">
        <v>172</v>
      </c>
      <c r="D1049">
        <v>-4123666.6694999998</v>
      </c>
      <c r="E1049" t="s">
        <v>331</v>
      </c>
    </row>
    <row r="1050" spans="1:5" x14ac:dyDescent="0.25">
      <c r="A1050">
        <v>1874</v>
      </c>
      <c r="B1050" s="16">
        <v>43466</v>
      </c>
      <c r="C1050" t="s">
        <v>173</v>
      </c>
      <c r="D1050">
        <v>-10415999.475</v>
      </c>
      <c r="E1050" t="s">
        <v>331</v>
      </c>
    </row>
    <row r="1051" spans="1:5" x14ac:dyDescent="0.25">
      <c r="A1051">
        <v>1874</v>
      </c>
      <c r="B1051" s="16">
        <v>43497</v>
      </c>
      <c r="C1051" t="s">
        <v>173</v>
      </c>
      <c r="D1051">
        <v>-10415999.475</v>
      </c>
      <c r="E1051" t="s">
        <v>331</v>
      </c>
    </row>
    <row r="1052" spans="1:5" x14ac:dyDescent="0.25">
      <c r="A1052">
        <v>1874</v>
      </c>
      <c r="B1052" s="16">
        <v>43525</v>
      </c>
      <c r="C1052" t="s">
        <v>173</v>
      </c>
      <c r="D1052">
        <v>-10415999.475</v>
      </c>
      <c r="E1052" t="s">
        <v>331</v>
      </c>
    </row>
    <row r="1053" spans="1:5" x14ac:dyDescent="0.25">
      <c r="A1053">
        <v>1874</v>
      </c>
      <c r="B1053" s="16">
        <v>43556</v>
      </c>
      <c r="C1053" t="s">
        <v>173</v>
      </c>
      <c r="D1053">
        <v>-10415999.475</v>
      </c>
      <c r="E1053" t="s">
        <v>331</v>
      </c>
    </row>
    <row r="1054" spans="1:5" x14ac:dyDescent="0.25">
      <c r="A1054">
        <v>1874</v>
      </c>
      <c r="B1054" s="16">
        <v>43586</v>
      </c>
      <c r="C1054" t="s">
        <v>173</v>
      </c>
      <c r="D1054">
        <v>-10415999.475</v>
      </c>
      <c r="E1054" t="s">
        <v>331</v>
      </c>
    </row>
    <row r="1055" spans="1:5" x14ac:dyDescent="0.25">
      <c r="A1055">
        <v>1874</v>
      </c>
      <c r="B1055" s="16">
        <v>43617</v>
      </c>
      <c r="C1055" t="s">
        <v>173</v>
      </c>
      <c r="D1055">
        <v>-10415999.475</v>
      </c>
      <c r="E1055" t="s">
        <v>331</v>
      </c>
    </row>
    <row r="1056" spans="1:5" x14ac:dyDescent="0.25">
      <c r="A1056">
        <v>1874</v>
      </c>
      <c r="B1056" s="16">
        <v>43647</v>
      </c>
      <c r="C1056" t="s">
        <v>173</v>
      </c>
      <c r="D1056">
        <v>-10415999.475</v>
      </c>
      <c r="E1056" t="s">
        <v>331</v>
      </c>
    </row>
    <row r="1057" spans="1:5" x14ac:dyDescent="0.25">
      <c r="A1057">
        <v>1874</v>
      </c>
      <c r="B1057" s="16">
        <v>43678</v>
      </c>
      <c r="C1057" t="s">
        <v>173</v>
      </c>
      <c r="D1057">
        <v>-10415999.475</v>
      </c>
      <c r="E1057" t="s">
        <v>331</v>
      </c>
    </row>
    <row r="1058" spans="1:5" x14ac:dyDescent="0.25">
      <c r="A1058">
        <v>1874</v>
      </c>
      <c r="B1058" s="16">
        <v>43709</v>
      </c>
      <c r="C1058" t="s">
        <v>173</v>
      </c>
      <c r="D1058">
        <v>-10415999.475</v>
      </c>
      <c r="E1058" t="s">
        <v>331</v>
      </c>
    </row>
    <row r="1059" spans="1:5" x14ac:dyDescent="0.25">
      <c r="A1059">
        <v>1874</v>
      </c>
      <c r="B1059" s="16">
        <v>43739</v>
      </c>
      <c r="C1059" t="s">
        <v>173</v>
      </c>
      <c r="D1059">
        <v>-10415999.475</v>
      </c>
      <c r="E1059" t="s">
        <v>331</v>
      </c>
    </row>
    <row r="1060" spans="1:5" x14ac:dyDescent="0.25">
      <c r="A1060">
        <v>1874</v>
      </c>
      <c r="B1060" s="16">
        <v>43466</v>
      </c>
      <c r="C1060" t="s">
        <v>123</v>
      </c>
      <c r="D1060">
        <v>-7207200</v>
      </c>
      <c r="E1060" t="s">
        <v>331</v>
      </c>
    </row>
    <row r="1061" spans="1:5" x14ac:dyDescent="0.25">
      <c r="A1061">
        <v>1874</v>
      </c>
      <c r="B1061" s="16">
        <v>43497</v>
      </c>
      <c r="C1061" t="s">
        <v>123</v>
      </c>
      <c r="D1061">
        <v>-7207200</v>
      </c>
      <c r="E1061" t="s">
        <v>331</v>
      </c>
    </row>
    <row r="1062" spans="1:5" x14ac:dyDescent="0.25">
      <c r="A1062">
        <v>1874</v>
      </c>
      <c r="B1062" s="16">
        <v>43525</v>
      </c>
      <c r="C1062" t="s">
        <v>123</v>
      </c>
      <c r="D1062">
        <v>-7207200</v>
      </c>
      <c r="E1062" t="s">
        <v>331</v>
      </c>
    </row>
    <row r="1063" spans="1:5" x14ac:dyDescent="0.25">
      <c r="A1063">
        <v>1874</v>
      </c>
      <c r="B1063" s="16">
        <v>43556</v>
      </c>
      <c r="C1063" t="s">
        <v>123</v>
      </c>
      <c r="D1063">
        <v>-7207200</v>
      </c>
      <c r="E1063" t="s">
        <v>331</v>
      </c>
    </row>
    <row r="1064" spans="1:5" x14ac:dyDescent="0.25">
      <c r="A1064">
        <v>1874</v>
      </c>
      <c r="B1064" s="16">
        <v>43586</v>
      </c>
      <c r="C1064" t="s">
        <v>123</v>
      </c>
      <c r="D1064">
        <v>-7207200</v>
      </c>
      <c r="E1064" t="s">
        <v>331</v>
      </c>
    </row>
    <row r="1065" spans="1:5" x14ac:dyDescent="0.25">
      <c r="A1065">
        <v>1874</v>
      </c>
      <c r="B1065" s="16">
        <v>43617</v>
      </c>
      <c r="C1065" t="s">
        <v>123</v>
      </c>
      <c r="D1065">
        <v>-7207200</v>
      </c>
      <c r="E1065" t="s">
        <v>331</v>
      </c>
    </row>
    <row r="1066" spans="1:5" x14ac:dyDescent="0.25">
      <c r="A1066">
        <v>1874</v>
      </c>
      <c r="B1066" s="16">
        <v>43647</v>
      </c>
      <c r="C1066" t="s">
        <v>123</v>
      </c>
      <c r="D1066">
        <v>-7207200</v>
      </c>
      <c r="E1066" t="s">
        <v>331</v>
      </c>
    </row>
    <row r="1067" spans="1:5" x14ac:dyDescent="0.25">
      <c r="A1067">
        <v>1874</v>
      </c>
      <c r="B1067" s="16">
        <v>43678</v>
      </c>
      <c r="C1067" t="s">
        <v>123</v>
      </c>
      <c r="D1067">
        <v>-7207200</v>
      </c>
      <c r="E1067" t="s">
        <v>331</v>
      </c>
    </row>
    <row r="1068" spans="1:5" x14ac:dyDescent="0.25">
      <c r="A1068">
        <v>1874</v>
      </c>
      <c r="B1068" s="16">
        <v>43466</v>
      </c>
      <c r="C1068" t="s">
        <v>174</v>
      </c>
      <c r="D1068">
        <v>-4866750</v>
      </c>
      <c r="E1068" t="s">
        <v>331</v>
      </c>
    </row>
    <row r="1069" spans="1:5" x14ac:dyDescent="0.25">
      <c r="A1069">
        <v>1874</v>
      </c>
      <c r="B1069" s="16">
        <v>43497</v>
      </c>
      <c r="C1069" t="s">
        <v>174</v>
      </c>
      <c r="D1069">
        <v>-4866750</v>
      </c>
      <c r="E1069" t="s">
        <v>331</v>
      </c>
    </row>
    <row r="1070" spans="1:5" x14ac:dyDescent="0.25">
      <c r="A1070">
        <v>1874</v>
      </c>
      <c r="B1070" s="16">
        <v>43525</v>
      </c>
      <c r="C1070" t="s">
        <v>174</v>
      </c>
      <c r="D1070">
        <v>-4866750</v>
      </c>
      <c r="E1070" t="s">
        <v>331</v>
      </c>
    </row>
    <row r="1071" spans="1:5" x14ac:dyDescent="0.25">
      <c r="A1071">
        <v>1874</v>
      </c>
      <c r="B1071" s="16">
        <v>43556</v>
      </c>
      <c r="C1071" t="s">
        <v>174</v>
      </c>
      <c r="D1071">
        <v>-4866750</v>
      </c>
      <c r="E1071" t="s">
        <v>331</v>
      </c>
    </row>
    <row r="1072" spans="1:5" x14ac:dyDescent="0.25">
      <c r="A1072">
        <v>1874</v>
      </c>
      <c r="B1072" s="16">
        <v>43586</v>
      </c>
      <c r="C1072" t="s">
        <v>174</v>
      </c>
      <c r="D1072">
        <v>-4866750</v>
      </c>
      <c r="E1072" t="s">
        <v>331</v>
      </c>
    </row>
    <row r="1073" spans="1:5" x14ac:dyDescent="0.25">
      <c r="A1073">
        <v>1874</v>
      </c>
      <c r="B1073" s="16">
        <v>43617</v>
      </c>
      <c r="C1073" t="s">
        <v>174</v>
      </c>
      <c r="D1073">
        <v>-4866750</v>
      </c>
      <c r="E1073" t="s">
        <v>331</v>
      </c>
    </row>
    <row r="1074" spans="1:5" x14ac:dyDescent="0.25">
      <c r="A1074">
        <v>1874</v>
      </c>
      <c r="B1074" s="16">
        <v>43647</v>
      </c>
      <c r="C1074" t="s">
        <v>174</v>
      </c>
      <c r="D1074">
        <v>-4866750</v>
      </c>
      <c r="E1074" t="s">
        <v>331</v>
      </c>
    </row>
    <row r="1075" spans="1:5" x14ac:dyDescent="0.25">
      <c r="A1075">
        <v>1874</v>
      </c>
      <c r="B1075" s="16">
        <v>43678</v>
      </c>
      <c r="C1075" t="s">
        <v>174</v>
      </c>
      <c r="D1075">
        <v>-4866750</v>
      </c>
      <c r="E1075" t="s">
        <v>331</v>
      </c>
    </row>
    <row r="1076" spans="1:5" x14ac:dyDescent="0.25">
      <c r="A1076">
        <v>1874</v>
      </c>
      <c r="B1076" s="16">
        <v>43466</v>
      </c>
      <c r="C1076" t="s">
        <v>175</v>
      </c>
      <c r="D1076">
        <v>-3916091.0564999999</v>
      </c>
      <c r="E1076" t="s">
        <v>331</v>
      </c>
    </row>
    <row r="1077" spans="1:5" x14ac:dyDescent="0.25">
      <c r="A1077">
        <v>1874</v>
      </c>
      <c r="B1077" s="16">
        <v>43497</v>
      </c>
      <c r="C1077" t="s">
        <v>175</v>
      </c>
      <c r="D1077">
        <v>-3916091.0564999999</v>
      </c>
      <c r="E1077" t="s">
        <v>331</v>
      </c>
    </row>
    <row r="1078" spans="1:5" x14ac:dyDescent="0.25">
      <c r="A1078">
        <v>1874</v>
      </c>
      <c r="B1078" s="16">
        <v>43525</v>
      </c>
      <c r="C1078" t="s">
        <v>175</v>
      </c>
      <c r="D1078">
        <v>-3916091.0564999999</v>
      </c>
      <c r="E1078" t="s">
        <v>331</v>
      </c>
    </row>
    <row r="1079" spans="1:5" x14ac:dyDescent="0.25">
      <c r="A1079">
        <v>1874</v>
      </c>
      <c r="B1079" s="16">
        <v>43556</v>
      </c>
      <c r="C1079" t="s">
        <v>175</v>
      </c>
      <c r="D1079">
        <v>-3916091.0564999999</v>
      </c>
      <c r="E1079" t="s">
        <v>331</v>
      </c>
    </row>
    <row r="1080" spans="1:5" x14ac:dyDescent="0.25">
      <c r="A1080">
        <v>1874</v>
      </c>
      <c r="B1080" s="16">
        <v>43586</v>
      </c>
      <c r="C1080" t="s">
        <v>175</v>
      </c>
      <c r="D1080">
        <v>-3916091.0564999999</v>
      </c>
      <c r="E1080" t="s">
        <v>331</v>
      </c>
    </row>
    <row r="1081" spans="1:5" x14ac:dyDescent="0.25">
      <c r="A1081">
        <v>1874</v>
      </c>
      <c r="B1081" s="16">
        <v>43617</v>
      </c>
      <c r="C1081" t="s">
        <v>175</v>
      </c>
      <c r="D1081">
        <v>-3916091.0564999999</v>
      </c>
      <c r="E1081" t="s">
        <v>331</v>
      </c>
    </row>
    <row r="1082" spans="1:5" x14ac:dyDescent="0.25">
      <c r="A1082">
        <v>1874</v>
      </c>
      <c r="B1082" s="16">
        <v>43647</v>
      </c>
      <c r="C1082" t="s">
        <v>175</v>
      </c>
      <c r="D1082">
        <v>-3916091.0564999999</v>
      </c>
      <c r="E1082" t="s">
        <v>331</v>
      </c>
    </row>
    <row r="1083" spans="1:5" x14ac:dyDescent="0.25">
      <c r="A1083">
        <v>1874</v>
      </c>
      <c r="B1083" s="16">
        <v>43678</v>
      </c>
      <c r="C1083" t="s">
        <v>175</v>
      </c>
      <c r="D1083">
        <v>-3916091.0564999999</v>
      </c>
      <c r="E1083" t="s">
        <v>331</v>
      </c>
    </row>
    <row r="1084" spans="1:5" x14ac:dyDescent="0.25">
      <c r="A1084">
        <v>1874</v>
      </c>
      <c r="B1084" s="16">
        <v>43709</v>
      </c>
      <c r="C1084" t="s">
        <v>175</v>
      </c>
      <c r="D1084">
        <v>-3916091.0564999999</v>
      </c>
      <c r="E1084" t="s">
        <v>331</v>
      </c>
    </row>
    <row r="1085" spans="1:5" x14ac:dyDescent="0.25">
      <c r="A1085">
        <v>1874</v>
      </c>
      <c r="B1085" s="16">
        <v>43739</v>
      </c>
      <c r="C1085" t="s">
        <v>175</v>
      </c>
      <c r="D1085">
        <v>-3916091.0564999999</v>
      </c>
      <c r="E1085" t="s">
        <v>331</v>
      </c>
    </row>
    <row r="1086" spans="1:5" x14ac:dyDescent="0.25">
      <c r="A1086">
        <v>1861</v>
      </c>
      <c r="B1086" s="16">
        <v>43466</v>
      </c>
      <c r="C1086" t="s">
        <v>19</v>
      </c>
      <c r="D1086">
        <v>-6263286.4602000006</v>
      </c>
      <c r="E1086" t="s">
        <v>331</v>
      </c>
    </row>
    <row r="1087" spans="1:5" x14ac:dyDescent="0.25">
      <c r="A1087">
        <v>1861</v>
      </c>
      <c r="B1087" s="16">
        <v>43497</v>
      </c>
      <c r="C1087" t="s">
        <v>19</v>
      </c>
      <c r="D1087">
        <v>-6263286.4602000006</v>
      </c>
      <c r="E1087" t="s">
        <v>331</v>
      </c>
    </row>
    <row r="1088" spans="1:5" x14ac:dyDescent="0.25">
      <c r="A1088">
        <v>1861</v>
      </c>
      <c r="B1088" s="16">
        <v>43525</v>
      </c>
      <c r="C1088" t="s">
        <v>19</v>
      </c>
      <c r="D1088">
        <v>-6263286.4602000006</v>
      </c>
      <c r="E1088" t="s">
        <v>331</v>
      </c>
    </row>
    <row r="1089" spans="1:5" x14ac:dyDescent="0.25">
      <c r="A1089">
        <v>1861</v>
      </c>
      <c r="B1089" s="16">
        <v>43556</v>
      </c>
      <c r="C1089" t="s">
        <v>19</v>
      </c>
      <c r="D1089">
        <v>-6263286.4602000006</v>
      </c>
      <c r="E1089" t="s">
        <v>331</v>
      </c>
    </row>
    <row r="1090" spans="1:5" x14ac:dyDescent="0.25">
      <c r="A1090">
        <v>1861</v>
      </c>
      <c r="B1090" s="16">
        <v>43586</v>
      </c>
      <c r="C1090" t="s">
        <v>19</v>
      </c>
      <c r="D1090">
        <v>-6263286.4602000006</v>
      </c>
      <c r="E1090" t="s">
        <v>331</v>
      </c>
    </row>
    <row r="1091" spans="1:5" x14ac:dyDescent="0.25">
      <c r="A1091">
        <v>1861</v>
      </c>
      <c r="B1091" s="16">
        <v>43617</v>
      </c>
      <c r="C1091" t="s">
        <v>19</v>
      </c>
      <c r="D1091">
        <v>-6263286.4602000006</v>
      </c>
      <c r="E1091" t="s">
        <v>331</v>
      </c>
    </row>
    <row r="1092" spans="1:5" x14ac:dyDescent="0.25">
      <c r="A1092">
        <v>1861</v>
      </c>
      <c r="B1092" s="16">
        <v>43647</v>
      </c>
      <c r="C1092" t="s">
        <v>19</v>
      </c>
      <c r="D1092">
        <v>-6263286.4602000006</v>
      </c>
      <c r="E1092" t="s">
        <v>331</v>
      </c>
    </row>
    <row r="1093" spans="1:5" x14ac:dyDescent="0.25">
      <c r="A1093">
        <v>1861</v>
      </c>
      <c r="B1093" s="16">
        <v>43678</v>
      </c>
      <c r="C1093" t="s">
        <v>19</v>
      </c>
      <c r="D1093">
        <v>-6263286.4602000006</v>
      </c>
      <c r="E1093" t="s">
        <v>331</v>
      </c>
    </row>
    <row r="1094" spans="1:5" x14ac:dyDescent="0.25">
      <c r="A1094">
        <v>1861</v>
      </c>
      <c r="B1094" s="16">
        <v>43709</v>
      </c>
      <c r="C1094" t="s">
        <v>19</v>
      </c>
      <c r="D1094">
        <v>-6263286.4602000006</v>
      </c>
      <c r="E1094" t="s">
        <v>331</v>
      </c>
    </row>
    <row r="1095" spans="1:5" x14ac:dyDescent="0.25">
      <c r="A1095">
        <v>1861</v>
      </c>
      <c r="B1095" s="16">
        <v>43739</v>
      </c>
      <c r="C1095" t="s">
        <v>19</v>
      </c>
      <c r="D1095">
        <v>-6263286.4602000006</v>
      </c>
      <c r="E1095" t="s">
        <v>331</v>
      </c>
    </row>
    <row r="1096" spans="1:5" x14ac:dyDescent="0.25">
      <c r="A1096">
        <v>1861</v>
      </c>
      <c r="B1096" s="16">
        <v>43770</v>
      </c>
      <c r="C1096" t="s">
        <v>19</v>
      </c>
      <c r="D1096">
        <v>-6263286.4602000006</v>
      </c>
      <c r="E1096" t="s">
        <v>331</v>
      </c>
    </row>
    <row r="1097" spans="1:5" x14ac:dyDescent="0.25">
      <c r="A1097">
        <v>1861</v>
      </c>
      <c r="B1097" s="16">
        <v>43800</v>
      </c>
      <c r="C1097" t="s">
        <v>19</v>
      </c>
      <c r="D1097">
        <v>-6263286.4602000006</v>
      </c>
      <c r="E1097" t="s">
        <v>331</v>
      </c>
    </row>
    <row r="1098" spans="1:5" x14ac:dyDescent="0.25">
      <c r="A1098">
        <v>1861</v>
      </c>
      <c r="B1098" s="16">
        <v>43831</v>
      </c>
      <c r="C1098" t="s">
        <v>19</v>
      </c>
      <c r="D1098">
        <v>-6263286.4602000006</v>
      </c>
      <c r="E1098" t="s">
        <v>331</v>
      </c>
    </row>
    <row r="1099" spans="1:5" x14ac:dyDescent="0.25">
      <c r="A1099">
        <v>1861</v>
      </c>
      <c r="B1099" s="16">
        <v>43862</v>
      </c>
      <c r="C1099" t="s">
        <v>19</v>
      </c>
      <c r="D1099">
        <v>-6263286.4602000006</v>
      </c>
      <c r="E1099" t="s">
        <v>331</v>
      </c>
    </row>
    <row r="1100" spans="1:5" x14ac:dyDescent="0.25">
      <c r="A1100">
        <v>1861</v>
      </c>
      <c r="B1100" s="16">
        <v>43891</v>
      </c>
      <c r="C1100" t="s">
        <v>19</v>
      </c>
      <c r="D1100">
        <v>-6263286.4602000006</v>
      </c>
      <c r="E1100" t="s">
        <v>331</v>
      </c>
    </row>
    <row r="1101" spans="1:5" x14ac:dyDescent="0.25">
      <c r="A1101">
        <v>1861</v>
      </c>
      <c r="B1101" s="16">
        <v>43922</v>
      </c>
      <c r="C1101" t="s">
        <v>19</v>
      </c>
      <c r="D1101">
        <v>-6263286.4602000006</v>
      </c>
      <c r="E1101" t="s">
        <v>331</v>
      </c>
    </row>
    <row r="1102" spans="1:5" x14ac:dyDescent="0.25">
      <c r="A1102">
        <v>1861</v>
      </c>
      <c r="B1102" s="16">
        <v>43952</v>
      </c>
      <c r="C1102" t="s">
        <v>19</v>
      </c>
      <c r="D1102">
        <v>-6263286.4602000006</v>
      </c>
      <c r="E1102" t="s">
        <v>331</v>
      </c>
    </row>
    <row r="1103" spans="1:5" x14ac:dyDescent="0.25">
      <c r="A1103">
        <v>1861</v>
      </c>
      <c r="B1103" s="16">
        <v>43983</v>
      </c>
      <c r="C1103" t="s">
        <v>19</v>
      </c>
      <c r="D1103">
        <v>-6263286.4602000006</v>
      </c>
      <c r="E1103" t="s">
        <v>331</v>
      </c>
    </row>
    <row r="1104" spans="1:5" x14ac:dyDescent="0.25">
      <c r="A1104">
        <v>1861</v>
      </c>
      <c r="B1104" s="16">
        <v>44013</v>
      </c>
      <c r="C1104" t="s">
        <v>19</v>
      </c>
      <c r="D1104">
        <v>-6263286.4602000006</v>
      </c>
      <c r="E1104" t="s">
        <v>331</v>
      </c>
    </row>
    <row r="1105" spans="1:5" x14ac:dyDescent="0.25">
      <c r="A1105">
        <v>1861</v>
      </c>
      <c r="B1105" s="16">
        <v>44044</v>
      </c>
      <c r="C1105" t="s">
        <v>19</v>
      </c>
      <c r="D1105">
        <v>-6263286.4602000006</v>
      </c>
      <c r="E1105" t="s">
        <v>331</v>
      </c>
    </row>
    <row r="1106" spans="1:5" x14ac:dyDescent="0.25">
      <c r="A1106">
        <v>1861</v>
      </c>
      <c r="B1106" s="16">
        <v>43466</v>
      </c>
      <c r="C1106" t="s">
        <v>165</v>
      </c>
      <c r="D1106">
        <v>-4120018.875</v>
      </c>
      <c r="E1106" t="s">
        <v>331</v>
      </c>
    </row>
    <row r="1107" spans="1:5" x14ac:dyDescent="0.25">
      <c r="A1107">
        <v>1861</v>
      </c>
      <c r="B1107" s="16">
        <v>43497</v>
      </c>
      <c r="C1107" t="s">
        <v>165</v>
      </c>
      <c r="D1107">
        <v>-4120018.875</v>
      </c>
      <c r="E1107" t="s">
        <v>331</v>
      </c>
    </row>
    <row r="1108" spans="1:5" x14ac:dyDescent="0.25">
      <c r="A1108">
        <v>1861</v>
      </c>
      <c r="B1108" s="16">
        <v>43525</v>
      </c>
      <c r="C1108" t="s">
        <v>165</v>
      </c>
      <c r="D1108">
        <v>-4120018.875</v>
      </c>
      <c r="E1108" t="s">
        <v>331</v>
      </c>
    </row>
    <row r="1109" spans="1:5" x14ac:dyDescent="0.25">
      <c r="A1109">
        <v>1861</v>
      </c>
      <c r="B1109" s="16">
        <v>43556</v>
      </c>
      <c r="C1109" t="s">
        <v>165</v>
      </c>
      <c r="D1109">
        <v>-4120018.875</v>
      </c>
      <c r="E1109" t="s">
        <v>331</v>
      </c>
    </row>
    <row r="1110" spans="1:5" x14ac:dyDescent="0.25">
      <c r="A1110">
        <v>1861</v>
      </c>
      <c r="B1110" s="16">
        <v>43586</v>
      </c>
      <c r="C1110" t="s">
        <v>165</v>
      </c>
      <c r="D1110">
        <v>-4120018.875</v>
      </c>
      <c r="E1110" t="s">
        <v>331</v>
      </c>
    </row>
    <row r="1111" spans="1:5" x14ac:dyDescent="0.25">
      <c r="A1111">
        <v>1861</v>
      </c>
      <c r="B1111" s="16">
        <v>43617</v>
      </c>
      <c r="C1111" t="s">
        <v>165</v>
      </c>
      <c r="D1111">
        <v>-4120018.875</v>
      </c>
      <c r="E1111" t="s">
        <v>331</v>
      </c>
    </row>
    <row r="1112" spans="1:5" x14ac:dyDescent="0.25">
      <c r="A1112">
        <v>1861</v>
      </c>
      <c r="B1112" s="16">
        <v>43647</v>
      </c>
      <c r="C1112" t="s">
        <v>165</v>
      </c>
      <c r="D1112">
        <v>-4120018.875</v>
      </c>
      <c r="E1112" t="s">
        <v>331</v>
      </c>
    </row>
    <row r="1113" spans="1:5" x14ac:dyDescent="0.25">
      <c r="A1113">
        <v>1861</v>
      </c>
      <c r="B1113" s="16">
        <v>43678</v>
      </c>
      <c r="C1113" t="s">
        <v>165</v>
      </c>
      <c r="D1113">
        <v>-4120018.875</v>
      </c>
      <c r="E1113" t="s">
        <v>331</v>
      </c>
    </row>
    <row r="1114" spans="1:5" x14ac:dyDescent="0.25">
      <c r="A1114">
        <v>1861</v>
      </c>
      <c r="B1114" s="16">
        <v>43709</v>
      </c>
      <c r="C1114" t="s">
        <v>165</v>
      </c>
      <c r="D1114">
        <v>-4120018.875</v>
      </c>
      <c r="E1114" t="s">
        <v>331</v>
      </c>
    </row>
    <row r="1115" spans="1:5" x14ac:dyDescent="0.25">
      <c r="A1115">
        <v>1861</v>
      </c>
      <c r="B1115" s="16">
        <v>43739</v>
      </c>
      <c r="C1115" t="s">
        <v>165</v>
      </c>
      <c r="D1115">
        <v>-4120018.875</v>
      </c>
      <c r="E1115" t="s">
        <v>331</v>
      </c>
    </row>
    <row r="1116" spans="1:5" x14ac:dyDescent="0.25">
      <c r="A1116">
        <v>1861</v>
      </c>
      <c r="B1116" s="16">
        <v>43770</v>
      </c>
      <c r="C1116" t="s">
        <v>165</v>
      </c>
      <c r="D1116">
        <v>-4120018.875</v>
      </c>
      <c r="E1116" t="s">
        <v>331</v>
      </c>
    </row>
    <row r="1117" spans="1:5" x14ac:dyDescent="0.25">
      <c r="A1117">
        <v>1861</v>
      </c>
      <c r="B1117" s="16">
        <v>43800</v>
      </c>
      <c r="C1117" t="s">
        <v>165</v>
      </c>
      <c r="D1117">
        <v>-4120018.875</v>
      </c>
      <c r="E1117" t="s">
        <v>331</v>
      </c>
    </row>
    <row r="1118" spans="1:5" x14ac:dyDescent="0.25">
      <c r="A1118">
        <v>1861</v>
      </c>
      <c r="B1118" s="16">
        <v>43831</v>
      </c>
      <c r="C1118" t="s">
        <v>165</v>
      </c>
      <c r="D1118">
        <v>-4120018.875</v>
      </c>
      <c r="E1118" t="s">
        <v>331</v>
      </c>
    </row>
    <row r="1119" spans="1:5" x14ac:dyDescent="0.25">
      <c r="A1119">
        <v>1861</v>
      </c>
      <c r="B1119" s="16">
        <v>43862</v>
      </c>
      <c r="C1119" t="s">
        <v>165</v>
      </c>
      <c r="D1119">
        <v>-4120018.875</v>
      </c>
      <c r="E1119" t="s">
        <v>331</v>
      </c>
    </row>
    <row r="1120" spans="1:5" x14ac:dyDescent="0.25">
      <c r="A1120">
        <v>1861</v>
      </c>
      <c r="B1120" s="16">
        <v>43891</v>
      </c>
      <c r="C1120" t="s">
        <v>165</v>
      </c>
      <c r="D1120">
        <v>-4120018.875</v>
      </c>
      <c r="E1120" t="s">
        <v>331</v>
      </c>
    </row>
    <row r="1121" spans="1:5" x14ac:dyDescent="0.25">
      <c r="A1121">
        <v>1861</v>
      </c>
      <c r="B1121" s="16">
        <v>43922</v>
      </c>
      <c r="C1121" t="s">
        <v>165</v>
      </c>
      <c r="D1121">
        <v>-4120018.875</v>
      </c>
      <c r="E1121" t="s">
        <v>331</v>
      </c>
    </row>
    <row r="1122" spans="1:5" x14ac:dyDescent="0.25">
      <c r="A1122">
        <v>1861</v>
      </c>
      <c r="B1122" s="16">
        <v>43952</v>
      </c>
      <c r="C1122" t="s">
        <v>165</v>
      </c>
      <c r="D1122">
        <v>-4120018.875</v>
      </c>
      <c r="E1122" t="s">
        <v>331</v>
      </c>
    </row>
    <row r="1123" spans="1:5" x14ac:dyDescent="0.25">
      <c r="A1123">
        <v>1861</v>
      </c>
      <c r="B1123" s="16">
        <v>43983</v>
      </c>
      <c r="C1123" t="s">
        <v>165</v>
      </c>
      <c r="D1123">
        <v>-4120018.875</v>
      </c>
      <c r="E1123" t="s">
        <v>331</v>
      </c>
    </row>
    <row r="1124" spans="1:5" x14ac:dyDescent="0.25">
      <c r="A1124">
        <v>1861</v>
      </c>
      <c r="B1124" s="16">
        <v>44013</v>
      </c>
      <c r="C1124" t="s">
        <v>165</v>
      </c>
      <c r="D1124">
        <v>-4120018.875</v>
      </c>
      <c r="E1124" t="s">
        <v>331</v>
      </c>
    </row>
    <row r="1125" spans="1:5" x14ac:dyDescent="0.25">
      <c r="A1125">
        <v>1861</v>
      </c>
      <c r="B1125" s="16">
        <v>44044</v>
      </c>
      <c r="C1125" t="s">
        <v>165</v>
      </c>
      <c r="D1125">
        <v>-4120018.875</v>
      </c>
      <c r="E1125" t="s">
        <v>331</v>
      </c>
    </row>
    <row r="1126" spans="1:5" x14ac:dyDescent="0.25">
      <c r="A1126">
        <v>1861</v>
      </c>
      <c r="B1126" s="16">
        <v>44075</v>
      </c>
      <c r="C1126" t="s">
        <v>165</v>
      </c>
      <c r="D1126">
        <v>-4120018.875</v>
      </c>
      <c r="E1126" t="s">
        <v>331</v>
      </c>
    </row>
    <row r="1127" spans="1:5" x14ac:dyDescent="0.25">
      <c r="A1127">
        <v>1861</v>
      </c>
      <c r="B1127" s="16">
        <v>44105</v>
      </c>
      <c r="C1127" t="s">
        <v>165</v>
      </c>
      <c r="D1127">
        <v>-4120018.875</v>
      </c>
      <c r="E1127" t="s">
        <v>331</v>
      </c>
    </row>
    <row r="1128" spans="1:5" x14ac:dyDescent="0.25">
      <c r="A1128">
        <v>1861</v>
      </c>
      <c r="B1128" s="16">
        <v>44136</v>
      </c>
      <c r="C1128" t="s">
        <v>165</v>
      </c>
      <c r="D1128">
        <v>-4120018.875</v>
      </c>
      <c r="E1128" t="s">
        <v>331</v>
      </c>
    </row>
    <row r="1129" spans="1:5" x14ac:dyDescent="0.25">
      <c r="A1129">
        <v>1881</v>
      </c>
      <c r="B1129" s="16">
        <v>43466</v>
      </c>
      <c r="C1129" t="s">
        <v>119</v>
      </c>
      <c r="D1129">
        <v>-6549894.2250000006</v>
      </c>
      <c r="E1129" t="s">
        <v>331</v>
      </c>
    </row>
    <row r="1130" spans="1:5" x14ac:dyDescent="0.25">
      <c r="A1130">
        <v>1881</v>
      </c>
      <c r="B1130" s="16">
        <v>43497</v>
      </c>
      <c r="C1130" t="s">
        <v>119</v>
      </c>
      <c r="D1130">
        <v>-6549894.2250000006</v>
      </c>
      <c r="E1130" t="s">
        <v>331</v>
      </c>
    </row>
    <row r="1131" spans="1:5" x14ac:dyDescent="0.25">
      <c r="A1131">
        <v>1881</v>
      </c>
      <c r="B1131" s="16">
        <v>43525</v>
      </c>
      <c r="C1131" t="s">
        <v>119</v>
      </c>
      <c r="D1131">
        <v>-6549894.2250000006</v>
      </c>
      <c r="E1131" t="s">
        <v>331</v>
      </c>
    </row>
    <row r="1132" spans="1:5" x14ac:dyDescent="0.25">
      <c r="A1132">
        <v>1881</v>
      </c>
      <c r="B1132" s="16">
        <v>43556</v>
      </c>
      <c r="C1132" t="s">
        <v>119</v>
      </c>
      <c r="D1132">
        <v>-6549894.2250000006</v>
      </c>
      <c r="E1132" t="s">
        <v>331</v>
      </c>
    </row>
    <row r="1133" spans="1:5" x14ac:dyDescent="0.25">
      <c r="A1133">
        <v>1881</v>
      </c>
      <c r="B1133" s="16">
        <v>43586</v>
      </c>
      <c r="C1133" t="s">
        <v>119</v>
      </c>
      <c r="D1133">
        <v>-6549894.2250000006</v>
      </c>
      <c r="E1133" t="s">
        <v>331</v>
      </c>
    </row>
    <row r="1134" spans="1:5" x14ac:dyDescent="0.25">
      <c r="A1134">
        <v>1881</v>
      </c>
      <c r="B1134" s="16">
        <v>43617</v>
      </c>
      <c r="C1134" t="s">
        <v>119</v>
      </c>
      <c r="D1134">
        <v>-6549894.2250000006</v>
      </c>
      <c r="E1134" t="s">
        <v>331</v>
      </c>
    </row>
    <row r="1135" spans="1:5" x14ac:dyDescent="0.25">
      <c r="A1135">
        <v>1881</v>
      </c>
      <c r="B1135" s="16">
        <v>43647</v>
      </c>
      <c r="C1135" t="s">
        <v>119</v>
      </c>
      <c r="D1135">
        <v>-6549894.2250000006</v>
      </c>
      <c r="E1135" t="s">
        <v>331</v>
      </c>
    </row>
    <row r="1136" spans="1:5" x14ac:dyDescent="0.25">
      <c r="A1136">
        <v>1881</v>
      </c>
      <c r="B1136" s="16">
        <v>43678</v>
      </c>
      <c r="C1136" t="s">
        <v>119</v>
      </c>
      <c r="D1136">
        <v>-6549894.2250000006</v>
      </c>
      <c r="E1136" t="s">
        <v>331</v>
      </c>
    </row>
    <row r="1137" spans="1:5" x14ac:dyDescent="0.25">
      <c r="A1137">
        <v>1881</v>
      </c>
      <c r="B1137" s="16">
        <v>43709</v>
      </c>
      <c r="C1137" t="s">
        <v>119</v>
      </c>
      <c r="D1137">
        <v>-6549894.2250000006</v>
      </c>
      <c r="E1137" t="s">
        <v>331</v>
      </c>
    </row>
    <row r="1138" spans="1:5" x14ac:dyDescent="0.25">
      <c r="A1138">
        <v>1881</v>
      </c>
      <c r="B1138" s="16">
        <v>43739</v>
      </c>
      <c r="C1138" t="s">
        <v>119</v>
      </c>
      <c r="D1138">
        <v>-6549894.2250000006</v>
      </c>
      <c r="E1138" t="s">
        <v>331</v>
      </c>
    </row>
    <row r="1139" spans="1:5" x14ac:dyDescent="0.25">
      <c r="A1139">
        <v>1881</v>
      </c>
      <c r="B1139" s="16">
        <v>43770</v>
      </c>
      <c r="C1139" t="s">
        <v>119</v>
      </c>
      <c r="D1139">
        <v>-6549894.2250000006</v>
      </c>
      <c r="E1139" t="s">
        <v>331</v>
      </c>
    </row>
    <row r="1140" spans="1:5" x14ac:dyDescent="0.25">
      <c r="A1140">
        <v>1881</v>
      </c>
      <c r="B1140" s="16">
        <v>43800</v>
      </c>
      <c r="C1140" t="s">
        <v>119</v>
      </c>
      <c r="D1140">
        <v>-6549894.2250000006</v>
      </c>
      <c r="E1140" t="s">
        <v>331</v>
      </c>
    </row>
    <row r="1141" spans="1:5" x14ac:dyDescent="0.25">
      <c r="A1141">
        <v>1881</v>
      </c>
      <c r="B1141" s="16">
        <v>43831</v>
      </c>
      <c r="C1141" t="s">
        <v>119</v>
      </c>
      <c r="D1141">
        <v>-6549894.2250000006</v>
      </c>
      <c r="E1141" t="s">
        <v>331</v>
      </c>
    </row>
    <row r="1142" spans="1:5" x14ac:dyDescent="0.25">
      <c r="A1142">
        <v>1881</v>
      </c>
      <c r="B1142" s="16">
        <v>43862</v>
      </c>
      <c r="C1142" t="s">
        <v>119</v>
      </c>
      <c r="D1142">
        <v>-6549894.2250000006</v>
      </c>
      <c r="E1142" t="s">
        <v>331</v>
      </c>
    </row>
    <row r="1143" spans="1:5" x14ac:dyDescent="0.25">
      <c r="A1143">
        <v>1881</v>
      </c>
      <c r="B1143" s="16">
        <v>43891</v>
      </c>
      <c r="C1143" t="s">
        <v>119</v>
      </c>
      <c r="D1143">
        <v>-6549894.2250000006</v>
      </c>
      <c r="E1143" t="s">
        <v>331</v>
      </c>
    </row>
    <row r="1144" spans="1:5" x14ac:dyDescent="0.25">
      <c r="A1144">
        <v>1881</v>
      </c>
      <c r="B1144" s="16">
        <v>43922</v>
      </c>
      <c r="C1144" t="s">
        <v>119</v>
      </c>
      <c r="D1144">
        <v>-6549894.2250000006</v>
      </c>
      <c r="E1144" t="s">
        <v>331</v>
      </c>
    </row>
    <row r="1145" spans="1:5" x14ac:dyDescent="0.25">
      <c r="A1145">
        <v>1881</v>
      </c>
      <c r="B1145" s="16">
        <v>43952</v>
      </c>
      <c r="C1145" t="s">
        <v>119</v>
      </c>
      <c r="D1145">
        <v>-6549894.2250000006</v>
      </c>
      <c r="E1145" t="s">
        <v>331</v>
      </c>
    </row>
    <row r="1146" spans="1:5" x14ac:dyDescent="0.25">
      <c r="A1146">
        <v>1881</v>
      </c>
      <c r="B1146" s="16">
        <v>43983</v>
      </c>
      <c r="C1146" t="s">
        <v>119</v>
      </c>
      <c r="D1146">
        <v>-6549894.2250000006</v>
      </c>
      <c r="E1146" t="s">
        <v>331</v>
      </c>
    </row>
    <row r="1147" spans="1:5" x14ac:dyDescent="0.25">
      <c r="A1147">
        <v>1881</v>
      </c>
      <c r="B1147" s="16">
        <v>44013</v>
      </c>
      <c r="C1147" t="s">
        <v>119</v>
      </c>
      <c r="D1147">
        <v>-6549894.2250000006</v>
      </c>
      <c r="E1147" t="s">
        <v>331</v>
      </c>
    </row>
    <row r="1148" spans="1:5" x14ac:dyDescent="0.25">
      <c r="A1148">
        <v>1881</v>
      </c>
      <c r="B1148" s="16">
        <v>43466</v>
      </c>
      <c r="C1148" t="s">
        <v>135</v>
      </c>
      <c r="D1148">
        <v>-3981406.9049999998</v>
      </c>
      <c r="E1148" t="s">
        <v>331</v>
      </c>
    </row>
    <row r="1149" spans="1:5" x14ac:dyDescent="0.25">
      <c r="A1149">
        <v>1881</v>
      </c>
      <c r="B1149" s="16">
        <v>43497</v>
      </c>
      <c r="C1149" t="s">
        <v>135</v>
      </c>
      <c r="D1149">
        <v>-3981406.9049999998</v>
      </c>
      <c r="E1149" t="s">
        <v>331</v>
      </c>
    </row>
    <row r="1150" spans="1:5" x14ac:dyDescent="0.25">
      <c r="A1150">
        <v>1881</v>
      </c>
      <c r="B1150" s="16">
        <v>43525</v>
      </c>
      <c r="C1150" t="s">
        <v>135</v>
      </c>
      <c r="D1150">
        <v>-3981406.9049999998</v>
      </c>
      <c r="E1150" t="s">
        <v>331</v>
      </c>
    </row>
    <row r="1151" spans="1:5" x14ac:dyDescent="0.25">
      <c r="A1151">
        <v>1881</v>
      </c>
      <c r="B1151" s="16">
        <v>43556</v>
      </c>
      <c r="C1151" t="s">
        <v>135</v>
      </c>
      <c r="D1151">
        <v>-3981406.9049999998</v>
      </c>
      <c r="E1151" t="s">
        <v>331</v>
      </c>
    </row>
    <row r="1152" spans="1:5" x14ac:dyDescent="0.25">
      <c r="A1152">
        <v>1881</v>
      </c>
      <c r="B1152" s="16">
        <v>43586</v>
      </c>
      <c r="C1152" t="s">
        <v>135</v>
      </c>
      <c r="D1152">
        <v>-3981406.9049999998</v>
      </c>
      <c r="E1152" t="s">
        <v>331</v>
      </c>
    </row>
    <row r="1153" spans="1:5" x14ac:dyDescent="0.25">
      <c r="A1153">
        <v>1881</v>
      </c>
      <c r="B1153" s="16">
        <v>43617</v>
      </c>
      <c r="C1153" t="s">
        <v>135</v>
      </c>
      <c r="D1153">
        <v>-3981406.9049999998</v>
      </c>
      <c r="E1153" t="s">
        <v>331</v>
      </c>
    </row>
    <row r="1154" spans="1:5" x14ac:dyDescent="0.25">
      <c r="A1154">
        <v>1881</v>
      </c>
      <c r="B1154" s="16">
        <v>43647</v>
      </c>
      <c r="C1154" t="s">
        <v>135</v>
      </c>
      <c r="D1154">
        <v>-3981406.9049999998</v>
      </c>
      <c r="E1154" t="s">
        <v>331</v>
      </c>
    </row>
    <row r="1155" spans="1:5" x14ac:dyDescent="0.25">
      <c r="A1155">
        <v>1881</v>
      </c>
      <c r="B1155" s="16">
        <v>43678</v>
      </c>
      <c r="C1155" t="s">
        <v>135</v>
      </c>
      <c r="D1155">
        <v>-3981406.9049999998</v>
      </c>
      <c r="E1155" t="s">
        <v>331</v>
      </c>
    </row>
    <row r="1156" spans="1:5" x14ac:dyDescent="0.25">
      <c r="A1156">
        <v>1881</v>
      </c>
      <c r="B1156" s="16">
        <v>43709</v>
      </c>
      <c r="C1156" t="s">
        <v>135</v>
      </c>
      <c r="D1156">
        <v>-3981406.9049999998</v>
      </c>
      <c r="E1156" t="s">
        <v>331</v>
      </c>
    </row>
    <row r="1157" spans="1:5" x14ac:dyDescent="0.25">
      <c r="A1157">
        <v>1881</v>
      </c>
      <c r="B1157" s="16">
        <v>43739</v>
      </c>
      <c r="C1157" t="s">
        <v>135</v>
      </c>
      <c r="D1157">
        <v>-3981406.9049999998</v>
      </c>
      <c r="E1157" t="s">
        <v>331</v>
      </c>
    </row>
    <row r="1158" spans="1:5" x14ac:dyDescent="0.25">
      <c r="A1158">
        <v>1881</v>
      </c>
      <c r="B1158" s="16">
        <v>43770</v>
      </c>
      <c r="C1158" t="s">
        <v>135</v>
      </c>
      <c r="D1158">
        <v>-3981406.9049999998</v>
      </c>
      <c r="E1158" t="s">
        <v>331</v>
      </c>
    </row>
    <row r="1159" spans="1:5" x14ac:dyDescent="0.25">
      <c r="A1159">
        <v>1881</v>
      </c>
      <c r="B1159" s="16">
        <v>43800</v>
      </c>
      <c r="C1159" t="s">
        <v>135</v>
      </c>
      <c r="D1159">
        <v>-3981406.9049999998</v>
      </c>
      <c r="E1159" t="s">
        <v>331</v>
      </c>
    </row>
    <row r="1160" spans="1:5" x14ac:dyDescent="0.25">
      <c r="A1160">
        <v>1881</v>
      </c>
      <c r="B1160" s="16">
        <v>43831</v>
      </c>
      <c r="C1160" t="s">
        <v>135</v>
      </c>
      <c r="D1160">
        <v>-3981406.9049999998</v>
      </c>
      <c r="E1160" t="s">
        <v>331</v>
      </c>
    </row>
    <row r="1161" spans="1:5" x14ac:dyDescent="0.25">
      <c r="A1161">
        <v>1881</v>
      </c>
      <c r="B1161" s="16">
        <v>43862</v>
      </c>
      <c r="C1161" t="s">
        <v>135</v>
      </c>
      <c r="D1161">
        <v>-3981406.9049999998</v>
      </c>
      <c r="E1161" t="s">
        <v>331</v>
      </c>
    </row>
    <row r="1162" spans="1:5" x14ac:dyDescent="0.25">
      <c r="A1162">
        <v>1881</v>
      </c>
      <c r="B1162" s="16">
        <v>43891</v>
      </c>
      <c r="C1162" t="s">
        <v>135</v>
      </c>
      <c r="D1162">
        <v>-3981406.9049999998</v>
      </c>
      <c r="E1162" t="s">
        <v>331</v>
      </c>
    </row>
    <row r="1163" spans="1:5" x14ac:dyDescent="0.25">
      <c r="A1163">
        <v>1881</v>
      </c>
      <c r="B1163" s="16">
        <v>43922</v>
      </c>
      <c r="C1163" t="s">
        <v>135</v>
      </c>
      <c r="D1163">
        <v>-3981406.9049999998</v>
      </c>
      <c r="E1163" t="s">
        <v>331</v>
      </c>
    </row>
    <row r="1164" spans="1:5" x14ac:dyDescent="0.25">
      <c r="A1164">
        <v>1881</v>
      </c>
      <c r="B1164" s="16">
        <v>43952</v>
      </c>
      <c r="C1164" t="s">
        <v>135</v>
      </c>
      <c r="D1164">
        <v>-3981406.9049999998</v>
      </c>
      <c r="E1164" t="s">
        <v>331</v>
      </c>
    </row>
    <row r="1165" spans="1:5" x14ac:dyDescent="0.25">
      <c r="A1165">
        <v>1881</v>
      </c>
      <c r="B1165" s="16">
        <v>43983</v>
      </c>
      <c r="C1165" t="s">
        <v>135</v>
      </c>
      <c r="D1165">
        <v>-3981406.9049999998</v>
      </c>
      <c r="E1165" t="s">
        <v>331</v>
      </c>
    </row>
    <row r="1166" spans="1:5" x14ac:dyDescent="0.25">
      <c r="A1166">
        <v>1881</v>
      </c>
      <c r="B1166" s="16">
        <v>44013</v>
      </c>
      <c r="C1166" t="s">
        <v>135</v>
      </c>
      <c r="D1166">
        <v>-3981406.9049999998</v>
      </c>
      <c r="E1166" t="s">
        <v>331</v>
      </c>
    </row>
    <row r="1167" spans="1:5" x14ac:dyDescent="0.25">
      <c r="A1167">
        <v>1880</v>
      </c>
      <c r="B1167" s="16">
        <v>43466</v>
      </c>
      <c r="C1167" t="s">
        <v>19</v>
      </c>
      <c r="D1167">
        <v>-2823017.4132300001</v>
      </c>
      <c r="E1167" t="s">
        <v>331</v>
      </c>
    </row>
    <row r="1168" spans="1:5" x14ac:dyDescent="0.25">
      <c r="A1168">
        <v>1880</v>
      </c>
      <c r="B1168" s="16">
        <v>43497</v>
      </c>
      <c r="C1168" t="s">
        <v>19</v>
      </c>
      <c r="D1168">
        <v>-2823017.4132300001</v>
      </c>
      <c r="E1168" t="s">
        <v>331</v>
      </c>
    </row>
    <row r="1169" spans="1:5" x14ac:dyDescent="0.25">
      <c r="A1169">
        <v>1880</v>
      </c>
      <c r="B1169" s="16">
        <v>43525</v>
      </c>
      <c r="C1169" t="s">
        <v>19</v>
      </c>
      <c r="D1169">
        <v>-2823017.4132300001</v>
      </c>
      <c r="E1169" t="s">
        <v>331</v>
      </c>
    </row>
    <row r="1170" spans="1:5" x14ac:dyDescent="0.25">
      <c r="A1170">
        <v>1880</v>
      </c>
      <c r="B1170" s="16">
        <v>43556</v>
      </c>
      <c r="C1170" t="s">
        <v>19</v>
      </c>
      <c r="D1170">
        <v>-2823017.4132300001</v>
      </c>
      <c r="E1170" t="s">
        <v>331</v>
      </c>
    </row>
    <row r="1171" spans="1:5" x14ac:dyDescent="0.25">
      <c r="A1171">
        <v>1880</v>
      </c>
      <c r="B1171" s="16">
        <v>43466</v>
      </c>
      <c r="C1171" t="s">
        <v>26</v>
      </c>
      <c r="D1171">
        <v>-6088446</v>
      </c>
      <c r="E1171" t="s">
        <v>331</v>
      </c>
    </row>
    <row r="1172" spans="1:5" x14ac:dyDescent="0.25">
      <c r="A1172">
        <v>1880</v>
      </c>
      <c r="B1172" s="16">
        <v>43497</v>
      </c>
      <c r="C1172" t="s">
        <v>26</v>
      </c>
      <c r="D1172">
        <v>-6088446</v>
      </c>
      <c r="E1172" t="s">
        <v>331</v>
      </c>
    </row>
    <row r="1173" spans="1:5" x14ac:dyDescent="0.25">
      <c r="A1173">
        <v>1880</v>
      </c>
      <c r="B1173" s="16">
        <v>43525</v>
      </c>
      <c r="C1173" t="s">
        <v>26</v>
      </c>
      <c r="D1173">
        <v>-6088446</v>
      </c>
      <c r="E1173" t="s">
        <v>331</v>
      </c>
    </row>
    <row r="1174" spans="1:5" x14ac:dyDescent="0.25">
      <c r="A1174">
        <v>1880</v>
      </c>
      <c r="B1174" s="16">
        <v>43556</v>
      </c>
      <c r="C1174" t="s">
        <v>26</v>
      </c>
      <c r="D1174">
        <v>-6088446</v>
      </c>
      <c r="E1174" t="s">
        <v>331</v>
      </c>
    </row>
    <row r="1175" spans="1:5" x14ac:dyDescent="0.25">
      <c r="A1175">
        <v>1880</v>
      </c>
      <c r="B1175" s="16">
        <v>43586</v>
      </c>
      <c r="C1175" t="s">
        <v>26</v>
      </c>
      <c r="D1175">
        <v>-6088446</v>
      </c>
      <c r="E1175" t="s">
        <v>331</v>
      </c>
    </row>
    <row r="1176" spans="1:5" x14ac:dyDescent="0.25">
      <c r="A1176">
        <v>1880</v>
      </c>
      <c r="B1176" s="16">
        <v>43617</v>
      </c>
      <c r="C1176" t="s">
        <v>26</v>
      </c>
      <c r="D1176">
        <v>-6088446</v>
      </c>
      <c r="E1176" t="s">
        <v>331</v>
      </c>
    </row>
    <row r="1177" spans="1:5" x14ac:dyDescent="0.25">
      <c r="A1177">
        <v>1880</v>
      </c>
      <c r="B1177" s="16">
        <v>43466</v>
      </c>
      <c r="C1177" t="s">
        <v>59</v>
      </c>
      <c r="D1177">
        <v>-3965084.6316681607</v>
      </c>
      <c r="E1177" t="s">
        <v>331</v>
      </c>
    </row>
    <row r="1178" spans="1:5" x14ac:dyDescent="0.25">
      <c r="A1178">
        <v>1880</v>
      </c>
      <c r="B1178" s="16">
        <v>43497</v>
      </c>
      <c r="C1178" t="s">
        <v>59</v>
      </c>
      <c r="D1178">
        <v>-3965084.6316681607</v>
      </c>
      <c r="E1178" t="s">
        <v>331</v>
      </c>
    </row>
    <row r="1179" spans="1:5" x14ac:dyDescent="0.25">
      <c r="A1179">
        <v>1880</v>
      </c>
      <c r="B1179" s="16">
        <v>43525</v>
      </c>
      <c r="C1179" t="s">
        <v>59</v>
      </c>
      <c r="D1179">
        <v>-3965084.6316681607</v>
      </c>
      <c r="E1179" t="s">
        <v>331</v>
      </c>
    </row>
    <row r="1180" spans="1:5" x14ac:dyDescent="0.25">
      <c r="A1180">
        <v>1880</v>
      </c>
      <c r="B1180" s="16">
        <v>43556</v>
      </c>
      <c r="C1180" t="s">
        <v>59</v>
      </c>
      <c r="D1180">
        <v>-3965084.6316681607</v>
      </c>
      <c r="E1180" t="s">
        <v>331</v>
      </c>
    </row>
    <row r="1181" spans="1:5" x14ac:dyDescent="0.25">
      <c r="A1181">
        <v>1880</v>
      </c>
      <c r="B1181" s="16">
        <v>43586</v>
      </c>
      <c r="C1181" t="s">
        <v>59</v>
      </c>
      <c r="D1181">
        <v>-3965084.6316681607</v>
      </c>
      <c r="E1181" t="s">
        <v>331</v>
      </c>
    </row>
    <row r="1182" spans="1:5" x14ac:dyDescent="0.25">
      <c r="A1182">
        <v>1880</v>
      </c>
      <c r="B1182" s="16">
        <v>43466</v>
      </c>
      <c r="C1182" t="s">
        <v>35</v>
      </c>
      <c r="D1182">
        <v>-3198581.6105249994</v>
      </c>
      <c r="E1182" t="s">
        <v>331</v>
      </c>
    </row>
    <row r="1183" spans="1:5" x14ac:dyDescent="0.25">
      <c r="A1183">
        <v>1880</v>
      </c>
      <c r="B1183" s="16">
        <v>43497</v>
      </c>
      <c r="C1183" t="s">
        <v>35</v>
      </c>
      <c r="D1183">
        <v>-3198581.6105249994</v>
      </c>
      <c r="E1183" t="s">
        <v>331</v>
      </c>
    </row>
    <row r="1184" spans="1:5" x14ac:dyDescent="0.25">
      <c r="A1184">
        <v>1880</v>
      </c>
      <c r="B1184" s="16">
        <v>43525</v>
      </c>
      <c r="C1184" t="s">
        <v>35</v>
      </c>
      <c r="D1184">
        <v>-3198581.6105249994</v>
      </c>
      <c r="E1184" t="s">
        <v>331</v>
      </c>
    </row>
    <row r="1185" spans="1:5" x14ac:dyDescent="0.25">
      <c r="A1185">
        <v>1880</v>
      </c>
      <c r="B1185" s="16">
        <v>43556</v>
      </c>
      <c r="C1185" t="s">
        <v>35</v>
      </c>
      <c r="D1185">
        <v>-3198581.6105249994</v>
      </c>
      <c r="E1185" t="s">
        <v>331</v>
      </c>
    </row>
    <row r="1186" spans="1:5" x14ac:dyDescent="0.25">
      <c r="A1186">
        <v>1880</v>
      </c>
      <c r="B1186" s="16">
        <v>43466</v>
      </c>
      <c r="C1186" t="s">
        <v>35</v>
      </c>
      <c r="D1186">
        <v>-3427052.1011999999</v>
      </c>
      <c r="E1186" t="s">
        <v>331</v>
      </c>
    </row>
    <row r="1187" spans="1:5" x14ac:dyDescent="0.25">
      <c r="A1187">
        <v>1880</v>
      </c>
      <c r="B1187" s="16">
        <v>43497</v>
      </c>
      <c r="C1187" t="s">
        <v>35</v>
      </c>
      <c r="D1187">
        <v>-3427052.1011999999</v>
      </c>
      <c r="E1187" t="s">
        <v>331</v>
      </c>
    </row>
    <row r="1188" spans="1:5" x14ac:dyDescent="0.25">
      <c r="A1188">
        <v>1877</v>
      </c>
      <c r="B1188" s="16">
        <v>43466</v>
      </c>
      <c r="C1188" t="s">
        <v>12</v>
      </c>
      <c r="D1188">
        <v>-11163096</v>
      </c>
      <c r="E1188" t="s">
        <v>331</v>
      </c>
    </row>
    <row r="1189" spans="1:5" x14ac:dyDescent="0.25">
      <c r="A1189">
        <v>1877</v>
      </c>
      <c r="B1189" s="16">
        <v>43497</v>
      </c>
      <c r="C1189" t="s">
        <v>12</v>
      </c>
      <c r="D1189">
        <v>-11163096</v>
      </c>
      <c r="E1189" t="s">
        <v>331</v>
      </c>
    </row>
    <row r="1190" spans="1:5" x14ac:dyDescent="0.25">
      <c r="A1190">
        <v>1877</v>
      </c>
      <c r="B1190" s="16">
        <v>43525</v>
      </c>
      <c r="C1190" t="s">
        <v>12</v>
      </c>
      <c r="D1190">
        <v>-11163096</v>
      </c>
      <c r="E1190" t="s">
        <v>331</v>
      </c>
    </row>
    <row r="1191" spans="1:5" x14ac:dyDescent="0.25">
      <c r="A1191">
        <v>1877</v>
      </c>
      <c r="B1191" s="16">
        <v>43556</v>
      </c>
      <c r="C1191" t="s">
        <v>12</v>
      </c>
      <c r="D1191">
        <v>-11163096</v>
      </c>
      <c r="E1191" t="s">
        <v>331</v>
      </c>
    </row>
    <row r="1192" spans="1:5" x14ac:dyDescent="0.25">
      <c r="A1192">
        <v>1877</v>
      </c>
      <c r="B1192" s="16">
        <v>43586</v>
      </c>
      <c r="C1192" t="s">
        <v>12</v>
      </c>
      <c r="D1192">
        <v>-11163096</v>
      </c>
      <c r="E1192" t="s">
        <v>331</v>
      </c>
    </row>
    <row r="1193" spans="1:5" x14ac:dyDescent="0.25">
      <c r="A1193">
        <v>1877</v>
      </c>
      <c r="B1193" s="16">
        <v>43617</v>
      </c>
      <c r="C1193" t="s">
        <v>12</v>
      </c>
      <c r="D1193">
        <v>-11163096</v>
      </c>
      <c r="E1193" t="s">
        <v>331</v>
      </c>
    </row>
    <row r="1194" spans="1:5" x14ac:dyDescent="0.25">
      <c r="A1194">
        <v>1877</v>
      </c>
      <c r="B1194" s="16">
        <v>43647</v>
      </c>
      <c r="C1194" t="s">
        <v>12</v>
      </c>
      <c r="D1194">
        <v>-11163096</v>
      </c>
      <c r="E1194" t="s">
        <v>331</v>
      </c>
    </row>
    <row r="1195" spans="1:5" x14ac:dyDescent="0.25">
      <c r="A1195">
        <v>1877</v>
      </c>
      <c r="B1195" s="16">
        <v>43678</v>
      </c>
      <c r="C1195" t="s">
        <v>12</v>
      </c>
      <c r="D1195">
        <v>-11163096</v>
      </c>
      <c r="E1195" t="s">
        <v>331</v>
      </c>
    </row>
    <row r="1196" spans="1:5" x14ac:dyDescent="0.25">
      <c r="A1196">
        <v>1877</v>
      </c>
      <c r="B1196" s="16">
        <v>43709</v>
      </c>
      <c r="C1196" t="s">
        <v>12</v>
      </c>
      <c r="D1196">
        <v>-11163096</v>
      </c>
      <c r="E1196" t="s">
        <v>331</v>
      </c>
    </row>
    <row r="1197" spans="1:5" x14ac:dyDescent="0.25">
      <c r="A1197">
        <v>1877</v>
      </c>
      <c r="B1197" s="16">
        <v>43739</v>
      </c>
      <c r="C1197" t="s">
        <v>12</v>
      </c>
      <c r="D1197">
        <v>-11163096</v>
      </c>
      <c r="E1197" t="s">
        <v>331</v>
      </c>
    </row>
    <row r="1198" spans="1:5" x14ac:dyDescent="0.25">
      <c r="A1198">
        <v>1877</v>
      </c>
      <c r="B1198" s="16">
        <v>43770</v>
      </c>
      <c r="C1198" t="s">
        <v>12</v>
      </c>
      <c r="D1198">
        <v>-11163096</v>
      </c>
      <c r="E1198" t="s">
        <v>331</v>
      </c>
    </row>
    <row r="1199" spans="1:5" x14ac:dyDescent="0.25">
      <c r="A1199">
        <v>1877</v>
      </c>
      <c r="B1199" s="16">
        <v>43800</v>
      </c>
      <c r="C1199" t="s">
        <v>12</v>
      </c>
      <c r="D1199">
        <v>-11163096</v>
      </c>
      <c r="E1199" t="s">
        <v>331</v>
      </c>
    </row>
    <row r="1200" spans="1:5" x14ac:dyDescent="0.25">
      <c r="A1200">
        <v>1877</v>
      </c>
      <c r="B1200" s="16">
        <v>43831</v>
      </c>
      <c r="C1200" t="s">
        <v>12</v>
      </c>
      <c r="D1200">
        <v>-11163096</v>
      </c>
      <c r="E1200" t="s">
        <v>331</v>
      </c>
    </row>
    <row r="1201" spans="1:5" x14ac:dyDescent="0.25">
      <c r="A1201">
        <v>1877</v>
      </c>
      <c r="B1201" s="16">
        <v>43862</v>
      </c>
      <c r="C1201" t="s">
        <v>12</v>
      </c>
      <c r="D1201">
        <v>-11163096</v>
      </c>
      <c r="E1201" t="s">
        <v>331</v>
      </c>
    </row>
    <row r="1202" spans="1:5" x14ac:dyDescent="0.25">
      <c r="A1202">
        <v>1877</v>
      </c>
      <c r="B1202" s="16">
        <v>43891</v>
      </c>
      <c r="C1202" t="s">
        <v>12</v>
      </c>
      <c r="D1202">
        <v>-11163096</v>
      </c>
      <c r="E1202" t="s">
        <v>331</v>
      </c>
    </row>
    <row r="1203" spans="1:5" x14ac:dyDescent="0.25">
      <c r="A1203">
        <v>1877</v>
      </c>
      <c r="B1203" s="16">
        <v>43466</v>
      </c>
      <c r="C1203" t="s">
        <v>176</v>
      </c>
      <c r="D1203">
        <v>-6909525</v>
      </c>
      <c r="E1203" t="s">
        <v>331</v>
      </c>
    </row>
    <row r="1204" spans="1:5" x14ac:dyDescent="0.25">
      <c r="A1204">
        <v>1877</v>
      </c>
      <c r="B1204" s="16">
        <v>43497</v>
      </c>
      <c r="C1204" t="s">
        <v>176</v>
      </c>
      <c r="D1204">
        <v>-6909525</v>
      </c>
      <c r="E1204" t="s">
        <v>331</v>
      </c>
    </row>
    <row r="1205" spans="1:5" x14ac:dyDescent="0.25">
      <c r="A1205">
        <v>1877</v>
      </c>
      <c r="B1205" s="16">
        <v>43525</v>
      </c>
      <c r="C1205" t="s">
        <v>176</v>
      </c>
      <c r="D1205">
        <v>-6909525</v>
      </c>
      <c r="E1205" t="s">
        <v>331</v>
      </c>
    </row>
    <row r="1206" spans="1:5" x14ac:dyDescent="0.25">
      <c r="A1206">
        <v>1877</v>
      </c>
      <c r="B1206" s="16">
        <v>43556</v>
      </c>
      <c r="C1206" t="s">
        <v>176</v>
      </c>
      <c r="D1206">
        <v>-6909525</v>
      </c>
      <c r="E1206" t="s">
        <v>331</v>
      </c>
    </row>
    <row r="1207" spans="1:5" x14ac:dyDescent="0.25">
      <c r="A1207">
        <v>1877</v>
      </c>
      <c r="B1207" s="16">
        <v>43586</v>
      </c>
      <c r="C1207" t="s">
        <v>176</v>
      </c>
      <c r="D1207">
        <v>-6909525</v>
      </c>
      <c r="E1207" t="s">
        <v>331</v>
      </c>
    </row>
    <row r="1208" spans="1:5" x14ac:dyDescent="0.25">
      <c r="A1208">
        <v>1877</v>
      </c>
      <c r="B1208" s="16">
        <v>43617</v>
      </c>
      <c r="C1208" t="s">
        <v>176</v>
      </c>
      <c r="D1208">
        <v>-6909525</v>
      </c>
      <c r="E1208" t="s">
        <v>331</v>
      </c>
    </row>
    <row r="1209" spans="1:5" x14ac:dyDescent="0.25">
      <c r="A1209">
        <v>1877</v>
      </c>
      <c r="B1209" s="16">
        <v>43647</v>
      </c>
      <c r="C1209" t="s">
        <v>176</v>
      </c>
      <c r="D1209">
        <v>-6909525</v>
      </c>
      <c r="E1209" t="s">
        <v>331</v>
      </c>
    </row>
    <row r="1210" spans="1:5" x14ac:dyDescent="0.25">
      <c r="A1210">
        <v>1877</v>
      </c>
      <c r="B1210" s="16">
        <v>43678</v>
      </c>
      <c r="C1210" t="s">
        <v>176</v>
      </c>
      <c r="D1210">
        <v>-6909525</v>
      </c>
      <c r="E1210" t="s">
        <v>331</v>
      </c>
    </row>
    <row r="1211" spans="1:5" x14ac:dyDescent="0.25">
      <c r="A1211">
        <v>1877</v>
      </c>
      <c r="B1211" s="16">
        <v>43709</v>
      </c>
      <c r="C1211" t="s">
        <v>176</v>
      </c>
      <c r="D1211">
        <v>-6909525</v>
      </c>
      <c r="E1211" t="s">
        <v>331</v>
      </c>
    </row>
    <row r="1212" spans="1:5" x14ac:dyDescent="0.25">
      <c r="A1212">
        <v>1877</v>
      </c>
      <c r="B1212" s="16">
        <v>43739</v>
      </c>
      <c r="C1212" t="s">
        <v>176</v>
      </c>
      <c r="D1212">
        <v>-6909525</v>
      </c>
      <c r="E1212" t="s">
        <v>331</v>
      </c>
    </row>
    <row r="1213" spans="1:5" x14ac:dyDescent="0.25">
      <c r="A1213">
        <v>1877</v>
      </c>
      <c r="B1213" s="16">
        <v>43770</v>
      </c>
      <c r="C1213" t="s">
        <v>176</v>
      </c>
      <c r="D1213">
        <v>-6909525</v>
      </c>
      <c r="E1213" t="s">
        <v>331</v>
      </c>
    </row>
    <row r="1214" spans="1:5" x14ac:dyDescent="0.25">
      <c r="A1214">
        <v>1877</v>
      </c>
      <c r="B1214" s="16">
        <v>43800</v>
      </c>
      <c r="C1214" t="s">
        <v>176</v>
      </c>
      <c r="D1214">
        <v>-6909525</v>
      </c>
      <c r="E1214" t="s">
        <v>331</v>
      </c>
    </row>
    <row r="1215" spans="1:5" x14ac:dyDescent="0.25">
      <c r="A1215">
        <v>1877</v>
      </c>
      <c r="B1215" s="16">
        <v>43466</v>
      </c>
      <c r="C1215" t="s">
        <v>177</v>
      </c>
      <c r="D1215">
        <v>-6909525</v>
      </c>
      <c r="E1215" t="s">
        <v>331</v>
      </c>
    </row>
    <row r="1216" spans="1:5" x14ac:dyDescent="0.25">
      <c r="A1216">
        <v>1877</v>
      </c>
      <c r="B1216" s="16">
        <v>43497</v>
      </c>
      <c r="C1216" t="s">
        <v>177</v>
      </c>
      <c r="D1216">
        <v>-6909525</v>
      </c>
      <c r="E1216" t="s">
        <v>331</v>
      </c>
    </row>
    <row r="1217" spans="1:5" x14ac:dyDescent="0.25">
      <c r="A1217">
        <v>1877</v>
      </c>
      <c r="B1217" s="16">
        <v>43525</v>
      </c>
      <c r="C1217" t="s">
        <v>177</v>
      </c>
      <c r="D1217">
        <v>-6909525</v>
      </c>
      <c r="E1217" t="s">
        <v>331</v>
      </c>
    </row>
    <row r="1218" spans="1:5" x14ac:dyDescent="0.25">
      <c r="A1218">
        <v>1877</v>
      </c>
      <c r="B1218" s="16">
        <v>43556</v>
      </c>
      <c r="C1218" t="s">
        <v>177</v>
      </c>
      <c r="D1218">
        <v>-6909525</v>
      </c>
      <c r="E1218" t="s">
        <v>331</v>
      </c>
    </row>
    <row r="1219" spans="1:5" x14ac:dyDescent="0.25">
      <c r="A1219">
        <v>1877</v>
      </c>
      <c r="B1219" s="16">
        <v>43586</v>
      </c>
      <c r="C1219" t="s">
        <v>177</v>
      </c>
      <c r="D1219">
        <v>-6909525</v>
      </c>
      <c r="E1219" t="s">
        <v>331</v>
      </c>
    </row>
    <row r="1220" spans="1:5" x14ac:dyDescent="0.25">
      <c r="A1220">
        <v>1877</v>
      </c>
      <c r="B1220" s="16">
        <v>43617</v>
      </c>
      <c r="C1220" t="s">
        <v>177</v>
      </c>
      <c r="D1220">
        <v>-6909525</v>
      </c>
      <c r="E1220" t="s">
        <v>331</v>
      </c>
    </row>
    <row r="1221" spans="1:5" x14ac:dyDescent="0.25">
      <c r="A1221">
        <v>1877</v>
      </c>
      <c r="B1221" s="16">
        <v>43647</v>
      </c>
      <c r="C1221" t="s">
        <v>177</v>
      </c>
      <c r="D1221">
        <v>-6909525</v>
      </c>
      <c r="E1221" t="s">
        <v>331</v>
      </c>
    </row>
    <row r="1222" spans="1:5" x14ac:dyDescent="0.25">
      <c r="A1222">
        <v>1877</v>
      </c>
      <c r="B1222" s="16">
        <v>43678</v>
      </c>
      <c r="C1222" t="s">
        <v>177</v>
      </c>
      <c r="D1222">
        <v>-6909525</v>
      </c>
      <c r="E1222" t="s">
        <v>331</v>
      </c>
    </row>
    <row r="1223" spans="1:5" x14ac:dyDescent="0.25">
      <c r="A1223">
        <v>1877</v>
      </c>
      <c r="B1223" s="16">
        <v>43709</v>
      </c>
      <c r="C1223" t="s">
        <v>177</v>
      </c>
      <c r="D1223">
        <v>-6909525</v>
      </c>
      <c r="E1223" t="s">
        <v>331</v>
      </c>
    </row>
    <row r="1224" spans="1:5" x14ac:dyDescent="0.25">
      <c r="A1224">
        <v>1877</v>
      </c>
      <c r="B1224" s="16">
        <v>43739</v>
      </c>
      <c r="C1224" t="s">
        <v>177</v>
      </c>
      <c r="D1224">
        <v>-6909525</v>
      </c>
      <c r="E1224" t="s">
        <v>331</v>
      </c>
    </row>
    <row r="1225" spans="1:5" x14ac:dyDescent="0.25">
      <c r="A1225">
        <v>1877</v>
      </c>
      <c r="B1225" s="16">
        <v>43466</v>
      </c>
      <c r="C1225" t="s">
        <v>39</v>
      </c>
      <c r="D1225">
        <v>-5049009</v>
      </c>
      <c r="E1225" t="s">
        <v>331</v>
      </c>
    </row>
    <row r="1226" spans="1:5" x14ac:dyDescent="0.25">
      <c r="A1226">
        <v>1877</v>
      </c>
      <c r="B1226" s="16">
        <v>43497</v>
      </c>
      <c r="C1226" t="s">
        <v>39</v>
      </c>
      <c r="D1226">
        <v>-5049009</v>
      </c>
      <c r="E1226" t="s">
        <v>331</v>
      </c>
    </row>
    <row r="1227" spans="1:5" x14ac:dyDescent="0.25">
      <c r="A1227">
        <v>1877</v>
      </c>
      <c r="B1227" s="16">
        <v>43525</v>
      </c>
      <c r="C1227" t="s">
        <v>39</v>
      </c>
      <c r="D1227">
        <v>-5049009</v>
      </c>
      <c r="E1227" t="s">
        <v>331</v>
      </c>
    </row>
    <row r="1228" spans="1:5" x14ac:dyDescent="0.25">
      <c r="A1228">
        <v>1877</v>
      </c>
      <c r="B1228" s="16">
        <v>43556</v>
      </c>
      <c r="C1228" t="s">
        <v>39</v>
      </c>
      <c r="D1228">
        <v>-5049009</v>
      </c>
      <c r="E1228" t="s">
        <v>331</v>
      </c>
    </row>
    <row r="1229" spans="1:5" x14ac:dyDescent="0.25">
      <c r="A1229">
        <v>1877</v>
      </c>
      <c r="B1229" s="16">
        <v>43586</v>
      </c>
      <c r="C1229" t="s">
        <v>39</v>
      </c>
      <c r="D1229">
        <v>-5049009</v>
      </c>
      <c r="E1229" t="s">
        <v>331</v>
      </c>
    </row>
    <row r="1230" spans="1:5" x14ac:dyDescent="0.25">
      <c r="A1230">
        <v>1877</v>
      </c>
      <c r="B1230" s="16">
        <v>43617</v>
      </c>
      <c r="C1230" t="s">
        <v>39</v>
      </c>
      <c r="D1230">
        <v>-5049009</v>
      </c>
      <c r="E1230" t="s">
        <v>331</v>
      </c>
    </row>
    <row r="1231" spans="1:5" x14ac:dyDescent="0.25">
      <c r="A1231">
        <v>1877</v>
      </c>
      <c r="B1231" s="16">
        <v>43647</v>
      </c>
      <c r="C1231" t="s">
        <v>39</v>
      </c>
      <c r="D1231">
        <v>-5049009</v>
      </c>
      <c r="E1231" t="s">
        <v>331</v>
      </c>
    </row>
    <row r="1232" spans="1:5" x14ac:dyDescent="0.25">
      <c r="A1232">
        <v>1877</v>
      </c>
      <c r="B1232" s="16">
        <v>43678</v>
      </c>
      <c r="C1232" t="s">
        <v>39</v>
      </c>
      <c r="D1232">
        <v>-5049009</v>
      </c>
      <c r="E1232" t="s">
        <v>331</v>
      </c>
    </row>
    <row r="1233" spans="1:5" x14ac:dyDescent="0.25">
      <c r="A1233">
        <v>1877</v>
      </c>
      <c r="B1233" s="16">
        <v>43709</v>
      </c>
      <c r="C1233" t="s">
        <v>39</v>
      </c>
      <c r="D1233">
        <v>-5049009</v>
      </c>
      <c r="E1233" t="s">
        <v>331</v>
      </c>
    </row>
    <row r="1234" spans="1:5" x14ac:dyDescent="0.25">
      <c r="A1234">
        <v>1877</v>
      </c>
      <c r="B1234" s="16">
        <v>43739</v>
      </c>
      <c r="C1234" t="s">
        <v>39</v>
      </c>
      <c r="D1234">
        <v>-5049009</v>
      </c>
      <c r="E1234" t="s">
        <v>331</v>
      </c>
    </row>
    <row r="1235" spans="1:5" x14ac:dyDescent="0.25">
      <c r="A1235">
        <v>1877</v>
      </c>
      <c r="B1235" s="16">
        <v>43770</v>
      </c>
      <c r="C1235" t="s">
        <v>39</v>
      </c>
      <c r="D1235">
        <v>-5049009</v>
      </c>
      <c r="E1235" t="s">
        <v>331</v>
      </c>
    </row>
    <row r="1236" spans="1:5" x14ac:dyDescent="0.25">
      <c r="A1236">
        <v>1877</v>
      </c>
      <c r="B1236" s="16">
        <v>43800</v>
      </c>
      <c r="C1236" t="s">
        <v>39</v>
      </c>
      <c r="D1236">
        <v>-5049009</v>
      </c>
      <c r="E1236" t="s">
        <v>331</v>
      </c>
    </row>
    <row r="1237" spans="1:5" x14ac:dyDescent="0.25">
      <c r="A1237">
        <v>1877</v>
      </c>
      <c r="B1237" s="16">
        <v>43831</v>
      </c>
      <c r="C1237" t="s">
        <v>39</v>
      </c>
      <c r="D1237">
        <v>-5049009</v>
      </c>
      <c r="E1237" t="s">
        <v>331</v>
      </c>
    </row>
    <row r="1238" spans="1:5" x14ac:dyDescent="0.25">
      <c r="A1238">
        <v>1877</v>
      </c>
      <c r="B1238" s="16">
        <v>43862</v>
      </c>
      <c r="C1238" t="s">
        <v>39</v>
      </c>
      <c r="D1238">
        <v>-5049009</v>
      </c>
      <c r="E1238" t="s">
        <v>331</v>
      </c>
    </row>
    <row r="1239" spans="1:5" x14ac:dyDescent="0.25">
      <c r="A1239">
        <v>1877</v>
      </c>
      <c r="B1239" s="16">
        <v>43891</v>
      </c>
      <c r="C1239" t="s">
        <v>39</v>
      </c>
      <c r="D1239">
        <v>-5049009</v>
      </c>
      <c r="E1239" t="s">
        <v>331</v>
      </c>
    </row>
    <row r="1240" spans="1:5" x14ac:dyDescent="0.25">
      <c r="A1240">
        <v>1877</v>
      </c>
      <c r="B1240" s="16">
        <v>43466</v>
      </c>
      <c r="C1240" t="s">
        <v>178</v>
      </c>
      <c r="D1240">
        <v>-4550175</v>
      </c>
      <c r="E1240" t="s">
        <v>331</v>
      </c>
    </row>
    <row r="1241" spans="1:5" x14ac:dyDescent="0.25">
      <c r="A1241">
        <v>1877</v>
      </c>
      <c r="B1241" s="16">
        <v>43497</v>
      </c>
      <c r="C1241" t="s">
        <v>178</v>
      </c>
      <c r="D1241">
        <v>-4550175</v>
      </c>
      <c r="E1241" t="s">
        <v>331</v>
      </c>
    </row>
    <row r="1242" spans="1:5" x14ac:dyDescent="0.25">
      <c r="A1242">
        <v>1877</v>
      </c>
      <c r="B1242" s="16">
        <v>43525</v>
      </c>
      <c r="C1242" t="s">
        <v>178</v>
      </c>
      <c r="D1242">
        <v>-4550175</v>
      </c>
      <c r="E1242" t="s">
        <v>331</v>
      </c>
    </row>
    <row r="1243" spans="1:5" x14ac:dyDescent="0.25">
      <c r="A1243">
        <v>1877</v>
      </c>
      <c r="B1243" s="16">
        <v>43556</v>
      </c>
      <c r="C1243" t="s">
        <v>178</v>
      </c>
      <c r="D1243">
        <v>-4550175</v>
      </c>
      <c r="E1243" t="s">
        <v>331</v>
      </c>
    </row>
    <row r="1244" spans="1:5" x14ac:dyDescent="0.25">
      <c r="A1244">
        <v>1877</v>
      </c>
      <c r="B1244" s="16">
        <v>43586</v>
      </c>
      <c r="C1244" t="s">
        <v>178</v>
      </c>
      <c r="D1244">
        <v>-4550175</v>
      </c>
      <c r="E1244" t="s">
        <v>331</v>
      </c>
    </row>
    <row r="1245" spans="1:5" x14ac:dyDescent="0.25">
      <c r="A1245">
        <v>1877</v>
      </c>
      <c r="B1245" s="16">
        <v>43617</v>
      </c>
      <c r="C1245" t="s">
        <v>178</v>
      </c>
      <c r="D1245">
        <v>-4550175</v>
      </c>
      <c r="E1245" t="s">
        <v>331</v>
      </c>
    </row>
    <row r="1246" spans="1:5" x14ac:dyDescent="0.25">
      <c r="A1246">
        <v>1877</v>
      </c>
      <c r="B1246" s="16">
        <v>43647</v>
      </c>
      <c r="C1246" t="s">
        <v>178</v>
      </c>
      <c r="D1246">
        <v>-4550175</v>
      </c>
      <c r="E1246" t="s">
        <v>331</v>
      </c>
    </row>
    <row r="1247" spans="1:5" x14ac:dyDescent="0.25">
      <c r="A1247">
        <v>1877</v>
      </c>
      <c r="B1247" s="16">
        <v>43678</v>
      </c>
      <c r="C1247" t="s">
        <v>178</v>
      </c>
      <c r="D1247">
        <v>-4550175</v>
      </c>
      <c r="E1247" t="s">
        <v>331</v>
      </c>
    </row>
    <row r="1248" spans="1:5" x14ac:dyDescent="0.25">
      <c r="A1248">
        <v>1877</v>
      </c>
      <c r="B1248" s="16">
        <v>43709</v>
      </c>
      <c r="C1248" t="s">
        <v>178</v>
      </c>
      <c r="D1248">
        <v>-4550175</v>
      </c>
      <c r="E1248" t="s">
        <v>331</v>
      </c>
    </row>
    <row r="1249" spans="1:5" x14ac:dyDescent="0.25">
      <c r="A1249">
        <v>1877</v>
      </c>
      <c r="B1249" s="16">
        <v>43739</v>
      </c>
      <c r="C1249" t="s">
        <v>178</v>
      </c>
      <c r="D1249">
        <v>-4550175</v>
      </c>
      <c r="E1249" t="s">
        <v>331</v>
      </c>
    </row>
    <row r="1250" spans="1:5" x14ac:dyDescent="0.25">
      <c r="A1250">
        <v>1877</v>
      </c>
      <c r="B1250" s="16">
        <v>43770</v>
      </c>
      <c r="C1250" t="s">
        <v>178</v>
      </c>
      <c r="D1250">
        <v>-4550175</v>
      </c>
      <c r="E1250" t="s">
        <v>331</v>
      </c>
    </row>
    <row r="1251" spans="1:5" x14ac:dyDescent="0.25">
      <c r="A1251">
        <v>1877</v>
      </c>
      <c r="B1251" s="16">
        <v>43800</v>
      </c>
      <c r="C1251" t="s">
        <v>178</v>
      </c>
      <c r="D1251">
        <v>-4550175</v>
      </c>
      <c r="E1251" t="s">
        <v>331</v>
      </c>
    </row>
    <row r="1252" spans="1:5" x14ac:dyDescent="0.25">
      <c r="A1252">
        <v>1877</v>
      </c>
      <c r="B1252" s="16">
        <v>43831</v>
      </c>
      <c r="C1252" t="s">
        <v>178</v>
      </c>
      <c r="D1252">
        <v>-4550175</v>
      </c>
      <c r="E1252" t="s">
        <v>331</v>
      </c>
    </row>
    <row r="1253" spans="1:5" x14ac:dyDescent="0.25">
      <c r="A1253">
        <v>1877</v>
      </c>
      <c r="B1253" s="16">
        <v>43862</v>
      </c>
      <c r="C1253" t="s">
        <v>178</v>
      </c>
      <c r="D1253">
        <v>-4550175</v>
      </c>
      <c r="E1253" t="s">
        <v>331</v>
      </c>
    </row>
    <row r="1254" spans="1:5" x14ac:dyDescent="0.25">
      <c r="A1254">
        <v>1877</v>
      </c>
      <c r="B1254" s="16">
        <v>43891</v>
      </c>
      <c r="C1254" t="s">
        <v>178</v>
      </c>
      <c r="D1254">
        <v>-4550175</v>
      </c>
      <c r="E1254" t="s">
        <v>331</v>
      </c>
    </row>
    <row r="1255" spans="1:5" x14ac:dyDescent="0.25">
      <c r="A1255">
        <v>1877</v>
      </c>
      <c r="B1255" s="16">
        <v>43466</v>
      </c>
      <c r="C1255" t="s">
        <v>41</v>
      </c>
      <c r="D1255">
        <v>-9327858.75</v>
      </c>
      <c r="E1255" t="s">
        <v>331</v>
      </c>
    </row>
    <row r="1256" spans="1:5" x14ac:dyDescent="0.25">
      <c r="A1256">
        <v>1877</v>
      </c>
      <c r="B1256" s="16">
        <v>43497</v>
      </c>
      <c r="C1256" t="s">
        <v>41</v>
      </c>
      <c r="D1256">
        <v>-9327858.75</v>
      </c>
      <c r="E1256" t="s">
        <v>331</v>
      </c>
    </row>
    <row r="1257" spans="1:5" x14ac:dyDescent="0.25">
      <c r="A1257">
        <v>1877</v>
      </c>
      <c r="B1257" s="16">
        <v>43525</v>
      </c>
      <c r="C1257" t="s">
        <v>41</v>
      </c>
      <c r="D1257">
        <v>-9327858.75</v>
      </c>
      <c r="E1257" t="s">
        <v>331</v>
      </c>
    </row>
    <row r="1258" spans="1:5" x14ac:dyDescent="0.25">
      <c r="A1258">
        <v>1877</v>
      </c>
      <c r="B1258" s="16">
        <v>43556</v>
      </c>
      <c r="C1258" t="s">
        <v>41</v>
      </c>
      <c r="D1258">
        <v>-9327858.75</v>
      </c>
      <c r="E1258" t="s">
        <v>331</v>
      </c>
    </row>
    <row r="1259" spans="1:5" x14ac:dyDescent="0.25">
      <c r="A1259">
        <v>1877</v>
      </c>
      <c r="B1259" s="16">
        <v>43586</v>
      </c>
      <c r="C1259" t="s">
        <v>41</v>
      </c>
      <c r="D1259">
        <v>-9327858.75</v>
      </c>
      <c r="E1259" t="s">
        <v>331</v>
      </c>
    </row>
    <row r="1260" spans="1:5" x14ac:dyDescent="0.25">
      <c r="A1260">
        <v>1877</v>
      </c>
      <c r="B1260" s="16">
        <v>43617</v>
      </c>
      <c r="C1260" t="s">
        <v>41</v>
      </c>
      <c r="D1260">
        <v>-9327858.75</v>
      </c>
      <c r="E1260" t="s">
        <v>331</v>
      </c>
    </row>
    <row r="1261" spans="1:5" x14ac:dyDescent="0.25">
      <c r="A1261">
        <v>1877</v>
      </c>
      <c r="B1261" s="16">
        <v>43647</v>
      </c>
      <c r="C1261" t="s">
        <v>41</v>
      </c>
      <c r="D1261">
        <v>-9327858.75</v>
      </c>
      <c r="E1261" t="s">
        <v>331</v>
      </c>
    </row>
    <row r="1262" spans="1:5" x14ac:dyDescent="0.25">
      <c r="A1262">
        <v>1877</v>
      </c>
      <c r="B1262" s="16">
        <v>43678</v>
      </c>
      <c r="C1262" t="s">
        <v>41</v>
      </c>
      <c r="D1262">
        <v>-9327858.75</v>
      </c>
      <c r="E1262" t="s">
        <v>331</v>
      </c>
    </row>
    <row r="1263" spans="1:5" x14ac:dyDescent="0.25">
      <c r="A1263">
        <v>1877</v>
      </c>
      <c r="B1263" s="16">
        <v>43466</v>
      </c>
      <c r="C1263" t="s">
        <v>179</v>
      </c>
      <c r="D1263">
        <v>-9327858.75</v>
      </c>
      <c r="E1263" t="s">
        <v>331</v>
      </c>
    </row>
    <row r="1264" spans="1:5" x14ac:dyDescent="0.25">
      <c r="A1264">
        <v>1877</v>
      </c>
      <c r="B1264" s="16">
        <v>43497</v>
      </c>
      <c r="C1264" t="s">
        <v>179</v>
      </c>
      <c r="D1264">
        <v>-9327858.75</v>
      </c>
      <c r="E1264" t="s">
        <v>331</v>
      </c>
    </row>
    <row r="1265" spans="1:5" x14ac:dyDescent="0.25">
      <c r="A1265">
        <v>1877</v>
      </c>
      <c r="B1265" s="16">
        <v>43466</v>
      </c>
      <c r="C1265" t="s">
        <v>180</v>
      </c>
      <c r="D1265">
        <v>-4899387.3232500004</v>
      </c>
      <c r="E1265" t="s">
        <v>331</v>
      </c>
    </row>
    <row r="1266" spans="1:5" x14ac:dyDescent="0.25">
      <c r="A1266">
        <v>1877</v>
      </c>
      <c r="B1266" s="16">
        <v>43497</v>
      </c>
      <c r="C1266" t="s">
        <v>180</v>
      </c>
      <c r="D1266">
        <v>-4899387.3232500004</v>
      </c>
      <c r="E1266" t="s">
        <v>331</v>
      </c>
    </row>
    <row r="1267" spans="1:5" x14ac:dyDescent="0.25">
      <c r="A1267">
        <v>1877</v>
      </c>
      <c r="B1267" s="16">
        <v>43525</v>
      </c>
      <c r="C1267" t="s">
        <v>180</v>
      </c>
      <c r="D1267">
        <v>-4899387.3232500004</v>
      </c>
      <c r="E1267" t="s">
        <v>331</v>
      </c>
    </row>
    <row r="1268" spans="1:5" x14ac:dyDescent="0.25">
      <c r="A1268">
        <v>1877</v>
      </c>
      <c r="B1268" s="16">
        <v>43556</v>
      </c>
      <c r="C1268" t="s">
        <v>180</v>
      </c>
      <c r="D1268">
        <v>-4899387.3232500004</v>
      </c>
      <c r="E1268" t="s">
        <v>331</v>
      </c>
    </row>
    <row r="1269" spans="1:5" x14ac:dyDescent="0.25">
      <c r="A1269">
        <v>1877</v>
      </c>
      <c r="B1269" s="16">
        <v>43586</v>
      </c>
      <c r="C1269" t="s">
        <v>180</v>
      </c>
      <c r="D1269">
        <v>-4899387.3232500004</v>
      </c>
      <c r="E1269" t="s">
        <v>331</v>
      </c>
    </row>
    <row r="1270" spans="1:5" x14ac:dyDescent="0.25">
      <c r="A1270">
        <v>1877</v>
      </c>
      <c r="B1270" s="16">
        <v>43617</v>
      </c>
      <c r="C1270" t="s">
        <v>180</v>
      </c>
      <c r="D1270">
        <v>-4899387.3232500004</v>
      </c>
      <c r="E1270" t="s">
        <v>331</v>
      </c>
    </row>
    <row r="1271" spans="1:5" x14ac:dyDescent="0.25">
      <c r="A1271">
        <v>1877</v>
      </c>
      <c r="B1271" s="16">
        <v>43647</v>
      </c>
      <c r="C1271" t="s">
        <v>180</v>
      </c>
      <c r="D1271">
        <v>-4899387.3232500004</v>
      </c>
      <c r="E1271" t="s">
        <v>331</v>
      </c>
    </row>
    <row r="1272" spans="1:5" x14ac:dyDescent="0.25">
      <c r="A1272">
        <v>1877</v>
      </c>
      <c r="B1272" s="16">
        <v>43678</v>
      </c>
      <c r="C1272" t="s">
        <v>180</v>
      </c>
      <c r="D1272">
        <v>-4899387.3232500004</v>
      </c>
      <c r="E1272" t="s">
        <v>331</v>
      </c>
    </row>
    <row r="1273" spans="1:5" x14ac:dyDescent="0.25">
      <c r="A1273">
        <v>1877</v>
      </c>
      <c r="B1273" s="16">
        <v>43709</v>
      </c>
      <c r="C1273" t="s">
        <v>180</v>
      </c>
      <c r="D1273">
        <v>-4899387.3232500004</v>
      </c>
      <c r="E1273" t="s">
        <v>331</v>
      </c>
    </row>
    <row r="1274" spans="1:5" x14ac:dyDescent="0.25">
      <c r="A1274">
        <v>1877</v>
      </c>
      <c r="B1274" s="16">
        <v>43739</v>
      </c>
      <c r="C1274" t="s">
        <v>180</v>
      </c>
      <c r="D1274">
        <v>-4899387.3232500004</v>
      </c>
      <c r="E1274" t="s">
        <v>331</v>
      </c>
    </row>
    <row r="1275" spans="1:5" x14ac:dyDescent="0.25">
      <c r="A1275">
        <v>1877</v>
      </c>
      <c r="B1275" s="16">
        <v>43770</v>
      </c>
      <c r="C1275" t="s">
        <v>180</v>
      </c>
      <c r="D1275">
        <v>-4899387.3232500004</v>
      </c>
      <c r="E1275" t="s">
        <v>331</v>
      </c>
    </row>
    <row r="1276" spans="1:5" x14ac:dyDescent="0.25">
      <c r="A1276">
        <v>1877</v>
      </c>
      <c r="B1276" s="16">
        <v>43800</v>
      </c>
      <c r="C1276" t="s">
        <v>180</v>
      </c>
      <c r="D1276">
        <v>-4899387.3232500004</v>
      </c>
      <c r="E1276" t="s">
        <v>331</v>
      </c>
    </row>
    <row r="1277" spans="1:5" x14ac:dyDescent="0.25">
      <c r="A1277">
        <v>1877</v>
      </c>
      <c r="B1277" s="16">
        <v>43466</v>
      </c>
      <c r="C1277" t="s">
        <v>181</v>
      </c>
      <c r="D1277">
        <v>-4899387.3232500004</v>
      </c>
      <c r="E1277" t="s">
        <v>331</v>
      </c>
    </row>
    <row r="1278" spans="1:5" x14ac:dyDescent="0.25">
      <c r="A1278">
        <v>1877</v>
      </c>
      <c r="B1278" s="16">
        <v>43497</v>
      </c>
      <c r="C1278" t="s">
        <v>181</v>
      </c>
      <c r="D1278">
        <v>-4899387.3232500004</v>
      </c>
      <c r="E1278" t="s">
        <v>331</v>
      </c>
    </row>
    <row r="1279" spans="1:5" x14ac:dyDescent="0.25">
      <c r="A1279">
        <v>1877</v>
      </c>
      <c r="B1279" s="16">
        <v>43525</v>
      </c>
      <c r="C1279" t="s">
        <v>181</v>
      </c>
      <c r="D1279">
        <v>-4899387.3232500004</v>
      </c>
      <c r="E1279" t="s">
        <v>331</v>
      </c>
    </row>
    <row r="1280" spans="1:5" x14ac:dyDescent="0.25">
      <c r="A1280">
        <v>1877</v>
      </c>
      <c r="B1280" s="16">
        <v>43556</v>
      </c>
      <c r="C1280" t="s">
        <v>181</v>
      </c>
      <c r="D1280">
        <v>-4899387.3232500004</v>
      </c>
      <c r="E1280" t="s">
        <v>331</v>
      </c>
    </row>
    <row r="1281" spans="1:5" x14ac:dyDescent="0.25">
      <c r="A1281">
        <v>1877</v>
      </c>
      <c r="B1281" s="16">
        <v>43586</v>
      </c>
      <c r="C1281" t="s">
        <v>181</v>
      </c>
      <c r="D1281">
        <v>-4899387.3232500004</v>
      </c>
      <c r="E1281" t="s">
        <v>331</v>
      </c>
    </row>
    <row r="1282" spans="1:5" x14ac:dyDescent="0.25">
      <c r="A1282">
        <v>1877</v>
      </c>
      <c r="B1282" s="16">
        <v>43617</v>
      </c>
      <c r="C1282" t="s">
        <v>181</v>
      </c>
      <c r="D1282">
        <v>-4899387.3232500004</v>
      </c>
      <c r="E1282" t="s">
        <v>331</v>
      </c>
    </row>
    <row r="1283" spans="1:5" x14ac:dyDescent="0.25">
      <c r="A1283">
        <v>1877</v>
      </c>
      <c r="B1283" s="16">
        <v>43647</v>
      </c>
      <c r="C1283" t="s">
        <v>181</v>
      </c>
      <c r="D1283">
        <v>-4899387.3232500004</v>
      </c>
      <c r="E1283" t="s">
        <v>331</v>
      </c>
    </row>
    <row r="1284" spans="1:5" x14ac:dyDescent="0.25">
      <c r="A1284">
        <v>1877</v>
      </c>
      <c r="B1284" s="16">
        <v>43466</v>
      </c>
      <c r="C1284" t="s">
        <v>135</v>
      </c>
      <c r="D1284">
        <v>-3629175.7949999999</v>
      </c>
      <c r="E1284" t="s">
        <v>331</v>
      </c>
    </row>
    <row r="1285" spans="1:5" x14ac:dyDescent="0.25">
      <c r="A1285">
        <v>1877</v>
      </c>
      <c r="B1285" s="16">
        <v>43497</v>
      </c>
      <c r="C1285" t="s">
        <v>135</v>
      </c>
      <c r="D1285">
        <v>-3629175.7949999999</v>
      </c>
      <c r="E1285" t="s">
        <v>331</v>
      </c>
    </row>
    <row r="1286" spans="1:5" x14ac:dyDescent="0.25">
      <c r="A1286">
        <v>1877</v>
      </c>
      <c r="B1286" s="16">
        <v>43525</v>
      </c>
      <c r="C1286" t="s">
        <v>135</v>
      </c>
      <c r="D1286">
        <v>-3629175.7949999999</v>
      </c>
      <c r="E1286" t="s">
        <v>331</v>
      </c>
    </row>
    <row r="1287" spans="1:5" x14ac:dyDescent="0.25">
      <c r="A1287">
        <v>1877</v>
      </c>
      <c r="B1287" s="16">
        <v>43556</v>
      </c>
      <c r="C1287" t="s">
        <v>135</v>
      </c>
      <c r="D1287">
        <v>-3629175.7949999999</v>
      </c>
      <c r="E1287" t="s">
        <v>331</v>
      </c>
    </row>
    <row r="1288" spans="1:5" x14ac:dyDescent="0.25">
      <c r="A1288">
        <v>1877</v>
      </c>
      <c r="B1288" s="16">
        <v>43586</v>
      </c>
      <c r="C1288" t="s">
        <v>135</v>
      </c>
      <c r="D1288">
        <v>-3629175.7949999999</v>
      </c>
      <c r="E1288" t="s">
        <v>331</v>
      </c>
    </row>
    <row r="1289" spans="1:5" x14ac:dyDescent="0.25">
      <c r="A1289">
        <v>1877</v>
      </c>
      <c r="B1289" s="16">
        <v>43617</v>
      </c>
      <c r="C1289" t="s">
        <v>135</v>
      </c>
      <c r="D1289">
        <v>-3629175.7949999999</v>
      </c>
      <c r="E1289" t="s">
        <v>331</v>
      </c>
    </row>
    <row r="1290" spans="1:5" x14ac:dyDescent="0.25">
      <c r="A1290">
        <v>1877</v>
      </c>
      <c r="B1290" s="16">
        <v>43647</v>
      </c>
      <c r="C1290" t="s">
        <v>135</v>
      </c>
      <c r="D1290">
        <v>-3629175.7949999999</v>
      </c>
      <c r="E1290" t="s">
        <v>331</v>
      </c>
    </row>
    <row r="1291" spans="1:5" x14ac:dyDescent="0.25">
      <c r="A1291">
        <v>1877</v>
      </c>
      <c r="B1291" s="16">
        <v>43678</v>
      </c>
      <c r="C1291" t="s">
        <v>135</v>
      </c>
      <c r="D1291">
        <v>-3629175.7949999999</v>
      </c>
      <c r="E1291" t="s">
        <v>331</v>
      </c>
    </row>
    <row r="1292" spans="1:5" x14ac:dyDescent="0.25">
      <c r="A1292">
        <v>1877</v>
      </c>
      <c r="B1292" s="16">
        <v>43466</v>
      </c>
      <c r="C1292" t="s">
        <v>182</v>
      </c>
      <c r="D1292">
        <v>-3690632.1209625001</v>
      </c>
      <c r="E1292" t="s">
        <v>331</v>
      </c>
    </row>
    <row r="1293" spans="1:5" x14ac:dyDescent="0.25">
      <c r="A1293">
        <v>1877</v>
      </c>
      <c r="B1293" s="16">
        <v>43497</v>
      </c>
      <c r="C1293" t="s">
        <v>182</v>
      </c>
      <c r="D1293">
        <v>-3690632.1209625001</v>
      </c>
      <c r="E1293" t="s">
        <v>331</v>
      </c>
    </row>
    <row r="1294" spans="1:5" x14ac:dyDescent="0.25">
      <c r="A1294">
        <v>1877</v>
      </c>
      <c r="B1294" s="16">
        <v>43525</v>
      </c>
      <c r="C1294" t="s">
        <v>182</v>
      </c>
      <c r="D1294">
        <v>-3690632.1209625001</v>
      </c>
      <c r="E1294" t="s">
        <v>331</v>
      </c>
    </row>
    <row r="1295" spans="1:5" x14ac:dyDescent="0.25">
      <c r="A1295">
        <v>1877</v>
      </c>
      <c r="B1295" s="16">
        <v>43556</v>
      </c>
      <c r="C1295" t="s">
        <v>182</v>
      </c>
      <c r="D1295">
        <v>-3690632.1209625001</v>
      </c>
      <c r="E1295" t="s">
        <v>331</v>
      </c>
    </row>
    <row r="1296" spans="1:5" x14ac:dyDescent="0.25">
      <c r="A1296">
        <v>1877</v>
      </c>
      <c r="B1296" s="16">
        <v>43586</v>
      </c>
      <c r="C1296" t="s">
        <v>182</v>
      </c>
      <c r="D1296">
        <v>-3690632.1209625001</v>
      </c>
      <c r="E1296" t="s">
        <v>331</v>
      </c>
    </row>
    <row r="1297" spans="1:5" x14ac:dyDescent="0.25">
      <c r="A1297">
        <v>1877</v>
      </c>
      <c r="B1297" s="16">
        <v>43617</v>
      </c>
      <c r="C1297" t="s">
        <v>182</v>
      </c>
      <c r="D1297">
        <v>-3690632.1209625001</v>
      </c>
      <c r="E1297" t="s">
        <v>331</v>
      </c>
    </row>
    <row r="1298" spans="1:5" x14ac:dyDescent="0.25">
      <c r="A1298">
        <v>1877</v>
      </c>
      <c r="B1298" s="16">
        <v>43647</v>
      </c>
      <c r="C1298" t="s">
        <v>182</v>
      </c>
      <c r="D1298">
        <v>-3690632.1209625001</v>
      </c>
      <c r="E1298" t="s">
        <v>331</v>
      </c>
    </row>
    <row r="1299" spans="1:5" x14ac:dyDescent="0.25">
      <c r="A1299">
        <v>1877</v>
      </c>
      <c r="B1299" s="16">
        <v>43678</v>
      </c>
      <c r="C1299" t="s">
        <v>182</v>
      </c>
      <c r="D1299">
        <v>-3690632.1209625001</v>
      </c>
      <c r="E1299" t="s">
        <v>331</v>
      </c>
    </row>
    <row r="1300" spans="1:5" x14ac:dyDescent="0.25">
      <c r="A1300">
        <v>1877</v>
      </c>
      <c r="B1300" s="16">
        <v>43709</v>
      </c>
      <c r="C1300" t="s">
        <v>182</v>
      </c>
      <c r="D1300">
        <v>-3690632.1209625001</v>
      </c>
      <c r="E1300" t="s">
        <v>331</v>
      </c>
    </row>
    <row r="1301" spans="1:5" x14ac:dyDescent="0.25">
      <c r="A1301">
        <v>1877</v>
      </c>
      <c r="B1301" s="16">
        <v>43739</v>
      </c>
      <c r="C1301" t="s">
        <v>182</v>
      </c>
      <c r="D1301">
        <v>-3690632.1209625001</v>
      </c>
      <c r="E1301" t="s">
        <v>331</v>
      </c>
    </row>
    <row r="1302" spans="1:5" x14ac:dyDescent="0.25">
      <c r="A1302">
        <v>1877</v>
      </c>
      <c r="B1302" s="16">
        <v>43466</v>
      </c>
      <c r="C1302" t="s">
        <v>24</v>
      </c>
      <c r="D1302">
        <v>-4935876.75</v>
      </c>
      <c r="E1302" t="s">
        <v>331</v>
      </c>
    </row>
    <row r="1303" spans="1:5" x14ac:dyDescent="0.25">
      <c r="A1303">
        <v>1877</v>
      </c>
      <c r="B1303" s="16">
        <v>43497</v>
      </c>
      <c r="C1303" t="s">
        <v>24</v>
      </c>
      <c r="D1303">
        <v>-4935876.75</v>
      </c>
      <c r="E1303" t="s">
        <v>331</v>
      </c>
    </row>
    <row r="1304" spans="1:5" x14ac:dyDescent="0.25">
      <c r="A1304">
        <v>1877</v>
      </c>
      <c r="B1304" s="16">
        <v>43525</v>
      </c>
      <c r="C1304" t="s">
        <v>24</v>
      </c>
      <c r="D1304">
        <v>-4935876.75</v>
      </c>
      <c r="E1304" t="s">
        <v>331</v>
      </c>
    </row>
    <row r="1305" spans="1:5" x14ac:dyDescent="0.25">
      <c r="A1305">
        <v>1877</v>
      </c>
      <c r="B1305" s="16">
        <v>43556</v>
      </c>
      <c r="C1305" t="s">
        <v>24</v>
      </c>
      <c r="D1305">
        <v>-4935876.75</v>
      </c>
      <c r="E1305" t="s">
        <v>331</v>
      </c>
    </row>
    <row r="1306" spans="1:5" x14ac:dyDescent="0.25">
      <c r="A1306">
        <v>1877</v>
      </c>
      <c r="B1306" s="16">
        <v>43586</v>
      </c>
      <c r="C1306" t="s">
        <v>24</v>
      </c>
      <c r="D1306">
        <v>-4935876.75</v>
      </c>
      <c r="E1306" t="s">
        <v>331</v>
      </c>
    </row>
    <row r="1307" spans="1:5" x14ac:dyDescent="0.25">
      <c r="A1307">
        <v>1877</v>
      </c>
      <c r="B1307" s="16">
        <v>43617</v>
      </c>
      <c r="C1307" t="s">
        <v>24</v>
      </c>
      <c r="D1307">
        <v>-4935876.75</v>
      </c>
      <c r="E1307" t="s">
        <v>331</v>
      </c>
    </row>
    <row r="1308" spans="1:5" x14ac:dyDescent="0.25">
      <c r="A1308">
        <v>1877</v>
      </c>
      <c r="B1308" s="16">
        <v>43647</v>
      </c>
      <c r="C1308" t="s">
        <v>24</v>
      </c>
      <c r="D1308">
        <v>-4935876.75</v>
      </c>
      <c r="E1308" t="s">
        <v>331</v>
      </c>
    </row>
    <row r="1309" spans="1:5" x14ac:dyDescent="0.25">
      <c r="A1309">
        <v>1877</v>
      </c>
      <c r="B1309" s="16">
        <v>43678</v>
      </c>
      <c r="C1309" t="s">
        <v>24</v>
      </c>
      <c r="D1309">
        <v>-4935876.75</v>
      </c>
      <c r="E1309" t="s">
        <v>331</v>
      </c>
    </row>
    <row r="1310" spans="1:5" x14ac:dyDescent="0.25">
      <c r="A1310">
        <v>1856</v>
      </c>
      <c r="B1310" s="16">
        <v>43466</v>
      </c>
      <c r="C1310" t="s">
        <v>24</v>
      </c>
      <c r="D1310">
        <v>-3771772.7985</v>
      </c>
      <c r="E1310" t="s">
        <v>331</v>
      </c>
    </row>
    <row r="1311" spans="1:5" x14ac:dyDescent="0.25">
      <c r="A1311">
        <v>1856</v>
      </c>
      <c r="B1311" s="16">
        <v>43497</v>
      </c>
      <c r="C1311" t="s">
        <v>24</v>
      </c>
      <c r="D1311">
        <v>-3771772.7985</v>
      </c>
      <c r="E1311" t="s">
        <v>331</v>
      </c>
    </row>
    <row r="1312" spans="1:5" x14ac:dyDescent="0.25">
      <c r="A1312">
        <v>1856</v>
      </c>
      <c r="B1312" s="16">
        <v>43525</v>
      </c>
      <c r="C1312" t="s">
        <v>24</v>
      </c>
      <c r="D1312">
        <v>-3771772.7985</v>
      </c>
      <c r="E1312" t="s">
        <v>331</v>
      </c>
    </row>
    <row r="1313" spans="1:5" x14ac:dyDescent="0.25">
      <c r="A1313">
        <v>1856</v>
      </c>
      <c r="B1313" s="16">
        <v>43556</v>
      </c>
      <c r="C1313" t="s">
        <v>24</v>
      </c>
      <c r="D1313">
        <v>-3771772.7985</v>
      </c>
      <c r="E1313" t="s">
        <v>331</v>
      </c>
    </row>
    <row r="1314" spans="1:5" x14ac:dyDescent="0.25">
      <c r="A1314">
        <v>1856</v>
      </c>
      <c r="B1314" s="16">
        <v>43586</v>
      </c>
      <c r="C1314" t="s">
        <v>24</v>
      </c>
      <c r="D1314">
        <v>-3771772.7985</v>
      </c>
      <c r="E1314" t="s">
        <v>331</v>
      </c>
    </row>
    <row r="1315" spans="1:5" x14ac:dyDescent="0.25">
      <c r="A1315">
        <v>1856</v>
      </c>
      <c r="B1315" s="16">
        <v>43617</v>
      </c>
      <c r="C1315" t="s">
        <v>24</v>
      </c>
      <c r="D1315">
        <v>-3771772.7985</v>
      </c>
      <c r="E1315" t="s">
        <v>331</v>
      </c>
    </row>
    <row r="1316" spans="1:5" x14ac:dyDescent="0.25">
      <c r="A1316">
        <v>1856</v>
      </c>
      <c r="B1316" s="16">
        <v>43647</v>
      </c>
      <c r="C1316" t="s">
        <v>24</v>
      </c>
      <c r="D1316">
        <v>-3771772.7985</v>
      </c>
      <c r="E1316" t="s">
        <v>331</v>
      </c>
    </row>
    <row r="1317" spans="1:5" x14ac:dyDescent="0.25">
      <c r="A1317">
        <v>1856</v>
      </c>
      <c r="B1317" s="16">
        <v>43678</v>
      </c>
      <c r="C1317" t="s">
        <v>24</v>
      </c>
      <c r="D1317">
        <v>-3771772.7985</v>
      </c>
      <c r="E1317" t="s">
        <v>331</v>
      </c>
    </row>
    <row r="1318" spans="1:5" x14ac:dyDescent="0.25">
      <c r="A1318">
        <v>1856</v>
      </c>
      <c r="B1318" s="16">
        <v>43709</v>
      </c>
      <c r="C1318" t="s">
        <v>24</v>
      </c>
      <c r="D1318">
        <v>-3771772.7985</v>
      </c>
      <c r="E1318" t="s">
        <v>331</v>
      </c>
    </row>
    <row r="1319" spans="1:5" x14ac:dyDescent="0.25">
      <c r="A1319">
        <v>1856</v>
      </c>
      <c r="B1319" s="16">
        <v>43739</v>
      </c>
      <c r="C1319" t="s">
        <v>24</v>
      </c>
      <c r="D1319">
        <v>-3771772.7985</v>
      </c>
      <c r="E1319" t="s">
        <v>331</v>
      </c>
    </row>
    <row r="1320" spans="1:5" x14ac:dyDescent="0.25">
      <c r="A1320">
        <v>1856</v>
      </c>
      <c r="B1320" s="16">
        <v>43770</v>
      </c>
      <c r="C1320" t="s">
        <v>24</v>
      </c>
      <c r="D1320">
        <v>-3771772.7985</v>
      </c>
      <c r="E1320" t="s">
        <v>331</v>
      </c>
    </row>
    <row r="1321" spans="1:5" x14ac:dyDescent="0.25">
      <c r="A1321">
        <v>1856</v>
      </c>
      <c r="B1321" s="16">
        <v>43800</v>
      </c>
      <c r="C1321" t="s">
        <v>24</v>
      </c>
      <c r="D1321">
        <v>-3771772.7985</v>
      </c>
      <c r="E1321" t="s">
        <v>331</v>
      </c>
    </row>
    <row r="1322" spans="1:5" x14ac:dyDescent="0.25">
      <c r="A1322">
        <v>1856</v>
      </c>
      <c r="B1322" s="16">
        <v>43831</v>
      </c>
      <c r="C1322" t="s">
        <v>24</v>
      </c>
      <c r="D1322">
        <v>-3771772.7985</v>
      </c>
      <c r="E1322" t="s">
        <v>331</v>
      </c>
    </row>
    <row r="1323" spans="1:5" x14ac:dyDescent="0.25">
      <c r="A1323">
        <v>1856</v>
      </c>
      <c r="B1323" s="16">
        <v>43862</v>
      </c>
      <c r="C1323" t="s">
        <v>24</v>
      </c>
      <c r="D1323">
        <v>-3771772.7985</v>
      </c>
      <c r="E1323" t="s">
        <v>331</v>
      </c>
    </row>
    <row r="1324" spans="1:5" x14ac:dyDescent="0.25">
      <c r="A1324">
        <v>1856</v>
      </c>
      <c r="B1324" s="16">
        <v>43891</v>
      </c>
      <c r="C1324" t="s">
        <v>24</v>
      </c>
      <c r="D1324">
        <v>-3771772.7985</v>
      </c>
      <c r="E1324" t="s">
        <v>331</v>
      </c>
    </row>
    <row r="1325" spans="1:5" x14ac:dyDescent="0.25">
      <c r="A1325">
        <v>1856</v>
      </c>
      <c r="B1325" s="16">
        <v>43922</v>
      </c>
      <c r="C1325" t="s">
        <v>24</v>
      </c>
      <c r="D1325">
        <v>-3771772.7985</v>
      </c>
      <c r="E1325" t="s">
        <v>331</v>
      </c>
    </row>
    <row r="1326" spans="1:5" x14ac:dyDescent="0.25">
      <c r="A1326">
        <v>1856</v>
      </c>
      <c r="B1326" s="16">
        <v>43952</v>
      </c>
      <c r="C1326" t="s">
        <v>24</v>
      </c>
      <c r="D1326">
        <v>-3771772.7985</v>
      </c>
      <c r="E1326" t="s">
        <v>331</v>
      </c>
    </row>
    <row r="1327" spans="1:5" x14ac:dyDescent="0.25">
      <c r="A1327">
        <v>1856</v>
      </c>
      <c r="B1327" s="16">
        <v>43983</v>
      </c>
      <c r="C1327" t="s">
        <v>24</v>
      </c>
      <c r="D1327">
        <v>-3771772.7985</v>
      </c>
      <c r="E1327" t="s">
        <v>331</v>
      </c>
    </row>
    <row r="1328" spans="1:5" x14ac:dyDescent="0.25">
      <c r="A1328">
        <v>1856</v>
      </c>
      <c r="B1328" s="16">
        <v>44013</v>
      </c>
      <c r="C1328" t="s">
        <v>24</v>
      </c>
      <c r="D1328">
        <v>-3771772.7985</v>
      </c>
      <c r="E1328" t="s">
        <v>331</v>
      </c>
    </row>
    <row r="1329" spans="1:5" x14ac:dyDescent="0.25">
      <c r="A1329">
        <v>1856</v>
      </c>
      <c r="B1329" s="16">
        <v>44044</v>
      </c>
      <c r="C1329" t="s">
        <v>24</v>
      </c>
      <c r="D1329">
        <v>-3771772.7985</v>
      </c>
      <c r="E1329" t="s">
        <v>331</v>
      </c>
    </row>
    <row r="1330" spans="1:5" x14ac:dyDescent="0.25">
      <c r="A1330">
        <v>1856</v>
      </c>
      <c r="B1330" s="16">
        <v>44075</v>
      </c>
      <c r="C1330" t="s">
        <v>24</v>
      </c>
      <c r="D1330">
        <v>-3771772.7985</v>
      </c>
      <c r="E1330" t="s">
        <v>331</v>
      </c>
    </row>
    <row r="1331" spans="1:5" x14ac:dyDescent="0.25">
      <c r="A1331">
        <v>1856</v>
      </c>
      <c r="B1331" s="16">
        <v>44105</v>
      </c>
      <c r="C1331" t="s">
        <v>24</v>
      </c>
      <c r="D1331">
        <v>-3771772.7985</v>
      </c>
      <c r="E1331" t="s">
        <v>331</v>
      </c>
    </row>
    <row r="1332" spans="1:5" x14ac:dyDescent="0.25">
      <c r="A1332">
        <v>1856</v>
      </c>
      <c r="B1332" s="16">
        <v>44136</v>
      </c>
      <c r="C1332" t="s">
        <v>24</v>
      </c>
      <c r="D1332">
        <v>-3771772.7985</v>
      </c>
      <c r="E1332" t="s">
        <v>331</v>
      </c>
    </row>
    <row r="1333" spans="1:5" x14ac:dyDescent="0.25">
      <c r="A1333">
        <v>1856</v>
      </c>
      <c r="B1333" s="16">
        <v>44166</v>
      </c>
      <c r="C1333" t="s">
        <v>24</v>
      </c>
      <c r="D1333">
        <v>-3771772.7985</v>
      </c>
      <c r="E1333" t="s">
        <v>331</v>
      </c>
    </row>
    <row r="1334" spans="1:5" x14ac:dyDescent="0.25">
      <c r="A1334">
        <v>1856</v>
      </c>
      <c r="B1334" s="16">
        <v>44197</v>
      </c>
      <c r="C1334" t="s">
        <v>24</v>
      </c>
      <c r="D1334">
        <v>-3771772.7985</v>
      </c>
      <c r="E1334" t="s">
        <v>331</v>
      </c>
    </row>
    <row r="1335" spans="1:5" x14ac:dyDescent="0.25">
      <c r="A1335">
        <v>1829</v>
      </c>
      <c r="B1335" s="16">
        <v>43466</v>
      </c>
      <c r="C1335" t="s">
        <v>143</v>
      </c>
      <c r="D1335">
        <v>-6004530</v>
      </c>
      <c r="E1335" t="s">
        <v>331</v>
      </c>
    </row>
    <row r="1336" spans="1:5" x14ac:dyDescent="0.25">
      <c r="A1336">
        <v>1829</v>
      </c>
      <c r="B1336" s="16">
        <v>43497</v>
      </c>
      <c r="C1336" t="s">
        <v>143</v>
      </c>
      <c r="D1336">
        <v>-6004530</v>
      </c>
      <c r="E1336" t="s">
        <v>331</v>
      </c>
    </row>
    <row r="1337" spans="1:5" x14ac:dyDescent="0.25">
      <c r="A1337">
        <v>1829</v>
      </c>
      <c r="B1337" s="16">
        <v>43525</v>
      </c>
      <c r="C1337" t="s">
        <v>143</v>
      </c>
      <c r="D1337">
        <v>-6004530</v>
      </c>
      <c r="E1337" t="s">
        <v>331</v>
      </c>
    </row>
    <row r="1338" spans="1:5" x14ac:dyDescent="0.25">
      <c r="A1338">
        <v>1829</v>
      </c>
      <c r="B1338" s="16">
        <v>43556</v>
      </c>
      <c r="C1338" t="s">
        <v>143</v>
      </c>
      <c r="D1338">
        <v>-6004530</v>
      </c>
      <c r="E1338" t="s">
        <v>331</v>
      </c>
    </row>
    <row r="1339" spans="1:5" x14ac:dyDescent="0.25">
      <c r="A1339">
        <v>1829</v>
      </c>
      <c r="B1339" s="16">
        <v>43586</v>
      </c>
      <c r="C1339" t="s">
        <v>143</v>
      </c>
      <c r="D1339">
        <v>-6004530</v>
      </c>
      <c r="E1339" t="s">
        <v>331</v>
      </c>
    </row>
    <row r="1340" spans="1:5" x14ac:dyDescent="0.25">
      <c r="A1340">
        <v>1829</v>
      </c>
      <c r="B1340" s="16">
        <v>43617</v>
      </c>
      <c r="C1340" t="s">
        <v>143</v>
      </c>
      <c r="D1340">
        <v>-6004530</v>
      </c>
      <c r="E1340" t="s">
        <v>331</v>
      </c>
    </row>
    <row r="1341" spans="1:5" x14ac:dyDescent="0.25">
      <c r="A1341">
        <v>1829</v>
      </c>
      <c r="B1341" s="16">
        <v>43647</v>
      </c>
      <c r="C1341" t="s">
        <v>143</v>
      </c>
      <c r="D1341">
        <v>-6004530</v>
      </c>
      <c r="E1341" t="s">
        <v>331</v>
      </c>
    </row>
    <row r="1342" spans="1:5" x14ac:dyDescent="0.25">
      <c r="A1342">
        <v>1829</v>
      </c>
      <c r="B1342" s="16">
        <v>43678</v>
      </c>
      <c r="C1342" t="s">
        <v>143</v>
      </c>
      <c r="D1342">
        <v>-6004530</v>
      </c>
      <c r="E1342" t="s">
        <v>331</v>
      </c>
    </row>
    <row r="1343" spans="1:5" x14ac:dyDescent="0.25">
      <c r="A1343">
        <v>1829</v>
      </c>
      <c r="B1343" s="16">
        <v>43709</v>
      </c>
      <c r="C1343" t="s">
        <v>143</v>
      </c>
      <c r="D1343">
        <v>-6004530</v>
      </c>
      <c r="E1343" t="s">
        <v>331</v>
      </c>
    </row>
    <row r="1344" spans="1:5" x14ac:dyDescent="0.25">
      <c r="A1344">
        <v>1829</v>
      </c>
      <c r="B1344" s="16">
        <v>43739</v>
      </c>
      <c r="C1344" t="s">
        <v>143</v>
      </c>
      <c r="D1344">
        <v>-6004530</v>
      </c>
      <c r="E1344" t="s">
        <v>331</v>
      </c>
    </row>
    <row r="1345" spans="1:5" x14ac:dyDescent="0.25">
      <c r="A1345">
        <v>1829</v>
      </c>
      <c r="B1345" s="16">
        <v>43770</v>
      </c>
      <c r="C1345" t="s">
        <v>143</v>
      </c>
      <c r="D1345">
        <v>-6004530</v>
      </c>
      <c r="E1345" t="s">
        <v>331</v>
      </c>
    </row>
    <row r="1346" spans="1:5" x14ac:dyDescent="0.25">
      <c r="A1346">
        <v>1829</v>
      </c>
      <c r="B1346" s="16">
        <v>43800</v>
      </c>
      <c r="C1346" t="s">
        <v>143</v>
      </c>
      <c r="D1346">
        <v>-6004530</v>
      </c>
      <c r="E1346" t="s">
        <v>331</v>
      </c>
    </row>
    <row r="1347" spans="1:5" x14ac:dyDescent="0.25">
      <c r="A1347">
        <v>1829</v>
      </c>
      <c r="B1347" s="16">
        <v>43831</v>
      </c>
      <c r="C1347" t="s">
        <v>143</v>
      </c>
      <c r="D1347">
        <v>-6004530</v>
      </c>
      <c r="E1347" t="s">
        <v>331</v>
      </c>
    </row>
    <row r="1348" spans="1:5" x14ac:dyDescent="0.25">
      <c r="A1348">
        <v>1829</v>
      </c>
      <c r="B1348" s="16">
        <v>43862</v>
      </c>
      <c r="C1348" t="s">
        <v>143</v>
      </c>
      <c r="D1348">
        <v>-6004530</v>
      </c>
      <c r="E1348" t="s">
        <v>331</v>
      </c>
    </row>
    <row r="1349" spans="1:5" x14ac:dyDescent="0.25">
      <c r="A1349">
        <v>1829</v>
      </c>
      <c r="B1349" s="16">
        <v>43891</v>
      </c>
      <c r="C1349" t="s">
        <v>143</v>
      </c>
      <c r="D1349">
        <v>-6004530</v>
      </c>
      <c r="E1349" t="s">
        <v>331</v>
      </c>
    </row>
    <row r="1350" spans="1:5" x14ac:dyDescent="0.25">
      <c r="A1350">
        <v>1818</v>
      </c>
      <c r="B1350" s="16">
        <v>43466</v>
      </c>
      <c r="C1350" t="s">
        <v>16</v>
      </c>
      <c r="D1350">
        <v>-380362.5</v>
      </c>
      <c r="E1350" t="s">
        <v>331</v>
      </c>
    </row>
    <row r="1351" spans="1:5" x14ac:dyDescent="0.25">
      <c r="A1351">
        <v>1818</v>
      </c>
      <c r="B1351" s="16">
        <v>43497</v>
      </c>
      <c r="C1351" t="s">
        <v>16</v>
      </c>
      <c r="D1351">
        <v>-380362.5</v>
      </c>
      <c r="E1351" t="s">
        <v>331</v>
      </c>
    </row>
    <row r="1352" spans="1:5" x14ac:dyDescent="0.25">
      <c r="A1352">
        <v>1818</v>
      </c>
      <c r="B1352" s="16">
        <v>43525</v>
      </c>
      <c r="C1352" t="s">
        <v>16</v>
      </c>
      <c r="D1352">
        <v>-380362.5</v>
      </c>
      <c r="E1352" t="s">
        <v>331</v>
      </c>
    </row>
    <row r="1353" spans="1:5" x14ac:dyDescent="0.25">
      <c r="A1353">
        <v>1818</v>
      </c>
      <c r="B1353" s="16">
        <v>43556</v>
      </c>
      <c r="C1353" t="s">
        <v>16</v>
      </c>
      <c r="D1353">
        <v>-380362.5</v>
      </c>
      <c r="E1353" t="s">
        <v>331</v>
      </c>
    </row>
    <row r="1354" spans="1:5" x14ac:dyDescent="0.25">
      <c r="A1354">
        <v>1818</v>
      </c>
      <c r="B1354" s="16">
        <v>43586</v>
      </c>
      <c r="C1354" t="s">
        <v>16</v>
      </c>
      <c r="D1354">
        <v>-380362.5</v>
      </c>
      <c r="E1354" t="s">
        <v>331</v>
      </c>
    </row>
    <row r="1355" spans="1:5" x14ac:dyDescent="0.25">
      <c r="A1355">
        <v>1818</v>
      </c>
      <c r="B1355" s="16">
        <v>43617</v>
      </c>
      <c r="C1355" t="s">
        <v>16</v>
      </c>
      <c r="D1355">
        <v>-380362.5</v>
      </c>
      <c r="E1355" t="s">
        <v>331</v>
      </c>
    </row>
    <row r="1356" spans="1:5" x14ac:dyDescent="0.25">
      <c r="A1356">
        <v>1818</v>
      </c>
      <c r="B1356" s="16">
        <v>43647</v>
      </c>
      <c r="C1356" t="s">
        <v>16</v>
      </c>
      <c r="D1356">
        <v>-380362.5</v>
      </c>
      <c r="E1356" t="s">
        <v>331</v>
      </c>
    </row>
    <row r="1357" spans="1:5" x14ac:dyDescent="0.25">
      <c r="A1357">
        <v>1818</v>
      </c>
      <c r="B1357" s="16">
        <v>43678</v>
      </c>
      <c r="C1357" t="s">
        <v>16</v>
      </c>
      <c r="D1357">
        <v>-380362.5</v>
      </c>
      <c r="E1357" t="s">
        <v>331</v>
      </c>
    </row>
    <row r="1358" spans="1:5" x14ac:dyDescent="0.25">
      <c r="A1358">
        <v>1753</v>
      </c>
      <c r="B1358" s="16">
        <v>43466</v>
      </c>
      <c r="C1358" t="s">
        <v>122</v>
      </c>
      <c r="D1358">
        <v>-7324096.5</v>
      </c>
      <c r="E1358" t="s">
        <v>331</v>
      </c>
    </row>
    <row r="1359" spans="1:5" x14ac:dyDescent="0.25">
      <c r="A1359">
        <v>1753</v>
      </c>
      <c r="B1359" s="16">
        <v>43466</v>
      </c>
      <c r="C1359" t="s">
        <v>59</v>
      </c>
      <c r="D1359">
        <v>-2504250</v>
      </c>
      <c r="E1359" t="s">
        <v>331</v>
      </c>
    </row>
    <row r="1360" spans="1:5" x14ac:dyDescent="0.25">
      <c r="A1360">
        <v>1753</v>
      </c>
      <c r="B1360" s="16">
        <v>43466</v>
      </c>
      <c r="C1360" t="s">
        <v>24</v>
      </c>
      <c r="D1360">
        <v>-4165803.1799999997</v>
      </c>
      <c r="E1360" t="s">
        <v>331</v>
      </c>
    </row>
    <row r="1361" spans="1:5" x14ac:dyDescent="0.25">
      <c r="A1361">
        <v>1753</v>
      </c>
      <c r="B1361" s="16">
        <v>43466</v>
      </c>
      <c r="C1361" t="s">
        <v>38</v>
      </c>
      <c r="D1361">
        <v>-4165803.1799999997</v>
      </c>
      <c r="E1361" t="s">
        <v>331</v>
      </c>
    </row>
    <row r="1362" spans="1:5" x14ac:dyDescent="0.25">
      <c r="A1362">
        <v>1723</v>
      </c>
      <c r="B1362" s="16">
        <v>43466</v>
      </c>
      <c r="C1362" t="s">
        <v>19</v>
      </c>
      <c r="D1362">
        <v>-6085367.1464827517</v>
      </c>
      <c r="E1362" t="s">
        <v>331</v>
      </c>
    </row>
    <row r="1363" spans="1:5" x14ac:dyDescent="0.25">
      <c r="A1363">
        <v>1723</v>
      </c>
      <c r="B1363" s="16">
        <v>43497</v>
      </c>
      <c r="C1363" t="s">
        <v>19</v>
      </c>
      <c r="D1363">
        <v>-6085367.1464827517</v>
      </c>
      <c r="E1363" t="s">
        <v>331</v>
      </c>
    </row>
    <row r="1364" spans="1:5" x14ac:dyDescent="0.25">
      <c r="A1364">
        <v>1723</v>
      </c>
      <c r="B1364" s="16">
        <v>43525</v>
      </c>
      <c r="C1364" t="s">
        <v>19</v>
      </c>
      <c r="D1364">
        <v>-6085367.1464827517</v>
      </c>
      <c r="E1364" t="s">
        <v>331</v>
      </c>
    </row>
    <row r="1365" spans="1:5" x14ac:dyDescent="0.25">
      <c r="A1365">
        <v>1723</v>
      </c>
      <c r="B1365" s="16">
        <v>43556</v>
      </c>
      <c r="C1365" t="s">
        <v>19</v>
      </c>
      <c r="D1365">
        <v>-6085367.1464827517</v>
      </c>
      <c r="E1365" t="s">
        <v>331</v>
      </c>
    </row>
    <row r="1366" spans="1:5" x14ac:dyDescent="0.25">
      <c r="A1366">
        <v>1723</v>
      </c>
      <c r="B1366" s="16">
        <v>43586</v>
      </c>
      <c r="C1366" t="s">
        <v>19</v>
      </c>
      <c r="D1366">
        <v>-6085367.1464827517</v>
      </c>
      <c r="E1366" t="s">
        <v>331</v>
      </c>
    </row>
    <row r="1367" spans="1:5" x14ac:dyDescent="0.25">
      <c r="A1367">
        <v>1723</v>
      </c>
      <c r="B1367" s="16">
        <v>43617</v>
      </c>
      <c r="C1367" t="s">
        <v>19</v>
      </c>
      <c r="D1367">
        <v>-6085367.1464827517</v>
      </c>
      <c r="E1367" t="s">
        <v>331</v>
      </c>
    </row>
    <row r="1368" spans="1:5" x14ac:dyDescent="0.25">
      <c r="A1368">
        <v>1723</v>
      </c>
      <c r="B1368" s="16">
        <v>43466</v>
      </c>
      <c r="C1368" t="s">
        <v>12</v>
      </c>
      <c r="D1368">
        <v>-11269198.072125001</v>
      </c>
      <c r="E1368" t="s">
        <v>331</v>
      </c>
    </row>
    <row r="1369" spans="1:5" x14ac:dyDescent="0.25">
      <c r="A1369">
        <v>1723</v>
      </c>
      <c r="B1369" s="16">
        <v>43497</v>
      </c>
      <c r="C1369" t="s">
        <v>12</v>
      </c>
      <c r="D1369">
        <v>-11269198.072125001</v>
      </c>
      <c r="E1369" t="s">
        <v>331</v>
      </c>
    </row>
    <row r="1370" spans="1:5" x14ac:dyDescent="0.25">
      <c r="A1370">
        <v>1723</v>
      </c>
      <c r="B1370" s="16">
        <v>43525</v>
      </c>
      <c r="C1370" t="s">
        <v>12</v>
      </c>
      <c r="D1370">
        <v>-11269198.072125001</v>
      </c>
      <c r="E1370" t="s">
        <v>331</v>
      </c>
    </row>
    <row r="1371" spans="1:5" x14ac:dyDescent="0.25">
      <c r="A1371">
        <v>1723</v>
      </c>
      <c r="B1371" s="16">
        <v>43556</v>
      </c>
      <c r="C1371" t="s">
        <v>12</v>
      </c>
      <c r="D1371">
        <v>-11269198.072125001</v>
      </c>
      <c r="E1371" t="s">
        <v>331</v>
      </c>
    </row>
    <row r="1372" spans="1:5" x14ac:dyDescent="0.25">
      <c r="A1372">
        <v>1723</v>
      </c>
      <c r="B1372" s="16">
        <v>43586</v>
      </c>
      <c r="C1372" t="s">
        <v>12</v>
      </c>
      <c r="D1372">
        <v>-11269198.072125001</v>
      </c>
      <c r="E1372" t="s">
        <v>331</v>
      </c>
    </row>
    <row r="1373" spans="1:5" x14ac:dyDescent="0.25">
      <c r="A1373">
        <v>1723</v>
      </c>
      <c r="B1373" s="16">
        <v>43617</v>
      </c>
      <c r="C1373" t="s">
        <v>12</v>
      </c>
      <c r="D1373">
        <v>-11269198.072125001</v>
      </c>
      <c r="E1373" t="s">
        <v>331</v>
      </c>
    </row>
    <row r="1374" spans="1:5" x14ac:dyDescent="0.25">
      <c r="A1374">
        <v>1723</v>
      </c>
      <c r="B1374" s="16">
        <v>43466</v>
      </c>
      <c r="C1374" t="s">
        <v>93</v>
      </c>
      <c r="D1374">
        <v>-960135.74937000009</v>
      </c>
      <c r="E1374" t="s">
        <v>331</v>
      </c>
    </row>
    <row r="1375" spans="1:5" x14ac:dyDescent="0.25">
      <c r="A1375">
        <v>1723</v>
      </c>
      <c r="B1375" s="16">
        <v>43497</v>
      </c>
      <c r="C1375" t="s">
        <v>93</v>
      </c>
      <c r="D1375">
        <v>-960135.74937000009</v>
      </c>
      <c r="E1375" t="s">
        <v>331</v>
      </c>
    </row>
    <row r="1376" spans="1:5" x14ac:dyDescent="0.25">
      <c r="A1376">
        <v>1723</v>
      </c>
      <c r="B1376" s="16">
        <v>43525</v>
      </c>
      <c r="C1376" t="s">
        <v>93</v>
      </c>
      <c r="D1376">
        <v>-960135.74937000009</v>
      </c>
      <c r="E1376" t="s">
        <v>331</v>
      </c>
    </row>
    <row r="1377" spans="1:5" x14ac:dyDescent="0.25">
      <c r="A1377">
        <v>1723</v>
      </c>
      <c r="B1377" s="16">
        <v>43556</v>
      </c>
      <c r="C1377" t="s">
        <v>93</v>
      </c>
      <c r="D1377">
        <v>-960135.74937000009</v>
      </c>
      <c r="E1377" t="s">
        <v>331</v>
      </c>
    </row>
    <row r="1378" spans="1:5" x14ac:dyDescent="0.25">
      <c r="A1378">
        <v>1723</v>
      </c>
      <c r="B1378" s="16">
        <v>43586</v>
      </c>
      <c r="C1378" t="s">
        <v>93</v>
      </c>
      <c r="D1378">
        <v>-960135.74937000009</v>
      </c>
      <c r="E1378" t="s">
        <v>331</v>
      </c>
    </row>
    <row r="1379" spans="1:5" x14ac:dyDescent="0.25">
      <c r="A1379">
        <v>1723</v>
      </c>
      <c r="B1379" s="16">
        <v>43617</v>
      </c>
      <c r="C1379" t="s">
        <v>93</v>
      </c>
      <c r="D1379">
        <v>-960135.74937000009</v>
      </c>
      <c r="E1379" t="s">
        <v>331</v>
      </c>
    </row>
    <row r="1380" spans="1:5" x14ac:dyDescent="0.25">
      <c r="A1380">
        <v>1577</v>
      </c>
      <c r="B1380" s="16">
        <v>43466</v>
      </c>
      <c r="C1380" t="s">
        <v>19</v>
      </c>
      <c r="D1380">
        <v>-3685661.2115662512</v>
      </c>
      <c r="E1380" t="s">
        <v>331</v>
      </c>
    </row>
    <row r="1381" spans="1:5" x14ac:dyDescent="0.25">
      <c r="A1381">
        <v>1577</v>
      </c>
      <c r="B1381" s="16">
        <v>43497</v>
      </c>
      <c r="C1381" t="s">
        <v>19</v>
      </c>
      <c r="D1381">
        <v>-3685661.2115662512</v>
      </c>
      <c r="E1381" t="s">
        <v>331</v>
      </c>
    </row>
    <row r="1382" spans="1:5" x14ac:dyDescent="0.25">
      <c r="A1382">
        <v>1577</v>
      </c>
      <c r="B1382" s="16">
        <v>43525</v>
      </c>
      <c r="C1382" t="s">
        <v>19</v>
      </c>
      <c r="D1382">
        <v>-3685661.2115662512</v>
      </c>
      <c r="E1382" t="s">
        <v>331</v>
      </c>
    </row>
    <row r="1383" spans="1:5" x14ac:dyDescent="0.25">
      <c r="A1383">
        <v>1577</v>
      </c>
      <c r="B1383" s="16">
        <v>43556</v>
      </c>
      <c r="C1383" t="s">
        <v>19</v>
      </c>
      <c r="D1383">
        <v>-3685661.2115662512</v>
      </c>
      <c r="E1383" t="s">
        <v>331</v>
      </c>
    </row>
    <row r="1384" spans="1:5" x14ac:dyDescent="0.25">
      <c r="A1384">
        <v>1577</v>
      </c>
      <c r="B1384" s="16">
        <v>43586</v>
      </c>
      <c r="C1384" t="s">
        <v>19</v>
      </c>
      <c r="D1384">
        <v>-3685661.2115662512</v>
      </c>
      <c r="E1384" t="s">
        <v>331</v>
      </c>
    </row>
    <row r="1385" spans="1:5" x14ac:dyDescent="0.25">
      <c r="A1385">
        <v>1577</v>
      </c>
      <c r="B1385" s="16">
        <v>43617</v>
      </c>
      <c r="C1385" t="s">
        <v>19</v>
      </c>
      <c r="D1385">
        <v>-3685661.2115662512</v>
      </c>
      <c r="E1385" t="s">
        <v>331</v>
      </c>
    </row>
    <row r="1386" spans="1:5" x14ac:dyDescent="0.25">
      <c r="A1386">
        <v>1577</v>
      </c>
      <c r="B1386" s="16">
        <v>43647</v>
      </c>
      <c r="C1386" t="s">
        <v>19</v>
      </c>
      <c r="D1386">
        <v>-3685661.2115662512</v>
      </c>
      <c r="E1386" t="s">
        <v>331</v>
      </c>
    </row>
    <row r="1387" spans="1:5" x14ac:dyDescent="0.25">
      <c r="A1387">
        <v>1577</v>
      </c>
      <c r="B1387" s="16">
        <v>43466</v>
      </c>
      <c r="C1387" t="s">
        <v>12</v>
      </c>
      <c r="D1387">
        <v>-11787098.370468752</v>
      </c>
      <c r="E1387" t="s">
        <v>331</v>
      </c>
    </row>
    <row r="1388" spans="1:5" x14ac:dyDescent="0.25">
      <c r="A1388">
        <v>1577</v>
      </c>
      <c r="B1388" s="16">
        <v>43497</v>
      </c>
      <c r="C1388" t="s">
        <v>12</v>
      </c>
      <c r="D1388">
        <v>-11787098.370468752</v>
      </c>
      <c r="E1388" t="s">
        <v>331</v>
      </c>
    </row>
    <row r="1389" spans="1:5" x14ac:dyDescent="0.25">
      <c r="A1389">
        <v>1577</v>
      </c>
      <c r="B1389" s="16">
        <v>43525</v>
      </c>
      <c r="C1389" t="s">
        <v>12</v>
      </c>
      <c r="D1389">
        <v>-11787098.370468752</v>
      </c>
      <c r="E1389" t="s">
        <v>331</v>
      </c>
    </row>
    <row r="1390" spans="1:5" x14ac:dyDescent="0.25">
      <c r="A1390">
        <v>1577</v>
      </c>
      <c r="B1390" s="16">
        <v>43556</v>
      </c>
      <c r="C1390" t="s">
        <v>12</v>
      </c>
      <c r="D1390">
        <v>-11787098.370468752</v>
      </c>
      <c r="E1390" t="s">
        <v>331</v>
      </c>
    </row>
    <row r="1391" spans="1:5" x14ac:dyDescent="0.25">
      <c r="A1391">
        <v>1577</v>
      </c>
      <c r="B1391" s="16">
        <v>43586</v>
      </c>
      <c r="C1391" t="s">
        <v>12</v>
      </c>
      <c r="D1391">
        <v>-11787098.370468752</v>
      </c>
      <c r="E1391" t="s">
        <v>331</v>
      </c>
    </row>
    <row r="1392" spans="1:5" x14ac:dyDescent="0.25">
      <c r="A1392">
        <v>1577</v>
      </c>
      <c r="B1392" s="16">
        <v>43617</v>
      </c>
      <c r="C1392" t="s">
        <v>12</v>
      </c>
      <c r="D1392">
        <v>-11787098.370468752</v>
      </c>
      <c r="E1392" t="s">
        <v>331</v>
      </c>
    </row>
    <row r="1393" spans="1:5" x14ac:dyDescent="0.25">
      <c r="A1393">
        <v>1577</v>
      </c>
      <c r="B1393" s="16">
        <v>43647</v>
      </c>
      <c r="C1393" t="s">
        <v>12</v>
      </c>
      <c r="D1393">
        <v>-11787098.370468752</v>
      </c>
      <c r="E1393" t="s">
        <v>331</v>
      </c>
    </row>
    <row r="1394" spans="1:5" x14ac:dyDescent="0.25">
      <c r="A1394">
        <v>1577</v>
      </c>
      <c r="B1394" s="16">
        <v>43466</v>
      </c>
      <c r="C1394" t="s">
        <v>14</v>
      </c>
      <c r="D1394">
        <v>-9796099.1329687536</v>
      </c>
      <c r="E1394" t="s">
        <v>331</v>
      </c>
    </row>
    <row r="1395" spans="1:5" x14ac:dyDescent="0.25">
      <c r="A1395">
        <v>1577</v>
      </c>
      <c r="B1395" s="16">
        <v>43497</v>
      </c>
      <c r="C1395" t="s">
        <v>14</v>
      </c>
      <c r="D1395">
        <v>-9796099.1329687536</v>
      </c>
      <c r="E1395" t="s">
        <v>331</v>
      </c>
    </row>
    <row r="1396" spans="1:5" x14ac:dyDescent="0.25">
      <c r="A1396">
        <v>1577</v>
      </c>
      <c r="B1396" s="16">
        <v>43525</v>
      </c>
      <c r="C1396" t="s">
        <v>14</v>
      </c>
      <c r="D1396">
        <v>-9796099.1329687536</v>
      </c>
      <c r="E1396" t="s">
        <v>331</v>
      </c>
    </row>
    <row r="1397" spans="1:5" x14ac:dyDescent="0.25">
      <c r="A1397">
        <v>1577</v>
      </c>
      <c r="B1397" s="16">
        <v>43556</v>
      </c>
      <c r="C1397" t="s">
        <v>14</v>
      </c>
      <c r="D1397">
        <v>-9796099.1329687536</v>
      </c>
      <c r="E1397" t="s">
        <v>331</v>
      </c>
    </row>
    <row r="1398" spans="1:5" x14ac:dyDescent="0.25">
      <c r="A1398">
        <v>1577</v>
      </c>
      <c r="B1398" s="16">
        <v>43586</v>
      </c>
      <c r="C1398" t="s">
        <v>14</v>
      </c>
      <c r="D1398">
        <v>-9796099.1329687536</v>
      </c>
      <c r="E1398" t="s">
        <v>331</v>
      </c>
    </row>
    <row r="1399" spans="1:5" x14ac:dyDescent="0.25">
      <c r="A1399">
        <v>1577</v>
      </c>
      <c r="B1399" s="16">
        <v>43466</v>
      </c>
      <c r="C1399" t="s">
        <v>237</v>
      </c>
      <c r="D1399">
        <v>-8143952.6503125019</v>
      </c>
      <c r="E1399" t="s">
        <v>331</v>
      </c>
    </row>
    <row r="1400" spans="1:5" x14ac:dyDescent="0.25">
      <c r="A1400">
        <v>1577</v>
      </c>
      <c r="B1400" s="16">
        <v>43466</v>
      </c>
      <c r="C1400" t="s">
        <v>230</v>
      </c>
      <c r="D1400">
        <v>-8143952.6503125019</v>
      </c>
      <c r="E1400" t="s">
        <v>331</v>
      </c>
    </row>
    <row r="1401" spans="1:5" x14ac:dyDescent="0.25">
      <c r="A1401">
        <v>1577</v>
      </c>
      <c r="B1401" s="16">
        <v>43497</v>
      </c>
      <c r="C1401" t="s">
        <v>230</v>
      </c>
      <c r="D1401">
        <v>-8143952.6503125019</v>
      </c>
      <c r="E1401" t="s">
        <v>331</v>
      </c>
    </row>
    <row r="1402" spans="1:5" x14ac:dyDescent="0.25">
      <c r="A1402">
        <v>1577</v>
      </c>
      <c r="B1402" s="16">
        <v>43525</v>
      </c>
      <c r="C1402" t="s">
        <v>230</v>
      </c>
      <c r="D1402">
        <v>-8143952.6503125019</v>
      </c>
      <c r="E1402" t="s">
        <v>331</v>
      </c>
    </row>
    <row r="1403" spans="1:5" x14ac:dyDescent="0.25">
      <c r="A1403">
        <v>1577</v>
      </c>
      <c r="B1403" s="16">
        <v>43556</v>
      </c>
      <c r="C1403" t="s">
        <v>230</v>
      </c>
      <c r="D1403">
        <v>-8143952.6503125019</v>
      </c>
      <c r="E1403" t="s">
        <v>331</v>
      </c>
    </row>
    <row r="1404" spans="1:5" x14ac:dyDescent="0.25">
      <c r="A1404">
        <v>1577</v>
      </c>
      <c r="B1404" s="16">
        <v>43586</v>
      </c>
      <c r="C1404" t="s">
        <v>230</v>
      </c>
      <c r="D1404">
        <v>-8143952.6503125019</v>
      </c>
      <c r="E1404" t="s">
        <v>331</v>
      </c>
    </row>
    <row r="1405" spans="1:5" x14ac:dyDescent="0.25">
      <c r="A1405">
        <v>1577</v>
      </c>
      <c r="B1405" s="16">
        <v>43466</v>
      </c>
      <c r="C1405" t="s">
        <v>239</v>
      </c>
      <c r="D1405">
        <v>-6891920.4375000019</v>
      </c>
      <c r="E1405" t="s">
        <v>331</v>
      </c>
    </row>
    <row r="1406" spans="1:5" x14ac:dyDescent="0.25">
      <c r="A1406">
        <v>1577</v>
      </c>
      <c r="B1406" s="16">
        <v>43497</v>
      </c>
      <c r="C1406" t="s">
        <v>239</v>
      </c>
      <c r="D1406">
        <v>-6891920.4375000019</v>
      </c>
      <c r="E1406" t="s">
        <v>331</v>
      </c>
    </row>
    <row r="1407" spans="1:5" x14ac:dyDescent="0.25">
      <c r="A1407">
        <v>1577</v>
      </c>
      <c r="B1407" s="16">
        <v>43525</v>
      </c>
      <c r="C1407" t="s">
        <v>239</v>
      </c>
      <c r="D1407">
        <v>-6891920.4375000019</v>
      </c>
      <c r="E1407" t="s">
        <v>331</v>
      </c>
    </row>
    <row r="1408" spans="1:5" x14ac:dyDescent="0.25">
      <c r="A1408">
        <v>1577</v>
      </c>
      <c r="B1408" s="16">
        <v>43556</v>
      </c>
      <c r="C1408" t="s">
        <v>239</v>
      </c>
      <c r="D1408">
        <v>-6891920.4375000019</v>
      </c>
      <c r="E1408" t="s">
        <v>331</v>
      </c>
    </row>
    <row r="1409" spans="1:5" x14ac:dyDescent="0.25">
      <c r="A1409">
        <v>1577</v>
      </c>
      <c r="B1409" s="16">
        <v>43586</v>
      </c>
      <c r="C1409" t="s">
        <v>239</v>
      </c>
      <c r="D1409">
        <v>-6891920.4375000019</v>
      </c>
      <c r="E1409" t="s">
        <v>331</v>
      </c>
    </row>
    <row r="1410" spans="1:5" x14ac:dyDescent="0.25">
      <c r="A1410">
        <v>1577</v>
      </c>
      <c r="B1410" s="16">
        <v>43466</v>
      </c>
      <c r="C1410" t="s">
        <v>59</v>
      </c>
      <c r="D1410">
        <v>-3882448.513125001</v>
      </c>
      <c r="E1410" t="s">
        <v>331</v>
      </c>
    </row>
    <row r="1411" spans="1:5" x14ac:dyDescent="0.25">
      <c r="A1411">
        <v>1577</v>
      </c>
      <c r="B1411" s="16">
        <v>43497</v>
      </c>
      <c r="C1411" t="s">
        <v>59</v>
      </c>
      <c r="D1411">
        <v>-3882448.513125001</v>
      </c>
      <c r="E1411" t="s">
        <v>331</v>
      </c>
    </row>
    <row r="1412" spans="1:5" x14ac:dyDescent="0.25">
      <c r="A1412">
        <v>1577</v>
      </c>
      <c r="B1412" s="16">
        <v>43525</v>
      </c>
      <c r="C1412" t="s">
        <v>59</v>
      </c>
      <c r="D1412">
        <v>-3882448.513125001</v>
      </c>
      <c r="E1412" t="s">
        <v>331</v>
      </c>
    </row>
    <row r="1413" spans="1:5" x14ac:dyDescent="0.25">
      <c r="A1413">
        <v>1577</v>
      </c>
      <c r="B1413" s="16">
        <v>43556</v>
      </c>
      <c r="C1413" t="s">
        <v>59</v>
      </c>
      <c r="D1413">
        <v>-3882448.513125001</v>
      </c>
      <c r="E1413" t="s">
        <v>331</v>
      </c>
    </row>
    <row r="1414" spans="1:5" x14ac:dyDescent="0.25">
      <c r="A1414">
        <v>1577</v>
      </c>
      <c r="B1414" s="16">
        <v>43586</v>
      </c>
      <c r="C1414" t="s">
        <v>59</v>
      </c>
      <c r="D1414">
        <v>-3882448.513125001</v>
      </c>
      <c r="E1414" t="s">
        <v>331</v>
      </c>
    </row>
    <row r="1415" spans="1:5" x14ac:dyDescent="0.25">
      <c r="A1415">
        <v>1577</v>
      </c>
      <c r="B1415" s="16">
        <v>43617</v>
      </c>
      <c r="C1415" t="s">
        <v>59</v>
      </c>
      <c r="D1415">
        <v>-3882448.513125001</v>
      </c>
      <c r="E1415" t="s">
        <v>331</v>
      </c>
    </row>
    <row r="1416" spans="1:5" x14ac:dyDescent="0.25">
      <c r="A1416">
        <v>1577</v>
      </c>
      <c r="B1416" s="16">
        <v>43647</v>
      </c>
      <c r="C1416" t="s">
        <v>59</v>
      </c>
      <c r="D1416">
        <v>-3882448.513125001</v>
      </c>
      <c r="E1416" t="s">
        <v>331</v>
      </c>
    </row>
    <row r="1417" spans="1:5" x14ac:dyDescent="0.25">
      <c r="A1417">
        <v>1577</v>
      </c>
      <c r="B1417" s="16">
        <v>43466</v>
      </c>
      <c r="C1417" t="s">
        <v>59</v>
      </c>
      <c r="D1417">
        <v>-3882448.513125001</v>
      </c>
      <c r="E1417" t="s">
        <v>331</v>
      </c>
    </row>
    <row r="1418" spans="1:5" x14ac:dyDescent="0.25">
      <c r="A1418">
        <v>1577</v>
      </c>
      <c r="B1418" s="16">
        <v>43497</v>
      </c>
      <c r="C1418" t="s">
        <v>59</v>
      </c>
      <c r="D1418">
        <v>-3882448.513125001</v>
      </c>
      <c r="E1418" t="s">
        <v>331</v>
      </c>
    </row>
    <row r="1419" spans="1:5" x14ac:dyDescent="0.25">
      <c r="A1419">
        <v>1577</v>
      </c>
      <c r="B1419" s="16">
        <v>43525</v>
      </c>
      <c r="C1419" t="s">
        <v>59</v>
      </c>
      <c r="D1419">
        <v>-3882448.513125001</v>
      </c>
      <c r="E1419" t="s">
        <v>331</v>
      </c>
    </row>
    <row r="1420" spans="1:5" x14ac:dyDescent="0.25">
      <c r="A1420">
        <v>1577</v>
      </c>
      <c r="B1420" s="16">
        <v>43556</v>
      </c>
      <c r="C1420" t="s">
        <v>59</v>
      </c>
      <c r="D1420">
        <v>-3882448.513125001</v>
      </c>
      <c r="E1420" t="s">
        <v>331</v>
      </c>
    </row>
    <row r="1421" spans="1:5" x14ac:dyDescent="0.25">
      <c r="A1421">
        <v>1577</v>
      </c>
      <c r="B1421" s="16">
        <v>43586</v>
      </c>
      <c r="C1421" t="s">
        <v>59</v>
      </c>
      <c r="D1421">
        <v>-3882448.513125001</v>
      </c>
      <c r="E1421" t="s">
        <v>331</v>
      </c>
    </row>
    <row r="1422" spans="1:5" x14ac:dyDescent="0.25">
      <c r="A1422">
        <v>1577</v>
      </c>
      <c r="B1422" s="16">
        <v>43617</v>
      </c>
      <c r="C1422" t="s">
        <v>59</v>
      </c>
      <c r="D1422">
        <v>-3882448.513125001</v>
      </c>
      <c r="E1422" t="s">
        <v>331</v>
      </c>
    </row>
    <row r="1423" spans="1:5" x14ac:dyDescent="0.25">
      <c r="A1423">
        <v>1577</v>
      </c>
      <c r="B1423" s="16">
        <v>43647</v>
      </c>
      <c r="C1423" t="s">
        <v>59</v>
      </c>
      <c r="D1423">
        <v>-3882448.513125001</v>
      </c>
      <c r="E1423" t="s">
        <v>331</v>
      </c>
    </row>
    <row r="1424" spans="1:5" x14ac:dyDescent="0.25">
      <c r="A1424">
        <v>1577</v>
      </c>
      <c r="B1424" s="16">
        <v>43466</v>
      </c>
      <c r="C1424" t="s">
        <v>242</v>
      </c>
      <c r="D1424">
        <v>-3802042.7746875011</v>
      </c>
      <c r="E1424" t="s">
        <v>331</v>
      </c>
    </row>
    <row r="1425" spans="1:5" x14ac:dyDescent="0.25">
      <c r="A1425">
        <v>1577</v>
      </c>
      <c r="B1425" s="16">
        <v>43466</v>
      </c>
      <c r="C1425" t="s">
        <v>244</v>
      </c>
      <c r="D1425">
        <v>-3802042.7746875011</v>
      </c>
      <c r="E1425" t="s">
        <v>331</v>
      </c>
    </row>
    <row r="1426" spans="1:5" x14ac:dyDescent="0.25">
      <c r="A1426">
        <v>1577</v>
      </c>
      <c r="B1426" s="16">
        <v>43466</v>
      </c>
      <c r="C1426" t="s">
        <v>245</v>
      </c>
      <c r="D1426">
        <v>-6769397.4075000016</v>
      </c>
      <c r="E1426" t="s">
        <v>331</v>
      </c>
    </row>
    <row r="1427" spans="1:5" x14ac:dyDescent="0.25">
      <c r="A1427">
        <v>1577</v>
      </c>
      <c r="B1427" s="16">
        <v>43497</v>
      </c>
      <c r="C1427" t="s">
        <v>245</v>
      </c>
      <c r="D1427">
        <v>-6769397.4075000016</v>
      </c>
      <c r="E1427" t="s">
        <v>331</v>
      </c>
    </row>
    <row r="1428" spans="1:5" x14ac:dyDescent="0.25">
      <c r="A1428">
        <v>1577</v>
      </c>
      <c r="B1428" s="16">
        <v>43525</v>
      </c>
      <c r="C1428" t="s">
        <v>245</v>
      </c>
      <c r="D1428">
        <v>-6769397.4075000016</v>
      </c>
      <c r="E1428" t="s">
        <v>331</v>
      </c>
    </row>
    <row r="1429" spans="1:5" x14ac:dyDescent="0.25">
      <c r="A1429">
        <v>1577</v>
      </c>
      <c r="B1429" s="16">
        <v>43466</v>
      </c>
      <c r="C1429" t="s">
        <v>246</v>
      </c>
      <c r="D1429">
        <v>-3802042.7746875011</v>
      </c>
      <c r="E1429" t="s">
        <v>331</v>
      </c>
    </row>
    <row r="1430" spans="1:5" x14ac:dyDescent="0.25">
      <c r="A1430">
        <v>1577</v>
      </c>
      <c r="B1430" s="16">
        <v>43497</v>
      </c>
      <c r="C1430" t="s">
        <v>246</v>
      </c>
      <c r="D1430">
        <v>-3802042.7746875011</v>
      </c>
      <c r="E1430" t="s">
        <v>331</v>
      </c>
    </row>
    <row r="1431" spans="1:5" x14ac:dyDescent="0.25">
      <c r="A1431">
        <v>1577</v>
      </c>
      <c r="B1431" s="16">
        <v>43525</v>
      </c>
      <c r="C1431" t="s">
        <v>246</v>
      </c>
      <c r="D1431">
        <v>-3802042.7746875011</v>
      </c>
      <c r="E1431" t="s">
        <v>331</v>
      </c>
    </row>
    <row r="1432" spans="1:5" x14ac:dyDescent="0.25">
      <c r="A1432">
        <v>1577</v>
      </c>
      <c r="B1432" s="16">
        <v>43556</v>
      </c>
      <c r="C1432" t="s">
        <v>246</v>
      </c>
      <c r="D1432">
        <v>-3802042.7746875011</v>
      </c>
      <c r="E1432" t="s">
        <v>331</v>
      </c>
    </row>
    <row r="1433" spans="1:5" x14ac:dyDescent="0.25">
      <c r="A1433">
        <v>1577</v>
      </c>
      <c r="B1433" s="16">
        <v>43586</v>
      </c>
      <c r="C1433" t="s">
        <v>246</v>
      </c>
      <c r="D1433">
        <v>-3802042.7746875011</v>
      </c>
      <c r="E1433" t="s">
        <v>331</v>
      </c>
    </row>
    <row r="1434" spans="1:5" x14ac:dyDescent="0.25">
      <c r="A1434">
        <v>1577</v>
      </c>
      <c r="B1434" s="16">
        <v>43466</v>
      </c>
      <c r="C1434" t="s">
        <v>248</v>
      </c>
      <c r="D1434">
        <v>-3802042.7746875011</v>
      </c>
      <c r="E1434" t="s">
        <v>331</v>
      </c>
    </row>
    <row r="1435" spans="1:5" x14ac:dyDescent="0.25">
      <c r="A1435">
        <v>1577</v>
      </c>
      <c r="B1435" s="16">
        <v>43497</v>
      </c>
      <c r="C1435" t="s">
        <v>248</v>
      </c>
      <c r="D1435">
        <v>-3802042.7746875011</v>
      </c>
      <c r="E1435" t="s">
        <v>331</v>
      </c>
    </row>
    <row r="1436" spans="1:5" x14ac:dyDescent="0.25">
      <c r="A1436">
        <v>1577</v>
      </c>
      <c r="B1436" s="16">
        <v>43525</v>
      </c>
      <c r="C1436" t="s">
        <v>248</v>
      </c>
      <c r="D1436">
        <v>-3802042.7746875011</v>
      </c>
      <c r="E1436" t="s">
        <v>331</v>
      </c>
    </row>
    <row r="1437" spans="1:5" x14ac:dyDescent="0.25">
      <c r="A1437">
        <v>1577</v>
      </c>
      <c r="B1437" s="16">
        <v>43556</v>
      </c>
      <c r="C1437" t="s">
        <v>248</v>
      </c>
      <c r="D1437">
        <v>-3802042.7746875011</v>
      </c>
      <c r="E1437" t="s">
        <v>331</v>
      </c>
    </row>
    <row r="1438" spans="1:5" x14ac:dyDescent="0.25">
      <c r="A1438">
        <v>1577</v>
      </c>
      <c r="B1438" s="16">
        <v>43586</v>
      </c>
      <c r="C1438" t="s">
        <v>248</v>
      </c>
      <c r="D1438">
        <v>-3802042.7746875011</v>
      </c>
      <c r="E1438" t="s">
        <v>331</v>
      </c>
    </row>
    <row r="1439" spans="1:5" x14ac:dyDescent="0.25">
      <c r="A1439">
        <v>1577</v>
      </c>
      <c r="B1439" s="16">
        <v>43466</v>
      </c>
      <c r="C1439" t="s">
        <v>231</v>
      </c>
      <c r="D1439">
        <v>-6891920.4375000019</v>
      </c>
      <c r="E1439" t="s">
        <v>331</v>
      </c>
    </row>
    <row r="1440" spans="1:5" x14ac:dyDescent="0.25">
      <c r="A1440">
        <v>1577</v>
      </c>
      <c r="B1440" s="16">
        <v>43497</v>
      </c>
      <c r="C1440" t="s">
        <v>231</v>
      </c>
      <c r="D1440">
        <v>-6891920.4375000019</v>
      </c>
      <c r="E1440" t="s">
        <v>331</v>
      </c>
    </row>
    <row r="1441" spans="1:5" x14ac:dyDescent="0.25">
      <c r="A1441">
        <v>1577</v>
      </c>
      <c r="B1441" s="16">
        <v>43525</v>
      </c>
      <c r="C1441" t="s">
        <v>231</v>
      </c>
      <c r="D1441">
        <v>-6891920.4375000019</v>
      </c>
      <c r="E1441" t="s">
        <v>331</v>
      </c>
    </row>
    <row r="1442" spans="1:5" x14ac:dyDescent="0.25">
      <c r="A1442">
        <v>1577</v>
      </c>
      <c r="B1442" s="16">
        <v>43556</v>
      </c>
      <c r="C1442" t="s">
        <v>231</v>
      </c>
      <c r="D1442">
        <v>-6891920.4375000019</v>
      </c>
      <c r="E1442" t="s">
        <v>331</v>
      </c>
    </row>
    <row r="1443" spans="1:5" x14ac:dyDescent="0.25">
      <c r="A1443">
        <v>1577</v>
      </c>
      <c r="B1443" s="16">
        <v>43586</v>
      </c>
      <c r="C1443" t="s">
        <v>231</v>
      </c>
      <c r="D1443">
        <v>-6891920.4375000019</v>
      </c>
      <c r="E1443" t="s">
        <v>331</v>
      </c>
    </row>
    <row r="1444" spans="1:5" x14ac:dyDescent="0.25">
      <c r="A1444">
        <v>1577</v>
      </c>
      <c r="B1444" s="16">
        <v>43466</v>
      </c>
      <c r="C1444" t="s">
        <v>106</v>
      </c>
      <c r="D1444">
        <v>-3802042.7746875011</v>
      </c>
      <c r="E1444" t="s">
        <v>331</v>
      </c>
    </row>
    <row r="1445" spans="1:5" x14ac:dyDescent="0.25">
      <c r="A1445">
        <v>1577</v>
      </c>
      <c r="B1445" s="16">
        <v>43497</v>
      </c>
      <c r="C1445" t="s">
        <v>106</v>
      </c>
      <c r="D1445">
        <v>-3802042.7746875011</v>
      </c>
      <c r="E1445" t="s">
        <v>331</v>
      </c>
    </row>
    <row r="1446" spans="1:5" x14ac:dyDescent="0.25">
      <c r="A1446">
        <v>1577</v>
      </c>
      <c r="B1446" s="16">
        <v>43525</v>
      </c>
      <c r="C1446" t="s">
        <v>106</v>
      </c>
      <c r="D1446">
        <v>-3802042.7746875011</v>
      </c>
      <c r="E1446" t="s">
        <v>331</v>
      </c>
    </row>
    <row r="1447" spans="1:5" x14ac:dyDescent="0.25">
      <c r="A1447">
        <v>1577</v>
      </c>
      <c r="B1447" s="16">
        <v>43556</v>
      </c>
      <c r="C1447" t="s">
        <v>106</v>
      </c>
      <c r="D1447">
        <v>-3802042.7746875011</v>
      </c>
      <c r="E1447" t="s">
        <v>331</v>
      </c>
    </row>
    <row r="1448" spans="1:5" x14ac:dyDescent="0.25">
      <c r="A1448">
        <v>1577</v>
      </c>
      <c r="B1448" s="16">
        <v>43586</v>
      </c>
      <c r="C1448" t="s">
        <v>106</v>
      </c>
      <c r="D1448">
        <v>-3802042.7746875011</v>
      </c>
      <c r="E1448" t="s">
        <v>331</v>
      </c>
    </row>
    <row r="1449" spans="1:5" x14ac:dyDescent="0.25">
      <c r="A1449">
        <v>1622</v>
      </c>
      <c r="B1449" s="16">
        <v>43466</v>
      </c>
      <c r="C1449" t="s">
        <v>49</v>
      </c>
      <c r="D1449">
        <v>-26786251</v>
      </c>
      <c r="E1449" t="s">
        <v>331</v>
      </c>
    </row>
    <row r="1450" spans="1:5" x14ac:dyDescent="0.25">
      <c r="A1450">
        <v>1622</v>
      </c>
      <c r="B1450" s="16">
        <v>43497</v>
      </c>
      <c r="C1450" t="s">
        <v>49</v>
      </c>
      <c r="D1450">
        <v>-26786251</v>
      </c>
      <c r="E1450" t="s">
        <v>331</v>
      </c>
    </row>
    <row r="1451" spans="1:5" x14ac:dyDescent="0.25">
      <c r="A1451">
        <v>1622</v>
      </c>
      <c r="B1451" s="16">
        <v>43525</v>
      </c>
      <c r="C1451" t="s">
        <v>49</v>
      </c>
      <c r="D1451">
        <v>-26786251</v>
      </c>
      <c r="E1451" t="s">
        <v>331</v>
      </c>
    </row>
    <row r="1452" spans="1:5" x14ac:dyDescent="0.25">
      <c r="A1452">
        <v>1622</v>
      </c>
      <c r="B1452" s="16">
        <v>43466</v>
      </c>
      <c r="C1452" t="s">
        <v>50</v>
      </c>
      <c r="D1452">
        <v>-15218233.5</v>
      </c>
      <c r="E1452" t="s">
        <v>331</v>
      </c>
    </row>
    <row r="1453" spans="1:5" x14ac:dyDescent="0.25">
      <c r="A1453">
        <v>1622</v>
      </c>
      <c r="B1453" s="16">
        <v>43466</v>
      </c>
      <c r="C1453" t="s">
        <v>51</v>
      </c>
      <c r="D1453">
        <v>-6015462</v>
      </c>
      <c r="E1453" t="s">
        <v>331</v>
      </c>
    </row>
    <row r="1454" spans="1:5" x14ac:dyDescent="0.25">
      <c r="A1454">
        <v>1622</v>
      </c>
      <c r="B1454" s="16">
        <v>43466</v>
      </c>
      <c r="C1454" t="s">
        <v>53</v>
      </c>
      <c r="D1454">
        <v>-4757001</v>
      </c>
      <c r="E1454" t="s">
        <v>331</v>
      </c>
    </row>
    <row r="1455" spans="1:5" x14ac:dyDescent="0.25">
      <c r="A1455">
        <v>1622</v>
      </c>
      <c r="B1455" s="16">
        <v>43497</v>
      </c>
      <c r="C1455" t="s">
        <v>53</v>
      </c>
      <c r="D1455">
        <v>-4757001</v>
      </c>
      <c r="E1455" t="s">
        <v>331</v>
      </c>
    </row>
    <row r="1456" spans="1:5" x14ac:dyDescent="0.25">
      <c r="A1456">
        <v>1622</v>
      </c>
      <c r="B1456" s="16">
        <v>43525</v>
      </c>
      <c r="C1456" t="s">
        <v>53</v>
      </c>
      <c r="D1456">
        <v>-4757001</v>
      </c>
      <c r="E1456" t="s">
        <v>331</v>
      </c>
    </row>
    <row r="1457" spans="1:5" x14ac:dyDescent="0.25">
      <c r="A1457">
        <v>1622</v>
      </c>
      <c r="B1457" s="16">
        <v>43556</v>
      </c>
      <c r="C1457" t="s">
        <v>53</v>
      </c>
      <c r="D1457">
        <v>-4757001</v>
      </c>
      <c r="E1457" t="s">
        <v>331</v>
      </c>
    </row>
    <row r="1458" spans="1:5" x14ac:dyDescent="0.25">
      <c r="A1458">
        <v>1622</v>
      </c>
      <c r="B1458" s="16">
        <v>43586</v>
      </c>
      <c r="C1458" t="s">
        <v>53</v>
      </c>
      <c r="D1458">
        <v>-4757001</v>
      </c>
      <c r="E1458" t="s">
        <v>331</v>
      </c>
    </row>
    <row r="1459" spans="1:5" x14ac:dyDescent="0.25">
      <c r="A1459">
        <v>1622</v>
      </c>
      <c r="B1459" s="16">
        <v>43617</v>
      </c>
      <c r="C1459" t="s">
        <v>53</v>
      </c>
      <c r="D1459">
        <v>-4757001</v>
      </c>
      <c r="E1459" t="s">
        <v>331</v>
      </c>
    </row>
    <row r="1460" spans="1:5" x14ac:dyDescent="0.25">
      <c r="A1460">
        <v>1622</v>
      </c>
      <c r="B1460" s="16">
        <v>43647</v>
      </c>
      <c r="C1460" t="s">
        <v>53</v>
      </c>
      <c r="D1460">
        <v>-4757001</v>
      </c>
      <c r="E1460" t="s">
        <v>331</v>
      </c>
    </row>
    <row r="1461" spans="1:5" x14ac:dyDescent="0.25">
      <c r="A1461">
        <v>1622</v>
      </c>
      <c r="B1461" s="16">
        <v>43678</v>
      </c>
      <c r="C1461" t="s">
        <v>53</v>
      </c>
      <c r="D1461">
        <v>-4757001</v>
      </c>
      <c r="E1461" t="s">
        <v>331</v>
      </c>
    </row>
    <row r="1462" spans="1:5" x14ac:dyDescent="0.25">
      <c r="A1462">
        <v>1622</v>
      </c>
      <c r="B1462" s="16">
        <v>43709</v>
      </c>
      <c r="C1462" t="s">
        <v>53</v>
      </c>
      <c r="D1462">
        <v>-4757001</v>
      </c>
      <c r="E1462" t="s">
        <v>331</v>
      </c>
    </row>
    <row r="1463" spans="1:5" x14ac:dyDescent="0.25">
      <c r="A1463">
        <v>1622</v>
      </c>
      <c r="B1463" s="16">
        <v>43739</v>
      </c>
      <c r="C1463" t="s">
        <v>53</v>
      </c>
      <c r="D1463">
        <v>-4757001</v>
      </c>
      <c r="E1463" t="s">
        <v>331</v>
      </c>
    </row>
    <row r="1464" spans="1:5" x14ac:dyDescent="0.25">
      <c r="A1464">
        <v>1622</v>
      </c>
      <c r="B1464" s="16">
        <v>43770</v>
      </c>
      <c r="C1464" t="s">
        <v>53</v>
      </c>
      <c r="D1464">
        <v>-4757001</v>
      </c>
      <c r="E1464" t="s">
        <v>331</v>
      </c>
    </row>
    <row r="1465" spans="1:5" x14ac:dyDescent="0.25">
      <c r="A1465">
        <v>1622</v>
      </c>
      <c r="B1465" s="16">
        <v>43800</v>
      </c>
      <c r="C1465" t="s">
        <v>53</v>
      </c>
      <c r="D1465">
        <v>-4757001</v>
      </c>
      <c r="E1465" t="s">
        <v>331</v>
      </c>
    </row>
    <row r="1466" spans="1:5" x14ac:dyDescent="0.25">
      <c r="A1466">
        <v>1622</v>
      </c>
      <c r="B1466" s="16">
        <v>43831</v>
      </c>
      <c r="C1466" t="s">
        <v>53</v>
      </c>
      <c r="D1466">
        <v>-4757001</v>
      </c>
      <c r="E1466" t="s">
        <v>331</v>
      </c>
    </row>
    <row r="1467" spans="1:5" x14ac:dyDescent="0.25">
      <c r="A1467">
        <v>1622</v>
      </c>
      <c r="B1467" s="16">
        <v>43862</v>
      </c>
      <c r="C1467" t="s">
        <v>53</v>
      </c>
      <c r="D1467">
        <v>-4757001</v>
      </c>
      <c r="E1467" t="s">
        <v>331</v>
      </c>
    </row>
    <row r="1468" spans="1:5" x14ac:dyDescent="0.25">
      <c r="A1468">
        <v>1622</v>
      </c>
      <c r="B1468" s="16">
        <v>43891</v>
      </c>
      <c r="C1468" t="s">
        <v>53</v>
      </c>
      <c r="D1468">
        <v>-4757001</v>
      </c>
      <c r="E1468" t="s">
        <v>331</v>
      </c>
    </row>
    <row r="1469" spans="1:5" x14ac:dyDescent="0.25">
      <c r="A1469">
        <v>1622</v>
      </c>
      <c r="B1469" s="16">
        <v>43922</v>
      </c>
      <c r="C1469" t="s">
        <v>53</v>
      </c>
      <c r="D1469">
        <v>-4757001</v>
      </c>
      <c r="E1469" t="s">
        <v>331</v>
      </c>
    </row>
    <row r="1470" spans="1:5" x14ac:dyDescent="0.25">
      <c r="A1470">
        <v>1622</v>
      </c>
      <c r="B1470" s="16">
        <v>43952</v>
      </c>
      <c r="C1470" t="s">
        <v>53</v>
      </c>
      <c r="D1470">
        <v>-4757001</v>
      </c>
      <c r="E1470" t="s">
        <v>331</v>
      </c>
    </row>
    <row r="1471" spans="1:5" x14ac:dyDescent="0.25">
      <c r="A1471">
        <v>1622</v>
      </c>
      <c r="B1471" s="16">
        <v>43983</v>
      </c>
      <c r="C1471" t="s">
        <v>53</v>
      </c>
      <c r="D1471">
        <v>-4757001</v>
      </c>
      <c r="E1471" t="s">
        <v>331</v>
      </c>
    </row>
    <row r="1472" spans="1:5" x14ac:dyDescent="0.25">
      <c r="A1472">
        <v>1622</v>
      </c>
      <c r="B1472" s="16">
        <v>44013</v>
      </c>
      <c r="C1472" t="s">
        <v>53</v>
      </c>
      <c r="D1472">
        <v>-4757001</v>
      </c>
      <c r="E1472" t="s">
        <v>331</v>
      </c>
    </row>
    <row r="1473" spans="1:5" x14ac:dyDescent="0.25">
      <c r="A1473">
        <v>1622</v>
      </c>
      <c r="B1473" s="16">
        <v>44044</v>
      </c>
      <c r="C1473" t="s">
        <v>53</v>
      </c>
      <c r="D1473">
        <v>-4757001</v>
      </c>
      <c r="E1473" t="s">
        <v>331</v>
      </c>
    </row>
    <row r="1474" spans="1:5" x14ac:dyDescent="0.25">
      <c r="A1474">
        <v>1622</v>
      </c>
      <c r="B1474" s="16">
        <v>44075</v>
      </c>
      <c r="C1474" t="s">
        <v>53</v>
      </c>
      <c r="D1474">
        <v>-4757001</v>
      </c>
      <c r="E1474" t="s">
        <v>331</v>
      </c>
    </row>
    <row r="1475" spans="1:5" x14ac:dyDescent="0.25">
      <c r="A1475">
        <v>1622</v>
      </c>
      <c r="B1475" s="16">
        <v>44105</v>
      </c>
      <c r="C1475" t="s">
        <v>53</v>
      </c>
      <c r="D1475">
        <v>-4757001</v>
      </c>
      <c r="E1475" t="s">
        <v>331</v>
      </c>
    </row>
    <row r="1476" spans="1:5" x14ac:dyDescent="0.25">
      <c r="A1476">
        <v>1622</v>
      </c>
      <c r="B1476" s="16">
        <v>44136</v>
      </c>
      <c r="C1476" t="s">
        <v>53</v>
      </c>
      <c r="D1476">
        <v>-4757001</v>
      </c>
      <c r="E1476" t="s">
        <v>331</v>
      </c>
    </row>
    <row r="1477" spans="1:5" x14ac:dyDescent="0.25">
      <c r="A1477">
        <v>1622</v>
      </c>
      <c r="B1477" s="16">
        <v>44166</v>
      </c>
      <c r="C1477" t="s">
        <v>53</v>
      </c>
      <c r="D1477">
        <v>-4757001</v>
      </c>
      <c r="E1477" t="s">
        <v>331</v>
      </c>
    </row>
    <row r="1478" spans="1:5" x14ac:dyDescent="0.25">
      <c r="A1478">
        <v>1622</v>
      </c>
      <c r="B1478" s="16">
        <v>44197</v>
      </c>
      <c r="C1478" t="s">
        <v>53</v>
      </c>
      <c r="D1478">
        <v>-4757001</v>
      </c>
      <c r="E1478" t="s">
        <v>331</v>
      </c>
    </row>
    <row r="1479" spans="1:5" x14ac:dyDescent="0.25">
      <c r="A1479">
        <v>1622</v>
      </c>
      <c r="B1479" s="16">
        <v>44228</v>
      </c>
      <c r="C1479" t="s">
        <v>53</v>
      </c>
      <c r="D1479">
        <v>-4757001</v>
      </c>
      <c r="E1479" t="s">
        <v>331</v>
      </c>
    </row>
    <row r="1480" spans="1:5" x14ac:dyDescent="0.25">
      <c r="A1480">
        <v>1622</v>
      </c>
      <c r="B1480" s="16">
        <v>44256</v>
      </c>
      <c r="C1480" t="s">
        <v>53</v>
      </c>
      <c r="D1480">
        <v>-4757001</v>
      </c>
      <c r="E1480" t="s">
        <v>331</v>
      </c>
    </row>
    <row r="1481" spans="1:5" x14ac:dyDescent="0.25">
      <c r="A1481">
        <v>1622</v>
      </c>
      <c r="B1481" s="16">
        <v>44287</v>
      </c>
      <c r="C1481" t="s">
        <v>53</v>
      </c>
      <c r="D1481">
        <v>-4757001</v>
      </c>
      <c r="E1481" t="s">
        <v>331</v>
      </c>
    </row>
    <row r="1482" spans="1:5" x14ac:dyDescent="0.25">
      <c r="A1482">
        <v>1622</v>
      </c>
      <c r="B1482" s="16">
        <v>44317</v>
      </c>
      <c r="C1482" t="s">
        <v>53</v>
      </c>
      <c r="D1482">
        <v>-4757001</v>
      </c>
      <c r="E1482" t="s">
        <v>331</v>
      </c>
    </row>
    <row r="1483" spans="1:5" x14ac:dyDescent="0.25">
      <c r="A1483">
        <v>1622</v>
      </c>
      <c r="B1483" s="16">
        <v>44348</v>
      </c>
      <c r="C1483" t="s">
        <v>53</v>
      </c>
      <c r="D1483">
        <v>-4757001</v>
      </c>
      <c r="E1483" t="s">
        <v>331</v>
      </c>
    </row>
    <row r="1484" spans="1:5" x14ac:dyDescent="0.25">
      <c r="A1484">
        <v>1622</v>
      </c>
      <c r="B1484" s="16">
        <v>44378</v>
      </c>
      <c r="C1484" t="s">
        <v>53</v>
      </c>
      <c r="D1484">
        <v>-4757001</v>
      </c>
      <c r="E1484" t="s">
        <v>331</v>
      </c>
    </row>
    <row r="1485" spans="1:5" x14ac:dyDescent="0.25">
      <c r="A1485">
        <v>1622</v>
      </c>
      <c r="B1485" s="16">
        <v>44409</v>
      </c>
      <c r="C1485" t="s">
        <v>53</v>
      </c>
      <c r="D1485">
        <v>-4757001</v>
      </c>
      <c r="E1485" t="s">
        <v>331</v>
      </c>
    </row>
    <row r="1486" spans="1:5" x14ac:dyDescent="0.25">
      <c r="A1486">
        <v>1622</v>
      </c>
      <c r="B1486" s="16">
        <v>44440</v>
      </c>
      <c r="C1486" t="s">
        <v>53</v>
      </c>
      <c r="D1486">
        <v>-4757001</v>
      </c>
      <c r="E1486" t="s">
        <v>331</v>
      </c>
    </row>
    <row r="1487" spans="1:5" x14ac:dyDescent="0.25">
      <c r="A1487">
        <v>1622</v>
      </c>
      <c r="B1487" s="16">
        <v>44470</v>
      </c>
      <c r="C1487" t="s">
        <v>53</v>
      </c>
      <c r="D1487">
        <v>-4757001</v>
      </c>
      <c r="E1487" t="s">
        <v>331</v>
      </c>
    </row>
    <row r="1488" spans="1:5" x14ac:dyDescent="0.25">
      <c r="A1488">
        <v>1622</v>
      </c>
      <c r="B1488" s="16">
        <v>43466</v>
      </c>
      <c r="C1488" t="s">
        <v>54</v>
      </c>
      <c r="D1488">
        <v>-6199545</v>
      </c>
      <c r="E1488" t="s">
        <v>331</v>
      </c>
    </row>
    <row r="1489" spans="1:5" x14ac:dyDescent="0.25">
      <c r="A1489">
        <v>1622</v>
      </c>
      <c r="B1489" s="16">
        <v>43497</v>
      </c>
      <c r="C1489" t="s">
        <v>54</v>
      </c>
      <c r="D1489">
        <v>-6199545</v>
      </c>
      <c r="E1489" t="s">
        <v>331</v>
      </c>
    </row>
    <row r="1490" spans="1:5" x14ac:dyDescent="0.25">
      <c r="A1490">
        <v>1622</v>
      </c>
      <c r="B1490" s="16">
        <v>43525</v>
      </c>
      <c r="C1490" t="s">
        <v>54</v>
      </c>
      <c r="D1490">
        <v>-6199545</v>
      </c>
      <c r="E1490" t="s">
        <v>331</v>
      </c>
    </row>
    <row r="1491" spans="1:5" x14ac:dyDescent="0.25">
      <c r="A1491">
        <v>1622</v>
      </c>
      <c r="B1491" s="16">
        <v>43556</v>
      </c>
      <c r="C1491" t="s">
        <v>54</v>
      </c>
      <c r="D1491">
        <v>-6199545</v>
      </c>
      <c r="E1491" t="s">
        <v>331</v>
      </c>
    </row>
    <row r="1492" spans="1:5" x14ac:dyDescent="0.25">
      <c r="A1492">
        <v>1622</v>
      </c>
      <c r="B1492" s="16">
        <v>43586</v>
      </c>
      <c r="C1492" t="s">
        <v>54</v>
      </c>
      <c r="D1492">
        <v>-6199545</v>
      </c>
      <c r="E1492" t="s">
        <v>331</v>
      </c>
    </row>
    <row r="1493" spans="1:5" x14ac:dyDescent="0.25">
      <c r="A1493">
        <v>1622</v>
      </c>
      <c r="B1493" s="16">
        <v>43617</v>
      </c>
      <c r="C1493" t="s">
        <v>54</v>
      </c>
      <c r="D1493">
        <v>-6199545</v>
      </c>
      <c r="E1493" t="s">
        <v>331</v>
      </c>
    </row>
    <row r="1494" spans="1:5" x14ac:dyDescent="0.25">
      <c r="A1494">
        <v>1622</v>
      </c>
      <c r="B1494" s="16">
        <v>43647</v>
      </c>
      <c r="C1494" t="s">
        <v>54</v>
      </c>
      <c r="D1494">
        <v>-6199545</v>
      </c>
      <c r="E1494" t="s">
        <v>331</v>
      </c>
    </row>
    <row r="1495" spans="1:5" x14ac:dyDescent="0.25">
      <c r="A1495">
        <v>1622</v>
      </c>
      <c r="B1495" s="16">
        <v>43678</v>
      </c>
      <c r="C1495" t="s">
        <v>54</v>
      </c>
      <c r="D1495">
        <v>-6199545</v>
      </c>
      <c r="E1495" t="s">
        <v>331</v>
      </c>
    </row>
    <row r="1496" spans="1:5" x14ac:dyDescent="0.25">
      <c r="A1496">
        <v>1622</v>
      </c>
      <c r="B1496" s="16">
        <v>43709</v>
      </c>
      <c r="C1496" t="s">
        <v>54</v>
      </c>
      <c r="D1496">
        <v>-6199545</v>
      </c>
      <c r="E1496" t="s">
        <v>331</v>
      </c>
    </row>
    <row r="1497" spans="1:5" x14ac:dyDescent="0.25">
      <c r="A1497">
        <v>1622</v>
      </c>
      <c r="B1497" s="16">
        <v>43739</v>
      </c>
      <c r="C1497" t="s">
        <v>54</v>
      </c>
      <c r="D1497">
        <v>-6199545</v>
      </c>
      <c r="E1497" t="s">
        <v>331</v>
      </c>
    </row>
    <row r="1498" spans="1:5" x14ac:dyDescent="0.25">
      <c r="A1498">
        <v>1622</v>
      </c>
      <c r="B1498" s="16">
        <v>43770</v>
      </c>
      <c r="C1498" t="s">
        <v>54</v>
      </c>
      <c r="D1498">
        <v>-6199545</v>
      </c>
      <c r="E1498" t="s">
        <v>331</v>
      </c>
    </row>
    <row r="1499" spans="1:5" x14ac:dyDescent="0.25">
      <c r="A1499">
        <v>1622</v>
      </c>
      <c r="B1499" s="16">
        <v>43800</v>
      </c>
      <c r="C1499" t="s">
        <v>54</v>
      </c>
      <c r="D1499">
        <v>-6199545</v>
      </c>
      <c r="E1499" t="s">
        <v>331</v>
      </c>
    </row>
    <row r="1500" spans="1:5" x14ac:dyDescent="0.25">
      <c r="A1500">
        <v>1622</v>
      </c>
      <c r="B1500" s="16">
        <v>43831</v>
      </c>
      <c r="C1500" t="s">
        <v>54</v>
      </c>
      <c r="D1500">
        <v>-6199545</v>
      </c>
      <c r="E1500" t="s">
        <v>331</v>
      </c>
    </row>
    <row r="1501" spans="1:5" x14ac:dyDescent="0.25">
      <c r="A1501">
        <v>1622</v>
      </c>
      <c r="B1501" s="16">
        <v>43862</v>
      </c>
      <c r="C1501" t="s">
        <v>54</v>
      </c>
      <c r="D1501">
        <v>-6199545</v>
      </c>
      <c r="E1501" t="s">
        <v>331</v>
      </c>
    </row>
    <row r="1502" spans="1:5" x14ac:dyDescent="0.25">
      <c r="A1502">
        <v>1622</v>
      </c>
      <c r="B1502" s="16">
        <v>43891</v>
      </c>
      <c r="C1502" t="s">
        <v>54</v>
      </c>
      <c r="D1502">
        <v>-6199545</v>
      </c>
      <c r="E1502" t="s">
        <v>331</v>
      </c>
    </row>
    <row r="1503" spans="1:5" x14ac:dyDescent="0.25">
      <c r="A1503">
        <v>1622</v>
      </c>
      <c r="B1503" s="16">
        <v>43922</v>
      </c>
      <c r="C1503" t="s">
        <v>54</v>
      </c>
      <c r="D1503">
        <v>-6199545</v>
      </c>
      <c r="E1503" t="s">
        <v>331</v>
      </c>
    </row>
    <row r="1504" spans="1:5" x14ac:dyDescent="0.25">
      <c r="A1504">
        <v>1622</v>
      </c>
      <c r="B1504" s="16">
        <v>43952</v>
      </c>
      <c r="C1504" t="s">
        <v>54</v>
      </c>
      <c r="D1504">
        <v>-6199545</v>
      </c>
      <c r="E1504" t="s">
        <v>331</v>
      </c>
    </row>
    <row r="1505" spans="1:5" x14ac:dyDescent="0.25">
      <c r="A1505">
        <v>1622</v>
      </c>
      <c r="B1505" s="16">
        <v>43983</v>
      </c>
      <c r="C1505" t="s">
        <v>54</v>
      </c>
      <c r="D1505">
        <v>-6199545</v>
      </c>
      <c r="E1505" t="s">
        <v>331</v>
      </c>
    </row>
    <row r="1506" spans="1:5" x14ac:dyDescent="0.25">
      <c r="A1506">
        <v>1622</v>
      </c>
      <c r="B1506" s="16">
        <v>44013</v>
      </c>
      <c r="C1506" t="s">
        <v>54</v>
      </c>
      <c r="D1506">
        <v>-6199545</v>
      </c>
      <c r="E1506" t="s">
        <v>331</v>
      </c>
    </row>
    <row r="1507" spans="1:5" x14ac:dyDescent="0.25">
      <c r="A1507">
        <v>1622</v>
      </c>
      <c r="B1507" s="16">
        <v>44044</v>
      </c>
      <c r="C1507" t="s">
        <v>54</v>
      </c>
      <c r="D1507">
        <v>-6199545</v>
      </c>
      <c r="E1507" t="s">
        <v>331</v>
      </c>
    </row>
    <row r="1508" spans="1:5" x14ac:dyDescent="0.25">
      <c r="A1508">
        <v>1622</v>
      </c>
      <c r="B1508" s="16">
        <v>44075</v>
      </c>
      <c r="C1508" t="s">
        <v>54</v>
      </c>
      <c r="D1508">
        <v>-6199545</v>
      </c>
      <c r="E1508" t="s">
        <v>331</v>
      </c>
    </row>
    <row r="1509" spans="1:5" x14ac:dyDescent="0.25">
      <c r="A1509">
        <v>1622</v>
      </c>
      <c r="B1509" s="16">
        <v>44105</v>
      </c>
      <c r="C1509" t="s">
        <v>54</v>
      </c>
      <c r="D1509">
        <v>-6199545</v>
      </c>
      <c r="E1509" t="s">
        <v>331</v>
      </c>
    </row>
    <row r="1510" spans="1:5" x14ac:dyDescent="0.25">
      <c r="A1510">
        <v>1622</v>
      </c>
      <c r="B1510" s="16">
        <v>44136</v>
      </c>
      <c r="C1510" t="s">
        <v>54</v>
      </c>
      <c r="D1510">
        <v>-6199545</v>
      </c>
      <c r="E1510" t="s">
        <v>331</v>
      </c>
    </row>
    <row r="1511" spans="1:5" x14ac:dyDescent="0.25">
      <c r="A1511">
        <v>1622</v>
      </c>
      <c r="B1511" s="16">
        <v>44166</v>
      </c>
      <c r="C1511" t="s">
        <v>54</v>
      </c>
      <c r="D1511">
        <v>-6199545</v>
      </c>
      <c r="E1511" t="s">
        <v>331</v>
      </c>
    </row>
    <row r="1512" spans="1:5" x14ac:dyDescent="0.25">
      <c r="A1512">
        <v>1622</v>
      </c>
      <c r="B1512" s="16">
        <v>44197</v>
      </c>
      <c r="C1512" t="s">
        <v>54</v>
      </c>
      <c r="D1512">
        <v>-6199545</v>
      </c>
      <c r="E1512" t="s">
        <v>331</v>
      </c>
    </row>
    <row r="1513" spans="1:5" x14ac:dyDescent="0.25">
      <c r="A1513">
        <v>1622</v>
      </c>
      <c r="B1513" s="16">
        <v>44228</v>
      </c>
      <c r="C1513" t="s">
        <v>54</v>
      </c>
      <c r="D1513">
        <v>-6199545</v>
      </c>
      <c r="E1513" t="s">
        <v>331</v>
      </c>
    </row>
    <row r="1514" spans="1:5" x14ac:dyDescent="0.25">
      <c r="A1514">
        <v>1622</v>
      </c>
      <c r="B1514" s="16">
        <v>44256</v>
      </c>
      <c r="C1514" t="s">
        <v>54</v>
      </c>
      <c r="D1514">
        <v>-6199545</v>
      </c>
      <c r="E1514" t="s">
        <v>331</v>
      </c>
    </row>
    <row r="1515" spans="1:5" x14ac:dyDescent="0.25">
      <c r="A1515">
        <v>1622</v>
      </c>
      <c r="B1515" s="16">
        <v>44287</v>
      </c>
      <c r="C1515" t="s">
        <v>54</v>
      </c>
      <c r="D1515">
        <v>-6199545</v>
      </c>
      <c r="E1515" t="s">
        <v>331</v>
      </c>
    </row>
    <row r="1516" spans="1:5" x14ac:dyDescent="0.25">
      <c r="A1516">
        <v>1622</v>
      </c>
      <c r="B1516" s="16">
        <v>44317</v>
      </c>
      <c r="C1516" t="s">
        <v>54</v>
      </c>
      <c r="D1516">
        <v>-6199545</v>
      </c>
      <c r="E1516" t="s">
        <v>331</v>
      </c>
    </row>
    <row r="1517" spans="1:5" x14ac:dyDescent="0.25">
      <c r="A1517">
        <v>1622</v>
      </c>
      <c r="B1517" s="16">
        <v>44348</v>
      </c>
      <c r="C1517" t="s">
        <v>54</v>
      </c>
      <c r="D1517">
        <v>-6199545</v>
      </c>
      <c r="E1517" t="s">
        <v>331</v>
      </c>
    </row>
    <row r="1518" spans="1:5" x14ac:dyDescent="0.25">
      <c r="A1518">
        <v>1622</v>
      </c>
      <c r="B1518" s="16">
        <v>44378</v>
      </c>
      <c r="C1518" t="s">
        <v>54</v>
      </c>
      <c r="D1518">
        <v>-6199545</v>
      </c>
      <c r="E1518" t="s">
        <v>331</v>
      </c>
    </row>
    <row r="1519" spans="1:5" x14ac:dyDescent="0.25">
      <c r="A1519">
        <v>1622</v>
      </c>
      <c r="B1519" s="16">
        <v>44409</v>
      </c>
      <c r="C1519" t="s">
        <v>54</v>
      </c>
      <c r="D1519">
        <v>-6199545</v>
      </c>
      <c r="E1519" t="s">
        <v>331</v>
      </c>
    </row>
    <row r="1520" spans="1:5" x14ac:dyDescent="0.25">
      <c r="A1520">
        <v>1622</v>
      </c>
      <c r="B1520" s="16">
        <v>44440</v>
      </c>
      <c r="C1520" t="s">
        <v>54</v>
      </c>
      <c r="D1520">
        <v>-6199545</v>
      </c>
      <c r="E1520" t="s">
        <v>331</v>
      </c>
    </row>
    <row r="1521" spans="1:5" x14ac:dyDescent="0.25">
      <c r="A1521">
        <v>1622</v>
      </c>
      <c r="B1521" s="16">
        <v>44470</v>
      </c>
      <c r="C1521" t="s">
        <v>54</v>
      </c>
      <c r="D1521">
        <v>-6199545</v>
      </c>
      <c r="E1521" t="s">
        <v>331</v>
      </c>
    </row>
    <row r="1522" spans="1:5" x14ac:dyDescent="0.25">
      <c r="A1522">
        <v>1622</v>
      </c>
      <c r="B1522" s="16">
        <v>43466</v>
      </c>
      <c r="C1522" t="s">
        <v>55</v>
      </c>
      <c r="D1522">
        <v>-6239898</v>
      </c>
      <c r="E1522" t="s">
        <v>331</v>
      </c>
    </row>
    <row r="1523" spans="1:5" x14ac:dyDescent="0.25">
      <c r="A1523">
        <v>1622</v>
      </c>
      <c r="B1523" s="16">
        <v>43497</v>
      </c>
      <c r="C1523" t="s">
        <v>55</v>
      </c>
      <c r="D1523">
        <v>-6239898</v>
      </c>
      <c r="E1523" t="s">
        <v>331</v>
      </c>
    </row>
    <row r="1524" spans="1:5" x14ac:dyDescent="0.25">
      <c r="A1524">
        <v>1622</v>
      </c>
      <c r="B1524" s="16">
        <v>43525</v>
      </c>
      <c r="C1524" t="s">
        <v>55</v>
      </c>
      <c r="D1524">
        <v>-6239898</v>
      </c>
      <c r="E1524" t="s">
        <v>331</v>
      </c>
    </row>
    <row r="1525" spans="1:5" x14ac:dyDescent="0.25">
      <c r="A1525">
        <v>1622</v>
      </c>
      <c r="B1525" s="16">
        <v>43556</v>
      </c>
      <c r="C1525" t="s">
        <v>55</v>
      </c>
      <c r="D1525">
        <v>-6239898</v>
      </c>
      <c r="E1525" t="s">
        <v>331</v>
      </c>
    </row>
    <row r="1526" spans="1:5" x14ac:dyDescent="0.25">
      <c r="A1526">
        <v>1622</v>
      </c>
      <c r="B1526" s="16">
        <v>43586</v>
      </c>
      <c r="C1526" t="s">
        <v>55</v>
      </c>
      <c r="D1526">
        <v>-6239898</v>
      </c>
      <c r="E1526" t="s">
        <v>331</v>
      </c>
    </row>
    <row r="1527" spans="1:5" x14ac:dyDescent="0.25">
      <c r="A1527">
        <v>1622</v>
      </c>
      <c r="B1527" s="16">
        <v>43617</v>
      </c>
      <c r="C1527" t="s">
        <v>55</v>
      </c>
      <c r="D1527">
        <v>-6239898</v>
      </c>
      <c r="E1527" t="s">
        <v>331</v>
      </c>
    </row>
    <row r="1528" spans="1:5" x14ac:dyDescent="0.25">
      <c r="A1528">
        <v>1622</v>
      </c>
      <c r="B1528" s="16">
        <v>43647</v>
      </c>
      <c r="C1528" t="s">
        <v>55</v>
      </c>
      <c r="D1528">
        <v>-6239898</v>
      </c>
      <c r="E1528" t="s">
        <v>331</v>
      </c>
    </row>
    <row r="1529" spans="1:5" x14ac:dyDescent="0.25">
      <c r="A1529">
        <v>1622</v>
      </c>
      <c r="B1529" s="16">
        <v>43678</v>
      </c>
      <c r="C1529" t="s">
        <v>55</v>
      </c>
      <c r="D1529">
        <v>-6239898</v>
      </c>
      <c r="E1529" t="s">
        <v>331</v>
      </c>
    </row>
    <row r="1530" spans="1:5" x14ac:dyDescent="0.25">
      <c r="A1530">
        <v>1622</v>
      </c>
      <c r="B1530" s="16">
        <v>43466</v>
      </c>
      <c r="C1530" t="s">
        <v>56</v>
      </c>
      <c r="D1530">
        <v>-7453077</v>
      </c>
      <c r="E1530" t="s">
        <v>331</v>
      </c>
    </row>
    <row r="1531" spans="1:5" x14ac:dyDescent="0.25">
      <c r="A1531">
        <v>1622</v>
      </c>
      <c r="B1531" s="16">
        <v>43497</v>
      </c>
      <c r="C1531" t="s">
        <v>56</v>
      </c>
      <c r="D1531">
        <v>-7453077</v>
      </c>
      <c r="E1531" t="s">
        <v>331</v>
      </c>
    </row>
    <row r="1532" spans="1:5" x14ac:dyDescent="0.25">
      <c r="A1532">
        <v>1622</v>
      </c>
      <c r="B1532" s="16">
        <v>43525</v>
      </c>
      <c r="C1532" t="s">
        <v>56</v>
      </c>
      <c r="D1532">
        <v>-7453077</v>
      </c>
      <c r="E1532" t="s">
        <v>331</v>
      </c>
    </row>
    <row r="1533" spans="1:5" x14ac:dyDescent="0.25">
      <c r="A1533">
        <v>1622</v>
      </c>
      <c r="B1533" s="16">
        <v>43556</v>
      </c>
      <c r="C1533" t="s">
        <v>56</v>
      </c>
      <c r="D1533">
        <v>-7453077</v>
      </c>
      <c r="E1533" t="s">
        <v>331</v>
      </c>
    </row>
    <row r="1534" spans="1:5" x14ac:dyDescent="0.25">
      <c r="A1534">
        <v>1622</v>
      </c>
      <c r="B1534" s="16">
        <v>43586</v>
      </c>
      <c r="C1534" t="s">
        <v>56</v>
      </c>
      <c r="D1534">
        <v>-7453077</v>
      </c>
      <c r="E1534" t="s">
        <v>331</v>
      </c>
    </row>
    <row r="1535" spans="1:5" x14ac:dyDescent="0.25">
      <c r="A1535">
        <v>1622</v>
      </c>
      <c r="B1535" s="16">
        <v>43617</v>
      </c>
      <c r="C1535" t="s">
        <v>56</v>
      </c>
      <c r="D1535">
        <v>-7453077</v>
      </c>
      <c r="E1535" t="s">
        <v>331</v>
      </c>
    </row>
    <row r="1536" spans="1:5" x14ac:dyDescent="0.25">
      <c r="A1536">
        <v>1622</v>
      </c>
      <c r="B1536" s="16">
        <v>43647</v>
      </c>
      <c r="C1536" t="s">
        <v>56</v>
      </c>
      <c r="D1536">
        <v>-7453077</v>
      </c>
      <c r="E1536" t="s">
        <v>331</v>
      </c>
    </row>
    <row r="1537" spans="1:5" x14ac:dyDescent="0.25">
      <c r="A1537">
        <v>1622</v>
      </c>
      <c r="B1537" s="16">
        <v>43678</v>
      </c>
      <c r="C1537" t="s">
        <v>56</v>
      </c>
      <c r="D1537">
        <v>-7453077</v>
      </c>
      <c r="E1537" t="s">
        <v>331</v>
      </c>
    </row>
    <row r="1538" spans="1:5" x14ac:dyDescent="0.25">
      <c r="A1538">
        <v>1622</v>
      </c>
      <c r="B1538" s="16">
        <v>43709</v>
      </c>
      <c r="C1538" t="s">
        <v>56</v>
      </c>
      <c r="D1538">
        <v>-7453077</v>
      </c>
      <c r="E1538" t="s">
        <v>331</v>
      </c>
    </row>
    <row r="1539" spans="1:5" x14ac:dyDescent="0.25">
      <c r="A1539">
        <v>1622</v>
      </c>
      <c r="B1539" s="16">
        <v>43739</v>
      </c>
      <c r="C1539" t="s">
        <v>56</v>
      </c>
      <c r="D1539">
        <v>-7453077</v>
      </c>
      <c r="E1539" t="s">
        <v>331</v>
      </c>
    </row>
    <row r="1540" spans="1:5" x14ac:dyDescent="0.25">
      <c r="A1540">
        <v>1622</v>
      </c>
      <c r="B1540" s="16">
        <v>43770</v>
      </c>
      <c r="C1540" t="s">
        <v>56</v>
      </c>
      <c r="D1540">
        <v>-7453077</v>
      </c>
      <c r="E1540" t="s">
        <v>331</v>
      </c>
    </row>
    <row r="1541" spans="1:5" x14ac:dyDescent="0.25">
      <c r="A1541">
        <v>1622</v>
      </c>
      <c r="B1541" s="16">
        <v>43800</v>
      </c>
      <c r="C1541" t="s">
        <v>56</v>
      </c>
      <c r="D1541">
        <v>-7453077</v>
      </c>
      <c r="E1541" t="s">
        <v>331</v>
      </c>
    </row>
    <row r="1542" spans="1:5" x14ac:dyDescent="0.25">
      <c r="A1542">
        <v>1622</v>
      </c>
      <c r="B1542" s="16">
        <v>43831</v>
      </c>
      <c r="C1542" t="s">
        <v>56</v>
      </c>
      <c r="D1542">
        <v>-7453077</v>
      </c>
      <c r="E1542" t="s">
        <v>331</v>
      </c>
    </row>
    <row r="1543" spans="1:5" x14ac:dyDescent="0.25">
      <c r="A1543">
        <v>1622</v>
      </c>
      <c r="B1543" s="16">
        <v>43466</v>
      </c>
      <c r="C1543" t="s">
        <v>35</v>
      </c>
      <c r="D1543">
        <v>-3580481.2499999995</v>
      </c>
      <c r="E1543" t="s">
        <v>331</v>
      </c>
    </row>
    <row r="1544" spans="1:5" x14ac:dyDescent="0.25">
      <c r="A1544">
        <v>1622</v>
      </c>
      <c r="B1544" s="16">
        <v>43497</v>
      </c>
      <c r="C1544" t="s">
        <v>35</v>
      </c>
      <c r="D1544">
        <v>-3580481.2499999995</v>
      </c>
      <c r="E1544" t="s">
        <v>331</v>
      </c>
    </row>
    <row r="1545" spans="1:5" x14ac:dyDescent="0.25">
      <c r="A1545">
        <v>1622</v>
      </c>
      <c r="B1545" s="16">
        <v>43466</v>
      </c>
      <c r="C1545" t="s">
        <v>61</v>
      </c>
      <c r="D1545">
        <v>-3687130.4999999995</v>
      </c>
      <c r="E1545" t="s">
        <v>331</v>
      </c>
    </row>
    <row r="1546" spans="1:5" x14ac:dyDescent="0.25">
      <c r="A1546">
        <v>1622</v>
      </c>
      <c r="B1546" s="16">
        <v>43497</v>
      </c>
      <c r="C1546" t="s">
        <v>61</v>
      </c>
      <c r="D1546">
        <v>-3687130.4999999995</v>
      </c>
      <c r="E1546" t="s">
        <v>331</v>
      </c>
    </row>
    <row r="1547" spans="1:5" x14ac:dyDescent="0.25">
      <c r="A1547">
        <v>1622</v>
      </c>
      <c r="B1547" s="16">
        <v>43525</v>
      </c>
      <c r="C1547" t="s">
        <v>61</v>
      </c>
      <c r="D1547">
        <v>-3687130.4999999995</v>
      </c>
      <c r="E1547" t="s">
        <v>331</v>
      </c>
    </row>
    <row r="1548" spans="1:5" x14ac:dyDescent="0.25">
      <c r="A1548">
        <v>1622</v>
      </c>
      <c r="B1548" s="16">
        <v>43556</v>
      </c>
      <c r="C1548" t="s">
        <v>61</v>
      </c>
      <c r="D1548">
        <v>-3687130.4999999995</v>
      </c>
      <c r="E1548" t="s">
        <v>331</v>
      </c>
    </row>
    <row r="1549" spans="1:5" x14ac:dyDescent="0.25">
      <c r="A1549">
        <v>1622</v>
      </c>
      <c r="B1549" s="16">
        <v>43466</v>
      </c>
      <c r="C1549" t="s">
        <v>62</v>
      </c>
      <c r="D1549">
        <v>-4479713.6999999993</v>
      </c>
      <c r="E1549" t="s">
        <v>331</v>
      </c>
    </row>
    <row r="1550" spans="1:5" x14ac:dyDescent="0.25">
      <c r="A1550">
        <v>1622</v>
      </c>
      <c r="B1550" s="16">
        <v>43497</v>
      </c>
      <c r="C1550" t="s">
        <v>62</v>
      </c>
      <c r="D1550">
        <v>-4479713.6999999993</v>
      </c>
      <c r="E1550" t="s">
        <v>331</v>
      </c>
    </row>
    <row r="1551" spans="1:5" x14ac:dyDescent="0.25">
      <c r="A1551">
        <v>1622</v>
      </c>
      <c r="B1551" s="16">
        <v>43525</v>
      </c>
      <c r="C1551" t="s">
        <v>62</v>
      </c>
      <c r="D1551">
        <v>-4479713.6999999993</v>
      </c>
      <c r="E1551" t="s">
        <v>331</v>
      </c>
    </row>
    <row r="1552" spans="1:5" x14ac:dyDescent="0.25">
      <c r="A1552">
        <v>1622</v>
      </c>
      <c r="B1552" s="16">
        <v>43556</v>
      </c>
      <c r="C1552" t="s">
        <v>62</v>
      </c>
      <c r="D1552">
        <v>-4479713.6999999993</v>
      </c>
      <c r="E1552" t="s">
        <v>331</v>
      </c>
    </row>
    <row r="1553" spans="1:5" x14ac:dyDescent="0.25">
      <c r="A1553">
        <v>1622</v>
      </c>
      <c r="B1553" s="16">
        <v>43586</v>
      </c>
      <c r="C1553" t="s">
        <v>62</v>
      </c>
      <c r="D1553">
        <v>-4479713.6999999993</v>
      </c>
      <c r="E1553" t="s">
        <v>331</v>
      </c>
    </row>
    <row r="1554" spans="1:5" x14ac:dyDescent="0.25">
      <c r="A1554">
        <v>1622</v>
      </c>
      <c r="B1554" s="16">
        <v>43617</v>
      </c>
      <c r="C1554" t="s">
        <v>62</v>
      </c>
      <c r="D1554">
        <v>-4479713.6999999993</v>
      </c>
      <c r="E1554" t="s">
        <v>331</v>
      </c>
    </row>
    <row r="1555" spans="1:5" x14ac:dyDescent="0.25">
      <c r="A1555">
        <v>1622</v>
      </c>
      <c r="B1555" s="16">
        <v>43647</v>
      </c>
      <c r="C1555" t="s">
        <v>62</v>
      </c>
      <c r="D1555">
        <v>-4479713.6999999993</v>
      </c>
      <c r="E1555" t="s">
        <v>331</v>
      </c>
    </row>
    <row r="1556" spans="1:5" x14ac:dyDescent="0.25">
      <c r="A1556">
        <v>1622</v>
      </c>
      <c r="B1556" s="16">
        <v>43678</v>
      </c>
      <c r="C1556" t="s">
        <v>62</v>
      </c>
      <c r="D1556">
        <v>-4479713.6999999993</v>
      </c>
      <c r="E1556" t="s">
        <v>331</v>
      </c>
    </row>
    <row r="1557" spans="1:5" x14ac:dyDescent="0.25">
      <c r="A1557">
        <v>1622</v>
      </c>
      <c r="B1557" s="16">
        <v>43709</v>
      </c>
      <c r="C1557" t="s">
        <v>62</v>
      </c>
      <c r="D1557">
        <v>-4479713.6999999993</v>
      </c>
      <c r="E1557" t="s">
        <v>331</v>
      </c>
    </row>
    <row r="1558" spans="1:5" x14ac:dyDescent="0.25">
      <c r="A1558">
        <v>1622</v>
      </c>
      <c r="B1558" s="16">
        <v>43739</v>
      </c>
      <c r="C1558" t="s">
        <v>62</v>
      </c>
      <c r="D1558">
        <v>-4479713.6999999993</v>
      </c>
      <c r="E1558" t="s">
        <v>331</v>
      </c>
    </row>
    <row r="1559" spans="1:5" x14ac:dyDescent="0.25">
      <c r="A1559">
        <v>1622</v>
      </c>
      <c r="B1559" s="16">
        <v>43466</v>
      </c>
      <c r="C1559" t="s">
        <v>63</v>
      </c>
      <c r="D1559">
        <v>-4487334.5699999994</v>
      </c>
      <c r="E1559" t="s">
        <v>331</v>
      </c>
    </row>
    <row r="1560" spans="1:5" x14ac:dyDescent="0.25">
      <c r="A1560">
        <v>1622</v>
      </c>
      <c r="B1560" s="16">
        <v>43497</v>
      </c>
      <c r="C1560" t="s">
        <v>63</v>
      </c>
      <c r="D1560">
        <v>-4487334.5699999994</v>
      </c>
      <c r="E1560" t="s">
        <v>331</v>
      </c>
    </row>
    <row r="1561" spans="1:5" x14ac:dyDescent="0.25">
      <c r="A1561">
        <v>1622</v>
      </c>
      <c r="B1561" s="16">
        <v>43466</v>
      </c>
      <c r="C1561" t="s">
        <v>21</v>
      </c>
      <c r="D1561">
        <v>-3611462.4</v>
      </c>
      <c r="E1561" t="s">
        <v>331</v>
      </c>
    </row>
    <row r="1562" spans="1:5" x14ac:dyDescent="0.25">
      <c r="A1562">
        <v>1622</v>
      </c>
      <c r="B1562" s="16">
        <v>43497</v>
      </c>
      <c r="C1562" t="s">
        <v>21</v>
      </c>
      <c r="D1562">
        <v>-3611462.4</v>
      </c>
      <c r="E1562" t="s">
        <v>331</v>
      </c>
    </row>
    <row r="1563" spans="1:5" x14ac:dyDescent="0.25">
      <c r="A1563">
        <v>1622</v>
      </c>
      <c r="B1563" s="16">
        <v>43525</v>
      </c>
      <c r="C1563" t="s">
        <v>21</v>
      </c>
      <c r="D1563">
        <v>-3611462.4</v>
      </c>
      <c r="E1563" t="s">
        <v>331</v>
      </c>
    </row>
    <row r="1564" spans="1:5" x14ac:dyDescent="0.25">
      <c r="A1564">
        <v>1622</v>
      </c>
      <c r="B1564" s="16">
        <v>43556</v>
      </c>
      <c r="C1564" t="s">
        <v>21</v>
      </c>
      <c r="D1564">
        <v>-3611462.4</v>
      </c>
      <c r="E1564" t="s">
        <v>331</v>
      </c>
    </row>
    <row r="1565" spans="1:5" x14ac:dyDescent="0.25">
      <c r="A1565">
        <v>1622</v>
      </c>
      <c r="B1565" s="16">
        <v>43466</v>
      </c>
      <c r="C1565" t="s">
        <v>64</v>
      </c>
      <c r="D1565">
        <v>-3767611.53</v>
      </c>
      <c r="E1565" t="s">
        <v>331</v>
      </c>
    </row>
    <row r="1566" spans="1:5" x14ac:dyDescent="0.25">
      <c r="A1566">
        <v>1622</v>
      </c>
      <c r="B1566" s="16">
        <v>43497</v>
      </c>
      <c r="C1566" t="s">
        <v>64</v>
      </c>
      <c r="D1566">
        <v>-3767611.53</v>
      </c>
      <c r="E1566" t="s">
        <v>331</v>
      </c>
    </row>
    <row r="1567" spans="1:5" x14ac:dyDescent="0.25">
      <c r="A1567">
        <v>1622</v>
      </c>
      <c r="B1567" s="16">
        <v>43466</v>
      </c>
      <c r="C1567" t="s">
        <v>22</v>
      </c>
      <c r="D1567">
        <v>-3767611.53</v>
      </c>
      <c r="E1567" t="s">
        <v>331</v>
      </c>
    </row>
    <row r="1568" spans="1:5" x14ac:dyDescent="0.25">
      <c r="A1568">
        <v>1622</v>
      </c>
      <c r="B1568" s="16">
        <v>43497</v>
      </c>
      <c r="C1568" t="s">
        <v>22</v>
      </c>
      <c r="D1568">
        <v>-3767611.53</v>
      </c>
      <c r="E1568" t="s">
        <v>331</v>
      </c>
    </row>
    <row r="1569" spans="1:5" x14ac:dyDescent="0.25">
      <c r="A1569">
        <v>1622</v>
      </c>
      <c r="B1569" s="16">
        <v>43525</v>
      </c>
      <c r="C1569" t="s">
        <v>22</v>
      </c>
      <c r="D1569">
        <v>-3767611.53</v>
      </c>
      <c r="E1569" t="s">
        <v>331</v>
      </c>
    </row>
    <row r="1570" spans="1:5" x14ac:dyDescent="0.25">
      <c r="A1570">
        <v>1622</v>
      </c>
      <c r="B1570" s="16">
        <v>43556</v>
      </c>
      <c r="C1570" t="s">
        <v>22</v>
      </c>
      <c r="D1570">
        <v>-3767611.53</v>
      </c>
      <c r="E1570" t="s">
        <v>331</v>
      </c>
    </row>
    <row r="1571" spans="1:5" x14ac:dyDescent="0.25">
      <c r="A1571">
        <v>1622</v>
      </c>
      <c r="B1571" s="16">
        <v>43556</v>
      </c>
      <c r="C1571" t="s">
        <v>45</v>
      </c>
      <c r="D1571">
        <v>-4477341.0150000006</v>
      </c>
      <c r="E1571" t="s">
        <v>331</v>
      </c>
    </row>
    <row r="1572" spans="1:5" x14ac:dyDescent="0.25">
      <c r="A1572">
        <v>1622</v>
      </c>
      <c r="B1572" s="16">
        <v>43586</v>
      </c>
      <c r="C1572" t="s">
        <v>45</v>
      </c>
      <c r="D1572">
        <v>-4477341.0150000006</v>
      </c>
      <c r="E1572" t="s">
        <v>331</v>
      </c>
    </row>
    <row r="1573" spans="1:5" x14ac:dyDescent="0.25">
      <c r="A1573">
        <v>1622</v>
      </c>
      <c r="B1573" s="16">
        <v>43617</v>
      </c>
      <c r="C1573" t="s">
        <v>45</v>
      </c>
      <c r="D1573">
        <v>-4477341.0150000006</v>
      </c>
      <c r="E1573" t="s">
        <v>331</v>
      </c>
    </row>
    <row r="1574" spans="1:5" x14ac:dyDescent="0.25">
      <c r="A1574">
        <v>1622</v>
      </c>
      <c r="B1574" s="16">
        <v>43647</v>
      </c>
      <c r="C1574" t="s">
        <v>45</v>
      </c>
      <c r="D1574">
        <v>-4477341.0150000006</v>
      </c>
      <c r="E1574" t="s">
        <v>331</v>
      </c>
    </row>
    <row r="1575" spans="1:5" x14ac:dyDescent="0.25">
      <c r="A1575">
        <v>1622</v>
      </c>
      <c r="B1575" s="16">
        <v>43678</v>
      </c>
      <c r="C1575" t="s">
        <v>45</v>
      </c>
      <c r="D1575">
        <v>-4477341.0150000006</v>
      </c>
      <c r="E1575" t="s">
        <v>331</v>
      </c>
    </row>
    <row r="1576" spans="1:5" x14ac:dyDescent="0.25">
      <c r="A1576">
        <v>1622</v>
      </c>
      <c r="B1576" s="16">
        <v>43709</v>
      </c>
      <c r="C1576" t="s">
        <v>45</v>
      </c>
      <c r="D1576">
        <v>-4477341.0150000006</v>
      </c>
      <c r="E1576" t="s">
        <v>331</v>
      </c>
    </row>
    <row r="1577" spans="1:5" x14ac:dyDescent="0.25">
      <c r="A1577">
        <v>1622</v>
      </c>
      <c r="B1577" s="16">
        <v>43739</v>
      </c>
      <c r="C1577" t="s">
        <v>45</v>
      </c>
      <c r="D1577">
        <v>-4477341.0150000006</v>
      </c>
      <c r="E1577" t="s">
        <v>331</v>
      </c>
    </row>
    <row r="1578" spans="1:5" x14ac:dyDescent="0.25">
      <c r="A1578">
        <v>1622</v>
      </c>
      <c r="B1578" s="16">
        <v>43556</v>
      </c>
      <c r="C1578" t="s">
        <v>46</v>
      </c>
      <c r="D1578">
        <v>-3062689.7</v>
      </c>
      <c r="E1578" t="s">
        <v>331</v>
      </c>
    </row>
    <row r="1579" spans="1:5" x14ac:dyDescent="0.25">
      <c r="A1579">
        <v>1622</v>
      </c>
      <c r="B1579" s="16">
        <v>43586</v>
      </c>
      <c r="C1579" t="s">
        <v>46</v>
      </c>
      <c r="D1579">
        <v>-3062689.7</v>
      </c>
      <c r="E1579" t="s">
        <v>331</v>
      </c>
    </row>
    <row r="1580" spans="1:5" x14ac:dyDescent="0.25">
      <c r="A1580">
        <v>1622</v>
      </c>
      <c r="B1580" s="16">
        <v>43617</v>
      </c>
      <c r="C1580" t="s">
        <v>46</v>
      </c>
      <c r="D1580">
        <v>-3062689.7</v>
      </c>
      <c r="E1580" t="s">
        <v>331</v>
      </c>
    </row>
    <row r="1581" spans="1:5" x14ac:dyDescent="0.25">
      <c r="A1581">
        <v>1622</v>
      </c>
      <c r="B1581" s="16">
        <v>43647</v>
      </c>
      <c r="C1581" t="s">
        <v>46</v>
      </c>
      <c r="D1581">
        <v>-3062689.7</v>
      </c>
      <c r="E1581" t="s">
        <v>331</v>
      </c>
    </row>
    <row r="1582" spans="1:5" x14ac:dyDescent="0.25">
      <c r="A1582">
        <v>1622</v>
      </c>
      <c r="B1582" s="16">
        <v>43678</v>
      </c>
      <c r="C1582" t="s">
        <v>46</v>
      </c>
      <c r="D1582">
        <v>-3062689.7</v>
      </c>
      <c r="E1582" t="s">
        <v>331</v>
      </c>
    </row>
    <row r="1583" spans="1:5" x14ac:dyDescent="0.25">
      <c r="A1583">
        <v>1622</v>
      </c>
      <c r="B1583" s="16">
        <v>43709</v>
      </c>
      <c r="C1583" t="s">
        <v>46</v>
      </c>
      <c r="D1583">
        <v>-3062689.7</v>
      </c>
      <c r="E1583" t="s">
        <v>331</v>
      </c>
    </row>
    <row r="1584" spans="1:5" x14ac:dyDescent="0.25">
      <c r="A1584">
        <v>1622</v>
      </c>
      <c r="B1584" s="16">
        <v>43739</v>
      </c>
      <c r="C1584" t="s">
        <v>46</v>
      </c>
      <c r="D1584">
        <v>-3062689.7</v>
      </c>
      <c r="E1584" t="s">
        <v>331</v>
      </c>
    </row>
    <row r="1585" spans="1:5" x14ac:dyDescent="0.25">
      <c r="A1585">
        <v>1622</v>
      </c>
      <c r="B1585" s="16">
        <v>43556</v>
      </c>
      <c r="C1585" t="s">
        <v>48</v>
      </c>
      <c r="D1585">
        <v>-4854913</v>
      </c>
      <c r="E1585" t="s">
        <v>331</v>
      </c>
    </row>
    <row r="1586" spans="1:5" x14ac:dyDescent="0.25">
      <c r="A1586">
        <v>1622</v>
      </c>
      <c r="B1586" s="16">
        <v>43586</v>
      </c>
      <c r="C1586" t="s">
        <v>48</v>
      </c>
      <c r="D1586">
        <v>-4854913</v>
      </c>
      <c r="E1586" t="s">
        <v>331</v>
      </c>
    </row>
    <row r="1587" spans="1:5" x14ac:dyDescent="0.25">
      <c r="A1587">
        <v>1622</v>
      </c>
      <c r="B1587" s="16">
        <v>43617</v>
      </c>
      <c r="C1587" t="s">
        <v>48</v>
      </c>
      <c r="D1587">
        <v>-4854913</v>
      </c>
      <c r="E1587" t="s">
        <v>331</v>
      </c>
    </row>
    <row r="1588" spans="1:5" x14ac:dyDescent="0.25">
      <c r="A1588">
        <v>1622</v>
      </c>
      <c r="B1588" s="16">
        <v>43647</v>
      </c>
      <c r="C1588" t="s">
        <v>48</v>
      </c>
      <c r="D1588">
        <v>-4854913</v>
      </c>
      <c r="E1588" t="s">
        <v>331</v>
      </c>
    </row>
    <row r="1589" spans="1:5" x14ac:dyDescent="0.25">
      <c r="A1589">
        <v>1622</v>
      </c>
      <c r="B1589" s="16">
        <v>43678</v>
      </c>
      <c r="C1589" t="s">
        <v>48</v>
      </c>
      <c r="D1589">
        <v>-4854913</v>
      </c>
      <c r="E1589" t="s">
        <v>331</v>
      </c>
    </row>
    <row r="1590" spans="1:5" x14ac:dyDescent="0.25">
      <c r="A1590">
        <v>1622</v>
      </c>
      <c r="B1590" s="16">
        <v>43709</v>
      </c>
      <c r="C1590" t="s">
        <v>48</v>
      </c>
      <c r="D1590">
        <v>-4854913</v>
      </c>
      <c r="E1590" t="s">
        <v>331</v>
      </c>
    </row>
    <row r="1591" spans="1:5" x14ac:dyDescent="0.25">
      <c r="A1591">
        <v>1622</v>
      </c>
      <c r="B1591" s="16">
        <v>43739</v>
      </c>
      <c r="C1591" t="s">
        <v>48</v>
      </c>
      <c r="D1591">
        <v>-4854913</v>
      </c>
      <c r="E1591" t="s">
        <v>331</v>
      </c>
    </row>
    <row r="1592" spans="1:5" x14ac:dyDescent="0.25">
      <c r="A1592">
        <v>1622</v>
      </c>
      <c r="B1592" s="16">
        <v>43556</v>
      </c>
      <c r="C1592" t="s">
        <v>49</v>
      </c>
      <c r="D1592">
        <v>-29161467</v>
      </c>
      <c r="E1592" t="s">
        <v>331</v>
      </c>
    </row>
    <row r="1593" spans="1:5" x14ac:dyDescent="0.25">
      <c r="A1593">
        <v>1622</v>
      </c>
      <c r="B1593" s="16">
        <v>43586</v>
      </c>
      <c r="C1593" t="s">
        <v>49</v>
      </c>
      <c r="D1593">
        <v>-29161467</v>
      </c>
      <c r="E1593" t="s">
        <v>331</v>
      </c>
    </row>
    <row r="1594" spans="1:5" x14ac:dyDescent="0.25">
      <c r="A1594">
        <v>1622</v>
      </c>
      <c r="B1594" s="16">
        <v>43617</v>
      </c>
      <c r="C1594" t="s">
        <v>49</v>
      </c>
      <c r="D1594">
        <v>-29161467</v>
      </c>
      <c r="E1594" t="s">
        <v>331</v>
      </c>
    </row>
    <row r="1595" spans="1:5" x14ac:dyDescent="0.25">
      <c r="A1595">
        <v>1622</v>
      </c>
      <c r="B1595" s="16">
        <v>43647</v>
      </c>
      <c r="C1595" t="s">
        <v>49</v>
      </c>
      <c r="D1595">
        <v>-29161467</v>
      </c>
      <c r="E1595" t="s">
        <v>331</v>
      </c>
    </row>
    <row r="1596" spans="1:5" x14ac:dyDescent="0.25">
      <c r="A1596">
        <v>1622</v>
      </c>
      <c r="B1596" s="16">
        <v>43678</v>
      </c>
      <c r="C1596" t="s">
        <v>49</v>
      </c>
      <c r="D1596">
        <v>-29161467</v>
      </c>
      <c r="E1596" t="s">
        <v>331</v>
      </c>
    </row>
    <row r="1597" spans="1:5" x14ac:dyDescent="0.25">
      <c r="A1597">
        <v>1622</v>
      </c>
      <c r="B1597" s="16">
        <v>43709</v>
      </c>
      <c r="C1597" t="s">
        <v>49</v>
      </c>
      <c r="D1597">
        <v>-29161467</v>
      </c>
      <c r="E1597" t="s">
        <v>331</v>
      </c>
    </row>
    <row r="1598" spans="1:5" x14ac:dyDescent="0.25">
      <c r="A1598">
        <v>1622</v>
      </c>
      <c r="B1598" s="16">
        <v>43739</v>
      </c>
      <c r="C1598" t="s">
        <v>49</v>
      </c>
      <c r="D1598">
        <v>-29161467</v>
      </c>
      <c r="E1598" t="s">
        <v>331</v>
      </c>
    </row>
    <row r="1599" spans="1:5" x14ac:dyDescent="0.25">
      <c r="A1599">
        <v>1622</v>
      </c>
      <c r="B1599" s="16">
        <v>43556</v>
      </c>
      <c r="C1599" t="s">
        <v>50</v>
      </c>
      <c r="D1599">
        <v>-16582744.5</v>
      </c>
      <c r="E1599" t="s">
        <v>331</v>
      </c>
    </row>
    <row r="1600" spans="1:5" x14ac:dyDescent="0.25">
      <c r="A1600">
        <v>1622</v>
      </c>
      <c r="B1600" s="16">
        <v>43586</v>
      </c>
      <c r="C1600" t="s">
        <v>50</v>
      </c>
      <c r="D1600">
        <v>-16582744.5</v>
      </c>
      <c r="E1600" t="s">
        <v>331</v>
      </c>
    </row>
    <row r="1601" spans="1:5" x14ac:dyDescent="0.25">
      <c r="A1601">
        <v>1622</v>
      </c>
      <c r="B1601" s="16">
        <v>43617</v>
      </c>
      <c r="C1601" t="s">
        <v>50</v>
      </c>
      <c r="D1601">
        <v>-16582744.5</v>
      </c>
      <c r="E1601" t="s">
        <v>331</v>
      </c>
    </row>
    <row r="1602" spans="1:5" x14ac:dyDescent="0.25">
      <c r="A1602">
        <v>1622</v>
      </c>
      <c r="B1602" s="16">
        <v>43647</v>
      </c>
      <c r="C1602" t="s">
        <v>50</v>
      </c>
      <c r="D1602">
        <v>-16582744.5</v>
      </c>
      <c r="E1602" t="s">
        <v>331</v>
      </c>
    </row>
    <row r="1603" spans="1:5" x14ac:dyDescent="0.25">
      <c r="A1603">
        <v>1622</v>
      </c>
      <c r="B1603" s="16">
        <v>43678</v>
      </c>
      <c r="C1603" t="s">
        <v>50</v>
      </c>
      <c r="D1603">
        <v>-16582744.5</v>
      </c>
      <c r="E1603" t="s">
        <v>331</v>
      </c>
    </row>
    <row r="1604" spans="1:5" x14ac:dyDescent="0.25">
      <c r="A1604">
        <v>1622</v>
      </c>
      <c r="B1604" s="16">
        <v>43709</v>
      </c>
      <c r="C1604" t="s">
        <v>50</v>
      </c>
      <c r="D1604">
        <v>-16582744.5</v>
      </c>
      <c r="E1604" t="s">
        <v>331</v>
      </c>
    </row>
    <row r="1605" spans="1:5" x14ac:dyDescent="0.25">
      <c r="A1605">
        <v>1622</v>
      </c>
      <c r="B1605" s="16">
        <v>43739</v>
      </c>
      <c r="C1605" t="s">
        <v>50</v>
      </c>
      <c r="D1605">
        <v>-16582744.5</v>
      </c>
      <c r="E1605" t="s">
        <v>331</v>
      </c>
    </row>
    <row r="1606" spans="1:5" x14ac:dyDescent="0.25">
      <c r="A1606">
        <v>1622</v>
      </c>
      <c r="B1606" s="16">
        <v>43556</v>
      </c>
      <c r="C1606" t="s">
        <v>52</v>
      </c>
      <c r="D1606">
        <v>-6633097.5</v>
      </c>
      <c r="E1606" t="s">
        <v>331</v>
      </c>
    </row>
    <row r="1607" spans="1:5" x14ac:dyDescent="0.25">
      <c r="A1607">
        <v>1622</v>
      </c>
      <c r="B1607" s="16">
        <v>43586</v>
      </c>
      <c r="C1607" t="s">
        <v>52</v>
      </c>
      <c r="D1607">
        <v>-6633097.5</v>
      </c>
      <c r="E1607" t="s">
        <v>331</v>
      </c>
    </row>
    <row r="1608" spans="1:5" x14ac:dyDescent="0.25">
      <c r="A1608">
        <v>1622</v>
      </c>
      <c r="B1608" s="16">
        <v>43617</v>
      </c>
      <c r="C1608" t="s">
        <v>52</v>
      </c>
      <c r="D1608">
        <v>-6633097.5</v>
      </c>
      <c r="E1608" t="s">
        <v>331</v>
      </c>
    </row>
    <row r="1609" spans="1:5" x14ac:dyDescent="0.25">
      <c r="A1609">
        <v>1622</v>
      </c>
      <c r="B1609" s="16">
        <v>43647</v>
      </c>
      <c r="C1609" t="s">
        <v>52</v>
      </c>
      <c r="D1609">
        <v>-6633097.5</v>
      </c>
      <c r="E1609" t="s">
        <v>331</v>
      </c>
    </row>
    <row r="1610" spans="1:5" x14ac:dyDescent="0.25">
      <c r="A1610">
        <v>1622</v>
      </c>
      <c r="B1610" s="16">
        <v>43678</v>
      </c>
      <c r="C1610" t="s">
        <v>52</v>
      </c>
      <c r="D1610">
        <v>-6633097.5</v>
      </c>
      <c r="E1610" t="s">
        <v>331</v>
      </c>
    </row>
    <row r="1611" spans="1:5" x14ac:dyDescent="0.25">
      <c r="A1611">
        <v>1622</v>
      </c>
      <c r="B1611" s="16">
        <v>43556</v>
      </c>
      <c r="C1611" t="s">
        <v>53</v>
      </c>
      <c r="D1611">
        <v>-5088885</v>
      </c>
      <c r="E1611" t="s">
        <v>331</v>
      </c>
    </row>
    <row r="1612" spans="1:5" x14ac:dyDescent="0.25">
      <c r="A1612">
        <v>1622</v>
      </c>
      <c r="B1612" s="16">
        <v>43586</v>
      </c>
      <c r="C1612" t="s">
        <v>53</v>
      </c>
      <c r="D1612">
        <v>-5088885</v>
      </c>
      <c r="E1612" t="s">
        <v>331</v>
      </c>
    </row>
    <row r="1613" spans="1:5" x14ac:dyDescent="0.25">
      <c r="A1613">
        <v>1622</v>
      </c>
      <c r="B1613" s="16">
        <v>43617</v>
      </c>
      <c r="C1613" t="s">
        <v>53</v>
      </c>
      <c r="D1613">
        <v>-5088885</v>
      </c>
      <c r="E1613" t="s">
        <v>331</v>
      </c>
    </row>
    <row r="1614" spans="1:5" x14ac:dyDescent="0.25">
      <c r="A1614">
        <v>1622</v>
      </c>
      <c r="B1614" s="16">
        <v>43647</v>
      </c>
      <c r="C1614" t="s">
        <v>53</v>
      </c>
      <c r="D1614">
        <v>-5088885</v>
      </c>
      <c r="E1614" t="s">
        <v>331</v>
      </c>
    </row>
    <row r="1615" spans="1:5" x14ac:dyDescent="0.25">
      <c r="A1615">
        <v>1622</v>
      </c>
      <c r="B1615" s="16">
        <v>43678</v>
      </c>
      <c r="C1615" t="s">
        <v>53</v>
      </c>
      <c r="D1615">
        <v>-5088885</v>
      </c>
      <c r="E1615" t="s">
        <v>331</v>
      </c>
    </row>
    <row r="1616" spans="1:5" x14ac:dyDescent="0.25">
      <c r="A1616">
        <v>1622</v>
      </c>
      <c r="B1616" s="16">
        <v>43709</v>
      </c>
      <c r="C1616" t="s">
        <v>53</v>
      </c>
      <c r="D1616">
        <v>-5088885</v>
      </c>
      <c r="E1616" t="s">
        <v>331</v>
      </c>
    </row>
    <row r="1617" spans="1:5" x14ac:dyDescent="0.25">
      <c r="A1617">
        <v>1622</v>
      </c>
      <c r="B1617" s="16">
        <v>43739</v>
      </c>
      <c r="C1617" t="s">
        <v>53</v>
      </c>
      <c r="D1617">
        <v>-5088885</v>
      </c>
      <c r="E1617" t="s">
        <v>331</v>
      </c>
    </row>
    <row r="1618" spans="1:5" x14ac:dyDescent="0.25">
      <c r="A1618">
        <v>1622</v>
      </c>
      <c r="B1618" s="16">
        <v>43556</v>
      </c>
      <c r="C1618" t="s">
        <v>54</v>
      </c>
      <c r="D1618">
        <v>-6663097.5</v>
      </c>
      <c r="E1618" t="s">
        <v>331</v>
      </c>
    </row>
    <row r="1619" spans="1:5" x14ac:dyDescent="0.25">
      <c r="A1619">
        <v>1622</v>
      </c>
      <c r="B1619" s="16">
        <v>43586</v>
      </c>
      <c r="C1619" t="s">
        <v>54</v>
      </c>
      <c r="D1619">
        <v>-6663097.5</v>
      </c>
      <c r="E1619" t="s">
        <v>331</v>
      </c>
    </row>
    <row r="1620" spans="1:5" x14ac:dyDescent="0.25">
      <c r="A1620">
        <v>1622</v>
      </c>
      <c r="B1620" s="16">
        <v>43617</v>
      </c>
      <c r="C1620" t="s">
        <v>54</v>
      </c>
      <c r="D1620">
        <v>-6663097.5</v>
      </c>
      <c r="E1620" t="s">
        <v>331</v>
      </c>
    </row>
    <row r="1621" spans="1:5" x14ac:dyDescent="0.25">
      <c r="A1621">
        <v>1622</v>
      </c>
      <c r="B1621" s="16">
        <v>43647</v>
      </c>
      <c r="C1621" t="s">
        <v>54</v>
      </c>
      <c r="D1621">
        <v>-6663097.5</v>
      </c>
      <c r="E1621" t="s">
        <v>331</v>
      </c>
    </row>
    <row r="1622" spans="1:5" x14ac:dyDescent="0.25">
      <c r="A1622">
        <v>1622</v>
      </c>
      <c r="B1622" s="16">
        <v>43678</v>
      </c>
      <c r="C1622" t="s">
        <v>54</v>
      </c>
      <c r="D1622">
        <v>-6663097.5</v>
      </c>
      <c r="E1622" t="s">
        <v>331</v>
      </c>
    </row>
    <row r="1623" spans="1:5" x14ac:dyDescent="0.25">
      <c r="A1623">
        <v>1622</v>
      </c>
      <c r="B1623" s="16">
        <v>43709</v>
      </c>
      <c r="C1623" t="s">
        <v>54</v>
      </c>
      <c r="D1623">
        <v>-6663097.5</v>
      </c>
      <c r="E1623" t="s">
        <v>331</v>
      </c>
    </row>
    <row r="1624" spans="1:5" x14ac:dyDescent="0.25">
      <c r="A1624">
        <v>1622</v>
      </c>
      <c r="B1624" s="16">
        <v>43739</v>
      </c>
      <c r="C1624" t="s">
        <v>54</v>
      </c>
      <c r="D1624">
        <v>-6663097.5</v>
      </c>
      <c r="E1624" t="s">
        <v>331</v>
      </c>
    </row>
    <row r="1625" spans="1:5" x14ac:dyDescent="0.25">
      <c r="A1625">
        <v>1622</v>
      </c>
      <c r="B1625" s="16">
        <v>43556</v>
      </c>
      <c r="C1625" t="s">
        <v>55</v>
      </c>
      <c r="D1625">
        <v>-6663097.5</v>
      </c>
      <c r="E1625" t="s">
        <v>331</v>
      </c>
    </row>
    <row r="1626" spans="1:5" x14ac:dyDescent="0.25">
      <c r="A1626">
        <v>1622</v>
      </c>
      <c r="B1626" s="16">
        <v>43586</v>
      </c>
      <c r="C1626" t="s">
        <v>55</v>
      </c>
      <c r="D1626">
        <v>-6663097.5</v>
      </c>
      <c r="E1626" t="s">
        <v>331</v>
      </c>
    </row>
    <row r="1627" spans="1:5" x14ac:dyDescent="0.25">
      <c r="A1627">
        <v>1622</v>
      </c>
      <c r="B1627" s="16">
        <v>43617</v>
      </c>
      <c r="C1627" t="s">
        <v>55</v>
      </c>
      <c r="D1627">
        <v>-6663097.5</v>
      </c>
      <c r="E1627" t="s">
        <v>331</v>
      </c>
    </row>
    <row r="1628" spans="1:5" x14ac:dyDescent="0.25">
      <c r="A1628">
        <v>1622</v>
      </c>
      <c r="B1628" s="16">
        <v>43647</v>
      </c>
      <c r="C1628" t="s">
        <v>55</v>
      </c>
      <c r="D1628">
        <v>-6663097.5</v>
      </c>
      <c r="E1628" t="s">
        <v>331</v>
      </c>
    </row>
    <row r="1629" spans="1:5" x14ac:dyDescent="0.25">
      <c r="A1629">
        <v>1622</v>
      </c>
      <c r="B1629" s="16">
        <v>43678</v>
      </c>
      <c r="C1629" t="s">
        <v>55</v>
      </c>
      <c r="D1629">
        <v>-6663097.5</v>
      </c>
      <c r="E1629" t="s">
        <v>331</v>
      </c>
    </row>
    <row r="1630" spans="1:5" x14ac:dyDescent="0.25">
      <c r="A1630">
        <v>1622</v>
      </c>
      <c r="B1630" s="16">
        <v>43709</v>
      </c>
      <c r="C1630" t="s">
        <v>55</v>
      </c>
      <c r="D1630">
        <v>-6663097.5</v>
      </c>
      <c r="E1630" t="s">
        <v>331</v>
      </c>
    </row>
    <row r="1631" spans="1:5" x14ac:dyDescent="0.25">
      <c r="A1631">
        <v>1622</v>
      </c>
      <c r="B1631" s="16">
        <v>43739</v>
      </c>
      <c r="C1631" t="s">
        <v>55</v>
      </c>
      <c r="D1631">
        <v>-6663097.5</v>
      </c>
      <c r="E1631" t="s">
        <v>331</v>
      </c>
    </row>
    <row r="1632" spans="1:5" x14ac:dyDescent="0.25">
      <c r="A1632">
        <v>1622</v>
      </c>
      <c r="B1632" s="16">
        <v>43556</v>
      </c>
      <c r="C1632" t="s">
        <v>56</v>
      </c>
      <c r="D1632">
        <v>-7922866.5</v>
      </c>
      <c r="E1632" t="s">
        <v>331</v>
      </c>
    </row>
    <row r="1633" spans="1:5" x14ac:dyDescent="0.25">
      <c r="A1633">
        <v>1622</v>
      </c>
      <c r="B1633" s="16">
        <v>43586</v>
      </c>
      <c r="C1633" t="s">
        <v>56</v>
      </c>
      <c r="D1633">
        <v>-7922866.5</v>
      </c>
      <c r="E1633" t="s">
        <v>331</v>
      </c>
    </row>
    <row r="1634" spans="1:5" x14ac:dyDescent="0.25">
      <c r="A1634">
        <v>1622</v>
      </c>
      <c r="B1634" s="16">
        <v>43617</v>
      </c>
      <c r="C1634" t="s">
        <v>56</v>
      </c>
      <c r="D1634">
        <v>-7922866.5</v>
      </c>
      <c r="E1634" t="s">
        <v>331</v>
      </c>
    </row>
    <row r="1635" spans="1:5" x14ac:dyDescent="0.25">
      <c r="A1635">
        <v>1622</v>
      </c>
      <c r="B1635" s="16">
        <v>43647</v>
      </c>
      <c r="C1635" t="s">
        <v>56</v>
      </c>
      <c r="D1635">
        <v>-7922866.5</v>
      </c>
      <c r="E1635" t="s">
        <v>331</v>
      </c>
    </row>
    <row r="1636" spans="1:5" x14ac:dyDescent="0.25">
      <c r="A1636">
        <v>1622</v>
      </c>
      <c r="B1636" s="16">
        <v>43678</v>
      </c>
      <c r="C1636" t="s">
        <v>56</v>
      </c>
      <c r="D1636">
        <v>-7922866.5</v>
      </c>
      <c r="E1636" t="s">
        <v>331</v>
      </c>
    </row>
    <row r="1637" spans="1:5" x14ac:dyDescent="0.25">
      <c r="A1637">
        <v>1622</v>
      </c>
      <c r="B1637" s="16">
        <v>43709</v>
      </c>
      <c r="C1637" t="s">
        <v>56</v>
      </c>
      <c r="D1637">
        <v>-7922866.5</v>
      </c>
      <c r="E1637" t="s">
        <v>331</v>
      </c>
    </row>
    <row r="1638" spans="1:5" x14ac:dyDescent="0.25">
      <c r="A1638">
        <v>1622</v>
      </c>
      <c r="B1638" s="16">
        <v>43739</v>
      </c>
      <c r="C1638" t="s">
        <v>56</v>
      </c>
      <c r="D1638">
        <v>-7922866.5</v>
      </c>
      <c r="E1638" t="s">
        <v>331</v>
      </c>
    </row>
    <row r="1639" spans="1:5" x14ac:dyDescent="0.25">
      <c r="A1639">
        <v>1622</v>
      </c>
      <c r="B1639" s="16">
        <v>43556</v>
      </c>
      <c r="C1639" t="s">
        <v>57</v>
      </c>
      <c r="D1639">
        <v>-7896546</v>
      </c>
      <c r="E1639" t="s">
        <v>331</v>
      </c>
    </row>
    <row r="1640" spans="1:5" x14ac:dyDescent="0.25">
      <c r="A1640">
        <v>1622</v>
      </c>
      <c r="B1640" s="16">
        <v>43586</v>
      </c>
      <c r="C1640" t="s">
        <v>57</v>
      </c>
      <c r="D1640">
        <v>-7896546</v>
      </c>
      <c r="E1640" t="s">
        <v>331</v>
      </c>
    </row>
    <row r="1641" spans="1:5" x14ac:dyDescent="0.25">
      <c r="A1641">
        <v>1622</v>
      </c>
      <c r="B1641" s="16">
        <v>43617</v>
      </c>
      <c r="C1641" t="s">
        <v>57</v>
      </c>
      <c r="D1641">
        <v>-7896546</v>
      </c>
      <c r="E1641" t="s">
        <v>331</v>
      </c>
    </row>
    <row r="1642" spans="1:5" x14ac:dyDescent="0.25">
      <c r="A1642">
        <v>1622</v>
      </c>
      <c r="B1642" s="16">
        <v>43647</v>
      </c>
      <c r="C1642" t="s">
        <v>57</v>
      </c>
      <c r="D1642">
        <v>-7896546</v>
      </c>
      <c r="E1642" t="s">
        <v>331</v>
      </c>
    </row>
    <row r="1643" spans="1:5" x14ac:dyDescent="0.25">
      <c r="A1643">
        <v>1622</v>
      </c>
      <c r="B1643" s="16">
        <v>43678</v>
      </c>
      <c r="C1643" t="s">
        <v>57</v>
      </c>
      <c r="D1643">
        <v>-7896546</v>
      </c>
      <c r="E1643" t="s">
        <v>331</v>
      </c>
    </row>
    <row r="1644" spans="1:5" x14ac:dyDescent="0.25">
      <c r="A1644">
        <v>1622</v>
      </c>
      <c r="B1644" s="16">
        <v>43709</v>
      </c>
      <c r="C1644" t="s">
        <v>57</v>
      </c>
      <c r="D1644">
        <v>-7896546</v>
      </c>
      <c r="E1644" t="s">
        <v>331</v>
      </c>
    </row>
    <row r="1645" spans="1:5" x14ac:dyDescent="0.25">
      <c r="A1645">
        <v>1622</v>
      </c>
      <c r="B1645" s="16">
        <v>43739</v>
      </c>
      <c r="C1645" t="s">
        <v>57</v>
      </c>
      <c r="D1645">
        <v>-7896546</v>
      </c>
      <c r="E1645" t="s">
        <v>331</v>
      </c>
    </row>
    <row r="1646" spans="1:5" x14ac:dyDescent="0.25">
      <c r="A1646">
        <v>1622</v>
      </c>
      <c r="B1646" s="16">
        <v>43556</v>
      </c>
      <c r="C1646" t="s">
        <v>58</v>
      </c>
      <c r="D1646">
        <v>-5159076</v>
      </c>
      <c r="E1646" t="s">
        <v>331</v>
      </c>
    </row>
    <row r="1647" spans="1:5" x14ac:dyDescent="0.25">
      <c r="A1647">
        <v>1622</v>
      </c>
      <c r="B1647" s="16">
        <v>43586</v>
      </c>
      <c r="C1647" t="s">
        <v>58</v>
      </c>
      <c r="D1647">
        <v>-5159076</v>
      </c>
      <c r="E1647" t="s">
        <v>331</v>
      </c>
    </row>
    <row r="1648" spans="1:5" x14ac:dyDescent="0.25">
      <c r="A1648">
        <v>1622</v>
      </c>
      <c r="B1648" s="16">
        <v>43617</v>
      </c>
      <c r="C1648" t="s">
        <v>58</v>
      </c>
      <c r="D1648">
        <v>-5159076</v>
      </c>
      <c r="E1648" t="s">
        <v>331</v>
      </c>
    </row>
    <row r="1649" spans="1:5" x14ac:dyDescent="0.25">
      <c r="A1649">
        <v>1622</v>
      </c>
      <c r="B1649" s="16">
        <v>43647</v>
      </c>
      <c r="C1649" t="s">
        <v>58</v>
      </c>
      <c r="D1649">
        <v>-5159076</v>
      </c>
      <c r="E1649" t="s">
        <v>331</v>
      </c>
    </row>
    <row r="1650" spans="1:5" x14ac:dyDescent="0.25">
      <c r="A1650">
        <v>1622</v>
      </c>
      <c r="B1650" s="16">
        <v>43678</v>
      </c>
      <c r="C1650" t="s">
        <v>58</v>
      </c>
      <c r="D1650">
        <v>-5159076</v>
      </c>
      <c r="E1650" t="s">
        <v>331</v>
      </c>
    </row>
    <row r="1651" spans="1:5" x14ac:dyDescent="0.25">
      <c r="A1651">
        <v>1622</v>
      </c>
      <c r="B1651" s="16">
        <v>43709</v>
      </c>
      <c r="C1651" t="s">
        <v>58</v>
      </c>
      <c r="D1651">
        <v>-5159076</v>
      </c>
      <c r="E1651" t="s">
        <v>331</v>
      </c>
    </row>
    <row r="1652" spans="1:5" x14ac:dyDescent="0.25">
      <c r="A1652">
        <v>1622</v>
      </c>
      <c r="B1652" s="16">
        <v>43739</v>
      </c>
      <c r="C1652" t="s">
        <v>58</v>
      </c>
      <c r="D1652">
        <v>-5159076</v>
      </c>
      <c r="E1652" t="s">
        <v>331</v>
      </c>
    </row>
    <row r="1653" spans="1:5" x14ac:dyDescent="0.25">
      <c r="A1653">
        <v>1622</v>
      </c>
      <c r="B1653" s="16">
        <v>43556</v>
      </c>
      <c r="C1653" t="s">
        <v>59</v>
      </c>
      <c r="D1653">
        <v>-1658274</v>
      </c>
      <c r="E1653" t="s">
        <v>331</v>
      </c>
    </row>
    <row r="1654" spans="1:5" x14ac:dyDescent="0.25">
      <c r="A1654">
        <v>1622</v>
      </c>
      <c r="B1654" s="16">
        <v>43586</v>
      </c>
      <c r="C1654" t="s">
        <v>59</v>
      </c>
      <c r="D1654">
        <v>-1658274</v>
      </c>
      <c r="E1654" t="s">
        <v>331</v>
      </c>
    </row>
    <row r="1655" spans="1:5" x14ac:dyDescent="0.25">
      <c r="A1655">
        <v>1622</v>
      </c>
      <c r="B1655" s="16">
        <v>43617</v>
      </c>
      <c r="C1655" t="s">
        <v>59</v>
      </c>
      <c r="D1655">
        <v>-1658274</v>
      </c>
      <c r="E1655" t="s">
        <v>331</v>
      </c>
    </row>
    <row r="1656" spans="1:5" x14ac:dyDescent="0.25">
      <c r="A1656">
        <v>1622</v>
      </c>
      <c r="B1656" s="16">
        <v>43647</v>
      </c>
      <c r="C1656" t="s">
        <v>59</v>
      </c>
      <c r="D1656">
        <v>-1658274</v>
      </c>
      <c r="E1656" t="s">
        <v>331</v>
      </c>
    </row>
    <row r="1657" spans="1:5" x14ac:dyDescent="0.25">
      <c r="A1657">
        <v>1622</v>
      </c>
      <c r="B1657" s="16">
        <v>43678</v>
      </c>
      <c r="C1657" t="s">
        <v>59</v>
      </c>
      <c r="D1657">
        <v>-1658274</v>
      </c>
      <c r="E1657" t="s">
        <v>331</v>
      </c>
    </row>
    <row r="1658" spans="1:5" x14ac:dyDescent="0.25">
      <c r="A1658">
        <v>1622</v>
      </c>
      <c r="B1658" s="16">
        <v>43709</v>
      </c>
      <c r="C1658" t="s">
        <v>59</v>
      </c>
      <c r="D1658">
        <v>-1658274</v>
      </c>
      <c r="E1658" t="s">
        <v>331</v>
      </c>
    </row>
    <row r="1659" spans="1:5" x14ac:dyDescent="0.25">
      <c r="A1659">
        <v>1622</v>
      </c>
      <c r="B1659" s="16">
        <v>43739</v>
      </c>
      <c r="C1659" t="s">
        <v>59</v>
      </c>
      <c r="D1659">
        <v>-1658274</v>
      </c>
      <c r="E1659" t="s">
        <v>331</v>
      </c>
    </row>
    <row r="1660" spans="1:5" x14ac:dyDescent="0.25">
      <c r="A1660">
        <v>1622</v>
      </c>
      <c r="B1660" s="16">
        <v>43556</v>
      </c>
      <c r="C1660" t="s">
        <v>35</v>
      </c>
      <c r="D1660">
        <v>-3906157.7699999996</v>
      </c>
      <c r="E1660" t="s">
        <v>331</v>
      </c>
    </row>
    <row r="1661" spans="1:5" x14ac:dyDescent="0.25">
      <c r="A1661">
        <v>1622</v>
      </c>
      <c r="B1661" s="16">
        <v>43586</v>
      </c>
      <c r="C1661" t="s">
        <v>35</v>
      </c>
      <c r="D1661">
        <v>-3906157.7699999996</v>
      </c>
      <c r="E1661" t="s">
        <v>331</v>
      </c>
    </row>
    <row r="1662" spans="1:5" x14ac:dyDescent="0.25">
      <c r="A1662">
        <v>1622</v>
      </c>
      <c r="B1662" s="16">
        <v>43617</v>
      </c>
      <c r="C1662" t="s">
        <v>35</v>
      </c>
      <c r="D1662">
        <v>-3906157.7699999996</v>
      </c>
      <c r="E1662" t="s">
        <v>331</v>
      </c>
    </row>
    <row r="1663" spans="1:5" x14ac:dyDescent="0.25">
      <c r="A1663">
        <v>1622</v>
      </c>
      <c r="B1663" s="16">
        <v>43556</v>
      </c>
      <c r="C1663" t="s">
        <v>62</v>
      </c>
      <c r="D1663">
        <v>-4687389.96</v>
      </c>
      <c r="E1663" t="s">
        <v>331</v>
      </c>
    </row>
    <row r="1664" spans="1:5" x14ac:dyDescent="0.25">
      <c r="A1664">
        <v>1622</v>
      </c>
      <c r="B1664" s="16">
        <v>43556</v>
      </c>
      <c r="C1664" t="s">
        <v>64</v>
      </c>
      <c r="D1664">
        <v>-3906157.7699999996</v>
      </c>
      <c r="E1664" t="s">
        <v>331</v>
      </c>
    </row>
    <row r="1665" spans="1:5" x14ac:dyDescent="0.25">
      <c r="A1665">
        <v>1622</v>
      </c>
      <c r="B1665" s="16">
        <v>43556</v>
      </c>
      <c r="C1665" t="s">
        <v>22</v>
      </c>
      <c r="D1665">
        <v>-3906157.7699999996</v>
      </c>
      <c r="E1665" t="s">
        <v>331</v>
      </c>
    </row>
    <row r="1666" spans="1:5" x14ac:dyDescent="0.25">
      <c r="A1666">
        <v>1622</v>
      </c>
      <c r="B1666" s="16">
        <v>43586</v>
      </c>
      <c r="C1666" t="s">
        <v>22</v>
      </c>
      <c r="D1666">
        <v>-3906157.7699999996</v>
      </c>
      <c r="E1666" t="s">
        <v>331</v>
      </c>
    </row>
    <row r="1667" spans="1:5" x14ac:dyDescent="0.25">
      <c r="A1667">
        <v>1622</v>
      </c>
      <c r="B1667" s="16">
        <v>43617</v>
      </c>
      <c r="C1667" t="s">
        <v>22</v>
      </c>
      <c r="D1667">
        <v>-3906157.7699999996</v>
      </c>
      <c r="E1667" t="s">
        <v>331</v>
      </c>
    </row>
    <row r="1668" spans="1:5" x14ac:dyDescent="0.25">
      <c r="A1668">
        <v>1622</v>
      </c>
      <c r="B1668" s="16">
        <v>43647</v>
      </c>
      <c r="C1668" t="s">
        <v>22</v>
      </c>
      <c r="D1668">
        <v>-3906157.7699999996</v>
      </c>
      <c r="E1668" t="s">
        <v>331</v>
      </c>
    </row>
    <row r="1669" spans="1:5" x14ac:dyDescent="0.25">
      <c r="A1669">
        <v>1622</v>
      </c>
      <c r="B1669" s="16">
        <v>43678</v>
      </c>
      <c r="C1669" t="s">
        <v>22</v>
      </c>
      <c r="D1669">
        <v>-3906157.7699999996</v>
      </c>
      <c r="E1669" t="s">
        <v>331</v>
      </c>
    </row>
    <row r="1670" spans="1:5" x14ac:dyDescent="0.25">
      <c r="A1670">
        <v>1622</v>
      </c>
      <c r="B1670" s="16">
        <v>43709</v>
      </c>
      <c r="C1670" t="s">
        <v>22</v>
      </c>
      <c r="D1670">
        <v>-3906157.7699999996</v>
      </c>
      <c r="E1670" t="s">
        <v>331</v>
      </c>
    </row>
    <row r="1671" spans="1:5" x14ac:dyDescent="0.25">
      <c r="A1671">
        <v>1622</v>
      </c>
      <c r="B1671" s="16">
        <v>43739</v>
      </c>
      <c r="C1671" t="s">
        <v>22</v>
      </c>
      <c r="D1671">
        <v>-3906157.7699999996</v>
      </c>
      <c r="E1671" t="s">
        <v>331</v>
      </c>
    </row>
    <row r="1672" spans="1:5" x14ac:dyDescent="0.25">
      <c r="A1672">
        <v>1588</v>
      </c>
      <c r="B1672" s="16">
        <v>43466</v>
      </c>
      <c r="C1672" t="s">
        <v>19</v>
      </c>
      <c r="D1672">
        <v>-3071827.3950000005</v>
      </c>
      <c r="E1672" t="s">
        <v>331</v>
      </c>
    </row>
    <row r="1673" spans="1:5" x14ac:dyDescent="0.25">
      <c r="A1673">
        <v>1588</v>
      </c>
      <c r="B1673" s="16">
        <v>43497</v>
      </c>
      <c r="C1673" t="s">
        <v>19</v>
      </c>
      <c r="D1673">
        <v>-3071827.3950000005</v>
      </c>
      <c r="E1673" t="s">
        <v>331</v>
      </c>
    </row>
    <row r="1674" spans="1:5" x14ac:dyDescent="0.25">
      <c r="A1674">
        <v>1588</v>
      </c>
      <c r="B1674" s="16">
        <v>43525</v>
      </c>
      <c r="C1674" t="s">
        <v>19</v>
      </c>
      <c r="D1674">
        <v>-3071827.3950000005</v>
      </c>
      <c r="E1674" t="s">
        <v>331</v>
      </c>
    </row>
    <row r="1675" spans="1:5" x14ac:dyDescent="0.25">
      <c r="A1675">
        <v>1723</v>
      </c>
      <c r="B1675" s="16">
        <v>43466</v>
      </c>
      <c r="C1675" t="s">
        <v>19</v>
      </c>
      <c r="D1675">
        <v>-5626057.5000000009</v>
      </c>
      <c r="E1675" t="s">
        <v>331</v>
      </c>
    </row>
    <row r="1676" spans="1:5" x14ac:dyDescent="0.25">
      <c r="A1676">
        <v>1723</v>
      </c>
      <c r="B1676" s="16">
        <v>43497</v>
      </c>
      <c r="C1676" t="s">
        <v>19</v>
      </c>
      <c r="D1676">
        <v>-5626057.5000000009</v>
      </c>
      <c r="E1676" t="s">
        <v>331</v>
      </c>
    </row>
    <row r="1677" spans="1:5" x14ac:dyDescent="0.25">
      <c r="A1677">
        <v>1723</v>
      </c>
      <c r="B1677" s="16">
        <v>43525</v>
      </c>
      <c r="C1677" t="s">
        <v>19</v>
      </c>
      <c r="D1677">
        <v>-5626057.5000000009</v>
      </c>
      <c r="E1677" t="s">
        <v>331</v>
      </c>
    </row>
    <row r="1678" spans="1:5" x14ac:dyDescent="0.25">
      <c r="A1678">
        <v>1723</v>
      </c>
      <c r="B1678" s="16">
        <v>43556</v>
      </c>
      <c r="C1678" t="s">
        <v>19</v>
      </c>
      <c r="D1678">
        <v>-5626057.5000000009</v>
      </c>
      <c r="E1678" t="s">
        <v>331</v>
      </c>
    </row>
    <row r="1679" spans="1:5" x14ac:dyDescent="0.25">
      <c r="A1679">
        <v>1723</v>
      </c>
      <c r="B1679" s="16">
        <v>43586</v>
      </c>
      <c r="C1679" t="s">
        <v>19</v>
      </c>
      <c r="D1679">
        <v>-5626057.5000000009</v>
      </c>
      <c r="E1679" t="s">
        <v>331</v>
      </c>
    </row>
    <row r="1680" spans="1:5" x14ac:dyDescent="0.25">
      <c r="A1680">
        <v>1723</v>
      </c>
      <c r="B1680" s="16">
        <v>43617</v>
      </c>
      <c r="C1680" t="s">
        <v>19</v>
      </c>
      <c r="D1680">
        <v>-5626057.5000000009</v>
      </c>
      <c r="E1680" t="s">
        <v>331</v>
      </c>
    </row>
    <row r="1681" spans="1:5" x14ac:dyDescent="0.25">
      <c r="A1681">
        <v>1723</v>
      </c>
      <c r="B1681" s="16">
        <v>43466</v>
      </c>
      <c r="C1681" t="s">
        <v>94</v>
      </c>
      <c r="D1681">
        <v>-10418625.000000002</v>
      </c>
      <c r="E1681" t="s">
        <v>331</v>
      </c>
    </row>
    <row r="1682" spans="1:5" x14ac:dyDescent="0.25">
      <c r="A1682">
        <v>1723</v>
      </c>
      <c r="B1682" s="16">
        <v>43497</v>
      </c>
      <c r="C1682" t="s">
        <v>94</v>
      </c>
      <c r="D1682">
        <v>-10418625.000000002</v>
      </c>
      <c r="E1682" t="s">
        <v>331</v>
      </c>
    </row>
    <row r="1683" spans="1:5" x14ac:dyDescent="0.25">
      <c r="A1683">
        <v>1723</v>
      </c>
      <c r="B1683" s="16">
        <v>43525</v>
      </c>
      <c r="C1683" t="s">
        <v>94</v>
      </c>
      <c r="D1683">
        <v>-10418625.000000002</v>
      </c>
      <c r="E1683" t="s">
        <v>331</v>
      </c>
    </row>
    <row r="1684" spans="1:5" x14ac:dyDescent="0.25">
      <c r="A1684">
        <v>1723</v>
      </c>
      <c r="B1684" s="16">
        <v>43556</v>
      </c>
      <c r="C1684" t="s">
        <v>94</v>
      </c>
      <c r="D1684">
        <v>-10418625.000000002</v>
      </c>
      <c r="E1684" t="s">
        <v>331</v>
      </c>
    </row>
    <row r="1685" spans="1:5" x14ac:dyDescent="0.25">
      <c r="A1685">
        <v>1723</v>
      </c>
      <c r="B1685" s="16">
        <v>43586</v>
      </c>
      <c r="C1685" t="s">
        <v>94</v>
      </c>
      <c r="D1685">
        <v>-10418625.000000002</v>
      </c>
      <c r="E1685" t="s">
        <v>331</v>
      </c>
    </row>
    <row r="1686" spans="1:5" x14ac:dyDescent="0.25">
      <c r="A1686">
        <v>1723</v>
      </c>
      <c r="B1686" s="16">
        <v>43617</v>
      </c>
      <c r="C1686" t="s">
        <v>94</v>
      </c>
      <c r="D1686">
        <v>-10418625.000000002</v>
      </c>
      <c r="E1686" t="s">
        <v>331</v>
      </c>
    </row>
    <row r="1687" spans="1:5" x14ac:dyDescent="0.25">
      <c r="A1687">
        <v>1723</v>
      </c>
      <c r="B1687" s="16">
        <v>43466</v>
      </c>
      <c r="C1687" t="s">
        <v>90</v>
      </c>
      <c r="D1687">
        <v>-887666.85000000009</v>
      </c>
      <c r="E1687" t="s">
        <v>331</v>
      </c>
    </row>
    <row r="1688" spans="1:5" x14ac:dyDescent="0.25">
      <c r="A1688">
        <v>1723</v>
      </c>
      <c r="B1688" s="16">
        <v>43497</v>
      </c>
      <c r="C1688" t="s">
        <v>90</v>
      </c>
      <c r="D1688">
        <v>-887666.85000000009</v>
      </c>
      <c r="E1688" t="s">
        <v>331</v>
      </c>
    </row>
    <row r="1689" spans="1:5" x14ac:dyDescent="0.25">
      <c r="A1689">
        <v>1723</v>
      </c>
      <c r="B1689" s="16">
        <v>43525</v>
      </c>
      <c r="C1689" t="s">
        <v>90</v>
      </c>
      <c r="D1689">
        <v>-887666.85000000009</v>
      </c>
      <c r="E1689" t="s">
        <v>331</v>
      </c>
    </row>
    <row r="1690" spans="1:5" x14ac:dyDescent="0.25">
      <c r="A1690">
        <v>1723</v>
      </c>
      <c r="B1690" s="16">
        <v>43556</v>
      </c>
      <c r="C1690" t="s">
        <v>90</v>
      </c>
      <c r="D1690">
        <v>-887666.85000000009</v>
      </c>
      <c r="E1690" t="s">
        <v>331</v>
      </c>
    </row>
    <row r="1691" spans="1:5" x14ac:dyDescent="0.25">
      <c r="A1691">
        <v>1723</v>
      </c>
      <c r="B1691" s="16">
        <v>43586</v>
      </c>
      <c r="C1691" t="s">
        <v>90</v>
      </c>
      <c r="D1691">
        <v>-887666.85000000009</v>
      </c>
      <c r="E1691" t="s">
        <v>331</v>
      </c>
    </row>
    <row r="1692" spans="1:5" x14ac:dyDescent="0.25">
      <c r="A1692">
        <v>1723</v>
      </c>
      <c r="B1692" s="16">
        <v>43617</v>
      </c>
      <c r="C1692" t="s">
        <v>90</v>
      </c>
      <c r="D1692">
        <v>-887666.85000000009</v>
      </c>
      <c r="E1692" t="s">
        <v>331</v>
      </c>
    </row>
    <row r="1693" spans="1:5" x14ac:dyDescent="0.25">
      <c r="A1693">
        <v>1723</v>
      </c>
      <c r="B1693" s="16">
        <v>43466</v>
      </c>
      <c r="C1693" t="s">
        <v>29</v>
      </c>
      <c r="D1693">
        <v>-4514737.5000000009</v>
      </c>
      <c r="E1693" t="s">
        <v>331</v>
      </c>
    </row>
    <row r="1694" spans="1:5" x14ac:dyDescent="0.25">
      <c r="A1694">
        <v>1723</v>
      </c>
      <c r="B1694" s="16">
        <v>43497</v>
      </c>
      <c r="C1694" t="s">
        <v>29</v>
      </c>
      <c r="D1694">
        <v>-4514737.5000000009</v>
      </c>
      <c r="E1694" t="s">
        <v>331</v>
      </c>
    </row>
    <row r="1695" spans="1:5" x14ac:dyDescent="0.25">
      <c r="A1695">
        <v>1723</v>
      </c>
      <c r="B1695" s="16">
        <v>43525</v>
      </c>
      <c r="C1695" t="s">
        <v>29</v>
      </c>
      <c r="D1695">
        <v>-4514737.5000000009</v>
      </c>
      <c r="E1695" t="s">
        <v>331</v>
      </c>
    </row>
    <row r="1696" spans="1:5" x14ac:dyDescent="0.25">
      <c r="A1696">
        <v>1723</v>
      </c>
      <c r="B1696" s="16">
        <v>43556</v>
      </c>
      <c r="C1696" t="s">
        <v>29</v>
      </c>
      <c r="D1696">
        <v>-4514737.5000000009</v>
      </c>
      <c r="E1696" t="s">
        <v>331</v>
      </c>
    </row>
    <row r="1697" spans="1:5" x14ac:dyDescent="0.25">
      <c r="A1697">
        <v>1723</v>
      </c>
      <c r="B1697" s="16">
        <v>43586</v>
      </c>
      <c r="C1697" t="s">
        <v>29</v>
      </c>
      <c r="D1697">
        <v>-4514737.5000000009</v>
      </c>
      <c r="E1697" t="s">
        <v>331</v>
      </c>
    </row>
    <row r="1698" spans="1:5" x14ac:dyDescent="0.25">
      <c r="A1698">
        <v>1723</v>
      </c>
      <c r="B1698" s="16">
        <v>43617</v>
      </c>
      <c r="C1698" t="s">
        <v>29</v>
      </c>
      <c r="D1698">
        <v>-4514737.5000000009</v>
      </c>
      <c r="E1698" t="s">
        <v>331</v>
      </c>
    </row>
    <row r="1699" spans="1:5" x14ac:dyDescent="0.25">
      <c r="A1699">
        <v>1723</v>
      </c>
      <c r="B1699" s="16">
        <v>43466</v>
      </c>
      <c r="C1699" t="s">
        <v>14</v>
      </c>
      <c r="D1699">
        <v>-2448376.8750000005</v>
      </c>
      <c r="E1699" t="s">
        <v>331</v>
      </c>
    </row>
    <row r="1700" spans="1:5" x14ac:dyDescent="0.25">
      <c r="A1700">
        <v>1723</v>
      </c>
      <c r="B1700" s="16">
        <v>43497</v>
      </c>
      <c r="C1700" t="s">
        <v>14</v>
      </c>
      <c r="D1700">
        <v>-2448376.8750000005</v>
      </c>
      <c r="E1700" t="s">
        <v>331</v>
      </c>
    </row>
    <row r="1701" spans="1:5" x14ac:dyDescent="0.25">
      <c r="A1701">
        <v>1723</v>
      </c>
      <c r="B1701" s="16">
        <v>43525</v>
      </c>
      <c r="C1701" t="s">
        <v>14</v>
      </c>
      <c r="D1701">
        <v>-2448376.8750000005</v>
      </c>
      <c r="E1701" t="s">
        <v>331</v>
      </c>
    </row>
    <row r="1702" spans="1:5" x14ac:dyDescent="0.25">
      <c r="A1702">
        <v>1723</v>
      </c>
      <c r="B1702" s="16">
        <v>43556</v>
      </c>
      <c r="C1702" t="s">
        <v>14</v>
      </c>
      <c r="D1702">
        <v>-2448376.8750000005</v>
      </c>
      <c r="E1702" t="s">
        <v>331</v>
      </c>
    </row>
    <row r="1703" spans="1:5" x14ac:dyDescent="0.25">
      <c r="A1703">
        <v>1723</v>
      </c>
      <c r="B1703" s="16">
        <v>43586</v>
      </c>
      <c r="C1703" t="s">
        <v>14</v>
      </c>
      <c r="D1703">
        <v>-2448376.8750000005</v>
      </c>
      <c r="E1703" t="s">
        <v>331</v>
      </c>
    </row>
    <row r="1704" spans="1:5" x14ac:dyDescent="0.25">
      <c r="A1704">
        <v>1723</v>
      </c>
      <c r="B1704" s="16">
        <v>43617</v>
      </c>
      <c r="C1704" t="s">
        <v>14</v>
      </c>
      <c r="D1704">
        <v>-2448376.8750000005</v>
      </c>
      <c r="E1704" t="s">
        <v>331</v>
      </c>
    </row>
    <row r="1705" spans="1:5" x14ac:dyDescent="0.25">
      <c r="A1705">
        <v>1723</v>
      </c>
      <c r="B1705" s="16">
        <v>43466</v>
      </c>
      <c r="C1705" t="s">
        <v>39</v>
      </c>
      <c r="D1705">
        <v>-5903887.5000000009</v>
      </c>
      <c r="E1705" t="s">
        <v>331</v>
      </c>
    </row>
    <row r="1706" spans="1:5" x14ac:dyDescent="0.25">
      <c r="A1706">
        <v>1723</v>
      </c>
      <c r="B1706" s="16">
        <v>43497</v>
      </c>
      <c r="C1706" t="s">
        <v>39</v>
      </c>
      <c r="D1706">
        <v>-5903887.5000000009</v>
      </c>
      <c r="E1706" t="s">
        <v>331</v>
      </c>
    </row>
    <row r="1707" spans="1:5" x14ac:dyDescent="0.25">
      <c r="A1707">
        <v>1723</v>
      </c>
      <c r="B1707" s="16">
        <v>43525</v>
      </c>
      <c r="C1707" t="s">
        <v>39</v>
      </c>
      <c r="D1707">
        <v>-5903887.5000000009</v>
      </c>
      <c r="E1707" t="s">
        <v>331</v>
      </c>
    </row>
    <row r="1708" spans="1:5" x14ac:dyDescent="0.25">
      <c r="A1708">
        <v>1723</v>
      </c>
      <c r="B1708" s="16">
        <v>43556</v>
      </c>
      <c r="C1708" t="s">
        <v>39</v>
      </c>
      <c r="D1708">
        <v>-5903887.5000000009</v>
      </c>
      <c r="E1708" t="s">
        <v>331</v>
      </c>
    </row>
    <row r="1709" spans="1:5" x14ac:dyDescent="0.25">
      <c r="A1709">
        <v>1723</v>
      </c>
      <c r="B1709" s="16">
        <v>43586</v>
      </c>
      <c r="C1709" t="s">
        <v>39</v>
      </c>
      <c r="D1709">
        <v>-5903887.5000000009</v>
      </c>
      <c r="E1709" t="s">
        <v>331</v>
      </c>
    </row>
    <row r="1710" spans="1:5" x14ac:dyDescent="0.25">
      <c r="A1710">
        <v>1723</v>
      </c>
      <c r="B1710" s="16">
        <v>43617</v>
      </c>
      <c r="C1710" t="s">
        <v>39</v>
      </c>
      <c r="D1710">
        <v>-5903887.5000000009</v>
      </c>
      <c r="E1710" t="s">
        <v>331</v>
      </c>
    </row>
    <row r="1711" spans="1:5" x14ac:dyDescent="0.25">
      <c r="A1711">
        <v>1723</v>
      </c>
      <c r="B1711" s="16">
        <v>43466</v>
      </c>
      <c r="C1711" t="s">
        <v>96</v>
      </c>
      <c r="D1711">
        <v>-2604656.2500000005</v>
      </c>
      <c r="E1711" t="s">
        <v>331</v>
      </c>
    </row>
    <row r="1712" spans="1:5" x14ac:dyDescent="0.25">
      <c r="A1712">
        <v>1723</v>
      </c>
      <c r="B1712" s="16">
        <v>43497</v>
      </c>
      <c r="C1712" t="s">
        <v>96</v>
      </c>
      <c r="D1712">
        <v>-2604656.2500000005</v>
      </c>
      <c r="E1712" t="s">
        <v>331</v>
      </c>
    </row>
    <row r="1713" spans="1:5" x14ac:dyDescent="0.25">
      <c r="A1713">
        <v>1723</v>
      </c>
      <c r="B1713" s="16">
        <v>43525</v>
      </c>
      <c r="C1713" t="s">
        <v>96</v>
      </c>
      <c r="D1713">
        <v>-2604656.2500000005</v>
      </c>
      <c r="E1713" t="s">
        <v>331</v>
      </c>
    </row>
    <row r="1714" spans="1:5" x14ac:dyDescent="0.25">
      <c r="A1714">
        <v>1723</v>
      </c>
      <c r="B1714" s="16">
        <v>43556</v>
      </c>
      <c r="C1714" t="s">
        <v>96</v>
      </c>
      <c r="D1714">
        <v>-2604656.2500000005</v>
      </c>
      <c r="E1714" t="s">
        <v>331</v>
      </c>
    </row>
    <row r="1715" spans="1:5" x14ac:dyDescent="0.25">
      <c r="A1715">
        <v>1723</v>
      </c>
      <c r="B1715" s="16">
        <v>43586</v>
      </c>
      <c r="C1715" t="s">
        <v>96</v>
      </c>
      <c r="D1715">
        <v>-2604656.2500000005</v>
      </c>
      <c r="E1715" t="s">
        <v>331</v>
      </c>
    </row>
    <row r="1716" spans="1:5" x14ac:dyDescent="0.25">
      <c r="A1716">
        <v>1723</v>
      </c>
      <c r="B1716" s="16">
        <v>43617</v>
      </c>
      <c r="C1716" t="s">
        <v>96</v>
      </c>
      <c r="D1716">
        <v>-2604656.2500000005</v>
      </c>
      <c r="E1716" t="s">
        <v>331</v>
      </c>
    </row>
    <row r="1717" spans="1:5" x14ac:dyDescent="0.25">
      <c r="A1717">
        <v>1723</v>
      </c>
      <c r="B1717" s="16">
        <v>43466</v>
      </c>
      <c r="C1717" t="s">
        <v>35</v>
      </c>
      <c r="D1717">
        <v>-4049372.25</v>
      </c>
      <c r="E1717" t="s">
        <v>331</v>
      </c>
    </row>
    <row r="1718" spans="1:5" x14ac:dyDescent="0.25">
      <c r="A1718">
        <v>1723</v>
      </c>
      <c r="B1718" s="16">
        <v>43497</v>
      </c>
      <c r="C1718" t="s">
        <v>35</v>
      </c>
      <c r="D1718">
        <v>-4049372.25</v>
      </c>
      <c r="E1718" t="s">
        <v>331</v>
      </c>
    </row>
    <row r="1719" spans="1:5" x14ac:dyDescent="0.25">
      <c r="A1719">
        <v>1723</v>
      </c>
      <c r="B1719" s="16">
        <v>43525</v>
      </c>
      <c r="C1719" t="s">
        <v>35</v>
      </c>
      <c r="D1719">
        <v>-4049372.25</v>
      </c>
      <c r="E1719" t="s">
        <v>331</v>
      </c>
    </row>
    <row r="1720" spans="1:5" x14ac:dyDescent="0.25">
      <c r="A1720">
        <v>1723</v>
      </c>
      <c r="B1720" s="16">
        <v>43556</v>
      </c>
      <c r="C1720" t="s">
        <v>35</v>
      </c>
      <c r="D1720">
        <v>-4049372.25</v>
      </c>
      <c r="E1720" t="s">
        <v>331</v>
      </c>
    </row>
    <row r="1721" spans="1:5" x14ac:dyDescent="0.25">
      <c r="A1721">
        <v>1723</v>
      </c>
      <c r="B1721" s="16">
        <v>43586</v>
      </c>
      <c r="C1721" t="s">
        <v>35</v>
      </c>
      <c r="D1721">
        <v>-4049372.25</v>
      </c>
      <c r="E1721" t="s">
        <v>331</v>
      </c>
    </row>
    <row r="1722" spans="1:5" x14ac:dyDescent="0.25">
      <c r="A1722">
        <v>1723</v>
      </c>
      <c r="B1722" s="16">
        <v>43617</v>
      </c>
      <c r="C1722" t="s">
        <v>35</v>
      </c>
      <c r="D1722">
        <v>-4049372.25</v>
      </c>
      <c r="E1722" t="s">
        <v>331</v>
      </c>
    </row>
    <row r="1723" spans="1:5" x14ac:dyDescent="0.25">
      <c r="A1723">
        <v>1723</v>
      </c>
      <c r="B1723" s="16">
        <v>43466</v>
      </c>
      <c r="C1723" t="s">
        <v>97</v>
      </c>
      <c r="D1723">
        <v>-3718059.9750000001</v>
      </c>
      <c r="E1723" t="s">
        <v>331</v>
      </c>
    </row>
    <row r="1724" spans="1:5" x14ac:dyDescent="0.25">
      <c r="A1724">
        <v>1723</v>
      </c>
      <c r="B1724" s="16">
        <v>43497</v>
      </c>
      <c r="C1724" t="s">
        <v>97</v>
      </c>
      <c r="D1724">
        <v>-3718059.9750000001</v>
      </c>
      <c r="E1724" t="s">
        <v>331</v>
      </c>
    </row>
    <row r="1725" spans="1:5" x14ac:dyDescent="0.25">
      <c r="A1725">
        <v>1723</v>
      </c>
      <c r="B1725" s="16">
        <v>43525</v>
      </c>
      <c r="C1725" t="s">
        <v>97</v>
      </c>
      <c r="D1725">
        <v>-3718059.9750000001</v>
      </c>
      <c r="E1725" t="s">
        <v>331</v>
      </c>
    </row>
    <row r="1726" spans="1:5" x14ac:dyDescent="0.25">
      <c r="A1726">
        <v>1723</v>
      </c>
      <c r="B1726" s="16">
        <v>43556</v>
      </c>
      <c r="C1726" t="s">
        <v>97</v>
      </c>
      <c r="D1726">
        <v>-3718059.9750000001</v>
      </c>
      <c r="E1726" t="s">
        <v>331</v>
      </c>
    </row>
    <row r="1727" spans="1:5" x14ac:dyDescent="0.25">
      <c r="A1727">
        <v>1723</v>
      </c>
      <c r="B1727" s="16">
        <v>43586</v>
      </c>
      <c r="C1727" t="s">
        <v>97</v>
      </c>
      <c r="D1727">
        <v>-3718059.9750000001</v>
      </c>
      <c r="E1727" t="s">
        <v>331</v>
      </c>
    </row>
    <row r="1728" spans="1:5" x14ac:dyDescent="0.25">
      <c r="A1728">
        <v>1723</v>
      </c>
      <c r="B1728" s="16">
        <v>43617</v>
      </c>
      <c r="C1728" t="s">
        <v>97</v>
      </c>
      <c r="D1728">
        <v>-3718059.9750000001</v>
      </c>
      <c r="E1728" t="s">
        <v>331</v>
      </c>
    </row>
    <row r="1729" spans="1:5" x14ac:dyDescent="0.25">
      <c r="A1729">
        <v>1723</v>
      </c>
      <c r="B1729" s="16">
        <v>43466</v>
      </c>
      <c r="C1729" t="s">
        <v>79</v>
      </c>
      <c r="D1729">
        <v>-3718059.9750000001</v>
      </c>
      <c r="E1729" t="s">
        <v>331</v>
      </c>
    </row>
    <row r="1730" spans="1:5" x14ac:dyDescent="0.25">
      <c r="A1730">
        <v>1723</v>
      </c>
      <c r="B1730" s="16">
        <v>43497</v>
      </c>
      <c r="C1730" t="s">
        <v>79</v>
      </c>
      <c r="D1730">
        <v>-3718059.9750000001</v>
      </c>
      <c r="E1730" t="s">
        <v>331</v>
      </c>
    </row>
    <row r="1731" spans="1:5" x14ac:dyDescent="0.25">
      <c r="A1731">
        <v>1723</v>
      </c>
      <c r="B1731" s="16">
        <v>43525</v>
      </c>
      <c r="C1731" t="s">
        <v>79</v>
      </c>
      <c r="D1731">
        <v>-3718059.9750000001</v>
      </c>
      <c r="E1731" t="s">
        <v>331</v>
      </c>
    </row>
    <row r="1732" spans="1:5" x14ac:dyDescent="0.25">
      <c r="A1732">
        <v>1723</v>
      </c>
      <c r="B1732" s="16">
        <v>43556</v>
      </c>
      <c r="C1732" t="s">
        <v>79</v>
      </c>
      <c r="D1732">
        <v>-3718059.9750000001</v>
      </c>
      <c r="E1732" t="s">
        <v>331</v>
      </c>
    </row>
    <row r="1733" spans="1:5" x14ac:dyDescent="0.25">
      <c r="A1733">
        <v>1723</v>
      </c>
      <c r="B1733" s="16">
        <v>43586</v>
      </c>
      <c r="C1733" t="s">
        <v>79</v>
      </c>
      <c r="D1733">
        <v>-3718059.9750000001</v>
      </c>
      <c r="E1733" t="s">
        <v>331</v>
      </c>
    </row>
    <row r="1734" spans="1:5" x14ac:dyDescent="0.25">
      <c r="A1734">
        <v>1723</v>
      </c>
      <c r="B1734" s="16">
        <v>43617</v>
      </c>
      <c r="C1734" t="s">
        <v>79</v>
      </c>
      <c r="D1734">
        <v>-3718059.9750000001</v>
      </c>
      <c r="E1734" t="s">
        <v>331</v>
      </c>
    </row>
    <row r="1735" spans="1:5" x14ac:dyDescent="0.25">
      <c r="A1735">
        <v>1723</v>
      </c>
      <c r="B1735" s="16">
        <v>43466</v>
      </c>
      <c r="C1735" t="s">
        <v>23</v>
      </c>
      <c r="D1735">
        <v>-4049372.25</v>
      </c>
      <c r="E1735" t="s">
        <v>331</v>
      </c>
    </row>
    <row r="1736" spans="1:5" x14ac:dyDescent="0.25">
      <c r="A1736">
        <v>1723</v>
      </c>
      <c r="B1736" s="16">
        <v>43497</v>
      </c>
      <c r="C1736" t="s">
        <v>23</v>
      </c>
      <c r="D1736">
        <v>-4049372.25</v>
      </c>
      <c r="E1736" t="s">
        <v>331</v>
      </c>
    </row>
    <row r="1737" spans="1:5" x14ac:dyDescent="0.25">
      <c r="A1737">
        <v>1723</v>
      </c>
      <c r="B1737" s="16">
        <v>43525</v>
      </c>
      <c r="C1737" t="s">
        <v>23</v>
      </c>
      <c r="D1737">
        <v>-4049372.25</v>
      </c>
      <c r="E1737" t="s">
        <v>331</v>
      </c>
    </row>
    <row r="1738" spans="1:5" x14ac:dyDescent="0.25">
      <c r="A1738">
        <v>1723</v>
      </c>
      <c r="B1738" s="16">
        <v>43556</v>
      </c>
      <c r="C1738" t="s">
        <v>23</v>
      </c>
      <c r="D1738">
        <v>-4049372.25</v>
      </c>
      <c r="E1738" t="s">
        <v>331</v>
      </c>
    </row>
    <row r="1739" spans="1:5" x14ac:dyDescent="0.25">
      <c r="A1739">
        <v>1723</v>
      </c>
      <c r="B1739" s="16">
        <v>43586</v>
      </c>
      <c r="C1739" t="s">
        <v>23</v>
      </c>
      <c r="D1739">
        <v>-4049372.25</v>
      </c>
      <c r="E1739" t="s">
        <v>331</v>
      </c>
    </row>
    <row r="1740" spans="1:5" x14ac:dyDescent="0.25">
      <c r="A1740">
        <v>1723</v>
      </c>
      <c r="B1740" s="16">
        <v>43617</v>
      </c>
      <c r="C1740" t="s">
        <v>23</v>
      </c>
      <c r="D1740">
        <v>-4049372.25</v>
      </c>
      <c r="E1740" t="s">
        <v>331</v>
      </c>
    </row>
    <row r="1741" spans="1:5" x14ac:dyDescent="0.25">
      <c r="A1741">
        <v>1723</v>
      </c>
      <c r="B1741" s="16">
        <v>43466</v>
      </c>
      <c r="C1741" t="s">
        <v>108</v>
      </c>
      <c r="D1741">
        <v>-6221250</v>
      </c>
      <c r="E1741" t="s">
        <v>331</v>
      </c>
    </row>
    <row r="1742" spans="1:5" x14ac:dyDescent="0.25">
      <c r="A1742">
        <v>1723</v>
      </c>
      <c r="B1742" s="16">
        <v>43497</v>
      </c>
      <c r="C1742" t="s">
        <v>108</v>
      </c>
      <c r="D1742">
        <v>-6221250</v>
      </c>
      <c r="E1742" t="s">
        <v>331</v>
      </c>
    </row>
    <row r="1743" spans="1:5" x14ac:dyDescent="0.25">
      <c r="A1743">
        <v>1723</v>
      </c>
      <c r="B1743" s="16">
        <v>43466</v>
      </c>
      <c r="C1743" t="s">
        <v>110</v>
      </c>
      <c r="D1743">
        <v>-6221250</v>
      </c>
      <c r="E1743" t="s">
        <v>331</v>
      </c>
    </row>
    <row r="1744" spans="1:5" x14ac:dyDescent="0.25">
      <c r="A1744">
        <v>1723</v>
      </c>
      <c r="B1744" s="16">
        <v>43497</v>
      </c>
      <c r="C1744" t="s">
        <v>110</v>
      </c>
      <c r="D1744">
        <v>-6221250</v>
      </c>
      <c r="E1744" t="s">
        <v>331</v>
      </c>
    </row>
    <row r="1745" spans="1:5" x14ac:dyDescent="0.25">
      <c r="A1745">
        <v>1723</v>
      </c>
      <c r="B1745" s="16">
        <v>43525</v>
      </c>
      <c r="C1745" t="s">
        <v>110</v>
      </c>
      <c r="D1745">
        <v>-6221250</v>
      </c>
      <c r="E1745" t="s">
        <v>331</v>
      </c>
    </row>
    <row r="1746" spans="1:5" x14ac:dyDescent="0.25">
      <c r="A1746">
        <v>1723</v>
      </c>
      <c r="B1746" s="16">
        <v>43556</v>
      </c>
      <c r="C1746" t="s">
        <v>110</v>
      </c>
      <c r="D1746">
        <v>-6221250</v>
      </c>
      <c r="E1746" t="s">
        <v>331</v>
      </c>
    </row>
    <row r="1747" spans="1:5" x14ac:dyDescent="0.25">
      <c r="A1747">
        <v>1723</v>
      </c>
      <c r="B1747" s="16">
        <v>43466</v>
      </c>
      <c r="C1747" t="s">
        <v>111</v>
      </c>
      <c r="D1747">
        <v>-6221250</v>
      </c>
      <c r="E1747" t="s">
        <v>331</v>
      </c>
    </row>
    <row r="1748" spans="1:5" x14ac:dyDescent="0.25">
      <c r="A1748">
        <v>1723</v>
      </c>
      <c r="B1748" s="16">
        <v>43466</v>
      </c>
      <c r="C1748" t="s">
        <v>113</v>
      </c>
      <c r="D1748">
        <v>-4123664.9999999995</v>
      </c>
      <c r="E1748" t="s">
        <v>331</v>
      </c>
    </row>
    <row r="1749" spans="1:5" x14ac:dyDescent="0.25">
      <c r="A1749">
        <v>1723</v>
      </c>
      <c r="B1749" s="16">
        <v>43497</v>
      </c>
      <c r="C1749" t="s">
        <v>113</v>
      </c>
      <c r="D1749">
        <v>-4123664.9999999995</v>
      </c>
      <c r="E1749" t="s">
        <v>331</v>
      </c>
    </row>
    <row r="1750" spans="1:5" x14ac:dyDescent="0.25">
      <c r="A1750">
        <v>1723</v>
      </c>
      <c r="B1750" s="16">
        <v>43525</v>
      </c>
      <c r="C1750" t="s">
        <v>113</v>
      </c>
      <c r="D1750">
        <v>-4123664.9999999995</v>
      </c>
      <c r="E1750" t="s">
        <v>331</v>
      </c>
    </row>
    <row r="1751" spans="1:5" x14ac:dyDescent="0.25">
      <c r="A1751">
        <v>1723</v>
      </c>
      <c r="B1751" s="16">
        <v>43466</v>
      </c>
      <c r="C1751" t="s">
        <v>23</v>
      </c>
      <c r="D1751">
        <v>-4123664.9999999995</v>
      </c>
      <c r="E1751" t="s">
        <v>331</v>
      </c>
    </row>
    <row r="1752" spans="1:5" x14ac:dyDescent="0.25">
      <c r="A1752">
        <v>1723</v>
      </c>
      <c r="B1752" s="16">
        <v>43497</v>
      </c>
      <c r="C1752" t="s">
        <v>23</v>
      </c>
      <c r="D1752">
        <v>-4123664.9999999995</v>
      </c>
      <c r="E1752" t="s">
        <v>331</v>
      </c>
    </row>
    <row r="1753" spans="1:5" x14ac:dyDescent="0.25">
      <c r="A1753">
        <v>1723</v>
      </c>
      <c r="B1753" s="16">
        <v>43525</v>
      </c>
      <c r="C1753" t="s">
        <v>23</v>
      </c>
      <c r="D1753">
        <v>-4123664.9999999995</v>
      </c>
      <c r="E1753" t="s">
        <v>331</v>
      </c>
    </row>
    <row r="1754" spans="1:5" x14ac:dyDescent="0.25">
      <c r="A1754">
        <v>1723</v>
      </c>
      <c r="B1754" s="16">
        <v>43556</v>
      </c>
      <c r="C1754" t="s">
        <v>23</v>
      </c>
      <c r="D1754">
        <v>-4123664.9999999995</v>
      </c>
      <c r="E1754" t="s">
        <v>331</v>
      </c>
    </row>
    <row r="1755" spans="1:5" x14ac:dyDescent="0.25">
      <c r="A1755">
        <v>1734</v>
      </c>
      <c r="B1755" s="16">
        <v>43466</v>
      </c>
      <c r="C1755" t="s">
        <v>19</v>
      </c>
      <c r="D1755">
        <v>-3572100</v>
      </c>
      <c r="E1755" t="s">
        <v>331</v>
      </c>
    </row>
    <row r="1756" spans="1:5" x14ac:dyDescent="0.25">
      <c r="A1756">
        <v>1734</v>
      </c>
      <c r="B1756" s="16">
        <v>43497</v>
      </c>
      <c r="C1756" t="s">
        <v>19</v>
      </c>
      <c r="D1756">
        <v>-3572100</v>
      </c>
      <c r="E1756" t="s">
        <v>331</v>
      </c>
    </row>
    <row r="1757" spans="1:5" x14ac:dyDescent="0.25">
      <c r="A1757">
        <v>1734</v>
      </c>
      <c r="B1757" s="16">
        <v>43525</v>
      </c>
      <c r="C1757" t="s">
        <v>19</v>
      </c>
      <c r="D1757">
        <v>-3572100</v>
      </c>
      <c r="E1757" t="s">
        <v>331</v>
      </c>
    </row>
    <row r="1758" spans="1:5" x14ac:dyDescent="0.25">
      <c r="A1758">
        <v>1734</v>
      </c>
      <c r="B1758" s="16">
        <v>43556</v>
      </c>
      <c r="C1758" t="s">
        <v>19</v>
      </c>
      <c r="D1758">
        <v>-3572100</v>
      </c>
      <c r="E1758" t="s">
        <v>331</v>
      </c>
    </row>
    <row r="1759" spans="1:5" x14ac:dyDescent="0.25">
      <c r="A1759">
        <v>1734</v>
      </c>
      <c r="B1759" s="16">
        <v>43586</v>
      </c>
      <c r="C1759" t="s">
        <v>19</v>
      </c>
      <c r="D1759">
        <v>-3572100</v>
      </c>
      <c r="E1759" t="s">
        <v>331</v>
      </c>
    </row>
    <row r="1760" spans="1:5" x14ac:dyDescent="0.25">
      <c r="A1760">
        <v>1734</v>
      </c>
      <c r="B1760" s="16">
        <v>43617</v>
      </c>
      <c r="C1760" t="s">
        <v>19</v>
      </c>
      <c r="D1760">
        <v>-3572100</v>
      </c>
      <c r="E1760" t="s">
        <v>331</v>
      </c>
    </row>
    <row r="1761" spans="1:5" x14ac:dyDescent="0.25">
      <c r="A1761">
        <v>1734</v>
      </c>
      <c r="B1761" s="16">
        <v>43647</v>
      </c>
      <c r="C1761" t="s">
        <v>19</v>
      </c>
      <c r="D1761">
        <v>-3572100</v>
      </c>
      <c r="E1761" t="s">
        <v>331</v>
      </c>
    </row>
    <row r="1762" spans="1:5" x14ac:dyDescent="0.25">
      <c r="A1762">
        <v>1734</v>
      </c>
      <c r="B1762" s="16">
        <v>43678</v>
      </c>
      <c r="C1762" t="s">
        <v>19</v>
      </c>
      <c r="D1762">
        <v>-3572100</v>
      </c>
      <c r="E1762" t="s">
        <v>331</v>
      </c>
    </row>
    <row r="1763" spans="1:5" x14ac:dyDescent="0.25">
      <c r="A1763">
        <v>1734</v>
      </c>
      <c r="B1763" s="16">
        <v>43709</v>
      </c>
      <c r="C1763" t="s">
        <v>19</v>
      </c>
      <c r="D1763">
        <v>-3572100</v>
      </c>
      <c r="E1763" t="s">
        <v>331</v>
      </c>
    </row>
    <row r="1764" spans="1:5" x14ac:dyDescent="0.25">
      <c r="A1764">
        <v>1734</v>
      </c>
      <c r="B1764" s="16">
        <v>43739</v>
      </c>
      <c r="C1764" t="s">
        <v>19</v>
      </c>
      <c r="D1764">
        <v>-3572100</v>
      </c>
      <c r="E1764" t="s">
        <v>331</v>
      </c>
    </row>
    <row r="1765" spans="1:5" x14ac:dyDescent="0.25">
      <c r="A1765">
        <v>1734</v>
      </c>
      <c r="B1765" s="16">
        <v>43770</v>
      </c>
      <c r="C1765" t="s">
        <v>19</v>
      </c>
      <c r="D1765">
        <v>-3572100</v>
      </c>
      <c r="E1765" t="s">
        <v>331</v>
      </c>
    </row>
    <row r="1766" spans="1:5" x14ac:dyDescent="0.25">
      <c r="A1766">
        <v>1734</v>
      </c>
      <c r="B1766" s="16">
        <v>43800</v>
      </c>
      <c r="C1766" t="s">
        <v>19</v>
      </c>
      <c r="D1766">
        <v>-3572100</v>
      </c>
      <c r="E1766" t="s">
        <v>331</v>
      </c>
    </row>
    <row r="1767" spans="1:5" x14ac:dyDescent="0.25">
      <c r="A1767">
        <v>1734</v>
      </c>
      <c r="B1767" s="16">
        <v>43831</v>
      </c>
      <c r="C1767" t="s">
        <v>19</v>
      </c>
      <c r="D1767">
        <v>-3572100</v>
      </c>
      <c r="E1767" t="s">
        <v>331</v>
      </c>
    </row>
    <row r="1768" spans="1:5" x14ac:dyDescent="0.25">
      <c r="A1768">
        <v>1734</v>
      </c>
      <c r="B1768" s="16">
        <v>43862</v>
      </c>
      <c r="C1768" t="s">
        <v>19</v>
      </c>
      <c r="D1768">
        <v>-3572100</v>
      </c>
      <c r="E1768" t="s">
        <v>331</v>
      </c>
    </row>
    <row r="1769" spans="1:5" x14ac:dyDescent="0.25">
      <c r="A1769">
        <v>1734</v>
      </c>
      <c r="B1769" s="16">
        <v>43891</v>
      </c>
      <c r="C1769" t="s">
        <v>19</v>
      </c>
      <c r="D1769">
        <v>-3572100</v>
      </c>
      <c r="E1769" t="s">
        <v>331</v>
      </c>
    </row>
    <row r="1770" spans="1:5" x14ac:dyDescent="0.25">
      <c r="A1770">
        <v>1734</v>
      </c>
      <c r="B1770" s="16">
        <v>43922</v>
      </c>
      <c r="C1770" t="s">
        <v>19</v>
      </c>
      <c r="D1770">
        <v>-3572100</v>
      </c>
      <c r="E1770" t="s">
        <v>331</v>
      </c>
    </row>
    <row r="1771" spans="1:5" x14ac:dyDescent="0.25">
      <c r="A1771">
        <v>1734</v>
      </c>
      <c r="B1771" s="16">
        <v>43952</v>
      </c>
      <c r="C1771" t="s">
        <v>19</v>
      </c>
      <c r="D1771">
        <v>-3572100</v>
      </c>
      <c r="E1771" t="s">
        <v>331</v>
      </c>
    </row>
    <row r="1772" spans="1:5" x14ac:dyDescent="0.25">
      <c r="A1772">
        <v>1734</v>
      </c>
      <c r="B1772" s="16">
        <v>43983</v>
      </c>
      <c r="C1772" t="s">
        <v>19</v>
      </c>
      <c r="D1772">
        <v>-3572100</v>
      </c>
      <c r="E1772" t="s">
        <v>331</v>
      </c>
    </row>
    <row r="1773" spans="1:5" x14ac:dyDescent="0.25">
      <c r="A1773">
        <v>1734</v>
      </c>
      <c r="B1773" s="16">
        <v>44013</v>
      </c>
      <c r="C1773" t="s">
        <v>19</v>
      </c>
      <c r="D1773">
        <v>-3572100</v>
      </c>
      <c r="E1773" t="s">
        <v>331</v>
      </c>
    </row>
    <row r="1774" spans="1:5" x14ac:dyDescent="0.25">
      <c r="A1774">
        <v>1734</v>
      </c>
      <c r="B1774" s="16">
        <v>44044</v>
      </c>
      <c r="C1774" t="s">
        <v>19</v>
      </c>
      <c r="D1774">
        <v>-3572100</v>
      </c>
      <c r="E1774" t="s">
        <v>331</v>
      </c>
    </row>
    <row r="1775" spans="1:5" x14ac:dyDescent="0.25">
      <c r="A1775">
        <v>1734</v>
      </c>
      <c r="B1775" s="16">
        <v>44075</v>
      </c>
      <c r="C1775" t="s">
        <v>19</v>
      </c>
      <c r="D1775">
        <v>-3572100</v>
      </c>
      <c r="E1775" t="s">
        <v>331</v>
      </c>
    </row>
    <row r="1776" spans="1:5" x14ac:dyDescent="0.25">
      <c r="A1776">
        <v>1734</v>
      </c>
      <c r="B1776" s="16">
        <v>43466</v>
      </c>
      <c r="C1776" t="s">
        <v>12</v>
      </c>
      <c r="D1776">
        <v>-10087875</v>
      </c>
      <c r="E1776" t="s">
        <v>331</v>
      </c>
    </row>
    <row r="1777" spans="1:5" x14ac:dyDescent="0.25">
      <c r="A1777">
        <v>1734</v>
      </c>
      <c r="B1777" s="16">
        <v>43497</v>
      </c>
      <c r="C1777" t="s">
        <v>12</v>
      </c>
      <c r="D1777">
        <v>-10087875</v>
      </c>
      <c r="E1777" t="s">
        <v>331</v>
      </c>
    </row>
    <row r="1778" spans="1:5" x14ac:dyDescent="0.25">
      <c r="A1778">
        <v>1734</v>
      </c>
      <c r="B1778" s="16">
        <v>43525</v>
      </c>
      <c r="C1778" t="s">
        <v>12</v>
      </c>
      <c r="D1778">
        <v>-10087875</v>
      </c>
      <c r="E1778" t="s">
        <v>331</v>
      </c>
    </row>
    <row r="1779" spans="1:5" x14ac:dyDescent="0.25">
      <c r="A1779">
        <v>1734</v>
      </c>
      <c r="B1779" s="16">
        <v>43556</v>
      </c>
      <c r="C1779" t="s">
        <v>12</v>
      </c>
      <c r="D1779">
        <v>-10087875</v>
      </c>
      <c r="E1779" t="s">
        <v>331</v>
      </c>
    </row>
    <row r="1780" spans="1:5" x14ac:dyDescent="0.25">
      <c r="A1780">
        <v>1734</v>
      </c>
      <c r="B1780" s="16">
        <v>43586</v>
      </c>
      <c r="C1780" t="s">
        <v>12</v>
      </c>
      <c r="D1780">
        <v>-10087875</v>
      </c>
      <c r="E1780" t="s">
        <v>331</v>
      </c>
    </row>
    <row r="1781" spans="1:5" x14ac:dyDescent="0.25">
      <c r="A1781">
        <v>1734</v>
      </c>
      <c r="B1781" s="16">
        <v>43617</v>
      </c>
      <c r="C1781" t="s">
        <v>12</v>
      </c>
      <c r="D1781">
        <v>-10087875</v>
      </c>
      <c r="E1781" t="s">
        <v>331</v>
      </c>
    </row>
    <row r="1782" spans="1:5" x14ac:dyDescent="0.25">
      <c r="A1782">
        <v>1734</v>
      </c>
      <c r="B1782" s="16">
        <v>43647</v>
      </c>
      <c r="C1782" t="s">
        <v>12</v>
      </c>
      <c r="D1782">
        <v>-10087875</v>
      </c>
      <c r="E1782" t="s">
        <v>331</v>
      </c>
    </row>
    <row r="1783" spans="1:5" x14ac:dyDescent="0.25">
      <c r="A1783">
        <v>1734</v>
      </c>
      <c r="B1783" s="16">
        <v>43678</v>
      </c>
      <c r="C1783" t="s">
        <v>12</v>
      </c>
      <c r="D1783">
        <v>-10087875</v>
      </c>
      <c r="E1783" t="s">
        <v>331</v>
      </c>
    </row>
    <row r="1784" spans="1:5" x14ac:dyDescent="0.25">
      <c r="A1784">
        <v>1734</v>
      </c>
      <c r="B1784" s="16">
        <v>43709</v>
      </c>
      <c r="C1784" t="s">
        <v>12</v>
      </c>
      <c r="D1784">
        <v>-10087875</v>
      </c>
      <c r="E1784" t="s">
        <v>331</v>
      </c>
    </row>
    <row r="1785" spans="1:5" x14ac:dyDescent="0.25">
      <c r="A1785">
        <v>1734</v>
      </c>
      <c r="B1785" s="16">
        <v>43739</v>
      </c>
      <c r="C1785" t="s">
        <v>12</v>
      </c>
      <c r="D1785">
        <v>-10087875</v>
      </c>
      <c r="E1785" t="s">
        <v>331</v>
      </c>
    </row>
    <row r="1786" spans="1:5" x14ac:dyDescent="0.25">
      <c r="A1786">
        <v>1734</v>
      </c>
      <c r="B1786" s="16">
        <v>43770</v>
      </c>
      <c r="C1786" t="s">
        <v>12</v>
      </c>
      <c r="D1786">
        <v>-10087875</v>
      </c>
      <c r="E1786" t="s">
        <v>331</v>
      </c>
    </row>
    <row r="1787" spans="1:5" x14ac:dyDescent="0.25">
      <c r="A1787">
        <v>1734</v>
      </c>
      <c r="B1787" s="16">
        <v>43800</v>
      </c>
      <c r="C1787" t="s">
        <v>12</v>
      </c>
      <c r="D1787">
        <v>-10087875</v>
      </c>
      <c r="E1787" t="s">
        <v>331</v>
      </c>
    </row>
    <row r="1788" spans="1:5" x14ac:dyDescent="0.25">
      <c r="A1788">
        <v>1734</v>
      </c>
      <c r="B1788" s="16">
        <v>43831</v>
      </c>
      <c r="C1788" t="s">
        <v>12</v>
      </c>
      <c r="D1788">
        <v>-10087875</v>
      </c>
      <c r="E1788" t="s">
        <v>331</v>
      </c>
    </row>
    <row r="1789" spans="1:5" x14ac:dyDescent="0.25">
      <c r="A1789">
        <v>1734</v>
      </c>
      <c r="B1789" s="16">
        <v>43862</v>
      </c>
      <c r="C1789" t="s">
        <v>12</v>
      </c>
      <c r="D1789">
        <v>-10087875</v>
      </c>
      <c r="E1789" t="s">
        <v>331</v>
      </c>
    </row>
    <row r="1790" spans="1:5" x14ac:dyDescent="0.25">
      <c r="A1790">
        <v>1734</v>
      </c>
      <c r="B1790" s="16">
        <v>43891</v>
      </c>
      <c r="C1790" t="s">
        <v>12</v>
      </c>
      <c r="D1790">
        <v>-10087875</v>
      </c>
      <c r="E1790" t="s">
        <v>331</v>
      </c>
    </row>
    <row r="1791" spans="1:5" x14ac:dyDescent="0.25">
      <c r="A1791">
        <v>1734</v>
      </c>
      <c r="B1791" s="16">
        <v>43922</v>
      </c>
      <c r="C1791" t="s">
        <v>12</v>
      </c>
      <c r="D1791">
        <v>-10087875</v>
      </c>
      <c r="E1791" t="s">
        <v>331</v>
      </c>
    </row>
    <row r="1792" spans="1:5" x14ac:dyDescent="0.25">
      <c r="A1792">
        <v>1734</v>
      </c>
      <c r="B1792" s="16">
        <v>43952</v>
      </c>
      <c r="C1792" t="s">
        <v>12</v>
      </c>
      <c r="D1792">
        <v>-10087875</v>
      </c>
      <c r="E1792" t="s">
        <v>331</v>
      </c>
    </row>
    <row r="1793" spans="1:5" x14ac:dyDescent="0.25">
      <c r="A1793">
        <v>1734</v>
      </c>
      <c r="B1793" s="16">
        <v>43983</v>
      </c>
      <c r="C1793" t="s">
        <v>12</v>
      </c>
      <c r="D1793">
        <v>-10087875</v>
      </c>
      <c r="E1793" t="s">
        <v>331</v>
      </c>
    </row>
    <row r="1794" spans="1:5" x14ac:dyDescent="0.25">
      <c r="A1794">
        <v>1734</v>
      </c>
      <c r="B1794" s="16">
        <v>44013</v>
      </c>
      <c r="C1794" t="s">
        <v>12</v>
      </c>
      <c r="D1794">
        <v>-10087875</v>
      </c>
      <c r="E1794" t="s">
        <v>331</v>
      </c>
    </row>
    <row r="1795" spans="1:5" x14ac:dyDescent="0.25">
      <c r="A1795">
        <v>1734</v>
      </c>
      <c r="B1795" s="16">
        <v>44044</v>
      </c>
      <c r="C1795" t="s">
        <v>12</v>
      </c>
      <c r="D1795">
        <v>-10087875</v>
      </c>
      <c r="E1795" t="s">
        <v>331</v>
      </c>
    </row>
    <row r="1796" spans="1:5" x14ac:dyDescent="0.25">
      <c r="A1796">
        <v>1734</v>
      </c>
      <c r="B1796" s="16">
        <v>44075</v>
      </c>
      <c r="C1796" t="s">
        <v>12</v>
      </c>
      <c r="D1796">
        <v>-10087875</v>
      </c>
      <c r="E1796" t="s">
        <v>331</v>
      </c>
    </row>
    <row r="1797" spans="1:5" x14ac:dyDescent="0.25">
      <c r="A1797">
        <v>1734</v>
      </c>
      <c r="B1797" s="16">
        <v>43466</v>
      </c>
      <c r="C1797" t="s">
        <v>30</v>
      </c>
      <c r="D1797">
        <v>-7594316.1000000006</v>
      </c>
      <c r="E1797" t="s">
        <v>331</v>
      </c>
    </row>
    <row r="1798" spans="1:5" x14ac:dyDescent="0.25">
      <c r="A1798">
        <v>1734</v>
      </c>
      <c r="B1798" s="16">
        <v>43497</v>
      </c>
      <c r="C1798" t="s">
        <v>30</v>
      </c>
      <c r="D1798">
        <v>-7594316.1000000006</v>
      </c>
      <c r="E1798" t="s">
        <v>331</v>
      </c>
    </row>
    <row r="1799" spans="1:5" x14ac:dyDescent="0.25">
      <c r="A1799">
        <v>1734</v>
      </c>
      <c r="B1799" s="16">
        <v>43525</v>
      </c>
      <c r="C1799" t="s">
        <v>30</v>
      </c>
      <c r="D1799">
        <v>-7594316.1000000006</v>
      </c>
      <c r="E1799" t="s">
        <v>331</v>
      </c>
    </row>
    <row r="1800" spans="1:5" x14ac:dyDescent="0.25">
      <c r="A1800">
        <v>1734</v>
      </c>
      <c r="B1800" s="16">
        <v>43556</v>
      </c>
      <c r="C1800" t="s">
        <v>30</v>
      </c>
      <c r="D1800">
        <v>-7594316.1000000006</v>
      </c>
      <c r="E1800" t="s">
        <v>331</v>
      </c>
    </row>
    <row r="1801" spans="1:5" x14ac:dyDescent="0.25">
      <c r="A1801">
        <v>1734</v>
      </c>
      <c r="B1801" s="16">
        <v>43586</v>
      </c>
      <c r="C1801" t="s">
        <v>30</v>
      </c>
      <c r="D1801">
        <v>-7594316.1000000006</v>
      </c>
      <c r="E1801" t="s">
        <v>331</v>
      </c>
    </row>
    <row r="1802" spans="1:5" x14ac:dyDescent="0.25">
      <c r="A1802">
        <v>1734</v>
      </c>
      <c r="B1802" s="16">
        <v>43617</v>
      </c>
      <c r="C1802" t="s">
        <v>30</v>
      </c>
      <c r="D1802">
        <v>-7594316.1000000006</v>
      </c>
      <c r="E1802" t="s">
        <v>331</v>
      </c>
    </row>
    <row r="1803" spans="1:5" x14ac:dyDescent="0.25">
      <c r="A1803">
        <v>1734</v>
      </c>
      <c r="B1803" s="16">
        <v>43647</v>
      </c>
      <c r="C1803" t="s">
        <v>30</v>
      </c>
      <c r="D1803">
        <v>-7594316.1000000006</v>
      </c>
      <c r="E1803" t="s">
        <v>331</v>
      </c>
    </row>
    <row r="1804" spans="1:5" x14ac:dyDescent="0.25">
      <c r="A1804">
        <v>1734</v>
      </c>
      <c r="B1804" s="16">
        <v>43678</v>
      </c>
      <c r="C1804" t="s">
        <v>30</v>
      </c>
      <c r="D1804">
        <v>-7594316.1000000006</v>
      </c>
      <c r="E1804" t="s">
        <v>331</v>
      </c>
    </row>
    <row r="1805" spans="1:5" x14ac:dyDescent="0.25">
      <c r="A1805">
        <v>1734</v>
      </c>
      <c r="B1805" s="16">
        <v>43709</v>
      </c>
      <c r="C1805" t="s">
        <v>30</v>
      </c>
      <c r="D1805">
        <v>-7594316.1000000006</v>
      </c>
      <c r="E1805" t="s">
        <v>331</v>
      </c>
    </row>
    <row r="1806" spans="1:5" x14ac:dyDescent="0.25">
      <c r="A1806">
        <v>1734</v>
      </c>
      <c r="B1806" s="16">
        <v>43739</v>
      </c>
      <c r="C1806" t="s">
        <v>30</v>
      </c>
      <c r="D1806">
        <v>-7594316.1000000006</v>
      </c>
      <c r="E1806" t="s">
        <v>331</v>
      </c>
    </row>
    <row r="1807" spans="1:5" x14ac:dyDescent="0.25">
      <c r="A1807">
        <v>1734</v>
      </c>
      <c r="B1807" s="16">
        <v>43770</v>
      </c>
      <c r="C1807" t="s">
        <v>30</v>
      </c>
      <c r="D1807">
        <v>-7594316.1000000006</v>
      </c>
      <c r="E1807" t="s">
        <v>331</v>
      </c>
    </row>
    <row r="1808" spans="1:5" x14ac:dyDescent="0.25">
      <c r="A1808">
        <v>1734</v>
      </c>
      <c r="B1808" s="16">
        <v>43800</v>
      </c>
      <c r="C1808" t="s">
        <v>30</v>
      </c>
      <c r="D1808">
        <v>-7594316.1000000006</v>
      </c>
      <c r="E1808" t="s">
        <v>331</v>
      </c>
    </row>
    <row r="1809" spans="1:5" x14ac:dyDescent="0.25">
      <c r="A1809">
        <v>1734</v>
      </c>
      <c r="B1809" s="16">
        <v>43831</v>
      </c>
      <c r="C1809" t="s">
        <v>30</v>
      </c>
      <c r="D1809">
        <v>-7594316.1000000006</v>
      </c>
      <c r="E1809" t="s">
        <v>331</v>
      </c>
    </row>
    <row r="1810" spans="1:5" x14ac:dyDescent="0.25">
      <c r="A1810">
        <v>1734</v>
      </c>
      <c r="B1810" s="16">
        <v>43862</v>
      </c>
      <c r="C1810" t="s">
        <v>30</v>
      </c>
      <c r="D1810">
        <v>-7594316.1000000006</v>
      </c>
      <c r="E1810" t="s">
        <v>331</v>
      </c>
    </row>
    <row r="1811" spans="1:5" x14ac:dyDescent="0.25">
      <c r="A1811">
        <v>1734</v>
      </c>
      <c r="B1811" s="16">
        <v>43891</v>
      </c>
      <c r="C1811" t="s">
        <v>30</v>
      </c>
      <c r="D1811">
        <v>-7594316.1000000006</v>
      </c>
      <c r="E1811" t="s">
        <v>331</v>
      </c>
    </row>
    <row r="1812" spans="1:5" x14ac:dyDescent="0.25">
      <c r="A1812">
        <v>1734</v>
      </c>
      <c r="B1812" s="16">
        <v>43922</v>
      </c>
      <c r="C1812" t="s">
        <v>30</v>
      </c>
      <c r="D1812">
        <v>-7594316.1000000006</v>
      </c>
      <c r="E1812" t="s">
        <v>331</v>
      </c>
    </row>
    <row r="1813" spans="1:5" x14ac:dyDescent="0.25">
      <c r="A1813">
        <v>1734</v>
      </c>
      <c r="B1813" s="16">
        <v>43952</v>
      </c>
      <c r="C1813" t="s">
        <v>30</v>
      </c>
      <c r="D1813">
        <v>-7594316.1000000006</v>
      </c>
      <c r="E1813" t="s">
        <v>331</v>
      </c>
    </row>
    <row r="1814" spans="1:5" x14ac:dyDescent="0.25">
      <c r="A1814">
        <v>1734</v>
      </c>
      <c r="B1814" s="16">
        <v>43983</v>
      </c>
      <c r="C1814" t="s">
        <v>30</v>
      </c>
      <c r="D1814">
        <v>-7594316.1000000006</v>
      </c>
      <c r="E1814" t="s">
        <v>331</v>
      </c>
    </row>
    <row r="1815" spans="1:5" x14ac:dyDescent="0.25">
      <c r="A1815">
        <v>1734</v>
      </c>
      <c r="B1815" s="16">
        <v>44013</v>
      </c>
      <c r="C1815" t="s">
        <v>30</v>
      </c>
      <c r="D1815">
        <v>-7594316.1000000006</v>
      </c>
      <c r="E1815" t="s">
        <v>331</v>
      </c>
    </row>
    <row r="1816" spans="1:5" x14ac:dyDescent="0.25">
      <c r="A1816">
        <v>1734</v>
      </c>
      <c r="B1816" s="16">
        <v>44044</v>
      </c>
      <c r="C1816" t="s">
        <v>30</v>
      </c>
      <c r="D1816">
        <v>-7594316.1000000006</v>
      </c>
      <c r="E1816" t="s">
        <v>331</v>
      </c>
    </row>
    <row r="1817" spans="1:5" x14ac:dyDescent="0.25">
      <c r="A1817">
        <v>1734</v>
      </c>
      <c r="B1817" s="16">
        <v>44075</v>
      </c>
      <c r="C1817" t="s">
        <v>30</v>
      </c>
      <c r="D1817">
        <v>-7594316.1000000006</v>
      </c>
      <c r="E1817" t="s">
        <v>331</v>
      </c>
    </row>
    <row r="1818" spans="1:5" x14ac:dyDescent="0.25">
      <c r="A1818">
        <v>1734</v>
      </c>
      <c r="B1818" s="16">
        <v>43466</v>
      </c>
      <c r="C1818" t="s">
        <v>39</v>
      </c>
      <c r="D1818">
        <v>-7594316.1000000006</v>
      </c>
      <c r="E1818" t="s">
        <v>331</v>
      </c>
    </row>
    <row r="1819" spans="1:5" x14ac:dyDescent="0.25">
      <c r="A1819">
        <v>1734</v>
      </c>
      <c r="B1819" s="16">
        <v>43497</v>
      </c>
      <c r="C1819" t="s">
        <v>39</v>
      </c>
      <c r="D1819">
        <v>-7594316.1000000006</v>
      </c>
      <c r="E1819" t="s">
        <v>331</v>
      </c>
    </row>
    <row r="1820" spans="1:5" x14ac:dyDescent="0.25">
      <c r="A1820">
        <v>1734</v>
      </c>
      <c r="B1820" s="16">
        <v>43525</v>
      </c>
      <c r="C1820" t="s">
        <v>39</v>
      </c>
      <c r="D1820">
        <v>-7594316.1000000006</v>
      </c>
      <c r="E1820" t="s">
        <v>331</v>
      </c>
    </row>
    <row r="1821" spans="1:5" x14ac:dyDescent="0.25">
      <c r="A1821">
        <v>1734</v>
      </c>
      <c r="B1821" s="16">
        <v>43556</v>
      </c>
      <c r="C1821" t="s">
        <v>39</v>
      </c>
      <c r="D1821">
        <v>-7594316.1000000006</v>
      </c>
      <c r="E1821" t="s">
        <v>331</v>
      </c>
    </row>
    <row r="1822" spans="1:5" x14ac:dyDescent="0.25">
      <c r="A1822">
        <v>1734</v>
      </c>
      <c r="B1822" s="16">
        <v>43586</v>
      </c>
      <c r="C1822" t="s">
        <v>39</v>
      </c>
      <c r="D1822">
        <v>-7594316.1000000006</v>
      </c>
      <c r="E1822" t="s">
        <v>331</v>
      </c>
    </row>
    <row r="1823" spans="1:5" x14ac:dyDescent="0.25">
      <c r="A1823">
        <v>1734</v>
      </c>
      <c r="B1823" s="16">
        <v>43617</v>
      </c>
      <c r="C1823" t="s">
        <v>39</v>
      </c>
      <c r="D1823">
        <v>-7594316.1000000006</v>
      </c>
      <c r="E1823" t="s">
        <v>331</v>
      </c>
    </row>
    <row r="1824" spans="1:5" x14ac:dyDescent="0.25">
      <c r="A1824">
        <v>1734</v>
      </c>
      <c r="B1824" s="16">
        <v>43647</v>
      </c>
      <c r="C1824" t="s">
        <v>39</v>
      </c>
      <c r="D1824">
        <v>-7594316.1000000006</v>
      </c>
      <c r="E1824" t="s">
        <v>331</v>
      </c>
    </row>
    <row r="1825" spans="1:5" x14ac:dyDescent="0.25">
      <c r="A1825">
        <v>1734</v>
      </c>
      <c r="B1825" s="16">
        <v>43678</v>
      </c>
      <c r="C1825" t="s">
        <v>39</v>
      </c>
      <c r="D1825">
        <v>-7594316.1000000006</v>
      </c>
      <c r="E1825" t="s">
        <v>331</v>
      </c>
    </row>
    <row r="1826" spans="1:5" x14ac:dyDescent="0.25">
      <c r="A1826">
        <v>1734</v>
      </c>
      <c r="B1826" s="16">
        <v>43709</v>
      </c>
      <c r="C1826" t="s">
        <v>39</v>
      </c>
      <c r="D1826">
        <v>-7594316.1000000006</v>
      </c>
      <c r="E1826" t="s">
        <v>331</v>
      </c>
    </row>
    <row r="1827" spans="1:5" x14ac:dyDescent="0.25">
      <c r="A1827">
        <v>1734</v>
      </c>
      <c r="B1827" s="16">
        <v>43739</v>
      </c>
      <c r="C1827" t="s">
        <v>39</v>
      </c>
      <c r="D1827">
        <v>-7594316.1000000006</v>
      </c>
      <c r="E1827" t="s">
        <v>331</v>
      </c>
    </row>
    <row r="1828" spans="1:5" x14ac:dyDescent="0.25">
      <c r="A1828">
        <v>1734</v>
      </c>
      <c r="B1828" s="16">
        <v>43770</v>
      </c>
      <c r="C1828" t="s">
        <v>39</v>
      </c>
      <c r="D1828">
        <v>-7594316.1000000006</v>
      </c>
      <c r="E1828" t="s">
        <v>331</v>
      </c>
    </row>
    <row r="1829" spans="1:5" x14ac:dyDescent="0.25">
      <c r="A1829">
        <v>1734</v>
      </c>
      <c r="B1829" s="16">
        <v>43800</v>
      </c>
      <c r="C1829" t="s">
        <v>39</v>
      </c>
      <c r="D1829">
        <v>-7594316.1000000006</v>
      </c>
      <c r="E1829" t="s">
        <v>331</v>
      </c>
    </row>
    <row r="1830" spans="1:5" x14ac:dyDescent="0.25">
      <c r="A1830">
        <v>1734</v>
      </c>
      <c r="B1830" s="16">
        <v>43831</v>
      </c>
      <c r="C1830" t="s">
        <v>39</v>
      </c>
      <c r="D1830">
        <v>-7594316.1000000006</v>
      </c>
      <c r="E1830" t="s">
        <v>331</v>
      </c>
    </row>
    <row r="1831" spans="1:5" x14ac:dyDescent="0.25">
      <c r="A1831">
        <v>1734</v>
      </c>
      <c r="B1831" s="16">
        <v>43862</v>
      </c>
      <c r="C1831" t="s">
        <v>39</v>
      </c>
      <c r="D1831">
        <v>-7594316.1000000006</v>
      </c>
      <c r="E1831" t="s">
        <v>331</v>
      </c>
    </row>
    <row r="1832" spans="1:5" x14ac:dyDescent="0.25">
      <c r="A1832">
        <v>1734</v>
      </c>
      <c r="B1832" s="16">
        <v>43891</v>
      </c>
      <c r="C1832" t="s">
        <v>39</v>
      </c>
      <c r="D1832">
        <v>-7594316.1000000006</v>
      </c>
      <c r="E1832" t="s">
        <v>331</v>
      </c>
    </row>
    <row r="1833" spans="1:5" x14ac:dyDescent="0.25">
      <c r="A1833">
        <v>1734</v>
      </c>
      <c r="B1833" s="16">
        <v>43922</v>
      </c>
      <c r="C1833" t="s">
        <v>39</v>
      </c>
      <c r="D1833">
        <v>-7594316.1000000006</v>
      </c>
      <c r="E1833" t="s">
        <v>331</v>
      </c>
    </row>
    <row r="1834" spans="1:5" x14ac:dyDescent="0.25">
      <c r="A1834">
        <v>1734</v>
      </c>
      <c r="B1834" s="16">
        <v>43952</v>
      </c>
      <c r="C1834" t="s">
        <v>39</v>
      </c>
      <c r="D1834">
        <v>-7594316.1000000006</v>
      </c>
      <c r="E1834" t="s">
        <v>331</v>
      </c>
    </row>
    <row r="1835" spans="1:5" x14ac:dyDescent="0.25">
      <c r="A1835">
        <v>1734</v>
      </c>
      <c r="B1835" s="16">
        <v>43983</v>
      </c>
      <c r="C1835" t="s">
        <v>39</v>
      </c>
      <c r="D1835">
        <v>-7594316.1000000006</v>
      </c>
      <c r="E1835" t="s">
        <v>331</v>
      </c>
    </row>
    <row r="1836" spans="1:5" x14ac:dyDescent="0.25">
      <c r="A1836">
        <v>1734</v>
      </c>
      <c r="B1836" s="16">
        <v>44013</v>
      </c>
      <c r="C1836" t="s">
        <v>39</v>
      </c>
      <c r="D1836">
        <v>-7594316.1000000006</v>
      </c>
      <c r="E1836" t="s">
        <v>331</v>
      </c>
    </row>
    <row r="1837" spans="1:5" x14ac:dyDescent="0.25">
      <c r="A1837">
        <v>1734</v>
      </c>
      <c r="B1837" s="16">
        <v>44044</v>
      </c>
      <c r="C1837" t="s">
        <v>39</v>
      </c>
      <c r="D1837">
        <v>-7594316.1000000006</v>
      </c>
      <c r="E1837" t="s">
        <v>331</v>
      </c>
    </row>
    <row r="1838" spans="1:5" x14ac:dyDescent="0.25">
      <c r="A1838">
        <v>1734</v>
      </c>
      <c r="B1838" s="16">
        <v>44075</v>
      </c>
      <c r="C1838" t="s">
        <v>39</v>
      </c>
      <c r="D1838">
        <v>-7594316.1000000006</v>
      </c>
      <c r="E1838" t="s">
        <v>331</v>
      </c>
    </row>
    <row r="1839" spans="1:5" x14ac:dyDescent="0.25">
      <c r="A1839">
        <v>1734</v>
      </c>
      <c r="B1839" s="16">
        <v>43647</v>
      </c>
      <c r="C1839" t="s">
        <v>34</v>
      </c>
      <c r="D1839">
        <v>-7594316.1000000006</v>
      </c>
      <c r="E1839" t="s">
        <v>331</v>
      </c>
    </row>
    <row r="1840" spans="1:5" x14ac:dyDescent="0.25">
      <c r="A1840">
        <v>1734</v>
      </c>
      <c r="B1840" s="16">
        <v>43678</v>
      </c>
      <c r="C1840" t="s">
        <v>34</v>
      </c>
      <c r="D1840">
        <v>-7594316.1000000006</v>
      </c>
      <c r="E1840" t="s">
        <v>331</v>
      </c>
    </row>
    <row r="1841" spans="1:5" x14ac:dyDescent="0.25">
      <c r="A1841">
        <v>1734</v>
      </c>
      <c r="B1841" s="16">
        <v>43709</v>
      </c>
      <c r="C1841" t="s">
        <v>34</v>
      </c>
      <c r="D1841">
        <v>-7594316.1000000006</v>
      </c>
      <c r="E1841" t="s">
        <v>331</v>
      </c>
    </row>
    <row r="1842" spans="1:5" x14ac:dyDescent="0.25">
      <c r="A1842">
        <v>1734</v>
      </c>
      <c r="B1842" s="16">
        <v>43739</v>
      </c>
      <c r="C1842" t="s">
        <v>34</v>
      </c>
      <c r="D1842">
        <v>-7594316.1000000006</v>
      </c>
      <c r="E1842" t="s">
        <v>331</v>
      </c>
    </row>
    <row r="1843" spans="1:5" x14ac:dyDescent="0.25">
      <c r="A1843">
        <v>1734</v>
      </c>
      <c r="B1843" s="16">
        <v>43770</v>
      </c>
      <c r="C1843" t="s">
        <v>34</v>
      </c>
      <c r="D1843">
        <v>-7594316.1000000006</v>
      </c>
      <c r="E1843" t="s">
        <v>331</v>
      </c>
    </row>
    <row r="1844" spans="1:5" x14ac:dyDescent="0.25">
      <c r="A1844">
        <v>1734</v>
      </c>
      <c r="B1844" s="16">
        <v>43800</v>
      </c>
      <c r="C1844" t="s">
        <v>34</v>
      </c>
      <c r="D1844">
        <v>-7594316.1000000006</v>
      </c>
      <c r="E1844" t="s">
        <v>331</v>
      </c>
    </row>
    <row r="1845" spans="1:5" x14ac:dyDescent="0.25">
      <c r="A1845">
        <v>1734</v>
      </c>
      <c r="B1845" s="16">
        <v>43831</v>
      </c>
      <c r="C1845" t="s">
        <v>34</v>
      </c>
      <c r="D1845">
        <v>-7594316.1000000006</v>
      </c>
      <c r="E1845" t="s">
        <v>331</v>
      </c>
    </row>
    <row r="1846" spans="1:5" x14ac:dyDescent="0.25">
      <c r="A1846">
        <v>1734</v>
      </c>
      <c r="B1846" s="16">
        <v>43862</v>
      </c>
      <c r="C1846" t="s">
        <v>34</v>
      </c>
      <c r="D1846">
        <v>-7594316.1000000006</v>
      </c>
      <c r="E1846" t="s">
        <v>331</v>
      </c>
    </row>
    <row r="1847" spans="1:5" x14ac:dyDescent="0.25">
      <c r="A1847">
        <v>1734</v>
      </c>
      <c r="B1847" s="16">
        <v>43891</v>
      </c>
      <c r="C1847" t="s">
        <v>34</v>
      </c>
      <c r="D1847">
        <v>-7594316.1000000006</v>
      </c>
      <c r="E1847" t="s">
        <v>331</v>
      </c>
    </row>
    <row r="1848" spans="1:5" x14ac:dyDescent="0.25">
      <c r="A1848">
        <v>1734</v>
      </c>
      <c r="B1848" s="16">
        <v>43922</v>
      </c>
      <c r="C1848" t="s">
        <v>34</v>
      </c>
      <c r="D1848">
        <v>-7594316.1000000006</v>
      </c>
      <c r="E1848" t="s">
        <v>331</v>
      </c>
    </row>
    <row r="1849" spans="1:5" x14ac:dyDescent="0.25">
      <c r="A1849">
        <v>1734</v>
      </c>
      <c r="B1849" s="16">
        <v>43952</v>
      </c>
      <c r="C1849" t="s">
        <v>34</v>
      </c>
      <c r="D1849">
        <v>-7594316.1000000006</v>
      </c>
      <c r="E1849" t="s">
        <v>331</v>
      </c>
    </row>
    <row r="1850" spans="1:5" x14ac:dyDescent="0.25">
      <c r="A1850">
        <v>1734</v>
      </c>
      <c r="B1850" s="16">
        <v>43983</v>
      </c>
      <c r="C1850" t="s">
        <v>34</v>
      </c>
      <c r="D1850">
        <v>-7594316.1000000006</v>
      </c>
      <c r="E1850" t="s">
        <v>331</v>
      </c>
    </row>
    <row r="1851" spans="1:5" x14ac:dyDescent="0.25">
      <c r="A1851">
        <v>1734</v>
      </c>
      <c r="B1851" s="16">
        <v>44013</v>
      </c>
      <c r="C1851" t="s">
        <v>34</v>
      </c>
      <c r="D1851">
        <v>-7594316.1000000006</v>
      </c>
      <c r="E1851" t="s">
        <v>331</v>
      </c>
    </row>
    <row r="1852" spans="1:5" x14ac:dyDescent="0.25">
      <c r="A1852">
        <v>1734</v>
      </c>
      <c r="B1852" s="16">
        <v>44044</v>
      </c>
      <c r="C1852" t="s">
        <v>34</v>
      </c>
      <c r="D1852">
        <v>-7594316.1000000006</v>
      </c>
      <c r="E1852" t="s">
        <v>331</v>
      </c>
    </row>
    <row r="1853" spans="1:5" x14ac:dyDescent="0.25">
      <c r="A1853">
        <v>1734</v>
      </c>
      <c r="B1853" s="16">
        <v>44075</v>
      </c>
      <c r="C1853" t="s">
        <v>34</v>
      </c>
      <c r="D1853">
        <v>-7594316.1000000006</v>
      </c>
      <c r="E1853" t="s">
        <v>331</v>
      </c>
    </row>
    <row r="1854" spans="1:5" x14ac:dyDescent="0.25">
      <c r="A1854">
        <v>1734</v>
      </c>
      <c r="B1854" s="16">
        <v>43647</v>
      </c>
      <c r="C1854" t="s">
        <v>14</v>
      </c>
      <c r="D1854">
        <v>-7008008.1750000007</v>
      </c>
      <c r="E1854" t="s">
        <v>331</v>
      </c>
    </row>
    <row r="1855" spans="1:5" x14ac:dyDescent="0.25">
      <c r="A1855">
        <v>1734</v>
      </c>
      <c r="B1855" s="16">
        <v>43678</v>
      </c>
      <c r="C1855" t="s">
        <v>14</v>
      </c>
      <c r="D1855">
        <v>-7008008.1750000007</v>
      </c>
      <c r="E1855" t="s">
        <v>331</v>
      </c>
    </row>
    <row r="1856" spans="1:5" x14ac:dyDescent="0.25">
      <c r="A1856">
        <v>1734</v>
      </c>
      <c r="B1856" s="16">
        <v>43709</v>
      </c>
      <c r="C1856" t="s">
        <v>14</v>
      </c>
      <c r="D1856">
        <v>-7008008.1750000007</v>
      </c>
      <c r="E1856" t="s">
        <v>331</v>
      </c>
    </row>
    <row r="1857" spans="1:5" x14ac:dyDescent="0.25">
      <c r="A1857">
        <v>1734</v>
      </c>
      <c r="B1857" s="16">
        <v>43739</v>
      </c>
      <c r="C1857" t="s">
        <v>14</v>
      </c>
      <c r="D1857">
        <v>-7008008.1750000007</v>
      </c>
      <c r="E1857" t="s">
        <v>331</v>
      </c>
    </row>
    <row r="1858" spans="1:5" x14ac:dyDescent="0.25">
      <c r="A1858">
        <v>1734</v>
      </c>
      <c r="B1858" s="16">
        <v>43770</v>
      </c>
      <c r="C1858" t="s">
        <v>14</v>
      </c>
      <c r="D1858">
        <v>-7008008.1750000007</v>
      </c>
      <c r="E1858" t="s">
        <v>331</v>
      </c>
    </row>
    <row r="1859" spans="1:5" x14ac:dyDescent="0.25">
      <c r="A1859">
        <v>1734</v>
      </c>
      <c r="B1859" s="16">
        <v>43800</v>
      </c>
      <c r="C1859" t="s">
        <v>14</v>
      </c>
      <c r="D1859">
        <v>-7008008.1750000007</v>
      </c>
      <c r="E1859" t="s">
        <v>331</v>
      </c>
    </row>
    <row r="1860" spans="1:5" x14ac:dyDescent="0.25">
      <c r="A1860">
        <v>1734</v>
      </c>
      <c r="B1860" s="16">
        <v>43831</v>
      </c>
      <c r="C1860" t="s">
        <v>14</v>
      </c>
      <c r="D1860">
        <v>-7008008.1750000007</v>
      </c>
      <c r="E1860" t="s">
        <v>331</v>
      </c>
    </row>
    <row r="1861" spans="1:5" x14ac:dyDescent="0.25">
      <c r="A1861">
        <v>1734</v>
      </c>
      <c r="B1861" s="16">
        <v>43862</v>
      </c>
      <c r="C1861" t="s">
        <v>14</v>
      </c>
      <c r="D1861">
        <v>-7008008.1750000007</v>
      </c>
      <c r="E1861" t="s">
        <v>331</v>
      </c>
    </row>
    <row r="1862" spans="1:5" x14ac:dyDescent="0.25">
      <c r="A1862">
        <v>1734</v>
      </c>
      <c r="B1862" s="16">
        <v>43891</v>
      </c>
      <c r="C1862" t="s">
        <v>14</v>
      </c>
      <c r="D1862">
        <v>-7008008.1750000007</v>
      </c>
      <c r="E1862" t="s">
        <v>331</v>
      </c>
    </row>
    <row r="1863" spans="1:5" x14ac:dyDescent="0.25">
      <c r="A1863">
        <v>1734</v>
      </c>
      <c r="B1863" s="16">
        <v>43922</v>
      </c>
      <c r="C1863" t="s">
        <v>14</v>
      </c>
      <c r="D1863">
        <v>-7008008.1750000007</v>
      </c>
      <c r="E1863" t="s">
        <v>331</v>
      </c>
    </row>
    <row r="1864" spans="1:5" x14ac:dyDescent="0.25">
      <c r="A1864">
        <v>1734</v>
      </c>
      <c r="B1864" s="16">
        <v>43952</v>
      </c>
      <c r="C1864" t="s">
        <v>14</v>
      </c>
      <c r="D1864">
        <v>-7008008.1750000007</v>
      </c>
      <c r="E1864" t="s">
        <v>331</v>
      </c>
    </row>
    <row r="1865" spans="1:5" x14ac:dyDescent="0.25">
      <c r="A1865">
        <v>1734</v>
      </c>
      <c r="B1865" s="16">
        <v>43983</v>
      </c>
      <c r="C1865" t="s">
        <v>14</v>
      </c>
      <c r="D1865">
        <v>-7008008.1750000007</v>
      </c>
      <c r="E1865" t="s">
        <v>331</v>
      </c>
    </row>
    <row r="1866" spans="1:5" x14ac:dyDescent="0.25">
      <c r="A1866">
        <v>1734</v>
      </c>
      <c r="B1866" s="16">
        <v>44013</v>
      </c>
      <c r="C1866" t="s">
        <v>14</v>
      </c>
      <c r="D1866">
        <v>-7008008.1750000007</v>
      </c>
      <c r="E1866" t="s">
        <v>331</v>
      </c>
    </row>
    <row r="1867" spans="1:5" x14ac:dyDescent="0.25">
      <c r="A1867">
        <v>1734</v>
      </c>
      <c r="B1867" s="16">
        <v>44044</v>
      </c>
      <c r="C1867" t="s">
        <v>14</v>
      </c>
      <c r="D1867">
        <v>-7008008.1750000007</v>
      </c>
      <c r="E1867" t="s">
        <v>331</v>
      </c>
    </row>
    <row r="1868" spans="1:5" x14ac:dyDescent="0.25">
      <c r="A1868">
        <v>1734</v>
      </c>
      <c r="B1868" s="16">
        <v>44075</v>
      </c>
      <c r="C1868" t="s">
        <v>14</v>
      </c>
      <c r="D1868">
        <v>-7008008.1750000007</v>
      </c>
      <c r="E1868" t="s">
        <v>331</v>
      </c>
    </row>
    <row r="1869" spans="1:5" x14ac:dyDescent="0.25">
      <c r="A1869">
        <v>1734</v>
      </c>
      <c r="B1869" s="16">
        <v>43466</v>
      </c>
      <c r="C1869" t="s">
        <v>117</v>
      </c>
      <c r="D1869">
        <v>-3731425.4250000003</v>
      </c>
      <c r="E1869" t="s">
        <v>331</v>
      </c>
    </row>
    <row r="1870" spans="1:5" x14ac:dyDescent="0.25">
      <c r="A1870">
        <v>1734</v>
      </c>
      <c r="B1870" s="16">
        <v>43497</v>
      </c>
      <c r="C1870" t="s">
        <v>117</v>
      </c>
      <c r="D1870">
        <v>-3731425.4250000003</v>
      </c>
      <c r="E1870" t="s">
        <v>331</v>
      </c>
    </row>
    <row r="1871" spans="1:5" x14ac:dyDescent="0.25">
      <c r="A1871">
        <v>1734</v>
      </c>
      <c r="B1871" s="16">
        <v>43525</v>
      </c>
      <c r="C1871" t="s">
        <v>117</v>
      </c>
      <c r="D1871">
        <v>-3731425.4250000003</v>
      </c>
      <c r="E1871" t="s">
        <v>331</v>
      </c>
    </row>
    <row r="1872" spans="1:5" x14ac:dyDescent="0.25">
      <c r="A1872">
        <v>1734</v>
      </c>
      <c r="B1872" s="16">
        <v>43556</v>
      </c>
      <c r="C1872" t="s">
        <v>117</v>
      </c>
      <c r="D1872">
        <v>-3731425.4250000003</v>
      </c>
      <c r="E1872" t="s">
        <v>331</v>
      </c>
    </row>
    <row r="1873" spans="1:5" x14ac:dyDescent="0.25">
      <c r="A1873">
        <v>1734</v>
      </c>
      <c r="B1873" s="16">
        <v>43586</v>
      </c>
      <c r="C1873" t="s">
        <v>117</v>
      </c>
      <c r="D1873">
        <v>-3731425.4250000003</v>
      </c>
      <c r="E1873" t="s">
        <v>331</v>
      </c>
    </row>
    <row r="1874" spans="1:5" x14ac:dyDescent="0.25">
      <c r="A1874">
        <v>1734</v>
      </c>
      <c r="B1874" s="16">
        <v>43617</v>
      </c>
      <c r="C1874" t="s">
        <v>117</v>
      </c>
      <c r="D1874">
        <v>-3731425.4250000003</v>
      </c>
      <c r="E1874" t="s">
        <v>331</v>
      </c>
    </row>
    <row r="1875" spans="1:5" x14ac:dyDescent="0.25">
      <c r="A1875">
        <v>1734</v>
      </c>
      <c r="B1875" s="16">
        <v>43647</v>
      </c>
      <c r="C1875" t="s">
        <v>117</v>
      </c>
      <c r="D1875">
        <v>-3731425.4250000003</v>
      </c>
      <c r="E1875" t="s">
        <v>331</v>
      </c>
    </row>
    <row r="1876" spans="1:5" x14ac:dyDescent="0.25">
      <c r="A1876">
        <v>1734</v>
      </c>
      <c r="B1876" s="16">
        <v>43678</v>
      </c>
      <c r="C1876" t="s">
        <v>117</v>
      </c>
      <c r="D1876">
        <v>-3731425.4250000003</v>
      </c>
      <c r="E1876" t="s">
        <v>331</v>
      </c>
    </row>
    <row r="1877" spans="1:5" x14ac:dyDescent="0.25">
      <c r="A1877">
        <v>1734</v>
      </c>
      <c r="B1877" s="16">
        <v>43709</v>
      </c>
      <c r="C1877" t="s">
        <v>117</v>
      </c>
      <c r="D1877">
        <v>-3731425.4250000003</v>
      </c>
      <c r="E1877" t="s">
        <v>331</v>
      </c>
    </row>
    <row r="1878" spans="1:5" x14ac:dyDescent="0.25">
      <c r="A1878">
        <v>1734</v>
      </c>
      <c r="B1878" s="16">
        <v>43739</v>
      </c>
      <c r="C1878" t="s">
        <v>117</v>
      </c>
      <c r="D1878">
        <v>-3731425.4250000003</v>
      </c>
      <c r="E1878" t="s">
        <v>331</v>
      </c>
    </row>
    <row r="1879" spans="1:5" x14ac:dyDescent="0.25">
      <c r="A1879">
        <v>1734</v>
      </c>
      <c r="B1879" s="16">
        <v>43770</v>
      </c>
      <c r="C1879" t="s">
        <v>117</v>
      </c>
      <c r="D1879">
        <v>-3731425.4250000003</v>
      </c>
      <c r="E1879" t="s">
        <v>331</v>
      </c>
    </row>
    <row r="1880" spans="1:5" x14ac:dyDescent="0.25">
      <c r="A1880">
        <v>1734</v>
      </c>
      <c r="B1880" s="16">
        <v>43800</v>
      </c>
      <c r="C1880" t="s">
        <v>117</v>
      </c>
      <c r="D1880">
        <v>-3731425.4250000003</v>
      </c>
      <c r="E1880" t="s">
        <v>331</v>
      </c>
    </row>
    <row r="1881" spans="1:5" x14ac:dyDescent="0.25">
      <c r="A1881">
        <v>1734</v>
      </c>
      <c r="B1881" s="16">
        <v>43831</v>
      </c>
      <c r="C1881" t="s">
        <v>117</v>
      </c>
      <c r="D1881">
        <v>-3731425.4250000003</v>
      </c>
      <c r="E1881" t="s">
        <v>331</v>
      </c>
    </row>
    <row r="1882" spans="1:5" x14ac:dyDescent="0.25">
      <c r="A1882">
        <v>1734</v>
      </c>
      <c r="B1882" s="16">
        <v>43862</v>
      </c>
      <c r="C1882" t="s">
        <v>117</v>
      </c>
      <c r="D1882">
        <v>-3731425.4250000003</v>
      </c>
      <c r="E1882" t="s">
        <v>331</v>
      </c>
    </row>
    <row r="1883" spans="1:5" x14ac:dyDescent="0.25">
      <c r="A1883">
        <v>1734</v>
      </c>
      <c r="B1883" s="16">
        <v>43891</v>
      </c>
      <c r="C1883" t="s">
        <v>117</v>
      </c>
      <c r="D1883">
        <v>-3731425.4250000003</v>
      </c>
      <c r="E1883" t="s">
        <v>331</v>
      </c>
    </row>
    <row r="1884" spans="1:5" x14ac:dyDescent="0.25">
      <c r="A1884">
        <v>1734</v>
      </c>
      <c r="B1884" s="16">
        <v>43922</v>
      </c>
      <c r="C1884" t="s">
        <v>117</v>
      </c>
      <c r="D1884">
        <v>-3731425.4250000003</v>
      </c>
      <c r="E1884" t="s">
        <v>331</v>
      </c>
    </row>
    <row r="1885" spans="1:5" x14ac:dyDescent="0.25">
      <c r="A1885">
        <v>1734</v>
      </c>
      <c r="B1885" s="16">
        <v>43952</v>
      </c>
      <c r="C1885" t="s">
        <v>117</v>
      </c>
      <c r="D1885">
        <v>-3731425.4250000003</v>
      </c>
      <c r="E1885" t="s">
        <v>331</v>
      </c>
    </row>
    <row r="1886" spans="1:5" x14ac:dyDescent="0.25">
      <c r="A1886">
        <v>1734</v>
      </c>
      <c r="B1886" s="16">
        <v>43983</v>
      </c>
      <c r="C1886" t="s">
        <v>117</v>
      </c>
      <c r="D1886">
        <v>-3731425.4250000003</v>
      </c>
      <c r="E1886" t="s">
        <v>331</v>
      </c>
    </row>
    <row r="1887" spans="1:5" x14ac:dyDescent="0.25">
      <c r="A1887">
        <v>1734</v>
      </c>
      <c r="B1887" s="16">
        <v>44013</v>
      </c>
      <c r="C1887" t="s">
        <v>117</v>
      </c>
      <c r="D1887">
        <v>-3731425.4250000003</v>
      </c>
      <c r="E1887" t="s">
        <v>331</v>
      </c>
    </row>
    <row r="1888" spans="1:5" x14ac:dyDescent="0.25">
      <c r="A1888">
        <v>1734</v>
      </c>
      <c r="B1888" s="16">
        <v>44044</v>
      </c>
      <c r="C1888" t="s">
        <v>117</v>
      </c>
      <c r="D1888">
        <v>-3731425.4250000003</v>
      </c>
      <c r="E1888" t="s">
        <v>331</v>
      </c>
    </row>
    <row r="1889" spans="1:5" x14ac:dyDescent="0.25">
      <c r="A1889">
        <v>1734</v>
      </c>
      <c r="B1889" s="16">
        <v>44075</v>
      </c>
      <c r="C1889" t="s">
        <v>117</v>
      </c>
      <c r="D1889">
        <v>-3731425.4250000003</v>
      </c>
      <c r="E1889" t="s">
        <v>331</v>
      </c>
    </row>
    <row r="1890" spans="1:5" x14ac:dyDescent="0.25">
      <c r="A1890">
        <v>1734</v>
      </c>
      <c r="B1890" s="16">
        <v>43466</v>
      </c>
      <c r="C1890" t="s">
        <v>118</v>
      </c>
      <c r="D1890">
        <v>-3544014.6</v>
      </c>
      <c r="E1890" t="s">
        <v>331</v>
      </c>
    </row>
    <row r="1891" spans="1:5" x14ac:dyDescent="0.25">
      <c r="A1891">
        <v>1734</v>
      </c>
      <c r="B1891" s="16">
        <v>43497</v>
      </c>
      <c r="C1891" t="s">
        <v>118</v>
      </c>
      <c r="D1891">
        <v>-3544014.6</v>
      </c>
      <c r="E1891" t="s">
        <v>331</v>
      </c>
    </row>
    <row r="1892" spans="1:5" x14ac:dyDescent="0.25">
      <c r="A1892">
        <v>1734</v>
      </c>
      <c r="B1892" s="16">
        <v>43525</v>
      </c>
      <c r="C1892" t="s">
        <v>118</v>
      </c>
      <c r="D1892">
        <v>-3544014.6</v>
      </c>
      <c r="E1892" t="s">
        <v>331</v>
      </c>
    </row>
    <row r="1893" spans="1:5" x14ac:dyDescent="0.25">
      <c r="A1893">
        <v>1734</v>
      </c>
      <c r="B1893" s="16">
        <v>43556</v>
      </c>
      <c r="C1893" t="s">
        <v>118</v>
      </c>
      <c r="D1893">
        <v>-3544014.6</v>
      </c>
      <c r="E1893" t="s">
        <v>331</v>
      </c>
    </row>
    <row r="1894" spans="1:5" x14ac:dyDescent="0.25">
      <c r="A1894">
        <v>1734</v>
      </c>
      <c r="B1894" s="16">
        <v>43586</v>
      </c>
      <c r="C1894" t="s">
        <v>118</v>
      </c>
      <c r="D1894">
        <v>-3544014.6</v>
      </c>
      <c r="E1894" t="s">
        <v>331</v>
      </c>
    </row>
    <row r="1895" spans="1:5" x14ac:dyDescent="0.25">
      <c r="A1895">
        <v>1734</v>
      </c>
      <c r="B1895" s="16">
        <v>43617</v>
      </c>
      <c r="C1895" t="s">
        <v>118</v>
      </c>
      <c r="D1895">
        <v>-3544014.6</v>
      </c>
      <c r="E1895" t="s">
        <v>331</v>
      </c>
    </row>
    <row r="1896" spans="1:5" x14ac:dyDescent="0.25">
      <c r="A1896">
        <v>1734</v>
      </c>
      <c r="B1896" s="16">
        <v>43647</v>
      </c>
      <c r="C1896" t="s">
        <v>118</v>
      </c>
      <c r="D1896">
        <v>-3544014.6</v>
      </c>
      <c r="E1896" t="s">
        <v>331</v>
      </c>
    </row>
    <row r="1897" spans="1:5" x14ac:dyDescent="0.25">
      <c r="A1897">
        <v>1734</v>
      </c>
      <c r="B1897" s="16">
        <v>43678</v>
      </c>
      <c r="C1897" t="s">
        <v>118</v>
      </c>
      <c r="D1897">
        <v>-3544014.6</v>
      </c>
      <c r="E1897" t="s">
        <v>331</v>
      </c>
    </row>
    <row r="1898" spans="1:5" x14ac:dyDescent="0.25">
      <c r="A1898">
        <v>1734</v>
      </c>
      <c r="B1898" s="16">
        <v>43709</v>
      </c>
      <c r="C1898" t="s">
        <v>118</v>
      </c>
      <c r="D1898">
        <v>-3544014.6</v>
      </c>
      <c r="E1898" t="s">
        <v>331</v>
      </c>
    </row>
    <row r="1899" spans="1:5" x14ac:dyDescent="0.25">
      <c r="A1899">
        <v>1734</v>
      </c>
      <c r="B1899" s="16">
        <v>43739</v>
      </c>
      <c r="C1899" t="s">
        <v>118</v>
      </c>
      <c r="D1899">
        <v>-3544014.6</v>
      </c>
      <c r="E1899" t="s">
        <v>331</v>
      </c>
    </row>
    <row r="1900" spans="1:5" x14ac:dyDescent="0.25">
      <c r="A1900">
        <v>1734</v>
      </c>
      <c r="B1900" s="16">
        <v>43770</v>
      </c>
      <c r="C1900" t="s">
        <v>118</v>
      </c>
      <c r="D1900">
        <v>-3544014.6</v>
      </c>
      <c r="E1900" t="s">
        <v>331</v>
      </c>
    </row>
    <row r="1901" spans="1:5" x14ac:dyDescent="0.25">
      <c r="A1901">
        <v>1734</v>
      </c>
      <c r="B1901" s="16">
        <v>43800</v>
      </c>
      <c r="C1901" t="s">
        <v>118</v>
      </c>
      <c r="D1901">
        <v>-3544014.6</v>
      </c>
      <c r="E1901" t="s">
        <v>331</v>
      </c>
    </row>
    <row r="1902" spans="1:5" x14ac:dyDescent="0.25">
      <c r="A1902">
        <v>1734</v>
      </c>
      <c r="B1902" s="16">
        <v>43831</v>
      </c>
      <c r="C1902" t="s">
        <v>118</v>
      </c>
      <c r="D1902">
        <v>-3544014.6</v>
      </c>
      <c r="E1902" t="s">
        <v>331</v>
      </c>
    </row>
    <row r="1903" spans="1:5" x14ac:dyDescent="0.25">
      <c r="A1903">
        <v>1734</v>
      </c>
      <c r="B1903" s="16">
        <v>43862</v>
      </c>
      <c r="C1903" t="s">
        <v>118</v>
      </c>
      <c r="D1903">
        <v>-3544014.6</v>
      </c>
      <c r="E1903" t="s">
        <v>331</v>
      </c>
    </row>
    <row r="1904" spans="1:5" x14ac:dyDescent="0.25">
      <c r="A1904">
        <v>1734</v>
      </c>
      <c r="B1904" s="16">
        <v>43891</v>
      </c>
      <c r="C1904" t="s">
        <v>118</v>
      </c>
      <c r="D1904">
        <v>-3544014.6</v>
      </c>
      <c r="E1904" t="s">
        <v>331</v>
      </c>
    </row>
    <row r="1905" spans="1:5" x14ac:dyDescent="0.25">
      <c r="A1905">
        <v>1734</v>
      </c>
      <c r="B1905" s="16">
        <v>43922</v>
      </c>
      <c r="C1905" t="s">
        <v>118</v>
      </c>
      <c r="D1905">
        <v>-3544014.6</v>
      </c>
      <c r="E1905" t="s">
        <v>331</v>
      </c>
    </row>
    <row r="1906" spans="1:5" x14ac:dyDescent="0.25">
      <c r="A1906">
        <v>1734</v>
      </c>
      <c r="B1906" s="16">
        <v>43952</v>
      </c>
      <c r="C1906" t="s">
        <v>118</v>
      </c>
      <c r="D1906">
        <v>-3544014.6</v>
      </c>
      <c r="E1906" t="s">
        <v>331</v>
      </c>
    </row>
    <row r="1907" spans="1:5" x14ac:dyDescent="0.25">
      <c r="A1907">
        <v>1734</v>
      </c>
      <c r="B1907" s="16">
        <v>43983</v>
      </c>
      <c r="C1907" t="s">
        <v>118</v>
      </c>
      <c r="D1907">
        <v>-3544014.6</v>
      </c>
      <c r="E1907" t="s">
        <v>331</v>
      </c>
    </row>
    <row r="1908" spans="1:5" x14ac:dyDescent="0.25">
      <c r="A1908">
        <v>1734</v>
      </c>
      <c r="B1908" s="16">
        <v>44013</v>
      </c>
      <c r="C1908" t="s">
        <v>118</v>
      </c>
      <c r="D1908">
        <v>-3544014.6</v>
      </c>
      <c r="E1908" t="s">
        <v>331</v>
      </c>
    </row>
    <row r="1909" spans="1:5" x14ac:dyDescent="0.25">
      <c r="A1909">
        <v>1734</v>
      </c>
      <c r="B1909" s="16">
        <v>44044</v>
      </c>
      <c r="C1909" t="s">
        <v>118</v>
      </c>
      <c r="D1909">
        <v>-3544014.6</v>
      </c>
      <c r="E1909" t="s">
        <v>331</v>
      </c>
    </row>
    <row r="1910" spans="1:5" x14ac:dyDescent="0.25">
      <c r="A1910">
        <v>1734</v>
      </c>
      <c r="B1910" s="16">
        <v>44075</v>
      </c>
      <c r="C1910" t="s">
        <v>118</v>
      </c>
      <c r="D1910">
        <v>-3544014.6</v>
      </c>
      <c r="E1910" t="s">
        <v>331</v>
      </c>
    </row>
    <row r="1911" spans="1:5" x14ac:dyDescent="0.25">
      <c r="A1911">
        <v>1734</v>
      </c>
      <c r="B1911" s="16">
        <v>43466</v>
      </c>
      <c r="C1911" t="s">
        <v>38</v>
      </c>
      <c r="D1911">
        <v>-4829985.3734999998</v>
      </c>
      <c r="E1911" t="s">
        <v>331</v>
      </c>
    </row>
    <row r="1912" spans="1:5" x14ac:dyDescent="0.25">
      <c r="A1912">
        <v>1734</v>
      </c>
      <c r="B1912" s="16">
        <v>43497</v>
      </c>
      <c r="C1912" t="s">
        <v>38</v>
      </c>
      <c r="D1912">
        <v>-4829985.3734999998</v>
      </c>
      <c r="E1912" t="s">
        <v>331</v>
      </c>
    </row>
    <row r="1913" spans="1:5" x14ac:dyDescent="0.25">
      <c r="A1913">
        <v>1734</v>
      </c>
      <c r="B1913" s="16">
        <v>43525</v>
      </c>
      <c r="C1913" t="s">
        <v>38</v>
      </c>
      <c r="D1913">
        <v>-4829985.3734999998</v>
      </c>
      <c r="E1913" t="s">
        <v>331</v>
      </c>
    </row>
    <row r="1914" spans="1:5" x14ac:dyDescent="0.25">
      <c r="A1914">
        <v>1734</v>
      </c>
      <c r="B1914" s="16">
        <v>43556</v>
      </c>
      <c r="C1914" t="s">
        <v>38</v>
      </c>
      <c r="D1914">
        <v>-4829985.3734999998</v>
      </c>
      <c r="E1914" t="s">
        <v>331</v>
      </c>
    </row>
    <row r="1915" spans="1:5" x14ac:dyDescent="0.25">
      <c r="A1915">
        <v>1734</v>
      </c>
      <c r="B1915" s="16">
        <v>43586</v>
      </c>
      <c r="C1915" t="s">
        <v>38</v>
      </c>
      <c r="D1915">
        <v>-4829985.3734999998</v>
      </c>
      <c r="E1915" t="s">
        <v>331</v>
      </c>
    </row>
    <row r="1916" spans="1:5" x14ac:dyDescent="0.25">
      <c r="A1916">
        <v>1734</v>
      </c>
      <c r="B1916" s="16">
        <v>43617</v>
      </c>
      <c r="C1916" t="s">
        <v>38</v>
      </c>
      <c r="D1916">
        <v>-4829985.3734999998</v>
      </c>
      <c r="E1916" t="s">
        <v>331</v>
      </c>
    </row>
    <row r="1917" spans="1:5" x14ac:dyDescent="0.25">
      <c r="A1917">
        <v>1734</v>
      </c>
      <c r="B1917" s="16">
        <v>43647</v>
      </c>
      <c r="C1917" t="s">
        <v>38</v>
      </c>
      <c r="D1917">
        <v>-4829985.3734999998</v>
      </c>
      <c r="E1917" t="s">
        <v>331</v>
      </c>
    </row>
    <row r="1918" spans="1:5" x14ac:dyDescent="0.25">
      <c r="A1918">
        <v>1734</v>
      </c>
      <c r="B1918" s="16">
        <v>43678</v>
      </c>
      <c r="C1918" t="s">
        <v>38</v>
      </c>
      <c r="D1918">
        <v>-4829985.3734999998</v>
      </c>
      <c r="E1918" t="s">
        <v>331</v>
      </c>
    </row>
    <row r="1919" spans="1:5" x14ac:dyDescent="0.25">
      <c r="A1919">
        <v>1734</v>
      </c>
      <c r="B1919" s="16">
        <v>43709</v>
      </c>
      <c r="C1919" t="s">
        <v>38</v>
      </c>
      <c r="D1919">
        <v>-4829985.3734999998</v>
      </c>
      <c r="E1919" t="s">
        <v>331</v>
      </c>
    </row>
    <row r="1920" spans="1:5" x14ac:dyDescent="0.25">
      <c r="A1920">
        <v>1734</v>
      </c>
      <c r="B1920" s="16">
        <v>43739</v>
      </c>
      <c r="C1920" t="s">
        <v>38</v>
      </c>
      <c r="D1920">
        <v>-4829985.3734999998</v>
      </c>
      <c r="E1920" t="s">
        <v>331</v>
      </c>
    </row>
    <row r="1921" spans="1:5" x14ac:dyDescent="0.25">
      <c r="A1921">
        <v>1734</v>
      </c>
      <c r="B1921" s="16">
        <v>43770</v>
      </c>
      <c r="C1921" t="s">
        <v>38</v>
      </c>
      <c r="D1921">
        <v>-4829985.3734999998</v>
      </c>
      <c r="E1921" t="s">
        <v>331</v>
      </c>
    </row>
    <row r="1922" spans="1:5" x14ac:dyDescent="0.25">
      <c r="A1922">
        <v>1734</v>
      </c>
      <c r="B1922" s="16">
        <v>43800</v>
      </c>
      <c r="C1922" t="s">
        <v>38</v>
      </c>
      <c r="D1922">
        <v>-4829985.3734999998</v>
      </c>
      <c r="E1922" t="s">
        <v>331</v>
      </c>
    </row>
    <row r="1923" spans="1:5" x14ac:dyDescent="0.25">
      <c r="A1923">
        <v>1734</v>
      </c>
      <c r="B1923" s="16">
        <v>43831</v>
      </c>
      <c r="C1923" t="s">
        <v>38</v>
      </c>
      <c r="D1923">
        <v>-4829985.3734999998</v>
      </c>
      <c r="E1923" t="s">
        <v>331</v>
      </c>
    </row>
    <row r="1924" spans="1:5" x14ac:dyDescent="0.25">
      <c r="A1924">
        <v>1734</v>
      </c>
      <c r="B1924" s="16">
        <v>43862</v>
      </c>
      <c r="C1924" t="s">
        <v>38</v>
      </c>
      <c r="D1924">
        <v>-4829985.3734999998</v>
      </c>
      <c r="E1924" t="s">
        <v>331</v>
      </c>
    </row>
    <row r="1925" spans="1:5" x14ac:dyDescent="0.25">
      <c r="A1925">
        <v>1734</v>
      </c>
      <c r="B1925" s="16">
        <v>43891</v>
      </c>
      <c r="C1925" t="s">
        <v>38</v>
      </c>
      <c r="D1925">
        <v>-4829985.3734999998</v>
      </c>
      <c r="E1925" t="s">
        <v>331</v>
      </c>
    </row>
    <row r="1926" spans="1:5" x14ac:dyDescent="0.25">
      <c r="A1926">
        <v>1734</v>
      </c>
      <c r="B1926" s="16">
        <v>43922</v>
      </c>
      <c r="C1926" t="s">
        <v>38</v>
      </c>
      <c r="D1926">
        <v>-4829985.3734999998</v>
      </c>
      <c r="E1926" t="s">
        <v>331</v>
      </c>
    </row>
    <row r="1927" spans="1:5" x14ac:dyDescent="0.25">
      <c r="A1927">
        <v>1734</v>
      </c>
      <c r="B1927" s="16">
        <v>43952</v>
      </c>
      <c r="C1927" t="s">
        <v>38</v>
      </c>
      <c r="D1927">
        <v>-4829985.3734999998</v>
      </c>
      <c r="E1927" t="s">
        <v>331</v>
      </c>
    </row>
    <row r="1928" spans="1:5" x14ac:dyDescent="0.25">
      <c r="A1928">
        <v>1734</v>
      </c>
      <c r="B1928" s="16">
        <v>43983</v>
      </c>
      <c r="C1928" t="s">
        <v>38</v>
      </c>
      <c r="D1928">
        <v>-4829985.3734999998</v>
      </c>
      <c r="E1928" t="s">
        <v>331</v>
      </c>
    </row>
    <row r="1929" spans="1:5" x14ac:dyDescent="0.25">
      <c r="A1929">
        <v>1734</v>
      </c>
      <c r="B1929" s="16">
        <v>44013</v>
      </c>
      <c r="C1929" t="s">
        <v>38</v>
      </c>
      <c r="D1929">
        <v>-4829985.3734999998</v>
      </c>
      <c r="E1929" t="s">
        <v>331</v>
      </c>
    </row>
    <row r="1930" spans="1:5" x14ac:dyDescent="0.25">
      <c r="A1930">
        <v>1734</v>
      </c>
      <c r="B1930" s="16">
        <v>44044</v>
      </c>
      <c r="C1930" t="s">
        <v>38</v>
      </c>
      <c r="D1930">
        <v>-4829985.3734999998</v>
      </c>
      <c r="E1930" t="s">
        <v>331</v>
      </c>
    </row>
    <row r="1931" spans="1:5" x14ac:dyDescent="0.25">
      <c r="A1931">
        <v>1734</v>
      </c>
      <c r="B1931" s="16">
        <v>44075</v>
      </c>
      <c r="C1931" t="s">
        <v>38</v>
      </c>
      <c r="D1931">
        <v>-4829985.3734999998</v>
      </c>
      <c r="E1931" t="s">
        <v>331</v>
      </c>
    </row>
    <row r="1932" spans="1:5" x14ac:dyDescent="0.25">
      <c r="A1932">
        <v>1734</v>
      </c>
      <c r="B1932" s="16">
        <v>43497</v>
      </c>
      <c r="C1932" t="s">
        <v>79</v>
      </c>
      <c r="D1932">
        <v>-4829985.3734999998</v>
      </c>
      <c r="E1932" t="s">
        <v>331</v>
      </c>
    </row>
    <row r="1933" spans="1:5" x14ac:dyDescent="0.25">
      <c r="A1933">
        <v>1734</v>
      </c>
      <c r="B1933" s="16">
        <v>43525</v>
      </c>
      <c r="C1933" t="s">
        <v>79</v>
      </c>
      <c r="D1933">
        <v>-4829985.3734999998</v>
      </c>
      <c r="E1933" t="s">
        <v>331</v>
      </c>
    </row>
    <row r="1934" spans="1:5" x14ac:dyDescent="0.25">
      <c r="A1934">
        <v>1734</v>
      </c>
      <c r="B1934" s="16">
        <v>43556</v>
      </c>
      <c r="C1934" t="s">
        <v>79</v>
      </c>
      <c r="D1934">
        <v>-4829985.3734999998</v>
      </c>
      <c r="E1934" t="s">
        <v>331</v>
      </c>
    </row>
    <row r="1935" spans="1:5" x14ac:dyDescent="0.25">
      <c r="A1935">
        <v>1734</v>
      </c>
      <c r="B1935" s="16">
        <v>43586</v>
      </c>
      <c r="C1935" t="s">
        <v>79</v>
      </c>
      <c r="D1935">
        <v>-4829985.3734999998</v>
      </c>
      <c r="E1935" t="s">
        <v>331</v>
      </c>
    </row>
    <row r="1936" spans="1:5" x14ac:dyDescent="0.25">
      <c r="A1936">
        <v>1734</v>
      </c>
      <c r="B1936" s="16">
        <v>43617</v>
      </c>
      <c r="C1936" t="s">
        <v>79</v>
      </c>
      <c r="D1936">
        <v>-4829985.3734999998</v>
      </c>
      <c r="E1936" t="s">
        <v>331</v>
      </c>
    </row>
    <row r="1937" spans="1:5" x14ac:dyDescent="0.25">
      <c r="A1937">
        <v>1734</v>
      </c>
      <c r="B1937" s="16">
        <v>43647</v>
      </c>
      <c r="C1937" t="s">
        <v>79</v>
      </c>
      <c r="D1937">
        <v>-4829985.3734999998</v>
      </c>
      <c r="E1937" t="s">
        <v>331</v>
      </c>
    </row>
    <row r="1938" spans="1:5" x14ac:dyDescent="0.25">
      <c r="A1938">
        <v>1734</v>
      </c>
      <c r="B1938" s="16">
        <v>43678</v>
      </c>
      <c r="C1938" t="s">
        <v>79</v>
      </c>
      <c r="D1938">
        <v>-4829985.3734999998</v>
      </c>
      <c r="E1938" t="s">
        <v>331</v>
      </c>
    </row>
    <row r="1939" spans="1:5" x14ac:dyDescent="0.25">
      <c r="A1939">
        <v>1734</v>
      </c>
      <c r="B1939" s="16">
        <v>43709</v>
      </c>
      <c r="C1939" t="s">
        <v>79</v>
      </c>
      <c r="D1939">
        <v>-4829985.3734999998</v>
      </c>
      <c r="E1939" t="s">
        <v>331</v>
      </c>
    </row>
    <row r="1940" spans="1:5" x14ac:dyDescent="0.25">
      <c r="A1940">
        <v>1734</v>
      </c>
      <c r="B1940" s="16">
        <v>43739</v>
      </c>
      <c r="C1940" t="s">
        <v>79</v>
      </c>
      <c r="D1940">
        <v>-4829985.3734999998</v>
      </c>
      <c r="E1940" t="s">
        <v>331</v>
      </c>
    </row>
    <row r="1941" spans="1:5" x14ac:dyDescent="0.25">
      <c r="A1941">
        <v>1734</v>
      </c>
      <c r="B1941" s="16">
        <v>43770</v>
      </c>
      <c r="C1941" t="s">
        <v>79</v>
      </c>
      <c r="D1941">
        <v>-4829985.3734999998</v>
      </c>
      <c r="E1941" t="s">
        <v>331</v>
      </c>
    </row>
    <row r="1942" spans="1:5" x14ac:dyDescent="0.25">
      <c r="A1942">
        <v>1734</v>
      </c>
      <c r="B1942" s="16">
        <v>43800</v>
      </c>
      <c r="C1942" t="s">
        <v>79</v>
      </c>
      <c r="D1942">
        <v>-4829985.3734999998</v>
      </c>
      <c r="E1942" t="s">
        <v>331</v>
      </c>
    </row>
    <row r="1943" spans="1:5" x14ac:dyDescent="0.25">
      <c r="A1943">
        <v>1734</v>
      </c>
      <c r="B1943" s="16">
        <v>43831</v>
      </c>
      <c r="C1943" t="s">
        <v>79</v>
      </c>
      <c r="D1943">
        <v>-4829985.3734999998</v>
      </c>
      <c r="E1943" t="s">
        <v>331</v>
      </c>
    </row>
    <row r="1944" spans="1:5" x14ac:dyDescent="0.25">
      <c r="A1944">
        <v>1734</v>
      </c>
      <c r="B1944" s="16">
        <v>43862</v>
      </c>
      <c r="C1944" t="s">
        <v>79</v>
      </c>
      <c r="D1944">
        <v>-4829985.3734999998</v>
      </c>
      <c r="E1944" t="s">
        <v>331</v>
      </c>
    </row>
    <row r="1945" spans="1:5" x14ac:dyDescent="0.25">
      <c r="A1945">
        <v>1734</v>
      </c>
      <c r="B1945" s="16">
        <v>43891</v>
      </c>
      <c r="C1945" t="s">
        <v>79</v>
      </c>
      <c r="D1945">
        <v>-4829985.3734999998</v>
      </c>
      <c r="E1945" t="s">
        <v>331</v>
      </c>
    </row>
    <row r="1946" spans="1:5" x14ac:dyDescent="0.25">
      <c r="A1946">
        <v>1734</v>
      </c>
      <c r="B1946" s="16">
        <v>43922</v>
      </c>
      <c r="C1946" t="s">
        <v>79</v>
      </c>
      <c r="D1946">
        <v>-4829985.3734999998</v>
      </c>
      <c r="E1946" t="s">
        <v>331</v>
      </c>
    </row>
    <row r="1947" spans="1:5" x14ac:dyDescent="0.25">
      <c r="A1947">
        <v>1734</v>
      </c>
      <c r="B1947" s="16">
        <v>43952</v>
      </c>
      <c r="C1947" t="s">
        <v>79</v>
      </c>
      <c r="D1947">
        <v>-4829985.3734999998</v>
      </c>
      <c r="E1947" t="s">
        <v>331</v>
      </c>
    </row>
    <row r="1948" spans="1:5" x14ac:dyDescent="0.25">
      <c r="A1948">
        <v>1734</v>
      </c>
      <c r="B1948" s="16">
        <v>43983</v>
      </c>
      <c r="C1948" t="s">
        <v>79</v>
      </c>
      <c r="D1948">
        <v>-4829985.3734999998</v>
      </c>
      <c r="E1948" t="s">
        <v>331</v>
      </c>
    </row>
    <row r="1949" spans="1:5" x14ac:dyDescent="0.25">
      <c r="A1949">
        <v>1734</v>
      </c>
      <c r="B1949" s="16">
        <v>44013</v>
      </c>
      <c r="C1949" t="s">
        <v>79</v>
      </c>
      <c r="D1949">
        <v>-4829985.3734999998</v>
      </c>
      <c r="E1949" t="s">
        <v>331</v>
      </c>
    </row>
    <row r="1950" spans="1:5" x14ac:dyDescent="0.25">
      <c r="A1950">
        <v>1734</v>
      </c>
      <c r="B1950" s="16">
        <v>44044</v>
      </c>
      <c r="C1950" t="s">
        <v>79</v>
      </c>
      <c r="D1950">
        <v>-4829985.3734999998</v>
      </c>
      <c r="E1950" t="s">
        <v>331</v>
      </c>
    </row>
    <row r="1951" spans="1:5" x14ac:dyDescent="0.25">
      <c r="A1951">
        <v>1734</v>
      </c>
      <c r="B1951" s="16">
        <v>44075</v>
      </c>
      <c r="C1951" t="s">
        <v>79</v>
      </c>
      <c r="D1951">
        <v>-4829985.3734999998</v>
      </c>
      <c r="E1951" t="s">
        <v>331</v>
      </c>
    </row>
    <row r="1952" spans="1:5" x14ac:dyDescent="0.25">
      <c r="A1952">
        <v>1734</v>
      </c>
      <c r="B1952" s="16">
        <v>43647</v>
      </c>
      <c r="C1952" t="s">
        <v>23</v>
      </c>
      <c r="D1952">
        <v>-3613544.2664999994</v>
      </c>
      <c r="E1952" t="s">
        <v>331</v>
      </c>
    </row>
    <row r="1953" spans="1:5" x14ac:dyDescent="0.25">
      <c r="A1953">
        <v>1734</v>
      </c>
      <c r="B1953" s="16">
        <v>43678</v>
      </c>
      <c r="C1953" t="s">
        <v>23</v>
      </c>
      <c r="D1953">
        <v>-3613544.2664999994</v>
      </c>
      <c r="E1953" t="s">
        <v>331</v>
      </c>
    </row>
    <row r="1954" spans="1:5" x14ac:dyDescent="0.25">
      <c r="A1954">
        <v>1734</v>
      </c>
      <c r="B1954" s="16">
        <v>43709</v>
      </c>
      <c r="C1954" t="s">
        <v>23</v>
      </c>
      <c r="D1954">
        <v>-3613544.2664999994</v>
      </c>
      <c r="E1954" t="s">
        <v>331</v>
      </c>
    </row>
    <row r="1955" spans="1:5" x14ac:dyDescent="0.25">
      <c r="A1955">
        <v>1734</v>
      </c>
      <c r="B1955" s="16">
        <v>43739</v>
      </c>
      <c r="C1955" t="s">
        <v>23</v>
      </c>
      <c r="D1955">
        <v>-3613544.2664999994</v>
      </c>
      <c r="E1955" t="s">
        <v>331</v>
      </c>
    </row>
    <row r="1956" spans="1:5" x14ac:dyDescent="0.25">
      <c r="A1956">
        <v>1734</v>
      </c>
      <c r="B1956" s="16">
        <v>43770</v>
      </c>
      <c r="C1956" t="s">
        <v>23</v>
      </c>
      <c r="D1956">
        <v>-3613544.2664999994</v>
      </c>
      <c r="E1956" t="s">
        <v>331</v>
      </c>
    </row>
    <row r="1957" spans="1:5" x14ac:dyDescent="0.25">
      <c r="A1957">
        <v>1734</v>
      </c>
      <c r="B1957" s="16">
        <v>43800</v>
      </c>
      <c r="C1957" t="s">
        <v>23</v>
      </c>
      <c r="D1957">
        <v>-3613544.2664999994</v>
      </c>
      <c r="E1957" t="s">
        <v>331</v>
      </c>
    </row>
    <row r="1958" spans="1:5" x14ac:dyDescent="0.25">
      <c r="A1958">
        <v>1734</v>
      </c>
      <c r="B1958" s="16">
        <v>43831</v>
      </c>
      <c r="C1958" t="s">
        <v>23</v>
      </c>
      <c r="D1958">
        <v>-3613544.2664999994</v>
      </c>
      <c r="E1958" t="s">
        <v>331</v>
      </c>
    </row>
    <row r="1959" spans="1:5" x14ac:dyDescent="0.25">
      <c r="A1959">
        <v>1734</v>
      </c>
      <c r="B1959" s="16">
        <v>43862</v>
      </c>
      <c r="C1959" t="s">
        <v>23</v>
      </c>
      <c r="D1959">
        <v>-3613544.2664999994</v>
      </c>
      <c r="E1959" t="s">
        <v>331</v>
      </c>
    </row>
    <row r="1960" spans="1:5" x14ac:dyDescent="0.25">
      <c r="A1960">
        <v>1734</v>
      </c>
      <c r="B1960" s="16">
        <v>43891</v>
      </c>
      <c r="C1960" t="s">
        <v>23</v>
      </c>
      <c r="D1960">
        <v>-3613544.2664999994</v>
      </c>
      <c r="E1960" t="s">
        <v>331</v>
      </c>
    </row>
    <row r="1961" spans="1:5" x14ac:dyDescent="0.25">
      <c r="A1961">
        <v>1734</v>
      </c>
      <c r="B1961" s="16">
        <v>43922</v>
      </c>
      <c r="C1961" t="s">
        <v>23</v>
      </c>
      <c r="D1961">
        <v>-3613544.2664999994</v>
      </c>
      <c r="E1961" t="s">
        <v>331</v>
      </c>
    </row>
    <row r="1962" spans="1:5" x14ac:dyDescent="0.25">
      <c r="A1962">
        <v>1734</v>
      </c>
      <c r="B1962" s="16">
        <v>43952</v>
      </c>
      <c r="C1962" t="s">
        <v>23</v>
      </c>
      <c r="D1962">
        <v>-3613544.2664999994</v>
      </c>
      <c r="E1962" t="s">
        <v>331</v>
      </c>
    </row>
    <row r="1963" spans="1:5" x14ac:dyDescent="0.25">
      <c r="A1963">
        <v>1734</v>
      </c>
      <c r="B1963" s="16">
        <v>43983</v>
      </c>
      <c r="C1963" t="s">
        <v>23</v>
      </c>
      <c r="D1963">
        <v>-3613544.2664999994</v>
      </c>
      <c r="E1963" t="s">
        <v>331</v>
      </c>
    </row>
    <row r="1964" spans="1:5" x14ac:dyDescent="0.25">
      <c r="A1964">
        <v>1734</v>
      </c>
      <c r="B1964" s="16">
        <v>44013</v>
      </c>
      <c r="C1964" t="s">
        <v>23</v>
      </c>
      <c r="D1964">
        <v>-3613544.2664999994</v>
      </c>
      <c r="E1964" t="s">
        <v>331</v>
      </c>
    </row>
    <row r="1965" spans="1:5" x14ac:dyDescent="0.25">
      <c r="A1965">
        <v>1734</v>
      </c>
      <c r="B1965" s="16">
        <v>44044</v>
      </c>
      <c r="C1965" t="s">
        <v>23</v>
      </c>
      <c r="D1965">
        <v>-3613544.2664999994</v>
      </c>
      <c r="E1965" t="s">
        <v>331</v>
      </c>
    </row>
    <row r="1966" spans="1:5" x14ac:dyDescent="0.25">
      <c r="A1966">
        <v>1734</v>
      </c>
      <c r="B1966" s="16">
        <v>44075</v>
      </c>
      <c r="C1966" t="s">
        <v>23</v>
      </c>
      <c r="D1966">
        <v>-3613544.2664999994</v>
      </c>
      <c r="E1966" t="s">
        <v>331</v>
      </c>
    </row>
    <row r="1967" spans="1:5" x14ac:dyDescent="0.25">
      <c r="A1967">
        <v>1888</v>
      </c>
      <c r="B1967" s="16">
        <v>43525</v>
      </c>
      <c r="C1967" t="s">
        <v>19</v>
      </c>
      <c r="D1967">
        <v>-3170664</v>
      </c>
      <c r="E1967" t="s">
        <v>331</v>
      </c>
    </row>
    <row r="1968" spans="1:5" x14ac:dyDescent="0.25">
      <c r="A1968">
        <v>1888</v>
      </c>
      <c r="B1968" s="16">
        <v>43556</v>
      </c>
      <c r="C1968" t="s">
        <v>19</v>
      </c>
      <c r="D1968">
        <v>-3170664</v>
      </c>
      <c r="E1968" t="s">
        <v>331</v>
      </c>
    </row>
    <row r="1969" spans="1:5" x14ac:dyDescent="0.25">
      <c r="A1969">
        <v>1888</v>
      </c>
      <c r="B1969" s="16">
        <v>43586</v>
      </c>
      <c r="C1969" t="s">
        <v>19</v>
      </c>
      <c r="D1969">
        <v>-3170664</v>
      </c>
      <c r="E1969" t="s">
        <v>331</v>
      </c>
    </row>
    <row r="1970" spans="1:5" x14ac:dyDescent="0.25">
      <c r="A1970">
        <v>1888</v>
      </c>
      <c r="B1970" s="16">
        <v>43617</v>
      </c>
      <c r="C1970" t="s">
        <v>19</v>
      </c>
      <c r="D1970">
        <v>-3170664</v>
      </c>
      <c r="E1970" t="s">
        <v>331</v>
      </c>
    </row>
    <row r="1971" spans="1:5" x14ac:dyDescent="0.25">
      <c r="A1971">
        <v>1888</v>
      </c>
      <c r="B1971" s="16">
        <v>43647</v>
      </c>
      <c r="C1971" t="s">
        <v>19</v>
      </c>
      <c r="D1971">
        <v>-3170664</v>
      </c>
      <c r="E1971" t="s">
        <v>331</v>
      </c>
    </row>
    <row r="1972" spans="1:5" x14ac:dyDescent="0.25">
      <c r="A1972">
        <v>1888</v>
      </c>
      <c r="B1972" s="16">
        <v>43678</v>
      </c>
      <c r="C1972" t="s">
        <v>19</v>
      </c>
      <c r="D1972">
        <v>-3170664</v>
      </c>
      <c r="E1972" t="s">
        <v>331</v>
      </c>
    </row>
    <row r="1973" spans="1:5" x14ac:dyDescent="0.25">
      <c r="A1973">
        <v>1888</v>
      </c>
      <c r="B1973" s="16">
        <v>43709</v>
      </c>
      <c r="C1973" t="s">
        <v>19</v>
      </c>
      <c r="D1973">
        <v>-3170664</v>
      </c>
      <c r="E1973" t="s">
        <v>331</v>
      </c>
    </row>
    <row r="1974" spans="1:5" x14ac:dyDescent="0.25">
      <c r="A1974">
        <v>1888</v>
      </c>
      <c r="B1974" s="16">
        <v>43739</v>
      </c>
      <c r="C1974" t="s">
        <v>19</v>
      </c>
      <c r="D1974">
        <v>-3170664</v>
      </c>
      <c r="E1974" t="s">
        <v>331</v>
      </c>
    </row>
    <row r="1975" spans="1:5" x14ac:dyDescent="0.25">
      <c r="A1975">
        <v>1888</v>
      </c>
      <c r="B1975" s="16">
        <v>43770</v>
      </c>
      <c r="C1975" t="s">
        <v>19</v>
      </c>
      <c r="D1975">
        <v>-3170664</v>
      </c>
      <c r="E1975" t="s">
        <v>331</v>
      </c>
    </row>
    <row r="1976" spans="1:5" x14ac:dyDescent="0.25">
      <c r="A1976">
        <v>1888</v>
      </c>
      <c r="B1976" s="16">
        <v>43800</v>
      </c>
      <c r="C1976" t="s">
        <v>19</v>
      </c>
      <c r="D1976">
        <v>-3170664</v>
      </c>
      <c r="E1976" t="s">
        <v>331</v>
      </c>
    </row>
    <row r="1977" spans="1:5" x14ac:dyDescent="0.25">
      <c r="A1977">
        <v>1888</v>
      </c>
      <c r="B1977" s="16">
        <v>43831</v>
      </c>
      <c r="C1977" t="s">
        <v>19</v>
      </c>
      <c r="D1977">
        <v>-3170664</v>
      </c>
      <c r="E1977" t="s">
        <v>331</v>
      </c>
    </row>
    <row r="1978" spans="1:5" x14ac:dyDescent="0.25">
      <c r="A1978">
        <v>1888</v>
      </c>
      <c r="B1978" s="16">
        <v>43862</v>
      </c>
      <c r="C1978" t="s">
        <v>19</v>
      </c>
      <c r="D1978">
        <v>-3170664</v>
      </c>
      <c r="E1978" t="s">
        <v>331</v>
      </c>
    </row>
    <row r="1979" spans="1:5" x14ac:dyDescent="0.25">
      <c r="A1979">
        <v>1888</v>
      </c>
      <c r="B1979" s="16">
        <v>43891</v>
      </c>
      <c r="C1979" t="s">
        <v>19</v>
      </c>
      <c r="D1979">
        <v>-3170664</v>
      </c>
      <c r="E1979" t="s">
        <v>331</v>
      </c>
    </row>
    <row r="1980" spans="1:5" x14ac:dyDescent="0.25">
      <c r="A1980">
        <v>1888</v>
      </c>
      <c r="B1980" s="16">
        <v>43922</v>
      </c>
      <c r="C1980" t="s">
        <v>19</v>
      </c>
      <c r="D1980">
        <v>-3170664</v>
      </c>
      <c r="E1980" t="s">
        <v>331</v>
      </c>
    </row>
    <row r="1981" spans="1:5" x14ac:dyDescent="0.25">
      <c r="A1981">
        <v>1888</v>
      </c>
      <c r="B1981" s="16">
        <v>43952</v>
      </c>
      <c r="C1981" t="s">
        <v>19</v>
      </c>
      <c r="D1981">
        <v>-3170664</v>
      </c>
      <c r="E1981" t="s">
        <v>331</v>
      </c>
    </row>
    <row r="1982" spans="1:5" x14ac:dyDescent="0.25">
      <c r="A1982">
        <v>1888</v>
      </c>
      <c r="B1982" s="16">
        <v>43525</v>
      </c>
      <c r="C1982" t="s">
        <v>12</v>
      </c>
      <c r="D1982">
        <v>-8741250</v>
      </c>
      <c r="E1982" t="s">
        <v>331</v>
      </c>
    </row>
    <row r="1983" spans="1:5" x14ac:dyDescent="0.25">
      <c r="A1983">
        <v>1888</v>
      </c>
      <c r="B1983" s="16">
        <v>43556</v>
      </c>
      <c r="C1983" t="s">
        <v>12</v>
      </c>
      <c r="D1983">
        <v>-8741250</v>
      </c>
      <c r="E1983" t="s">
        <v>331</v>
      </c>
    </row>
    <row r="1984" spans="1:5" x14ac:dyDescent="0.25">
      <c r="A1984">
        <v>1888</v>
      </c>
      <c r="B1984" s="16">
        <v>43586</v>
      </c>
      <c r="C1984" t="s">
        <v>12</v>
      </c>
      <c r="D1984">
        <v>-8741250</v>
      </c>
      <c r="E1984" t="s">
        <v>331</v>
      </c>
    </row>
    <row r="1985" spans="1:5" x14ac:dyDescent="0.25">
      <c r="A1985">
        <v>1888</v>
      </c>
      <c r="B1985" s="16">
        <v>43617</v>
      </c>
      <c r="C1985" t="s">
        <v>12</v>
      </c>
      <c r="D1985">
        <v>-8741250</v>
      </c>
      <c r="E1985" t="s">
        <v>331</v>
      </c>
    </row>
    <row r="1986" spans="1:5" x14ac:dyDescent="0.25">
      <c r="A1986">
        <v>1888</v>
      </c>
      <c r="B1986" s="16">
        <v>43647</v>
      </c>
      <c r="C1986" t="s">
        <v>12</v>
      </c>
      <c r="D1986">
        <v>-8741250</v>
      </c>
      <c r="E1986" t="s">
        <v>331</v>
      </c>
    </row>
    <row r="1987" spans="1:5" x14ac:dyDescent="0.25">
      <c r="A1987">
        <v>1888</v>
      </c>
      <c r="B1987" s="16">
        <v>43678</v>
      </c>
      <c r="C1987" t="s">
        <v>12</v>
      </c>
      <c r="D1987">
        <v>-8741250</v>
      </c>
      <c r="E1987" t="s">
        <v>331</v>
      </c>
    </row>
    <row r="1988" spans="1:5" x14ac:dyDescent="0.25">
      <c r="A1988">
        <v>1888</v>
      </c>
      <c r="B1988" s="16">
        <v>43709</v>
      </c>
      <c r="C1988" t="s">
        <v>12</v>
      </c>
      <c r="D1988">
        <v>-8741250</v>
      </c>
      <c r="E1988" t="s">
        <v>331</v>
      </c>
    </row>
    <row r="1989" spans="1:5" x14ac:dyDescent="0.25">
      <c r="A1989">
        <v>1888</v>
      </c>
      <c r="B1989" s="16">
        <v>43739</v>
      </c>
      <c r="C1989" t="s">
        <v>12</v>
      </c>
      <c r="D1989">
        <v>-8741250</v>
      </c>
      <c r="E1989" t="s">
        <v>331</v>
      </c>
    </row>
    <row r="1990" spans="1:5" x14ac:dyDescent="0.25">
      <c r="A1990">
        <v>1888</v>
      </c>
      <c r="B1990" s="16">
        <v>43770</v>
      </c>
      <c r="C1990" t="s">
        <v>12</v>
      </c>
      <c r="D1990">
        <v>-8741250</v>
      </c>
      <c r="E1990" t="s">
        <v>331</v>
      </c>
    </row>
    <row r="1991" spans="1:5" x14ac:dyDescent="0.25">
      <c r="A1991">
        <v>1888</v>
      </c>
      <c r="B1991" s="16">
        <v>43800</v>
      </c>
      <c r="C1991" t="s">
        <v>12</v>
      </c>
      <c r="D1991">
        <v>-8741250</v>
      </c>
      <c r="E1991" t="s">
        <v>331</v>
      </c>
    </row>
    <row r="1992" spans="1:5" x14ac:dyDescent="0.25">
      <c r="A1992">
        <v>1888</v>
      </c>
      <c r="B1992" s="16">
        <v>43831</v>
      </c>
      <c r="C1992" t="s">
        <v>12</v>
      </c>
      <c r="D1992">
        <v>-8741250</v>
      </c>
      <c r="E1992" t="s">
        <v>331</v>
      </c>
    </row>
    <row r="1993" spans="1:5" x14ac:dyDescent="0.25">
      <c r="A1993">
        <v>1888</v>
      </c>
      <c r="B1993" s="16">
        <v>43862</v>
      </c>
      <c r="C1993" t="s">
        <v>12</v>
      </c>
      <c r="D1993">
        <v>-8741250</v>
      </c>
      <c r="E1993" t="s">
        <v>331</v>
      </c>
    </row>
    <row r="1994" spans="1:5" x14ac:dyDescent="0.25">
      <c r="A1994">
        <v>1888</v>
      </c>
      <c r="B1994" s="16">
        <v>43525</v>
      </c>
      <c r="C1994" t="s">
        <v>39</v>
      </c>
      <c r="D1994">
        <v>-4725000</v>
      </c>
      <c r="E1994" t="s">
        <v>331</v>
      </c>
    </row>
    <row r="1995" spans="1:5" x14ac:dyDescent="0.25">
      <c r="A1995">
        <v>1888</v>
      </c>
      <c r="B1995" s="16">
        <v>43556</v>
      </c>
      <c r="C1995" t="s">
        <v>39</v>
      </c>
      <c r="D1995">
        <v>-4725000</v>
      </c>
      <c r="E1995" t="s">
        <v>331</v>
      </c>
    </row>
    <row r="1996" spans="1:5" x14ac:dyDescent="0.25">
      <c r="A1996">
        <v>1888</v>
      </c>
      <c r="B1996" s="16">
        <v>43586</v>
      </c>
      <c r="C1996" t="s">
        <v>39</v>
      </c>
      <c r="D1996">
        <v>-4725000</v>
      </c>
      <c r="E1996" t="s">
        <v>331</v>
      </c>
    </row>
    <row r="1997" spans="1:5" x14ac:dyDescent="0.25">
      <c r="A1997">
        <v>1888</v>
      </c>
      <c r="B1997" s="16">
        <v>43617</v>
      </c>
      <c r="C1997" t="s">
        <v>39</v>
      </c>
      <c r="D1997">
        <v>-4725000</v>
      </c>
      <c r="E1997" t="s">
        <v>331</v>
      </c>
    </row>
    <row r="1998" spans="1:5" x14ac:dyDescent="0.25">
      <c r="A1998">
        <v>1888</v>
      </c>
      <c r="B1998" s="16">
        <v>43647</v>
      </c>
      <c r="C1998" t="s">
        <v>39</v>
      </c>
      <c r="D1998">
        <v>-4725000</v>
      </c>
      <c r="E1998" t="s">
        <v>331</v>
      </c>
    </row>
    <row r="1999" spans="1:5" x14ac:dyDescent="0.25">
      <c r="A1999">
        <v>1888</v>
      </c>
      <c r="B1999" s="16">
        <v>43678</v>
      </c>
      <c r="C1999" t="s">
        <v>39</v>
      </c>
      <c r="D1999">
        <v>-4725000</v>
      </c>
      <c r="E1999" t="s">
        <v>331</v>
      </c>
    </row>
    <row r="2000" spans="1:5" x14ac:dyDescent="0.25">
      <c r="A2000">
        <v>1888</v>
      </c>
      <c r="B2000" s="16">
        <v>43709</v>
      </c>
      <c r="C2000" t="s">
        <v>39</v>
      </c>
      <c r="D2000">
        <v>-4725000</v>
      </c>
      <c r="E2000" t="s">
        <v>331</v>
      </c>
    </row>
    <row r="2001" spans="1:5" x14ac:dyDescent="0.25">
      <c r="A2001">
        <v>1888</v>
      </c>
      <c r="B2001" s="16">
        <v>43739</v>
      </c>
      <c r="C2001" t="s">
        <v>39</v>
      </c>
      <c r="D2001">
        <v>-4725000</v>
      </c>
      <c r="E2001" t="s">
        <v>331</v>
      </c>
    </row>
    <row r="2002" spans="1:5" x14ac:dyDescent="0.25">
      <c r="A2002">
        <v>1888</v>
      </c>
      <c r="B2002" s="16">
        <v>43770</v>
      </c>
      <c r="C2002" t="s">
        <v>39</v>
      </c>
      <c r="D2002">
        <v>-4725000</v>
      </c>
      <c r="E2002" t="s">
        <v>331</v>
      </c>
    </row>
    <row r="2003" spans="1:5" x14ac:dyDescent="0.25">
      <c r="A2003">
        <v>1888</v>
      </c>
      <c r="B2003" s="16">
        <v>43800</v>
      </c>
      <c r="C2003" t="s">
        <v>39</v>
      </c>
      <c r="D2003">
        <v>-4725000</v>
      </c>
      <c r="E2003" t="s">
        <v>331</v>
      </c>
    </row>
    <row r="2004" spans="1:5" x14ac:dyDescent="0.25">
      <c r="A2004">
        <v>1888</v>
      </c>
      <c r="B2004" s="16">
        <v>43831</v>
      </c>
      <c r="C2004" t="s">
        <v>39</v>
      </c>
      <c r="D2004">
        <v>-4725000</v>
      </c>
      <c r="E2004" t="s">
        <v>331</v>
      </c>
    </row>
    <row r="2005" spans="1:5" x14ac:dyDescent="0.25">
      <c r="A2005">
        <v>1888</v>
      </c>
      <c r="B2005" s="16">
        <v>43862</v>
      </c>
      <c r="C2005" t="s">
        <v>39</v>
      </c>
      <c r="D2005">
        <v>-4725000</v>
      </c>
      <c r="E2005" t="s">
        <v>331</v>
      </c>
    </row>
    <row r="2006" spans="1:5" x14ac:dyDescent="0.25">
      <c r="A2006">
        <v>1888</v>
      </c>
      <c r="B2006" s="16">
        <v>43525</v>
      </c>
      <c r="C2006" t="s">
        <v>38</v>
      </c>
      <c r="D2006">
        <v>-4006799.9999999995</v>
      </c>
      <c r="E2006" t="s">
        <v>331</v>
      </c>
    </row>
    <row r="2007" spans="1:5" x14ac:dyDescent="0.25">
      <c r="A2007">
        <v>1888</v>
      </c>
      <c r="B2007" s="16">
        <v>43556</v>
      </c>
      <c r="C2007" t="s">
        <v>38</v>
      </c>
      <c r="D2007">
        <v>-4006799.9999999995</v>
      </c>
      <c r="E2007" t="s">
        <v>331</v>
      </c>
    </row>
    <row r="2008" spans="1:5" x14ac:dyDescent="0.25">
      <c r="A2008">
        <v>1888</v>
      </c>
      <c r="B2008" s="16">
        <v>43586</v>
      </c>
      <c r="C2008" t="s">
        <v>38</v>
      </c>
      <c r="D2008">
        <v>-4006799.9999999995</v>
      </c>
      <c r="E2008" t="s">
        <v>331</v>
      </c>
    </row>
    <row r="2009" spans="1:5" x14ac:dyDescent="0.25">
      <c r="A2009">
        <v>1888</v>
      </c>
      <c r="B2009" s="16">
        <v>43617</v>
      </c>
      <c r="C2009" t="s">
        <v>38</v>
      </c>
      <c r="D2009">
        <v>-4006799.9999999995</v>
      </c>
      <c r="E2009" t="s">
        <v>331</v>
      </c>
    </row>
    <row r="2010" spans="1:5" x14ac:dyDescent="0.25">
      <c r="A2010">
        <v>1888</v>
      </c>
      <c r="B2010" s="16">
        <v>43647</v>
      </c>
      <c r="C2010" t="s">
        <v>38</v>
      </c>
      <c r="D2010">
        <v>-4006799.9999999995</v>
      </c>
      <c r="E2010" t="s">
        <v>331</v>
      </c>
    </row>
    <row r="2011" spans="1:5" x14ac:dyDescent="0.25">
      <c r="A2011">
        <v>1888</v>
      </c>
      <c r="B2011" s="16">
        <v>43678</v>
      </c>
      <c r="C2011" t="s">
        <v>38</v>
      </c>
      <c r="D2011">
        <v>-4006799.9999999995</v>
      </c>
      <c r="E2011" t="s">
        <v>331</v>
      </c>
    </row>
    <row r="2012" spans="1:5" x14ac:dyDescent="0.25">
      <c r="A2012">
        <v>1888</v>
      </c>
      <c r="B2012" s="16">
        <v>43709</v>
      </c>
      <c r="C2012" t="s">
        <v>38</v>
      </c>
      <c r="D2012">
        <v>-4006799.9999999995</v>
      </c>
      <c r="E2012" t="s">
        <v>331</v>
      </c>
    </row>
    <row r="2013" spans="1:5" x14ac:dyDescent="0.25">
      <c r="A2013">
        <v>1888</v>
      </c>
      <c r="B2013" s="16">
        <v>43739</v>
      </c>
      <c r="C2013" t="s">
        <v>38</v>
      </c>
      <c r="D2013">
        <v>-4006799.9999999995</v>
      </c>
      <c r="E2013" t="s">
        <v>331</v>
      </c>
    </row>
    <row r="2014" spans="1:5" x14ac:dyDescent="0.25">
      <c r="A2014">
        <v>1888</v>
      </c>
      <c r="B2014" s="16">
        <v>43770</v>
      </c>
      <c r="C2014" t="s">
        <v>38</v>
      </c>
      <c r="D2014">
        <v>-4006799.9999999995</v>
      </c>
      <c r="E2014" t="s">
        <v>331</v>
      </c>
    </row>
    <row r="2015" spans="1:5" x14ac:dyDescent="0.25">
      <c r="A2015">
        <v>1888</v>
      </c>
      <c r="B2015" s="16">
        <v>43800</v>
      </c>
      <c r="C2015" t="s">
        <v>38</v>
      </c>
      <c r="D2015">
        <v>-4006799.9999999995</v>
      </c>
      <c r="E2015" t="s">
        <v>331</v>
      </c>
    </row>
    <row r="2016" spans="1:5" x14ac:dyDescent="0.25">
      <c r="A2016">
        <v>1888</v>
      </c>
      <c r="B2016" s="16">
        <v>43831</v>
      </c>
      <c r="C2016" t="s">
        <v>38</v>
      </c>
      <c r="D2016">
        <v>-4006799.9999999995</v>
      </c>
      <c r="E2016" t="s">
        <v>331</v>
      </c>
    </row>
    <row r="2017" spans="1:5" x14ac:dyDescent="0.25">
      <c r="A2017">
        <v>1888</v>
      </c>
      <c r="B2017" s="16">
        <v>43525</v>
      </c>
      <c r="C2017" t="s">
        <v>29</v>
      </c>
      <c r="D2017">
        <v>-1850625</v>
      </c>
      <c r="E2017" t="s">
        <v>331</v>
      </c>
    </row>
    <row r="2018" spans="1:5" x14ac:dyDescent="0.25">
      <c r="A2018">
        <v>1888</v>
      </c>
      <c r="B2018" s="16">
        <v>43556</v>
      </c>
      <c r="C2018" t="s">
        <v>29</v>
      </c>
      <c r="D2018">
        <v>-1850625</v>
      </c>
      <c r="E2018" t="s">
        <v>331</v>
      </c>
    </row>
    <row r="2019" spans="1:5" x14ac:dyDescent="0.25">
      <c r="A2019">
        <v>1888</v>
      </c>
      <c r="B2019" s="16">
        <v>43586</v>
      </c>
      <c r="C2019" t="s">
        <v>29</v>
      </c>
      <c r="D2019">
        <v>-1850625</v>
      </c>
      <c r="E2019" t="s">
        <v>331</v>
      </c>
    </row>
    <row r="2020" spans="1:5" x14ac:dyDescent="0.25">
      <c r="A2020">
        <v>1888</v>
      </c>
      <c r="B2020" s="16">
        <v>43617</v>
      </c>
      <c r="C2020" t="s">
        <v>29</v>
      </c>
      <c r="D2020">
        <v>-1850625</v>
      </c>
      <c r="E2020" t="s">
        <v>331</v>
      </c>
    </row>
    <row r="2021" spans="1:5" x14ac:dyDescent="0.25">
      <c r="A2021">
        <v>1888</v>
      </c>
      <c r="B2021" s="16">
        <v>43525</v>
      </c>
      <c r="C2021" t="s">
        <v>169</v>
      </c>
      <c r="D2021">
        <v>-2583000</v>
      </c>
      <c r="E2021" t="s">
        <v>331</v>
      </c>
    </row>
    <row r="2022" spans="1:5" x14ac:dyDescent="0.25">
      <c r="A2022">
        <v>1888</v>
      </c>
      <c r="B2022" s="16">
        <v>43556</v>
      </c>
      <c r="C2022" t="s">
        <v>169</v>
      </c>
      <c r="D2022">
        <v>-2583000</v>
      </c>
      <c r="E2022" t="s">
        <v>331</v>
      </c>
    </row>
    <row r="2023" spans="1:5" x14ac:dyDescent="0.25">
      <c r="A2023">
        <v>1888</v>
      </c>
      <c r="B2023" s="16">
        <v>43586</v>
      </c>
      <c r="C2023" t="s">
        <v>169</v>
      </c>
      <c r="D2023">
        <v>-2583000</v>
      </c>
      <c r="E2023" t="s">
        <v>331</v>
      </c>
    </row>
    <row r="2024" spans="1:5" x14ac:dyDescent="0.25">
      <c r="A2024">
        <v>1888</v>
      </c>
      <c r="B2024" s="16">
        <v>43617</v>
      </c>
      <c r="C2024" t="s">
        <v>169</v>
      </c>
      <c r="D2024">
        <v>-2583000</v>
      </c>
      <c r="E2024" t="s">
        <v>331</v>
      </c>
    </row>
    <row r="2025" spans="1:5" x14ac:dyDescent="0.25">
      <c r="A2025">
        <v>1891</v>
      </c>
      <c r="B2025" s="16">
        <v>43497</v>
      </c>
      <c r="C2025" t="s">
        <v>12</v>
      </c>
      <c r="D2025">
        <v>-12134941.875</v>
      </c>
      <c r="E2025" t="s">
        <v>331</v>
      </c>
    </row>
    <row r="2026" spans="1:5" x14ac:dyDescent="0.25">
      <c r="A2026">
        <v>1891</v>
      </c>
      <c r="B2026" s="16">
        <v>43525</v>
      </c>
      <c r="C2026" t="s">
        <v>12</v>
      </c>
      <c r="D2026">
        <v>-12134941.875</v>
      </c>
      <c r="E2026" t="s">
        <v>331</v>
      </c>
    </row>
    <row r="2027" spans="1:5" x14ac:dyDescent="0.25">
      <c r="A2027">
        <v>1891</v>
      </c>
      <c r="B2027" s="16">
        <v>43556</v>
      </c>
      <c r="C2027" t="s">
        <v>12</v>
      </c>
      <c r="D2027">
        <v>-12134941.875</v>
      </c>
      <c r="E2027" t="s">
        <v>331</v>
      </c>
    </row>
    <row r="2028" spans="1:5" x14ac:dyDescent="0.25">
      <c r="A2028">
        <v>1891</v>
      </c>
      <c r="B2028" s="16">
        <v>43586</v>
      </c>
      <c r="C2028" t="s">
        <v>12</v>
      </c>
      <c r="D2028">
        <v>-12134941.875</v>
      </c>
      <c r="E2028" t="s">
        <v>331</v>
      </c>
    </row>
    <row r="2029" spans="1:5" x14ac:dyDescent="0.25">
      <c r="A2029">
        <v>1891</v>
      </c>
      <c r="B2029" s="16">
        <v>43617</v>
      </c>
      <c r="C2029" t="s">
        <v>12</v>
      </c>
      <c r="D2029">
        <v>-12134941.875</v>
      </c>
      <c r="E2029" t="s">
        <v>331</v>
      </c>
    </row>
    <row r="2030" spans="1:5" x14ac:dyDescent="0.25">
      <c r="A2030">
        <v>1891</v>
      </c>
      <c r="B2030" s="16">
        <v>43647</v>
      </c>
      <c r="C2030" t="s">
        <v>12</v>
      </c>
      <c r="D2030">
        <v>-12134941.875</v>
      </c>
      <c r="E2030" t="s">
        <v>331</v>
      </c>
    </row>
    <row r="2031" spans="1:5" x14ac:dyDescent="0.25">
      <c r="A2031">
        <v>1891</v>
      </c>
      <c r="B2031" s="16">
        <v>43678</v>
      </c>
      <c r="C2031" t="s">
        <v>12</v>
      </c>
      <c r="D2031">
        <v>-12134941.875</v>
      </c>
      <c r="E2031" t="s">
        <v>331</v>
      </c>
    </row>
    <row r="2032" spans="1:5" x14ac:dyDescent="0.25">
      <c r="A2032">
        <v>1891</v>
      </c>
      <c r="B2032" s="16">
        <v>43709</v>
      </c>
      <c r="C2032" t="s">
        <v>12</v>
      </c>
      <c r="D2032">
        <v>-12134941.875</v>
      </c>
      <c r="E2032" t="s">
        <v>331</v>
      </c>
    </row>
    <row r="2033" spans="1:5" x14ac:dyDescent="0.25">
      <c r="A2033">
        <v>1891</v>
      </c>
      <c r="B2033" s="16">
        <v>43739</v>
      </c>
      <c r="C2033" t="s">
        <v>12</v>
      </c>
      <c r="D2033">
        <v>-12134941.875</v>
      </c>
      <c r="E2033" t="s">
        <v>331</v>
      </c>
    </row>
    <row r="2034" spans="1:5" x14ac:dyDescent="0.25">
      <c r="A2034">
        <v>1891</v>
      </c>
      <c r="B2034" s="16">
        <v>43770</v>
      </c>
      <c r="C2034" t="s">
        <v>12</v>
      </c>
      <c r="D2034">
        <v>-12134941.875</v>
      </c>
      <c r="E2034" t="s">
        <v>331</v>
      </c>
    </row>
    <row r="2035" spans="1:5" x14ac:dyDescent="0.25">
      <c r="A2035">
        <v>1891</v>
      </c>
      <c r="B2035" s="16">
        <v>43800</v>
      </c>
      <c r="C2035" t="s">
        <v>12</v>
      </c>
      <c r="D2035">
        <v>-12134941.875</v>
      </c>
      <c r="E2035" t="s">
        <v>331</v>
      </c>
    </row>
    <row r="2036" spans="1:5" x14ac:dyDescent="0.25">
      <c r="A2036">
        <v>1891</v>
      </c>
      <c r="B2036" s="16">
        <v>43831</v>
      </c>
      <c r="C2036" t="s">
        <v>12</v>
      </c>
      <c r="D2036">
        <v>-12134941.875</v>
      </c>
      <c r="E2036" t="s">
        <v>331</v>
      </c>
    </row>
    <row r="2037" spans="1:5" x14ac:dyDescent="0.25">
      <c r="A2037">
        <v>1891</v>
      </c>
      <c r="B2037" s="16">
        <v>43862</v>
      </c>
      <c r="C2037" t="s">
        <v>12</v>
      </c>
      <c r="D2037">
        <v>-12134941.875</v>
      </c>
      <c r="E2037" t="s">
        <v>331</v>
      </c>
    </row>
    <row r="2038" spans="1:5" x14ac:dyDescent="0.25">
      <c r="A2038">
        <v>1891</v>
      </c>
      <c r="B2038" s="16">
        <v>43891</v>
      </c>
      <c r="C2038" t="s">
        <v>12</v>
      </c>
      <c r="D2038">
        <v>-12134941.875</v>
      </c>
      <c r="E2038" t="s">
        <v>331</v>
      </c>
    </row>
    <row r="2039" spans="1:5" x14ac:dyDescent="0.25">
      <c r="A2039">
        <v>1891</v>
      </c>
      <c r="B2039" s="16">
        <v>43922</v>
      </c>
      <c r="C2039" t="s">
        <v>12</v>
      </c>
      <c r="D2039">
        <v>-12134941.875</v>
      </c>
      <c r="E2039" t="s">
        <v>331</v>
      </c>
    </row>
    <row r="2040" spans="1:5" x14ac:dyDescent="0.25">
      <c r="A2040">
        <v>1891</v>
      </c>
      <c r="B2040" s="16">
        <v>43952</v>
      </c>
      <c r="C2040" t="s">
        <v>12</v>
      </c>
      <c r="D2040">
        <v>-12134941.875</v>
      </c>
      <c r="E2040" t="s">
        <v>331</v>
      </c>
    </row>
    <row r="2041" spans="1:5" x14ac:dyDescent="0.25">
      <c r="A2041">
        <v>1891</v>
      </c>
      <c r="B2041" s="16">
        <v>43983</v>
      </c>
      <c r="C2041" t="s">
        <v>12</v>
      </c>
      <c r="D2041">
        <v>-12134941.875</v>
      </c>
      <c r="E2041" t="s">
        <v>331</v>
      </c>
    </row>
    <row r="2042" spans="1:5" x14ac:dyDescent="0.25">
      <c r="A2042">
        <v>1891</v>
      </c>
      <c r="B2042" s="16">
        <v>43497</v>
      </c>
      <c r="C2042" t="s">
        <v>26</v>
      </c>
      <c r="D2042">
        <v>-7406867.4750000006</v>
      </c>
      <c r="E2042" t="s">
        <v>331</v>
      </c>
    </row>
    <row r="2043" spans="1:5" x14ac:dyDescent="0.25">
      <c r="A2043">
        <v>1891</v>
      </c>
      <c r="B2043" s="16">
        <v>43525</v>
      </c>
      <c r="C2043" t="s">
        <v>26</v>
      </c>
      <c r="D2043">
        <v>-7406867.4750000006</v>
      </c>
      <c r="E2043" t="s">
        <v>331</v>
      </c>
    </row>
    <row r="2044" spans="1:5" x14ac:dyDescent="0.25">
      <c r="A2044">
        <v>1891</v>
      </c>
      <c r="B2044" s="16">
        <v>43556</v>
      </c>
      <c r="C2044" t="s">
        <v>26</v>
      </c>
      <c r="D2044">
        <v>-7406867.4750000006</v>
      </c>
      <c r="E2044" t="s">
        <v>331</v>
      </c>
    </row>
    <row r="2045" spans="1:5" x14ac:dyDescent="0.25">
      <c r="A2045">
        <v>1891</v>
      </c>
      <c r="B2045" s="16">
        <v>43586</v>
      </c>
      <c r="C2045" t="s">
        <v>26</v>
      </c>
      <c r="D2045">
        <v>-7406867.4750000006</v>
      </c>
      <c r="E2045" t="s">
        <v>331</v>
      </c>
    </row>
    <row r="2046" spans="1:5" x14ac:dyDescent="0.25">
      <c r="A2046">
        <v>1891</v>
      </c>
      <c r="B2046" s="16">
        <v>43617</v>
      </c>
      <c r="C2046" t="s">
        <v>26</v>
      </c>
      <c r="D2046">
        <v>-7406867.4750000006</v>
      </c>
      <c r="E2046" t="s">
        <v>331</v>
      </c>
    </row>
    <row r="2047" spans="1:5" x14ac:dyDescent="0.25">
      <c r="A2047">
        <v>1891</v>
      </c>
      <c r="B2047" s="16">
        <v>43647</v>
      </c>
      <c r="C2047" t="s">
        <v>26</v>
      </c>
      <c r="D2047">
        <v>-7406867.4750000006</v>
      </c>
      <c r="E2047" t="s">
        <v>331</v>
      </c>
    </row>
    <row r="2048" spans="1:5" x14ac:dyDescent="0.25">
      <c r="A2048">
        <v>1891</v>
      </c>
      <c r="B2048" s="16">
        <v>43678</v>
      </c>
      <c r="C2048" t="s">
        <v>26</v>
      </c>
      <c r="D2048">
        <v>-7406867.4750000006</v>
      </c>
      <c r="E2048" t="s">
        <v>331</v>
      </c>
    </row>
    <row r="2049" spans="1:5" x14ac:dyDescent="0.25">
      <c r="A2049">
        <v>1891</v>
      </c>
      <c r="B2049" s="16">
        <v>43709</v>
      </c>
      <c r="C2049" t="s">
        <v>26</v>
      </c>
      <c r="D2049">
        <v>-7406867.4750000006</v>
      </c>
      <c r="E2049" t="s">
        <v>331</v>
      </c>
    </row>
    <row r="2050" spans="1:5" x14ac:dyDescent="0.25">
      <c r="A2050">
        <v>1891</v>
      </c>
      <c r="B2050" s="16">
        <v>43739</v>
      </c>
      <c r="C2050" t="s">
        <v>26</v>
      </c>
      <c r="D2050">
        <v>-7406867.4750000006</v>
      </c>
      <c r="E2050" t="s">
        <v>331</v>
      </c>
    </row>
    <row r="2051" spans="1:5" x14ac:dyDescent="0.25">
      <c r="A2051">
        <v>1891</v>
      </c>
      <c r="B2051" s="16">
        <v>43770</v>
      </c>
      <c r="C2051" t="s">
        <v>26</v>
      </c>
      <c r="D2051">
        <v>-7406867.4750000006</v>
      </c>
      <c r="E2051" t="s">
        <v>331</v>
      </c>
    </row>
    <row r="2052" spans="1:5" x14ac:dyDescent="0.25">
      <c r="A2052">
        <v>1891</v>
      </c>
      <c r="B2052" s="16">
        <v>43800</v>
      </c>
      <c r="C2052" t="s">
        <v>26</v>
      </c>
      <c r="D2052">
        <v>-7406867.4750000006</v>
      </c>
      <c r="E2052" t="s">
        <v>331</v>
      </c>
    </row>
    <row r="2053" spans="1:5" x14ac:dyDescent="0.25">
      <c r="A2053">
        <v>1891</v>
      </c>
      <c r="B2053" s="16">
        <v>43831</v>
      </c>
      <c r="C2053" t="s">
        <v>26</v>
      </c>
      <c r="D2053">
        <v>-7406867.4750000006</v>
      </c>
      <c r="E2053" t="s">
        <v>331</v>
      </c>
    </row>
    <row r="2054" spans="1:5" x14ac:dyDescent="0.25">
      <c r="A2054">
        <v>1891</v>
      </c>
      <c r="B2054" s="16">
        <v>43862</v>
      </c>
      <c r="C2054" t="s">
        <v>26</v>
      </c>
      <c r="D2054">
        <v>-7406867.4750000006</v>
      </c>
      <c r="E2054" t="s">
        <v>331</v>
      </c>
    </row>
    <row r="2055" spans="1:5" x14ac:dyDescent="0.25">
      <c r="A2055">
        <v>1891</v>
      </c>
      <c r="B2055" s="16">
        <v>43891</v>
      </c>
      <c r="C2055" t="s">
        <v>26</v>
      </c>
      <c r="D2055">
        <v>-7406867.4750000006</v>
      </c>
      <c r="E2055" t="s">
        <v>331</v>
      </c>
    </row>
    <row r="2056" spans="1:5" x14ac:dyDescent="0.25">
      <c r="A2056">
        <v>1891</v>
      </c>
      <c r="B2056" s="16">
        <v>43922</v>
      </c>
      <c r="C2056" t="s">
        <v>26</v>
      </c>
      <c r="D2056">
        <v>-7406867.4750000006</v>
      </c>
      <c r="E2056" t="s">
        <v>331</v>
      </c>
    </row>
    <row r="2057" spans="1:5" x14ac:dyDescent="0.25">
      <c r="A2057">
        <v>1891</v>
      </c>
      <c r="B2057" s="16">
        <v>43952</v>
      </c>
      <c r="C2057" t="s">
        <v>26</v>
      </c>
      <c r="D2057">
        <v>-7406867.4750000006</v>
      </c>
      <c r="E2057" t="s">
        <v>331</v>
      </c>
    </row>
    <row r="2058" spans="1:5" x14ac:dyDescent="0.25">
      <c r="A2058">
        <v>1891</v>
      </c>
      <c r="B2058" s="16">
        <v>43983</v>
      </c>
      <c r="C2058" t="s">
        <v>26</v>
      </c>
      <c r="D2058">
        <v>-7406867.4750000006</v>
      </c>
      <c r="E2058" t="s">
        <v>331</v>
      </c>
    </row>
    <row r="2059" spans="1:5" x14ac:dyDescent="0.25">
      <c r="A2059">
        <v>1891</v>
      </c>
      <c r="B2059" s="16">
        <v>44013</v>
      </c>
      <c r="C2059" t="s">
        <v>26</v>
      </c>
      <c r="D2059">
        <v>-7406867.4750000006</v>
      </c>
      <c r="E2059" t="s">
        <v>331</v>
      </c>
    </row>
    <row r="2060" spans="1:5" x14ac:dyDescent="0.25">
      <c r="A2060">
        <v>1891</v>
      </c>
      <c r="B2060" s="16">
        <v>44044</v>
      </c>
      <c r="C2060" t="s">
        <v>26</v>
      </c>
      <c r="D2060">
        <v>-7406867.4750000006</v>
      </c>
      <c r="E2060" t="s">
        <v>331</v>
      </c>
    </row>
    <row r="2061" spans="1:5" x14ac:dyDescent="0.25">
      <c r="A2061">
        <v>1891</v>
      </c>
      <c r="B2061" s="16">
        <v>44075</v>
      </c>
      <c r="C2061" t="s">
        <v>26</v>
      </c>
      <c r="D2061">
        <v>-7406867.4750000006</v>
      </c>
      <c r="E2061" t="s">
        <v>331</v>
      </c>
    </row>
    <row r="2062" spans="1:5" x14ac:dyDescent="0.25">
      <c r="A2062">
        <v>1891</v>
      </c>
      <c r="B2062" s="16">
        <v>44105</v>
      </c>
      <c r="C2062" t="s">
        <v>26</v>
      </c>
      <c r="D2062">
        <v>-7406867.4750000006</v>
      </c>
      <c r="E2062" t="s">
        <v>331</v>
      </c>
    </row>
    <row r="2063" spans="1:5" x14ac:dyDescent="0.25">
      <c r="A2063">
        <v>1891</v>
      </c>
      <c r="B2063" s="16">
        <v>44136</v>
      </c>
      <c r="C2063" t="s">
        <v>26</v>
      </c>
      <c r="D2063">
        <v>-7406867.4750000006</v>
      </c>
      <c r="E2063" t="s">
        <v>331</v>
      </c>
    </row>
    <row r="2064" spans="1:5" x14ac:dyDescent="0.25">
      <c r="A2064">
        <v>1891</v>
      </c>
      <c r="B2064" s="16">
        <v>44166</v>
      </c>
      <c r="C2064" t="s">
        <v>26</v>
      </c>
      <c r="D2064">
        <v>-7406867.4750000006</v>
      </c>
      <c r="E2064" t="s">
        <v>331</v>
      </c>
    </row>
    <row r="2065" spans="1:5" x14ac:dyDescent="0.25">
      <c r="A2065">
        <v>1891</v>
      </c>
      <c r="B2065" s="16">
        <v>43497</v>
      </c>
      <c r="C2065" t="s">
        <v>123</v>
      </c>
      <c r="D2065">
        <v>-7540019.5500000007</v>
      </c>
      <c r="E2065" t="s">
        <v>331</v>
      </c>
    </row>
    <row r="2066" spans="1:5" x14ac:dyDescent="0.25">
      <c r="A2066">
        <v>1891</v>
      </c>
      <c r="B2066" s="16">
        <v>43525</v>
      </c>
      <c r="C2066" t="s">
        <v>123</v>
      </c>
      <c r="D2066">
        <v>-7540019.5500000007</v>
      </c>
      <c r="E2066" t="s">
        <v>331</v>
      </c>
    </row>
    <row r="2067" spans="1:5" x14ac:dyDescent="0.25">
      <c r="A2067">
        <v>1891</v>
      </c>
      <c r="B2067" s="16">
        <v>43556</v>
      </c>
      <c r="C2067" t="s">
        <v>123</v>
      </c>
      <c r="D2067">
        <v>-7540019.5500000007</v>
      </c>
      <c r="E2067" t="s">
        <v>331</v>
      </c>
    </row>
    <row r="2068" spans="1:5" x14ac:dyDescent="0.25">
      <c r="A2068">
        <v>1891</v>
      </c>
      <c r="B2068" s="16">
        <v>43586</v>
      </c>
      <c r="C2068" t="s">
        <v>123</v>
      </c>
      <c r="D2068">
        <v>-7540019.5500000007</v>
      </c>
      <c r="E2068" t="s">
        <v>331</v>
      </c>
    </row>
    <row r="2069" spans="1:5" x14ac:dyDescent="0.25">
      <c r="A2069">
        <v>1891</v>
      </c>
      <c r="B2069" s="16">
        <v>43617</v>
      </c>
      <c r="C2069" t="s">
        <v>123</v>
      </c>
      <c r="D2069">
        <v>-7540019.5500000007</v>
      </c>
      <c r="E2069" t="s">
        <v>331</v>
      </c>
    </row>
    <row r="2070" spans="1:5" x14ac:dyDescent="0.25">
      <c r="A2070">
        <v>1891</v>
      </c>
      <c r="B2070" s="16">
        <v>43647</v>
      </c>
      <c r="C2070" t="s">
        <v>123</v>
      </c>
      <c r="D2070">
        <v>-7540019.5500000007</v>
      </c>
      <c r="E2070" t="s">
        <v>331</v>
      </c>
    </row>
    <row r="2071" spans="1:5" x14ac:dyDescent="0.25">
      <c r="A2071">
        <v>1891</v>
      </c>
      <c r="B2071" s="16">
        <v>43678</v>
      </c>
      <c r="C2071" t="s">
        <v>123</v>
      </c>
      <c r="D2071">
        <v>-7540019.5500000007</v>
      </c>
      <c r="E2071" t="s">
        <v>331</v>
      </c>
    </row>
    <row r="2072" spans="1:5" x14ac:dyDescent="0.25">
      <c r="A2072">
        <v>1891</v>
      </c>
      <c r="B2072" s="16">
        <v>43709</v>
      </c>
      <c r="C2072" t="s">
        <v>123</v>
      </c>
      <c r="D2072">
        <v>-7540019.5500000007</v>
      </c>
      <c r="E2072" t="s">
        <v>331</v>
      </c>
    </row>
    <row r="2073" spans="1:5" x14ac:dyDescent="0.25">
      <c r="A2073">
        <v>1891</v>
      </c>
      <c r="B2073" s="16">
        <v>43739</v>
      </c>
      <c r="C2073" t="s">
        <v>123</v>
      </c>
      <c r="D2073">
        <v>-7540019.5500000007</v>
      </c>
      <c r="E2073" t="s">
        <v>331</v>
      </c>
    </row>
    <row r="2074" spans="1:5" x14ac:dyDescent="0.25">
      <c r="A2074">
        <v>1891</v>
      </c>
      <c r="B2074" s="16">
        <v>43770</v>
      </c>
      <c r="C2074" t="s">
        <v>123</v>
      </c>
      <c r="D2074">
        <v>-7540019.5500000007</v>
      </c>
      <c r="E2074" t="s">
        <v>331</v>
      </c>
    </row>
    <row r="2075" spans="1:5" x14ac:dyDescent="0.25">
      <c r="A2075">
        <v>1891</v>
      </c>
      <c r="B2075" s="16">
        <v>43800</v>
      </c>
      <c r="C2075" t="s">
        <v>123</v>
      </c>
      <c r="D2075">
        <v>-7540019.5500000007</v>
      </c>
      <c r="E2075" t="s">
        <v>331</v>
      </c>
    </row>
    <row r="2076" spans="1:5" x14ac:dyDescent="0.25">
      <c r="A2076">
        <v>1891</v>
      </c>
      <c r="B2076" s="16">
        <v>43831</v>
      </c>
      <c r="C2076" t="s">
        <v>123</v>
      </c>
      <c r="D2076">
        <v>-7540019.5500000007</v>
      </c>
      <c r="E2076" t="s">
        <v>331</v>
      </c>
    </row>
    <row r="2077" spans="1:5" x14ac:dyDescent="0.25">
      <c r="A2077">
        <v>1891</v>
      </c>
      <c r="B2077" s="16">
        <v>43862</v>
      </c>
      <c r="C2077" t="s">
        <v>123</v>
      </c>
      <c r="D2077">
        <v>-7540019.5500000007</v>
      </c>
      <c r="E2077" t="s">
        <v>331</v>
      </c>
    </row>
    <row r="2078" spans="1:5" x14ac:dyDescent="0.25">
      <c r="A2078">
        <v>1891</v>
      </c>
      <c r="B2078" s="16">
        <v>43891</v>
      </c>
      <c r="C2078" t="s">
        <v>123</v>
      </c>
      <c r="D2078">
        <v>-7540019.5500000007</v>
      </c>
      <c r="E2078" t="s">
        <v>331</v>
      </c>
    </row>
    <row r="2079" spans="1:5" x14ac:dyDescent="0.25">
      <c r="A2079">
        <v>1891</v>
      </c>
      <c r="B2079" s="16">
        <v>43497</v>
      </c>
      <c r="C2079" t="s">
        <v>39</v>
      </c>
      <c r="D2079">
        <v>-5488569.4500000002</v>
      </c>
      <c r="E2079" t="s">
        <v>331</v>
      </c>
    </row>
    <row r="2080" spans="1:5" x14ac:dyDescent="0.25">
      <c r="A2080">
        <v>1891</v>
      </c>
      <c r="B2080" s="16">
        <v>43525</v>
      </c>
      <c r="C2080" t="s">
        <v>39</v>
      </c>
      <c r="D2080">
        <v>-5488569.4500000002</v>
      </c>
      <c r="E2080" t="s">
        <v>331</v>
      </c>
    </row>
    <row r="2081" spans="1:5" x14ac:dyDescent="0.25">
      <c r="A2081">
        <v>1891</v>
      </c>
      <c r="B2081" s="16">
        <v>43556</v>
      </c>
      <c r="C2081" t="s">
        <v>39</v>
      </c>
      <c r="D2081">
        <v>-5488569.4500000002</v>
      </c>
      <c r="E2081" t="s">
        <v>331</v>
      </c>
    </row>
    <row r="2082" spans="1:5" x14ac:dyDescent="0.25">
      <c r="A2082">
        <v>1891</v>
      </c>
      <c r="B2082" s="16">
        <v>43586</v>
      </c>
      <c r="C2082" t="s">
        <v>39</v>
      </c>
      <c r="D2082">
        <v>-5488569.4500000002</v>
      </c>
      <c r="E2082" t="s">
        <v>331</v>
      </c>
    </row>
    <row r="2083" spans="1:5" x14ac:dyDescent="0.25">
      <c r="A2083">
        <v>1891</v>
      </c>
      <c r="B2083" s="16">
        <v>43617</v>
      </c>
      <c r="C2083" t="s">
        <v>39</v>
      </c>
      <c r="D2083">
        <v>-5488569.4500000002</v>
      </c>
      <c r="E2083" t="s">
        <v>331</v>
      </c>
    </row>
    <row r="2084" spans="1:5" x14ac:dyDescent="0.25">
      <c r="A2084">
        <v>1891</v>
      </c>
      <c r="B2084" s="16">
        <v>43647</v>
      </c>
      <c r="C2084" t="s">
        <v>39</v>
      </c>
      <c r="D2084">
        <v>-5488569.4500000002</v>
      </c>
      <c r="E2084" t="s">
        <v>331</v>
      </c>
    </row>
    <row r="2085" spans="1:5" x14ac:dyDescent="0.25">
      <c r="A2085">
        <v>1891</v>
      </c>
      <c r="B2085" s="16">
        <v>43678</v>
      </c>
      <c r="C2085" t="s">
        <v>39</v>
      </c>
      <c r="D2085">
        <v>-5488569.4500000002</v>
      </c>
      <c r="E2085" t="s">
        <v>331</v>
      </c>
    </row>
    <row r="2086" spans="1:5" x14ac:dyDescent="0.25">
      <c r="A2086">
        <v>1891</v>
      </c>
      <c r="B2086" s="16">
        <v>43709</v>
      </c>
      <c r="C2086" t="s">
        <v>39</v>
      </c>
      <c r="D2086">
        <v>-5488569.4500000002</v>
      </c>
      <c r="E2086" t="s">
        <v>331</v>
      </c>
    </row>
    <row r="2087" spans="1:5" x14ac:dyDescent="0.25">
      <c r="A2087">
        <v>1891</v>
      </c>
      <c r="B2087" s="16">
        <v>43739</v>
      </c>
      <c r="C2087" t="s">
        <v>39</v>
      </c>
      <c r="D2087">
        <v>-5488569.4500000002</v>
      </c>
      <c r="E2087" t="s">
        <v>331</v>
      </c>
    </row>
    <row r="2088" spans="1:5" x14ac:dyDescent="0.25">
      <c r="A2088">
        <v>1891</v>
      </c>
      <c r="B2088" s="16">
        <v>43770</v>
      </c>
      <c r="C2088" t="s">
        <v>39</v>
      </c>
      <c r="D2088">
        <v>-5488569.4500000002</v>
      </c>
      <c r="E2088" t="s">
        <v>331</v>
      </c>
    </row>
    <row r="2089" spans="1:5" x14ac:dyDescent="0.25">
      <c r="A2089">
        <v>1891</v>
      </c>
      <c r="B2089" s="16">
        <v>43800</v>
      </c>
      <c r="C2089" t="s">
        <v>39</v>
      </c>
      <c r="D2089">
        <v>-5488569.4500000002</v>
      </c>
      <c r="E2089" t="s">
        <v>331</v>
      </c>
    </row>
    <row r="2090" spans="1:5" x14ac:dyDescent="0.25">
      <c r="A2090">
        <v>1891</v>
      </c>
      <c r="B2090" s="16">
        <v>43831</v>
      </c>
      <c r="C2090" t="s">
        <v>39</v>
      </c>
      <c r="D2090">
        <v>-5488569.4500000002</v>
      </c>
      <c r="E2090" t="s">
        <v>331</v>
      </c>
    </row>
    <row r="2091" spans="1:5" x14ac:dyDescent="0.25">
      <c r="A2091">
        <v>1891</v>
      </c>
      <c r="B2091" s="16">
        <v>43862</v>
      </c>
      <c r="C2091" t="s">
        <v>39</v>
      </c>
      <c r="D2091">
        <v>-5488569.4500000002</v>
      </c>
      <c r="E2091" t="s">
        <v>331</v>
      </c>
    </row>
    <row r="2092" spans="1:5" x14ac:dyDescent="0.25">
      <c r="A2092">
        <v>1891</v>
      </c>
      <c r="B2092" s="16">
        <v>43891</v>
      </c>
      <c r="C2092" t="s">
        <v>39</v>
      </c>
      <c r="D2092">
        <v>-5488569.4500000002</v>
      </c>
      <c r="E2092" t="s">
        <v>331</v>
      </c>
    </row>
    <row r="2093" spans="1:5" x14ac:dyDescent="0.25">
      <c r="A2093">
        <v>1891</v>
      </c>
      <c r="B2093" s="16">
        <v>43922</v>
      </c>
      <c r="C2093" t="s">
        <v>39</v>
      </c>
      <c r="D2093">
        <v>-5488569.4500000002</v>
      </c>
      <c r="E2093" t="s">
        <v>331</v>
      </c>
    </row>
    <row r="2094" spans="1:5" x14ac:dyDescent="0.25">
      <c r="A2094">
        <v>1891</v>
      </c>
      <c r="B2094" s="16">
        <v>43952</v>
      </c>
      <c r="C2094" t="s">
        <v>39</v>
      </c>
      <c r="D2094">
        <v>-5488569.4500000002</v>
      </c>
      <c r="E2094" t="s">
        <v>331</v>
      </c>
    </row>
    <row r="2095" spans="1:5" x14ac:dyDescent="0.25">
      <c r="A2095">
        <v>1891</v>
      </c>
      <c r="B2095" s="16">
        <v>43983</v>
      </c>
      <c r="C2095" t="s">
        <v>39</v>
      </c>
      <c r="D2095">
        <v>-5488569.4500000002</v>
      </c>
      <c r="E2095" t="s">
        <v>331</v>
      </c>
    </row>
    <row r="2096" spans="1:5" x14ac:dyDescent="0.25">
      <c r="A2096">
        <v>1891</v>
      </c>
      <c r="B2096" s="16">
        <v>43497</v>
      </c>
      <c r="C2096" t="s">
        <v>178</v>
      </c>
      <c r="D2096">
        <v>-4923668.9249999998</v>
      </c>
      <c r="E2096" t="s">
        <v>331</v>
      </c>
    </row>
    <row r="2097" spans="1:5" x14ac:dyDescent="0.25">
      <c r="A2097">
        <v>1891</v>
      </c>
      <c r="B2097" s="16">
        <v>43525</v>
      </c>
      <c r="C2097" t="s">
        <v>178</v>
      </c>
      <c r="D2097">
        <v>-4923668.9249999998</v>
      </c>
      <c r="E2097" t="s">
        <v>331</v>
      </c>
    </row>
    <row r="2098" spans="1:5" x14ac:dyDescent="0.25">
      <c r="A2098">
        <v>1891</v>
      </c>
      <c r="B2098" s="16">
        <v>43556</v>
      </c>
      <c r="C2098" t="s">
        <v>178</v>
      </c>
      <c r="D2098">
        <v>-4923668.9249999998</v>
      </c>
      <c r="E2098" t="s">
        <v>331</v>
      </c>
    </row>
    <row r="2099" spans="1:5" x14ac:dyDescent="0.25">
      <c r="A2099">
        <v>1891</v>
      </c>
      <c r="B2099" s="16">
        <v>43586</v>
      </c>
      <c r="C2099" t="s">
        <v>178</v>
      </c>
      <c r="D2099">
        <v>-4923668.9249999998</v>
      </c>
      <c r="E2099" t="s">
        <v>331</v>
      </c>
    </row>
    <row r="2100" spans="1:5" x14ac:dyDescent="0.25">
      <c r="A2100">
        <v>1891</v>
      </c>
      <c r="B2100" s="16">
        <v>43617</v>
      </c>
      <c r="C2100" t="s">
        <v>178</v>
      </c>
      <c r="D2100">
        <v>-4923668.9249999998</v>
      </c>
      <c r="E2100" t="s">
        <v>331</v>
      </c>
    </row>
    <row r="2101" spans="1:5" x14ac:dyDescent="0.25">
      <c r="A2101">
        <v>1891</v>
      </c>
      <c r="B2101" s="16">
        <v>43647</v>
      </c>
      <c r="C2101" t="s">
        <v>178</v>
      </c>
      <c r="D2101">
        <v>-4923668.9249999998</v>
      </c>
      <c r="E2101" t="s">
        <v>331</v>
      </c>
    </row>
    <row r="2102" spans="1:5" x14ac:dyDescent="0.25">
      <c r="A2102">
        <v>1891</v>
      </c>
      <c r="B2102" s="16">
        <v>43678</v>
      </c>
      <c r="C2102" t="s">
        <v>178</v>
      </c>
      <c r="D2102">
        <v>-4923668.9249999998</v>
      </c>
      <c r="E2102" t="s">
        <v>331</v>
      </c>
    </row>
    <row r="2103" spans="1:5" x14ac:dyDescent="0.25">
      <c r="A2103">
        <v>1891</v>
      </c>
      <c r="B2103" s="16">
        <v>43709</v>
      </c>
      <c r="C2103" t="s">
        <v>178</v>
      </c>
      <c r="D2103">
        <v>-4923668.9249999998</v>
      </c>
      <c r="E2103" t="s">
        <v>331</v>
      </c>
    </row>
    <row r="2104" spans="1:5" x14ac:dyDescent="0.25">
      <c r="A2104">
        <v>1891</v>
      </c>
      <c r="B2104" s="16">
        <v>43739</v>
      </c>
      <c r="C2104" t="s">
        <v>178</v>
      </c>
      <c r="D2104">
        <v>-4923668.9249999998</v>
      </c>
      <c r="E2104" t="s">
        <v>331</v>
      </c>
    </row>
    <row r="2105" spans="1:5" x14ac:dyDescent="0.25">
      <c r="A2105">
        <v>1891</v>
      </c>
      <c r="B2105" s="16">
        <v>43770</v>
      </c>
      <c r="C2105" t="s">
        <v>178</v>
      </c>
      <c r="D2105">
        <v>-4923668.9249999998</v>
      </c>
      <c r="E2105" t="s">
        <v>331</v>
      </c>
    </row>
    <row r="2106" spans="1:5" x14ac:dyDescent="0.25">
      <c r="A2106">
        <v>1891</v>
      </c>
      <c r="B2106" s="16">
        <v>43800</v>
      </c>
      <c r="C2106" t="s">
        <v>178</v>
      </c>
      <c r="D2106">
        <v>-4923668.9249999998</v>
      </c>
      <c r="E2106" t="s">
        <v>331</v>
      </c>
    </row>
    <row r="2107" spans="1:5" x14ac:dyDescent="0.25">
      <c r="A2107">
        <v>1891</v>
      </c>
      <c r="B2107" s="16">
        <v>43831</v>
      </c>
      <c r="C2107" t="s">
        <v>178</v>
      </c>
      <c r="D2107">
        <v>-4923668.9249999998</v>
      </c>
      <c r="E2107" t="s">
        <v>331</v>
      </c>
    </row>
    <row r="2108" spans="1:5" x14ac:dyDescent="0.25">
      <c r="A2108">
        <v>1891</v>
      </c>
      <c r="B2108" s="16">
        <v>43862</v>
      </c>
      <c r="C2108" t="s">
        <v>178</v>
      </c>
      <c r="D2108">
        <v>-4923668.9249999998</v>
      </c>
      <c r="E2108" t="s">
        <v>331</v>
      </c>
    </row>
    <row r="2109" spans="1:5" x14ac:dyDescent="0.25">
      <c r="A2109">
        <v>1891</v>
      </c>
      <c r="B2109" s="16">
        <v>43891</v>
      </c>
      <c r="C2109" t="s">
        <v>178</v>
      </c>
      <c r="D2109">
        <v>-4923668.9249999998</v>
      </c>
      <c r="E2109" t="s">
        <v>331</v>
      </c>
    </row>
    <row r="2110" spans="1:5" x14ac:dyDescent="0.25">
      <c r="A2110">
        <v>1891</v>
      </c>
      <c r="B2110" s="16">
        <v>43922</v>
      </c>
      <c r="C2110" t="s">
        <v>178</v>
      </c>
      <c r="D2110">
        <v>-4923668.9249999998</v>
      </c>
      <c r="E2110" t="s">
        <v>331</v>
      </c>
    </row>
    <row r="2111" spans="1:5" x14ac:dyDescent="0.25">
      <c r="A2111">
        <v>1891</v>
      </c>
      <c r="B2111" s="16">
        <v>43952</v>
      </c>
      <c r="C2111" t="s">
        <v>178</v>
      </c>
      <c r="D2111">
        <v>-4923668.9249999998</v>
      </c>
      <c r="E2111" t="s">
        <v>331</v>
      </c>
    </row>
    <row r="2112" spans="1:5" x14ac:dyDescent="0.25">
      <c r="A2112">
        <v>1891</v>
      </c>
      <c r="B2112" s="16">
        <v>43983</v>
      </c>
      <c r="C2112" t="s">
        <v>178</v>
      </c>
      <c r="D2112">
        <v>-4923668.9249999998</v>
      </c>
      <c r="E2112" t="s">
        <v>331</v>
      </c>
    </row>
    <row r="2113" spans="1:5" x14ac:dyDescent="0.25">
      <c r="A2113">
        <v>1891</v>
      </c>
      <c r="B2113" s="16">
        <v>44013</v>
      </c>
      <c r="C2113" t="s">
        <v>178</v>
      </c>
      <c r="D2113">
        <v>-4923668.9249999998</v>
      </c>
      <c r="E2113" t="s">
        <v>331</v>
      </c>
    </row>
    <row r="2114" spans="1:5" x14ac:dyDescent="0.25">
      <c r="A2114">
        <v>1891</v>
      </c>
      <c r="B2114" s="16">
        <v>43497</v>
      </c>
      <c r="C2114" t="s">
        <v>59</v>
      </c>
      <c r="D2114">
        <v>-3222031.0500000003</v>
      </c>
      <c r="E2114" t="s">
        <v>331</v>
      </c>
    </row>
    <row r="2115" spans="1:5" x14ac:dyDescent="0.25">
      <c r="A2115">
        <v>1891</v>
      </c>
      <c r="B2115" s="16">
        <v>43525</v>
      </c>
      <c r="C2115" t="s">
        <v>59</v>
      </c>
      <c r="D2115">
        <v>-3222031.0500000003</v>
      </c>
      <c r="E2115" t="s">
        <v>331</v>
      </c>
    </row>
    <row r="2116" spans="1:5" x14ac:dyDescent="0.25">
      <c r="A2116">
        <v>1891</v>
      </c>
      <c r="B2116" s="16">
        <v>43556</v>
      </c>
      <c r="C2116" t="s">
        <v>59</v>
      </c>
      <c r="D2116">
        <v>-3222031.0500000003</v>
      </c>
      <c r="E2116" t="s">
        <v>331</v>
      </c>
    </row>
    <row r="2117" spans="1:5" x14ac:dyDescent="0.25">
      <c r="A2117">
        <v>1891</v>
      </c>
      <c r="B2117" s="16">
        <v>43586</v>
      </c>
      <c r="C2117" t="s">
        <v>59</v>
      </c>
      <c r="D2117">
        <v>-3222031.0500000003</v>
      </c>
      <c r="E2117" t="s">
        <v>331</v>
      </c>
    </row>
    <row r="2118" spans="1:5" x14ac:dyDescent="0.25">
      <c r="A2118">
        <v>1891</v>
      </c>
      <c r="B2118" s="16">
        <v>43617</v>
      </c>
      <c r="C2118" t="s">
        <v>59</v>
      </c>
      <c r="D2118">
        <v>-3222031.0500000003</v>
      </c>
      <c r="E2118" t="s">
        <v>331</v>
      </c>
    </row>
    <row r="2119" spans="1:5" x14ac:dyDescent="0.25">
      <c r="A2119">
        <v>1891</v>
      </c>
      <c r="B2119" s="16">
        <v>43647</v>
      </c>
      <c r="C2119" t="s">
        <v>59</v>
      </c>
      <c r="D2119">
        <v>-3222031.0500000003</v>
      </c>
      <c r="E2119" t="s">
        <v>331</v>
      </c>
    </row>
    <row r="2120" spans="1:5" x14ac:dyDescent="0.25">
      <c r="A2120">
        <v>1891</v>
      </c>
      <c r="B2120" s="16">
        <v>43678</v>
      </c>
      <c r="C2120" t="s">
        <v>59</v>
      </c>
      <c r="D2120">
        <v>-3222031.0500000003</v>
      </c>
      <c r="E2120" t="s">
        <v>331</v>
      </c>
    </row>
    <row r="2121" spans="1:5" x14ac:dyDescent="0.25">
      <c r="A2121">
        <v>1891</v>
      </c>
      <c r="B2121" s="16">
        <v>43709</v>
      </c>
      <c r="C2121" t="s">
        <v>59</v>
      </c>
      <c r="D2121">
        <v>-3222031.0500000003</v>
      </c>
      <c r="E2121" t="s">
        <v>331</v>
      </c>
    </row>
    <row r="2122" spans="1:5" x14ac:dyDescent="0.25">
      <c r="A2122">
        <v>1891</v>
      </c>
      <c r="B2122" s="16">
        <v>43739</v>
      </c>
      <c r="C2122" t="s">
        <v>59</v>
      </c>
      <c r="D2122">
        <v>-3222031.0500000003</v>
      </c>
      <c r="E2122" t="s">
        <v>331</v>
      </c>
    </row>
    <row r="2123" spans="1:5" x14ac:dyDescent="0.25">
      <c r="A2123">
        <v>1891</v>
      </c>
      <c r="B2123" s="16">
        <v>43770</v>
      </c>
      <c r="C2123" t="s">
        <v>59</v>
      </c>
      <c r="D2123">
        <v>-3222031.0500000003</v>
      </c>
      <c r="E2123" t="s">
        <v>331</v>
      </c>
    </row>
    <row r="2124" spans="1:5" x14ac:dyDescent="0.25">
      <c r="A2124">
        <v>1891</v>
      </c>
      <c r="B2124" s="16">
        <v>43800</v>
      </c>
      <c r="C2124" t="s">
        <v>59</v>
      </c>
      <c r="D2124">
        <v>-3222031.0500000003</v>
      </c>
      <c r="E2124" t="s">
        <v>331</v>
      </c>
    </row>
    <row r="2125" spans="1:5" x14ac:dyDescent="0.25">
      <c r="A2125">
        <v>1891</v>
      </c>
      <c r="B2125" s="16">
        <v>43831</v>
      </c>
      <c r="C2125" t="s">
        <v>59</v>
      </c>
      <c r="D2125">
        <v>-3222031.0500000003</v>
      </c>
      <c r="E2125" t="s">
        <v>331</v>
      </c>
    </row>
    <row r="2126" spans="1:5" x14ac:dyDescent="0.25">
      <c r="A2126">
        <v>1891</v>
      </c>
      <c r="B2126" s="16">
        <v>43862</v>
      </c>
      <c r="C2126" t="s">
        <v>59</v>
      </c>
      <c r="D2126">
        <v>-3222031.0500000003</v>
      </c>
      <c r="E2126" t="s">
        <v>331</v>
      </c>
    </row>
    <row r="2127" spans="1:5" x14ac:dyDescent="0.25">
      <c r="A2127">
        <v>1891</v>
      </c>
      <c r="B2127" s="16">
        <v>43891</v>
      </c>
      <c r="C2127" t="s">
        <v>59</v>
      </c>
      <c r="D2127">
        <v>-3222031.0500000003</v>
      </c>
      <c r="E2127" t="s">
        <v>331</v>
      </c>
    </row>
    <row r="2128" spans="1:5" x14ac:dyDescent="0.25">
      <c r="A2128">
        <v>1891</v>
      </c>
      <c r="B2128" s="16">
        <v>43922</v>
      </c>
      <c r="C2128" t="s">
        <v>59</v>
      </c>
      <c r="D2128">
        <v>-3222031.0500000003</v>
      </c>
      <c r="E2128" t="s">
        <v>331</v>
      </c>
    </row>
    <row r="2129" spans="1:5" x14ac:dyDescent="0.25">
      <c r="A2129">
        <v>1891</v>
      </c>
      <c r="B2129" s="16">
        <v>43952</v>
      </c>
      <c r="C2129" t="s">
        <v>59</v>
      </c>
      <c r="D2129">
        <v>-3222031.0500000003</v>
      </c>
      <c r="E2129" t="s">
        <v>331</v>
      </c>
    </row>
    <row r="2130" spans="1:5" x14ac:dyDescent="0.25">
      <c r="A2130">
        <v>1891</v>
      </c>
      <c r="B2130" s="16">
        <v>43983</v>
      </c>
      <c r="C2130" t="s">
        <v>59</v>
      </c>
      <c r="D2130">
        <v>-3222031.0500000003</v>
      </c>
      <c r="E2130" t="s">
        <v>331</v>
      </c>
    </row>
    <row r="2131" spans="1:5" x14ac:dyDescent="0.25">
      <c r="A2131">
        <v>1891</v>
      </c>
      <c r="B2131" s="16">
        <v>44013</v>
      </c>
      <c r="C2131" t="s">
        <v>59</v>
      </c>
      <c r="D2131">
        <v>-3222031.0500000003</v>
      </c>
      <c r="E2131" t="s">
        <v>331</v>
      </c>
    </row>
    <row r="2132" spans="1:5" x14ac:dyDescent="0.25">
      <c r="A2132">
        <v>1891</v>
      </c>
      <c r="B2132" s="16">
        <v>44044</v>
      </c>
      <c r="C2132" t="s">
        <v>59</v>
      </c>
      <c r="D2132">
        <v>-3222031.0500000003</v>
      </c>
      <c r="E2132" t="s">
        <v>331</v>
      </c>
    </row>
    <row r="2133" spans="1:5" x14ac:dyDescent="0.25">
      <c r="A2133">
        <v>1891</v>
      </c>
      <c r="B2133" s="16">
        <v>44075</v>
      </c>
      <c r="C2133" t="s">
        <v>59</v>
      </c>
      <c r="D2133">
        <v>-3222031.0500000003</v>
      </c>
      <c r="E2133" t="s">
        <v>331</v>
      </c>
    </row>
    <row r="2134" spans="1:5" x14ac:dyDescent="0.25">
      <c r="A2134">
        <v>1891</v>
      </c>
      <c r="B2134" s="16">
        <v>44105</v>
      </c>
      <c r="C2134" t="s">
        <v>59</v>
      </c>
      <c r="D2134">
        <v>-3222031.0500000003</v>
      </c>
      <c r="E2134" t="s">
        <v>331</v>
      </c>
    </row>
    <row r="2135" spans="1:5" x14ac:dyDescent="0.25">
      <c r="A2135">
        <v>1891</v>
      </c>
      <c r="B2135" s="16">
        <v>44136</v>
      </c>
      <c r="C2135" t="s">
        <v>59</v>
      </c>
      <c r="D2135">
        <v>-3222031.0500000003</v>
      </c>
      <c r="E2135" t="s">
        <v>331</v>
      </c>
    </row>
    <row r="2136" spans="1:5" x14ac:dyDescent="0.25">
      <c r="A2136">
        <v>1891</v>
      </c>
      <c r="B2136" s="16">
        <v>44166</v>
      </c>
      <c r="C2136" t="s">
        <v>59</v>
      </c>
      <c r="D2136">
        <v>-3222031.0500000003</v>
      </c>
      <c r="E2136" t="s">
        <v>331</v>
      </c>
    </row>
    <row r="2137" spans="1:5" x14ac:dyDescent="0.25">
      <c r="A2137">
        <v>1891</v>
      </c>
      <c r="B2137" s="16">
        <v>43497</v>
      </c>
      <c r="C2137" t="s">
        <v>135</v>
      </c>
      <c r="D2137">
        <v>-3868248.1949999994</v>
      </c>
      <c r="E2137" t="s">
        <v>331</v>
      </c>
    </row>
    <row r="2138" spans="1:5" x14ac:dyDescent="0.25">
      <c r="A2138">
        <v>1891</v>
      </c>
      <c r="B2138" s="16">
        <v>43525</v>
      </c>
      <c r="C2138" t="s">
        <v>135</v>
      </c>
      <c r="D2138">
        <v>-3868248.1949999994</v>
      </c>
      <c r="E2138" t="s">
        <v>331</v>
      </c>
    </row>
    <row r="2139" spans="1:5" x14ac:dyDescent="0.25">
      <c r="A2139">
        <v>1891</v>
      </c>
      <c r="B2139" s="16">
        <v>43556</v>
      </c>
      <c r="C2139" t="s">
        <v>135</v>
      </c>
      <c r="D2139">
        <v>-3868248.1949999994</v>
      </c>
      <c r="E2139" t="s">
        <v>331</v>
      </c>
    </row>
    <row r="2140" spans="1:5" x14ac:dyDescent="0.25">
      <c r="A2140">
        <v>1891</v>
      </c>
      <c r="B2140" s="16">
        <v>43586</v>
      </c>
      <c r="C2140" t="s">
        <v>135</v>
      </c>
      <c r="D2140">
        <v>-3868248.1949999994</v>
      </c>
      <c r="E2140" t="s">
        <v>331</v>
      </c>
    </row>
    <row r="2141" spans="1:5" x14ac:dyDescent="0.25">
      <c r="A2141">
        <v>1891</v>
      </c>
      <c r="B2141" s="16">
        <v>43617</v>
      </c>
      <c r="C2141" t="s">
        <v>135</v>
      </c>
      <c r="D2141">
        <v>-3868248.1949999994</v>
      </c>
      <c r="E2141" t="s">
        <v>331</v>
      </c>
    </row>
    <row r="2142" spans="1:5" x14ac:dyDescent="0.25">
      <c r="A2142">
        <v>1891</v>
      </c>
      <c r="B2142" s="16">
        <v>43647</v>
      </c>
      <c r="C2142" t="s">
        <v>135</v>
      </c>
      <c r="D2142">
        <v>-3868248.1949999994</v>
      </c>
      <c r="E2142" t="s">
        <v>331</v>
      </c>
    </row>
    <row r="2143" spans="1:5" x14ac:dyDescent="0.25">
      <c r="A2143">
        <v>1891</v>
      </c>
      <c r="B2143" s="16">
        <v>43678</v>
      </c>
      <c r="C2143" t="s">
        <v>135</v>
      </c>
      <c r="D2143">
        <v>-3868248.1949999994</v>
      </c>
      <c r="E2143" t="s">
        <v>331</v>
      </c>
    </row>
    <row r="2144" spans="1:5" x14ac:dyDescent="0.25">
      <c r="A2144">
        <v>1891</v>
      </c>
      <c r="B2144" s="16">
        <v>43709</v>
      </c>
      <c r="C2144" t="s">
        <v>135</v>
      </c>
      <c r="D2144">
        <v>-3868248.1949999994</v>
      </c>
      <c r="E2144" t="s">
        <v>331</v>
      </c>
    </row>
    <row r="2145" spans="1:5" x14ac:dyDescent="0.25">
      <c r="A2145">
        <v>1891</v>
      </c>
      <c r="B2145" s="16">
        <v>43739</v>
      </c>
      <c r="C2145" t="s">
        <v>135</v>
      </c>
      <c r="D2145">
        <v>-3868248.1949999994</v>
      </c>
      <c r="E2145" t="s">
        <v>331</v>
      </c>
    </row>
    <row r="2146" spans="1:5" x14ac:dyDescent="0.25">
      <c r="A2146">
        <v>1891</v>
      </c>
      <c r="B2146" s="16">
        <v>43770</v>
      </c>
      <c r="C2146" t="s">
        <v>135</v>
      </c>
      <c r="D2146">
        <v>-3868248.1949999994</v>
      </c>
      <c r="E2146" t="s">
        <v>331</v>
      </c>
    </row>
    <row r="2147" spans="1:5" x14ac:dyDescent="0.25">
      <c r="A2147">
        <v>1891</v>
      </c>
      <c r="B2147" s="16">
        <v>43800</v>
      </c>
      <c r="C2147" t="s">
        <v>135</v>
      </c>
      <c r="D2147">
        <v>-3868248.1949999994</v>
      </c>
      <c r="E2147" t="s">
        <v>331</v>
      </c>
    </row>
    <row r="2148" spans="1:5" x14ac:dyDescent="0.25">
      <c r="A2148">
        <v>1891</v>
      </c>
      <c r="B2148" s="16">
        <v>43831</v>
      </c>
      <c r="C2148" t="s">
        <v>135</v>
      </c>
      <c r="D2148">
        <v>-3868248.1949999994</v>
      </c>
      <c r="E2148" t="s">
        <v>331</v>
      </c>
    </row>
    <row r="2149" spans="1:5" x14ac:dyDescent="0.25">
      <c r="A2149">
        <v>1891</v>
      </c>
      <c r="B2149" s="16">
        <v>43862</v>
      </c>
      <c r="C2149" t="s">
        <v>135</v>
      </c>
      <c r="D2149">
        <v>-3868248.1949999994</v>
      </c>
      <c r="E2149" t="s">
        <v>331</v>
      </c>
    </row>
    <row r="2150" spans="1:5" x14ac:dyDescent="0.25">
      <c r="A2150">
        <v>1891</v>
      </c>
      <c r="B2150" s="16">
        <v>43891</v>
      </c>
      <c r="C2150" t="s">
        <v>135</v>
      </c>
      <c r="D2150">
        <v>-3868248.1949999994</v>
      </c>
      <c r="E2150" t="s">
        <v>331</v>
      </c>
    </row>
    <row r="2151" spans="1:5" x14ac:dyDescent="0.25">
      <c r="A2151">
        <v>1891</v>
      </c>
      <c r="B2151" s="16">
        <v>43922</v>
      </c>
      <c r="C2151" t="s">
        <v>135</v>
      </c>
      <c r="D2151">
        <v>-3868248.1949999994</v>
      </c>
      <c r="E2151" t="s">
        <v>331</v>
      </c>
    </row>
    <row r="2152" spans="1:5" x14ac:dyDescent="0.25">
      <c r="A2152">
        <v>1891</v>
      </c>
      <c r="B2152" s="16">
        <v>43952</v>
      </c>
      <c r="C2152" t="s">
        <v>135</v>
      </c>
      <c r="D2152">
        <v>-3868248.1949999994</v>
      </c>
      <c r="E2152" t="s">
        <v>331</v>
      </c>
    </row>
    <row r="2153" spans="1:5" x14ac:dyDescent="0.25">
      <c r="A2153">
        <v>1891</v>
      </c>
      <c r="B2153" s="16">
        <v>43983</v>
      </c>
      <c r="C2153" t="s">
        <v>135</v>
      </c>
      <c r="D2153">
        <v>-3868248.1949999994</v>
      </c>
      <c r="E2153" t="s">
        <v>331</v>
      </c>
    </row>
    <row r="2154" spans="1:5" x14ac:dyDescent="0.25">
      <c r="A2154">
        <v>1891</v>
      </c>
      <c r="B2154" s="16">
        <v>44013</v>
      </c>
      <c r="C2154" t="s">
        <v>135</v>
      </c>
      <c r="D2154">
        <v>-3868248.1949999994</v>
      </c>
      <c r="E2154" t="s">
        <v>331</v>
      </c>
    </row>
    <row r="2155" spans="1:5" x14ac:dyDescent="0.25">
      <c r="A2155">
        <v>1891</v>
      </c>
      <c r="B2155" s="16">
        <v>44044</v>
      </c>
      <c r="C2155" t="s">
        <v>135</v>
      </c>
      <c r="D2155">
        <v>-3868248.1949999994</v>
      </c>
      <c r="E2155" t="s">
        <v>331</v>
      </c>
    </row>
    <row r="2156" spans="1:5" x14ac:dyDescent="0.25">
      <c r="A2156">
        <v>1891</v>
      </c>
      <c r="B2156" s="16">
        <v>44075</v>
      </c>
      <c r="C2156" t="s">
        <v>135</v>
      </c>
      <c r="D2156">
        <v>-3868248.1949999994</v>
      </c>
      <c r="E2156" t="s">
        <v>331</v>
      </c>
    </row>
    <row r="2157" spans="1:5" x14ac:dyDescent="0.25">
      <c r="A2157">
        <v>1891</v>
      </c>
      <c r="B2157" s="16">
        <v>43497</v>
      </c>
      <c r="C2157" t="s">
        <v>76</v>
      </c>
      <c r="D2157">
        <v>-4001167.1069999998</v>
      </c>
      <c r="E2157" t="s">
        <v>331</v>
      </c>
    </row>
    <row r="2158" spans="1:5" x14ac:dyDescent="0.25">
      <c r="A2158">
        <v>1891</v>
      </c>
      <c r="B2158" s="16">
        <v>43525</v>
      </c>
      <c r="C2158" t="s">
        <v>76</v>
      </c>
      <c r="D2158">
        <v>-4001167.1069999998</v>
      </c>
      <c r="E2158" t="s">
        <v>331</v>
      </c>
    </row>
    <row r="2159" spans="1:5" x14ac:dyDescent="0.25">
      <c r="A2159">
        <v>1891</v>
      </c>
      <c r="B2159" s="16">
        <v>43556</v>
      </c>
      <c r="C2159" t="s">
        <v>76</v>
      </c>
      <c r="D2159">
        <v>-4001167.1069999998</v>
      </c>
      <c r="E2159" t="s">
        <v>331</v>
      </c>
    </row>
    <row r="2160" spans="1:5" x14ac:dyDescent="0.25">
      <c r="A2160">
        <v>1891</v>
      </c>
      <c r="B2160" s="16">
        <v>43586</v>
      </c>
      <c r="C2160" t="s">
        <v>76</v>
      </c>
      <c r="D2160">
        <v>-4001167.1069999998</v>
      </c>
      <c r="E2160" t="s">
        <v>331</v>
      </c>
    </row>
    <row r="2161" spans="1:5" x14ac:dyDescent="0.25">
      <c r="A2161">
        <v>1891</v>
      </c>
      <c r="B2161" s="16">
        <v>43617</v>
      </c>
      <c r="C2161" t="s">
        <v>76</v>
      </c>
      <c r="D2161">
        <v>-4001167.1069999998</v>
      </c>
      <c r="E2161" t="s">
        <v>331</v>
      </c>
    </row>
    <row r="2162" spans="1:5" x14ac:dyDescent="0.25">
      <c r="A2162">
        <v>1891</v>
      </c>
      <c r="B2162" s="16">
        <v>43647</v>
      </c>
      <c r="C2162" t="s">
        <v>76</v>
      </c>
      <c r="D2162">
        <v>-4001167.1069999998</v>
      </c>
      <c r="E2162" t="s">
        <v>331</v>
      </c>
    </row>
    <row r="2163" spans="1:5" x14ac:dyDescent="0.25">
      <c r="A2163">
        <v>1891</v>
      </c>
      <c r="B2163" s="16">
        <v>43678</v>
      </c>
      <c r="C2163" t="s">
        <v>76</v>
      </c>
      <c r="D2163">
        <v>-4001167.1069999998</v>
      </c>
      <c r="E2163" t="s">
        <v>331</v>
      </c>
    </row>
    <row r="2164" spans="1:5" x14ac:dyDescent="0.25">
      <c r="A2164">
        <v>1891</v>
      </c>
      <c r="B2164" s="16">
        <v>43709</v>
      </c>
      <c r="C2164" t="s">
        <v>76</v>
      </c>
      <c r="D2164">
        <v>-4001167.1069999998</v>
      </c>
      <c r="E2164" t="s">
        <v>331</v>
      </c>
    </row>
    <row r="2165" spans="1:5" x14ac:dyDescent="0.25">
      <c r="A2165">
        <v>1891</v>
      </c>
      <c r="B2165" s="16">
        <v>43739</v>
      </c>
      <c r="C2165" t="s">
        <v>76</v>
      </c>
      <c r="D2165">
        <v>-4001167.1069999998</v>
      </c>
      <c r="E2165" t="s">
        <v>331</v>
      </c>
    </row>
    <row r="2166" spans="1:5" x14ac:dyDescent="0.25">
      <c r="A2166">
        <v>1891</v>
      </c>
      <c r="B2166" s="16">
        <v>43770</v>
      </c>
      <c r="C2166" t="s">
        <v>76</v>
      </c>
      <c r="D2166">
        <v>-4001167.1069999998</v>
      </c>
      <c r="E2166" t="s">
        <v>331</v>
      </c>
    </row>
    <row r="2167" spans="1:5" x14ac:dyDescent="0.25">
      <c r="A2167">
        <v>1895</v>
      </c>
      <c r="B2167" s="16">
        <v>43466</v>
      </c>
      <c r="C2167" t="s">
        <v>19</v>
      </c>
      <c r="D2167">
        <v>-3230392.9140000003</v>
      </c>
      <c r="E2167" t="s">
        <v>331</v>
      </c>
    </row>
    <row r="2168" spans="1:5" x14ac:dyDescent="0.25">
      <c r="A2168">
        <v>1895</v>
      </c>
      <c r="B2168" s="16">
        <v>43466</v>
      </c>
      <c r="C2168" t="s">
        <v>26</v>
      </c>
      <c r="D2168">
        <v>-6132105</v>
      </c>
      <c r="E2168" t="s">
        <v>331</v>
      </c>
    </row>
    <row r="2169" spans="1:5" x14ac:dyDescent="0.25">
      <c r="A2169">
        <v>1895</v>
      </c>
      <c r="B2169" s="16">
        <v>43466</v>
      </c>
      <c r="C2169" t="s">
        <v>59</v>
      </c>
      <c r="D2169">
        <v>-2367673.875</v>
      </c>
      <c r="E2169" t="s">
        <v>331</v>
      </c>
    </row>
    <row r="2170" spans="1:5" x14ac:dyDescent="0.25">
      <c r="A2170">
        <v>1846</v>
      </c>
      <c r="B2170" s="16">
        <v>43466</v>
      </c>
      <c r="C2170" t="s">
        <v>12</v>
      </c>
      <c r="D2170">
        <v>-19561500</v>
      </c>
      <c r="E2170" t="s">
        <v>331</v>
      </c>
    </row>
    <row r="2171" spans="1:5" x14ac:dyDescent="0.25">
      <c r="A2171">
        <v>1846</v>
      </c>
      <c r="B2171" s="16">
        <v>43497</v>
      </c>
      <c r="C2171" t="s">
        <v>12</v>
      </c>
      <c r="D2171">
        <v>-19561500</v>
      </c>
      <c r="E2171" t="s">
        <v>331</v>
      </c>
    </row>
    <row r="2172" spans="1:5" x14ac:dyDescent="0.25">
      <c r="A2172">
        <v>1846</v>
      </c>
      <c r="B2172" s="16">
        <v>43525</v>
      </c>
      <c r="C2172" t="s">
        <v>12</v>
      </c>
      <c r="D2172">
        <v>-19561500</v>
      </c>
      <c r="E2172" t="s">
        <v>331</v>
      </c>
    </row>
    <row r="2173" spans="1:5" x14ac:dyDescent="0.25">
      <c r="A2173">
        <v>1846</v>
      </c>
      <c r="B2173" s="16">
        <v>43556</v>
      </c>
      <c r="C2173" t="s">
        <v>12</v>
      </c>
      <c r="D2173">
        <v>-19561500</v>
      </c>
      <c r="E2173" t="s">
        <v>331</v>
      </c>
    </row>
    <row r="2174" spans="1:5" x14ac:dyDescent="0.25">
      <c r="A2174">
        <v>1846</v>
      </c>
      <c r="B2174" s="16">
        <v>43466</v>
      </c>
      <c r="C2174" t="s">
        <v>271</v>
      </c>
      <c r="D2174">
        <v>-1449000</v>
      </c>
      <c r="E2174" t="s">
        <v>331</v>
      </c>
    </row>
    <row r="2175" spans="1:5" x14ac:dyDescent="0.25">
      <c r="A2175">
        <v>1846</v>
      </c>
      <c r="B2175" s="16">
        <v>43466</v>
      </c>
      <c r="C2175" t="s">
        <v>273</v>
      </c>
      <c r="D2175">
        <v>-8437922.3250000011</v>
      </c>
      <c r="E2175" t="s">
        <v>331</v>
      </c>
    </row>
    <row r="2176" spans="1:5" x14ac:dyDescent="0.25">
      <c r="A2176">
        <v>1846</v>
      </c>
      <c r="B2176" s="16">
        <v>43497</v>
      </c>
      <c r="C2176" t="s">
        <v>273</v>
      </c>
      <c r="D2176">
        <v>-8437922.3250000011</v>
      </c>
      <c r="E2176" t="s">
        <v>331</v>
      </c>
    </row>
    <row r="2177" spans="1:5" x14ac:dyDescent="0.25">
      <c r="A2177">
        <v>1846</v>
      </c>
      <c r="B2177" s="16">
        <v>43466</v>
      </c>
      <c r="C2177" t="s">
        <v>140</v>
      </c>
      <c r="D2177">
        <v>-6177149.9999999991</v>
      </c>
      <c r="E2177" t="s">
        <v>331</v>
      </c>
    </row>
    <row r="2178" spans="1:5" x14ac:dyDescent="0.25">
      <c r="A2178">
        <v>1846</v>
      </c>
      <c r="B2178" s="16">
        <v>43497</v>
      </c>
      <c r="C2178" t="s">
        <v>140</v>
      </c>
      <c r="D2178">
        <v>-6177149.9999999991</v>
      </c>
      <c r="E2178" t="s">
        <v>331</v>
      </c>
    </row>
    <row r="2179" spans="1:5" x14ac:dyDescent="0.25">
      <c r="A2179">
        <v>1893</v>
      </c>
      <c r="B2179" s="16">
        <v>43466</v>
      </c>
      <c r="C2179" t="s">
        <v>19</v>
      </c>
      <c r="D2179">
        <v>-1956490.2000000004</v>
      </c>
      <c r="E2179" t="s">
        <v>331</v>
      </c>
    </row>
    <row r="2180" spans="1:5" x14ac:dyDescent="0.25">
      <c r="A2180">
        <v>1893</v>
      </c>
      <c r="B2180" s="16">
        <v>43497</v>
      </c>
      <c r="C2180" t="s">
        <v>19</v>
      </c>
      <c r="D2180">
        <v>-1956490.2000000004</v>
      </c>
      <c r="E2180" t="s">
        <v>331</v>
      </c>
    </row>
    <row r="2181" spans="1:5" x14ac:dyDescent="0.25">
      <c r="A2181">
        <v>1893</v>
      </c>
      <c r="B2181" s="16">
        <v>43525</v>
      </c>
      <c r="C2181" t="s">
        <v>19</v>
      </c>
      <c r="D2181">
        <v>-1956490.2000000004</v>
      </c>
      <c r="E2181" t="s">
        <v>331</v>
      </c>
    </row>
    <row r="2182" spans="1:5" x14ac:dyDescent="0.25">
      <c r="A2182">
        <v>1893</v>
      </c>
      <c r="B2182" s="16">
        <v>43556</v>
      </c>
      <c r="C2182" t="s">
        <v>19</v>
      </c>
      <c r="D2182">
        <v>-1956490.2000000004</v>
      </c>
      <c r="E2182" t="s">
        <v>331</v>
      </c>
    </row>
    <row r="2183" spans="1:5" x14ac:dyDescent="0.25">
      <c r="A2183">
        <v>1893</v>
      </c>
      <c r="B2183" s="16">
        <v>43586</v>
      </c>
      <c r="C2183" t="s">
        <v>19</v>
      </c>
      <c r="D2183">
        <v>-1956490.2000000004</v>
      </c>
      <c r="E2183" t="s">
        <v>331</v>
      </c>
    </row>
    <row r="2184" spans="1:5" x14ac:dyDescent="0.25">
      <c r="A2184">
        <v>1893</v>
      </c>
      <c r="B2184" s="16">
        <v>43617</v>
      </c>
      <c r="C2184" t="s">
        <v>19</v>
      </c>
      <c r="D2184">
        <v>-1956490.2000000004</v>
      </c>
      <c r="E2184" t="s">
        <v>331</v>
      </c>
    </row>
    <row r="2185" spans="1:5" x14ac:dyDescent="0.25">
      <c r="A2185">
        <v>1893</v>
      </c>
      <c r="B2185" s="16">
        <v>43647</v>
      </c>
      <c r="C2185" t="s">
        <v>19</v>
      </c>
      <c r="D2185">
        <v>-1956490.2000000004</v>
      </c>
      <c r="E2185" t="s">
        <v>331</v>
      </c>
    </row>
    <row r="2186" spans="1:5" x14ac:dyDescent="0.25">
      <c r="A2186">
        <v>1893</v>
      </c>
      <c r="B2186" s="16">
        <v>43678</v>
      </c>
      <c r="C2186" t="s">
        <v>19</v>
      </c>
      <c r="D2186">
        <v>-1956490.2000000004</v>
      </c>
      <c r="E2186" t="s">
        <v>331</v>
      </c>
    </row>
    <row r="2187" spans="1:5" x14ac:dyDescent="0.25">
      <c r="A2187">
        <v>1893</v>
      </c>
      <c r="B2187" s="16">
        <v>43709</v>
      </c>
      <c r="C2187" t="s">
        <v>19</v>
      </c>
      <c r="D2187">
        <v>-1956490.2000000004</v>
      </c>
      <c r="E2187" t="s">
        <v>331</v>
      </c>
    </row>
    <row r="2188" spans="1:5" x14ac:dyDescent="0.25">
      <c r="A2188">
        <v>1893</v>
      </c>
      <c r="B2188" s="16">
        <v>43739</v>
      </c>
      <c r="C2188" t="s">
        <v>19</v>
      </c>
      <c r="D2188">
        <v>-1956490.2000000004</v>
      </c>
      <c r="E2188" t="s">
        <v>331</v>
      </c>
    </row>
    <row r="2189" spans="1:5" x14ac:dyDescent="0.25">
      <c r="A2189">
        <v>1893</v>
      </c>
      <c r="B2189" s="16">
        <v>43770</v>
      </c>
      <c r="C2189" t="s">
        <v>19</v>
      </c>
      <c r="D2189">
        <v>-1956490.2000000004</v>
      </c>
      <c r="E2189" t="s">
        <v>331</v>
      </c>
    </row>
    <row r="2190" spans="1:5" x14ac:dyDescent="0.25">
      <c r="A2190">
        <v>1893</v>
      </c>
      <c r="B2190" s="16">
        <v>43800</v>
      </c>
      <c r="C2190" t="s">
        <v>19</v>
      </c>
      <c r="D2190">
        <v>-1956490.2000000004</v>
      </c>
      <c r="E2190" t="s">
        <v>331</v>
      </c>
    </row>
    <row r="2191" spans="1:5" x14ac:dyDescent="0.25">
      <c r="A2191">
        <v>1893</v>
      </c>
      <c r="B2191" s="16">
        <v>43831</v>
      </c>
      <c r="C2191" t="s">
        <v>19</v>
      </c>
      <c r="D2191">
        <v>-1956490.2000000004</v>
      </c>
      <c r="E2191" t="s">
        <v>331</v>
      </c>
    </row>
    <row r="2192" spans="1:5" x14ac:dyDescent="0.25">
      <c r="A2192">
        <v>1893</v>
      </c>
      <c r="B2192" s="16">
        <v>43862</v>
      </c>
      <c r="C2192" t="s">
        <v>19</v>
      </c>
      <c r="D2192">
        <v>-1956490.2000000004</v>
      </c>
      <c r="E2192" t="s">
        <v>331</v>
      </c>
    </row>
    <row r="2193" spans="1:5" x14ac:dyDescent="0.25">
      <c r="A2193">
        <v>1893</v>
      </c>
      <c r="B2193" s="16">
        <v>43891</v>
      </c>
      <c r="C2193" t="s">
        <v>19</v>
      </c>
      <c r="D2193">
        <v>-1956490.2000000004</v>
      </c>
      <c r="E2193" t="s">
        <v>331</v>
      </c>
    </row>
    <row r="2194" spans="1:5" x14ac:dyDescent="0.25">
      <c r="A2194">
        <v>1893</v>
      </c>
      <c r="B2194" s="16">
        <v>43466</v>
      </c>
      <c r="C2194" t="s">
        <v>12</v>
      </c>
      <c r="D2194">
        <v>-8716050</v>
      </c>
      <c r="E2194" t="s">
        <v>331</v>
      </c>
    </row>
    <row r="2195" spans="1:5" x14ac:dyDescent="0.25">
      <c r="A2195">
        <v>1893</v>
      </c>
      <c r="B2195" s="16">
        <v>43497</v>
      </c>
      <c r="C2195" t="s">
        <v>12</v>
      </c>
      <c r="D2195">
        <v>-8716050</v>
      </c>
      <c r="E2195" t="s">
        <v>331</v>
      </c>
    </row>
    <row r="2196" spans="1:5" x14ac:dyDescent="0.25">
      <c r="A2196">
        <v>1893</v>
      </c>
      <c r="B2196" s="16">
        <v>43525</v>
      </c>
      <c r="C2196" t="s">
        <v>12</v>
      </c>
      <c r="D2196">
        <v>-8716050</v>
      </c>
      <c r="E2196" t="s">
        <v>331</v>
      </c>
    </row>
    <row r="2197" spans="1:5" x14ac:dyDescent="0.25">
      <c r="A2197">
        <v>1893</v>
      </c>
      <c r="B2197" s="16">
        <v>43556</v>
      </c>
      <c r="C2197" t="s">
        <v>12</v>
      </c>
      <c r="D2197">
        <v>-8716050</v>
      </c>
      <c r="E2197" t="s">
        <v>331</v>
      </c>
    </row>
    <row r="2198" spans="1:5" x14ac:dyDescent="0.25">
      <c r="A2198">
        <v>1893</v>
      </c>
      <c r="B2198" s="16">
        <v>43586</v>
      </c>
      <c r="C2198" t="s">
        <v>12</v>
      </c>
      <c r="D2198">
        <v>-8716050</v>
      </c>
      <c r="E2198" t="s">
        <v>331</v>
      </c>
    </row>
    <row r="2199" spans="1:5" x14ac:dyDescent="0.25">
      <c r="A2199">
        <v>1893</v>
      </c>
      <c r="B2199" s="16">
        <v>43617</v>
      </c>
      <c r="C2199" t="s">
        <v>12</v>
      </c>
      <c r="D2199">
        <v>-8716050</v>
      </c>
      <c r="E2199" t="s">
        <v>331</v>
      </c>
    </row>
    <row r="2200" spans="1:5" x14ac:dyDescent="0.25">
      <c r="A2200">
        <v>1893</v>
      </c>
      <c r="B2200" s="16">
        <v>43647</v>
      </c>
      <c r="C2200" t="s">
        <v>12</v>
      </c>
      <c r="D2200">
        <v>-8716050</v>
      </c>
      <c r="E2200" t="s">
        <v>331</v>
      </c>
    </row>
    <row r="2201" spans="1:5" x14ac:dyDescent="0.25">
      <c r="A2201">
        <v>1893</v>
      </c>
      <c r="B2201" s="16">
        <v>43678</v>
      </c>
      <c r="C2201" t="s">
        <v>12</v>
      </c>
      <c r="D2201">
        <v>-8716050</v>
      </c>
      <c r="E2201" t="s">
        <v>331</v>
      </c>
    </row>
    <row r="2202" spans="1:5" x14ac:dyDescent="0.25">
      <c r="A2202">
        <v>1893</v>
      </c>
      <c r="B2202" s="16">
        <v>43709</v>
      </c>
      <c r="C2202" t="s">
        <v>12</v>
      </c>
      <c r="D2202">
        <v>-8716050</v>
      </c>
      <c r="E2202" t="s">
        <v>331</v>
      </c>
    </row>
    <row r="2203" spans="1:5" x14ac:dyDescent="0.25">
      <c r="A2203">
        <v>1893</v>
      </c>
      <c r="B2203" s="16">
        <v>43739</v>
      </c>
      <c r="C2203" t="s">
        <v>12</v>
      </c>
      <c r="D2203">
        <v>-8716050</v>
      </c>
      <c r="E2203" t="s">
        <v>331</v>
      </c>
    </row>
    <row r="2204" spans="1:5" x14ac:dyDescent="0.25">
      <c r="A2204">
        <v>1893</v>
      </c>
      <c r="B2204" s="16">
        <v>43770</v>
      </c>
      <c r="C2204" t="s">
        <v>12</v>
      </c>
      <c r="D2204">
        <v>-8716050</v>
      </c>
      <c r="E2204" t="s">
        <v>331</v>
      </c>
    </row>
    <row r="2205" spans="1:5" x14ac:dyDescent="0.25">
      <c r="A2205">
        <v>1893</v>
      </c>
      <c r="B2205" s="16">
        <v>43800</v>
      </c>
      <c r="C2205" t="s">
        <v>12</v>
      </c>
      <c r="D2205">
        <v>-8716050</v>
      </c>
      <c r="E2205" t="s">
        <v>331</v>
      </c>
    </row>
    <row r="2206" spans="1:5" x14ac:dyDescent="0.25">
      <c r="A2206">
        <v>1893</v>
      </c>
      <c r="B2206" s="16">
        <v>43831</v>
      </c>
      <c r="C2206" t="s">
        <v>12</v>
      </c>
      <c r="D2206">
        <v>-8716050</v>
      </c>
      <c r="E2206" t="s">
        <v>331</v>
      </c>
    </row>
    <row r="2207" spans="1:5" x14ac:dyDescent="0.25">
      <c r="A2207">
        <v>1893</v>
      </c>
      <c r="B2207" s="16">
        <v>43862</v>
      </c>
      <c r="C2207" t="s">
        <v>12</v>
      </c>
      <c r="D2207">
        <v>-8716050</v>
      </c>
      <c r="E2207" t="s">
        <v>331</v>
      </c>
    </row>
    <row r="2208" spans="1:5" x14ac:dyDescent="0.25">
      <c r="A2208">
        <v>1893</v>
      </c>
      <c r="B2208" s="16">
        <v>43891</v>
      </c>
      <c r="C2208" t="s">
        <v>12</v>
      </c>
      <c r="D2208">
        <v>-8716050</v>
      </c>
      <c r="E2208" t="s">
        <v>331</v>
      </c>
    </row>
    <row r="2209" spans="1:5" x14ac:dyDescent="0.25">
      <c r="A2209">
        <v>1893</v>
      </c>
      <c r="B2209" s="16">
        <v>43466</v>
      </c>
      <c r="C2209" t="s">
        <v>275</v>
      </c>
      <c r="D2209">
        <v>-6150375</v>
      </c>
      <c r="E2209" t="s">
        <v>331</v>
      </c>
    </row>
    <row r="2210" spans="1:5" x14ac:dyDescent="0.25">
      <c r="A2210">
        <v>1893</v>
      </c>
      <c r="B2210" s="16">
        <v>43497</v>
      </c>
      <c r="C2210" t="s">
        <v>275</v>
      </c>
      <c r="D2210">
        <v>-6150375</v>
      </c>
      <c r="E2210" t="s">
        <v>331</v>
      </c>
    </row>
    <row r="2211" spans="1:5" x14ac:dyDescent="0.25">
      <c r="A2211">
        <v>1893</v>
      </c>
      <c r="B2211" s="16">
        <v>43525</v>
      </c>
      <c r="C2211" t="s">
        <v>275</v>
      </c>
      <c r="D2211">
        <v>-6150375</v>
      </c>
      <c r="E2211" t="s">
        <v>331</v>
      </c>
    </row>
    <row r="2212" spans="1:5" x14ac:dyDescent="0.25">
      <c r="A2212">
        <v>1893</v>
      </c>
      <c r="B2212" s="16">
        <v>43556</v>
      </c>
      <c r="C2212" t="s">
        <v>275</v>
      </c>
      <c r="D2212">
        <v>-6150375</v>
      </c>
      <c r="E2212" t="s">
        <v>331</v>
      </c>
    </row>
    <row r="2213" spans="1:5" x14ac:dyDescent="0.25">
      <c r="A2213">
        <v>1893</v>
      </c>
      <c r="B2213" s="16">
        <v>43586</v>
      </c>
      <c r="C2213" t="s">
        <v>275</v>
      </c>
      <c r="D2213">
        <v>-6150375</v>
      </c>
      <c r="E2213" t="s">
        <v>331</v>
      </c>
    </row>
    <row r="2214" spans="1:5" x14ac:dyDescent="0.25">
      <c r="A2214">
        <v>1893</v>
      </c>
      <c r="B2214" s="16">
        <v>43617</v>
      </c>
      <c r="C2214" t="s">
        <v>275</v>
      </c>
      <c r="D2214">
        <v>-6150375</v>
      </c>
      <c r="E2214" t="s">
        <v>331</v>
      </c>
    </row>
    <row r="2215" spans="1:5" x14ac:dyDescent="0.25">
      <c r="A2215">
        <v>1893</v>
      </c>
      <c r="B2215" s="16">
        <v>43647</v>
      </c>
      <c r="C2215" t="s">
        <v>275</v>
      </c>
      <c r="D2215">
        <v>-6150375</v>
      </c>
      <c r="E2215" t="s">
        <v>331</v>
      </c>
    </row>
    <row r="2216" spans="1:5" x14ac:dyDescent="0.25">
      <c r="A2216">
        <v>1893</v>
      </c>
      <c r="B2216" s="16">
        <v>43678</v>
      </c>
      <c r="C2216" t="s">
        <v>275</v>
      </c>
      <c r="D2216">
        <v>-6150375</v>
      </c>
      <c r="E2216" t="s">
        <v>331</v>
      </c>
    </row>
    <row r="2217" spans="1:5" x14ac:dyDescent="0.25">
      <c r="A2217">
        <v>1893</v>
      </c>
      <c r="B2217" s="16">
        <v>43709</v>
      </c>
      <c r="C2217" t="s">
        <v>275</v>
      </c>
      <c r="D2217">
        <v>-6150375</v>
      </c>
      <c r="E2217" t="s">
        <v>331</v>
      </c>
    </row>
    <row r="2218" spans="1:5" x14ac:dyDescent="0.25">
      <c r="A2218">
        <v>1893</v>
      </c>
      <c r="B2218" s="16">
        <v>43739</v>
      </c>
      <c r="C2218" t="s">
        <v>275</v>
      </c>
      <c r="D2218">
        <v>-6150375</v>
      </c>
      <c r="E2218" t="s">
        <v>331</v>
      </c>
    </row>
    <row r="2219" spans="1:5" x14ac:dyDescent="0.25">
      <c r="A2219">
        <v>1893</v>
      </c>
      <c r="B2219" s="16">
        <v>43770</v>
      </c>
      <c r="C2219" t="s">
        <v>275</v>
      </c>
      <c r="D2219">
        <v>-6150375</v>
      </c>
      <c r="E2219" t="s">
        <v>331</v>
      </c>
    </row>
    <row r="2220" spans="1:5" x14ac:dyDescent="0.25">
      <c r="A2220">
        <v>1893</v>
      </c>
      <c r="B2220" s="16">
        <v>43800</v>
      </c>
      <c r="C2220" t="s">
        <v>275</v>
      </c>
      <c r="D2220">
        <v>-6150375</v>
      </c>
      <c r="E2220" t="s">
        <v>331</v>
      </c>
    </row>
    <row r="2221" spans="1:5" x14ac:dyDescent="0.25">
      <c r="A2221">
        <v>1893</v>
      </c>
      <c r="B2221" s="16">
        <v>43831</v>
      </c>
      <c r="C2221" t="s">
        <v>275</v>
      </c>
      <c r="D2221">
        <v>-6150375</v>
      </c>
      <c r="E2221" t="s">
        <v>331</v>
      </c>
    </row>
    <row r="2222" spans="1:5" x14ac:dyDescent="0.25">
      <c r="A2222">
        <v>1893</v>
      </c>
      <c r="B2222" s="16">
        <v>43862</v>
      </c>
      <c r="C2222" t="s">
        <v>275</v>
      </c>
      <c r="D2222">
        <v>-6150375</v>
      </c>
      <c r="E2222" t="s">
        <v>331</v>
      </c>
    </row>
    <row r="2223" spans="1:5" x14ac:dyDescent="0.25">
      <c r="A2223">
        <v>1893</v>
      </c>
      <c r="B2223" s="16">
        <v>43891</v>
      </c>
      <c r="C2223" t="s">
        <v>275</v>
      </c>
      <c r="D2223">
        <v>-6150375</v>
      </c>
      <c r="E2223" t="s">
        <v>331</v>
      </c>
    </row>
    <row r="2224" spans="1:5" x14ac:dyDescent="0.25">
      <c r="A2224">
        <v>1893</v>
      </c>
      <c r="B2224" s="16">
        <v>43466</v>
      </c>
      <c r="C2224" t="s">
        <v>229</v>
      </c>
      <c r="D2224">
        <v>-3369208.5</v>
      </c>
      <c r="E2224" t="s">
        <v>331</v>
      </c>
    </row>
    <row r="2225" spans="1:5" x14ac:dyDescent="0.25">
      <c r="A2225">
        <v>1893</v>
      </c>
      <c r="B2225" s="16">
        <v>43497</v>
      </c>
      <c r="C2225" t="s">
        <v>229</v>
      </c>
      <c r="D2225">
        <v>-3369208.5</v>
      </c>
      <c r="E2225" t="s">
        <v>331</v>
      </c>
    </row>
    <row r="2226" spans="1:5" x14ac:dyDescent="0.25">
      <c r="A2226">
        <v>1893</v>
      </c>
      <c r="B2226" s="16">
        <v>43525</v>
      </c>
      <c r="C2226" t="s">
        <v>229</v>
      </c>
      <c r="D2226">
        <v>-3369208.5</v>
      </c>
      <c r="E2226" t="s">
        <v>331</v>
      </c>
    </row>
    <row r="2227" spans="1:5" x14ac:dyDescent="0.25">
      <c r="A2227">
        <v>1893</v>
      </c>
      <c r="B2227" s="16">
        <v>43556</v>
      </c>
      <c r="C2227" t="s">
        <v>229</v>
      </c>
      <c r="D2227">
        <v>-3369208.5</v>
      </c>
      <c r="E2227" t="s">
        <v>331</v>
      </c>
    </row>
    <row r="2228" spans="1:5" x14ac:dyDescent="0.25">
      <c r="A2228">
        <v>1893</v>
      </c>
      <c r="B2228" s="16">
        <v>43586</v>
      </c>
      <c r="C2228" t="s">
        <v>229</v>
      </c>
      <c r="D2228">
        <v>-3369208.5</v>
      </c>
      <c r="E2228" t="s">
        <v>331</v>
      </c>
    </row>
    <row r="2229" spans="1:5" x14ac:dyDescent="0.25">
      <c r="A2229">
        <v>1893</v>
      </c>
      <c r="B2229" s="16">
        <v>43617</v>
      </c>
      <c r="C2229" t="s">
        <v>229</v>
      </c>
      <c r="D2229">
        <v>-3369208.5</v>
      </c>
      <c r="E2229" t="s">
        <v>331</v>
      </c>
    </row>
    <row r="2230" spans="1:5" x14ac:dyDescent="0.25">
      <c r="A2230">
        <v>1893</v>
      </c>
      <c r="B2230" s="16">
        <v>43647</v>
      </c>
      <c r="C2230" t="s">
        <v>229</v>
      </c>
      <c r="D2230">
        <v>-3369208.5</v>
      </c>
      <c r="E2230" t="s">
        <v>331</v>
      </c>
    </row>
    <row r="2231" spans="1:5" x14ac:dyDescent="0.25">
      <c r="A2231">
        <v>1893</v>
      </c>
      <c r="B2231" s="16">
        <v>43678</v>
      </c>
      <c r="C2231" t="s">
        <v>229</v>
      </c>
      <c r="D2231">
        <v>-3369208.5</v>
      </c>
      <c r="E2231" t="s">
        <v>331</v>
      </c>
    </row>
    <row r="2232" spans="1:5" x14ac:dyDescent="0.25">
      <c r="A2232">
        <v>1893</v>
      </c>
      <c r="B2232" s="16">
        <v>43709</v>
      </c>
      <c r="C2232" t="s">
        <v>229</v>
      </c>
      <c r="D2232">
        <v>-3369208.5</v>
      </c>
      <c r="E2232" t="s">
        <v>331</v>
      </c>
    </row>
    <row r="2233" spans="1:5" x14ac:dyDescent="0.25">
      <c r="A2233">
        <v>1893</v>
      </c>
      <c r="B2233" s="16">
        <v>43739</v>
      </c>
      <c r="C2233" t="s">
        <v>229</v>
      </c>
      <c r="D2233">
        <v>-3369208.5</v>
      </c>
      <c r="E2233" t="s">
        <v>331</v>
      </c>
    </row>
    <row r="2234" spans="1:5" x14ac:dyDescent="0.25">
      <c r="A2234">
        <v>1893</v>
      </c>
      <c r="B2234" s="16">
        <v>43770</v>
      </c>
      <c r="C2234" t="s">
        <v>229</v>
      </c>
      <c r="D2234">
        <v>-3369208.5</v>
      </c>
      <c r="E2234" t="s">
        <v>331</v>
      </c>
    </row>
    <row r="2235" spans="1:5" x14ac:dyDescent="0.25">
      <c r="A2235">
        <v>1893</v>
      </c>
      <c r="B2235" s="16">
        <v>43800</v>
      </c>
      <c r="C2235" t="s">
        <v>229</v>
      </c>
      <c r="D2235">
        <v>-3369208.5</v>
      </c>
      <c r="E2235" t="s">
        <v>331</v>
      </c>
    </row>
    <row r="2236" spans="1:5" x14ac:dyDescent="0.25">
      <c r="A2236">
        <v>1893</v>
      </c>
      <c r="B2236" s="16">
        <v>43831</v>
      </c>
      <c r="C2236" t="s">
        <v>229</v>
      </c>
      <c r="D2236">
        <v>-3369208.5</v>
      </c>
      <c r="E2236" t="s">
        <v>331</v>
      </c>
    </row>
    <row r="2237" spans="1:5" x14ac:dyDescent="0.25">
      <c r="A2237">
        <v>1893</v>
      </c>
      <c r="B2237" s="16">
        <v>43862</v>
      </c>
      <c r="C2237" t="s">
        <v>229</v>
      </c>
      <c r="D2237">
        <v>-3369208.5</v>
      </c>
      <c r="E2237" t="s">
        <v>331</v>
      </c>
    </row>
    <row r="2238" spans="1:5" x14ac:dyDescent="0.25">
      <c r="A2238">
        <v>1893</v>
      </c>
      <c r="B2238" s="16">
        <v>43891</v>
      </c>
      <c r="C2238" t="s">
        <v>229</v>
      </c>
      <c r="D2238">
        <v>-3369208.5</v>
      </c>
      <c r="E2238" t="s">
        <v>331</v>
      </c>
    </row>
    <row r="2239" spans="1:5" x14ac:dyDescent="0.25">
      <c r="A2239">
        <v>1893</v>
      </c>
      <c r="B2239" s="16">
        <v>43466</v>
      </c>
      <c r="C2239" t="s">
        <v>38</v>
      </c>
      <c r="D2239">
        <v>-3571361.01</v>
      </c>
      <c r="E2239" t="s">
        <v>331</v>
      </c>
    </row>
    <row r="2240" spans="1:5" x14ac:dyDescent="0.25">
      <c r="A2240">
        <v>1893</v>
      </c>
      <c r="B2240" s="16">
        <v>43497</v>
      </c>
      <c r="C2240" t="s">
        <v>38</v>
      </c>
      <c r="D2240">
        <v>-3571361.01</v>
      </c>
      <c r="E2240" t="s">
        <v>331</v>
      </c>
    </row>
    <row r="2241" spans="1:5" x14ac:dyDescent="0.25">
      <c r="A2241">
        <v>1893</v>
      </c>
      <c r="B2241" s="16">
        <v>43525</v>
      </c>
      <c r="C2241" t="s">
        <v>38</v>
      </c>
      <c r="D2241">
        <v>-3571361.01</v>
      </c>
      <c r="E2241" t="s">
        <v>331</v>
      </c>
    </row>
    <row r="2242" spans="1:5" x14ac:dyDescent="0.25">
      <c r="A2242">
        <v>1893</v>
      </c>
      <c r="B2242" s="16">
        <v>43556</v>
      </c>
      <c r="C2242" t="s">
        <v>38</v>
      </c>
      <c r="D2242">
        <v>-3571361.01</v>
      </c>
      <c r="E2242" t="s">
        <v>331</v>
      </c>
    </row>
    <row r="2243" spans="1:5" x14ac:dyDescent="0.25">
      <c r="A2243">
        <v>1893</v>
      </c>
      <c r="B2243" s="16">
        <v>43586</v>
      </c>
      <c r="C2243" t="s">
        <v>38</v>
      </c>
      <c r="D2243">
        <v>-3571361.01</v>
      </c>
      <c r="E2243" t="s">
        <v>331</v>
      </c>
    </row>
    <row r="2244" spans="1:5" x14ac:dyDescent="0.25">
      <c r="A2244">
        <v>1893</v>
      </c>
      <c r="B2244" s="16">
        <v>43617</v>
      </c>
      <c r="C2244" t="s">
        <v>38</v>
      </c>
      <c r="D2244">
        <v>-3571361.01</v>
      </c>
      <c r="E2244" t="s">
        <v>331</v>
      </c>
    </row>
    <row r="2245" spans="1:5" x14ac:dyDescent="0.25">
      <c r="A2245">
        <v>1893</v>
      </c>
      <c r="B2245" s="16">
        <v>43647</v>
      </c>
      <c r="C2245" t="s">
        <v>38</v>
      </c>
      <c r="D2245">
        <v>-3571361.01</v>
      </c>
      <c r="E2245" t="s">
        <v>331</v>
      </c>
    </row>
    <row r="2246" spans="1:5" x14ac:dyDescent="0.25">
      <c r="A2246">
        <v>1893</v>
      </c>
      <c r="B2246" s="16">
        <v>43678</v>
      </c>
      <c r="C2246" t="s">
        <v>38</v>
      </c>
      <c r="D2246">
        <v>-3571361.01</v>
      </c>
      <c r="E2246" t="s">
        <v>331</v>
      </c>
    </row>
    <row r="2247" spans="1:5" x14ac:dyDescent="0.25">
      <c r="A2247">
        <v>1893</v>
      </c>
      <c r="B2247" s="16">
        <v>43709</v>
      </c>
      <c r="C2247" t="s">
        <v>38</v>
      </c>
      <c r="D2247">
        <v>-3571361.01</v>
      </c>
      <c r="E2247" t="s">
        <v>331</v>
      </c>
    </row>
    <row r="2248" spans="1:5" x14ac:dyDescent="0.25">
      <c r="A2248">
        <v>1893</v>
      </c>
      <c r="B2248" s="16">
        <v>43739</v>
      </c>
      <c r="C2248" t="s">
        <v>38</v>
      </c>
      <c r="D2248">
        <v>-3571361.01</v>
      </c>
      <c r="E2248" t="s">
        <v>331</v>
      </c>
    </row>
    <row r="2249" spans="1:5" x14ac:dyDescent="0.25">
      <c r="A2249">
        <v>1893</v>
      </c>
      <c r="B2249" s="16">
        <v>43770</v>
      </c>
      <c r="C2249" t="s">
        <v>38</v>
      </c>
      <c r="D2249">
        <v>-3571361.01</v>
      </c>
      <c r="E2249" t="s">
        <v>331</v>
      </c>
    </row>
    <row r="2250" spans="1:5" x14ac:dyDescent="0.25">
      <c r="A2250">
        <v>1893</v>
      </c>
      <c r="B2250" s="16">
        <v>43800</v>
      </c>
      <c r="C2250" t="s">
        <v>38</v>
      </c>
      <c r="D2250">
        <v>-3571361.01</v>
      </c>
      <c r="E2250" t="s">
        <v>331</v>
      </c>
    </row>
    <row r="2251" spans="1:5" x14ac:dyDescent="0.25">
      <c r="A2251">
        <v>1893</v>
      </c>
      <c r="B2251" s="16">
        <v>43831</v>
      </c>
      <c r="C2251" t="s">
        <v>38</v>
      </c>
      <c r="D2251">
        <v>-3571361.01</v>
      </c>
      <c r="E2251" t="s">
        <v>331</v>
      </c>
    </row>
    <row r="2252" spans="1:5" x14ac:dyDescent="0.25">
      <c r="A2252">
        <v>1893</v>
      </c>
      <c r="B2252" s="16">
        <v>43862</v>
      </c>
      <c r="C2252" t="s">
        <v>38</v>
      </c>
      <c r="D2252">
        <v>-3571361.01</v>
      </c>
      <c r="E2252" t="s">
        <v>331</v>
      </c>
    </row>
    <row r="2253" spans="1:5" x14ac:dyDescent="0.25">
      <c r="A2253">
        <v>1893</v>
      </c>
      <c r="B2253" s="16">
        <v>43891</v>
      </c>
      <c r="C2253" t="s">
        <v>38</v>
      </c>
      <c r="D2253">
        <v>-3571361.01</v>
      </c>
      <c r="E2253" t="s">
        <v>331</v>
      </c>
    </row>
    <row r="2254" spans="1:5" x14ac:dyDescent="0.25">
      <c r="A2254">
        <v>1890</v>
      </c>
      <c r="B2254" s="16">
        <v>43466</v>
      </c>
      <c r="C2254" t="s">
        <v>19</v>
      </c>
      <c r="D2254">
        <v>-3868074.0000000005</v>
      </c>
      <c r="E2254" t="s">
        <v>331</v>
      </c>
    </row>
    <row r="2255" spans="1:5" x14ac:dyDescent="0.25">
      <c r="A2255">
        <v>1890</v>
      </c>
      <c r="B2255" s="16">
        <v>43497</v>
      </c>
      <c r="C2255" t="s">
        <v>19</v>
      </c>
      <c r="D2255">
        <v>-3868074.0000000005</v>
      </c>
      <c r="E2255" t="s">
        <v>331</v>
      </c>
    </row>
    <row r="2256" spans="1:5" x14ac:dyDescent="0.25">
      <c r="A2256">
        <v>1890</v>
      </c>
      <c r="B2256" s="16">
        <v>43525</v>
      </c>
      <c r="C2256" t="s">
        <v>19</v>
      </c>
      <c r="D2256">
        <v>-3868074.0000000005</v>
      </c>
      <c r="E2256" t="s">
        <v>331</v>
      </c>
    </row>
    <row r="2257" spans="1:5" x14ac:dyDescent="0.25">
      <c r="A2257">
        <v>1890</v>
      </c>
      <c r="B2257" s="16">
        <v>43556</v>
      </c>
      <c r="C2257" t="s">
        <v>19</v>
      </c>
      <c r="D2257">
        <v>-3868074.0000000005</v>
      </c>
      <c r="E2257" t="s">
        <v>331</v>
      </c>
    </row>
    <row r="2258" spans="1:5" x14ac:dyDescent="0.25">
      <c r="A2258">
        <v>1890</v>
      </c>
      <c r="B2258" s="16">
        <v>43586</v>
      </c>
      <c r="C2258" t="s">
        <v>19</v>
      </c>
      <c r="D2258">
        <v>-3868074.0000000005</v>
      </c>
      <c r="E2258" t="s">
        <v>331</v>
      </c>
    </row>
    <row r="2259" spans="1:5" x14ac:dyDescent="0.25">
      <c r="A2259">
        <v>1890</v>
      </c>
      <c r="B2259" s="16">
        <v>43617</v>
      </c>
      <c r="C2259" t="s">
        <v>19</v>
      </c>
      <c r="D2259">
        <v>-3868074.0000000005</v>
      </c>
      <c r="E2259" t="s">
        <v>331</v>
      </c>
    </row>
    <row r="2260" spans="1:5" x14ac:dyDescent="0.25">
      <c r="A2260">
        <v>1890</v>
      </c>
      <c r="B2260" s="16">
        <v>43647</v>
      </c>
      <c r="C2260" t="s">
        <v>19</v>
      </c>
      <c r="D2260">
        <v>-3868074.0000000005</v>
      </c>
      <c r="E2260" t="s">
        <v>331</v>
      </c>
    </row>
    <row r="2261" spans="1:5" x14ac:dyDescent="0.25">
      <c r="A2261">
        <v>1890</v>
      </c>
      <c r="B2261" s="16">
        <v>43678</v>
      </c>
      <c r="C2261" t="s">
        <v>19</v>
      </c>
      <c r="D2261">
        <v>-3868074.0000000005</v>
      </c>
      <c r="E2261" t="s">
        <v>331</v>
      </c>
    </row>
    <row r="2262" spans="1:5" x14ac:dyDescent="0.25">
      <c r="A2262">
        <v>1890</v>
      </c>
      <c r="B2262" s="16">
        <v>43709</v>
      </c>
      <c r="C2262" t="s">
        <v>19</v>
      </c>
      <c r="D2262">
        <v>-3868074.0000000005</v>
      </c>
      <c r="E2262" t="s">
        <v>331</v>
      </c>
    </row>
    <row r="2263" spans="1:5" x14ac:dyDescent="0.25">
      <c r="A2263">
        <v>1890</v>
      </c>
      <c r="B2263" s="16">
        <v>43739</v>
      </c>
      <c r="C2263" t="s">
        <v>19</v>
      </c>
      <c r="D2263">
        <v>-3868074.0000000005</v>
      </c>
      <c r="E2263" t="s">
        <v>331</v>
      </c>
    </row>
    <row r="2264" spans="1:5" x14ac:dyDescent="0.25">
      <c r="A2264">
        <v>1890</v>
      </c>
      <c r="B2264" s="16">
        <v>43770</v>
      </c>
      <c r="C2264" t="s">
        <v>19</v>
      </c>
      <c r="D2264">
        <v>-3868074.0000000005</v>
      </c>
      <c r="E2264" t="s">
        <v>331</v>
      </c>
    </row>
    <row r="2265" spans="1:5" x14ac:dyDescent="0.25">
      <c r="A2265">
        <v>1890</v>
      </c>
      <c r="B2265" s="16">
        <v>43800</v>
      </c>
      <c r="C2265" t="s">
        <v>19</v>
      </c>
      <c r="D2265">
        <v>-3868074.0000000005</v>
      </c>
      <c r="E2265" t="s">
        <v>331</v>
      </c>
    </row>
    <row r="2266" spans="1:5" x14ac:dyDescent="0.25">
      <c r="A2266">
        <v>1890</v>
      </c>
      <c r="B2266" s="16">
        <v>43831</v>
      </c>
      <c r="C2266" t="s">
        <v>19</v>
      </c>
      <c r="D2266">
        <v>-3868074.0000000005</v>
      </c>
      <c r="E2266" t="s">
        <v>331</v>
      </c>
    </row>
    <row r="2267" spans="1:5" x14ac:dyDescent="0.25">
      <c r="A2267">
        <v>1890</v>
      </c>
      <c r="B2267" s="16">
        <v>43862</v>
      </c>
      <c r="C2267" t="s">
        <v>19</v>
      </c>
      <c r="D2267">
        <v>-3868074.0000000005</v>
      </c>
      <c r="E2267" t="s">
        <v>331</v>
      </c>
    </row>
    <row r="2268" spans="1:5" x14ac:dyDescent="0.25">
      <c r="A2268">
        <v>1890</v>
      </c>
      <c r="B2268" s="16">
        <v>43891</v>
      </c>
      <c r="C2268" t="s">
        <v>19</v>
      </c>
      <c r="D2268">
        <v>-3868074.0000000005</v>
      </c>
      <c r="E2268" t="s">
        <v>331</v>
      </c>
    </row>
    <row r="2269" spans="1:5" x14ac:dyDescent="0.25">
      <c r="A2269">
        <v>1890</v>
      </c>
      <c r="B2269" s="16">
        <v>43922</v>
      </c>
      <c r="C2269" t="s">
        <v>19</v>
      </c>
      <c r="D2269">
        <v>-3868074.0000000005</v>
      </c>
      <c r="E2269" t="s">
        <v>331</v>
      </c>
    </row>
    <row r="2270" spans="1:5" x14ac:dyDescent="0.25">
      <c r="A2270">
        <v>1890</v>
      </c>
      <c r="B2270" s="16">
        <v>43952</v>
      </c>
      <c r="C2270" t="s">
        <v>19</v>
      </c>
      <c r="D2270">
        <v>-3868074.0000000005</v>
      </c>
      <c r="E2270" t="s">
        <v>331</v>
      </c>
    </row>
    <row r="2271" spans="1:5" x14ac:dyDescent="0.25">
      <c r="A2271">
        <v>1890</v>
      </c>
      <c r="B2271" s="16">
        <v>43983</v>
      </c>
      <c r="C2271" t="s">
        <v>19</v>
      </c>
      <c r="D2271">
        <v>-3868074.0000000005</v>
      </c>
      <c r="E2271" t="s">
        <v>331</v>
      </c>
    </row>
    <row r="2272" spans="1:5" x14ac:dyDescent="0.25">
      <c r="A2272">
        <v>1890</v>
      </c>
      <c r="B2272" s="16">
        <v>44013</v>
      </c>
      <c r="C2272" t="s">
        <v>19</v>
      </c>
      <c r="D2272">
        <v>-3868074.0000000005</v>
      </c>
      <c r="E2272" t="s">
        <v>331</v>
      </c>
    </row>
    <row r="2273" spans="1:5" x14ac:dyDescent="0.25">
      <c r="A2273">
        <v>1890</v>
      </c>
      <c r="B2273" s="16">
        <v>44044</v>
      </c>
      <c r="C2273" t="s">
        <v>19</v>
      </c>
      <c r="D2273">
        <v>-3868074.0000000005</v>
      </c>
      <c r="E2273" t="s">
        <v>331</v>
      </c>
    </row>
    <row r="2274" spans="1:5" x14ac:dyDescent="0.25">
      <c r="A2274">
        <v>1890</v>
      </c>
      <c r="B2274" s="16">
        <v>44075</v>
      </c>
      <c r="C2274" t="s">
        <v>19</v>
      </c>
      <c r="D2274">
        <v>-3868074.0000000005</v>
      </c>
      <c r="E2274" t="s">
        <v>331</v>
      </c>
    </row>
    <row r="2275" spans="1:5" x14ac:dyDescent="0.25">
      <c r="A2275">
        <v>1890</v>
      </c>
      <c r="B2275" s="16">
        <v>44105</v>
      </c>
      <c r="C2275" t="s">
        <v>19</v>
      </c>
      <c r="D2275">
        <v>-3868074.0000000005</v>
      </c>
      <c r="E2275" t="s">
        <v>331</v>
      </c>
    </row>
    <row r="2276" spans="1:5" x14ac:dyDescent="0.25">
      <c r="A2276">
        <v>1890</v>
      </c>
      <c r="B2276" s="16">
        <v>44136</v>
      </c>
      <c r="C2276" t="s">
        <v>19</v>
      </c>
      <c r="D2276">
        <v>-3868074.0000000005</v>
      </c>
      <c r="E2276" t="s">
        <v>331</v>
      </c>
    </row>
    <row r="2277" spans="1:5" x14ac:dyDescent="0.25">
      <c r="A2277">
        <v>1890</v>
      </c>
      <c r="B2277" s="16">
        <v>44166</v>
      </c>
      <c r="C2277" t="s">
        <v>19</v>
      </c>
      <c r="D2277">
        <v>-3868074.0000000005</v>
      </c>
      <c r="E2277" t="s">
        <v>331</v>
      </c>
    </row>
    <row r="2278" spans="1:5" x14ac:dyDescent="0.25">
      <c r="A2278">
        <v>1890</v>
      </c>
      <c r="B2278" s="16">
        <v>43466</v>
      </c>
      <c r="C2278" t="s">
        <v>12</v>
      </c>
      <c r="D2278">
        <v>-9450000</v>
      </c>
      <c r="E2278" t="s">
        <v>331</v>
      </c>
    </row>
    <row r="2279" spans="1:5" x14ac:dyDescent="0.25">
      <c r="A2279">
        <v>1890</v>
      </c>
      <c r="B2279" s="16">
        <v>43497</v>
      </c>
      <c r="C2279" t="s">
        <v>12</v>
      </c>
      <c r="D2279">
        <v>-9450000</v>
      </c>
      <c r="E2279" t="s">
        <v>331</v>
      </c>
    </row>
    <row r="2280" spans="1:5" x14ac:dyDescent="0.25">
      <c r="A2280">
        <v>1890</v>
      </c>
      <c r="B2280" s="16">
        <v>43525</v>
      </c>
      <c r="C2280" t="s">
        <v>12</v>
      </c>
      <c r="D2280">
        <v>-9450000</v>
      </c>
      <c r="E2280" t="s">
        <v>331</v>
      </c>
    </row>
    <row r="2281" spans="1:5" x14ac:dyDescent="0.25">
      <c r="A2281">
        <v>1890</v>
      </c>
      <c r="B2281" s="16">
        <v>43556</v>
      </c>
      <c r="C2281" t="s">
        <v>12</v>
      </c>
      <c r="D2281">
        <v>-9450000</v>
      </c>
      <c r="E2281" t="s">
        <v>331</v>
      </c>
    </row>
    <row r="2282" spans="1:5" x14ac:dyDescent="0.25">
      <c r="A2282">
        <v>1890</v>
      </c>
      <c r="B2282" s="16">
        <v>43586</v>
      </c>
      <c r="C2282" t="s">
        <v>12</v>
      </c>
      <c r="D2282">
        <v>-9450000</v>
      </c>
      <c r="E2282" t="s">
        <v>331</v>
      </c>
    </row>
    <row r="2283" spans="1:5" x14ac:dyDescent="0.25">
      <c r="A2283">
        <v>1890</v>
      </c>
      <c r="B2283" s="16">
        <v>43617</v>
      </c>
      <c r="C2283" t="s">
        <v>12</v>
      </c>
      <c r="D2283">
        <v>-9450000</v>
      </c>
      <c r="E2283" t="s">
        <v>331</v>
      </c>
    </row>
    <row r="2284" spans="1:5" x14ac:dyDescent="0.25">
      <c r="A2284">
        <v>1890</v>
      </c>
      <c r="B2284" s="16">
        <v>43647</v>
      </c>
      <c r="C2284" t="s">
        <v>12</v>
      </c>
      <c r="D2284">
        <v>-9450000</v>
      </c>
      <c r="E2284" t="s">
        <v>331</v>
      </c>
    </row>
    <row r="2285" spans="1:5" x14ac:dyDescent="0.25">
      <c r="A2285">
        <v>1890</v>
      </c>
      <c r="B2285" s="16">
        <v>43678</v>
      </c>
      <c r="C2285" t="s">
        <v>12</v>
      </c>
      <c r="D2285">
        <v>-9450000</v>
      </c>
      <c r="E2285" t="s">
        <v>331</v>
      </c>
    </row>
    <row r="2286" spans="1:5" x14ac:dyDescent="0.25">
      <c r="A2286">
        <v>1890</v>
      </c>
      <c r="B2286" s="16">
        <v>43709</v>
      </c>
      <c r="C2286" t="s">
        <v>12</v>
      </c>
      <c r="D2286">
        <v>-9450000</v>
      </c>
      <c r="E2286" t="s">
        <v>331</v>
      </c>
    </row>
    <row r="2287" spans="1:5" x14ac:dyDescent="0.25">
      <c r="A2287">
        <v>1890</v>
      </c>
      <c r="B2287" s="16">
        <v>43739</v>
      </c>
      <c r="C2287" t="s">
        <v>12</v>
      </c>
      <c r="D2287">
        <v>-9450000</v>
      </c>
      <c r="E2287" t="s">
        <v>331</v>
      </c>
    </row>
    <row r="2288" spans="1:5" x14ac:dyDescent="0.25">
      <c r="A2288">
        <v>1890</v>
      </c>
      <c r="B2288" s="16">
        <v>43770</v>
      </c>
      <c r="C2288" t="s">
        <v>12</v>
      </c>
      <c r="D2288">
        <v>-9450000</v>
      </c>
      <c r="E2288" t="s">
        <v>331</v>
      </c>
    </row>
    <row r="2289" spans="1:5" x14ac:dyDescent="0.25">
      <c r="A2289">
        <v>1890</v>
      </c>
      <c r="B2289" s="16">
        <v>43800</v>
      </c>
      <c r="C2289" t="s">
        <v>12</v>
      </c>
      <c r="D2289">
        <v>-9450000</v>
      </c>
      <c r="E2289" t="s">
        <v>331</v>
      </c>
    </row>
    <row r="2290" spans="1:5" x14ac:dyDescent="0.25">
      <c r="A2290">
        <v>1890</v>
      </c>
      <c r="B2290" s="16">
        <v>43831</v>
      </c>
      <c r="C2290" t="s">
        <v>12</v>
      </c>
      <c r="D2290">
        <v>-9450000</v>
      </c>
      <c r="E2290" t="s">
        <v>331</v>
      </c>
    </row>
    <row r="2291" spans="1:5" x14ac:dyDescent="0.25">
      <c r="A2291">
        <v>1890</v>
      </c>
      <c r="B2291" s="16">
        <v>43862</v>
      </c>
      <c r="C2291" t="s">
        <v>12</v>
      </c>
      <c r="D2291">
        <v>-9450000</v>
      </c>
      <c r="E2291" t="s">
        <v>331</v>
      </c>
    </row>
    <row r="2292" spans="1:5" x14ac:dyDescent="0.25">
      <c r="A2292">
        <v>1890</v>
      </c>
      <c r="B2292" s="16">
        <v>43891</v>
      </c>
      <c r="C2292" t="s">
        <v>12</v>
      </c>
      <c r="D2292">
        <v>-9450000</v>
      </c>
      <c r="E2292" t="s">
        <v>331</v>
      </c>
    </row>
    <row r="2293" spans="1:5" x14ac:dyDescent="0.25">
      <c r="A2293">
        <v>1890</v>
      </c>
      <c r="B2293" s="16">
        <v>43922</v>
      </c>
      <c r="C2293" t="s">
        <v>12</v>
      </c>
      <c r="D2293">
        <v>-9450000</v>
      </c>
      <c r="E2293" t="s">
        <v>331</v>
      </c>
    </row>
    <row r="2294" spans="1:5" x14ac:dyDescent="0.25">
      <c r="A2294">
        <v>1890</v>
      </c>
      <c r="B2294" s="16">
        <v>43952</v>
      </c>
      <c r="C2294" t="s">
        <v>12</v>
      </c>
      <c r="D2294">
        <v>-9450000</v>
      </c>
      <c r="E2294" t="s">
        <v>331</v>
      </c>
    </row>
    <row r="2295" spans="1:5" x14ac:dyDescent="0.25">
      <c r="A2295">
        <v>1890</v>
      </c>
      <c r="B2295" s="16">
        <v>43983</v>
      </c>
      <c r="C2295" t="s">
        <v>12</v>
      </c>
      <c r="D2295">
        <v>-9450000</v>
      </c>
      <c r="E2295" t="s">
        <v>331</v>
      </c>
    </row>
    <row r="2296" spans="1:5" x14ac:dyDescent="0.25">
      <c r="A2296">
        <v>1890</v>
      </c>
      <c r="B2296" s="16">
        <v>44013</v>
      </c>
      <c r="C2296" t="s">
        <v>12</v>
      </c>
      <c r="D2296">
        <v>-9450000</v>
      </c>
      <c r="E2296" t="s">
        <v>331</v>
      </c>
    </row>
    <row r="2297" spans="1:5" x14ac:dyDescent="0.25">
      <c r="A2297">
        <v>1890</v>
      </c>
      <c r="B2297" s="16">
        <v>44044</v>
      </c>
      <c r="C2297" t="s">
        <v>12</v>
      </c>
      <c r="D2297">
        <v>-9450000</v>
      </c>
      <c r="E2297" t="s">
        <v>331</v>
      </c>
    </row>
    <row r="2298" spans="1:5" x14ac:dyDescent="0.25">
      <c r="A2298">
        <v>1890</v>
      </c>
      <c r="B2298" s="16">
        <v>44075</v>
      </c>
      <c r="C2298" t="s">
        <v>12</v>
      </c>
      <c r="D2298">
        <v>-9450000</v>
      </c>
      <c r="E2298" t="s">
        <v>331</v>
      </c>
    </row>
    <row r="2299" spans="1:5" x14ac:dyDescent="0.25">
      <c r="A2299">
        <v>1890</v>
      </c>
      <c r="B2299" s="16">
        <v>44105</v>
      </c>
      <c r="C2299" t="s">
        <v>12</v>
      </c>
      <c r="D2299">
        <v>-9450000</v>
      </c>
      <c r="E2299" t="s">
        <v>331</v>
      </c>
    </row>
    <row r="2300" spans="1:5" x14ac:dyDescent="0.25">
      <c r="A2300">
        <v>1890</v>
      </c>
      <c r="B2300" s="16">
        <v>44136</v>
      </c>
      <c r="C2300" t="s">
        <v>12</v>
      </c>
      <c r="D2300">
        <v>-9450000</v>
      </c>
      <c r="E2300" t="s">
        <v>331</v>
      </c>
    </row>
    <row r="2301" spans="1:5" x14ac:dyDescent="0.25">
      <c r="A2301">
        <v>1890</v>
      </c>
      <c r="B2301" s="16">
        <v>44166</v>
      </c>
      <c r="C2301" t="s">
        <v>12</v>
      </c>
      <c r="D2301">
        <v>-9450000</v>
      </c>
      <c r="E2301" t="s">
        <v>331</v>
      </c>
    </row>
    <row r="2302" spans="1:5" x14ac:dyDescent="0.25">
      <c r="A2302">
        <v>1890</v>
      </c>
      <c r="B2302" s="16">
        <v>43831</v>
      </c>
      <c r="C2302" t="s">
        <v>26</v>
      </c>
      <c r="D2302">
        <v>-6221250</v>
      </c>
      <c r="E2302" t="s">
        <v>331</v>
      </c>
    </row>
    <row r="2303" spans="1:5" x14ac:dyDescent="0.25">
      <c r="A2303">
        <v>1890</v>
      </c>
      <c r="B2303" s="16">
        <v>43862</v>
      </c>
      <c r="C2303" t="s">
        <v>26</v>
      </c>
      <c r="D2303">
        <v>-6221250</v>
      </c>
      <c r="E2303" t="s">
        <v>331</v>
      </c>
    </row>
    <row r="2304" spans="1:5" x14ac:dyDescent="0.25">
      <c r="A2304">
        <v>1890</v>
      </c>
      <c r="B2304" s="16">
        <v>43891</v>
      </c>
      <c r="C2304" t="s">
        <v>26</v>
      </c>
      <c r="D2304">
        <v>-6221250</v>
      </c>
      <c r="E2304" t="s">
        <v>331</v>
      </c>
    </row>
    <row r="2305" spans="1:5" x14ac:dyDescent="0.25">
      <c r="A2305">
        <v>1890</v>
      </c>
      <c r="B2305" s="16">
        <v>43922</v>
      </c>
      <c r="C2305" t="s">
        <v>26</v>
      </c>
      <c r="D2305">
        <v>-6221250</v>
      </c>
      <c r="E2305" t="s">
        <v>331</v>
      </c>
    </row>
    <row r="2306" spans="1:5" x14ac:dyDescent="0.25">
      <c r="A2306">
        <v>1890</v>
      </c>
      <c r="B2306" s="16">
        <v>43952</v>
      </c>
      <c r="C2306" t="s">
        <v>26</v>
      </c>
      <c r="D2306">
        <v>-6221250</v>
      </c>
      <c r="E2306" t="s">
        <v>331</v>
      </c>
    </row>
    <row r="2307" spans="1:5" x14ac:dyDescent="0.25">
      <c r="A2307">
        <v>1890</v>
      </c>
      <c r="B2307" s="16">
        <v>43983</v>
      </c>
      <c r="C2307" t="s">
        <v>26</v>
      </c>
      <c r="D2307">
        <v>-6221250</v>
      </c>
      <c r="E2307" t="s">
        <v>331</v>
      </c>
    </row>
    <row r="2308" spans="1:5" x14ac:dyDescent="0.25">
      <c r="A2308">
        <v>1890</v>
      </c>
      <c r="B2308" s="16">
        <v>44013</v>
      </c>
      <c r="C2308" t="s">
        <v>26</v>
      </c>
      <c r="D2308">
        <v>-6221250</v>
      </c>
      <c r="E2308" t="s">
        <v>331</v>
      </c>
    </row>
    <row r="2309" spans="1:5" x14ac:dyDescent="0.25">
      <c r="A2309">
        <v>1890</v>
      </c>
      <c r="B2309" s="16">
        <v>44044</v>
      </c>
      <c r="C2309" t="s">
        <v>26</v>
      </c>
      <c r="D2309">
        <v>-6221250</v>
      </c>
      <c r="E2309" t="s">
        <v>331</v>
      </c>
    </row>
    <row r="2310" spans="1:5" x14ac:dyDescent="0.25">
      <c r="A2310">
        <v>1890</v>
      </c>
      <c r="B2310" s="16">
        <v>44075</v>
      </c>
      <c r="C2310" t="s">
        <v>26</v>
      </c>
      <c r="D2310">
        <v>-6221250</v>
      </c>
      <c r="E2310" t="s">
        <v>331</v>
      </c>
    </row>
    <row r="2311" spans="1:5" x14ac:dyDescent="0.25">
      <c r="A2311">
        <v>1890</v>
      </c>
      <c r="B2311" s="16">
        <v>44105</v>
      </c>
      <c r="C2311" t="s">
        <v>26</v>
      </c>
      <c r="D2311">
        <v>-6221250</v>
      </c>
      <c r="E2311" t="s">
        <v>331</v>
      </c>
    </row>
    <row r="2312" spans="1:5" x14ac:dyDescent="0.25">
      <c r="A2312">
        <v>1890</v>
      </c>
      <c r="B2312" s="16">
        <v>43831</v>
      </c>
      <c r="C2312" t="s">
        <v>39</v>
      </c>
      <c r="D2312">
        <v>-4095000</v>
      </c>
      <c r="E2312" t="s">
        <v>331</v>
      </c>
    </row>
    <row r="2313" spans="1:5" x14ac:dyDescent="0.25">
      <c r="A2313">
        <v>1890</v>
      </c>
      <c r="B2313" s="16">
        <v>43862</v>
      </c>
      <c r="C2313" t="s">
        <v>39</v>
      </c>
      <c r="D2313">
        <v>-4095000</v>
      </c>
      <c r="E2313" t="s">
        <v>331</v>
      </c>
    </row>
    <row r="2314" spans="1:5" x14ac:dyDescent="0.25">
      <c r="A2314">
        <v>1890</v>
      </c>
      <c r="B2314" s="16">
        <v>43891</v>
      </c>
      <c r="C2314" t="s">
        <v>39</v>
      </c>
      <c r="D2314">
        <v>-4095000</v>
      </c>
      <c r="E2314" t="s">
        <v>331</v>
      </c>
    </row>
    <row r="2315" spans="1:5" x14ac:dyDescent="0.25">
      <c r="A2315">
        <v>1890</v>
      </c>
      <c r="B2315" s="16">
        <v>43922</v>
      </c>
      <c r="C2315" t="s">
        <v>39</v>
      </c>
      <c r="D2315">
        <v>-4095000</v>
      </c>
      <c r="E2315" t="s">
        <v>331</v>
      </c>
    </row>
    <row r="2316" spans="1:5" x14ac:dyDescent="0.25">
      <c r="A2316">
        <v>1890</v>
      </c>
      <c r="B2316" s="16">
        <v>43952</v>
      </c>
      <c r="C2316" t="s">
        <v>39</v>
      </c>
      <c r="D2316">
        <v>-4095000</v>
      </c>
      <c r="E2316" t="s">
        <v>331</v>
      </c>
    </row>
    <row r="2317" spans="1:5" x14ac:dyDescent="0.25">
      <c r="A2317">
        <v>1890</v>
      </c>
      <c r="B2317" s="16">
        <v>43983</v>
      </c>
      <c r="C2317" t="s">
        <v>39</v>
      </c>
      <c r="D2317">
        <v>-4095000</v>
      </c>
      <c r="E2317" t="s">
        <v>331</v>
      </c>
    </row>
    <row r="2318" spans="1:5" x14ac:dyDescent="0.25">
      <c r="A2318">
        <v>1890</v>
      </c>
      <c r="B2318" s="16">
        <v>44013</v>
      </c>
      <c r="C2318" t="s">
        <v>39</v>
      </c>
      <c r="D2318">
        <v>-4095000</v>
      </c>
      <c r="E2318" t="s">
        <v>331</v>
      </c>
    </row>
    <row r="2319" spans="1:5" x14ac:dyDescent="0.25">
      <c r="A2319">
        <v>1890</v>
      </c>
      <c r="B2319" s="16">
        <v>44044</v>
      </c>
      <c r="C2319" t="s">
        <v>39</v>
      </c>
      <c r="D2319">
        <v>-4095000</v>
      </c>
      <c r="E2319" t="s">
        <v>331</v>
      </c>
    </row>
    <row r="2320" spans="1:5" x14ac:dyDescent="0.25">
      <c r="A2320">
        <v>1890</v>
      </c>
      <c r="B2320" s="16">
        <v>44075</v>
      </c>
      <c r="C2320" t="s">
        <v>39</v>
      </c>
      <c r="D2320">
        <v>-4095000</v>
      </c>
      <c r="E2320" t="s">
        <v>331</v>
      </c>
    </row>
    <row r="2321" spans="1:5" x14ac:dyDescent="0.25">
      <c r="A2321">
        <v>1890</v>
      </c>
      <c r="B2321" s="16">
        <v>44105</v>
      </c>
      <c r="C2321" t="s">
        <v>39</v>
      </c>
      <c r="D2321">
        <v>-4095000</v>
      </c>
      <c r="E2321" t="s">
        <v>331</v>
      </c>
    </row>
    <row r="2322" spans="1:5" x14ac:dyDescent="0.25">
      <c r="A2322">
        <v>1890</v>
      </c>
      <c r="B2322" s="16">
        <v>44136</v>
      </c>
      <c r="C2322" t="s">
        <v>39</v>
      </c>
      <c r="D2322">
        <v>-4095000</v>
      </c>
      <c r="E2322" t="s">
        <v>331</v>
      </c>
    </row>
    <row r="2323" spans="1:5" x14ac:dyDescent="0.25">
      <c r="A2323">
        <v>1890</v>
      </c>
      <c r="B2323" s="16">
        <v>44166</v>
      </c>
      <c r="C2323" t="s">
        <v>39</v>
      </c>
      <c r="D2323">
        <v>-4095000</v>
      </c>
      <c r="E2323" t="s">
        <v>331</v>
      </c>
    </row>
    <row r="2324" spans="1:5" x14ac:dyDescent="0.25">
      <c r="A2324">
        <v>1890</v>
      </c>
      <c r="B2324" s="16">
        <v>43497</v>
      </c>
      <c r="C2324" t="s">
        <v>97</v>
      </c>
      <c r="D2324">
        <v>-4006799.9999999995</v>
      </c>
      <c r="E2324" t="s">
        <v>331</v>
      </c>
    </row>
    <row r="2325" spans="1:5" x14ac:dyDescent="0.25">
      <c r="A2325">
        <v>1890</v>
      </c>
      <c r="B2325" s="16">
        <v>43525</v>
      </c>
      <c r="C2325" t="s">
        <v>97</v>
      </c>
      <c r="D2325">
        <v>-4006799.9999999995</v>
      </c>
      <c r="E2325" t="s">
        <v>331</v>
      </c>
    </row>
    <row r="2326" spans="1:5" x14ac:dyDescent="0.25">
      <c r="A2326">
        <v>1890</v>
      </c>
      <c r="B2326" s="16">
        <v>43556</v>
      </c>
      <c r="C2326" t="s">
        <v>97</v>
      </c>
      <c r="D2326">
        <v>-4006799.9999999995</v>
      </c>
      <c r="E2326" t="s">
        <v>331</v>
      </c>
    </row>
    <row r="2327" spans="1:5" x14ac:dyDescent="0.25">
      <c r="A2327">
        <v>1890</v>
      </c>
      <c r="B2327" s="16">
        <v>43586</v>
      </c>
      <c r="C2327" t="s">
        <v>97</v>
      </c>
      <c r="D2327">
        <v>-4006799.9999999995</v>
      </c>
      <c r="E2327" t="s">
        <v>331</v>
      </c>
    </row>
    <row r="2328" spans="1:5" x14ac:dyDescent="0.25">
      <c r="A2328">
        <v>1890</v>
      </c>
      <c r="B2328" s="16">
        <v>43617</v>
      </c>
      <c r="C2328" t="s">
        <v>97</v>
      </c>
      <c r="D2328">
        <v>-4006799.9999999995</v>
      </c>
      <c r="E2328" t="s">
        <v>331</v>
      </c>
    </row>
    <row r="2329" spans="1:5" x14ac:dyDescent="0.25">
      <c r="A2329">
        <v>1890</v>
      </c>
      <c r="B2329" s="16">
        <v>43647</v>
      </c>
      <c r="C2329" t="s">
        <v>97</v>
      </c>
      <c r="D2329">
        <v>-4006799.9999999995</v>
      </c>
      <c r="E2329" t="s">
        <v>331</v>
      </c>
    </row>
    <row r="2330" spans="1:5" x14ac:dyDescent="0.25">
      <c r="A2330">
        <v>1890</v>
      </c>
      <c r="B2330" s="16">
        <v>43678</v>
      </c>
      <c r="C2330" t="s">
        <v>97</v>
      </c>
      <c r="D2330">
        <v>-4006799.9999999995</v>
      </c>
      <c r="E2330" t="s">
        <v>331</v>
      </c>
    </row>
    <row r="2331" spans="1:5" x14ac:dyDescent="0.25">
      <c r="A2331">
        <v>1890</v>
      </c>
      <c r="B2331" s="16">
        <v>43709</v>
      </c>
      <c r="C2331" t="s">
        <v>97</v>
      </c>
      <c r="D2331">
        <v>-4006799.9999999995</v>
      </c>
      <c r="E2331" t="s">
        <v>331</v>
      </c>
    </row>
    <row r="2332" spans="1:5" x14ac:dyDescent="0.25">
      <c r="A2332">
        <v>1890</v>
      </c>
      <c r="B2332" s="16">
        <v>43739</v>
      </c>
      <c r="C2332" t="s">
        <v>97</v>
      </c>
      <c r="D2332">
        <v>-4006799.9999999995</v>
      </c>
      <c r="E2332" t="s">
        <v>331</v>
      </c>
    </row>
    <row r="2333" spans="1:5" x14ac:dyDescent="0.25">
      <c r="A2333">
        <v>1890</v>
      </c>
      <c r="B2333" s="16">
        <v>43770</v>
      </c>
      <c r="C2333" t="s">
        <v>97</v>
      </c>
      <c r="D2333">
        <v>-4006799.9999999995</v>
      </c>
      <c r="E2333" t="s">
        <v>331</v>
      </c>
    </row>
    <row r="2334" spans="1:5" x14ac:dyDescent="0.25">
      <c r="A2334">
        <v>1890</v>
      </c>
      <c r="B2334" s="16">
        <v>43800</v>
      </c>
      <c r="C2334" t="s">
        <v>97</v>
      </c>
      <c r="D2334">
        <v>-4006799.9999999995</v>
      </c>
      <c r="E2334" t="s">
        <v>331</v>
      </c>
    </row>
    <row r="2335" spans="1:5" x14ac:dyDescent="0.25">
      <c r="A2335">
        <v>1890</v>
      </c>
      <c r="B2335" s="16">
        <v>43831</v>
      </c>
      <c r="C2335" t="s">
        <v>97</v>
      </c>
      <c r="D2335">
        <v>-4006799.9999999995</v>
      </c>
      <c r="E2335" t="s">
        <v>331</v>
      </c>
    </row>
    <row r="2336" spans="1:5" x14ac:dyDescent="0.25">
      <c r="A2336">
        <v>1890</v>
      </c>
      <c r="B2336" s="16">
        <v>43862</v>
      </c>
      <c r="C2336" t="s">
        <v>97</v>
      </c>
      <c r="D2336">
        <v>-4006799.9999999995</v>
      </c>
      <c r="E2336" t="s">
        <v>331</v>
      </c>
    </row>
    <row r="2337" spans="1:5" x14ac:dyDescent="0.25">
      <c r="A2337">
        <v>1890</v>
      </c>
      <c r="B2337" s="16">
        <v>43891</v>
      </c>
      <c r="C2337" t="s">
        <v>97</v>
      </c>
      <c r="D2337">
        <v>-4006799.9999999995</v>
      </c>
      <c r="E2337" t="s">
        <v>331</v>
      </c>
    </row>
    <row r="2338" spans="1:5" x14ac:dyDescent="0.25">
      <c r="A2338">
        <v>1890</v>
      </c>
      <c r="B2338" s="16">
        <v>43922</v>
      </c>
      <c r="C2338" t="s">
        <v>97</v>
      </c>
      <c r="D2338">
        <v>-4006799.9999999995</v>
      </c>
      <c r="E2338" t="s">
        <v>331</v>
      </c>
    </row>
    <row r="2339" spans="1:5" x14ac:dyDescent="0.25">
      <c r="A2339">
        <v>1890</v>
      </c>
      <c r="B2339" s="16">
        <v>43952</v>
      </c>
      <c r="C2339" t="s">
        <v>97</v>
      </c>
      <c r="D2339">
        <v>-4006799.9999999995</v>
      </c>
      <c r="E2339" t="s">
        <v>331</v>
      </c>
    </row>
    <row r="2340" spans="1:5" x14ac:dyDescent="0.25">
      <c r="A2340">
        <v>1890</v>
      </c>
      <c r="B2340" s="16">
        <v>43983</v>
      </c>
      <c r="C2340" t="s">
        <v>97</v>
      </c>
      <c r="D2340">
        <v>-4006799.9999999995</v>
      </c>
      <c r="E2340" t="s">
        <v>331</v>
      </c>
    </row>
    <row r="2341" spans="1:5" x14ac:dyDescent="0.25">
      <c r="A2341">
        <v>1890</v>
      </c>
      <c r="B2341" s="16">
        <v>44013</v>
      </c>
      <c r="C2341" t="s">
        <v>97</v>
      </c>
      <c r="D2341">
        <v>-4006799.9999999995</v>
      </c>
      <c r="E2341" t="s">
        <v>331</v>
      </c>
    </row>
    <row r="2342" spans="1:5" x14ac:dyDescent="0.25">
      <c r="A2342">
        <v>1890</v>
      </c>
      <c r="B2342" s="16">
        <v>44044</v>
      </c>
      <c r="C2342" t="s">
        <v>97</v>
      </c>
      <c r="D2342">
        <v>-4006799.9999999995</v>
      </c>
      <c r="E2342" t="s">
        <v>331</v>
      </c>
    </row>
    <row r="2343" spans="1:5" x14ac:dyDescent="0.25">
      <c r="A2343">
        <v>1890</v>
      </c>
      <c r="B2343" s="16">
        <v>44075</v>
      </c>
      <c r="C2343" t="s">
        <v>97</v>
      </c>
      <c r="D2343">
        <v>-4006799.9999999995</v>
      </c>
      <c r="E2343" t="s">
        <v>331</v>
      </c>
    </row>
    <row r="2344" spans="1:5" x14ac:dyDescent="0.25">
      <c r="A2344">
        <v>1890</v>
      </c>
      <c r="B2344" s="16">
        <v>44105</v>
      </c>
      <c r="C2344" t="s">
        <v>97</v>
      </c>
      <c r="D2344">
        <v>-4006799.9999999995</v>
      </c>
      <c r="E2344" t="s">
        <v>331</v>
      </c>
    </row>
    <row r="2345" spans="1:5" x14ac:dyDescent="0.25">
      <c r="A2345">
        <v>1890</v>
      </c>
      <c r="B2345" s="16">
        <v>43831</v>
      </c>
      <c r="C2345" t="s">
        <v>23</v>
      </c>
      <c r="D2345">
        <v>-4006799.9999999995</v>
      </c>
      <c r="E2345" t="s">
        <v>331</v>
      </c>
    </row>
    <row r="2346" spans="1:5" x14ac:dyDescent="0.25">
      <c r="A2346">
        <v>1890</v>
      </c>
      <c r="B2346" s="16">
        <v>43862</v>
      </c>
      <c r="C2346" t="s">
        <v>23</v>
      </c>
      <c r="D2346">
        <v>-4006799.9999999995</v>
      </c>
      <c r="E2346" t="s">
        <v>331</v>
      </c>
    </row>
    <row r="2347" spans="1:5" x14ac:dyDescent="0.25">
      <c r="A2347">
        <v>1890</v>
      </c>
      <c r="B2347" s="16">
        <v>43891</v>
      </c>
      <c r="C2347" t="s">
        <v>23</v>
      </c>
      <c r="D2347">
        <v>-4006799.9999999995</v>
      </c>
      <c r="E2347" t="s">
        <v>331</v>
      </c>
    </row>
    <row r="2348" spans="1:5" x14ac:dyDescent="0.25">
      <c r="A2348">
        <v>1890</v>
      </c>
      <c r="B2348" s="16">
        <v>43922</v>
      </c>
      <c r="C2348" t="s">
        <v>23</v>
      </c>
      <c r="D2348">
        <v>-4006799.9999999995</v>
      </c>
      <c r="E2348" t="s">
        <v>331</v>
      </c>
    </row>
    <row r="2349" spans="1:5" x14ac:dyDescent="0.25">
      <c r="A2349">
        <v>1890</v>
      </c>
      <c r="B2349" s="16">
        <v>43952</v>
      </c>
      <c r="C2349" t="s">
        <v>23</v>
      </c>
      <c r="D2349">
        <v>-4006799.9999999995</v>
      </c>
      <c r="E2349" t="s">
        <v>331</v>
      </c>
    </row>
    <row r="2350" spans="1:5" x14ac:dyDescent="0.25">
      <c r="A2350">
        <v>1890</v>
      </c>
      <c r="B2350" s="16">
        <v>43983</v>
      </c>
      <c r="C2350" t="s">
        <v>23</v>
      </c>
      <c r="D2350">
        <v>-4006799.9999999995</v>
      </c>
      <c r="E2350" t="s">
        <v>331</v>
      </c>
    </row>
    <row r="2351" spans="1:5" x14ac:dyDescent="0.25">
      <c r="A2351">
        <v>1890</v>
      </c>
      <c r="B2351" s="16">
        <v>44013</v>
      </c>
      <c r="C2351" t="s">
        <v>23</v>
      </c>
      <c r="D2351">
        <v>-4006799.9999999995</v>
      </c>
      <c r="E2351" t="s">
        <v>331</v>
      </c>
    </row>
    <row r="2352" spans="1:5" x14ac:dyDescent="0.25">
      <c r="A2352">
        <v>1890</v>
      </c>
      <c r="B2352" s="16">
        <v>44044</v>
      </c>
      <c r="C2352" t="s">
        <v>23</v>
      </c>
      <c r="D2352">
        <v>-4006799.9999999995</v>
      </c>
      <c r="E2352" t="s">
        <v>331</v>
      </c>
    </row>
    <row r="2353" spans="1:5" x14ac:dyDescent="0.25">
      <c r="A2353">
        <v>1890</v>
      </c>
      <c r="B2353" s="16">
        <v>44075</v>
      </c>
      <c r="C2353" t="s">
        <v>23</v>
      </c>
      <c r="D2353">
        <v>-4006799.9999999995</v>
      </c>
      <c r="E2353" t="s">
        <v>331</v>
      </c>
    </row>
    <row r="2354" spans="1:5" x14ac:dyDescent="0.25">
      <c r="A2354">
        <v>1890</v>
      </c>
      <c r="B2354" s="16">
        <v>44105</v>
      </c>
      <c r="C2354" t="s">
        <v>23</v>
      </c>
      <c r="D2354">
        <v>-4006799.9999999995</v>
      </c>
      <c r="E2354" t="s">
        <v>331</v>
      </c>
    </row>
    <row r="2355" spans="1:5" x14ac:dyDescent="0.25">
      <c r="A2355">
        <v>1618</v>
      </c>
      <c r="B2355" s="16">
        <v>43466</v>
      </c>
      <c r="C2355" t="s">
        <v>19</v>
      </c>
      <c r="D2355">
        <v>-5898109.7507954882</v>
      </c>
      <c r="E2355" t="s">
        <v>331</v>
      </c>
    </row>
    <row r="2356" spans="1:5" x14ac:dyDescent="0.25">
      <c r="A2356">
        <v>1618</v>
      </c>
      <c r="B2356" s="16">
        <v>43466</v>
      </c>
      <c r="C2356" t="s">
        <v>12</v>
      </c>
      <c r="D2356">
        <v>-10573456.644736286</v>
      </c>
      <c r="E2356" t="s">
        <v>331</v>
      </c>
    </row>
    <row r="2357" spans="1:5" x14ac:dyDescent="0.25">
      <c r="A2357">
        <v>1618</v>
      </c>
      <c r="B2357" s="16">
        <v>43497</v>
      </c>
      <c r="C2357" t="s">
        <v>12</v>
      </c>
      <c r="D2357">
        <v>-10573456.644736286</v>
      </c>
      <c r="E2357" t="s">
        <v>331</v>
      </c>
    </row>
    <row r="2358" spans="1:5" x14ac:dyDescent="0.25">
      <c r="A2358">
        <v>1618</v>
      </c>
      <c r="B2358" s="16">
        <v>43466</v>
      </c>
      <c r="C2358" t="s">
        <v>41</v>
      </c>
      <c r="D2358">
        <v>-8420426.5965553131</v>
      </c>
      <c r="E2358" t="s">
        <v>331</v>
      </c>
    </row>
    <row r="2359" spans="1:5" x14ac:dyDescent="0.25">
      <c r="A2359">
        <v>1618</v>
      </c>
      <c r="B2359" s="16">
        <v>43466</v>
      </c>
      <c r="C2359" t="s">
        <v>26</v>
      </c>
      <c r="D2359">
        <v>-5968758.5524032004</v>
      </c>
      <c r="E2359" t="s">
        <v>331</v>
      </c>
    </row>
    <row r="2360" spans="1:5" x14ac:dyDescent="0.25">
      <c r="A2360">
        <v>1618</v>
      </c>
      <c r="B2360" s="16">
        <v>43466</v>
      </c>
      <c r="C2360" t="s">
        <v>29</v>
      </c>
      <c r="D2360">
        <v>-2694198.4714365834</v>
      </c>
      <c r="E2360" t="s">
        <v>331</v>
      </c>
    </row>
    <row r="2361" spans="1:5" x14ac:dyDescent="0.25">
      <c r="A2361">
        <v>1618</v>
      </c>
      <c r="B2361" s="16">
        <v>43497</v>
      </c>
      <c r="C2361" t="s">
        <v>29</v>
      </c>
      <c r="D2361">
        <v>-2694198.4714365834</v>
      </c>
      <c r="E2361" t="s">
        <v>331</v>
      </c>
    </row>
    <row r="2362" spans="1:5" x14ac:dyDescent="0.25">
      <c r="A2362">
        <v>1715</v>
      </c>
      <c r="B2362" s="16">
        <v>43466</v>
      </c>
      <c r="C2362" t="s">
        <v>19</v>
      </c>
      <c r="D2362">
        <v>-2992909.5</v>
      </c>
      <c r="E2362" t="s">
        <v>331</v>
      </c>
    </row>
    <row r="2363" spans="1:5" x14ac:dyDescent="0.25">
      <c r="A2363">
        <v>1715</v>
      </c>
      <c r="B2363" s="16">
        <v>43497</v>
      </c>
      <c r="C2363" t="s">
        <v>19</v>
      </c>
      <c r="D2363">
        <v>-2992909.5</v>
      </c>
      <c r="E2363" t="s">
        <v>331</v>
      </c>
    </row>
    <row r="2364" spans="1:5" x14ac:dyDescent="0.25">
      <c r="A2364">
        <v>1715</v>
      </c>
      <c r="B2364" s="16">
        <v>43525</v>
      </c>
      <c r="C2364" t="s">
        <v>19</v>
      </c>
      <c r="D2364">
        <v>-2992909.5</v>
      </c>
      <c r="E2364" t="s">
        <v>331</v>
      </c>
    </row>
    <row r="2365" spans="1:5" x14ac:dyDescent="0.25">
      <c r="A2365">
        <v>1715</v>
      </c>
      <c r="B2365" s="16">
        <v>43466</v>
      </c>
      <c r="C2365" t="s">
        <v>12</v>
      </c>
      <c r="D2365">
        <v>-2835000</v>
      </c>
      <c r="E2365" t="s">
        <v>331</v>
      </c>
    </row>
    <row r="2366" spans="1:5" x14ac:dyDescent="0.25">
      <c r="A2366">
        <v>1715</v>
      </c>
      <c r="B2366" s="16">
        <v>43497</v>
      </c>
      <c r="C2366" t="s">
        <v>12</v>
      </c>
      <c r="D2366">
        <v>-2835000</v>
      </c>
      <c r="E2366" t="s">
        <v>331</v>
      </c>
    </row>
    <row r="2367" spans="1:5" x14ac:dyDescent="0.25">
      <c r="A2367">
        <v>1715</v>
      </c>
      <c r="B2367" s="16">
        <v>43525</v>
      </c>
      <c r="C2367" t="s">
        <v>12</v>
      </c>
      <c r="D2367">
        <v>-2835000</v>
      </c>
      <c r="E2367" t="s">
        <v>331</v>
      </c>
    </row>
    <row r="2368" spans="1:5" x14ac:dyDescent="0.25">
      <c r="A2368">
        <v>1715</v>
      </c>
      <c r="B2368" s="16">
        <v>43466</v>
      </c>
      <c r="C2368" t="s">
        <v>39</v>
      </c>
      <c r="D2368">
        <v>-1228500</v>
      </c>
      <c r="E2368" t="s">
        <v>331</v>
      </c>
    </row>
    <row r="2369" spans="1:5" x14ac:dyDescent="0.25">
      <c r="A2369">
        <v>1715</v>
      </c>
      <c r="B2369" s="16">
        <v>43497</v>
      </c>
      <c r="C2369" t="s">
        <v>39</v>
      </c>
      <c r="D2369">
        <v>-1228500</v>
      </c>
      <c r="E2369" t="s">
        <v>331</v>
      </c>
    </row>
    <row r="2370" spans="1:5" x14ac:dyDescent="0.25">
      <c r="A2370">
        <v>1715</v>
      </c>
      <c r="B2370" s="16">
        <v>43525</v>
      </c>
      <c r="C2370" t="s">
        <v>39</v>
      </c>
      <c r="D2370">
        <v>-1228500</v>
      </c>
      <c r="E2370" t="s">
        <v>331</v>
      </c>
    </row>
    <row r="2371" spans="1:5" x14ac:dyDescent="0.25">
      <c r="A2371">
        <v>1715</v>
      </c>
      <c r="B2371" s="16">
        <v>43466</v>
      </c>
      <c r="C2371" t="s">
        <v>16</v>
      </c>
      <c r="D2371">
        <v>-1181250</v>
      </c>
      <c r="E2371" t="s">
        <v>331</v>
      </c>
    </row>
    <row r="2372" spans="1:5" x14ac:dyDescent="0.25">
      <c r="A2372">
        <v>1715</v>
      </c>
      <c r="B2372" s="16">
        <v>43497</v>
      </c>
      <c r="C2372" t="s">
        <v>16</v>
      </c>
      <c r="D2372">
        <v>-1181250</v>
      </c>
      <c r="E2372" t="s">
        <v>331</v>
      </c>
    </row>
    <row r="2373" spans="1:5" x14ac:dyDescent="0.25">
      <c r="A2373">
        <v>1715</v>
      </c>
      <c r="B2373" s="16">
        <v>43525</v>
      </c>
      <c r="C2373" t="s">
        <v>16</v>
      </c>
      <c r="D2373">
        <v>-1181250</v>
      </c>
      <c r="E2373" t="s">
        <v>331</v>
      </c>
    </row>
    <row r="2374" spans="1:5" x14ac:dyDescent="0.25">
      <c r="A2374">
        <v>1715</v>
      </c>
      <c r="B2374" s="16">
        <v>43466</v>
      </c>
      <c r="C2374" t="s">
        <v>19</v>
      </c>
      <c r="D2374">
        <v>-2494091.25</v>
      </c>
      <c r="E2374" t="s">
        <v>331</v>
      </c>
    </row>
    <row r="2375" spans="1:5" x14ac:dyDescent="0.25">
      <c r="A2375">
        <v>1715</v>
      </c>
      <c r="B2375" s="16">
        <v>43497</v>
      </c>
      <c r="C2375" t="s">
        <v>19</v>
      </c>
      <c r="D2375">
        <v>-2494091.25</v>
      </c>
      <c r="E2375" t="s">
        <v>331</v>
      </c>
    </row>
    <row r="2376" spans="1:5" x14ac:dyDescent="0.25">
      <c r="A2376">
        <v>1715</v>
      </c>
      <c r="B2376" s="16">
        <v>43525</v>
      </c>
      <c r="C2376" t="s">
        <v>19</v>
      </c>
      <c r="D2376">
        <v>-2494091.25</v>
      </c>
      <c r="E2376" t="s">
        <v>331</v>
      </c>
    </row>
    <row r="2377" spans="1:5" x14ac:dyDescent="0.25">
      <c r="A2377">
        <v>1715</v>
      </c>
      <c r="B2377" s="16">
        <v>43466</v>
      </c>
      <c r="C2377" t="s">
        <v>12</v>
      </c>
      <c r="D2377">
        <v>-2362500</v>
      </c>
      <c r="E2377" t="s">
        <v>331</v>
      </c>
    </row>
    <row r="2378" spans="1:5" x14ac:dyDescent="0.25">
      <c r="A2378">
        <v>1715</v>
      </c>
      <c r="B2378" s="16">
        <v>43497</v>
      </c>
      <c r="C2378" t="s">
        <v>12</v>
      </c>
      <c r="D2378">
        <v>-2362500</v>
      </c>
      <c r="E2378" t="s">
        <v>331</v>
      </c>
    </row>
    <row r="2379" spans="1:5" x14ac:dyDescent="0.25">
      <c r="A2379">
        <v>1715</v>
      </c>
      <c r="B2379" s="16">
        <v>43525</v>
      </c>
      <c r="C2379" t="s">
        <v>12</v>
      </c>
      <c r="D2379">
        <v>-2362500</v>
      </c>
      <c r="E2379" t="s">
        <v>331</v>
      </c>
    </row>
    <row r="2380" spans="1:5" x14ac:dyDescent="0.25">
      <c r="A2380">
        <v>1715</v>
      </c>
      <c r="B2380" s="16">
        <v>43466</v>
      </c>
      <c r="C2380" t="s">
        <v>39</v>
      </c>
      <c r="D2380">
        <v>-1023750</v>
      </c>
      <c r="E2380" t="s">
        <v>331</v>
      </c>
    </row>
    <row r="2381" spans="1:5" x14ac:dyDescent="0.25">
      <c r="A2381">
        <v>1715</v>
      </c>
      <c r="B2381" s="16">
        <v>43497</v>
      </c>
      <c r="C2381" t="s">
        <v>39</v>
      </c>
      <c r="D2381">
        <v>-1023750</v>
      </c>
      <c r="E2381" t="s">
        <v>331</v>
      </c>
    </row>
    <row r="2382" spans="1:5" x14ac:dyDescent="0.25">
      <c r="A2382">
        <v>1715</v>
      </c>
      <c r="B2382" s="16">
        <v>43525</v>
      </c>
      <c r="C2382" t="s">
        <v>39</v>
      </c>
      <c r="D2382">
        <v>-1023750</v>
      </c>
      <c r="E2382" t="s">
        <v>331</v>
      </c>
    </row>
    <row r="2383" spans="1:5" x14ac:dyDescent="0.25">
      <c r="A2383">
        <v>1715</v>
      </c>
      <c r="B2383" s="16">
        <v>43466</v>
      </c>
      <c r="C2383" t="s">
        <v>29</v>
      </c>
      <c r="D2383">
        <v>-708750</v>
      </c>
      <c r="E2383" t="s">
        <v>331</v>
      </c>
    </row>
    <row r="2384" spans="1:5" x14ac:dyDescent="0.25">
      <c r="A2384">
        <v>1715</v>
      </c>
      <c r="B2384" s="16">
        <v>43497</v>
      </c>
      <c r="C2384" t="s">
        <v>29</v>
      </c>
      <c r="D2384">
        <v>-708750</v>
      </c>
      <c r="E2384" t="s">
        <v>331</v>
      </c>
    </row>
    <row r="2385" spans="1:5" x14ac:dyDescent="0.25">
      <c r="A2385">
        <v>1715</v>
      </c>
      <c r="B2385" s="16">
        <v>43525</v>
      </c>
      <c r="C2385" t="s">
        <v>29</v>
      </c>
      <c r="D2385">
        <v>-708750</v>
      </c>
      <c r="E2385" t="s">
        <v>331</v>
      </c>
    </row>
    <row r="2386" spans="1:5" x14ac:dyDescent="0.25">
      <c r="A2386">
        <v>1715</v>
      </c>
      <c r="B2386" s="16">
        <v>43466</v>
      </c>
      <c r="C2386" t="s">
        <v>19</v>
      </c>
      <c r="D2386">
        <v>-1496454.75</v>
      </c>
      <c r="E2386" t="s">
        <v>331</v>
      </c>
    </row>
    <row r="2387" spans="1:5" x14ac:dyDescent="0.25">
      <c r="A2387">
        <v>1715</v>
      </c>
      <c r="B2387" s="16">
        <v>43497</v>
      </c>
      <c r="C2387" t="s">
        <v>19</v>
      </c>
      <c r="D2387">
        <v>-1496454.75</v>
      </c>
      <c r="E2387" t="s">
        <v>331</v>
      </c>
    </row>
    <row r="2388" spans="1:5" x14ac:dyDescent="0.25">
      <c r="A2388">
        <v>1715</v>
      </c>
      <c r="B2388" s="16">
        <v>43525</v>
      </c>
      <c r="C2388" t="s">
        <v>19</v>
      </c>
      <c r="D2388">
        <v>-1496454.75</v>
      </c>
      <c r="E2388" t="s">
        <v>331</v>
      </c>
    </row>
    <row r="2389" spans="1:5" x14ac:dyDescent="0.25">
      <c r="A2389">
        <v>1715</v>
      </c>
      <c r="B2389" s="16">
        <v>43466</v>
      </c>
      <c r="C2389" t="s">
        <v>12</v>
      </c>
      <c r="D2389">
        <v>-945000</v>
      </c>
      <c r="E2389" t="s">
        <v>331</v>
      </c>
    </row>
    <row r="2390" spans="1:5" x14ac:dyDescent="0.25">
      <c r="A2390">
        <v>1715</v>
      </c>
      <c r="B2390" s="16">
        <v>43497</v>
      </c>
      <c r="C2390" t="s">
        <v>12</v>
      </c>
      <c r="D2390">
        <v>-945000</v>
      </c>
      <c r="E2390" t="s">
        <v>331</v>
      </c>
    </row>
    <row r="2391" spans="1:5" x14ac:dyDescent="0.25">
      <c r="A2391">
        <v>1715</v>
      </c>
      <c r="B2391" s="16">
        <v>43525</v>
      </c>
      <c r="C2391" t="s">
        <v>12</v>
      </c>
      <c r="D2391">
        <v>-945000</v>
      </c>
      <c r="E2391" t="s">
        <v>331</v>
      </c>
    </row>
    <row r="2392" spans="1:5" x14ac:dyDescent="0.25">
      <c r="A2392">
        <v>1715</v>
      </c>
      <c r="B2392" s="16">
        <v>43466</v>
      </c>
      <c r="C2392" t="s">
        <v>39</v>
      </c>
      <c r="D2392">
        <v>-409500</v>
      </c>
      <c r="E2392" t="s">
        <v>331</v>
      </c>
    </row>
    <row r="2393" spans="1:5" x14ac:dyDescent="0.25">
      <c r="A2393">
        <v>1715</v>
      </c>
      <c r="B2393" s="16">
        <v>43497</v>
      </c>
      <c r="C2393" t="s">
        <v>39</v>
      </c>
      <c r="D2393">
        <v>-409500</v>
      </c>
      <c r="E2393" t="s">
        <v>331</v>
      </c>
    </row>
    <row r="2394" spans="1:5" x14ac:dyDescent="0.25">
      <c r="A2394">
        <v>1715</v>
      </c>
      <c r="B2394" s="16">
        <v>43525</v>
      </c>
      <c r="C2394" t="s">
        <v>39</v>
      </c>
      <c r="D2394">
        <v>-409500</v>
      </c>
      <c r="E2394" t="s">
        <v>331</v>
      </c>
    </row>
    <row r="2395" spans="1:5" x14ac:dyDescent="0.25">
      <c r="A2395">
        <v>1715</v>
      </c>
      <c r="B2395" s="16">
        <v>43466</v>
      </c>
      <c r="C2395" t="s">
        <v>277</v>
      </c>
      <c r="D2395">
        <v>-236250</v>
      </c>
      <c r="E2395" t="s">
        <v>331</v>
      </c>
    </row>
    <row r="2396" spans="1:5" x14ac:dyDescent="0.25">
      <c r="A2396">
        <v>1715</v>
      </c>
      <c r="B2396" s="16">
        <v>43497</v>
      </c>
      <c r="C2396" t="s">
        <v>277</v>
      </c>
      <c r="D2396">
        <v>-236250</v>
      </c>
      <c r="E2396" t="s">
        <v>331</v>
      </c>
    </row>
    <row r="2397" spans="1:5" x14ac:dyDescent="0.25">
      <c r="A2397">
        <v>1715</v>
      </c>
      <c r="B2397" s="16">
        <v>43525</v>
      </c>
      <c r="C2397" t="s">
        <v>277</v>
      </c>
      <c r="D2397">
        <v>-236250</v>
      </c>
      <c r="E2397" t="s">
        <v>331</v>
      </c>
    </row>
    <row r="2398" spans="1:5" x14ac:dyDescent="0.25">
      <c r="A2398">
        <v>1715</v>
      </c>
      <c r="B2398" s="16">
        <v>43466</v>
      </c>
      <c r="C2398" t="s">
        <v>19</v>
      </c>
      <c r="D2398">
        <v>-1496454.75</v>
      </c>
      <c r="E2398" t="s">
        <v>331</v>
      </c>
    </row>
    <row r="2399" spans="1:5" x14ac:dyDescent="0.25">
      <c r="A2399">
        <v>1715</v>
      </c>
      <c r="B2399" s="16">
        <v>43497</v>
      </c>
      <c r="C2399" t="s">
        <v>19</v>
      </c>
      <c r="D2399">
        <v>-1496454.75</v>
      </c>
      <c r="E2399" t="s">
        <v>331</v>
      </c>
    </row>
    <row r="2400" spans="1:5" x14ac:dyDescent="0.25">
      <c r="A2400">
        <v>1715</v>
      </c>
      <c r="B2400" s="16">
        <v>43525</v>
      </c>
      <c r="C2400" t="s">
        <v>19</v>
      </c>
      <c r="D2400">
        <v>-1496454.75</v>
      </c>
      <c r="E2400" t="s">
        <v>331</v>
      </c>
    </row>
    <row r="2401" spans="1:5" x14ac:dyDescent="0.25">
      <c r="A2401">
        <v>1715</v>
      </c>
      <c r="B2401" s="16">
        <v>43466</v>
      </c>
      <c r="C2401" t="s">
        <v>12</v>
      </c>
      <c r="D2401">
        <v>-1890000</v>
      </c>
      <c r="E2401" t="s">
        <v>331</v>
      </c>
    </row>
    <row r="2402" spans="1:5" x14ac:dyDescent="0.25">
      <c r="A2402">
        <v>1715</v>
      </c>
      <c r="B2402" s="16">
        <v>43497</v>
      </c>
      <c r="C2402" t="s">
        <v>12</v>
      </c>
      <c r="D2402">
        <v>-1890000</v>
      </c>
      <c r="E2402" t="s">
        <v>331</v>
      </c>
    </row>
    <row r="2403" spans="1:5" x14ac:dyDescent="0.25">
      <c r="A2403">
        <v>1715</v>
      </c>
      <c r="B2403" s="16">
        <v>43525</v>
      </c>
      <c r="C2403" t="s">
        <v>12</v>
      </c>
      <c r="D2403">
        <v>-1890000</v>
      </c>
      <c r="E2403" t="s">
        <v>331</v>
      </c>
    </row>
    <row r="2404" spans="1:5" x14ac:dyDescent="0.25">
      <c r="A2404">
        <v>1715</v>
      </c>
      <c r="B2404" s="16">
        <v>43466</v>
      </c>
      <c r="C2404" t="s">
        <v>39</v>
      </c>
      <c r="D2404">
        <v>-819000</v>
      </c>
      <c r="E2404" t="s">
        <v>331</v>
      </c>
    </row>
    <row r="2405" spans="1:5" x14ac:dyDescent="0.25">
      <c r="A2405">
        <v>1715</v>
      </c>
      <c r="B2405" s="16">
        <v>43497</v>
      </c>
      <c r="C2405" t="s">
        <v>39</v>
      </c>
      <c r="D2405">
        <v>-819000</v>
      </c>
      <c r="E2405" t="s">
        <v>331</v>
      </c>
    </row>
    <row r="2406" spans="1:5" x14ac:dyDescent="0.25">
      <c r="A2406">
        <v>1715</v>
      </c>
      <c r="B2406" s="16">
        <v>43525</v>
      </c>
      <c r="C2406" t="s">
        <v>39</v>
      </c>
      <c r="D2406">
        <v>-819000</v>
      </c>
      <c r="E2406" t="s">
        <v>331</v>
      </c>
    </row>
    <row r="2407" spans="1:5" x14ac:dyDescent="0.25">
      <c r="A2407">
        <v>1715</v>
      </c>
      <c r="B2407" s="16">
        <v>43466</v>
      </c>
      <c r="C2407" t="s">
        <v>91</v>
      </c>
      <c r="D2407">
        <v>-441000</v>
      </c>
      <c r="E2407" t="s">
        <v>331</v>
      </c>
    </row>
    <row r="2408" spans="1:5" x14ac:dyDescent="0.25">
      <c r="A2408">
        <v>1715</v>
      </c>
      <c r="B2408" s="16">
        <v>43497</v>
      </c>
      <c r="C2408" t="s">
        <v>91</v>
      </c>
      <c r="D2408">
        <v>-441000</v>
      </c>
      <c r="E2408" t="s">
        <v>331</v>
      </c>
    </row>
    <row r="2409" spans="1:5" x14ac:dyDescent="0.25">
      <c r="A2409">
        <v>1715</v>
      </c>
      <c r="B2409" s="16">
        <v>43525</v>
      </c>
      <c r="C2409" t="s">
        <v>91</v>
      </c>
      <c r="D2409">
        <v>-441000</v>
      </c>
      <c r="E2409" t="s">
        <v>331</v>
      </c>
    </row>
    <row r="2410" spans="1:5" x14ac:dyDescent="0.25">
      <c r="A2410">
        <v>1715</v>
      </c>
      <c r="B2410" s="16">
        <v>43466</v>
      </c>
      <c r="C2410" t="s">
        <v>29</v>
      </c>
      <c r="D2410">
        <v>-354375</v>
      </c>
      <c r="E2410" t="s">
        <v>331</v>
      </c>
    </row>
    <row r="2411" spans="1:5" x14ac:dyDescent="0.25">
      <c r="A2411">
        <v>1715</v>
      </c>
      <c r="B2411" s="16">
        <v>43497</v>
      </c>
      <c r="C2411" t="s">
        <v>29</v>
      </c>
      <c r="D2411">
        <v>-354375</v>
      </c>
      <c r="E2411" t="s">
        <v>331</v>
      </c>
    </row>
    <row r="2412" spans="1:5" x14ac:dyDescent="0.25">
      <c r="A2412">
        <v>1715</v>
      </c>
      <c r="B2412" s="16">
        <v>43525</v>
      </c>
      <c r="C2412" t="s">
        <v>29</v>
      </c>
      <c r="D2412">
        <v>-354375</v>
      </c>
      <c r="E2412" t="s">
        <v>331</v>
      </c>
    </row>
    <row r="2413" spans="1:5" x14ac:dyDescent="0.25">
      <c r="A2413">
        <v>1715</v>
      </c>
      <c r="B2413" s="16">
        <v>43466</v>
      </c>
      <c r="C2413" t="s">
        <v>19</v>
      </c>
      <c r="D2413">
        <v>-1496454.75</v>
      </c>
      <c r="E2413" t="s">
        <v>331</v>
      </c>
    </row>
    <row r="2414" spans="1:5" x14ac:dyDescent="0.25">
      <c r="A2414">
        <v>1715</v>
      </c>
      <c r="B2414" s="16">
        <v>43497</v>
      </c>
      <c r="C2414" t="s">
        <v>19</v>
      </c>
      <c r="D2414">
        <v>-1496454.75</v>
      </c>
      <c r="E2414" t="s">
        <v>331</v>
      </c>
    </row>
    <row r="2415" spans="1:5" x14ac:dyDescent="0.25">
      <c r="A2415">
        <v>1715</v>
      </c>
      <c r="B2415" s="16">
        <v>43525</v>
      </c>
      <c r="C2415" t="s">
        <v>19</v>
      </c>
      <c r="D2415">
        <v>-1496454.75</v>
      </c>
      <c r="E2415" t="s">
        <v>331</v>
      </c>
    </row>
    <row r="2416" spans="1:5" x14ac:dyDescent="0.25">
      <c r="A2416">
        <v>1715</v>
      </c>
      <c r="B2416" s="16">
        <v>43466</v>
      </c>
      <c r="C2416" t="s">
        <v>12</v>
      </c>
      <c r="D2416">
        <v>-1417500</v>
      </c>
      <c r="E2416" t="s">
        <v>331</v>
      </c>
    </row>
    <row r="2417" spans="1:5" x14ac:dyDescent="0.25">
      <c r="A2417">
        <v>1715</v>
      </c>
      <c r="B2417" s="16">
        <v>43497</v>
      </c>
      <c r="C2417" t="s">
        <v>12</v>
      </c>
      <c r="D2417">
        <v>-1417500</v>
      </c>
      <c r="E2417" t="s">
        <v>331</v>
      </c>
    </row>
    <row r="2418" spans="1:5" x14ac:dyDescent="0.25">
      <c r="A2418">
        <v>1715</v>
      </c>
      <c r="B2418" s="16">
        <v>43525</v>
      </c>
      <c r="C2418" t="s">
        <v>12</v>
      </c>
      <c r="D2418">
        <v>-1417500</v>
      </c>
      <c r="E2418" t="s">
        <v>331</v>
      </c>
    </row>
    <row r="2419" spans="1:5" x14ac:dyDescent="0.25">
      <c r="A2419">
        <v>1715</v>
      </c>
      <c r="B2419" s="16">
        <v>43466</v>
      </c>
      <c r="C2419" t="s">
        <v>39</v>
      </c>
      <c r="D2419">
        <v>-614250</v>
      </c>
      <c r="E2419" t="s">
        <v>331</v>
      </c>
    </row>
    <row r="2420" spans="1:5" x14ac:dyDescent="0.25">
      <c r="A2420">
        <v>1715</v>
      </c>
      <c r="B2420" s="16">
        <v>43497</v>
      </c>
      <c r="C2420" t="s">
        <v>39</v>
      </c>
      <c r="D2420">
        <v>-614250</v>
      </c>
      <c r="E2420" t="s">
        <v>331</v>
      </c>
    </row>
    <row r="2421" spans="1:5" x14ac:dyDescent="0.25">
      <c r="A2421">
        <v>1715</v>
      </c>
      <c r="B2421" s="16">
        <v>43525</v>
      </c>
      <c r="C2421" t="s">
        <v>39</v>
      </c>
      <c r="D2421">
        <v>-614250</v>
      </c>
      <c r="E2421" t="s">
        <v>331</v>
      </c>
    </row>
    <row r="2422" spans="1:5" x14ac:dyDescent="0.25">
      <c r="A2422">
        <v>1837</v>
      </c>
      <c r="B2422" s="16">
        <v>43466</v>
      </c>
      <c r="C2422" t="s">
        <v>290</v>
      </c>
      <c r="D2422">
        <v>-1778395.5</v>
      </c>
      <c r="E2422" t="s">
        <v>331</v>
      </c>
    </row>
    <row r="2423" spans="1:5" x14ac:dyDescent="0.25">
      <c r="A2423">
        <v>1837</v>
      </c>
      <c r="B2423" s="16">
        <v>43497</v>
      </c>
      <c r="C2423" t="s">
        <v>290</v>
      </c>
      <c r="D2423">
        <v>-1778395.5</v>
      </c>
      <c r="E2423" t="s">
        <v>331</v>
      </c>
    </row>
    <row r="2424" spans="1:5" x14ac:dyDescent="0.25">
      <c r="A2424">
        <v>1837</v>
      </c>
      <c r="B2424" s="16">
        <v>43466</v>
      </c>
      <c r="C2424" t="s">
        <v>122</v>
      </c>
      <c r="D2424">
        <v>-7426125</v>
      </c>
      <c r="E2424" t="s">
        <v>331</v>
      </c>
    </row>
    <row r="2425" spans="1:5" x14ac:dyDescent="0.25">
      <c r="A2425">
        <v>1837</v>
      </c>
      <c r="B2425" s="16">
        <v>43497</v>
      </c>
      <c r="C2425" t="s">
        <v>122</v>
      </c>
      <c r="D2425">
        <v>-7426125</v>
      </c>
      <c r="E2425" t="s">
        <v>331</v>
      </c>
    </row>
    <row r="2426" spans="1:5" x14ac:dyDescent="0.25">
      <c r="A2426">
        <v>1837</v>
      </c>
      <c r="B2426" s="16">
        <v>43466</v>
      </c>
      <c r="C2426" t="s">
        <v>164</v>
      </c>
      <c r="D2426">
        <v>-964096.875</v>
      </c>
      <c r="E2426" t="s">
        <v>331</v>
      </c>
    </row>
    <row r="2427" spans="1:5" x14ac:dyDescent="0.25">
      <c r="A2427">
        <v>1837</v>
      </c>
      <c r="B2427" s="16">
        <v>43497</v>
      </c>
      <c r="C2427" t="s">
        <v>164</v>
      </c>
      <c r="D2427">
        <v>-964096.875</v>
      </c>
      <c r="E2427" t="s">
        <v>331</v>
      </c>
    </row>
    <row r="2428" spans="1:5" x14ac:dyDescent="0.25">
      <c r="A2428">
        <v>1837</v>
      </c>
      <c r="B2428" s="16">
        <v>43466</v>
      </c>
      <c r="C2428" t="s">
        <v>135</v>
      </c>
      <c r="D2428">
        <v>-3764722.4999999995</v>
      </c>
      <c r="E2428" t="s">
        <v>331</v>
      </c>
    </row>
    <row r="2429" spans="1:5" x14ac:dyDescent="0.25">
      <c r="A2429">
        <v>1837</v>
      </c>
      <c r="B2429" s="16">
        <v>43497</v>
      </c>
      <c r="C2429" t="s">
        <v>135</v>
      </c>
      <c r="D2429">
        <v>-3764722.4999999995</v>
      </c>
      <c r="E2429" t="s">
        <v>331</v>
      </c>
    </row>
    <row r="2430" spans="1:5" x14ac:dyDescent="0.25">
      <c r="A2430">
        <v>1845</v>
      </c>
      <c r="B2430" s="16">
        <v>43497</v>
      </c>
      <c r="C2430" t="s">
        <v>19</v>
      </c>
      <c r="D2430">
        <v>-3818881.08</v>
      </c>
      <c r="E2430" t="s">
        <v>331</v>
      </c>
    </row>
    <row r="2431" spans="1:5" x14ac:dyDescent="0.25">
      <c r="A2431">
        <v>1845</v>
      </c>
      <c r="B2431" s="16">
        <v>43525</v>
      </c>
      <c r="C2431" t="s">
        <v>19</v>
      </c>
      <c r="D2431">
        <v>-3818881.08</v>
      </c>
      <c r="E2431" t="s">
        <v>331</v>
      </c>
    </row>
    <row r="2432" spans="1:5" x14ac:dyDescent="0.25">
      <c r="A2432">
        <v>1845</v>
      </c>
      <c r="B2432" s="16">
        <v>43556</v>
      </c>
      <c r="C2432" t="s">
        <v>19</v>
      </c>
      <c r="D2432">
        <v>-3818881.08</v>
      </c>
      <c r="E2432" t="s">
        <v>331</v>
      </c>
    </row>
    <row r="2433" spans="1:5" x14ac:dyDescent="0.25">
      <c r="A2433">
        <v>1845</v>
      </c>
      <c r="B2433" s="16">
        <v>43586</v>
      </c>
      <c r="C2433" t="s">
        <v>19</v>
      </c>
      <c r="D2433">
        <v>-3818881.08</v>
      </c>
      <c r="E2433" t="s">
        <v>331</v>
      </c>
    </row>
    <row r="2434" spans="1:5" x14ac:dyDescent="0.25">
      <c r="A2434">
        <v>1845</v>
      </c>
      <c r="B2434" s="16">
        <v>43617</v>
      </c>
      <c r="C2434" t="s">
        <v>19</v>
      </c>
      <c r="D2434">
        <v>-3818881.08</v>
      </c>
      <c r="E2434" t="s">
        <v>331</v>
      </c>
    </row>
    <row r="2435" spans="1:5" x14ac:dyDescent="0.25">
      <c r="A2435">
        <v>1845</v>
      </c>
      <c r="B2435" s="16">
        <v>43647</v>
      </c>
      <c r="C2435" t="s">
        <v>19</v>
      </c>
      <c r="D2435">
        <v>-3818881.08</v>
      </c>
      <c r="E2435" t="s">
        <v>331</v>
      </c>
    </row>
    <row r="2436" spans="1:5" x14ac:dyDescent="0.25">
      <c r="A2436">
        <v>1845</v>
      </c>
      <c r="B2436" s="16">
        <v>43678</v>
      </c>
      <c r="C2436" t="s">
        <v>19</v>
      </c>
      <c r="D2436">
        <v>-3818881.08</v>
      </c>
      <c r="E2436" t="s">
        <v>331</v>
      </c>
    </row>
    <row r="2437" spans="1:5" x14ac:dyDescent="0.25">
      <c r="A2437">
        <v>1845</v>
      </c>
      <c r="B2437" s="16">
        <v>43497</v>
      </c>
      <c r="C2437" t="s">
        <v>122</v>
      </c>
      <c r="D2437">
        <v>-6750000</v>
      </c>
      <c r="E2437" t="s">
        <v>331</v>
      </c>
    </row>
    <row r="2438" spans="1:5" x14ac:dyDescent="0.25">
      <c r="A2438">
        <v>1845</v>
      </c>
      <c r="B2438" s="16">
        <v>43525</v>
      </c>
      <c r="C2438" t="s">
        <v>122</v>
      </c>
      <c r="D2438">
        <v>-6750000</v>
      </c>
      <c r="E2438" t="s">
        <v>331</v>
      </c>
    </row>
    <row r="2439" spans="1:5" x14ac:dyDescent="0.25">
      <c r="A2439">
        <v>1845</v>
      </c>
      <c r="B2439" s="16">
        <v>43556</v>
      </c>
      <c r="C2439" t="s">
        <v>122</v>
      </c>
      <c r="D2439">
        <v>-6750000</v>
      </c>
      <c r="E2439" t="s">
        <v>331</v>
      </c>
    </row>
    <row r="2440" spans="1:5" x14ac:dyDescent="0.25">
      <c r="A2440">
        <v>1845</v>
      </c>
      <c r="B2440" s="16">
        <v>43586</v>
      </c>
      <c r="C2440" t="s">
        <v>122</v>
      </c>
      <c r="D2440">
        <v>-6750000</v>
      </c>
      <c r="E2440" t="s">
        <v>331</v>
      </c>
    </row>
    <row r="2441" spans="1:5" x14ac:dyDescent="0.25">
      <c r="A2441">
        <v>1845</v>
      </c>
      <c r="B2441" s="16">
        <v>43617</v>
      </c>
      <c r="C2441" t="s">
        <v>122</v>
      </c>
      <c r="D2441">
        <v>-6750000</v>
      </c>
      <c r="E2441" t="s">
        <v>331</v>
      </c>
    </row>
    <row r="2442" spans="1:5" x14ac:dyDescent="0.25">
      <c r="A2442">
        <v>1845</v>
      </c>
      <c r="B2442" s="16">
        <v>43647</v>
      </c>
      <c r="C2442" t="s">
        <v>122</v>
      </c>
      <c r="D2442">
        <v>-6750000</v>
      </c>
      <c r="E2442" t="s">
        <v>331</v>
      </c>
    </row>
    <row r="2443" spans="1:5" x14ac:dyDescent="0.25">
      <c r="A2443">
        <v>1845</v>
      </c>
      <c r="B2443" s="16">
        <v>43678</v>
      </c>
      <c r="C2443" t="s">
        <v>122</v>
      </c>
      <c r="D2443">
        <v>-6750000</v>
      </c>
      <c r="E2443" t="s">
        <v>331</v>
      </c>
    </row>
    <row r="2444" spans="1:5" x14ac:dyDescent="0.25">
      <c r="A2444">
        <v>1845</v>
      </c>
      <c r="B2444" s="16">
        <v>43497</v>
      </c>
      <c r="C2444" t="s">
        <v>29</v>
      </c>
      <c r="D2444">
        <v>-1961638.6500000001</v>
      </c>
      <c r="E2444" t="s">
        <v>331</v>
      </c>
    </row>
    <row r="2445" spans="1:5" x14ac:dyDescent="0.25">
      <c r="A2445">
        <v>1845</v>
      </c>
      <c r="B2445" s="16">
        <v>43525</v>
      </c>
      <c r="C2445" t="s">
        <v>29</v>
      </c>
      <c r="D2445">
        <v>-1961638.6500000001</v>
      </c>
      <c r="E2445" t="s">
        <v>331</v>
      </c>
    </row>
    <row r="2446" spans="1:5" x14ac:dyDescent="0.25">
      <c r="A2446">
        <v>1845</v>
      </c>
      <c r="B2446" s="16">
        <v>43556</v>
      </c>
      <c r="C2446" t="s">
        <v>29</v>
      </c>
      <c r="D2446">
        <v>-1961638.6500000001</v>
      </c>
      <c r="E2446" t="s">
        <v>331</v>
      </c>
    </row>
    <row r="2447" spans="1:5" x14ac:dyDescent="0.25">
      <c r="A2447">
        <v>1845</v>
      </c>
      <c r="B2447" s="16">
        <v>43586</v>
      </c>
      <c r="C2447" t="s">
        <v>29</v>
      </c>
      <c r="D2447">
        <v>-1961638.6500000001</v>
      </c>
      <c r="E2447" t="s">
        <v>331</v>
      </c>
    </row>
    <row r="2448" spans="1:5" x14ac:dyDescent="0.25">
      <c r="A2448">
        <v>1845</v>
      </c>
      <c r="B2448" s="16">
        <v>43617</v>
      </c>
      <c r="C2448" t="s">
        <v>29</v>
      </c>
      <c r="D2448">
        <v>-1961638.6500000001</v>
      </c>
      <c r="E2448" t="s">
        <v>331</v>
      </c>
    </row>
    <row r="2449" spans="1:5" x14ac:dyDescent="0.25">
      <c r="A2449">
        <v>1845</v>
      </c>
      <c r="B2449" s="16">
        <v>43647</v>
      </c>
      <c r="C2449" t="s">
        <v>29</v>
      </c>
      <c r="D2449">
        <v>-1961638.6500000001</v>
      </c>
      <c r="E2449" t="s">
        <v>331</v>
      </c>
    </row>
    <row r="2450" spans="1:5" x14ac:dyDescent="0.25">
      <c r="A2450">
        <v>1845</v>
      </c>
      <c r="B2450" s="16">
        <v>43678</v>
      </c>
      <c r="C2450" t="s">
        <v>29</v>
      </c>
      <c r="D2450">
        <v>-1961638.6500000001</v>
      </c>
      <c r="E2450" t="s">
        <v>331</v>
      </c>
    </row>
    <row r="2451" spans="1:5" x14ac:dyDescent="0.25">
      <c r="A2451">
        <v>1845</v>
      </c>
      <c r="B2451" s="16">
        <v>43497</v>
      </c>
      <c r="C2451" t="s">
        <v>39</v>
      </c>
      <c r="D2451">
        <v>-5271741.5887850448</v>
      </c>
      <c r="E2451" t="s">
        <v>331</v>
      </c>
    </row>
    <row r="2452" spans="1:5" x14ac:dyDescent="0.25">
      <c r="A2452">
        <v>1845</v>
      </c>
      <c r="B2452" s="16">
        <v>43525</v>
      </c>
      <c r="C2452" t="s">
        <v>39</v>
      </c>
      <c r="D2452">
        <v>-5271741.5887850448</v>
      </c>
      <c r="E2452" t="s">
        <v>331</v>
      </c>
    </row>
    <row r="2453" spans="1:5" x14ac:dyDescent="0.25">
      <c r="A2453">
        <v>1845</v>
      </c>
      <c r="B2453" s="16">
        <v>43556</v>
      </c>
      <c r="C2453" t="s">
        <v>39</v>
      </c>
      <c r="D2453">
        <v>-5271741.5887850448</v>
      </c>
      <c r="E2453" t="s">
        <v>331</v>
      </c>
    </row>
    <row r="2454" spans="1:5" x14ac:dyDescent="0.25">
      <c r="A2454">
        <v>1845</v>
      </c>
      <c r="B2454" s="16">
        <v>43586</v>
      </c>
      <c r="C2454" t="s">
        <v>39</v>
      </c>
      <c r="D2454">
        <v>-5271741.5887850448</v>
      </c>
      <c r="E2454" t="s">
        <v>331</v>
      </c>
    </row>
    <row r="2455" spans="1:5" x14ac:dyDescent="0.25">
      <c r="A2455">
        <v>1845</v>
      </c>
      <c r="B2455" s="16">
        <v>43617</v>
      </c>
      <c r="C2455" t="s">
        <v>39</v>
      </c>
      <c r="D2455">
        <v>-5271741.5887850448</v>
      </c>
      <c r="E2455" t="s">
        <v>331</v>
      </c>
    </row>
    <row r="2456" spans="1:5" x14ac:dyDescent="0.25">
      <c r="A2456">
        <v>1845</v>
      </c>
      <c r="B2456" s="16">
        <v>43647</v>
      </c>
      <c r="C2456" t="s">
        <v>39</v>
      </c>
      <c r="D2456">
        <v>-5271741.5887850448</v>
      </c>
      <c r="E2456" t="s">
        <v>331</v>
      </c>
    </row>
    <row r="2457" spans="1:5" x14ac:dyDescent="0.25">
      <c r="A2457">
        <v>1845</v>
      </c>
      <c r="B2457" s="16">
        <v>43678</v>
      </c>
      <c r="C2457" t="s">
        <v>39</v>
      </c>
      <c r="D2457">
        <v>-5271741.5887850448</v>
      </c>
      <c r="E2457" t="s">
        <v>331</v>
      </c>
    </row>
    <row r="2458" spans="1:5" x14ac:dyDescent="0.25">
      <c r="A2458">
        <v>1845</v>
      </c>
      <c r="B2458" s="16">
        <v>43497</v>
      </c>
      <c r="C2458" t="s">
        <v>38</v>
      </c>
      <c r="D2458">
        <v>-3855251.3759999997</v>
      </c>
      <c r="E2458" t="s">
        <v>331</v>
      </c>
    </row>
    <row r="2459" spans="1:5" x14ac:dyDescent="0.25">
      <c r="A2459">
        <v>1845</v>
      </c>
      <c r="B2459" s="16">
        <v>43525</v>
      </c>
      <c r="C2459" t="s">
        <v>38</v>
      </c>
      <c r="D2459">
        <v>-3855251.3759999997</v>
      </c>
      <c r="E2459" t="s">
        <v>331</v>
      </c>
    </row>
    <row r="2460" spans="1:5" x14ac:dyDescent="0.25">
      <c r="A2460">
        <v>1845</v>
      </c>
      <c r="B2460" s="16">
        <v>43556</v>
      </c>
      <c r="C2460" t="s">
        <v>38</v>
      </c>
      <c r="D2460">
        <v>-3855251.3759999997</v>
      </c>
      <c r="E2460" t="s">
        <v>331</v>
      </c>
    </row>
    <row r="2461" spans="1:5" x14ac:dyDescent="0.25">
      <c r="A2461">
        <v>1845</v>
      </c>
      <c r="B2461" s="16">
        <v>43586</v>
      </c>
      <c r="C2461" t="s">
        <v>38</v>
      </c>
      <c r="D2461">
        <v>-3855251.3759999997</v>
      </c>
      <c r="E2461" t="s">
        <v>331</v>
      </c>
    </row>
    <row r="2462" spans="1:5" x14ac:dyDescent="0.25">
      <c r="A2462">
        <v>1845</v>
      </c>
      <c r="B2462" s="16">
        <v>43617</v>
      </c>
      <c r="C2462" t="s">
        <v>38</v>
      </c>
      <c r="D2462">
        <v>-3855251.3759999997</v>
      </c>
      <c r="E2462" t="s">
        <v>331</v>
      </c>
    </row>
    <row r="2463" spans="1:5" x14ac:dyDescent="0.25">
      <c r="A2463">
        <v>1845</v>
      </c>
      <c r="B2463" s="16">
        <v>43647</v>
      </c>
      <c r="C2463" t="s">
        <v>38</v>
      </c>
      <c r="D2463">
        <v>-3855251.3759999997</v>
      </c>
      <c r="E2463" t="s">
        <v>331</v>
      </c>
    </row>
    <row r="2464" spans="1:5" x14ac:dyDescent="0.25">
      <c r="A2464">
        <v>1845</v>
      </c>
      <c r="B2464" s="16">
        <v>43678</v>
      </c>
      <c r="C2464" t="s">
        <v>38</v>
      </c>
      <c r="D2464">
        <v>-3855251.3759999997</v>
      </c>
      <c r="E2464" t="s">
        <v>331</v>
      </c>
    </row>
    <row r="2465" spans="1:5" x14ac:dyDescent="0.25">
      <c r="A2465">
        <v>1385</v>
      </c>
      <c r="B2465" s="16">
        <v>43466</v>
      </c>
      <c r="C2465" t="s">
        <v>301</v>
      </c>
      <c r="D2465">
        <v>-12913846.050000001</v>
      </c>
      <c r="E2465" t="s">
        <v>331</v>
      </c>
    </row>
    <row r="2466" spans="1:5" x14ac:dyDescent="0.25">
      <c r="A2466">
        <v>1385</v>
      </c>
      <c r="B2466" s="16">
        <v>43497</v>
      </c>
      <c r="C2466" t="s">
        <v>301</v>
      </c>
      <c r="D2466">
        <v>-12913846.050000001</v>
      </c>
      <c r="E2466" t="s">
        <v>331</v>
      </c>
    </row>
    <row r="2467" spans="1:5" x14ac:dyDescent="0.25">
      <c r="A2467">
        <v>1385</v>
      </c>
      <c r="B2467" s="16">
        <v>43525</v>
      </c>
      <c r="C2467" t="s">
        <v>301</v>
      </c>
      <c r="D2467">
        <v>-12913846.050000001</v>
      </c>
      <c r="E2467" t="s">
        <v>331</v>
      </c>
    </row>
    <row r="2468" spans="1:5" x14ac:dyDescent="0.25">
      <c r="A2468">
        <v>1385</v>
      </c>
      <c r="B2468" s="16">
        <v>43556</v>
      </c>
      <c r="C2468" t="s">
        <v>301</v>
      </c>
      <c r="D2468">
        <v>-12913846.050000001</v>
      </c>
      <c r="E2468" t="s">
        <v>331</v>
      </c>
    </row>
    <row r="2469" spans="1:5" x14ac:dyDescent="0.25">
      <c r="A2469">
        <v>1385</v>
      </c>
      <c r="B2469" s="16">
        <v>43586</v>
      </c>
      <c r="C2469" t="s">
        <v>301</v>
      </c>
      <c r="D2469">
        <v>-12913846.050000001</v>
      </c>
      <c r="E2469" t="s">
        <v>331</v>
      </c>
    </row>
    <row r="2470" spans="1:5" x14ac:dyDescent="0.25">
      <c r="A2470">
        <v>1385</v>
      </c>
      <c r="B2470" s="16">
        <v>43466</v>
      </c>
      <c r="C2470" t="s">
        <v>26</v>
      </c>
      <c r="D2470">
        <v>-7300574.4000000004</v>
      </c>
      <c r="E2470" t="s">
        <v>331</v>
      </c>
    </row>
    <row r="2471" spans="1:5" x14ac:dyDescent="0.25">
      <c r="A2471">
        <v>1385</v>
      </c>
      <c r="B2471" s="16">
        <v>43497</v>
      </c>
      <c r="C2471" t="s">
        <v>26</v>
      </c>
      <c r="D2471">
        <v>-7300574.4000000004</v>
      </c>
      <c r="E2471" t="s">
        <v>331</v>
      </c>
    </row>
    <row r="2472" spans="1:5" x14ac:dyDescent="0.25">
      <c r="A2472">
        <v>1385</v>
      </c>
      <c r="B2472" s="16">
        <v>43525</v>
      </c>
      <c r="C2472" t="s">
        <v>26</v>
      </c>
      <c r="D2472">
        <v>-7300574.4000000004</v>
      </c>
      <c r="E2472" t="s">
        <v>331</v>
      </c>
    </row>
    <row r="2473" spans="1:5" x14ac:dyDescent="0.25">
      <c r="A2473">
        <v>1385</v>
      </c>
      <c r="B2473" s="16">
        <v>43556</v>
      </c>
      <c r="C2473" t="s">
        <v>26</v>
      </c>
      <c r="D2473">
        <v>-7300574.4000000004</v>
      </c>
      <c r="E2473" t="s">
        <v>331</v>
      </c>
    </row>
    <row r="2474" spans="1:5" x14ac:dyDescent="0.25">
      <c r="A2474">
        <v>1385</v>
      </c>
      <c r="B2474" s="16">
        <v>43586</v>
      </c>
      <c r="C2474" t="s">
        <v>26</v>
      </c>
      <c r="D2474">
        <v>-7300574.4000000004</v>
      </c>
      <c r="E2474" t="s">
        <v>331</v>
      </c>
    </row>
    <row r="2475" spans="1:5" x14ac:dyDescent="0.25">
      <c r="A2475">
        <v>1385</v>
      </c>
      <c r="B2475" s="16">
        <v>43466</v>
      </c>
      <c r="C2475" t="s">
        <v>26</v>
      </c>
      <c r="D2475">
        <v>-7300574.4000000004</v>
      </c>
      <c r="E2475" t="s">
        <v>331</v>
      </c>
    </row>
    <row r="2476" spans="1:5" x14ac:dyDescent="0.25">
      <c r="A2476">
        <v>1385</v>
      </c>
      <c r="B2476" s="16">
        <v>43497</v>
      </c>
      <c r="C2476" t="s">
        <v>26</v>
      </c>
      <c r="D2476">
        <v>-7300574.4000000004</v>
      </c>
      <c r="E2476" t="s">
        <v>331</v>
      </c>
    </row>
    <row r="2477" spans="1:5" x14ac:dyDescent="0.25">
      <c r="A2477">
        <v>1385</v>
      </c>
      <c r="B2477" s="16">
        <v>43525</v>
      </c>
      <c r="C2477" t="s">
        <v>26</v>
      </c>
      <c r="D2477">
        <v>-7300574.4000000004</v>
      </c>
      <c r="E2477" t="s">
        <v>331</v>
      </c>
    </row>
    <row r="2478" spans="1:5" x14ac:dyDescent="0.25">
      <c r="A2478">
        <v>1385</v>
      </c>
      <c r="B2478" s="16">
        <v>43556</v>
      </c>
      <c r="C2478" t="s">
        <v>26</v>
      </c>
      <c r="D2478">
        <v>-7300574.4000000004</v>
      </c>
      <c r="E2478" t="s">
        <v>331</v>
      </c>
    </row>
    <row r="2479" spans="1:5" x14ac:dyDescent="0.25">
      <c r="A2479">
        <v>1385</v>
      </c>
      <c r="B2479" s="16">
        <v>43586</v>
      </c>
      <c r="C2479" t="s">
        <v>26</v>
      </c>
      <c r="D2479">
        <v>-7300574.4000000004</v>
      </c>
      <c r="E2479" t="s">
        <v>331</v>
      </c>
    </row>
    <row r="2480" spans="1:5" x14ac:dyDescent="0.25">
      <c r="A2480">
        <v>1385</v>
      </c>
      <c r="B2480" s="16">
        <v>43466</v>
      </c>
      <c r="C2480" t="s">
        <v>26</v>
      </c>
      <c r="D2480">
        <v>-7300574.4000000004</v>
      </c>
      <c r="E2480" t="s">
        <v>331</v>
      </c>
    </row>
    <row r="2481" spans="1:5" x14ac:dyDescent="0.25">
      <c r="A2481">
        <v>1385</v>
      </c>
      <c r="B2481" s="16">
        <v>43497</v>
      </c>
      <c r="C2481" t="s">
        <v>26</v>
      </c>
      <c r="D2481">
        <v>-7300574.4000000004</v>
      </c>
      <c r="E2481" t="s">
        <v>331</v>
      </c>
    </row>
    <row r="2482" spans="1:5" x14ac:dyDescent="0.25">
      <c r="A2482">
        <v>1385</v>
      </c>
      <c r="B2482" s="16">
        <v>43525</v>
      </c>
      <c r="C2482" t="s">
        <v>26</v>
      </c>
      <c r="D2482">
        <v>-7300574.4000000004</v>
      </c>
      <c r="E2482" t="s">
        <v>331</v>
      </c>
    </row>
    <row r="2483" spans="1:5" x14ac:dyDescent="0.25">
      <c r="A2483">
        <v>1385</v>
      </c>
      <c r="B2483" s="16">
        <v>43556</v>
      </c>
      <c r="C2483" t="s">
        <v>26</v>
      </c>
      <c r="D2483">
        <v>-7300574.4000000004</v>
      </c>
      <c r="E2483" t="s">
        <v>331</v>
      </c>
    </row>
    <row r="2484" spans="1:5" x14ac:dyDescent="0.25">
      <c r="A2484">
        <v>1385</v>
      </c>
      <c r="B2484" s="16">
        <v>43586</v>
      </c>
      <c r="C2484" t="s">
        <v>26</v>
      </c>
      <c r="D2484">
        <v>-7300574.4000000004</v>
      </c>
      <c r="E2484" t="s">
        <v>331</v>
      </c>
    </row>
    <row r="2485" spans="1:5" x14ac:dyDescent="0.25">
      <c r="A2485">
        <v>1385</v>
      </c>
      <c r="B2485" s="16">
        <v>43466</v>
      </c>
      <c r="C2485" t="s">
        <v>39</v>
      </c>
      <c r="D2485">
        <v>-5214695.8500000006</v>
      </c>
      <c r="E2485" t="s">
        <v>331</v>
      </c>
    </row>
    <row r="2486" spans="1:5" x14ac:dyDescent="0.25">
      <c r="A2486">
        <v>1385</v>
      </c>
      <c r="B2486" s="16">
        <v>43497</v>
      </c>
      <c r="C2486" t="s">
        <v>39</v>
      </c>
      <c r="D2486">
        <v>-5214695.8500000006</v>
      </c>
      <c r="E2486" t="s">
        <v>331</v>
      </c>
    </row>
    <row r="2487" spans="1:5" x14ac:dyDescent="0.25">
      <c r="A2487">
        <v>1385</v>
      </c>
      <c r="B2487" s="16">
        <v>43525</v>
      </c>
      <c r="C2487" t="s">
        <v>39</v>
      </c>
      <c r="D2487">
        <v>-5214695.8500000006</v>
      </c>
      <c r="E2487" t="s">
        <v>331</v>
      </c>
    </row>
    <row r="2488" spans="1:5" x14ac:dyDescent="0.25">
      <c r="A2488">
        <v>1385</v>
      </c>
      <c r="B2488" s="16">
        <v>43556</v>
      </c>
      <c r="C2488" t="s">
        <v>39</v>
      </c>
      <c r="D2488">
        <v>-5214695.8500000006</v>
      </c>
      <c r="E2488" t="s">
        <v>331</v>
      </c>
    </row>
    <row r="2489" spans="1:5" x14ac:dyDescent="0.25">
      <c r="A2489">
        <v>1385</v>
      </c>
      <c r="B2489" s="16">
        <v>43586</v>
      </c>
      <c r="C2489" t="s">
        <v>39</v>
      </c>
      <c r="D2489">
        <v>-5214695.8500000006</v>
      </c>
      <c r="E2489" t="s">
        <v>331</v>
      </c>
    </row>
    <row r="2490" spans="1:5" x14ac:dyDescent="0.25">
      <c r="A2490">
        <v>1385</v>
      </c>
      <c r="B2490" s="16">
        <v>43466</v>
      </c>
      <c r="C2490" t="s">
        <v>57</v>
      </c>
      <c r="D2490">
        <v>-5214695.8500000006</v>
      </c>
      <c r="E2490" t="s">
        <v>331</v>
      </c>
    </row>
    <row r="2491" spans="1:5" x14ac:dyDescent="0.25">
      <c r="A2491">
        <v>1385</v>
      </c>
      <c r="B2491" s="16">
        <v>43497</v>
      </c>
      <c r="C2491" t="s">
        <v>57</v>
      </c>
      <c r="D2491">
        <v>-5214695.8500000006</v>
      </c>
      <c r="E2491" t="s">
        <v>331</v>
      </c>
    </row>
    <row r="2492" spans="1:5" x14ac:dyDescent="0.25">
      <c r="A2492">
        <v>1385</v>
      </c>
      <c r="B2492" s="16">
        <v>43525</v>
      </c>
      <c r="C2492" t="s">
        <v>57</v>
      </c>
      <c r="D2492">
        <v>-5214695.8500000006</v>
      </c>
      <c r="E2492" t="s">
        <v>331</v>
      </c>
    </row>
    <row r="2493" spans="1:5" x14ac:dyDescent="0.25">
      <c r="A2493">
        <v>1385</v>
      </c>
      <c r="B2493" s="16">
        <v>43556</v>
      </c>
      <c r="C2493" t="s">
        <v>57</v>
      </c>
      <c r="D2493">
        <v>-5214695.8500000006</v>
      </c>
      <c r="E2493" t="s">
        <v>331</v>
      </c>
    </row>
    <row r="2494" spans="1:5" x14ac:dyDescent="0.25">
      <c r="A2494">
        <v>1385</v>
      </c>
      <c r="B2494" s="16">
        <v>43586</v>
      </c>
      <c r="C2494" t="s">
        <v>57</v>
      </c>
      <c r="D2494">
        <v>-5214695.8500000006</v>
      </c>
      <c r="E2494" t="s">
        <v>331</v>
      </c>
    </row>
    <row r="2495" spans="1:5" x14ac:dyDescent="0.25">
      <c r="A2495">
        <v>1385</v>
      </c>
      <c r="B2495" s="16">
        <v>43466</v>
      </c>
      <c r="C2495" t="s">
        <v>58</v>
      </c>
      <c r="D2495">
        <v>-5142002.25</v>
      </c>
      <c r="E2495" t="s">
        <v>331</v>
      </c>
    </row>
    <row r="2496" spans="1:5" x14ac:dyDescent="0.25">
      <c r="A2496">
        <v>1385</v>
      </c>
      <c r="B2496" s="16">
        <v>43497</v>
      </c>
      <c r="C2496" t="s">
        <v>58</v>
      </c>
      <c r="D2496">
        <v>-5142002.25</v>
      </c>
      <c r="E2496" t="s">
        <v>331</v>
      </c>
    </row>
    <row r="2497" spans="1:5" x14ac:dyDescent="0.25">
      <c r="A2497">
        <v>1385</v>
      </c>
      <c r="B2497" s="16">
        <v>43525</v>
      </c>
      <c r="C2497" t="s">
        <v>58</v>
      </c>
      <c r="D2497">
        <v>-5142002.25</v>
      </c>
      <c r="E2497" t="s">
        <v>331</v>
      </c>
    </row>
    <row r="2498" spans="1:5" x14ac:dyDescent="0.25">
      <c r="A2498">
        <v>1385</v>
      </c>
      <c r="B2498" s="16">
        <v>43556</v>
      </c>
      <c r="C2498" t="s">
        <v>58</v>
      </c>
      <c r="D2498">
        <v>-5142002.25</v>
      </c>
      <c r="E2498" t="s">
        <v>331</v>
      </c>
    </row>
    <row r="2499" spans="1:5" x14ac:dyDescent="0.25">
      <c r="A2499">
        <v>1385</v>
      </c>
      <c r="B2499" s="16">
        <v>43586</v>
      </c>
      <c r="C2499" t="s">
        <v>58</v>
      </c>
      <c r="D2499">
        <v>-5142002.25</v>
      </c>
      <c r="E2499" t="s">
        <v>331</v>
      </c>
    </row>
    <row r="2500" spans="1:5" x14ac:dyDescent="0.25">
      <c r="A2500">
        <v>1385</v>
      </c>
      <c r="B2500" s="16">
        <v>43466</v>
      </c>
      <c r="C2500" t="s">
        <v>14</v>
      </c>
      <c r="D2500">
        <v>-9867809.7000000011</v>
      </c>
      <c r="E2500" t="s">
        <v>331</v>
      </c>
    </row>
    <row r="2501" spans="1:5" x14ac:dyDescent="0.25">
      <c r="A2501">
        <v>1385</v>
      </c>
      <c r="B2501" s="16">
        <v>43497</v>
      </c>
      <c r="C2501" t="s">
        <v>14</v>
      </c>
      <c r="D2501">
        <v>-9867809.7000000011</v>
      </c>
      <c r="E2501" t="s">
        <v>331</v>
      </c>
    </row>
    <row r="2502" spans="1:5" x14ac:dyDescent="0.25">
      <c r="A2502">
        <v>1385</v>
      </c>
      <c r="B2502" s="16">
        <v>43525</v>
      </c>
      <c r="C2502" t="s">
        <v>14</v>
      </c>
      <c r="D2502">
        <v>-9867809.7000000011</v>
      </c>
      <c r="E2502" t="s">
        <v>331</v>
      </c>
    </row>
    <row r="2503" spans="1:5" x14ac:dyDescent="0.25">
      <c r="A2503">
        <v>1385</v>
      </c>
      <c r="B2503" s="16">
        <v>43556</v>
      </c>
      <c r="C2503" t="s">
        <v>14</v>
      </c>
      <c r="D2503">
        <v>-9867809.7000000011</v>
      </c>
      <c r="E2503" t="s">
        <v>331</v>
      </c>
    </row>
    <row r="2504" spans="1:5" x14ac:dyDescent="0.25">
      <c r="A2504">
        <v>1385</v>
      </c>
      <c r="B2504" s="16">
        <v>43586</v>
      </c>
      <c r="C2504" t="s">
        <v>14</v>
      </c>
      <c r="D2504">
        <v>-9867809.7000000011</v>
      </c>
      <c r="E2504" t="s">
        <v>331</v>
      </c>
    </row>
    <row r="2505" spans="1:5" x14ac:dyDescent="0.25">
      <c r="A2505">
        <v>1385</v>
      </c>
      <c r="B2505" s="16">
        <v>43466</v>
      </c>
      <c r="C2505" t="s">
        <v>117</v>
      </c>
      <c r="D2505">
        <v>-3569121.1500000004</v>
      </c>
      <c r="E2505" t="s">
        <v>331</v>
      </c>
    </row>
    <row r="2506" spans="1:5" x14ac:dyDescent="0.25">
      <c r="A2506">
        <v>1385</v>
      </c>
      <c r="B2506" s="16">
        <v>43497</v>
      </c>
      <c r="C2506" t="s">
        <v>117</v>
      </c>
      <c r="D2506">
        <v>-3569121.1500000004</v>
      </c>
      <c r="E2506" t="s">
        <v>331</v>
      </c>
    </row>
    <row r="2507" spans="1:5" x14ac:dyDescent="0.25">
      <c r="A2507">
        <v>1385</v>
      </c>
      <c r="B2507" s="16">
        <v>43525</v>
      </c>
      <c r="C2507" t="s">
        <v>117</v>
      </c>
      <c r="D2507">
        <v>-3569121.1500000004</v>
      </c>
      <c r="E2507" t="s">
        <v>331</v>
      </c>
    </row>
    <row r="2508" spans="1:5" x14ac:dyDescent="0.25">
      <c r="A2508">
        <v>1385</v>
      </c>
      <c r="B2508" s="16">
        <v>43556</v>
      </c>
      <c r="C2508" t="s">
        <v>117</v>
      </c>
      <c r="D2508">
        <v>-3569121.1500000004</v>
      </c>
      <c r="E2508" t="s">
        <v>331</v>
      </c>
    </row>
    <row r="2509" spans="1:5" x14ac:dyDescent="0.25">
      <c r="A2509">
        <v>1385</v>
      </c>
      <c r="B2509" s="16">
        <v>43586</v>
      </c>
      <c r="C2509" t="s">
        <v>117</v>
      </c>
      <c r="D2509">
        <v>-3569121.1500000004</v>
      </c>
      <c r="E2509" t="s">
        <v>331</v>
      </c>
    </row>
    <row r="2510" spans="1:5" x14ac:dyDescent="0.25">
      <c r="A2510">
        <v>1385</v>
      </c>
      <c r="B2510" s="16">
        <v>43466</v>
      </c>
      <c r="C2510" t="s">
        <v>135</v>
      </c>
      <c r="D2510">
        <v>-4240842.9000000004</v>
      </c>
      <c r="E2510" t="s">
        <v>331</v>
      </c>
    </row>
    <row r="2511" spans="1:5" x14ac:dyDescent="0.25">
      <c r="A2511">
        <v>1385</v>
      </c>
      <c r="B2511" s="16">
        <v>43497</v>
      </c>
      <c r="C2511" t="s">
        <v>135</v>
      </c>
      <c r="D2511">
        <v>-4240842.9000000004</v>
      </c>
      <c r="E2511" t="s">
        <v>331</v>
      </c>
    </row>
    <row r="2512" spans="1:5" x14ac:dyDescent="0.25">
      <c r="A2512">
        <v>1385</v>
      </c>
      <c r="B2512" s="16">
        <v>43525</v>
      </c>
      <c r="C2512" t="s">
        <v>135</v>
      </c>
      <c r="D2512">
        <v>-4240842.9000000004</v>
      </c>
      <c r="E2512" t="s">
        <v>331</v>
      </c>
    </row>
    <row r="2513" spans="1:5" x14ac:dyDescent="0.25">
      <c r="A2513">
        <v>1385</v>
      </c>
      <c r="B2513" s="16">
        <v>43556</v>
      </c>
      <c r="C2513" t="s">
        <v>135</v>
      </c>
      <c r="D2513">
        <v>-4240842.9000000004</v>
      </c>
      <c r="E2513" t="s">
        <v>331</v>
      </c>
    </row>
    <row r="2514" spans="1:5" x14ac:dyDescent="0.25">
      <c r="A2514">
        <v>1385</v>
      </c>
      <c r="B2514" s="16">
        <v>43586</v>
      </c>
      <c r="C2514" t="s">
        <v>135</v>
      </c>
      <c r="D2514">
        <v>-4240842.9000000004</v>
      </c>
      <c r="E2514" t="s">
        <v>331</v>
      </c>
    </row>
    <row r="2515" spans="1:5" x14ac:dyDescent="0.25">
      <c r="A2515">
        <v>1385</v>
      </c>
      <c r="B2515" s="16">
        <v>43466</v>
      </c>
      <c r="C2515" t="s">
        <v>97</v>
      </c>
      <c r="D2515">
        <v>-3348034.2</v>
      </c>
      <c r="E2515" t="s">
        <v>331</v>
      </c>
    </row>
    <row r="2516" spans="1:5" x14ac:dyDescent="0.25">
      <c r="A2516">
        <v>1385</v>
      </c>
      <c r="B2516" s="16">
        <v>43497</v>
      </c>
      <c r="C2516" t="s">
        <v>97</v>
      </c>
      <c r="D2516">
        <v>-3348034.2</v>
      </c>
      <c r="E2516" t="s">
        <v>331</v>
      </c>
    </row>
    <row r="2517" spans="1:5" x14ac:dyDescent="0.25">
      <c r="A2517">
        <v>1385</v>
      </c>
      <c r="B2517" s="16">
        <v>43525</v>
      </c>
      <c r="C2517" t="s">
        <v>97</v>
      </c>
      <c r="D2517">
        <v>-3348034.2</v>
      </c>
      <c r="E2517" t="s">
        <v>331</v>
      </c>
    </row>
    <row r="2518" spans="1:5" x14ac:dyDescent="0.25">
      <c r="A2518">
        <v>1385</v>
      </c>
      <c r="B2518" s="16">
        <v>43556</v>
      </c>
      <c r="C2518" t="s">
        <v>97</v>
      </c>
      <c r="D2518">
        <v>-3348034.2</v>
      </c>
      <c r="E2518" t="s">
        <v>331</v>
      </c>
    </row>
    <row r="2519" spans="1:5" x14ac:dyDescent="0.25">
      <c r="A2519">
        <v>1385</v>
      </c>
      <c r="B2519" s="16">
        <v>43586</v>
      </c>
      <c r="C2519" t="s">
        <v>97</v>
      </c>
      <c r="D2519">
        <v>-3348034.2</v>
      </c>
      <c r="E2519" t="s">
        <v>331</v>
      </c>
    </row>
    <row r="2520" spans="1:5" x14ac:dyDescent="0.25">
      <c r="A2520">
        <v>1385</v>
      </c>
      <c r="B2520" s="16">
        <v>43466</v>
      </c>
      <c r="C2520" t="s">
        <v>303</v>
      </c>
      <c r="D2520">
        <v>-3348034.2</v>
      </c>
      <c r="E2520" t="s">
        <v>331</v>
      </c>
    </row>
    <row r="2521" spans="1:5" x14ac:dyDescent="0.25">
      <c r="A2521">
        <v>1385</v>
      </c>
      <c r="B2521" s="16">
        <v>43497</v>
      </c>
      <c r="C2521" t="s">
        <v>303</v>
      </c>
      <c r="D2521">
        <v>-3348034.2</v>
      </c>
      <c r="E2521" t="s">
        <v>331</v>
      </c>
    </row>
    <row r="2522" spans="1:5" x14ac:dyDescent="0.25">
      <c r="A2522">
        <v>1385</v>
      </c>
      <c r="B2522" s="16">
        <v>43525</v>
      </c>
      <c r="C2522" t="s">
        <v>303</v>
      </c>
      <c r="D2522">
        <v>-3348034.2</v>
      </c>
      <c r="E2522" t="s">
        <v>331</v>
      </c>
    </row>
    <row r="2523" spans="1:5" x14ac:dyDescent="0.25">
      <c r="A2523">
        <v>1385</v>
      </c>
      <c r="B2523" s="16">
        <v>43556</v>
      </c>
      <c r="C2523" t="s">
        <v>303</v>
      </c>
      <c r="D2523">
        <v>-3348034.2</v>
      </c>
      <c r="E2523" t="s">
        <v>331</v>
      </c>
    </row>
    <row r="2524" spans="1:5" x14ac:dyDescent="0.25">
      <c r="A2524">
        <v>1385</v>
      </c>
      <c r="B2524" s="16">
        <v>43586</v>
      </c>
      <c r="C2524" t="s">
        <v>303</v>
      </c>
      <c r="D2524">
        <v>-3348034.2</v>
      </c>
      <c r="E2524" t="s">
        <v>331</v>
      </c>
    </row>
    <row r="2525" spans="1:5" x14ac:dyDescent="0.25">
      <c r="A2525">
        <v>1385</v>
      </c>
      <c r="B2525" s="16">
        <v>43466</v>
      </c>
      <c r="C2525" t="s">
        <v>304</v>
      </c>
      <c r="D2525">
        <v>-3348034.2</v>
      </c>
      <c r="E2525" t="s">
        <v>331</v>
      </c>
    </row>
    <row r="2526" spans="1:5" x14ac:dyDescent="0.25">
      <c r="A2526">
        <v>1385</v>
      </c>
      <c r="B2526" s="16">
        <v>43497</v>
      </c>
      <c r="C2526" t="s">
        <v>304</v>
      </c>
      <c r="D2526">
        <v>-3348034.2</v>
      </c>
      <c r="E2526" t="s">
        <v>331</v>
      </c>
    </row>
    <row r="2527" spans="1:5" x14ac:dyDescent="0.25">
      <c r="A2527">
        <v>1385</v>
      </c>
      <c r="B2527" s="16">
        <v>43525</v>
      </c>
      <c r="C2527" t="s">
        <v>304</v>
      </c>
      <c r="D2527">
        <v>-3348034.2</v>
      </c>
      <c r="E2527" t="s">
        <v>331</v>
      </c>
    </row>
    <row r="2528" spans="1:5" x14ac:dyDescent="0.25">
      <c r="A2528">
        <v>1385</v>
      </c>
      <c r="B2528" s="16">
        <v>43556</v>
      </c>
      <c r="C2528" t="s">
        <v>304</v>
      </c>
      <c r="D2528">
        <v>-3348034.2</v>
      </c>
      <c r="E2528" t="s">
        <v>331</v>
      </c>
    </row>
    <row r="2529" spans="1:5" x14ac:dyDescent="0.25">
      <c r="A2529">
        <v>1385</v>
      </c>
      <c r="B2529" s="16">
        <v>43586</v>
      </c>
      <c r="C2529" t="s">
        <v>304</v>
      </c>
      <c r="D2529">
        <v>-3348034.2</v>
      </c>
      <c r="E2529" t="s">
        <v>331</v>
      </c>
    </row>
    <row r="2530" spans="1:5" x14ac:dyDescent="0.25">
      <c r="A2530">
        <v>1385</v>
      </c>
      <c r="B2530" s="16">
        <v>43466</v>
      </c>
      <c r="C2530" t="s">
        <v>36</v>
      </c>
      <c r="D2530">
        <v>-3348034.2</v>
      </c>
      <c r="E2530" t="s">
        <v>331</v>
      </c>
    </row>
    <row r="2531" spans="1:5" x14ac:dyDescent="0.25">
      <c r="A2531">
        <v>1385</v>
      </c>
      <c r="B2531" s="16">
        <v>43497</v>
      </c>
      <c r="C2531" t="s">
        <v>36</v>
      </c>
      <c r="D2531">
        <v>-3348034.2</v>
      </c>
      <c r="E2531" t="s">
        <v>331</v>
      </c>
    </row>
    <row r="2532" spans="1:5" x14ac:dyDescent="0.25">
      <c r="A2532">
        <v>1385</v>
      </c>
      <c r="B2532" s="16">
        <v>43525</v>
      </c>
      <c r="C2532" t="s">
        <v>36</v>
      </c>
      <c r="D2532">
        <v>-3348034.2</v>
      </c>
      <c r="E2532" t="s">
        <v>331</v>
      </c>
    </row>
    <row r="2533" spans="1:5" x14ac:dyDescent="0.25">
      <c r="A2533">
        <v>1385</v>
      </c>
      <c r="B2533" s="16">
        <v>43556</v>
      </c>
      <c r="C2533" t="s">
        <v>36</v>
      </c>
      <c r="D2533">
        <v>-3348034.2</v>
      </c>
      <c r="E2533" t="s">
        <v>331</v>
      </c>
    </row>
    <row r="2534" spans="1:5" x14ac:dyDescent="0.25">
      <c r="A2534">
        <v>1385</v>
      </c>
      <c r="B2534" s="16">
        <v>43586</v>
      </c>
      <c r="C2534" t="s">
        <v>36</v>
      </c>
      <c r="D2534">
        <v>-3348034.2</v>
      </c>
      <c r="E2534" t="s">
        <v>331</v>
      </c>
    </row>
    <row r="2535" spans="1:5" x14ac:dyDescent="0.25">
      <c r="A2535">
        <v>1385</v>
      </c>
      <c r="B2535" s="16">
        <v>43466</v>
      </c>
      <c r="C2535" t="s">
        <v>305</v>
      </c>
      <c r="D2535">
        <v>-3348034.2</v>
      </c>
      <c r="E2535" t="s">
        <v>331</v>
      </c>
    </row>
    <row r="2536" spans="1:5" x14ac:dyDescent="0.25">
      <c r="A2536">
        <v>1385</v>
      </c>
      <c r="B2536" s="16">
        <v>43497</v>
      </c>
      <c r="C2536" t="s">
        <v>305</v>
      </c>
      <c r="D2536">
        <v>-3348034.2</v>
      </c>
      <c r="E2536" t="s">
        <v>331</v>
      </c>
    </row>
    <row r="2537" spans="1:5" x14ac:dyDescent="0.25">
      <c r="A2537">
        <v>1385</v>
      </c>
      <c r="B2537" s="16">
        <v>43525</v>
      </c>
      <c r="C2537" t="s">
        <v>305</v>
      </c>
      <c r="D2537">
        <v>-3348034.2</v>
      </c>
      <c r="E2537" t="s">
        <v>331</v>
      </c>
    </row>
    <row r="2538" spans="1:5" x14ac:dyDescent="0.25">
      <c r="A2538">
        <v>1385</v>
      </c>
      <c r="B2538" s="16">
        <v>43556</v>
      </c>
      <c r="C2538" t="s">
        <v>305</v>
      </c>
      <c r="D2538">
        <v>-3348034.2</v>
      </c>
      <c r="E2538" t="s">
        <v>331</v>
      </c>
    </row>
    <row r="2539" spans="1:5" x14ac:dyDescent="0.25">
      <c r="A2539">
        <v>1385</v>
      </c>
      <c r="B2539" s="16">
        <v>43586</v>
      </c>
      <c r="C2539" t="s">
        <v>305</v>
      </c>
      <c r="D2539">
        <v>-3348034.2</v>
      </c>
      <c r="E2539" t="s">
        <v>331</v>
      </c>
    </row>
    <row r="2540" spans="1:5" x14ac:dyDescent="0.25">
      <c r="A2540">
        <v>1385</v>
      </c>
      <c r="B2540" s="16">
        <v>43466</v>
      </c>
      <c r="C2540" t="s">
        <v>306</v>
      </c>
      <c r="D2540">
        <v>-3348034.2</v>
      </c>
      <c r="E2540" t="s">
        <v>331</v>
      </c>
    </row>
    <row r="2541" spans="1:5" x14ac:dyDescent="0.25">
      <c r="A2541">
        <v>1385</v>
      </c>
      <c r="B2541" s="16">
        <v>43497</v>
      </c>
      <c r="C2541" t="s">
        <v>306</v>
      </c>
      <c r="D2541">
        <v>-3348034.2</v>
      </c>
      <c r="E2541" t="s">
        <v>331</v>
      </c>
    </row>
    <row r="2542" spans="1:5" x14ac:dyDescent="0.25">
      <c r="A2542">
        <v>1385</v>
      </c>
      <c r="B2542" s="16">
        <v>43525</v>
      </c>
      <c r="C2542" t="s">
        <v>306</v>
      </c>
      <c r="D2542">
        <v>-3348034.2</v>
      </c>
      <c r="E2542" t="s">
        <v>331</v>
      </c>
    </row>
    <row r="2543" spans="1:5" x14ac:dyDescent="0.25">
      <c r="A2543">
        <v>1385</v>
      </c>
      <c r="B2543" s="16">
        <v>43556</v>
      </c>
      <c r="C2543" t="s">
        <v>306</v>
      </c>
      <c r="D2543">
        <v>-3348034.2</v>
      </c>
      <c r="E2543" t="s">
        <v>331</v>
      </c>
    </row>
    <row r="2544" spans="1:5" x14ac:dyDescent="0.25">
      <c r="A2544">
        <v>1385</v>
      </c>
      <c r="B2544" s="16">
        <v>43586</v>
      </c>
      <c r="C2544" t="s">
        <v>306</v>
      </c>
      <c r="D2544">
        <v>-3348034.2</v>
      </c>
      <c r="E2544" t="s">
        <v>331</v>
      </c>
    </row>
    <row r="2545" spans="1:5" x14ac:dyDescent="0.25">
      <c r="A2545">
        <v>1385</v>
      </c>
      <c r="B2545" s="16">
        <v>43466</v>
      </c>
      <c r="C2545" t="s">
        <v>83</v>
      </c>
      <c r="D2545">
        <v>-1989931.6500000001</v>
      </c>
      <c r="E2545" t="s">
        <v>331</v>
      </c>
    </row>
    <row r="2546" spans="1:5" x14ac:dyDescent="0.25">
      <c r="A2546">
        <v>1385</v>
      </c>
      <c r="B2546" s="16">
        <v>43497</v>
      </c>
      <c r="C2546" t="s">
        <v>83</v>
      </c>
      <c r="D2546">
        <v>-1989931.6500000001</v>
      </c>
      <c r="E2546" t="s">
        <v>331</v>
      </c>
    </row>
    <row r="2547" spans="1:5" x14ac:dyDescent="0.25">
      <c r="A2547">
        <v>1385</v>
      </c>
      <c r="B2547" s="16">
        <v>43525</v>
      </c>
      <c r="C2547" t="s">
        <v>83</v>
      </c>
      <c r="D2547">
        <v>-1989931.6500000001</v>
      </c>
      <c r="E2547" t="s">
        <v>331</v>
      </c>
    </row>
    <row r="2548" spans="1:5" x14ac:dyDescent="0.25">
      <c r="A2548">
        <v>1385</v>
      </c>
      <c r="B2548" s="16">
        <v>43556</v>
      </c>
      <c r="C2548" t="s">
        <v>83</v>
      </c>
      <c r="D2548">
        <v>-1989931.6500000001</v>
      </c>
      <c r="E2548" t="s">
        <v>331</v>
      </c>
    </row>
    <row r="2549" spans="1:5" x14ac:dyDescent="0.25">
      <c r="A2549">
        <v>1385</v>
      </c>
      <c r="B2549" s="16">
        <v>43586</v>
      </c>
      <c r="C2549" t="s">
        <v>83</v>
      </c>
      <c r="D2549">
        <v>-1989931.6500000001</v>
      </c>
      <c r="E2549" t="s">
        <v>331</v>
      </c>
    </row>
    <row r="2550" spans="1:5" x14ac:dyDescent="0.25">
      <c r="A2550">
        <v>1385</v>
      </c>
      <c r="B2550" s="16">
        <v>43466</v>
      </c>
      <c r="C2550" t="s">
        <v>29</v>
      </c>
      <c r="D2550">
        <v>-6819217.6500000004</v>
      </c>
      <c r="E2550" t="s">
        <v>331</v>
      </c>
    </row>
    <row r="2551" spans="1:5" x14ac:dyDescent="0.25">
      <c r="A2551">
        <v>1385</v>
      </c>
      <c r="B2551" s="16">
        <v>43497</v>
      </c>
      <c r="C2551" t="s">
        <v>29</v>
      </c>
      <c r="D2551">
        <v>-6819217.6500000004</v>
      </c>
      <c r="E2551" t="s">
        <v>331</v>
      </c>
    </row>
    <row r="2552" spans="1:5" x14ac:dyDescent="0.25">
      <c r="A2552">
        <v>1385</v>
      </c>
      <c r="B2552" s="16">
        <v>43525</v>
      </c>
      <c r="C2552" t="s">
        <v>29</v>
      </c>
      <c r="D2552">
        <v>-6819217.6500000004</v>
      </c>
      <c r="E2552" t="s">
        <v>331</v>
      </c>
    </row>
    <row r="2553" spans="1:5" x14ac:dyDescent="0.25">
      <c r="A2553">
        <v>1385</v>
      </c>
      <c r="B2553" s="16">
        <v>43556</v>
      </c>
      <c r="C2553" t="s">
        <v>29</v>
      </c>
      <c r="D2553">
        <v>-6819217.6500000004</v>
      </c>
      <c r="E2553" t="s">
        <v>331</v>
      </c>
    </row>
    <row r="2554" spans="1:5" x14ac:dyDescent="0.25">
      <c r="A2554">
        <v>1385</v>
      </c>
      <c r="B2554" s="16">
        <v>43586</v>
      </c>
      <c r="C2554" t="s">
        <v>29</v>
      </c>
      <c r="D2554">
        <v>-6819217.6500000004</v>
      </c>
      <c r="E2554" t="s">
        <v>331</v>
      </c>
    </row>
    <row r="2555" spans="1:5" x14ac:dyDescent="0.25">
      <c r="A2555">
        <v>1385</v>
      </c>
      <c r="B2555" s="16">
        <v>43466</v>
      </c>
      <c r="C2555" t="s">
        <v>26</v>
      </c>
      <c r="D2555">
        <v>-9827696.5500000007</v>
      </c>
      <c r="E2555" t="s">
        <v>331</v>
      </c>
    </row>
    <row r="2556" spans="1:5" x14ac:dyDescent="0.25">
      <c r="A2556">
        <v>1385</v>
      </c>
      <c r="B2556" s="16">
        <v>43497</v>
      </c>
      <c r="C2556" t="s">
        <v>26</v>
      </c>
      <c r="D2556">
        <v>-9827696.5500000007</v>
      </c>
      <c r="E2556" t="s">
        <v>331</v>
      </c>
    </row>
    <row r="2557" spans="1:5" x14ac:dyDescent="0.25">
      <c r="A2557">
        <v>1385</v>
      </c>
      <c r="B2557" s="16">
        <v>43525</v>
      </c>
      <c r="C2557" t="s">
        <v>26</v>
      </c>
      <c r="D2557">
        <v>-9827696.5500000007</v>
      </c>
      <c r="E2557" t="s">
        <v>331</v>
      </c>
    </row>
    <row r="2558" spans="1:5" x14ac:dyDescent="0.25">
      <c r="A2558">
        <v>1385</v>
      </c>
      <c r="B2558" s="16">
        <v>43556</v>
      </c>
      <c r="C2558" t="s">
        <v>26</v>
      </c>
      <c r="D2558">
        <v>-9827696.5500000007</v>
      </c>
      <c r="E2558" t="s">
        <v>331</v>
      </c>
    </row>
    <row r="2559" spans="1:5" x14ac:dyDescent="0.25">
      <c r="A2559">
        <v>1385</v>
      </c>
      <c r="B2559" s="16">
        <v>43586</v>
      </c>
      <c r="C2559" t="s">
        <v>26</v>
      </c>
      <c r="D2559">
        <v>-9827696.5500000007</v>
      </c>
      <c r="E2559" t="s">
        <v>331</v>
      </c>
    </row>
    <row r="2560" spans="1:5" x14ac:dyDescent="0.25">
      <c r="A2560">
        <v>1385</v>
      </c>
      <c r="B2560" s="16">
        <v>43466</v>
      </c>
      <c r="C2560" t="s">
        <v>307</v>
      </c>
      <c r="D2560">
        <v>-9827696.5500000007</v>
      </c>
      <c r="E2560" t="s">
        <v>331</v>
      </c>
    </row>
    <row r="2561" spans="1:5" x14ac:dyDescent="0.25">
      <c r="A2561">
        <v>1385</v>
      </c>
      <c r="B2561" s="16">
        <v>43497</v>
      </c>
      <c r="C2561" t="s">
        <v>307</v>
      </c>
      <c r="D2561">
        <v>-9827696.5500000007</v>
      </c>
      <c r="E2561" t="s">
        <v>331</v>
      </c>
    </row>
    <row r="2562" spans="1:5" x14ac:dyDescent="0.25">
      <c r="A2562">
        <v>1385</v>
      </c>
      <c r="B2562" s="16">
        <v>43525</v>
      </c>
      <c r="C2562" t="s">
        <v>307</v>
      </c>
      <c r="D2562">
        <v>-9827696.5500000007</v>
      </c>
      <c r="E2562" t="s">
        <v>331</v>
      </c>
    </row>
    <row r="2563" spans="1:5" x14ac:dyDescent="0.25">
      <c r="A2563">
        <v>1385</v>
      </c>
      <c r="B2563" s="16">
        <v>43556</v>
      </c>
      <c r="C2563" t="s">
        <v>307</v>
      </c>
      <c r="D2563">
        <v>-9827696.5500000007</v>
      </c>
      <c r="E2563" t="s">
        <v>331</v>
      </c>
    </row>
    <row r="2564" spans="1:5" x14ac:dyDescent="0.25">
      <c r="A2564">
        <v>1385</v>
      </c>
      <c r="B2564" s="16">
        <v>43586</v>
      </c>
      <c r="C2564" t="s">
        <v>307</v>
      </c>
      <c r="D2564">
        <v>-9827696.5500000007</v>
      </c>
      <c r="E2564" t="s">
        <v>331</v>
      </c>
    </row>
    <row r="2565" spans="1:5" x14ac:dyDescent="0.25">
      <c r="A2565">
        <v>1385</v>
      </c>
      <c r="B2565" s="16">
        <v>43466</v>
      </c>
      <c r="C2565" t="s">
        <v>307</v>
      </c>
      <c r="D2565">
        <v>-9827696.5500000007</v>
      </c>
      <c r="E2565" t="s">
        <v>331</v>
      </c>
    </row>
    <row r="2566" spans="1:5" x14ac:dyDescent="0.25">
      <c r="A2566">
        <v>1385</v>
      </c>
      <c r="B2566" s="16">
        <v>43497</v>
      </c>
      <c r="C2566" t="s">
        <v>307</v>
      </c>
      <c r="D2566">
        <v>-9827696.5500000007</v>
      </c>
      <c r="E2566" t="s">
        <v>331</v>
      </c>
    </row>
    <row r="2567" spans="1:5" x14ac:dyDescent="0.25">
      <c r="A2567">
        <v>1385</v>
      </c>
      <c r="B2567" s="16">
        <v>43525</v>
      </c>
      <c r="C2567" t="s">
        <v>307</v>
      </c>
      <c r="D2567">
        <v>-9827696.5500000007</v>
      </c>
      <c r="E2567" t="s">
        <v>331</v>
      </c>
    </row>
    <row r="2568" spans="1:5" x14ac:dyDescent="0.25">
      <c r="A2568">
        <v>1385</v>
      </c>
      <c r="B2568" s="16">
        <v>43556</v>
      </c>
      <c r="C2568" t="s">
        <v>307</v>
      </c>
      <c r="D2568">
        <v>-9827696.5500000007</v>
      </c>
      <c r="E2568" t="s">
        <v>331</v>
      </c>
    </row>
    <row r="2569" spans="1:5" x14ac:dyDescent="0.25">
      <c r="A2569">
        <v>1385</v>
      </c>
      <c r="B2569" s="16">
        <v>43586</v>
      </c>
      <c r="C2569" t="s">
        <v>307</v>
      </c>
      <c r="D2569">
        <v>-9827696.5500000007</v>
      </c>
      <c r="E2569" t="s">
        <v>331</v>
      </c>
    </row>
    <row r="2570" spans="1:5" x14ac:dyDescent="0.25">
      <c r="A2570">
        <v>1385</v>
      </c>
      <c r="B2570" s="16">
        <v>43466</v>
      </c>
      <c r="C2570" t="s">
        <v>308</v>
      </c>
      <c r="D2570">
        <v>-7822044.3000000007</v>
      </c>
      <c r="E2570" t="s">
        <v>331</v>
      </c>
    </row>
    <row r="2571" spans="1:5" x14ac:dyDescent="0.25">
      <c r="A2571">
        <v>1385</v>
      </c>
      <c r="B2571" s="16">
        <v>43497</v>
      </c>
      <c r="C2571" t="s">
        <v>308</v>
      </c>
      <c r="D2571">
        <v>-7822044.3000000007</v>
      </c>
      <c r="E2571" t="s">
        <v>331</v>
      </c>
    </row>
    <row r="2572" spans="1:5" x14ac:dyDescent="0.25">
      <c r="A2572">
        <v>1385</v>
      </c>
      <c r="B2572" s="16">
        <v>43525</v>
      </c>
      <c r="C2572" t="s">
        <v>308</v>
      </c>
      <c r="D2572">
        <v>-7822044.3000000007</v>
      </c>
      <c r="E2572" t="s">
        <v>331</v>
      </c>
    </row>
    <row r="2573" spans="1:5" x14ac:dyDescent="0.25">
      <c r="A2573">
        <v>1385</v>
      </c>
      <c r="B2573" s="16">
        <v>43556</v>
      </c>
      <c r="C2573" t="s">
        <v>308</v>
      </c>
      <c r="D2573">
        <v>-7822044.3000000007</v>
      </c>
      <c r="E2573" t="s">
        <v>331</v>
      </c>
    </row>
    <row r="2574" spans="1:5" x14ac:dyDescent="0.25">
      <c r="A2574">
        <v>1385</v>
      </c>
      <c r="B2574" s="16">
        <v>43586</v>
      </c>
      <c r="C2574" t="s">
        <v>308</v>
      </c>
      <c r="D2574">
        <v>-7822044.3000000007</v>
      </c>
      <c r="E2574" t="s">
        <v>331</v>
      </c>
    </row>
    <row r="2575" spans="1:5" x14ac:dyDescent="0.25">
      <c r="A2575">
        <v>1899</v>
      </c>
      <c r="B2575" s="16">
        <v>43525</v>
      </c>
      <c r="C2575" t="s">
        <v>19</v>
      </c>
      <c r="D2575">
        <v>-3184375.68</v>
      </c>
      <c r="E2575" t="s">
        <v>331</v>
      </c>
    </row>
    <row r="2576" spans="1:5" x14ac:dyDescent="0.25">
      <c r="A2576">
        <v>1899</v>
      </c>
      <c r="B2576" s="16">
        <v>43556</v>
      </c>
      <c r="C2576" t="s">
        <v>19</v>
      </c>
      <c r="D2576">
        <v>-3184375.68</v>
      </c>
      <c r="E2576" t="s">
        <v>331</v>
      </c>
    </row>
    <row r="2577" spans="1:5" x14ac:dyDescent="0.25">
      <c r="A2577">
        <v>1899</v>
      </c>
      <c r="B2577" s="16">
        <v>43586</v>
      </c>
      <c r="C2577" t="s">
        <v>19</v>
      </c>
      <c r="D2577">
        <v>-3184375.68</v>
      </c>
      <c r="E2577" t="s">
        <v>331</v>
      </c>
    </row>
    <row r="2578" spans="1:5" x14ac:dyDescent="0.25">
      <c r="A2578">
        <v>1899</v>
      </c>
      <c r="B2578" s="16">
        <v>43617</v>
      </c>
      <c r="C2578" t="s">
        <v>19</v>
      </c>
      <c r="D2578">
        <v>-3184375.68</v>
      </c>
      <c r="E2578" t="s">
        <v>331</v>
      </c>
    </row>
    <row r="2579" spans="1:5" x14ac:dyDescent="0.25">
      <c r="A2579">
        <v>1899</v>
      </c>
      <c r="B2579" s="16">
        <v>43647</v>
      </c>
      <c r="C2579" t="s">
        <v>19</v>
      </c>
      <c r="D2579">
        <v>-3184375.68</v>
      </c>
      <c r="E2579" t="s">
        <v>331</v>
      </c>
    </row>
    <row r="2580" spans="1:5" x14ac:dyDescent="0.25">
      <c r="A2580">
        <v>1899</v>
      </c>
      <c r="B2580" s="16">
        <v>43678</v>
      </c>
      <c r="C2580" t="s">
        <v>19</v>
      </c>
      <c r="D2580">
        <v>-4776563.5200000005</v>
      </c>
      <c r="E2580" t="s">
        <v>331</v>
      </c>
    </row>
    <row r="2581" spans="1:5" x14ac:dyDescent="0.25">
      <c r="A2581">
        <v>1899</v>
      </c>
      <c r="B2581" s="16">
        <v>43709</v>
      </c>
      <c r="C2581" t="s">
        <v>19</v>
      </c>
      <c r="D2581">
        <v>-4776563.5200000005</v>
      </c>
      <c r="E2581" t="s">
        <v>331</v>
      </c>
    </row>
    <row r="2582" spans="1:5" x14ac:dyDescent="0.25">
      <c r="A2582">
        <v>1899</v>
      </c>
      <c r="B2582" s="16">
        <v>43739</v>
      </c>
      <c r="C2582" t="s">
        <v>19</v>
      </c>
      <c r="D2582">
        <v>-4776563.5200000005</v>
      </c>
      <c r="E2582" t="s">
        <v>331</v>
      </c>
    </row>
    <row r="2583" spans="1:5" x14ac:dyDescent="0.25">
      <c r="A2583">
        <v>1899</v>
      </c>
      <c r="B2583" s="16">
        <v>43770</v>
      </c>
      <c r="C2583" t="s">
        <v>19</v>
      </c>
      <c r="D2583">
        <v>-4776563.5200000005</v>
      </c>
      <c r="E2583" t="s">
        <v>331</v>
      </c>
    </row>
    <row r="2584" spans="1:5" x14ac:dyDescent="0.25">
      <c r="A2584">
        <v>1899</v>
      </c>
      <c r="B2584" s="16">
        <v>43800</v>
      </c>
      <c r="C2584" t="s">
        <v>19</v>
      </c>
      <c r="D2584">
        <v>-4776563.5200000005</v>
      </c>
      <c r="E2584" t="s">
        <v>331</v>
      </c>
    </row>
    <row r="2585" spans="1:5" x14ac:dyDescent="0.25">
      <c r="A2585">
        <v>1899</v>
      </c>
      <c r="B2585" s="16">
        <v>43831</v>
      </c>
      <c r="C2585" t="s">
        <v>19</v>
      </c>
      <c r="D2585">
        <v>-4776563.5200000005</v>
      </c>
      <c r="E2585" t="s">
        <v>331</v>
      </c>
    </row>
    <row r="2586" spans="1:5" x14ac:dyDescent="0.25">
      <c r="A2586">
        <v>1899</v>
      </c>
      <c r="B2586" s="16">
        <v>43862</v>
      </c>
      <c r="C2586" t="s">
        <v>19</v>
      </c>
      <c r="D2586">
        <v>-4776563.5200000005</v>
      </c>
      <c r="E2586" t="s">
        <v>331</v>
      </c>
    </row>
    <row r="2587" spans="1:5" x14ac:dyDescent="0.25">
      <c r="A2587">
        <v>1899</v>
      </c>
      <c r="B2587" s="16">
        <v>43891</v>
      </c>
      <c r="C2587" t="s">
        <v>19</v>
      </c>
      <c r="D2587">
        <v>-4776563.5200000005</v>
      </c>
      <c r="E2587" t="s">
        <v>331</v>
      </c>
    </row>
    <row r="2588" spans="1:5" x14ac:dyDescent="0.25">
      <c r="A2588">
        <v>1899</v>
      </c>
      <c r="B2588" s="16">
        <v>43922</v>
      </c>
      <c r="C2588" t="s">
        <v>19</v>
      </c>
      <c r="D2588">
        <v>-4776563.5200000005</v>
      </c>
      <c r="E2588" t="s">
        <v>331</v>
      </c>
    </row>
    <row r="2589" spans="1:5" x14ac:dyDescent="0.25">
      <c r="A2589">
        <v>1899</v>
      </c>
      <c r="B2589" s="16">
        <v>43952</v>
      </c>
      <c r="C2589" t="s">
        <v>19</v>
      </c>
      <c r="D2589">
        <v>-4776563.5200000005</v>
      </c>
      <c r="E2589" t="s">
        <v>331</v>
      </c>
    </row>
    <row r="2590" spans="1:5" x14ac:dyDescent="0.25">
      <c r="A2590">
        <v>1899</v>
      </c>
      <c r="B2590" s="16">
        <v>43983</v>
      </c>
      <c r="C2590" t="s">
        <v>19</v>
      </c>
      <c r="D2590">
        <v>-4776563.5200000005</v>
      </c>
      <c r="E2590" t="s">
        <v>331</v>
      </c>
    </row>
    <row r="2591" spans="1:5" x14ac:dyDescent="0.25">
      <c r="A2591">
        <v>1899</v>
      </c>
      <c r="B2591" s="16">
        <v>44013</v>
      </c>
      <c r="C2591" t="s">
        <v>19</v>
      </c>
      <c r="D2591">
        <v>-4776563.5200000005</v>
      </c>
      <c r="E2591" t="s">
        <v>331</v>
      </c>
    </row>
    <row r="2592" spans="1:5" x14ac:dyDescent="0.25">
      <c r="A2592">
        <v>1899</v>
      </c>
      <c r="B2592" s="16">
        <v>44044</v>
      </c>
      <c r="C2592" t="s">
        <v>19</v>
      </c>
      <c r="D2592">
        <v>-4776563.5200000005</v>
      </c>
      <c r="E2592" t="s">
        <v>331</v>
      </c>
    </row>
    <row r="2593" spans="1:5" x14ac:dyDescent="0.25">
      <c r="A2593">
        <v>1899</v>
      </c>
      <c r="B2593" s="16">
        <v>44075</v>
      </c>
      <c r="C2593" t="s">
        <v>19</v>
      </c>
      <c r="D2593">
        <v>-4776563.5200000005</v>
      </c>
      <c r="E2593" t="s">
        <v>331</v>
      </c>
    </row>
    <row r="2594" spans="1:5" x14ac:dyDescent="0.25">
      <c r="A2594">
        <v>1899</v>
      </c>
      <c r="B2594" s="16">
        <v>44105</v>
      </c>
      <c r="C2594" t="s">
        <v>19</v>
      </c>
      <c r="D2594">
        <v>-4776563.5200000005</v>
      </c>
      <c r="E2594" t="s">
        <v>331</v>
      </c>
    </row>
    <row r="2595" spans="1:5" x14ac:dyDescent="0.25">
      <c r="A2595">
        <v>1899</v>
      </c>
      <c r="B2595" s="16">
        <v>44136</v>
      </c>
      <c r="C2595" t="s">
        <v>19</v>
      </c>
      <c r="D2595">
        <v>-4776563.5200000005</v>
      </c>
      <c r="E2595" t="s">
        <v>331</v>
      </c>
    </row>
    <row r="2596" spans="1:5" x14ac:dyDescent="0.25">
      <c r="A2596">
        <v>1899</v>
      </c>
      <c r="B2596" s="16">
        <v>44166</v>
      </c>
      <c r="C2596" t="s">
        <v>19</v>
      </c>
      <c r="D2596">
        <v>-4776563.5200000005</v>
      </c>
      <c r="E2596" t="s">
        <v>331</v>
      </c>
    </row>
    <row r="2597" spans="1:5" x14ac:dyDescent="0.25">
      <c r="A2597">
        <v>1899</v>
      </c>
      <c r="B2597" s="16">
        <v>44197</v>
      </c>
      <c r="C2597" t="s">
        <v>19</v>
      </c>
      <c r="D2597">
        <v>-4776563.5200000005</v>
      </c>
      <c r="E2597" t="s">
        <v>331</v>
      </c>
    </row>
    <row r="2598" spans="1:5" x14ac:dyDescent="0.25">
      <c r="A2598">
        <v>1899</v>
      </c>
      <c r="B2598" s="16">
        <v>44228</v>
      </c>
      <c r="C2598" t="s">
        <v>19</v>
      </c>
      <c r="D2598">
        <v>-4776563.5200000005</v>
      </c>
      <c r="E2598" t="s">
        <v>331</v>
      </c>
    </row>
    <row r="2599" spans="1:5" x14ac:dyDescent="0.25">
      <c r="A2599">
        <v>1899</v>
      </c>
      <c r="B2599" s="16">
        <v>44256</v>
      </c>
      <c r="C2599" t="s">
        <v>19</v>
      </c>
      <c r="D2599">
        <v>-4776563.5200000005</v>
      </c>
      <c r="E2599" t="s">
        <v>331</v>
      </c>
    </row>
    <row r="2600" spans="1:5" x14ac:dyDescent="0.25">
      <c r="A2600">
        <v>1899</v>
      </c>
      <c r="B2600" s="16">
        <v>43525</v>
      </c>
      <c r="C2600" t="s">
        <v>12</v>
      </c>
      <c r="D2600">
        <v>-6862500</v>
      </c>
      <c r="E2600" t="s">
        <v>331</v>
      </c>
    </row>
    <row r="2601" spans="1:5" x14ac:dyDescent="0.25">
      <c r="A2601">
        <v>1899</v>
      </c>
      <c r="B2601" s="16">
        <v>43556</v>
      </c>
      <c r="C2601" t="s">
        <v>12</v>
      </c>
      <c r="D2601">
        <v>-6862500</v>
      </c>
      <c r="E2601" t="s">
        <v>331</v>
      </c>
    </row>
    <row r="2602" spans="1:5" x14ac:dyDescent="0.25">
      <c r="A2602">
        <v>1899</v>
      </c>
      <c r="B2602" s="16">
        <v>43586</v>
      </c>
      <c r="C2602" t="s">
        <v>12</v>
      </c>
      <c r="D2602">
        <v>-6862500</v>
      </c>
      <c r="E2602" t="s">
        <v>331</v>
      </c>
    </row>
    <row r="2603" spans="1:5" x14ac:dyDescent="0.25">
      <c r="A2603">
        <v>1899</v>
      </c>
      <c r="B2603" s="16">
        <v>43617</v>
      </c>
      <c r="C2603" t="s">
        <v>12</v>
      </c>
      <c r="D2603">
        <v>-6862500</v>
      </c>
      <c r="E2603" t="s">
        <v>331</v>
      </c>
    </row>
    <row r="2604" spans="1:5" x14ac:dyDescent="0.25">
      <c r="A2604">
        <v>1899</v>
      </c>
      <c r="B2604" s="16">
        <v>43647</v>
      </c>
      <c r="C2604" t="s">
        <v>12</v>
      </c>
      <c r="D2604">
        <v>-6862500</v>
      </c>
      <c r="E2604" t="s">
        <v>331</v>
      </c>
    </row>
    <row r="2605" spans="1:5" x14ac:dyDescent="0.25">
      <c r="A2605">
        <v>1899</v>
      </c>
      <c r="B2605" s="16">
        <v>43678</v>
      </c>
      <c r="C2605" t="s">
        <v>12</v>
      </c>
      <c r="D2605">
        <v>-9150000</v>
      </c>
      <c r="E2605" t="s">
        <v>331</v>
      </c>
    </row>
    <row r="2606" spans="1:5" x14ac:dyDescent="0.25">
      <c r="A2606">
        <v>1899</v>
      </c>
      <c r="B2606" s="16">
        <v>43709</v>
      </c>
      <c r="C2606" t="s">
        <v>12</v>
      </c>
      <c r="D2606">
        <v>-9150000</v>
      </c>
      <c r="E2606" t="s">
        <v>331</v>
      </c>
    </row>
    <row r="2607" spans="1:5" x14ac:dyDescent="0.25">
      <c r="A2607">
        <v>1899</v>
      </c>
      <c r="B2607" s="16">
        <v>43739</v>
      </c>
      <c r="C2607" t="s">
        <v>12</v>
      </c>
      <c r="D2607">
        <v>-9150000</v>
      </c>
      <c r="E2607" t="s">
        <v>331</v>
      </c>
    </row>
    <row r="2608" spans="1:5" x14ac:dyDescent="0.25">
      <c r="A2608">
        <v>1899</v>
      </c>
      <c r="B2608" s="16">
        <v>43770</v>
      </c>
      <c r="C2608" t="s">
        <v>12</v>
      </c>
      <c r="D2608">
        <v>-9150000</v>
      </c>
      <c r="E2608" t="s">
        <v>331</v>
      </c>
    </row>
    <row r="2609" spans="1:5" x14ac:dyDescent="0.25">
      <c r="A2609">
        <v>1899</v>
      </c>
      <c r="B2609" s="16">
        <v>43800</v>
      </c>
      <c r="C2609" t="s">
        <v>12</v>
      </c>
      <c r="D2609">
        <v>-9150000</v>
      </c>
      <c r="E2609" t="s">
        <v>331</v>
      </c>
    </row>
    <row r="2610" spans="1:5" x14ac:dyDescent="0.25">
      <c r="A2610">
        <v>1899</v>
      </c>
      <c r="B2610" s="16">
        <v>43831</v>
      </c>
      <c r="C2610" t="s">
        <v>12</v>
      </c>
      <c r="D2610">
        <v>-9150000</v>
      </c>
      <c r="E2610" t="s">
        <v>331</v>
      </c>
    </row>
    <row r="2611" spans="1:5" x14ac:dyDescent="0.25">
      <c r="A2611">
        <v>1899</v>
      </c>
      <c r="B2611" s="16">
        <v>43862</v>
      </c>
      <c r="C2611" t="s">
        <v>12</v>
      </c>
      <c r="D2611">
        <v>-9150000</v>
      </c>
      <c r="E2611" t="s">
        <v>331</v>
      </c>
    </row>
    <row r="2612" spans="1:5" x14ac:dyDescent="0.25">
      <c r="A2612">
        <v>1899</v>
      </c>
      <c r="B2612" s="16">
        <v>43891</v>
      </c>
      <c r="C2612" t="s">
        <v>12</v>
      </c>
      <c r="D2612">
        <v>-9150000</v>
      </c>
      <c r="E2612" t="s">
        <v>331</v>
      </c>
    </row>
    <row r="2613" spans="1:5" x14ac:dyDescent="0.25">
      <c r="A2613">
        <v>1899</v>
      </c>
      <c r="B2613" s="16">
        <v>43922</v>
      </c>
      <c r="C2613" t="s">
        <v>12</v>
      </c>
      <c r="D2613">
        <v>-9150000</v>
      </c>
      <c r="E2613" t="s">
        <v>331</v>
      </c>
    </row>
    <row r="2614" spans="1:5" x14ac:dyDescent="0.25">
      <c r="A2614">
        <v>1899</v>
      </c>
      <c r="B2614" s="16">
        <v>43952</v>
      </c>
      <c r="C2614" t="s">
        <v>12</v>
      </c>
      <c r="D2614">
        <v>-9150000</v>
      </c>
      <c r="E2614" t="s">
        <v>331</v>
      </c>
    </row>
    <row r="2615" spans="1:5" x14ac:dyDescent="0.25">
      <c r="A2615">
        <v>1899</v>
      </c>
      <c r="B2615" s="16">
        <v>43983</v>
      </c>
      <c r="C2615" t="s">
        <v>12</v>
      </c>
      <c r="D2615">
        <v>-9150000</v>
      </c>
      <c r="E2615" t="s">
        <v>331</v>
      </c>
    </row>
    <row r="2616" spans="1:5" x14ac:dyDescent="0.25">
      <c r="A2616">
        <v>1899</v>
      </c>
      <c r="B2616" s="16">
        <v>44013</v>
      </c>
      <c r="C2616" t="s">
        <v>12</v>
      </c>
      <c r="D2616">
        <v>-9150000</v>
      </c>
      <c r="E2616" t="s">
        <v>331</v>
      </c>
    </row>
    <row r="2617" spans="1:5" x14ac:dyDescent="0.25">
      <c r="A2617">
        <v>1899</v>
      </c>
      <c r="B2617" s="16">
        <v>44044</v>
      </c>
      <c r="C2617" t="s">
        <v>12</v>
      </c>
      <c r="D2617">
        <v>-9150000</v>
      </c>
      <c r="E2617" t="s">
        <v>331</v>
      </c>
    </row>
    <row r="2618" spans="1:5" x14ac:dyDescent="0.25">
      <c r="A2618">
        <v>1899</v>
      </c>
      <c r="B2618" s="16">
        <v>44075</v>
      </c>
      <c r="C2618" t="s">
        <v>12</v>
      </c>
      <c r="D2618">
        <v>-9150000</v>
      </c>
      <c r="E2618" t="s">
        <v>331</v>
      </c>
    </row>
    <row r="2619" spans="1:5" x14ac:dyDescent="0.25">
      <c r="A2619">
        <v>1899</v>
      </c>
      <c r="B2619" s="16">
        <v>44105</v>
      </c>
      <c r="C2619" t="s">
        <v>12</v>
      </c>
      <c r="D2619">
        <v>-9150000</v>
      </c>
      <c r="E2619" t="s">
        <v>331</v>
      </c>
    </row>
    <row r="2620" spans="1:5" x14ac:dyDescent="0.25">
      <c r="A2620">
        <v>1899</v>
      </c>
      <c r="B2620" s="16">
        <v>44136</v>
      </c>
      <c r="C2620" t="s">
        <v>12</v>
      </c>
      <c r="D2620">
        <v>-9150000</v>
      </c>
      <c r="E2620" t="s">
        <v>331</v>
      </c>
    </row>
    <row r="2621" spans="1:5" x14ac:dyDescent="0.25">
      <c r="A2621">
        <v>1899</v>
      </c>
      <c r="B2621" s="16">
        <v>44166</v>
      </c>
      <c r="C2621" t="s">
        <v>12</v>
      </c>
      <c r="D2621">
        <v>-9150000</v>
      </c>
      <c r="E2621" t="s">
        <v>331</v>
      </c>
    </row>
    <row r="2622" spans="1:5" x14ac:dyDescent="0.25">
      <c r="A2622">
        <v>1899</v>
      </c>
      <c r="B2622" s="16">
        <v>44197</v>
      </c>
      <c r="C2622" t="s">
        <v>12</v>
      </c>
      <c r="D2622">
        <v>-9150000</v>
      </c>
      <c r="E2622" t="s">
        <v>331</v>
      </c>
    </row>
    <row r="2623" spans="1:5" x14ac:dyDescent="0.25">
      <c r="A2623">
        <v>1899</v>
      </c>
      <c r="B2623" s="16">
        <v>44228</v>
      </c>
      <c r="C2623" t="s">
        <v>12</v>
      </c>
      <c r="D2623">
        <v>-9150000</v>
      </c>
      <c r="E2623" t="s">
        <v>331</v>
      </c>
    </row>
    <row r="2624" spans="1:5" x14ac:dyDescent="0.25">
      <c r="A2624">
        <v>1899</v>
      </c>
      <c r="B2624" s="16">
        <v>44256</v>
      </c>
      <c r="C2624" t="s">
        <v>12</v>
      </c>
      <c r="D2624">
        <v>-9150000</v>
      </c>
      <c r="E2624" t="s">
        <v>331</v>
      </c>
    </row>
    <row r="2625" spans="1:5" x14ac:dyDescent="0.25">
      <c r="A2625">
        <v>1899</v>
      </c>
      <c r="B2625" s="16">
        <v>43525</v>
      </c>
      <c r="C2625" t="s">
        <v>169</v>
      </c>
      <c r="D2625">
        <v>-6000000</v>
      </c>
      <c r="E2625" t="s">
        <v>331</v>
      </c>
    </row>
    <row r="2626" spans="1:5" x14ac:dyDescent="0.25">
      <c r="A2626">
        <v>1899</v>
      </c>
      <c r="B2626" s="16">
        <v>43556</v>
      </c>
      <c r="C2626" t="s">
        <v>169</v>
      </c>
      <c r="D2626">
        <v>-6000000</v>
      </c>
      <c r="E2626" t="s">
        <v>331</v>
      </c>
    </row>
    <row r="2627" spans="1:5" x14ac:dyDescent="0.25">
      <c r="A2627">
        <v>1899</v>
      </c>
      <c r="B2627" s="16">
        <v>43586</v>
      </c>
      <c r="C2627" t="s">
        <v>169</v>
      </c>
      <c r="D2627">
        <v>-6000000</v>
      </c>
      <c r="E2627" t="s">
        <v>331</v>
      </c>
    </row>
    <row r="2628" spans="1:5" x14ac:dyDescent="0.25">
      <c r="A2628">
        <v>1899</v>
      </c>
      <c r="B2628" s="16">
        <v>43617</v>
      </c>
      <c r="C2628" t="s">
        <v>169</v>
      </c>
      <c r="D2628">
        <v>-6000000</v>
      </c>
      <c r="E2628" t="s">
        <v>331</v>
      </c>
    </row>
    <row r="2629" spans="1:5" x14ac:dyDescent="0.25">
      <c r="A2629">
        <v>1899</v>
      </c>
      <c r="B2629" s="16">
        <v>43647</v>
      </c>
      <c r="C2629" t="s">
        <v>169</v>
      </c>
      <c r="D2629">
        <v>-6000000</v>
      </c>
      <c r="E2629" t="s">
        <v>331</v>
      </c>
    </row>
    <row r="2630" spans="1:5" x14ac:dyDescent="0.25">
      <c r="A2630">
        <v>1899</v>
      </c>
      <c r="B2630" s="16">
        <v>43678</v>
      </c>
      <c r="C2630" t="s">
        <v>169</v>
      </c>
      <c r="D2630">
        <v>-6000000</v>
      </c>
      <c r="E2630" t="s">
        <v>331</v>
      </c>
    </row>
    <row r="2631" spans="1:5" x14ac:dyDescent="0.25">
      <c r="A2631">
        <v>1899</v>
      </c>
      <c r="B2631" s="16">
        <v>43709</v>
      </c>
      <c r="C2631" t="s">
        <v>169</v>
      </c>
      <c r="D2631">
        <v>-6000000</v>
      </c>
      <c r="E2631" t="s">
        <v>331</v>
      </c>
    </row>
    <row r="2632" spans="1:5" x14ac:dyDescent="0.25">
      <c r="A2632">
        <v>1899</v>
      </c>
      <c r="B2632" s="16">
        <v>43739</v>
      </c>
      <c r="C2632" t="s">
        <v>169</v>
      </c>
      <c r="D2632">
        <v>-6000000</v>
      </c>
      <c r="E2632" t="s">
        <v>331</v>
      </c>
    </row>
    <row r="2633" spans="1:5" x14ac:dyDescent="0.25">
      <c r="A2633">
        <v>1899</v>
      </c>
      <c r="B2633" s="16">
        <v>43770</v>
      </c>
      <c r="C2633" t="s">
        <v>169</v>
      </c>
      <c r="D2633">
        <v>-6000000</v>
      </c>
      <c r="E2633" t="s">
        <v>331</v>
      </c>
    </row>
    <row r="2634" spans="1:5" x14ac:dyDescent="0.25">
      <c r="A2634">
        <v>1899</v>
      </c>
      <c r="B2634" s="16">
        <v>43800</v>
      </c>
      <c r="C2634" t="s">
        <v>169</v>
      </c>
      <c r="D2634">
        <v>-6000000</v>
      </c>
      <c r="E2634" t="s">
        <v>331</v>
      </c>
    </row>
    <row r="2635" spans="1:5" x14ac:dyDescent="0.25">
      <c r="A2635">
        <v>1899</v>
      </c>
      <c r="B2635" s="16">
        <v>43831</v>
      </c>
      <c r="C2635" t="s">
        <v>169</v>
      </c>
      <c r="D2635">
        <v>-6000000</v>
      </c>
      <c r="E2635" t="s">
        <v>331</v>
      </c>
    </row>
    <row r="2636" spans="1:5" x14ac:dyDescent="0.25">
      <c r="A2636">
        <v>1899</v>
      </c>
      <c r="B2636" s="16">
        <v>43862</v>
      </c>
      <c r="C2636" t="s">
        <v>169</v>
      </c>
      <c r="D2636">
        <v>-6000000</v>
      </c>
      <c r="E2636" t="s">
        <v>331</v>
      </c>
    </row>
    <row r="2637" spans="1:5" x14ac:dyDescent="0.25">
      <c r="A2637">
        <v>1899</v>
      </c>
      <c r="B2637" s="16">
        <v>43891</v>
      </c>
      <c r="C2637" t="s">
        <v>169</v>
      </c>
      <c r="D2637">
        <v>-6000000</v>
      </c>
      <c r="E2637" t="s">
        <v>331</v>
      </c>
    </row>
    <row r="2638" spans="1:5" x14ac:dyDescent="0.25">
      <c r="A2638">
        <v>1899</v>
      </c>
      <c r="B2638" s="16">
        <v>43922</v>
      </c>
      <c r="C2638" t="s">
        <v>169</v>
      </c>
      <c r="D2638">
        <v>-6000000</v>
      </c>
      <c r="E2638" t="s">
        <v>331</v>
      </c>
    </row>
    <row r="2639" spans="1:5" x14ac:dyDescent="0.25">
      <c r="A2639">
        <v>1899</v>
      </c>
      <c r="B2639" s="16">
        <v>43525</v>
      </c>
      <c r="C2639" t="s">
        <v>14</v>
      </c>
      <c r="D2639">
        <v>-6000000</v>
      </c>
      <c r="E2639" t="s">
        <v>331</v>
      </c>
    </row>
    <row r="2640" spans="1:5" x14ac:dyDescent="0.25">
      <c r="A2640">
        <v>1899</v>
      </c>
      <c r="B2640" s="16">
        <v>43556</v>
      </c>
      <c r="C2640" t="s">
        <v>14</v>
      </c>
      <c r="D2640">
        <v>-6000000</v>
      </c>
      <c r="E2640" t="s">
        <v>331</v>
      </c>
    </row>
    <row r="2641" spans="1:5" x14ac:dyDescent="0.25">
      <c r="A2641">
        <v>1899</v>
      </c>
      <c r="B2641" s="16">
        <v>43586</v>
      </c>
      <c r="C2641" t="s">
        <v>14</v>
      </c>
      <c r="D2641">
        <v>-6000000</v>
      </c>
      <c r="E2641" t="s">
        <v>331</v>
      </c>
    </row>
    <row r="2642" spans="1:5" x14ac:dyDescent="0.25">
      <c r="A2642">
        <v>1899</v>
      </c>
      <c r="B2642" s="16">
        <v>43617</v>
      </c>
      <c r="C2642" t="s">
        <v>14</v>
      </c>
      <c r="D2642">
        <v>-6000000</v>
      </c>
      <c r="E2642" t="s">
        <v>331</v>
      </c>
    </row>
    <row r="2643" spans="1:5" x14ac:dyDescent="0.25">
      <c r="A2643">
        <v>1899</v>
      </c>
      <c r="B2643" s="16">
        <v>43647</v>
      </c>
      <c r="C2643" t="s">
        <v>14</v>
      </c>
      <c r="D2643">
        <v>-6000000</v>
      </c>
      <c r="E2643" t="s">
        <v>331</v>
      </c>
    </row>
    <row r="2644" spans="1:5" x14ac:dyDescent="0.25">
      <c r="A2644">
        <v>1899</v>
      </c>
      <c r="B2644" s="16">
        <v>43678</v>
      </c>
      <c r="C2644" t="s">
        <v>14</v>
      </c>
      <c r="D2644">
        <v>-6000000</v>
      </c>
      <c r="E2644" t="s">
        <v>331</v>
      </c>
    </row>
    <row r="2645" spans="1:5" x14ac:dyDescent="0.25">
      <c r="A2645">
        <v>1899</v>
      </c>
      <c r="B2645" s="16">
        <v>43709</v>
      </c>
      <c r="C2645" t="s">
        <v>14</v>
      </c>
      <c r="D2645">
        <v>-6000000</v>
      </c>
      <c r="E2645" t="s">
        <v>331</v>
      </c>
    </row>
    <row r="2646" spans="1:5" x14ac:dyDescent="0.25">
      <c r="A2646">
        <v>1899</v>
      </c>
      <c r="B2646" s="16">
        <v>43739</v>
      </c>
      <c r="C2646" t="s">
        <v>14</v>
      </c>
      <c r="D2646">
        <v>-6000000</v>
      </c>
      <c r="E2646" t="s">
        <v>331</v>
      </c>
    </row>
    <row r="2647" spans="1:5" x14ac:dyDescent="0.25">
      <c r="A2647">
        <v>1899</v>
      </c>
      <c r="B2647" s="16">
        <v>43770</v>
      </c>
      <c r="C2647" t="s">
        <v>14</v>
      </c>
      <c r="D2647">
        <v>-6000000</v>
      </c>
      <c r="E2647" t="s">
        <v>331</v>
      </c>
    </row>
    <row r="2648" spans="1:5" x14ac:dyDescent="0.25">
      <c r="A2648">
        <v>1899</v>
      </c>
      <c r="B2648" s="16">
        <v>43800</v>
      </c>
      <c r="C2648" t="s">
        <v>14</v>
      </c>
      <c r="D2648">
        <v>-6000000</v>
      </c>
      <c r="E2648" t="s">
        <v>331</v>
      </c>
    </row>
    <row r="2649" spans="1:5" x14ac:dyDescent="0.25">
      <c r="A2649">
        <v>1899</v>
      </c>
      <c r="B2649" s="16">
        <v>43831</v>
      </c>
      <c r="C2649" t="s">
        <v>14</v>
      </c>
      <c r="D2649">
        <v>-6000000</v>
      </c>
      <c r="E2649" t="s">
        <v>331</v>
      </c>
    </row>
    <row r="2650" spans="1:5" x14ac:dyDescent="0.25">
      <c r="A2650">
        <v>1899</v>
      </c>
      <c r="B2650" s="16">
        <v>43862</v>
      </c>
      <c r="C2650" t="s">
        <v>14</v>
      </c>
      <c r="D2650">
        <v>-6000000</v>
      </c>
      <c r="E2650" t="s">
        <v>331</v>
      </c>
    </row>
    <row r="2651" spans="1:5" x14ac:dyDescent="0.25">
      <c r="A2651">
        <v>1899</v>
      </c>
      <c r="B2651" s="16">
        <v>43525</v>
      </c>
      <c r="C2651" t="s">
        <v>39</v>
      </c>
      <c r="D2651">
        <v>-3058762.5</v>
      </c>
      <c r="E2651" t="s">
        <v>331</v>
      </c>
    </row>
    <row r="2652" spans="1:5" x14ac:dyDescent="0.25">
      <c r="A2652">
        <v>1899</v>
      </c>
      <c r="B2652" s="16">
        <v>43556</v>
      </c>
      <c r="C2652" t="s">
        <v>39</v>
      </c>
      <c r="D2652">
        <v>-3058762.5</v>
      </c>
      <c r="E2652" t="s">
        <v>331</v>
      </c>
    </row>
    <row r="2653" spans="1:5" x14ac:dyDescent="0.25">
      <c r="A2653">
        <v>1899</v>
      </c>
      <c r="B2653" s="16">
        <v>43586</v>
      </c>
      <c r="C2653" t="s">
        <v>39</v>
      </c>
      <c r="D2653">
        <v>-3058762.5</v>
      </c>
      <c r="E2653" t="s">
        <v>331</v>
      </c>
    </row>
    <row r="2654" spans="1:5" x14ac:dyDescent="0.25">
      <c r="A2654">
        <v>1899</v>
      </c>
      <c r="B2654" s="16">
        <v>43525</v>
      </c>
      <c r="C2654" t="s">
        <v>39</v>
      </c>
      <c r="D2654">
        <v>-4078350</v>
      </c>
      <c r="E2654" t="s">
        <v>331</v>
      </c>
    </row>
    <row r="2655" spans="1:5" x14ac:dyDescent="0.25">
      <c r="A2655">
        <v>1899</v>
      </c>
      <c r="B2655" s="16">
        <v>43556</v>
      </c>
      <c r="C2655" t="s">
        <v>39</v>
      </c>
      <c r="D2655">
        <v>-4078350</v>
      </c>
      <c r="E2655" t="s">
        <v>331</v>
      </c>
    </row>
    <row r="2656" spans="1:5" x14ac:dyDescent="0.25">
      <c r="A2656">
        <v>1899</v>
      </c>
      <c r="B2656" s="16">
        <v>43586</v>
      </c>
      <c r="C2656" t="s">
        <v>39</v>
      </c>
      <c r="D2656">
        <v>-4078350</v>
      </c>
      <c r="E2656" t="s">
        <v>331</v>
      </c>
    </row>
    <row r="2657" spans="1:5" x14ac:dyDescent="0.25">
      <c r="A2657">
        <v>1899</v>
      </c>
      <c r="B2657" s="16">
        <v>43617</v>
      </c>
      <c r="C2657" t="s">
        <v>39</v>
      </c>
      <c r="D2657">
        <v>-4078350</v>
      </c>
      <c r="E2657" t="s">
        <v>331</v>
      </c>
    </row>
    <row r="2658" spans="1:5" x14ac:dyDescent="0.25">
      <c r="A2658">
        <v>1899</v>
      </c>
      <c r="B2658" s="16">
        <v>43647</v>
      </c>
      <c r="C2658" t="s">
        <v>39</v>
      </c>
      <c r="D2658">
        <v>-4078350</v>
      </c>
      <c r="E2658" t="s">
        <v>331</v>
      </c>
    </row>
    <row r="2659" spans="1:5" x14ac:dyDescent="0.25">
      <c r="A2659">
        <v>1899</v>
      </c>
      <c r="B2659" s="16">
        <v>43678</v>
      </c>
      <c r="C2659" t="s">
        <v>39</v>
      </c>
      <c r="D2659">
        <v>-4078350</v>
      </c>
      <c r="E2659" t="s">
        <v>331</v>
      </c>
    </row>
    <row r="2660" spans="1:5" x14ac:dyDescent="0.25">
      <c r="A2660">
        <v>1899</v>
      </c>
      <c r="B2660" s="16">
        <v>43709</v>
      </c>
      <c r="C2660" t="s">
        <v>39</v>
      </c>
      <c r="D2660">
        <v>-4078350</v>
      </c>
      <c r="E2660" t="s">
        <v>331</v>
      </c>
    </row>
    <row r="2661" spans="1:5" x14ac:dyDescent="0.25">
      <c r="A2661">
        <v>1899</v>
      </c>
      <c r="B2661" s="16">
        <v>43739</v>
      </c>
      <c r="C2661" t="s">
        <v>39</v>
      </c>
      <c r="D2661">
        <v>-4078350</v>
      </c>
      <c r="E2661" t="s">
        <v>331</v>
      </c>
    </row>
    <row r="2662" spans="1:5" x14ac:dyDescent="0.25">
      <c r="A2662">
        <v>1899</v>
      </c>
      <c r="B2662" s="16">
        <v>43770</v>
      </c>
      <c r="C2662" t="s">
        <v>39</v>
      </c>
      <c r="D2662">
        <v>-4078350</v>
      </c>
      <c r="E2662" t="s">
        <v>331</v>
      </c>
    </row>
    <row r="2663" spans="1:5" x14ac:dyDescent="0.25">
      <c r="A2663">
        <v>1899</v>
      </c>
      <c r="B2663" s="16">
        <v>43800</v>
      </c>
      <c r="C2663" t="s">
        <v>39</v>
      </c>
      <c r="D2663">
        <v>-4078350</v>
      </c>
      <c r="E2663" t="s">
        <v>331</v>
      </c>
    </row>
    <row r="2664" spans="1:5" x14ac:dyDescent="0.25">
      <c r="A2664">
        <v>1899</v>
      </c>
      <c r="B2664" s="16">
        <v>43831</v>
      </c>
      <c r="C2664" t="s">
        <v>39</v>
      </c>
      <c r="D2664">
        <v>-4078350</v>
      </c>
      <c r="E2664" t="s">
        <v>331</v>
      </c>
    </row>
    <row r="2665" spans="1:5" x14ac:dyDescent="0.25">
      <c r="A2665">
        <v>1899</v>
      </c>
      <c r="B2665" s="16">
        <v>43862</v>
      </c>
      <c r="C2665" t="s">
        <v>39</v>
      </c>
      <c r="D2665">
        <v>-4078350</v>
      </c>
      <c r="E2665" t="s">
        <v>331</v>
      </c>
    </row>
    <row r="2666" spans="1:5" x14ac:dyDescent="0.25">
      <c r="A2666">
        <v>1899</v>
      </c>
      <c r="B2666" s="16">
        <v>43891</v>
      </c>
      <c r="C2666" t="s">
        <v>39</v>
      </c>
      <c r="D2666">
        <v>-4078350</v>
      </c>
      <c r="E2666" t="s">
        <v>331</v>
      </c>
    </row>
    <row r="2667" spans="1:5" x14ac:dyDescent="0.25">
      <c r="A2667">
        <v>1899</v>
      </c>
      <c r="B2667" s="16">
        <v>43922</v>
      </c>
      <c r="C2667" t="s">
        <v>39</v>
      </c>
      <c r="D2667">
        <v>-4078350</v>
      </c>
      <c r="E2667" t="s">
        <v>331</v>
      </c>
    </row>
    <row r="2668" spans="1:5" x14ac:dyDescent="0.25">
      <c r="A2668">
        <v>1899</v>
      </c>
      <c r="B2668" s="16">
        <v>43952</v>
      </c>
      <c r="C2668" t="s">
        <v>39</v>
      </c>
      <c r="D2668">
        <v>-4078350</v>
      </c>
      <c r="E2668" t="s">
        <v>331</v>
      </c>
    </row>
    <row r="2669" spans="1:5" x14ac:dyDescent="0.25">
      <c r="A2669">
        <v>1899</v>
      </c>
      <c r="B2669" s="16">
        <v>43983</v>
      </c>
      <c r="C2669" t="s">
        <v>39</v>
      </c>
      <c r="D2669">
        <v>-4078350</v>
      </c>
      <c r="E2669" t="s">
        <v>331</v>
      </c>
    </row>
    <row r="2670" spans="1:5" x14ac:dyDescent="0.25">
      <c r="A2670">
        <v>1899</v>
      </c>
      <c r="B2670" s="16">
        <v>44013</v>
      </c>
      <c r="C2670" t="s">
        <v>39</v>
      </c>
      <c r="D2670">
        <v>-4078350</v>
      </c>
      <c r="E2670" t="s">
        <v>331</v>
      </c>
    </row>
    <row r="2671" spans="1:5" x14ac:dyDescent="0.25">
      <c r="A2671">
        <v>1899</v>
      </c>
      <c r="B2671" s="16">
        <v>44044</v>
      </c>
      <c r="C2671" t="s">
        <v>39</v>
      </c>
      <c r="D2671">
        <v>-4078350</v>
      </c>
      <c r="E2671" t="s">
        <v>331</v>
      </c>
    </row>
    <row r="2672" spans="1:5" x14ac:dyDescent="0.25">
      <c r="A2672">
        <v>1899</v>
      </c>
      <c r="B2672" s="16">
        <v>44075</v>
      </c>
      <c r="C2672" t="s">
        <v>39</v>
      </c>
      <c r="D2672">
        <v>-4078350</v>
      </c>
      <c r="E2672" t="s">
        <v>331</v>
      </c>
    </row>
    <row r="2673" spans="1:5" x14ac:dyDescent="0.25">
      <c r="A2673">
        <v>1899</v>
      </c>
      <c r="B2673" s="16">
        <v>44105</v>
      </c>
      <c r="C2673" t="s">
        <v>39</v>
      </c>
      <c r="D2673">
        <v>-4078350</v>
      </c>
      <c r="E2673" t="s">
        <v>331</v>
      </c>
    </row>
    <row r="2674" spans="1:5" x14ac:dyDescent="0.25">
      <c r="A2674">
        <v>1899</v>
      </c>
      <c r="B2674" s="16">
        <v>43525</v>
      </c>
      <c r="C2674" t="s">
        <v>29</v>
      </c>
      <c r="D2674">
        <v>-3923277</v>
      </c>
      <c r="E2674" t="s">
        <v>331</v>
      </c>
    </row>
    <row r="2675" spans="1:5" x14ac:dyDescent="0.25">
      <c r="A2675">
        <v>1899</v>
      </c>
      <c r="B2675" s="16">
        <v>43556</v>
      </c>
      <c r="C2675" t="s">
        <v>29</v>
      </c>
      <c r="D2675">
        <v>-3923277</v>
      </c>
      <c r="E2675" t="s">
        <v>331</v>
      </c>
    </row>
    <row r="2676" spans="1:5" x14ac:dyDescent="0.25">
      <c r="A2676">
        <v>1899</v>
      </c>
      <c r="B2676" s="16">
        <v>43586</v>
      </c>
      <c r="C2676" t="s">
        <v>29</v>
      </c>
      <c r="D2676">
        <v>-3923277</v>
      </c>
      <c r="E2676" t="s">
        <v>331</v>
      </c>
    </row>
    <row r="2677" spans="1:5" x14ac:dyDescent="0.25">
      <c r="A2677">
        <v>1899</v>
      </c>
      <c r="B2677" s="16">
        <v>43617</v>
      </c>
      <c r="C2677" t="s">
        <v>29</v>
      </c>
      <c r="D2677">
        <v>-3923277</v>
      </c>
      <c r="E2677" t="s">
        <v>331</v>
      </c>
    </row>
    <row r="2678" spans="1:5" x14ac:dyDescent="0.25">
      <c r="A2678">
        <v>1899</v>
      </c>
      <c r="B2678" s="16">
        <v>43647</v>
      </c>
      <c r="C2678" t="s">
        <v>29</v>
      </c>
      <c r="D2678">
        <v>-3923277</v>
      </c>
      <c r="E2678" t="s">
        <v>331</v>
      </c>
    </row>
    <row r="2679" spans="1:5" x14ac:dyDescent="0.25">
      <c r="A2679">
        <v>1899</v>
      </c>
      <c r="B2679" s="16">
        <v>43678</v>
      </c>
      <c r="C2679" t="s">
        <v>29</v>
      </c>
      <c r="D2679">
        <v>-3923277</v>
      </c>
      <c r="E2679" t="s">
        <v>331</v>
      </c>
    </row>
    <row r="2680" spans="1:5" x14ac:dyDescent="0.25">
      <c r="A2680">
        <v>1899</v>
      </c>
      <c r="B2680" s="16">
        <v>43709</v>
      </c>
      <c r="C2680" t="s">
        <v>29</v>
      </c>
      <c r="D2680">
        <v>-3923277</v>
      </c>
      <c r="E2680" t="s">
        <v>331</v>
      </c>
    </row>
    <row r="2681" spans="1:5" x14ac:dyDescent="0.25">
      <c r="A2681">
        <v>1899</v>
      </c>
      <c r="B2681" s="16">
        <v>43525</v>
      </c>
      <c r="C2681" t="s">
        <v>35</v>
      </c>
      <c r="D2681">
        <v>-3815999.9999999995</v>
      </c>
      <c r="E2681" t="s">
        <v>331</v>
      </c>
    </row>
    <row r="2682" spans="1:5" x14ac:dyDescent="0.25">
      <c r="A2682">
        <v>1899</v>
      </c>
      <c r="B2682" s="16">
        <v>43556</v>
      </c>
      <c r="C2682" t="s">
        <v>35</v>
      </c>
      <c r="D2682">
        <v>-3815999.9999999995</v>
      </c>
      <c r="E2682" t="s">
        <v>331</v>
      </c>
    </row>
    <row r="2683" spans="1:5" x14ac:dyDescent="0.25">
      <c r="A2683">
        <v>1899</v>
      </c>
      <c r="B2683" s="16">
        <v>43586</v>
      </c>
      <c r="C2683" t="s">
        <v>35</v>
      </c>
      <c r="D2683">
        <v>-3815999.9999999995</v>
      </c>
      <c r="E2683" t="s">
        <v>331</v>
      </c>
    </row>
    <row r="2684" spans="1:5" x14ac:dyDescent="0.25">
      <c r="A2684">
        <v>1899</v>
      </c>
      <c r="B2684" s="16">
        <v>43617</v>
      </c>
      <c r="C2684" t="s">
        <v>35</v>
      </c>
      <c r="D2684">
        <v>-3815999.9999999995</v>
      </c>
      <c r="E2684" t="s">
        <v>331</v>
      </c>
    </row>
    <row r="2685" spans="1:5" x14ac:dyDescent="0.25">
      <c r="A2685">
        <v>1899</v>
      </c>
      <c r="B2685" s="16">
        <v>43647</v>
      </c>
      <c r="C2685" t="s">
        <v>35</v>
      </c>
      <c r="D2685">
        <v>-3815999.9999999995</v>
      </c>
      <c r="E2685" t="s">
        <v>331</v>
      </c>
    </row>
    <row r="2686" spans="1:5" x14ac:dyDescent="0.25">
      <c r="A2686">
        <v>1899</v>
      </c>
      <c r="B2686" s="16">
        <v>43678</v>
      </c>
      <c r="C2686" t="s">
        <v>35</v>
      </c>
      <c r="D2686">
        <v>-3815999.9999999995</v>
      </c>
      <c r="E2686" t="s">
        <v>331</v>
      </c>
    </row>
    <row r="2687" spans="1:5" x14ac:dyDescent="0.25">
      <c r="A2687">
        <v>1899</v>
      </c>
      <c r="B2687" s="16">
        <v>43709</v>
      </c>
      <c r="C2687" t="s">
        <v>35</v>
      </c>
      <c r="D2687">
        <v>-3815999.9999999995</v>
      </c>
      <c r="E2687" t="s">
        <v>331</v>
      </c>
    </row>
    <row r="2688" spans="1:5" x14ac:dyDescent="0.25">
      <c r="A2688">
        <v>1899</v>
      </c>
      <c r="B2688" s="16">
        <v>43739</v>
      </c>
      <c r="C2688" t="s">
        <v>35</v>
      </c>
      <c r="D2688">
        <v>-3815999.9999999995</v>
      </c>
      <c r="E2688" t="s">
        <v>331</v>
      </c>
    </row>
    <row r="2689" spans="1:5" x14ac:dyDescent="0.25">
      <c r="A2689">
        <v>1899</v>
      </c>
      <c r="B2689" s="16">
        <v>43770</v>
      </c>
      <c r="C2689" t="s">
        <v>35</v>
      </c>
      <c r="D2689">
        <v>-3815999.9999999995</v>
      </c>
      <c r="E2689" t="s">
        <v>331</v>
      </c>
    </row>
    <row r="2690" spans="1:5" x14ac:dyDescent="0.25">
      <c r="A2690">
        <v>1899</v>
      </c>
      <c r="B2690" s="16">
        <v>43800</v>
      </c>
      <c r="C2690" t="s">
        <v>35</v>
      </c>
      <c r="D2690">
        <v>-3815999.9999999995</v>
      </c>
      <c r="E2690" t="s">
        <v>331</v>
      </c>
    </row>
    <row r="2691" spans="1:5" x14ac:dyDescent="0.25">
      <c r="A2691">
        <v>1899</v>
      </c>
      <c r="B2691" s="16">
        <v>43831</v>
      </c>
      <c r="C2691" t="s">
        <v>35</v>
      </c>
      <c r="D2691">
        <v>-3815999.9999999995</v>
      </c>
      <c r="E2691" t="s">
        <v>331</v>
      </c>
    </row>
    <row r="2692" spans="1:5" x14ac:dyDescent="0.25">
      <c r="A2692">
        <v>1899</v>
      </c>
      <c r="B2692" s="16">
        <v>43862</v>
      </c>
      <c r="C2692" t="s">
        <v>35</v>
      </c>
      <c r="D2692">
        <v>-3815999.9999999995</v>
      </c>
      <c r="E2692" t="s">
        <v>331</v>
      </c>
    </row>
    <row r="2693" spans="1:5" x14ac:dyDescent="0.25">
      <c r="A2693">
        <v>1899</v>
      </c>
      <c r="B2693" s="16">
        <v>43891</v>
      </c>
      <c r="C2693" t="s">
        <v>35</v>
      </c>
      <c r="D2693">
        <v>-3815999.9999999995</v>
      </c>
      <c r="E2693" t="s">
        <v>331</v>
      </c>
    </row>
    <row r="2694" spans="1:5" x14ac:dyDescent="0.25">
      <c r="A2694">
        <v>1899</v>
      </c>
      <c r="B2694" s="16">
        <v>43922</v>
      </c>
      <c r="C2694" t="s">
        <v>35</v>
      </c>
      <c r="D2694">
        <v>-3815999.9999999995</v>
      </c>
      <c r="E2694" t="s">
        <v>331</v>
      </c>
    </row>
    <row r="2695" spans="1:5" x14ac:dyDescent="0.25">
      <c r="A2695">
        <v>1899</v>
      </c>
      <c r="B2695" s="16">
        <v>43952</v>
      </c>
      <c r="C2695" t="s">
        <v>35</v>
      </c>
      <c r="D2695">
        <v>-3815999.9999999995</v>
      </c>
      <c r="E2695" t="s">
        <v>331</v>
      </c>
    </row>
    <row r="2696" spans="1:5" x14ac:dyDescent="0.25">
      <c r="A2696">
        <v>1899</v>
      </c>
      <c r="B2696" s="16">
        <v>43983</v>
      </c>
      <c r="C2696" t="s">
        <v>35</v>
      </c>
      <c r="D2696">
        <v>-3815999.9999999995</v>
      </c>
      <c r="E2696" t="s">
        <v>331</v>
      </c>
    </row>
    <row r="2697" spans="1:5" x14ac:dyDescent="0.25">
      <c r="A2697">
        <v>1899</v>
      </c>
      <c r="B2697" s="16">
        <v>44013</v>
      </c>
      <c r="C2697" t="s">
        <v>35</v>
      </c>
      <c r="D2697">
        <v>-3815999.9999999995</v>
      </c>
      <c r="E2697" t="s">
        <v>331</v>
      </c>
    </row>
    <row r="2698" spans="1:5" x14ac:dyDescent="0.25">
      <c r="A2698">
        <v>1899</v>
      </c>
      <c r="B2698" s="16">
        <v>44044</v>
      </c>
      <c r="C2698" t="s">
        <v>35</v>
      </c>
      <c r="D2698">
        <v>-3815999.9999999995</v>
      </c>
      <c r="E2698" t="s">
        <v>331</v>
      </c>
    </row>
    <row r="2699" spans="1:5" x14ac:dyDescent="0.25">
      <c r="A2699">
        <v>1899</v>
      </c>
      <c r="B2699" s="16">
        <v>44075</v>
      </c>
      <c r="C2699" t="s">
        <v>35</v>
      </c>
      <c r="D2699">
        <v>-3815999.9999999995</v>
      </c>
      <c r="E2699" t="s">
        <v>331</v>
      </c>
    </row>
    <row r="2700" spans="1:5" x14ac:dyDescent="0.25">
      <c r="A2700">
        <v>1899</v>
      </c>
      <c r="B2700" s="16">
        <v>44105</v>
      </c>
      <c r="C2700" t="s">
        <v>35</v>
      </c>
      <c r="D2700">
        <v>-3815999.9999999995</v>
      </c>
      <c r="E2700" t="s">
        <v>331</v>
      </c>
    </row>
    <row r="2701" spans="1:5" x14ac:dyDescent="0.25">
      <c r="A2701">
        <v>1899</v>
      </c>
      <c r="B2701" s="16">
        <v>44136</v>
      </c>
      <c r="C2701" t="s">
        <v>35</v>
      </c>
      <c r="D2701">
        <v>-3815999.9999999995</v>
      </c>
      <c r="E2701" t="s">
        <v>331</v>
      </c>
    </row>
    <row r="2702" spans="1:5" x14ac:dyDescent="0.25">
      <c r="A2702">
        <v>1899</v>
      </c>
      <c r="B2702" s="16">
        <v>44166</v>
      </c>
      <c r="C2702" t="s">
        <v>35</v>
      </c>
      <c r="D2702">
        <v>-3815999.9999999995</v>
      </c>
      <c r="E2702" t="s">
        <v>331</v>
      </c>
    </row>
    <row r="2703" spans="1:5" x14ac:dyDescent="0.25">
      <c r="A2703">
        <v>1899</v>
      </c>
      <c r="B2703" s="16">
        <v>44197</v>
      </c>
      <c r="C2703" t="s">
        <v>35</v>
      </c>
      <c r="D2703">
        <v>-3815999.9999999995</v>
      </c>
      <c r="E2703" t="s">
        <v>331</v>
      </c>
    </row>
    <row r="2704" spans="1:5" x14ac:dyDescent="0.25">
      <c r="A2704">
        <v>1899</v>
      </c>
      <c r="B2704" s="16">
        <v>44228</v>
      </c>
      <c r="C2704" t="s">
        <v>35</v>
      </c>
      <c r="D2704">
        <v>-3815999.9999999995</v>
      </c>
      <c r="E2704" t="s">
        <v>331</v>
      </c>
    </row>
    <row r="2705" spans="1:5" x14ac:dyDescent="0.25">
      <c r="A2705">
        <v>1900</v>
      </c>
      <c r="B2705" s="16">
        <v>43556</v>
      </c>
      <c r="C2705" t="s">
        <v>26</v>
      </c>
      <c r="D2705">
        <v>-5724000</v>
      </c>
      <c r="E2705" t="s">
        <v>331</v>
      </c>
    </row>
    <row r="2706" spans="1:5" x14ac:dyDescent="0.25">
      <c r="A2706">
        <v>1900</v>
      </c>
      <c r="B2706" s="16">
        <v>43556</v>
      </c>
      <c r="C2706" t="s">
        <v>39</v>
      </c>
      <c r="D2706">
        <v>-5271741</v>
      </c>
      <c r="E2706" t="s">
        <v>331</v>
      </c>
    </row>
    <row r="2707" spans="1:5" x14ac:dyDescent="0.25">
      <c r="A2707">
        <v>1900</v>
      </c>
      <c r="B2707" s="16">
        <v>43556</v>
      </c>
      <c r="C2707" t="s">
        <v>16</v>
      </c>
      <c r="D2707">
        <v>-1963650</v>
      </c>
      <c r="E2707" t="s">
        <v>331</v>
      </c>
    </row>
    <row r="2708" spans="1:5" x14ac:dyDescent="0.25">
      <c r="A2708">
        <v>1900</v>
      </c>
      <c r="B2708" s="16">
        <v>43556</v>
      </c>
      <c r="C2708" t="s">
        <v>19</v>
      </c>
      <c r="D2708">
        <v>-3183727.68</v>
      </c>
      <c r="E2708" t="s">
        <v>331</v>
      </c>
    </row>
    <row r="2709" spans="1:5" x14ac:dyDescent="0.25">
      <c r="A2709">
        <v>1900</v>
      </c>
      <c r="B2709" s="16">
        <v>43586</v>
      </c>
      <c r="C2709" t="s">
        <v>19</v>
      </c>
      <c r="D2709">
        <v>-3183727.68</v>
      </c>
      <c r="E2709" t="s">
        <v>331</v>
      </c>
    </row>
    <row r="2710" spans="1:5" x14ac:dyDescent="0.25">
      <c r="A2710">
        <v>1900</v>
      </c>
      <c r="B2710" s="16">
        <v>43617</v>
      </c>
      <c r="C2710" t="s">
        <v>19</v>
      </c>
      <c r="D2710">
        <v>-3183727.68</v>
      </c>
      <c r="E2710" t="s">
        <v>331</v>
      </c>
    </row>
    <row r="2711" spans="1:5" x14ac:dyDescent="0.25">
      <c r="A2711">
        <v>1900</v>
      </c>
      <c r="B2711" s="16">
        <v>43647</v>
      </c>
      <c r="C2711" t="s">
        <v>19</v>
      </c>
      <c r="D2711">
        <v>-3183727.68</v>
      </c>
      <c r="E2711" t="s">
        <v>331</v>
      </c>
    </row>
    <row r="2712" spans="1:5" x14ac:dyDescent="0.25">
      <c r="A2712">
        <v>1900</v>
      </c>
      <c r="B2712" s="16">
        <v>43678</v>
      </c>
      <c r="C2712" t="s">
        <v>19</v>
      </c>
      <c r="D2712">
        <v>-3183727.68</v>
      </c>
      <c r="E2712" t="s">
        <v>331</v>
      </c>
    </row>
    <row r="2713" spans="1:5" x14ac:dyDescent="0.25">
      <c r="A2713">
        <v>1900</v>
      </c>
      <c r="B2713" s="16">
        <v>43709</v>
      </c>
      <c r="C2713" t="s">
        <v>19</v>
      </c>
      <c r="D2713">
        <v>-3183727.68</v>
      </c>
      <c r="E2713" t="s">
        <v>331</v>
      </c>
    </row>
    <row r="2714" spans="1:5" x14ac:dyDescent="0.25">
      <c r="A2714">
        <v>1900</v>
      </c>
      <c r="B2714" s="16">
        <v>43739</v>
      </c>
      <c r="C2714" t="s">
        <v>19</v>
      </c>
      <c r="D2714">
        <v>-3183727.68</v>
      </c>
      <c r="E2714" t="s">
        <v>331</v>
      </c>
    </row>
    <row r="2715" spans="1:5" x14ac:dyDescent="0.25">
      <c r="A2715">
        <v>1900</v>
      </c>
      <c r="B2715" s="16">
        <v>43770</v>
      </c>
      <c r="C2715" t="s">
        <v>19</v>
      </c>
      <c r="D2715">
        <v>-3183727.68</v>
      </c>
      <c r="E2715" t="s">
        <v>331</v>
      </c>
    </row>
    <row r="2716" spans="1:5" x14ac:dyDescent="0.25">
      <c r="A2716">
        <v>1900</v>
      </c>
      <c r="B2716" s="16">
        <v>43800</v>
      </c>
      <c r="C2716" t="s">
        <v>19</v>
      </c>
      <c r="D2716">
        <v>-3183727.68</v>
      </c>
      <c r="E2716" t="s">
        <v>331</v>
      </c>
    </row>
    <row r="2717" spans="1:5" x14ac:dyDescent="0.25">
      <c r="A2717">
        <v>1900</v>
      </c>
      <c r="B2717" s="16">
        <v>43831</v>
      </c>
      <c r="C2717" t="s">
        <v>19</v>
      </c>
      <c r="D2717">
        <v>-3183727.68</v>
      </c>
      <c r="E2717" t="s">
        <v>331</v>
      </c>
    </row>
    <row r="2718" spans="1:5" x14ac:dyDescent="0.25">
      <c r="A2718">
        <v>1900</v>
      </c>
      <c r="B2718" s="16">
        <v>43556</v>
      </c>
      <c r="C2718" t="s">
        <v>122</v>
      </c>
      <c r="D2718">
        <v>-6750000</v>
      </c>
      <c r="E2718" t="s">
        <v>331</v>
      </c>
    </row>
    <row r="2719" spans="1:5" x14ac:dyDescent="0.25">
      <c r="A2719">
        <v>1900</v>
      </c>
      <c r="B2719" s="16">
        <v>43586</v>
      </c>
      <c r="C2719" t="s">
        <v>122</v>
      </c>
      <c r="D2719">
        <v>-6750000</v>
      </c>
      <c r="E2719" t="s">
        <v>331</v>
      </c>
    </row>
    <row r="2720" spans="1:5" x14ac:dyDescent="0.25">
      <c r="A2720">
        <v>1900</v>
      </c>
      <c r="B2720" s="16">
        <v>43617</v>
      </c>
      <c r="C2720" t="s">
        <v>122</v>
      </c>
      <c r="D2720">
        <v>-6750000</v>
      </c>
      <c r="E2720" t="s">
        <v>331</v>
      </c>
    </row>
    <row r="2721" spans="1:5" x14ac:dyDescent="0.25">
      <c r="A2721">
        <v>1900</v>
      </c>
      <c r="B2721" s="16">
        <v>43647</v>
      </c>
      <c r="C2721" t="s">
        <v>122</v>
      </c>
      <c r="D2721">
        <v>-6750000</v>
      </c>
      <c r="E2721" t="s">
        <v>331</v>
      </c>
    </row>
    <row r="2722" spans="1:5" x14ac:dyDescent="0.25">
      <c r="A2722">
        <v>1900</v>
      </c>
      <c r="B2722" s="16">
        <v>43678</v>
      </c>
      <c r="C2722" t="s">
        <v>122</v>
      </c>
      <c r="D2722">
        <v>-6750000</v>
      </c>
      <c r="E2722" t="s">
        <v>331</v>
      </c>
    </row>
    <row r="2723" spans="1:5" x14ac:dyDescent="0.25">
      <c r="A2723">
        <v>1900</v>
      </c>
      <c r="B2723" s="16">
        <v>43709</v>
      </c>
      <c r="C2723" t="s">
        <v>122</v>
      </c>
      <c r="D2723">
        <v>-6750000</v>
      </c>
      <c r="E2723" t="s">
        <v>331</v>
      </c>
    </row>
    <row r="2724" spans="1:5" x14ac:dyDescent="0.25">
      <c r="A2724">
        <v>1900</v>
      </c>
      <c r="B2724" s="16">
        <v>43739</v>
      </c>
      <c r="C2724" t="s">
        <v>122</v>
      </c>
      <c r="D2724">
        <v>-6750000</v>
      </c>
      <c r="E2724" t="s">
        <v>331</v>
      </c>
    </row>
    <row r="2725" spans="1:5" x14ac:dyDescent="0.25">
      <c r="A2725">
        <v>1900</v>
      </c>
      <c r="B2725" s="16">
        <v>43770</v>
      </c>
      <c r="C2725" t="s">
        <v>122</v>
      </c>
      <c r="D2725">
        <v>-6750000</v>
      </c>
      <c r="E2725" t="s">
        <v>331</v>
      </c>
    </row>
    <row r="2726" spans="1:5" x14ac:dyDescent="0.25">
      <c r="A2726">
        <v>1900</v>
      </c>
      <c r="B2726" s="16">
        <v>43800</v>
      </c>
      <c r="C2726" t="s">
        <v>122</v>
      </c>
      <c r="D2726">
        <v>-6750000</v>
      </c>
      <c r="E2726" t="s">
        <v>331</v>
      </c>
    </row>
    <row r="2727" spans="1:5" x14ac:dyDescent="0.25">
      <c r="A2727">
        <v>1900</v>
      </c>
      <c r="B2727" s="16">
        <v>43831</v>
      </c>
      <c r="C2727" t="s">
        <v>122</v>
      </c>
      <c r="D2727">
        <v>-6750000</v>
      </c>
      <c r="E2727" t="s">
        <v>331</v>
      </c>
    </row>
    <row r="2728" spans="1:5" x14ac:dyDescent="0.25">
      <c r="A2728">
        <v>1900</v>
      </c>
      <c r="B2728" s="16">
        <v>43556</v>
      </c>
      <c r="C2728" t="s">
        <v>29</v>
      </c>
      <c r="D2728">
        <v>-1961638.5</v>
      </c>
      <c r="E2728" t="s">
        <v>331</v>
      </c>
    </row>
    <row r="2729" spans="1:5" x14ac:dyDescent="0.25">
      <c r="A2729">
        <v>1900</v>
      </c>
      <c r="B2729" s="16">
        <v>43586</v>
      </c>
      <c r="C2729" t="s">
        <v>29</v>
      </c>
      <c r="D2729">
        <v>-1961638.5</v>
      </c>
      <c r="E2729" t="s">
        <v>331</v>
      </c>
    </row>
    <row r="2730" spans="1:5" x14ac:dyDescent="0.25">
      <c r="A2730">
        <v>1900</v>
      </c>
      <c r="B2730" s="16">
        <v>43617</v>
      </c>
      <c r="C2730" t="s">
        <v>29</v>
      </c>
      <c r="D2730">
        <v>-1961638.5</v>
      </c>
      <c r="E2730" t="s">
        <v>331</v>
      </c>
    </row>
    <row r="2731" spans="1:5" x14ac:dyDescent="0.25">
      <c r="A2731">
        <v>1900</v>
      </c>
      <c r="B2731" s="16">
        <v>43647</v>
      </c>
      <c r="C2731" t="s">
        <v>29</v>
      </c>
      <c r="D2731">
        <v>-1961638.5</v>
      </c>
      <c r="E2731" t="s">
        <v>331</v>
      </c>
    </row>
    <row r="2732" spans="1:5" x14ac:dyDescent="0.25">
      <c r="A2732">
        <v>1900</v>
      </c>
      <c r="B2732" s="16">
        <v>43678</v>
      </c>
      <c r="C2732" t="s">
        <v>29</v>
      </c>
      <c r="D2732">
        <v>-1961638.5</v>
      </c>
      <c r="E2732" t="s">
        <v>331</v>
      </c>
    </row>
    <row r="2733" spans="1:5" x14ac:dyDescent="0.25">
      <c r="A2733">
        <v>1900</v>
      </c>
      <c r="B2733" s="16">
        <v>43709</v>
      </c>
      <c r="C2733" t="s">
        <v>29</v>
      </c>
      <c r="D2733">
        <v>-1961638.5</v>
      </c>
      <c r="E2733" t="s">
        <v>331</v>
      </c>
    </row>
    <row r="2734" spans="1:5" x14ac:dyDescent="0.25">
      <c r="A2734">
        <v>1900</v>
      </c>
      <c r="B2734" s="16">
        <v>43739</v>
      </c>
      <c r="C2734" t="s">
        <v>29</v>
      </c>
      <c r="D2734">
        <v>-1961638.5</v>
      </c>
      <c r="E2734" t="s">
        <v>331</v>
      </c>
    </row>
    <row r="2735" spans="1:5" x14ac:dyDescent="0.25">
      <c r="A2735">
        <v>1900</v>
      </c>
      <c r="B2735" s="16">
        <v>43556</v>
      </c>
      <c r="C2735" t="s">
        <v>39</v>
      </c>
      <c r="D2735">
        <v>-4078350</v>
      </c>
      <c r="E2735" t="s">
        <v>331</v>
      </c>
    </row>
    <row r="2736" spans="1:5" x14ac:dyDescent="0.25">
      <c r="A2736">
        <v>1900</v>
      </c>
      <c r="B2736" s="16">
        <v>43586</v>
      </c>
      <c r="C2736" t="s">
        <v>39</v>
      </c>
      <c r="D2736">
        <v>-4078350</v>
      </c>
      <c r="E2736" t="s">
        <v>331</v>
      </c>
    </row>
    <row r="2737" spans="1:5" x14ac:dyDescent="0.25">
      <c r="A2737">
        <v>1900</v>
      </c>
      <c r="B2737" s="16">
        <v>43617</v>
      </c>
      <c r="C2737" t="s">
        <v>39</v>
      </c>
      <c r="D2737">
        <v>-4078350</v>
      </c>
      <c r="E2737" t="s">
        <v>331</v>
      </c>
    </row>
    <row r="2738" spans="1:5" x14ac:dyDescent="0.25">
      <c r="A2738">
        <v>1900</v>
      </c>
      <c r="B2738" s="16">
        <v>43647</v>
      </c>
      <c r="C2738" t="s">
        <v>39</v>
      </c>
      <c r="D2738">
        <v>-4078350</v>
      </c>
      <c r="E2738" t="s">
        <v>331</v>
      </c>
    </row>
    <row r="2739" spans="1:5" x14ac:dyDescent="0.25">
      <c r="A2739">
        <v>1900</v>
      </c>
      <c r="B2739" s="16">
        <v>43678</v>
      </c>
      <c r="C2739" t="s">
        <v>39</v>
      </c>
      <c r="D2739">
        <v>-4078350</v>
      </c>
      <c r="E2739" t="s">
        <v>331</v>
      </c>
    </row>
    <row r="2740" spans="1:5" x14ac:dyDescent="0.25">
      <c r="A2740">
        <v>1900</v>
      </c>
      <c r="B2740" s="16">
        <v>43709</v>
      </c>
      <c r="C2740" t="s">
        <v>39</v>
      </c>
      <c r="D2740">
        <v>-4078350</v>
      </c>
      <c r="E2740" t="s">
        <v>331</v>
      </c>
    </row>
    <row r="2741" spans="1:5" x14ac:dyDescent="0.25">
      <c r="A2741">
        <v>1900</v>
      </c>
      <c r="B2741" s="16">
        <v>43739</v>
      </c>
      <c r="C2741" t="s">
        <v>39</v>
      </c>
      <c r="D2741">
        <v>-4078350</v>
      </c>
      <c r="E2741" t="s">
        <v>331</v>
      </c>
    </row>
    <row r="2742" spans="1:5" x14ac:dyDescent="0.25">
      <c r="A2742">
        <v>1900</v>
      </c>
      <c r="B2742" s="16">
        <v>43770</v>
      </c>
      <c r="C2742" t="s">
        <v>39</v>
      </c>
      <c r="D2742">
        <v>-4078350</v>
      </c>
      <c r="E2742" t="s">
        <v>331</v>
      </c>
    </row>
    <row r="2743" spans="1:5" x14ac:dyDescent="0.25">
      <c r="A2743">
        <v>1900</v>
      </c>
      <c r="B2743" s="16">
        <v>43800</v>
      </c>
      <c r="C2743" t="s">
        <v>39</v>
      </c>
      <c r="D2743">
        <v>-4078350</v>
      </c>
      <c r="E2743" t="s">
        <v>331</v>
      </c>
    </row>
    <row r="2744" spans="1:5" x14ac:dyDescent="0.25">
      <c r="A2744">
        <v>1900</v>
      </c>
      <c r="B2744" s="16">
        <v>43831</v>
      </c>
      <c r="C2744" t="s">
        <v>39</v>
      </c>
      <c r="D2744">
        <v>-4078350</v>
      </c>
      <c r="E2744" t="s">
        <v>331</v>
      </c>
    </row>
    <row r="2745" spans="1:5" x14ac:dyDescent="0.25">
      <c r="A2745">
        <v>1900</v>
      </c>
      <c r="B2745" s="16">
        <v>43556</v>
      </c>
      <c r="C2745" t="s">
        <v>38</v>
      </c>
      <c r="D2745">
        <v>-4626300.8879999993</v>
      </c>
      <c r="E2745" t="s">
        <v>331</v>
      </c>
    </row>
    <row r="2746" spans="1:5" x14ac:dyDescent="0.25">
      <c r="A2746">
        <v>1900</v>
      </c>
      <c r="B2746" s="16">
        <v>43586</v>
      </c>
      <c r="C2746" t="s">
        <v>38</v>
      </c>
      <c r="D2746">
        <v>-4626300.8879999993</v>
      </c>
      <c r="E2746" t="s">
        <v>331</v>
      </c>
    </row>
    <row r="2747" spans="1:5" x14ac:dyDescent="0.25">
      <c r="A2747">
        <v>1900</v>
      </c>
      <c r="B2747" s="16">
        <v>43617</v>
      </c>
      <c r="C2747" t="s">
        <v>38</v>
      </c>
      <c r="D2747">
        <v>-4626300.8879999993</v>
      </c>
      <c r="E2747" t="s">
        <v>331</v>
      </c>
    </row>
    <row r="2748" spans="1:5" x14ac:dyDescent="0.25">
      <c r="A2748">
        <v>1900</v>
      </c>
      <c r="B2748" s="16">
        <v>43647</v>
      </c>
      <c r="C2748" t="s">
        <v>38</v>
      </c>
      <c r="D2748">
        <v>-4626300.8879999993</v>
      </c>
      <c r="E2748" t="s">
        <v>331</v>
      </c>
    </row>
    <row r="2749" spans="1:5" x14ac:dyDescent="0.25">
      <c r="A2749">
        <v>1900</v>
      </c>
      <c r="B2749" s="16">
        <v>43678</v>
      </c>
      <c r="C2749" t="s">
        <v>38</v>
      </c>
      <c r="D2749">
        <v>-4626300.8879999993</v>
      </c>
      <c r="E2749" t="s">
        <v>331</v>
      </c>
    </row>
    <row r="2750" spans="1:5" x14ac:dyDescent="0.25">
      <c r="A2750">
        <v>1900</v>
      </c>
      <c r="B2750" s="16">
        <v>43709</v>
      </c>
      <c r="C2750" t="s">
        <v>38</v>
      </c>
      <c r="D2750">
        <v>-4626300.8879999993</v>
      </c>
      <c r="E2750" t="s">
        <v>331</v>
      </c>
    </row>
    <row r="2751" spans="1:5" x14ac:dyDescent="0.25">
      <c r="A2751">
        <v>1900</v>
      </c>
      <c r="B2751" s="16">
        <v>43739</v>
      </c>
      <c r="C2751" t="s">
        <v>38</v>
      </c>
      <c r="D2751">
        <v>-4626300.8879999993</v>
      </c>
      <c r="E2751" t="s">
        <v>331</v>
      </c>
    </row>
    <row r="2752" spans="1:5" x14ac:dyDescent="0.25">
      <c r="A2752">
        <v>1900</v>
      </c>
      <c r="B2752" s="16">
        <v>43770</v>
      </c>
      <c r="C2752" t="s">
        <v>38</v>
      </c>
      <c r="D2752">
        <v>-4626300.8879999993</v>
      </c>
      <c r="E2752" t="s">
        <v>331</v>
      </c>
    </row>
    <row r="2753" spans="1:5" x14ac:dyDescent="0.25">
      <c r="A2753">
        <v>1900</v>
      </c>
      <c r="B2753" s="16">
        <v>43800</v>
      </c>
      <c r="C2753" t="s">
        <v>38</v>
      </c>
      <c r="D2753">
        <v>-4626300.8879999993</v>
      </c>
      <c r="E2753" t="s">
        <v>331</v>
      </c>
    </row>
    <row r="2754" spans="1:5" x14ac:dyDescent="0.25">
      <c r="A2754">
        <v>1900</v>
      </c>
      <c r="B2754" s="16">
        <v>43556</v>
      </c>
      <c r="C2754" t="s">
        <v>26</v>
      </c>
      <c r="D2754">
        <v>-7512750</v>
      </c>
      <c r="E2754" t="s">
        <v>331</v>
      </c>
    </row>
    <row r="2755" spans="1:5" x14ac:dyDescent="0.25">
      <c r="A2755">
        <v>1900</v>
      </c>
      <c r="B2755" s="16">
        <v>43586</v>
      </c>
      <c r="C2755" t="s">
        <v>26</v>
      </c>
      <c r="D2755">
        <v>-7512750</v>
      </c>
      <c r="E2755" t="s">
        <v>331</v>
      </c>
    </row>
    <row r="2756" spans="1:5" x14ac:dyDescent="0.25">
      <c r="A2756">
        <v>1900</v>
      </c>
      <c r="B2756" s="16">
        <v>43617</v>
      </c>
      <c r="C2756" t="s">
        <v>26</v>
      </c>
      <c r="D2756">
        <v>-7512750</v>
      </c>
      <c r="E2756" t="s">
        <v>331</v>
      </c>
    </row>
    <row r="2757" spans="1:5" x14ac:dyDescent="0.25">
      <c r="A2757">
        <v>1900</v>
      </c>
      <c r="B2757" s="16">
        <v>43647</v>
      </c>
      <c r="C2757" t="s">
        <v>26</v>
      </c>
      <c r="D2757">
        <v>-7512750</v>
      </c>
      <c r="E2757" t="s">
        <v>331</v>
      </c>
    </row>
    <row r="2758" spans="1:5" x14ac:dyDescent="0.25">
      <c r="A2758">
        <v>1900</v>
      </c>
      <c r="B2758" s="16">
        <v>43556</v>
      </c>
      <c r="C2758" t="s">
        <v>38</v>
      </c>
      <c r="D2758">
        <v>-5204588.4989999998</v>
      </c>
      <c r="E2758" t="s">
        <v>331</v>
      </c>
    </row>
    <row r="2759" spans="1:5" x14ac:dyDescent="0.25">
      <c r="A2759">
        <v>1900</v>
      </c>
      <c r="B2759" s="16">
        <v>43586</v>
      </c>
      <c r="C2759" t="s">
        <v>38</v>
      </c>
      <c r="D2759">
        <v>-5204588.4989999998</v>
      </c>
      <c r="E2759" t="s">
        <v>331</v>
      </c>
    </row>
    <row r="2760" spans="1:5" x14ac:dyDescent="0.25">
      <c r="A2760">
        <v>1900</v>
      </c>
      <c r="B2760" s="16">
        <v>43617</v>
      </c>
      <c r="C2760" t="s">
        <v>38</v>
      </c>
      <c r="D2760">
        <v>-5204588.4989999998</v>
      </c>
      <c r="E2760" t="s">
        <v>331</v>
      </c>
    </row>
    <row r="2761" spans="1:5" x14ac:dyDescent="0.25">
      <c r="A2761">
        <v>1790</v>
      </c>
      <c r="B2761" s="16">
        <v>43556</v>
      </c>
      <c r="C2761" t="s">
        <v>19</v>
      </c>
      <c r="D2761">
        <v>-2323944</v>
      </c>
      <c r="E2761" t="s">
        <v>331</v>
      </c>
    </row>
    <row r="2762" spans="1:5" x14ac:dyDescent="0.25">
      <c r="A2762">
        <v>1790</v>
      </c>
      <c r="B2762" s="16">
        <v>43586</v>
      </c>
      <c r="C2762" t="s">
        <v>19</v>
      </c>
      <c r="D2762">
        <v>-2323944</v>
      </c>
      <c r="E2762" t="s">
        <v>331</v>
      </c>
    </row>
    <row r="2763" spans="1:5" x14ac:dyDescent="0.25">
      <c r="A2763">
        <v>1790</v>
      </c>
      <c r="B2763" s="16">
        <v>43617</v>
      </c>
      <c r="C2763" t="s">
        <v>19</v>
      </c>
      <c r="D2763">
        <v>-2323944</v>
      </c>
      <c r="E2763" t="s">
        <v>331</v>
      </c>
    </row>
    <row r="2764" spans="1:5" x14ac:dyDescent="0.25">
      <c r="A2764">
        <v>1790</v>
      </c>
      <c r="B2764" s="16">
        <v>43647</v>
      </c>
      <c r="C2764" t="s">
        <v>19</v>
      </c>
      <c r="D2764">
        <v>-2323944</v>
      </c>
      <c r="E2764" t="s">
        <v>331</v>
      </c>
    </row>
    <row r="2765" spans="1:5" x14ac:dyDescent="0.25">
      <c r="A2765">
        <v>1790</v>
      </c>
      <c r="B2765" s="16">
        <v>43678</v>
      </c>
      <c r="C2765" t="s">
        <v>19</v>
      </c>
      <c r="D2765">
        <v>-2323944</v>
      </c>
      <c r="E2765" t="s">
        <v>331</v>
      </c>
    </row>
    <row r="2766" spans="1:5" x14ac:dyDescent="0.25">
      <c r="A2766">
        <v>1790</v>
      </c>
      <c r="B2766" s="16">
        <v>43709</v>
      </c>
      <c r="C2766" t="s">
        <v>19</v>
      </c>
      <c r="D2766">
        <v>-2323944</v>
      </c>
      <c r="E2766" t="s">
        <v>331</v>
      </c>
    </row>
    <row r="2767" spans="1:5" x14ac:dyDescent="0.25">
      <c r="A2767">
        <v>1790</v>
      </c>
      <c r="B2767" s="16">
        <v>43739</v>
      </c>
      <c r="C2767" t="s">
        <v>19</v>
      </c>
      <c r="D2767">
        <v>-2323944</v>
      </c>
      <c r="E2767" t="s">
        <v>331</v>
      </c>
    </row>
    <row r="2768" spans="1:5" x14ac:dyDescent="0.25">
      <c r="A2768">
        <v>1790</v>
      </c>
      <c r="B2768" s="16">
        <v>43770</v>
      </c>
      <c r="C2768" t="s">
        <v>19</v>
      </c>
      <c r="D2768">
        <v>-2323944</v>
      </c>
      <c r="E2768" t="s">
        <v>331</v>
      </c>
    </row>
    <row r="2769" spans="1:5" x14ac:dyDescent="0.25">
      <c r="A2769">
        <v>1790</v>
      </c>
      <c r="B2769" s="16">
        <v>43800</v>
      </c>
      <c r="C2769" t="s">
        <v>19</v>
      </c>
      <c r="D2769">
        <v>-2323944</v>
      </c>
      <c r="E2769" t="s">
        <v>331</v>
      </c>
    </row>
    <row r="2770" spans="1:5" x14ac:dyDescent="0.25">
      <c r="A2770">
        <v>1790</v>
      </c>
      <c r="B2770" s="16">
        <v>43831</v>
      </c>
      <c r="C2770" t="s">
        <v>19</v>
      </c>
      <c r="D2770">
        <v>-2323944</v>
      </c>
      <c r="E2770" t="s">
        <v>331</v>
      </c>
    </row>
    <row r="2771" spans="1:5" x14ac:dyDescent="0.25">
      <c r="A2771">
        <v>1790</v>
      </c>
      <c r="B2771" s="16">
        <v>43862</v>
      </c>
      <c r="C2771" t="s">
        <v>19</v>
      </c>
      <c r="D2771">
        <v>-2323944</v>
      </c>
      <c r="E2771" t="s">
        <v>331</v>
      </c>
    </row>
    <row r="2772" spans="1:5" x14ac:dyDescent="0.25">
      <c r="A2772">
        <v>1790</v>
      </c>
      <c r="B2772" s="16">
        <v>43891</v>
      </c>
      <c r="C2772" t="s">
        <v>19</v>
      </c>
      <c r="D2772">
        <v>-2323944</v>
      </c>
      <c r="E2772" t="s">
        <v>331</v>
      </c>
    </row>
    <row r="2773" spans="1:5" x14ac:dyDescent="0.25">
      <c r="A2773">
        <v>1790</v>
      </c>
      <c r="B2773" s="16">
        <v>43922</v>
      </c>
      <c r="C2773" t="s">
        <v>19</v>
      </c>
      <c r="D2773">
        <v>-2323944</v>
      </c>
      <c r="E2773" t="s">
        <v>331</v>
      </c>
    </row>
    <row r="2774" spans="1:5" x14ac:dyDescent="0.25">
      <c r="A2774">
        <v>1790</v>
      </c>
      <c r="B2774" s="16">
        <v>43556</v>
      </c>
      <c r="C2774" t="s">
        <v>19</v>
      </c>
      <c r="D2774">
        <v>-726232.5</v>
      </c>
      <c r="E2774" t="s">
        <v>331</v>
      </c>
    </row>
    <row r="2775" spans="1:5" x14ac:dyDescent="0.25">
      <c r="A2775">
        <v>1790</v>
      </c>
      <c r="B2775" s="16">
        <v>43586</v>
      </c>
      <c r="C2775" t="s">
        <v>19</v>
      </c>
      <c r="D2775">
        <v>-726232.5</v>
      </c>
      <c r="E2775" t="s">
        <v>331</v>
      </c>
    </row>
    <row r="2776" spans="1:5" x14ac:dyDescent="0.25">
      <c r="A2776">
        <v>1790</v>
      </c>
      <c r="B2776" s="16">
        <v>43617</v>
      </c>
      <c r="C2776" t="s">
        <v>19</v>
      </c>
      <c r="D2776">
        <v>-726232.5</v>
      </c>
      <c r="E2776" t="s">
        <v>331</v>
      </c>
    </row>
    <row r="2777" spans="1:5" x14ac:dyDescent="0.25">
      <c r="A2777">
        <v>1790</v>
      </c>
      <c r="B2777" s="16">
        <v>43647</v>
      </c>
      <c r="C2777" t="s">
        <v>19</v>
      </c>
      <c r="D2777">
        <v>-726232.5</v>
      </c>
      <c r="E2777" t="s">
        <v>331</v>
      </c>
    </row>
    <row r="2778" spans="1:5" x14ac:dyDescent="0.25">
      <c r="A2778">
        <v>1790</v>
      </c>
      <c r="B2778" s="16">
        <v>43556</v>
      </c>
      <c r="C2778" t="s">
        <v>173</v>
      </c>
      <c r="D2778">
        <v>-9883440</v>
      </c>
      <c r="E2778" t="s">
        <v>331</v>
      </c>
    </row>
    <row r="2779" spans="1:5" x14ac:dyDescent="0.25">
      <c r="A2779">
        <v>1790</v>
      </c>
      <c r="B2779" s="16">
        <v>43586</v>
      </c>
      <c r="C2779" t="s">
        <v>173</v>
      </c>
      <c r="D2779">
        <v>-9883440</v>
      </c>
      <c r="E2779" t="s">
        <v>331</v>
      </c>
    </row>
    <row r="2780" spans="1:5" x14ac:dyDescent="0.25">
      <c r="A2780">
        <v>1790</v>
      </c>
      <c r="B2780" s="16">
        <v>43617</v>
      </c>
      <c r="C2780" t="s">
        <v>173</v>
      </c>
      <c r="D2780">
        <v>-9883440</v>
      </c>
      <c r="E2780" t="s">
        <v>331</v>
      </c>
    </row>
    <row r="2781" spans="1:5" x14ac:dyDescent="0.25">
      <c r="A2781">
        <v>1790</v>
      </c>
      <c r="B2781" s="16">
        <v>43647</v>
      </c>
      <c r="C2781" t="s">
        <v>173</v>
      </c>
      <c r="D2781">
        <v>-9883440</v>
      </c>
      <c r="E2781" t="s">
        <v>331</v>
      </c>
    </row>
    <row r="2782" spans="1:5" x14ac:dyDescent="0.25">
      <c r="A2782">
        <v>1790</v>
      </c>
      <c r="B2782" s="16">
        <v>43678</v>
      </c>
      <c r="C2782" t="s">
        <v>173</v>
      </c>
      <c r="D2782">
        <v>-9883440</v>
      </c>
      <c r="E2782" t="s">
        <v>331</v>
      </c>
    </row>
    <row r="2783" spans="1:5" x14ac:dyDescent="0.25">
      <c r="A2783">
        <v>1790</v>
      </c>
      <c r="B2783" s="16">
        <v>43709</v>
      </c>
      <c r="C2783" t="s">
        <v>173</v>
      </c>
      <c r="D2783">
        <v>-9883440</v>
      </c>
      <c r="E2783" t="s">
        <v>331</v>
      </c>
    </row>
    <row r="2784" spans="1:5" x14ac:dyDescent="0.25">
      <c r="A2784">
        <v>1790</v>
      </c>
      <c r="B2784" s="16">
        <v>43739</v>
      </c>
      <c r="C2784" t="s">
        <v>173</v>
      </c>
      <c r="D2784">
        <v>-9883440</v>
      </c>
      <c r="E2784" t="s">
        <v>331</v>
      </c>
    </row>
    <row r="2785" spans="1:5" x14ac:dyDescent="0.25">
      <c r="A2785">
        <v>1790</v>
      </c>
      <c r="B2785" s="16">
        <v>43770</v>
      </c>
      <c r="C2785" t="s">
        <v>173</v>
      </c>
      <c r="D2785">
        <v>-9883440</v>
      </c>
      <c r="E2785" t="s">
        <v>331</v>
      </c>
    </row>
    <row r="2786" spans="1:5" x14ac:dyDescent="0.25">
      <c r="A2786">
        <v>1790</v>
      </c>
      <c r="B2786" s="16">
        <v>43800</v>
      </c>
      <c r="C2786" t="s">
        <v>173</v>
      </c>
      <c r="D2786">
        <v>-9883440</v>
      </c>
      <c r="E2786" t="s">
        <v>331</v>
      </c>
    </row>
    <row r="2787" spans="1:5" x14ac:dyDescent="0.25">
      <c r="A2787">
        <v>1790</v>
      </c>
      <c r="B2787" s="16">
        <v>43831</v>
      </c>
      <c r="C2787" t="s">
        <v>173</v>
      </c>
      <c r="D2787">
        <v>-9883440</v>
      </c>
      <c r="E2787" t="s">
        <v>331</v>
      </c>
    </row>
    <row r="2788" spans="1:5" x14ac:dyDescent="0.25">
      <c r="A2788">
        <v>1790</v>
      </c>
      <c r="B2788" s="16">
        <v>43862</v>
      </c>
      <c r="C2788" t="s">
        <v>173</v>
      </c>
      <c r="D2788">
        <v>-9883440</v>
      </c>
      <c r="E2788" t="s">
        <v>331</v>
      </c>
    </row>
    <row r="2789" spans="1:5" x14ac:dyDescent="0.25">
      <c r="A2789">
        <v>1790</v>
      </c>
      <c r="B2789" s="16">
        <v>43891</v>
      </c>
      <c r="C2789" t="s">
        <v>173</v>
      </c>
      <c r="D2789">
        <v>-9883440</v>
      </c>
      <c r="E2789" t="s">
        <v>331</v>
      </c>
    </row>
    <row r="2790" spans="1:5" x14ac:dyDescent="0.25">
      <c r="A2790">
        <v>1790</v>
      </c>
      <c r="B2790" s="16">
        <v>43922</v>
      </c>
      <c r="C2790" t="s">
        <v>173</v>
      </c>
      <c r="D2790">
        <v>-9883440</v>
      </c>
      <c r="E2790" t="s">
        <v>331</v>
      </c>
    </row>
    <row r="2791" spans="1:5" x14ac:dyDescent="0.25">
      <c r="A2791">
        <v>1790</v>
      </c>
      <c r="B2791" s="16">
        <v>43556</v>
      </c>
      <c r="C2791" t="s">
        <v>314</v>
      </c>
      <c r="D2791">
        <v>-5930064</v>
      </c>
      <c r="E2791" t="s">
        <v>331</v>
      </c>
    </row>
    <row r="2792" spans="1:5" x14ac:dyDescent="0.25">
      <c r="A2792">
        <v>1790</v>
      </c>
      <c r="B2792" s="16">
        <v>43586</v>
      </c>
      <c r="C2792" t="s">
        <v>314</v>
      </c>
      <c r="D2792">
        <v>-5930064</v>
      </c>
      <c r="E2792" t="s">
        <v>331</v>
      </c>
    </row>
    <row r="2793" spans="1:5" x14ac:dyDescent="0.25">
      <c r="A2793">
        <v>1790</v>
      </c>
      <c r="B2793" s="16">
        <v>43617</v>
      </c>
      <c r="C2793" t="s">
        <v>314</v>
      </c>
      <c r="D2793">
        <v>-5930064</v>
      </c>
      <c r="E2793" t="s">
        <v>331</v>
      </c>
    </row>
    <row r="2794" spans="1:5" x14ac:dyDescent="0.25">
      <c r="A2794">
        <v>1790</v>
      </c>
      <c r="B2794" s="16">
        <v>43647</v>
      </c>
      <c r="C2794" t="s">
        <v>314</v>
      </c>
      <c r="D2794">
        <v>-5930064</v>
      </c>
      <c r="E2794" t="s">
        <v>331</v>
      </c>
    </row>
    <row r="2795" spans="1:5" x14ac:dyDescent="0.25">
      <c r="A2795">
        <v>1790</v>
      </c>
      <c r="B2795" s="16">
        <v>43678</v>
      </c>
      <c r="C2795" t="s">
        <v>314</v>
      </c>
      <c r="D2795">
        <v>-5930064</v>
      </c>
      <c r="E2795" t="s">
        <v>331</v>
      </c>
    </row>
    <row r="2796" spans="1:5" x14ac:dyDescent="0.25">
      <c r="A2796">
        <v>1790</v>
      </c>
      <c r="B2796" s="16">
        <v>43709</v>
      </c>
      <c r="C2796" t="s">
        <v>314</v>
      </c>
      <c r="D2796">
        <v>-5930064</v>
      </c>
      <c r="E2796" t="s">
        <v>331</v>
      </c>
    </row>
    <row r="2797" spans="1:5" x14ac:dyDescent="0.25">
      <c r="A2797">
        <v>1790</v>
      </c>
      <c r="B2797" s="16">
        <v>43739</v>
      </c>
      <c r="C2797" t="s">
        <v>314</v>
      </c>
      <c r="D2797">
        <v>-5930064</v>
      </c>
      <c r="E2797" t="s">
        <v>331</v>
      </c>
    </row>
    <row r="2798" spans="1:5" x14ac:dyDescent="0.25">
      <c r="A2798">
        <v>1790</v>
      </c>
      <c r="B2798" s="16">
        <v>43770</v>
      </c>
      <c r="C2798" t="s">
        <v>314</v>
      </c>
      <c r="D2798">
        <v>-5930064</v>
      </c>
      <c r="E2798" t="s">
        <v>331</v>
      </c>
    </row>
    <row r="2799" spans="1:5" x14ac:dyDescent="0.25">
      <c r="A2799">
        <v>1790</v>
      </c>
      <c r="B2799" s="16">
        <v>43800</v>
      </c>
      <c r="C2799" t="s">
        <v>314</v>
      </c>
      <c r="D2799">
        <v>-5930064</v>
      </c>
      <c r="E2799" t="s">
        <v>331</v>
      </c>
    </row>
    <row r="2800" spans="1:5" x14ac:dyDescent="0.25">
      <c r="A2800">
        <v>1790</v>
      </c>
      <c r="B2800" s="16">
        <v>43831</v>
      </c>
      <c r="C2800" t="s">
        <v>314</v>
      </c>
      <c r="D2800">
        <v>-5930064</v>
      </c>
      <c r="E2800" t="s">
        <v>331</v>
      </c>
    </row>
    <row r="2801" spans="1:5" x14ac:dyDescent="0.25">
      <c r="A2801">
        <v>1790</v>
      </c>
      <c r="B2801" s="16">
        <v>43862</v>
      </c>
      <c r="C2801" t="s">
        <v>314</v>
      </c>
      <c r="D2801">
        <v>-5930064</v>
      </c>
      <c r="E2801" t="s">
        <v>331</v>
      </c>
    </row>
    <row r="2802" spans="1:5" x14ac:dyDescent="0.25">
      <c r="A2802">
        <v>1790</v>
      </c>
      <c r="B2802" s="16">
        <v>43891</v>
      </c>
      <c r="C2802" t="s">
        <v>314</v>
      </c>
      <c r="D2802">
        <v>-5930064</v>
      </c>
      <c r="E2802" t="s">
        <v>331</v>
      </c>
    </row>
    <row r="2803" spans="1:5" x14ac:dyDescent="0.25">
      <c r="A2803">
        <v>1790</v>
      </c>
      <c r="B2803" s="16">
        <v>43922</v>
      </c>
      <c r="C2803" t="s">
        <v>314</v>
      </c>
      <c r="D2803">
        <v>-5930064</v>
      </c>
      <c r="E2803" t="s">
        <v>331</v>
      </c>
    </row>
    <row r="2804" spans="1:5" x14ac:dyDescent="0.25">
      <c r="A2804">
        <v>1790</v>
      </c>
      <c r="B2804" s="16">
        <v>43556</v>
      </c>
      <c r="C2804" t="s">
        <v>315</v>
      </c>
      <c r="D2804">
        <v>-3916647</v>
      </c>
      <c r="E2804" t="s">
        <v>331</v>
      </c>
    </row>
    <row r="2805" spans="1:5" x14ac:dyDescent="0.25">
      <c r="A2805">
        <v>1790</v>
      </c>
      <c r="B2805" s="16">
        <v>43586</v>
      </c>
      <c r="C2805" t="s">
        <v>315</v>
      </c>
      <c r="D2805">
        <v>-3916647</v>
      </c>
      <c r="E2805" t="s">
        <v>331</v>
      </c>
    </row>
    <row r="2806" spans="1:5" x14ac:dyDescent="0.25">
      <c r="A2806">
        <v>1790</v>
      </c>
      <c r="B2806" s="16">
        <v>43617</v>
      </c>
      <c r="C2806" t="s">
        <v>315</v>
      </c>
      <c r="D2806">
        <v>-3916647</v>
      </c>
      <c r="E2806" t="s">
        <v>331</v>
      </c>
    </row>
    <row r="2807" spans="1:5" x14ac:dyDescent="0.25">
      <c r="A2807">
        <v>1790</v>
      </c>
      <c r="B2807" s="16">
        <v>43647</v>
      </c>
      <c r="C2807" t="s">
        <v>315</v>
      </c>
      <c r="D2807">
        <v>-3916647</v>
      </c>
      <c r="E2807" t="s">
        <v>331</v>
      </c>
    </row>
    <row r="2808" spans="1:5" x14ac:dyDescent="0.25">
      <c r="A2808">
        <v>1790</v>
      </c>
      <c r="B2808" s="16">
        <v>43678</v>
      </c>
      <c r="C2808" t="s">
        <v>315</v>
      </c>
      <c r="D2808">
        <v>-3916647</v>
      </c>
      <c r="E2808" t="s">
        <v>331</v>
      </c>
    </row>
    <row r="2809" spans="1:5" x14ac:dyDescent="0.25">
      <c r="A2809">
        <v>1790</v>
      </c>
      <c r="B2809" s="16">
        <v>43709</v>
      </c>
      <c r="C2809" t="s">
        <v>315</v>
      </c>
      <c r="D2809">
        <v>-3916647</v>
      </c>
      <c r="E2809" t="s">
        <v>331</v>
      </c>
    </row>
    <row r="2810" spans="1:5" x14ac:dyDescent="0.25">
      <c r="A2810">
        <v>1790</v>
      </c>
      <c r="B2810" s="16">
        <v>43739</v>
      </c>
      <c r="C2810" t="s">
        <v>315</v>
      </c>
      <c r="D2810">
        <v>-3916647</v>
      </c>
      <c r="E2810" t="s">
        <v>331</v>
      </c>
    </row>
    <row r="2811" spans="1:5" x14ac:dyDescent="0.25">
      <c r="A2811">
        <v>1790</v>
      </c>
      <c r="B2811" s="16">
        <v>43770</v>
      </c>
      <c r="C2811" t="s">
        <v>315</v>
      </c>
      <c r="D2811">
        <v>-3916647</v>
      </c>
      <c r="E2811" t="s">
        <v>331</v>
      </c>
    </row>
    <row r="2812" spans="1:5" x14ac:dyDescent="0.25">
      <c r="A2812">
        <v>1790</v>
      </c>
      <c r="B2812" s="16">
        <v>43800</v>
      </c>
      <c r="C2812" t="s">
        <v>315</v>
      </c>
      <c r="D2812">
        <v>-3916647</v>
      </c>
      <c r="E2812" t="s">
        <v>331</v>
      </c>
    </row>
    <row r="2813" spans="1:5" x14ac:dyDescent="0.25">
      <c r="A2813">
        <v>1790</v>
      </c>
      <c r="B2813" s="16">
        <v>43831</v>
      </c>
      <c r="C2813" t="s">
        <v>315</v>
      </c>
      <c r="D2813">
        <v>-3916647</v>
      </c>
      <c r="E2813" t="s">
        <v>331</v>
      </c>
    </row>
    <row r="2814" spans="1:5" x14ac:dyDescent="0.25">
      <c r="A2814">
        <v>1790</v>
      </c>
      <c r="B2814" s="16">
        <v>43862</v>
      </c>
      <c r="C2814" t="s">
        <v>315</v>
      </c>
      <c r="D2814">
        <v>-3916647</v>
      </c>
      <c r="E2814" t="s">
        <v>331</v>
      </c>
    </row>
    <row r="2815" spans="1:5" x14ac:dyDescent="0.25">
      <c r="A2815">
        <v>1790</v>
      </c>
      <c r="B2815" s="16">
        <v>43891</v>
      </c>
      <c r="C2815" t="s">
        <v>315</v>
      </c>
      <c r="D2815">
        <v>-3916647</v>
      </c>
      <c r="E2815" t="s">
        <v>331</v>
      </c>
    </row>
    <row r="2816" spans="1:5" x14ac:dyDescent="0.25">
      <c r="A2816">
        <v>1790</v>
      </c>
      <c r="B2816" s="16">
        <v>43922</v>
      </c>
      <c r="C2816" t="s">
        <v>315</v>
      </c>
      <c r="D2816">
        <v>-3916647</v>
      </c>
      <c r="E2816" t="s">
        <v>331</v>
      </c>
    </row>
    <row r="2817" spans="1:5" x14ac:dyDescent="0.25">
      <c r="A2817">
        <v>1790</v>
      </c>
      <c r="B2817" s="16">
        <v>43556</v>
      </c>
      <c r="C2817" t="s">
        <v>316</v>
      </c>
      <c r="D2817">
        <v>-7103634.4399999995</v>
      </c>
      <c r="E2817" t="s">
        <v>331</v>
      </c>
    </row>
    <row r="2818" spans="1:5" x14ac:dyDescent="0.25">
      <c r="A2818">
        <v>1790</v>
      </c>
      <c r="B2818" s="16">
        <v>43586</v>
      </c>
      <c r="C2818" t="s">
        <v>316</v>
      </c>
      <c r="D2818">
        <v>-7103634.4399999995</v>
      </c>
      <c r="E2818" t="s">
        <v>331</v>
      </c>
    </row>
    <row r="2819" spans="1:5" x14ac:dyDescent="0.25">
      <c r="A2819">
        <v>1790</v>
      </c>
      <c r="B2819" s="16">
        <v>43617</v>
      </c>
      <c r="C2819" t="s">
        <v>316</v>
      </c>
      <c r="D2819">
        <v>-7103634.4399999995</v>
      </c>
      <c r="E2819" t="s">
        <v>331</v>
      </c>
    </row>
    <row r="2820" spans="1:5" x14ac:dyDescent="0.25">
      <c r="A2820">
        <v>1790</v>
      </c>
      <c r="B2820" s="16">
        <v>43647</v>
      </c>
      <c r="C2820" t="s">
        <v>316</v>
      </c>
      <c r="D2820">
        <v>-7103634.4399999995</v>
      </c>
      <c r="E2820" t="s">
        <v>331</v>
      </c>
    </row>
    <row r="2821" spans="1:5" x14ac:dyDescent="0.25">
      <c r="A2821">
        <v>1790</v>
      </c>
      <c r="B2821" s="16">
        <v>43678</v>
      </c>
      <c r="C2821" t="s">
        <v>316</v>
      </c>
      <c r="D2821">
        <v>-7103634.4399999995</v>
      </c>
      <c r="E2821" t="s">
        <v>331</v>
      </c>
    </row>
    <row r="2822" spans="1:5" x14ac:dyDescent="0.25">
      <c r="A2822">
        <v>1790</v>
      </c>
      <c r="B2822" s="16">
        <v>43709</v>
      </c>
      <c r="C2822" t="s">
        <v>316</v>
      </c>
      <c r="D2822">
        <v>-7103634.4399999995</v>
      </c>
      <c r="E2822" t="s">
        <v>331</v>
      </c>
    </row>
    <row r="2823" spans="1:5" x14ac:dyDescent="0.25">
      <c r="A2823">
        <v>1790</v>
      </c>
      <c r="B2823" s="16">
        <v>43739</v>
      </c>
      <c r="C2823" t="s">
        <v>316</v>
      </c>
      <c r="D2823">
        <v>-7103634.4399999995</v>
      </c>
      <c r="E2823" t="s">
        <v>331</v>
      </c>
    </row>
    <row r="2824" spans="1:5" x14ac:dyDescent="0.25">
      <c r="A2824">
        <v>1790</v>
      </c>
      <c r="B2824" s="16">
        <v>43770</v>
      </c>
      <c r="C2824" t="s">
        <v>316</v>
      </c>
      <c r="D2824">
        <v>-7103634.4399999995</v>
      </c>
      <c r="E2824" t="s">
        <v>331</v>
      </c>
    </row>
    <row r="2825" spans="1:5" x14ac:dyDescent="0.25">
      <c r="A2825">
        <v>1790</v>
      </c>
      <c r="B2825" s="16">
        <v>43800</v>
      </c>
      <c r="C2825" t="s">
        <v>316</v>
      </c>
      <c r="D2825">
        <v>-7103634.4399999995</v>
      </c>
      <c r="E2825" t="s">
        <v>331</v>
      </c>
    </row>
    <row r="2826" spans="1:5" x14ac:dyDescent="0.25">
      <c r="A2826">
        <v>1790</v>
      </c>
      <c r="B2826" s="16">
        <v>43831</v>
      </c>
      <c r="C2826" t="s">
        <v>316</v>
      </c>
      <c r="D2826">
        <v>-7103634.4399999995</v>
      </c>
      <c r="E2826" t="s">
        <v>331</v>
      </c>
    </row>
    <row r="2827" spans="1:5" x14ac:dyDescent="0.25">
      <c r="A2827">
        <v>1790</v>
      </c>
      <c r="B2827" s="16">
        <v>43862</v>
      </c>
      <c r="C2827" t="s">
        <v>316</v>
      </c>
      <c r="D2827">
        <v>-7103634.4399999995</v>
      </c>
      <c r="E2827" t="s">
        <v>331</v>
      </c>
    </row>
    <row r="2828" spans="1:5" x14ac:dyDescent="0.25">
      <c r="A2828">
        <v>1790</v>
      </c>
      <c r="B2828" s="16">
        <v>43891</v>
      </c>
      <c r="C2828" t="s">
        <v>316</v>
      </c>
      <c r="D2828">
        <v>-7103634.4399999995</v>
      </c>
      <c r="E2828" t="s">
        <v>331</v>
      </c>
    </row>
    <row r="2829" spans="1:5" x14ac:dyDescent="0.25">
      <c r="A2829">
        <v>1790</v>
      </c>
      <c r="B2829" s="16">
        <v>43922</v>
      </c>
      <c r="C2829" t="s">
        <v>316</v>
      </c>
      <c r="D2829">
        <v>-7103634.4399999995</v>
      </c>
      <c r="E2829" t="s">
        <v>331</v>
      </c>
    </row>
    <row r="2830" spans="1:5" x14ac:dyDescent="0.25">
      <c r="A2830">
        <v>1790</v>
      </c>
      <c r="B2830" s="16">
        <v>43556</v>
      </c>
      <c r="C2830" t="s">
        <v>314</v>
      </c>
      <c r="D2830">
        <v>-5930064</v>
      </c>
      <c r="E2830" t="s">
        <v>331</v>
      </c>
    </row>
    <row r="2831" spans="1:5" x14ac:dyDescent="0.25">
      <c r="A2831">
        <v>1790</v>
      </c>
      <c r="B2831" s="16">
        <v>43586</v>
      </c>
      <c r="C2831" t="s">
        <v>314</v>
      </c>
      <c r="D2831">
        <v>-5930064</v>
      </c>
      <c r="E2831" t="s">
        <v>331</v>
      </c>
    </row>
    <row r="2832" spans="1:5" x14ac:dyDescent="0.25">
      <c r="A2832">
        <v>1790</v>
      </c>
      <c r="B2832" s="16">
        <v>43617</v>
      </c>
      <c r="C2832" t="s">
        <v>314</v>
      </c>
      <c r="D2832">
        <v>-5930064</v>
      </c>
      <c r="E2832" t="s">
        <v>331</v>
      </c>
    </row>
    <row r="2833" spans="1:5" x14ac:dyDescent="0.25">
      <c r="A2833">
        <v>1790</v>
      </c>
      <c r="B2833" s="16">
        <v>43647</v>
      </c>
      <c r="C2833" t="s">
        <v>314</v>
      </c>
      <c r="D2833">
        <v>-5930064</v>
      </c>
      <c r="E2833" t="s">
        <v>331</v>
      </c>
    </row>
    <row r="2834" spans="1:5" x14ac:dyDescent="0.25">
      <c r="A2834">
        <v>1790</v>
      </c>
      <c r="B2834" s="16">
        <v>43678</v>
      </c>
      <c r="C2834" t="s">
        <v>314</v>
      </c>
      <c r="D2834">
        <v>-5930064</v>
      </c>
      <c r="E2834" t="s">
        <v>331</v>
      </c>
    </row>
    <row r="2835" spans="1:5" x14ac:dyDescent="0.25">
      <c r="A2835">
        <v>1790</v>
      </c>
      <c r="B2835" s="16">
        <v>43709</v>
      </c>
      <c r="C2835" t="s">
        <v>314</v>
      </c>
      <c r="D2835">
        <v>-5930064</v>
      </c>
      <c r="E2835" t="s">
        <v>331</v>
      </c>
    </row>
    <row r="2836" spans="1:5" x14ac:dyDescent="0.25">
      <c r="A2836">
        <v>1790</v>
      </c>
      <c r="B2836" s="16">
        <v>43739</v>
      </c>
      <c r="C2836" t="s">
        <v>314</v>
      </c>
      <c r="D2836">
        <v>-5930064</v>
      </c>
      <c r="E2836" t="s">
        <v>331</v>
      </c>
    </row>
    <row r="2837" spans="1:5" x14ac:dyDescent="0.25">
      <c r="A2837">
        <v>1790</v>
      </c>
      <c r="B2837" s="16">
        <v>43770</v>
      </c>
      <c r="C2837" t="s">
        <v>314</v>
      </c>
      <c r="D2837">
        <v>-5930064</v>
      </c>
      <c r="E2837" t="s">
        <v>331</v>
      </c>
    </row>
    <row r="2838" spans="1:5" x14ac:dyDescent="0.25">
      <c r="A2838">
        <v>1790</v>
      </c>
      <c r="B2838" s="16">
        <v>43800</v>
      </c>
      <c r="C2838" t="s">
        <v>314</v>
      </c>
      <c r="D2838">
        <v>-5930064</v>
      </c>
      <c r="E2838" t="s">
        <v>331</v>
      </c>
    </row>
    <row r="2839" spans="1:5" x14ac:dyDescent="0.25">
      <c r="A2839">
        <v>1790</v>
      </c>
      <c r="B2839" s="16">
        <v>43831</v>
      </c>
      <c r="C2839" t="s">
        <v>314</v>
      </c>
      <c r="D2839">
        <v>-5930064</v>
      </c>
      <c r="E2839" t="s">
        <v>331</v>
      </c>
    </row>
    <row r="2840" spans="1:5" x14ac:dyDescent="0.25">
      <c r="A2840">
        <v>1790</v>
      </c>
      <c r="B2840" s="16">
        <v>43862</v>
      </c>
      <c r="C2840" t="s">
        <v>314</v>
      </c>
      <c r="D2840">
        <v>-5930064</v>
      </c>
      <c r="E2840" t="s">
        <v>331</v>
      </c>
    </row>
    <row r="2841" spans="1:5" x14ac:dyDescent="0.25">
      <c r="A2841">
        <v>1790</v>
      </c>
      <c r="B2841" s="16">
        <v>43891</v>
      </c>
      <c r="C2841" t="s">
        <v>314</v>
      </c>
      <c r="D2841">
        <v>-5930064</v>
      </c>
      <c r="E2841" t="s">
        <v>331</v>
      </c>
    </row>
    <row r="2842" spans="1:5" x14ac:dyDescent="0.25">
      <c r="A2842">
        <v>1790</v>
      </c>
      <c r="B2842" s="16">
        <v>43922</v>
      </c>
      <c r="C2842" t="s">
        <v>314</v>
      </c>
      <c r="D2842">
        <v>-5930064</v>
      </c>
      <c r="E2842" t="s">
        <v>331</v>
      </c>
    </row>
    <row r="2843" spans="1:5" x14ac:dyDescent="0.25">
      <c r="A2843">
        <v>1790</v>
      </c>
      <c r="B2843" s="16">
        <v>43556</v>
      </c>
      <c r="C2843" t="s">
        <v>59</v>
      </c>
      <c r="D2843">
        <v>-3847852</v>
      </c>
      <c r="E2843" t="s">
        <v>331</v>
      </c>
    </row>
    <row r="2844" spans="1:5" x14ac:dyDescent="0.25">
      <c r="A2844">
        <v>1790</v>
      </c>
      <c r="B2844" s="16">
        <v>43586</v>
      </c>
      <c r="C2844" t="s">
        <v>59</v>
      </c>
      <c r="D2844">
        <v>-3847852</v>
      </c>
      <c r="E2844" t="s">
        <v>331</v>
      </c>
    </row>
    <row r="2845" spans="1:5" x14ac:dyDescent="0.25">
      <c r="A2845">
        <v>1790</v>
      </c>
      <c r="B2845" s="16">
        <v>43617</v>
      </c>
      <c r="C2845" t="s">
        <v>59</v>
      </c>
      <c r="D2845">
        <v>-3847852</v>
      </c>
      <c r="E2845" t="s">
        <v>331</v>
      </c>
    </row>
    <row r="2846" spans="1:5" x14ac:dyDescent="0.25">
      <c r="A2846">
        <v>1790</v>
      </c>
      <c r="B2846" s="16">
        <v>43647</v>
      </c>
      <c r="C2846" t="s">
        <v>59</v>
      </c>
      <c r="D2846">
        <v>-3847852</v>
      </c>
      <c r="E2846" t="s">
        <v>331</v>
      </c>
    </row>
    <row r="2847" spans="1:5" x14ac:dyDescent="0.25">
      <c r="A2847">
        <v>1790</v>
      </c>
      <c r="B2847" s="16">
        <v>43678</v>
      </c>
      <c r="C2847" t="s">
        <v>59</v>
      </c>
      <c r="D2847">
        <v>-3847852</v>
      </c>
      <c r="E2847" t="s">
        <v>331</v>
      </c>
    </row>
    <row r="2848" spans="1:5" x14ac:dyDescent="0.25">
      <c r="A2848">
        <v>1790</v>
      </c>
      <c r="B2848" s="16">
        <v>43709</v>
      </c>
      <c r="C2848" t="s">
        <v>59</v>
      </c>
      <c r="D2848">
        <v>-3847852</v>
      </c>
      <c r="E2848" t="s">
        <v>331</v>
      </c>
    </row>
    <row r="2849" spans="1:5" x14ac:dyDescent="0.25">
      <c r="A2849">
        <v>1790</v>
      </c>
      <c r="B2849" s="16">
        <v>43739</v>
      </c>
      <c r="C2849" t="s">
        <v>59</v>
      </c>
      <c r="D2849">
        <v>-3847852</v>
      </c>
      <c r="E2849" t="s">
        <v>331</v>
      </c>
    </row>
    <row r="2850" spans="1:5" x14ac:dyDescent="0.25">
      <c r="A2850">
        <v>1790</v>
      </c>
      <c r="B2850" s="16">
        <v>43770</v>
      </c>
      <c r="C2850" t="s">
        <v>59</v>
      </c>
      <c r="D2850">
        <v>-3847852</v>
      </c>
      <c r="E2850" t="s">
        <v>331</v>
      </c>
    </row>
    <row r="2851" spans="1:5" x14ac:dyDescent="0.25">
      <c r="A2851">
        <v>1790</v>
      </c>
      <c r="B2851" s="16">
        <v>43800</v>
      </c>
      <c r="C2851" t="s">
        <v>59</v>
      </c>
      <c r="D2851">
        <v>-3847852</v>
      </c>
      <c r="E2851" t="s">
        <v>331</v>
      </c>
    </row>
    <row r="2852" spans="1:5" x14ac:dyDescent="0.25">
      <c r="A2852">
        <v>1790</v>
      </c>
      <c r="B2852" s="16">
        <v>43831</v>
      </c>
      <c r="C2852" t="s">
        <v>59</v>
      </c>
      <c r="D2852">
        <v>-3847852</v>
      </c>
      <c r="E2852" t="s">
        <v>331</v>
      </c>
    </row>
    <row r="2853" spans="1:5" x14ac:dyDescent="0.25">
      <c r="A2853">
        <v>1790</v>
      </c>
      <c r="B2853" s="16">
        <v>43862</v>
      </c>
      <c r="C2853" t="s">
        <v>59</v>
      </c>
      <c r="D2853">
        <v>-3847852</v>
      </c>
      <c r="E2853" t="s">
        <v>331</v>
      </c>
    </row>
    <row r="2854" spans="1:5" x14ac:dyDescent="0.25">
      <c r="A2854">
        <v>1790</v>
      </c>
      <c r="B2854" s="16">
        <v>43891</v>
      </c>
      <c r="C2854" t="s">
        <v>59</v>
      </c>
      <c r="D2854">
        <v>-3847852</v>
      </c>
      <c r="E2854" t="s">
        <v>331</v>
      </c>
    </row>
    <row r="2855" spans="1:5" x14ac:dyDescent="0.25">
      <c r="A2855">
        <v>1790</v>
      </c>
      <c r="B2855" s="16">
        <v>43922</v>
      </c>
      <c r="C2855" t="s">
        <v>59</v>
      </c>
      <c r="D2855">
        <v>-3847852</v>
      </c>
      <c r="E2855" t="s">
        <v>331</v>
      </c>
    </row>
    <row r="2856" spans="1:5" x14ac:dyDescent="0.25">
      <c r="A2856">
        <v>1790</v>
      </c>
      <c r="B2856" s="16">
        <v>43556</v>
      </c>
      <c r="C2856" t="s">
        <v>139</v>
      </c>
      <c r="D2856">
        <v>-6012426</v>
      </c>
      <c r="E2856" t="s">
        <v>331</v>
      </c>
    </row>
    <row r="2857" spans="1:5" x14ac:dyDescent="0.25">
      <c r="A2857">
        <v>1790</v>
      </c>
      <c r="B2857" s="16">
        <v>43586</v>
      </c>
      <c r="C2857" t="s">
        <v>139</v>
      </c>
      <c r="D2857">
        <v>-6012426</v>
      </c>
      <c r="E2857" t="s">
        <v>331</v>
      </c>
    </row>
    <row r="2858" spans="1:5" x14ac:dyDescent="0.25">
      <c r="A2858">
        <v>1790</v>
      </c>
      <c r="B2858" s="16">
        <v>43617</v>
      </c>
      <c r="C2858" t="s">
        <v>139</v>
      </c>
      <c r="D2858">
        <v>-6012426</v>
      </c>
      <c r="E2858" t="s">
        <v>331</v>
      </c>
    </row>
    <row r="2859" spans="1:5" x14ac:dyDescent="0.25">
      <c r="A2859">
        <v>1790</v>
      </c>
      <c r="B2859" s="16">
        <v>43647</v>
      </c>
      <c r="C2859" t="s">
        <v>139</v>
      </c>
      <c r="D2859">
        <v>-6012426</v>
      </c>
      <c r="E2859" t="s">
        <v>331</v>
      </c>
    </row>
    <row r="2860" spans="1:5" x14ac:dyDescent="0.25">
      <c r="A2860">
        <v>1790</v>
      </c>
      <c r="B2860" s="16">
        <v>43678</v>
      </c>
      <c r="C2860" t="s">
        <v>139</v>
      </c>
      <c r="D2860">
        <v>-6012426</v>
      </c>
      <c r="E2860" t="s">
        <v>331</v>
      </c>
    </row>
    <row r="2861" spans="1:5" x14ac:dyDescent="0.25">
      <c r="A2861">
        <v>1790</v>
      </c>
      <c r="B2861" s="16">
        <v>43709</v>
      </c>
      <c r="C2861" t="s">
        <v>139</v>
      </c>
      <c r="D2861">
        <v>-6012426</v>
      </c>
      <c r="E2861" t="s">
        <v>331</v>
      </c>
    </row>
    <row r="2862" spans="1:5" x14ac:dyDescent="0.25">
      <c r="A2862">
        <v>1790</v>
      </c>
      <c r="B2862" s="16">
        <v>43739</v>
      </c>
      <c r="C2862" t="s">
        <v>139</v>
      </c>
      <c r="D2862">
        <v>-6012426</v>
      </c>
      <c r="E2862" t="s">
        <v>331</v>
      </c>
    </row>
    <row r="2863" spans="1:5" x14ac:dyDescent="0.25">
      <c r="A2863">
        <v>1790</v>
      </c>
      <c r="B2863" s="16">
        <v>43770</v>
      </c>
      <c r="C2863" t="s">
        <v>139</v>
      </c>
      <c r="D2863">
        <v>-6012426</v>
      </c>
      <c r="E2863" t="s">
        <v>331</v>
      </c>
    </row>
    <row r="2864" spans="1:5" x14ac:dyDescent="0.25">
      <c r="A2864">
        <v>1790</v>
      </c>
      <c r="B2864" s="16">
        <v>43800</v>
      </c>
      <c r="C2864" t="s">
        <v>139</v>
      </c>
      <c r="D2864">
        <v>-6012426</v>
      </c>
      <c r="E2864" t="s">
        <v>331</v>
      </c>
    </row>
    <row r="2865" spans="1:5" x14ac:dyDescent="0.25">
      <c r="A2865">
        <v>1790</v>
      </c>
      <c r="B2865" s="16">
        <v>43831</v>
      </c>
      <c r="C2865" t="s">
        <v>139</v>
      </c>
      <c r="D2865">
        <v>-6012426</v>
      </c>
      <c r="E2865" t="s">
        <v>331</v>
      </c>
    </row>
    <row r="2866" spans="1:5" x14ac:dyDescent="0.25">
      <c r="A2866">
        <v>1790</v>
      </c>
      <c r="B2866" s="16">
        <v>43862</v>
      </c>
      <c r="C2866" t="s">
        <v>139</v>
      </c>
      <c r="D2866">
        <v>-6012426</v>
      </c>
      <c r="E2866" t="s">
        <v>331</v>
      </c>
    </row>
    <row r="2867" spans="1:5" x14ac:dyDescent="0.25">
      <c r="A2867">
        <v>1790</v>
      </c>
      <c r="B2867" s="16">
        <v>43891</v>
      </c>
      <c r="C2867" t="s">
        <v>139</v>
      </c>
      <c r="D2867">
        <v>-6012426</v>
      </c>
      <c r="E2867" t="s">
        <v>331</v>
      </c>
    </row>
    <row r="2868" spans="1:5" x14ac:dyDescent="0.25">
      <c r="A2868">
        <v>1790</v>
      </c>
      <c r="B2868" s="16">
        <v>43922</v>
      </c>
      <c r="C2868" t="s">
        <v>139</v>
      </c>
      <c r="D2868">
        <v>-6012426</v>
      </c>
      <c r="E2868" t="s">
        <v>331</v>
      </c>
    </row>
    <row r="2869" spans="1:5" x14ac:dyDescent="0.25">
      <c r="A2869">
        <v>1790</v>
      </c>
      <c r="B2869" s="16">
        <v>43556</v>
      </c>
      <c r="C2869" t="s">
        <v>317</v>
      </c>
      <c r="D2869">
        <v>-4941720</v>
      </c>
      <c r="E2869" t="s">
        <v>331</v>
      </c>
    </row>
    <row r="2870" spans="1:5" x14ac:dyDescent="0.25">
      <c r="A2870">
        <v>1790</v>
      </c>
      <c r="B2870" s="16">
        <v>43586</v>
      </c>
      <c r="C2870" t="s">
        <v>317</v>
      </c>
      <c r="D2870">
        <v>-4941720</v>
      </c>
      <c r="E2870" t="s">
        <v>331</v>
      </c>
    </row>
    <row r="2871" spans="1:5" x14ac:dyDescent="0.25">
      <c r="A2871">
        <v>1790</v>
      </c>
      <c r="B2871" s="16">
        <v>43617</v>
      </c>
      <c r="C2871" t="s">
        <v>317</v>
      </c>
      <c r="D2871">
        <v>-4941720</v>
      </c>
      <c r="E2871" t="s">
        <v>331</v>
      </c>
    </row>
    <row r="2872" spans="1:5" x14ac:dyDescent="0.25">
      <c r="A2872">
        <v>1790</v>
      </c>
      <c r="B2872" s="16">
        <v>43647</v>
      </c>
      <c r="C2872" t="s">
        <v>317</v>
      </c>
      <c r="D2872">
        <v>-4941720</v>
      </c>
      <c r="E2872" t="s">
        <v>331</v>
      </c>
    </row>
    <row r="2873" spans="1:5" x14ac:dyDescent="0.25">
      <c r="A2873">
        <v>1790</v>
      </c>
      <c r="B2873" s="16">
        <v>43678</v>
      </c>
      <c r="C2873" t="s">
        <v>317</v>
      </c>
      <c r="D2873">
        <v>-4941720</v>
      </c>
      <c r="E2873" t="s">
        <v>331</v>
      </c>
    </row>
    <row r="2874" spans="1:5" x14ac:dyDescent="0.25">
      <c r="A2874">
        <v>1790</v>
      </c>
      <c r="B2874" s="16">
        <v>43709</v>
      </c>
      <c r="C2874" t="s">
        <v>317</v>
      </c>
      <c r="D2874">
        <v>-4941720</v>
      </c>
      <c r="E2874" t="s">
        <v>331</v>
      </c>
    </row>
    <row r="2875" spans="1:5" x14ac:dyDescent="0.25">
      <c r="A2875">
        <v>1790</v>
      </c>
      <c r="B2875" s="16">
        <v>43739</v>
      </c>
      <c r="C2875" t="s">
        <v>317</v>
      </c>
      <c r="D2875">
        <v>-4941720</v>
      </c>
      <c r="E2875" t="s">
        <v>331</v>
      </c>
    </row>
    <row r="2876" spans="1:5" x14ac:dyDescent="0.25">
      <c r="A2876">
        <v>1790</v>
      </c>
      <c r="B2876" s="16">
        <v>43770</v>
      </c>
      <c r="C2876" t="s">
        <v>317</v>
      </c>
      <c r="D2876">
        <v>-4941720</v>
      </c>
      <c r="E2876" t="s">
        <v>331</v>
      </c>
    </row>
    <row r="2877" spans="1:5" x14ac:dyDescent="0.25">
      <c r="A2877">
        <v>1790</v>
      </c>
      <c r="B2877" s="16">
        <v>43800</v>
      </c>
      <c r="C2877" t="s">
        <v>317</v>
      </c>
      <c r="D2877">
        <v>-4941720</v>
      </c>
      <c r="E2877" t="s">
        <v>331</v>
      </c>
    </row>
    <row r="2878" spans="1:5" x14ac:dyDescent="0.25">
      <c r="A2878">
        <v>1790</v>
      </c>
      <c r="B2878" s="16">
        <v>43831</v>
      </c>
      <c r="C2878" t="s">
        <v>317</v>
      </c>
      <c r="D2878">
        <v>-4941720</v>
      </c>
      <c r="E2878" t="s">
        <v>331</v>
      </c>
    </row>
    <row r="2879" spans="1:5" x14ac:dyDescent="0.25">
      <c r="A2879">
        <v>1790</v>
      </c>
      <c r="B2879" s="16">
        <v>43862</v>
      </c>
      <c r="C2879" t="s">
        <v>317</v>
      </c>
      <c r="D2879">
        <v>-4941720</v>
      </c>
      <c r="E2879" t="s">
        <v>331</v>
      </c>
    </row>
    <row r="2880" spans="1:5" x14ac:dyDescent="0.25">
      <c r="A2880">
        <v>1790</v>
      </c>
      <c r="B2880" s="16">
        <v>43891</v>
      </c>
      <c r="C2880" t="s">
        <v>317</v>
      </c>
      <c r="D2880">
        <v>-4941720</v>
      </c>
      <c r="E2880" t="s">
        <v>331</v>
      </c>
    </row>
    <row r="2881" spans="1:5" x14ac:dyDescent="0.25">
      <c r="A2881">
        <v>1790</v>
      </c>
      <c r="B2881" s="16">
        <v>43922</v>
      </c>
      <c r="C2881" t="s">
        <v>317</v>
      </c>
      <c r="D2881">
        <v>-4941720</v>
      </c>
      <c r="E2881" t="s">
        <v>331</v>
      </c>
    </row>
    <row r="2882" spans="1:5" x14ac:dyDescent="0.25">
      <c r="A2882">
        <v>1790</v>
      </c>
      <c r="B2882" s="16">
        <v>43556</v>
      </c>
      <c r="C2882" t="s">
        <v>174</v>
      </c>
      <c r="D2882">
        <v>-4612272</v>
      </c>
      <c r="E2882" t="s">
        <v>331</v>
      </c>
    </row>
    <row r="2883" spans="1:5" x14ac:dyDescent="0.25">
      <c r="A2883">
        <v>1790</v>
      </c>
      <c r="B2883" s="16">
        <v>43586</v>
      </c>
      <c r="C2883" t="s">
        <v>174</v>
      </c>
      <c r="D2883">
        <v>-4612272</v>
      </c>
      <c r="E2883" t="s">
        <v>331</v>
      </c>
    </row>
    <row r="2884" spans="1:5" x14ac:dyDescent="0.25">
      <c r="A2884">
        <v>1790</v>
      </c>
      <c r="B2884" s="16">
        <v>43617</v>
      </c>
      <c r="C2884" t="s">
        <v>174</v>
      </c>
      <c r="D2884">
        <v>-4612272</v>
      </c>
      <c r="E2884" t="s">
        <v>331</v>
      </c>
    </row>
    <row r="2885" spans="1:5" x14ac:dyDescent="0.25">
      <c r="A2885">
        <v>1790</v>
      </c>
      <c r="B2885" s="16">
        <v>43647</v>
      </c>
      <c r="C2885" t="s">
        <v>174</v>
      </c>
      <c r="D2885">
        <v>-4612272</v>
      </c>
      <c r="E2885" t="s">
        <v>331</v>
      </c>
    </row>
    <row r="2886" spans="1:5" x14ac:dyDescent="0.25">
      <c r="A2886">
        <v>1790</v>
      </c>
      <c r="B2886" s="16">
        <v>43678</v>
      </c>
      <c r="C2886" t="s">
        <v>174</v>
      </c>
      <c r="D2886">
        <v>-4612272</v>
      </c>
      <c r="E2886" t="s">
        <v>331</v>
      </c>
    </row>
    <row r="2887" spans="1:5" x14ac:dyDescent="0.25">
      <c r="A2887">
        <v>1790</v>
      </c>
      <c r="B2887" s="16">
        <v>43709</v>
      </c>
      <c r="C2887" t="s">
        <v>174</v>
      </c>
      <c r="D2887">
        <v>-4612272</v>
      </c>
      <c r="E2887" t="s">
        <v>331</v>
      </c>
    </row>
    <row r="2888" spans="1:5" x14ac:dyDescent="0.25">
      <c r="A2888">
        <v>1790</v>
      </c>
      <c r="B2888" s="16">
        <v>43739</v>
      </c>
      <c r="C2888" t="s">
        <v>174</v>
      </c>
      <c r="D2888">
        <v>-4612272</v>
      </c>
      <c r="E2888" t="s">
        <v>331</v>
      </c>
    </row>
    <row r="2889" spans="1:5" x14ac:dyDescent="0.25">
      <c r="A2889">
        <v>1790</v>
      </c>
      <c r="B2889" s="16">
        <v>43770</v>
      </c>
      <c r="C2889" t="s">
        <v>174</v>
      </c>
      <c r="D2889">
        <v>-4612272</v>
      </c>
      <c r="E2889" t="s">
        <v>331</v>
      </c>
    </row>
    <row r="2890" spans="1:5" x14ac:dyDescent="0.25">
      <c r="A2890">
        <v>1790</v>
      </c>
      <c r="B2890" s="16">
        <v>43800</v>
      </c>
      <c r="C2890" t="s">
        <v>174</v>
      </c>
      <c r="D2890">
        <v>-4612272</v>
      </c>
      <c r="E2890" t="s">
        <v>331</v>
      </c>
    </row>
    <row r="2891" spans="1:5" x14ac:dyDescent="0.25">
      <c r="A2891">
        <v>1790</v>
      </c>
      <c r="B2891" s="16">
        <v>43831</v>
      </c>
      <c r="C2891" t="s">
        <v>174</v>
      </c>
      <c r="D2891">
        <v>-4612272</v>
      </c>
      <c r="E2891" t="s">
        <v>331</v>
      </c>
    </row>
    <row r="2892" spans="1:5" x14ac:dyDescent="0.25">
      <c r="A2892">
        <v>1790</v>
      </c>
      <c r="B2892" s="16">
        <v>43862</v>
      </c>
      <c r="C2892" t="s">
        <v>174</v>
      </c>
      <c r="D2892">
        <v>-4612272</v>
      </c>
      <c r="E2892" t="s">
        <v>331</v>
      </c>
    </row>
    <row r="2893" spans="1:5" x14ac:dyDescent="0.25">
      <c r="A2893">
        <v>1790</v>
      </c>
      <c r="B2893" s="16">
        <v>43891</v>
      </c>
      <c r="C2893" t="s">
        <v>174</v>
      </c>
      <c r="D2893">
        <v>-4612272</v>
      </c>
      <c r="E2893" t="s">
        <v>331</v>
      </c>
    </row>
    <row r="2894" spans="1:5" x14ac:dyDescent="0.25">
      <c r="A2894">
        <v>1790</v>
      </c>
      <c r="B2894" s="16">
        <v>43922</v>
      </c>
      <c r="C2894" t="s">
        <v>174</v>
      </c>
      <c r="D2894">
        <v>-4612272</v>
      </c>
      <c r="E2894" t="s">
        <v>331</v>
      </c>
    </row>
    <row r="2895" spans="1:5" x14ac:dyDescent="0.25">
      <c r="A2895">
        <v>1790</v>
      </c>
      <c r="B2895" s="16">
        <v>43556</v>
      </c>
      <c r="C2895" t="s">
        <v>135</v>
      </c>
      <c r="D2895">
        <v>-3669727.95</v>
      </c>
      <c r="E2895" t="s">
        <v>331</v>
      </c>
    </row>
    <row r="2896" spans="1:5" x14ac:dyDescent="0.25">
      <c r="A2896">
        <v>1790</v>
      </c>
      <c r="B2896" s="16">
        <v>43586</v>
      </c>
      <c r="C2896" t="s">
        <v>135</v>
      </c>
      <c r="D2896">
        <v>-3669727.95</v>
      </c>
      <c r="E2896" t="s">
        <v>331</v>
      </c>
    </row>
    <row r="2897" spans="1:5" x14ac:dyDescent="0.25">
      <c r="A2897">
        <v>1790</v>
      </c>
      <c r="B2897" s="16">
        <v>43617</v>
      </c>
      <c r="C2897" t="s">
        <v>135</v>
      </c>
      <c r="D2897">
        <v>-3669727.95</v>
      </c>
      <c r="E2897" t="s">
        <v>331</v>
      </c>
    </row>
    <row r="2898" spans="1:5" x14ac:dyDescent="0.25">
      <c r="A2898">
        <v>1790</v>
      </c>
      <c r="B2898" s="16">
        <v>43647</v>
      </c>
      <c r="C2898" t="s">
        <v>135</v>
      </c>
      <c r="D2898">
        <v>-3669727.95</v>
      </c>
      <c r="E2898" t="s">
        <v>331</v>
      </c>
    </row>
    <row r="2899" spans="1:5" x14ac:dyDescent="0.25">
      <c r="A2899">
        <v>1790</v>
      </c>
      <c r="B2899" s="16">
        <v>43678</v>
      </c>
      <c r="C2899" t="s">
        <v>135</v>
      </c>
      <c r="D2899">
        <v>-3669727.95</v>
      </c>
      <c r="E2899" t="s">
        <v>331</v>
      </c>
    </row>
    <row r="2900" spans="1:5" x14ac:dyDescent="0.25">
      <c r="A2900">
        <v>1790</v>
      </c>
      <c r="B2900" s="16">
        <v>43709</v>
      </c>
      <c r="C2900" t="s">
        <v>135</v>
      </c>
      <c r="D2900">
        <v>-3669727.95</v>
      </c>
      <c r="E2900" t="s">
        <v>331</v>
      </c>
    </row>
    <row r="2901" spans="1:5" x14ac:dyDescent="0.25">
      <c r="A2901">
        <v>1790</v>
      </c>
      <c r="B2901" s="16">
        <v>43739</v>
      </c>
      <c r="C2901" t="s">
        <v>135</v>
      </c>
      <c r="D2901">
        <v>-3669727.95</v>
      </c>
      <c r="E2901" t="s">
        <v>331</v>
      </c>
    </row>
    <row r="2902" spans="1:5" x14ac:dyDescent="0.25">
      <c r="A2902">
        <v>1790</v>
      </c>
      <c r="B2902" s="16">
        <v>43770</v>
      </c>
      <c r="C2902" t="s">
        <v>135</v>
      </c>
      <c r="D2902">
        <v>-3669727.95</v>
      </c>
      <c r="E2902" t="s">
        <v>331</v>
      </c>
    </row>
    <row r="2903" spans="1:5" x14ac:dyDescent="0.25">
      <c r="A2903">
        <v>1790</v>
      </c>
      <c r="B2903" s="16">
        <v>43800</v>
      </c>
      <c r="C2903" t="s">
        <v>135</v>
      </c>
      <c r="D2903">
        <v>-3669727.95</v>
      </c>
      <c r="E2903" t="s">
        <v>331</v>
      </c>
    </row>
    <row r="2904" spans="1:5" x14ac:dyDescent="0.25">
      <c r="A2904">
        <v>1790</v>
      </c>
      <c r="B2904" s="16">
        <v>43831</v>
      </c>
      <c r="C2904" t="s">
        <v>135</v>
      </c>
      <c r="D2904">
        <v>-3669727.95</v>
      </c>
      <c r="E2904" t="s">
        <v>331</v>
      </c>
    </row>
    <row r="2905" spans="1:5" x14ac:dyDescent="0.25">
      <c r="A2905">
        <v>1790</v>
      </c>
      <c r="B2905" s="16">
        <v>43862</v>
      </c>
      <c r="C2905" t="s">
        <v>135</v>
      </c>
      <c r="D2905">
        <v>-3669727.95</v>
      </c>
      <c r="E2905" t="s">
        <v>331</v>
      </c>
    </row>
    <row r="2906" spans="1:5" x14ac:dyDescent="0.25">
      <c r="A2906">
        <v>1790</v>
      </c>
      <c r="B2906" s="16">
        <v>43891</v>
      </c>
      <c r="C2906" t="s">
        <v>135</v>
      </c>
      <c r="D2906">
        <v>-3669727.95</v>
      </c>
      <c r="E2906" t="s">
        <v>331</v>
      </c>
    </row>
    <row r="2907" spans="1:5" x14ac:dyDescent="0.25">
      <c r="A2907">
        <v>1790</v>
      </c>
      <c r="B2907" s="16">
        <v>43922</v>
      </c>
      <c r="C2907" t="s">
        <v>135</v>
      </c>
      <c r="D2907">
        <v>-3669727.95</v>
      </c>
      <c r="E2907" t="s">
        <v>331</v>
      </c>
    </row>
    <row r="2908" spans="1:5" x14ac:dyDescent="0.25">
      <c r="A2908">
        <v>1790</v>
      </c>
      <c r="B2908" s="16">
        <v>43556</v>
      </c>
      <c r="C2908" t="s">
        <v>182</v>
      </c>
      <c r="D2908">
        <v>-3678242.4</v>
      </c>
      <c r="E2908" t="s">
        <v>331</v>
      </c>
    </row>
    <row r="2909" spans="1:5" x14ac:dyDescent="0.25">
      <c r="A2909">
        <v>1790</v>
      </c>
      <c r="B2909" s="16">
        <v>43586</v>
      </c>
      <c r="C2909" t="s">
        <v>182</v>
      </c>
      <c r="D2909">
        <v>-3678242.4</v>
      </c>
      <c r="E2909" t="s">
        <v>331</v>
      </c>
    </row>
    <row r="2910" spans="1:5" x14ac:dyDescent="0.25">
      <c r="A2910">
        <v>1790</v>
      </c>
      <c r="B2910" s="16">
        <v>43617</v>
      </c>
      <c r="C2910" t="s">
        <v>182</v>
      </c>
      <c r="D2910">
        <v>-3678242.4</v>
      </c>
      <c r="E2910" t="s">
        <v>331</v>
      </c>
    </row>
    <row r="2911" spans="1:5" x14ac:dyDescent="0.25">
      <c r="A2911">
        <v>1790</v>
      </c>
      <c r="B2911" s="16">
        <v>43647</v>
      </c>
      <c r="C2911" t="s">
        <v>182</v>
      </c>
      <c r="D2911">
        <v>-3678242.4</v>
      </c>
      <c r="E2911" t="s">
        <v>331</v>
      </c>
    </row>
    <row r="2912" spans="1:5" x14ac:dyDescent="0.25">
      <c r="A2912">
        <v>1790</v>
      </c>
      <c r="B2912" s="16">
        <v>43678</v>
      </c>
      <c r="C2912" t="s">
        <v>182</v>
      </c>
      <c r="D2912">
        <v>-3678242.4</v>
      </c>
      <c r="E2912" t="s">
        <v>331</v>
      </c>
    </row>
    <row r="2913" spans="1:5" x14ac:dyDescent="0.25">
      <c r="A2913">
        <v>1790</v>
      </c>
      <c r="B2913" s="16">
        <v>43709</v>
      </c>
      <c r="C2913" t="s">
        <v>182</v>
      </c>
      <c r="D2913">
        <v>-3678242.4</v>
      </c>
      <c r="E2913" t="s">
        <v>331</v>
      </c>
    </row>
    <row r="2914" spans="1:5" x14ac:dyDescent="0.25">
      <c r="A2914">
        <v>1790</v>
      </c>
      <c r="B2914" s="16">
        <v>43739</v>
      </c>
      <c r="C2914" t="s">
        <v>182</v>
      </c>
      <c r="D2914">
        <v>-3678242.4</v>
      </c>
      <c r="E2914" t="s">
        <v>331</v>
      </c>
    </row>
    <row r="2915" spans="1:5" x14ac:dyDescent="0.25">
      <c r="A2915">
        <v>1790</v>
      </c>
      <c r="B2915" s="16">
        <v>43770</v>
      </c>
      <c r="C2915" t="s">
        <v>182</v>
      </c>
      <c r="D2915">
        <v>-3678242.4</v>
      </c>
      <c r="E2915" t="s">
        <v>331</v>
      </c>
    </row>
    <row r="2916" spans="1:5" x14ac:dyDescent="0.25">
      <c r="A2916">
        <v>1790</v>
      </c>
      <c r="B2916" s="16">
        <v>43800</v>
      </c>
      <c r="C2916" t="s">
        <v>182</v>
      </c>
      <c r="D2916">
        <v>-3678242.4</v>
      </c>
      <c r="E2916" t="s">
        <v>331</v>
      </c>
    </row>
    <row r="2917" spans="1:5" x14ac:dyDescent="0.25">
      <c r="A2917">
        <v>1790</v>
      </c>
      <c r="B2917" s="16">
        <v>43831</v>
      </c>
      <c r="C2917" t="s">
        <v>182</v>
      </c>
      <c r="D2917">
        <v>-3678242.4</v>
      </c>
      <c r="E2917" t="s">
        <v>331</v>
      </c>
    </row>
    <row r="2918" spans="1:5" x14ac:dyDescent="0.25">
      <c r="A2918">
        <v>1790</v>
      </c>
      <c r="B2918" s="16">
        <v>43862</v>
      </c>
      <c r="C2918" t="s">
        <v>182</v>
      </c>
      <c r="D2918">
        <v>-3678242.4</v>
      </c>
      <c r="E2918" t="s">
        <v>331</v>
      </c>
    </row>
    <row r="2919" spans="1:5" x14ac:dyDescent="0.25">
      <c r="A2919">
        <v>1790</v>
      </c>
      <c r="B2919" s="16">
        <v>43891</v>
      </c>
      <c r="C2919" t="s">
        <v>182</v>
      </c>
      <c r="D2919">
        <v>-3678242.4</v>
      </c>
      <c r="E2919" t="s">
        <v>331</v>
      </c>
    </row>
    <row r="2920" spans="1:5" x14ac:dyDescent="0.25">
      <c r="A2920">
        <v>1790</v>
      </c>
      <c r="B2920" s="16">
        <v>43922</v>
      </c>
      <c r="C2920" t="s">
        <v>182</v>
      </c>
      <c r="D2920">
        <v>-3678242.4</v>
      </c>
      <c r="E2920" t="s">
        <v>331</v>
      </c>
    </row>
    <row r="2921" spans="1:5" x14ac:dyDescent="0.25">
      <c r="A2921">
        <v>1790</v>
      </c>
      <c r="B2921" s="16">
        <v>43556</v>
      </c>
      <c r="C2921" t="s">
        <v>318</v>
      </c>
      <c r="D2921">
        <v>-3678242.4</v>
      </c>
      <c r="E2921" t="s">
        <v>331</v>
      </c>
    </row>
    <row r="2922" spans="1:5" x14ac:dyDescent="0.25">
      <c r="A2922">
        <v>1790</v>
      </c>
      <c r="B2922" s="16">
        <v>43586</v>
      </c>
      <c r="C2922" t="s">
        <v>318</v>
      </c>
      <c r="D2922">
        <v>-3678242.4</v>
      </c>
      <c r="E2922" t="s">
        <v>331</v>
      </c>
    </row>
    <row r="2923" spans="1:5" x14ac:dyDescent="0.25">
      <c r="A2923">
        <v>1790</v>
      </c>
      <c r="B2923" s="16">
        <v>43617</v>
      </c>
      <c r="C2923" t="s">
        <v>318</v>
      </c>
      <c r="D2923">
        <v>-3678242.4</v>
      </c>
      <c r="E2923" t="s">
        <v>331</v>
      </c>
    </row>
    <row r="2924" spans="1:5" x14ac:dyDescent="0.25">
      <c r="A2924">
        <v>1790</v>
      </c>
      <c r="B2924" s="16">
        <v>43647</v>
      </c>
      <c r="C2924" t="s">
        <v>318</v>
      </c>
      <c r="D2924">
        <v>-3678242.4</v>
      </c>
      <c r="E2924" t="s">
        <v>331</v>
      </c>
    </row>
    <row r="2925" spans="1:5" x14ac:dyDescent="0.25">
      <c r="A2925">
        <v>1790</v>
      </c>
      <c r="B2925" s="16">
        <v>43678</v>
      </c>
      <c r="C2925" t="s">
        <v>318</v>
      </c>
      <c r="D2925">
        <v>-3678242.4</v>
      </c>
      <c r="E2925" t="s">
        <v>331</v>
      </c>
    </row>
    <row r="2926" spans="1:5" x14ac:dyDescent="0.25">
      <c r="A2926">
        <v>1790</v>
      </c>
      <c r="B2926" s="16">
        <v>43709</v>
      </c>
      <c r="C2926" t="s">
        <v>318</v>
      </c>
      <c r="D2926">
        <v>-3678242.4</v>
      </c>
      <c r="E2926" t="s">
        <v>331</v>
      </c>
    </row>
    <row r="2927" spans="1:5" x14ac:dyDescent="0.25">
      <c r="A2927">
        <v>1790</v>
      </c>
      <c r="B2927" s="16">
        <v>43739</v>
      </c>
      <c r="C2927" t="s">
        <v>318</v>
      </c>
      <c r="D2927">
        <v>-3678242.4</v>
      </c>
      <c r="E2927" t="s">
        <v>331</v>
      </c>
    </row>
    <row r="2928" spans="1:5" x14ac:dyDescent="0.25">
      <c r="A2928">
        <v>1790</v>
      </c>
      <c r="B2928" s="16">
        <v>43770</v>
      </c>
      <c r="C2928" t="s">
        <v>318</v>
      </c>
      <c r="D2928">
        <v>-3678242.4</v>
      </c>
      <c r="E2928" t="s">
        <v>331</v>
      </c>
    </row>
    <row r="2929" spans="1:5" x14ac:dyDescent="0.25">
      <c r="A2929">
        <v>1790</v>
      </c>
      <c r="B2929" s="16">
        <v>43800</v>
      </c>
      <c r="C2929" t="s">
        <v>318</v>
      </c>
      <c r="D2929">
        <v>-3678242.4</v>
      </c>
      <c r="E2929" t="s">
        <v>331</v>
      </c>
    </row>
    <row r="2930" spans="1:5" x14ac:dyDescent="0.25">
      <c r="A2930">
        <v>1507</v>
      </c>
      <c r="B2930" s="16">
        <v>43617</v>
      </c>
      <c r="C2930" t="s">
        <v>192</v>
      </c>
      <c r="D2930">
        <v>-577000000</v>
      </c>
      <c r="E2930" t="s">
        <v>331</v>
      </c>
    </row>
    <row r="2931" spans="1:5" x14ac:dyDescent="0.25">
      <c r="A2931">
        <v>1580</v>
      </c>
      <c r="B2931" s="16">
        <v>43466</v>
      </c>
      <c r="C2931" t="s">
        <v>192</v>
      </c>
      <c r="D2931">
        <v>-29400000</v>
      </c>
      <c r="E2931" t="s">
        <v>331</v>
      </c>
    </row>
    <row r="2932" spans="1:5" x14ac:dyDescent="0.25">
      <c r="A2932">
        <v>1580</v>
      </c>
      <c r="B2932" s="16">
        <v>43497</v>
      </c>
      <c r="C2932" t="s">
        <v>192</v>
      </c>
      <c r="D2932">
        <v>-29400000</v>
      </c>
      <c r="E2932" t="s">
        <v>331</v>
      </c>
    </row>
    <row r="2933" spans="1:5" x14ac:dyDescent="0.25">
      <c r="A2933">
        <v>1580</v>
      </c>
      <c r="B2933" s="16">
        <v>43525</v>
      </c>
      <c r="C2933" t="s">
        <v>192</v>
      </c>
      <c r="D2933">
        <v>-29400000</v>
      </c>
      <c r="E2933" t="s">
        <v>331</v>
      </c>
    </row>
    <row r="2934" spans="1:5" x14ac:dyDescent="0.25">
      <c r="A2934">
        <v>1580</v>
      </c>
      <c r="B2934" s="16">
        <v>43556</v>
      </c>
      <c r="C2934" t="s">
        <v>192</v>
      </c>
      <c r="D2934">
        <v>-29400000</v>
      </c>
      <c r="E2934" t="s">
        <v>331</v>
      </c>
    </row>
    <row r="2935" spans="1:5" x14ac:dyDescent="0.25">
      <c r="A2935">
        <v>1580</v>
      </c>
      <c r="B2935" s="16">
        <v>43586</v>
      </c>
      <c r="C2935" t="s">
        <v>192</v>
      </c>
      <c r="D2935">
        <v>-29400000</v>
      </c>
      <c r="E2935" t="s">
        <v>331</v>
      </c>
    </row>
    <row r="2936" spans="1:5" x14ac:dyDescent="0.25">
      <c r="A2936">
        <v>1580</v>
      </c>
      <c r="B2936" s="16">
        <v>43617</v>
      </c>
      <c r="C2936" t="s">
        <v>192</v>
      </c>
      <c r="D2936">
        <v>-29400000</v>
      </c>
      <c r="E2936" t="s">
        <v>331</v>
      </c>
    </row>
    <row r="2937" spans="1:5" x14ac:dyDescent="0.25">
      <c r="A2937">
        <v>1580</v>
      </c>
      <c r="B2937" s="16">
        <v>43647</v>
      </c>
      <c r="C2937" t="s">
        <v>192</v>
      </c>
      <c r="D2937">
        <v>-29400000</v>
      </c>
      <c r="E2937" t="s">
        <v>331</v>
      </c>
    </row>
    <row r="2938" spans="1:5" x14ac:dyDescent="0.25">
      <c r="A2938">
        <v>1580</v>
      </c>
      <c r="B2938" s="16">
        <v>43678</v>
      </c>
      <c r="C2938" t="s">
        <v>192</v>
      </c>
      <c r="D2938">
        <v>-29400000</v>
      </c>
      <c r="E2938" t="s">
        <v>331</v>
      </c>
    </row>
    <row r="2939" spans="1:5" x14ac:dyDescent="0.25">
      <c r="A2939">
        <v>1580</v>
      </c>
      <c r="B2939" s="16">
        <v>43709</v>
      </c>
      <c r="C2939" t="s">
        <v>192</v>
      </c>
      <c r="D2939">
        <v>-29400000</v>
      </c>
      <c r="E2939" t="s">
        <v>331</v>
      </c>
    </row>
    <row r="2940" spans="1:5" x14ac:dyDescent="0.25">
      <c r="A2940">
        <v>1580</v>
      </c>
      <c r="B2940" s="16">
        <v>43739</v>
      </c>
      <c r="C2940" t="s">
        <v>192</v>
      </c>
      <c r="D2940">
        <v>-29400000</v>
      </c>
      <c r="E2940" t="s">
        <v>331</v>
      </c>
    </row>
    <row r="2941" spans="1:5" x14ac:dyDescent="0.25">
      <c r="A2941">
        <v>1580</v>
      </c>
      <c r="B2941" s="16">
        <v>43770</v>
      </c>
      <c r="C2941" t="s">
        <v>192</v>
      </c>
      <c r="D2941">
        <v>-29400000</v>
      </c>
      <c r="E2941" t="s">
        <v>331</v>
      </c>
    </row>
    <row r="2942" spans="1:5" x14ac:dyDescent="0.25">
      <c r="A2942">
        <v>1580</v>
      </c>
      <c r="B2942" s="16">
        <v>43800</v>
      </c>
      <c r="C2942" t="s">
        <v>192</v>
      </c>
      <c r="D2942">
        <v>-29400000</v>
      </c>
      <c r="E2942" t="s">
        <v>331</v>
      </c>
    </row>
    <row r="2943" spans="1:5" x14ac:dyDescent="0.25">
      <c r="A2943">
        <v>1580</v>
      </c>
      <c r="B2943" s="16">
        <v>43831</v>
      </c>
      <c r="C2943" t="s">
        <v>192</v>
      </c>
      <c r="D2943">
        <v>-29400000</v>
      </c>
      <c r="E2943" t="s">
        <v>331</v>
      </c>
    </row>
    <row r="2944" spans="1:5" x14ac:dyDescent="0.25">
      <c r="A2944">
        <v>1580</v>
      </c>
      <c r="B2944" s="16">
        <v>43862</v>
      </c>
      <c r="C2944" t="s">
        <v>192</v>
      </c>
      <c r="D2944">
        <v>-29400000</v>
      </c>
      <c r="E2944" t="s">
        <v>331</v>
      </c>
    </row>
    <row r="2945" spans="1:5" x14ac:dyDescent="0.25">
      <c r="A2945">
        <v>1596</v>
      </c>
      <c r="B2945" s="16">
        <v>43466</v>
      </c>
      <c r="C2945" t="s">
        <v>192</v>
      </c>
      <c r="D2945">
        <v>-21263797.894736841</v>
      </c>
      <c r="E2945" t="s">
        <v>331</v>
      </c>
    </row>
    <row r="2946" spans="1:5" x14ac:dyDescent="0.25">
      <c r="A2946">
        <v>1596</v>
      </c>
      <c r="B2946" s="16">
        <v>43497</v>
      </c>
      <c r="C2946" t="s">
        <v>192</v>
      </c>
      <c r="D2946">
        <v>-21263797.894736841</v>
      </c>
      <c r="E2946" t="s">
        <v>331</v>
      </c>
    </row>
    <row r="2947" spans="1:5" x14ac:dyDescent="0.25">
      <c r="A2947">
        <v>1596</v>
      </c>
      <c r="B2947" s="16">
        <v>43525</v>
      </c>
      <c r="C2947" t="s">
        <v>192</v>
      </c>
      <c r="D2947">
        <v>-21263797.894736841</v>
      </c>
      <c r="E2947" t="s">
        <v>331</v>
      </c>
    </row>
    <row r="2948" spans="1:5" x14ac:dyDescent="0.25">
      <c r="A2948">
        <v>1596</v>
      </c>
      <c r="B2948" s="16">
        <v>43556</v>
      </c>
      <c r="C2948" t="s">
        <v>192</v>
      </c>
      <c r="D2948">
        <v>-21263797.894736841</v>
      </c>
      <c r="E2948" t="s">
        <v>331</v>
      </c>
    </row>
    <row r="2949" spans="1:5" x14ac:dyDescent="0.25">
      <c r="A2949">
        <v>1596</v>
      </c>
      <c r="B2949" s="16">
        <v>43586</v>
      </c>
      <c r="C2949" t="s">
        <v>192</v>
      </c>
      <c r="D2949">
        <v>-21263797.894736841</v>
      </c>
      <c r="E2949" t="s">
        <v>331</v>
      </c>
    </row>
    <row r="2950" spans="1:5" x14ac:dyDescent="0.25">
      <c r="A2950">
        <v>1596</v>
      </c>
      <c r="B2950" s="16">
        <v>43617</v>
      </c>
      <c r="C2950" t="s">
        <v>192</v>
      </c>
      <c r="D2950">
        <v>-21263797.894736841</v>
      </c>
      <c r="E2950" t="s">
        <v>331</v>
      </c>
    </row>
    <row r="2951" spans="1:5" x14ac:dyDescent="0.25">
      <c r="A2951">
        <v>1689</v>
      </c>
      <c r="B2951" s="16">
        <v>43466</v>
      </c>
      <c r="C2951" t="s">
        <v>192</v>
      </c>
      <c r="D2951">
        <v>-15665740</v>
      </c>
      <c r="E2951" t="s">
        <v>331</v>
      </c>
    </row>
    <row r="2952" spans="1:5" x14ac:dyDescent="0.25">
      <c r="A2952">
        <v>1689</v>
      </c>
      <c r="B2952" s="16">
        <v>43497</v>
      </c>
      <c r="C2952" t="s">
        <v>192</v>
      </c>
      <c r="D2952">
        <v>-15665740</v>
      </c>
      <c r="E2952" t="s">
        <v>331</v>
      </c>
    </row>
    <row r="2953" spans="1:5" x14ac:dyDescent="0.25">
      <c r="A2953">
        <v>1689</v>
      </c>
      <c r="B2953" s="16">
        <v>43525</v>
      </c>
      <c r="C2953" t="s">
        <v>192</v>
      </c>
      <c r="D2953">
        <v>-15665740</v>
      </c>
      <c r="E2953" t="s">
        <v>331</v>
      </c>
    </row>
    <row r="2954" spans="1:5" x14ac:dyDescent="0.25">
      <c r="A2954">
        <v>1689</v>
      </c>
      <c r="B2954" s="16">
        <v>43556</v>
      </c>
      <c r="C2954" t="s">
        <v>192</v>
      </c>
      <c r="D2954">
        <v>-15665740</v>
      </c>
      <c r="E2954" t="s">
        <v>331</v>
      </c>
    </row>
    <row r="2955" spans="1:5" x14ac:dyDescent="0.25">
      <c r="A2955">
        <v>1689</v>
      </c>
      <c r="B2955" s="16">
        <v>43586</v>
      </c>
      <c r="C2955" t="s">
        <v>192</v>
      </c>
      <c r="D2955">
        <v>-15665740</v>
      </c>
      <c r="E2955" t="s">
        <v>331</v>
      </c>
    </row>
    <row r="2956" spans="1:5" x14ac:dyDescent="0.25">
      <c r="A2956">
        <v>1689</v>
      </c>
      <c r="B2956" s="16">
        <v>43617</v>
      </c>
      <c r="C2956" t="s">
        <v>192</v>
      </c>
      <c r="D2956">
        <v>-15665740</v>
      </c>
      <c r="E2956" t="s">
        <v>331</v>
      </c>
    </row>
    <row r="2957" spans="1:5" x14ac:dyDescent="0.25">
      <c r="A2957">
        <v>1689</v>
      </c>
      <c r="B2957" s="16">
        <v>43647</v>
      </c>
      <c r="C2957" t="s">
        <v>192</v>
      </c>
      <c r="D2957">
        <v>-15665740</v>
      </c>
      <c r="E2957" t="s">
        <v>331</v>
      </c>
    </row>
    <row r="2958" spans="1:5" x14ac:dyDescent="0.25">
      <c r="A2958">
        <v>1689</v>
      </c>
      <c r="B2958" s="16">
        <v>43678</v>
      </c>
      <c r="C2958" t="s">
        <v>192</v>
      </c>
      <c r="D2958">
        <v>-15665740</v>
      </c>
      <c r="E2958" t="s">
        <v>331</v>
      </c>
    </row>
    <row r="2959" spans="1:5" x14ac:dyDescent="0.25">
      <c r="A2959">
        <v>1689</v>
      </c>
      <c r="B2959" s="16">
        <v>43709</v>
      </c>
      <c r="C2959" t="s">
        <v>192</v>
      </c>
      <c r="D2959">
        <v>-15665740</v>
      </c>
      <c r="E2959" t="s">
        <v>331</v>
      </c>
    </row>
    <row r="2960" spans="1:5" x14ac:dyDescent="0.25">
      <c r="A2960">
        <v>1744</v>
      </c>
      <c r="B2960" s="16">
        <v>43466</v>
      </c>
      <c r="C2960" t="s">
        <v>192</v>
      </c>
      <c r="D2960">
        <v>-35458635</v>
      </c>
      <c r="E2960" t="s">
        <v>331</v>
      </c>
    </row>
    <row r="2961" spans="1:5" x14ac:dyDescent="0.25">
      <c r="A2961">
        <v>1744</v>
      </c>
      <c r="B2961" s="16">
        <v>43497</v>
      </c>
      <c r="C2961" t="s">
        <v>192</v>
      </c>
      <c r="D2961">
        <v>-35458635</v>
      </c>
      <c r="E2961" t="s">
        <v>331</v>
      </c>
    </row>
    <row r="2962" spans="1:5" x14ac:dyDescent="0.25">
      <c r="A2962">
        <v>1744</v>
      </c>
      <c r="B2962" s="16">
        <v>43525</v>
      </c>
      <c r="C2962" t="s">
        <v>192</v>
      </c>
      <c r="D2962">
        <v>-35458635</v>
      </c>
      <c r="E2962" t="s">
        <v>331</v>
      </c>
    </row>
    <row r="2963" spans="1:5" x14ac:dyDescent="0.25">
      <c r="A2963">
        <v>1744</v>
      </c>
      <c r="B2963" s="16">
        <v>43556</v>
      </c>
      <c r="C2963" t="s">
        <v>192</v>
      </c>
      <c r="D2963">
        <v>-35458635</v>
      </c>
      <c r="E2963" t="s">
        <v>331</v>
      </c>
    </row>
    <row r="2964" spans="1:5" x14ac:dyDescent="0.25">
      <c r="A2964">
        <v>1744</v>
      </c>
      <c r="B2964" s="16">
        <v>43586</v>
      </c>
      <c r="C2964" t="s">
        <v>192</v>
      </c>
      <c r="D2964">
        <v>-35458635</v>
      </c>
      <c r="E2964" t="s">
        <v>331</v>
      </c>
    </row>
    <row r="2965" spans="1:5" x14ac:dyDescent="0.25">
      <c r="A2965">
        <v>1744</v>
      </c>
      <c r="B2965" s="16">
        <v>43617</v>
      </c>
      <c r="C2965" t="s">
        <v>192</v>
      </c>
      <c r="D2965">
        <v>-35458635</v>
      </c>
      <c r="E2965" t="s">
        <v>331</v>
      </c>
    </row>
    <row r="2966" spans="1:5" x14ac:dyDescent="0.25">
      <c r="A2966">
        <v>1744</v>
      </c>
      <c r="B2966" s="16">
        <v>43647</v>
      </c>
      <c r="C2966" t="s">
        <v>192</v>
      </c>
      <c r="D2966">
        <v>-35458635</v>
      </c>
      <c r="E2966" t="s">
        <v>331</v>
      </c>
    </row>
    <row r="2967" spans="1:5" x14ac:dyDescent="0.25">
      <c r="A2967">
        <v>1744</v>
      </c>
      <c r="B2967" s="16">
        <v>43678</v>
      </c>
      <c r="C2967" t="s">
        <v>192</v>
      </c>
      <c r="D2967">
        <v>-35458635</v>
      </c>
      <c r="E2967" t="s">
        <v>331</v>
      </c>
    </row>
    <row r="2968" spans="1:5" x14ac:dyDescent="0.25">
      <c r="A2968">
        <v>1751</v>
      </c>
      <c r="B2968" s="16">
        <v>43466</v>
      </c>
      <c r="C2968" t="s">
        <v>192</v>
      </c>
      <c r="D2968">
        <v>-15500000</v>
      </c>
      <c r="E2968" t="s">
        <v>331</v>
      </c>
    </row>
    <row r="2969" spans="1:5" x14ac:dyDescent="0.25">
      <c r="A2969">
        <v>1751</v>
      </c>
      <c r="B2969" s="16">
        <v>43497</v>
      </c>
      <c r="C2969" t="s">
        <v>192</v>
      </c>
      <c r="D2969">
        <v>-15500000</v>
      </c>
      <c r="E2969" t="s">
        <v>331</v>
      </c>
    </row>
    <row r="2970" spans="1:5" x14ac:dyDescent="0.25">
      <c r="A2970">
        <v>1753</v>
      </c>
      <c r="B2970" s="16">
        <v>43466</v>
      </c>
      <c r="C2970" t="s">
        <v>192</v>
      </c>
      <c r="D2970">
        <v>-10000000</v>
      </c>
      <c r="E2970" t="s">
        <v>331</v>
      </c>
    </row>
    <row r="2971" spans="1:5" x14ac:dyDescent="0.25">
      <c r="A2971">
        <v>1756</v>
      </c>
      <c r="B2971" s="16">
        <v>43466</v>
      </c>
      <c r="C2971" t="s">
        <v>192</v>
      </c>
      <c r="D2971">
        <v>-62778573</v>
      </c>
      <c r="E2971" t="s">
        <v>331</v>
      </c>
    </row>
    <row r="2972" spans="1:5" x14ac:dyDescent="0.25">
      <c r="A2972">
        <v>1756</v>
      </c>
      <c r="B2972" s="16">
        <v>43497</v>
      </c>
      <c r="C2972" t="s">
        <v>192</v>
      </c>
      <c r="D2972">
        <v>-62778573</v>
      </c>
      <c r="E2972" t="s">
        <v>331</v>
      </c>
    </row>
    <row r="2973" spans="1:5" x14ac:dyDescent="0.25">
      <c r="A2973">
        <v>1756</v>
      </c>
      <c r="B2973" s="16">
        <v>43525</v>
      </c>
      <c r="C2973" t="s">
        <v>192</v>
      </c>
      <c r="D2973">
        <v>-62778573</v>
      </c>
      <c r="E2973" t="s">
        <v>331</v>
      </c>
    </row>
    <row r="2974" spans="1:5" x14ac:dyDescent="0.25">
      <c r="A2974">
        <v>1756</v>
      </c>
      <c r="B2974" s="16">
        <v>43556</v>
      </c>
      <c r="C2974" t="s">
        <v>192</v>
      </c>
      <c r="D2974">
        <v>-62778573</v>
      </c>
      <c r="E2974" t="s">
        <v>331</v>
      </c>
    </row>
    <row r="2975" spans="1:5" x14ac:dyDescent="0.25">
      <c r="A2975">
        <v>1756</v>
      </c>
      <c r="B2975" s="16">
        <v>43586</v>
      </c>
      <c r="C2975" t="s">
        <v>192</v>
      </c>
      <c r="D2975">
        <v>-62778573</v>
      </c>
      <c r="E2975" t="s">
        <v>331</v>
      </c>
    </row>
    <row r="2976" spans="1:5" x14ac:dyDescent="0.25">
      <c r="A2976">
        <v>1758</v>
      </c>
      <c r="B2976" s="16">
        <v>43466</v>
      </c>
      <c r="C2976" t="s">
        <v>192</v>
      </c>
      <c r="D2976">
        <v>-16500000</v>
      </c>
      <c r="E2976" t="s">
        <v>331</v>
      </c>
    </row>
    <row r="2977" spans="1:5" x14ac:dyDescent="0.25">
      <c r="A2977">
        <v>1758</v>
      </c>
      <c r="B2977" s="16">
        <v>43497</v>
      </c>
      <c r="C2977" t="s">
        <v>192</v>
      </c>
      <c r="D2977">
        <v>-16500000</v>
      </c>
      <c r="E2977" t="s">
        <v>331</v>
      </c>
    </row>
    <row r="2978" spans="1:5" x14ac:dyDescent="0.25">
      <c r="A2978">
        <v>1758</v>
      </c>
      <c r="B2978" s="16">
        <v>43525</v>
      </c>
      <c r="C2978" t="s">
        <v>192</v>
      </c>
      <c r="D2978">
        <v>-16500000</v>
      </c>
      <c r="E2978" t="s">
        <v>331</v>
      </c>
    </row>
    <row r="2979" spans="1:5" x14ac:dyDescent="0.25">
      <c r="A2979">
        <v>1758</v>
      </c>
      <c r="B2979" s="16">
        <v>43556</v>
      </c>
      <c r="C2979" t="s">
        <v>192</v>
      </c>
      <c r="D2979">
        <v>-16500000</v>
      </c>
      <c r="E2979" t="s">
        <v>331</v>
      </c>
    </row>
    <row r="2980" spans="1:5" x14ac:dyDescent="0.25">
      <c r="A2980">
        <v>1758</v>
      </c>
      <c r="B2980" s="16">
        <v>43586</v>
      </c>
      <c r="C2980" t="s">
        <v>192</v>
      </c>
      <c r="D2980">
        <v>-16500000</v>
      </c>
      <c r="E2980" t="s">
        <v>331</v>
      </c>
    </row>
    <row r="2981" spans="1:5" x14ac:dyDescent="0.25">
      <c r="A2981">
        <v>1758</v>
      </c>
      <c r="B2981" s="16">
        <v>43617</v>
      </c>
      <c r="C2981" t="s">
        <v>192</v>
      </c>
      <c r="D2981">
        <v>-16500000</v>
      </c>
      <c r="E2981" t="s">
        <v>331</v>
      </c>
    </row>
    <row r="2982" spans="1:5" x14ac:dyDescent="0.25">
      <c r="A2982">
        <v>1758</v>
      </c>
      <c r="B2982" s="16">
        <v>43647</v>
      </c>
      <c r="C2982" t="s">
        <v>192</v>
      </c>
      <c r="D2982">
        <v>-16500000</v>
      </c>
      <c r="E2982" t="s">
        <v>331</v>
      </c>
    </row>
    <row r="2983" spans="1:5" x14ac:dyDescent="0.25">
      <c r="A2983">
        <v>1758</v>
      </c>
      <c r="B2983" s="16">
        <v>43678</v>
      </c>
      <c r="C2983" t="s">
        <v>192</v>
      </c>
      <c r="D2983">
        <v>-16500000</v>
      </c>
      <c r="E2983" t="s">
        <v>331</v>
      </c>
    </row>
    <row r="2984" spans="1:5" x14ac:dyDescent="0.25">
      <c r="A2984">
        <v>1758</v>
      </c>
      <c r="B2984" s="16">
        <v>43709</v>
      </c>
      <c r="C2984" t="s">
        <v>192</v>
      </c>
      <c r="D2984">
        <v>-16500000</v>
      </c>
      <c r="E2984" t="s">
        <v>331</v>
      </c>
    </row>
    <row r="2985" spans="1:5" x14ac:dyDescent="0.25">
      <c r="A2985">
        <v>1758</v>
      </c>
      <c r="B2985" s="16">
        <v>43739</v>
      </c>
      <c r="C2985" t="s">
        <v>192</v>
      </c>
      <c r="D2985">
        <v>-16500000</v>
      </c>
      <c r="E2985" t="s">
        <v>331</v>
      </c>
    </row>
    <row r="2986" spans="1:5" x14ac:dyDescent="0.25">
      <c r="A2986">
        <v>1758</v>
      </c>
      <c r="B2986" s="16">
        <v>43770</v>
      </c>
      <c r="C2986" t="s">
        <v>192</v>
      </c>
      <c r="D2986">
        <v>-16500000</v>
      </c>
      <c r="E2986" t="s">
        <v>331</v>
      </c>
    </row>
    <row r="2987" spans="1:5" x14ac:dyDescent="0.25">
      <c r="A2987">
        <v>1758</v>
      </c>
      <c r="B2987" s="16">
        <v>43800</v>
      </c>
      <c r="C2987" t="s">
        <v>192</v>
      </c>
      <c r="D2987">
        <v>-16500000</v>
      </c>
      <c r="E2987" t="s">
        <v>331</v>
      </c>
    </row>
    <row r="2988" spans="1:5" x14ac:dyDescent="0.25">
      <c r="A2988">
        <v>1789</v>
      </c>
      <c r="B2988" s="16">
        <v>43466</v>
      </c>
      <c r="C2988" t="s">
        <v>192</v>
      </c>
      <c r="D2988">
        <v>-15400000</v>
      </c>
      <c r="E2988" t="s">
        <v>331</v>
      </c>
    </row>
    <row r="2989" spans="1:5" x14ac:dyDescent="0.25">
      <c r="A2989">
        <v>1802</v>
      </c>
      <c r="B2989" s="16">
        <v>43466</v>
      </c>
      <c r="C2989" t="s">
        <v>192</v>
      </c>
      <c r="D2989">
        <v>-21063300</v>
      </c>
      <c r="E2989" t="s">
        <v>331</v>
      </c>
    </row>
    <row r="2990" spans="1:5" x14ac:dyDescent="0.25">
      <c r="A2990">
        <v>1802</v>
      </c>
      <c r="B2990" s="16">
        <v>43497</v>
      </c>
      <c r="C2990" t="s">
        <v>192</v>
      </c>
      <c r="D2990">
        <v>-21063300</v>
      </c>
      <c r="E2990" t="s">
        <v>331</v>
      </c>
    </row>
    <row r="2991" spans="1:5" x14ac:dyDescent="0.25">
      <c r="A2991">
        <v>1802</v>
      </c>
      <c r="B2991" s="16">
        <v>43525</v>
      </c>
      <c r="C2991" t="s">
        <v>192</v>
      </c>
      <c r="D2991">
        <v>-21063300</v>
      </c>
      <c r="E2991" t="s">
        <v>331</v>
      </c>
    </row>
    <row r="2992" spans="1:5" x14ac:dyDescent="0.25">
      <c r="A2992">
        <v>1802</v>
      </c>
      <c r="B2992" s="16">
        <v>43556</v>
      </c>
      <c r="C2992" t="s">
        <v>192</v>
      </c>
      <c r="D2992">
        <v>-21063300</v>
      </c>
      <c r="E2992" t="s">
        <v>331</v>
      </c>
    </row>
    <row r="2993" spans="1:5" x14ac:dyDescent="0.25">
      <c r="A2993">
        <v>1802</v>
      </c>
      <c r="B2993" s="16">
        <v>43586</v>
      </c>
      <c r="C2993" t="s">
        <v>192</v>
      </c>
      <c r="D2993">
        <v>-21063300</v>
      </c>
      <c r="E2993" t="s">
        <v>331</v>
      </c>
    </row>
    <row r="2994" spans="1:5" x14ac:dyDescent="0.25">
      <c r="A2994">
        <v>1802</v>
      </c>
      <c r="B2994" s="16">
        <v>43617</v>
      </c>
      <c r="C2994" t="s">
        <v>192</v>
      </c>
      <c r="D2994">
        <v>-21063300</v>
      </c>
      <c r="E2994" t="s">
        <v>331</v>
      </c>
    </row>
    <row r="2995" spans="1:5" x14ac:dyDescent="0.25">
      <c r="A2995">
        <v>1802</v>
      </c>
      <c r="B2995" s="16">
        <v>43647</v>
      </c>
      <c r="C2995" t="s">
        <v>192</v>
      </c>
      <c r="D2995">
        <v>-21063300</v>
      </c>
      <c r="E2995" t="s">
        <v>331</v>
      </c>
    </row>
    <row r="2996" spans="1:5" x14ac:dyDescent="0.25">
      <c r="A2996">
        <v>1802</v>
      </c>
      <c r="B2996" s="16">
        <v>43678</v>
      </c>
      <c r="C2996" t="s">
        <v>192</v>
      </c>
      <c r="D2996">
        <v>-21063300</v>
      </c>
      <c r="E2996" t="s">
        <v>331</v>
      </c>
    </row>
    <row r="2997" spans="1:5" x14ac:dyDescent="0.25">
      <c r="A2997">
        <v>1802</v>
      </c>
      <c r="B2997" s="16">
        <v>43709</v>
      </c>
      <c r="C2997" t="s">
        <v>192</v>
      </c>
      <c r="D2997">
        <v>-21063300</v>
      </c>
      <c r="E2997" t="s">
        <v>331</v>
      </c>
    </row>
    <row r="2998" spans="1:5" x14ac:dyDescent="0.25">
      <c r="A2998">
        <v>1802</v>
      </c>
      <c r="B2998" s="16">
        <v>43739</v>
      </c>
      <c r="C2998" t="s">
        <v>192</v>
      </c>
      <c r="D2998">
        <v>-21063300</v>
      </c>
      <c r="E2998" t="s">
        <v>331</v>
      </c>
    </row>
    <row r="2999" spans="1:5" x14ac:dyDescent="0.25">
      <c r="A2999">
        <v>1802</v>
      </c>
      <c r="B2999" s="16">
        <v>43770</v>
      </c>
      <c r="C2999" t="s">
        <v>192</v>
      </c>
      <c r="D2999">
        <v>-21063300</v>
      </c>
      <c r="E2999" t="s">
        <v>331</v>
      </c>
    </row>
    <row r="3000" spans="1:5" x14ac:dyDescent="0.25">
      <c r="A3000">
        <v>1802</v>
      </c>
      <c r="B3000" s="16">
        <v>43800</v>
      </c>
      <c r="C3000" t="s">
        <v>192</v>
      </c>
      <c r="D3000">
        <v>-21063300</v>
      </c>
      <c r="E3000" t="s">
        <v>331</v>
      </c>
    </row>
    <row r="3001" spans="1:5" x14ac:dyDescent="0.25">
      <c r="A3001">
        <v>1802</v>
      </c>
      <c r="B3001" s="16">
        <v>43831</v>
      </c>
      <c r="C3001" t="s">
        <v>192</v>
      </c>
      <c r="D3001">
        <v>-21063300</v>
      </c>
      <c r="E3001" t="s">
        <v>331</v>
      </c>
    </row>
    <row r="3002" spans="1:5" x14ac:dyDescent="0.25">
      <c r="A3002">
        <v>1802</v>
      </c>
      <c r="B3002" s="16">
        <v>43862</v>
      </c>
      <c r="C3002" t="s">
        <v>192</v>
      </c>
      <c r="D3002">
        <v>-21063300</v>
      </c>
      <c r="E3002" t="s">
        <v>331</v>
      </c>
    </row>
    <row r="3003" spans="1:5" x14ac:dyDescent="0.25">
      <c r="A3003">
        <v>1804</v>
      </c>
      <c r="B3003" s="16">
        <v>43466</v>
      </c>
      <c r="C3003" t="s">
        <v>192</v>
      </c>
      <c r="D3003">
        <v>-29813870</v>
      </c>
      <c r="E3003" t="s">
        <v>331</v>
      </c>
    </row>
    <row r="3004" spans="1:5" x14ac:dyDescent="0.25">
      <c r="A3004">
        <v>1813</v>
      </c>
      <c r="B3004" s="16">
        <v>43466</v>
      </c>
      <c r="C3004" t="s">
        <v>192</v>
      </c>
      <c r="D3004">
        <v>-39668026.912500001</v>
      </c>
      <c r="E3004" t="s">
        <v>331</v>
      </c>
    </row>
    <row r="3005" spans="1:5" x14ac:dyDescent="0.25">
      <c r="A3005">
        <v>1813</v>
      </c>
      <c r="B3005" s="16">
        <v>43497</v>
      </c>
      <c r="C3005" t="s">
        <v>192</v>
      </c>
      <c r="D3005">
        <v>-39668026.912500001</v>
      </c>
      <c r="E3005" t="s">
        <v>331</v>
      </c>
    </row>
    <row r="3006" spans="1:5" x14ac:dyDescent="0.25">
      <c r="A3006">
        <v>1813</v>
      </c>
      <c r="B3006" s="16">
        <v>43525</v>
      </c>
      <c r="C3006" t="s">
        <v>192</v>
      </c>
      <c r="D3006">
        <v>-39668026.912500001</v>
      </c>
      <c r="E3006" t="s">
        <v>331</v>
      </c>
    </row>
    <row r="3007" spans="1:5" x14ac:dyDescent="0.25">
      <c r="A3007">
        <v>1813</v>
      </c>
      <c r="B3007" s="16">
        <v>43556</v>
      </c>
      <c r="C3007" t="s">
        <v>192</v>
      </c>
      <c r="D3007">
        <v>-39668026.912500001</v>
      </c>
      <c r="E3007" t="s">
        <v>331</v>
      </c>
    </row>
    <row r="3008" spans="1:5" x14ac:dyDescent="0.25">
      <c r="A3008">
        <v>1813</v>
      </c>
      <c r="B3008" s="16">
        <v>43466</v>
      </c>
      <c r="C3008" t="s">
        <v>192</v>
      </c>
      <c r="D3008">
        <v>-86911842.894736797</v>
      </c>
      <c r="E3008" t="s">
        <v>331</v>
      </c>
    </row>
    <row r="3009" spans="1:5" x14ac:dyDescent="0.25">
      <c r="A3009">
        <v>1813</v>
      </c>
      <c r="B3009" s="16">
        <v>43497</v>
      </c>
      <c r="C3009" t="s">
        <v>192</v>
      </c>
      <c r="D3009">
        <v>-86911842.894736797</v>
      </c>
      <c r="E3009" t="s">
        <v>331</v>
      </c>
    </row>
    <row r="3010" spans="1:5" x14ac:dyDescent="0.25">
      <c r="A3010">
        <v>1813</v>
      </c>
      <c r="B3010" s="16">
        <v>43525</v>
      </c>
      <c r="C3010" t="s">
        <v>192</v>
      </c>
      <c r="D3010">
        <v>-86911842.894736797</v>
      </c>
      <c r="E3010" t="s">
        <v>331</v>
      </c>
    </row>
    <row r="3011" spans="1:5" x14ac:dyDescent="0.25">
      <c r="A3011">
        <v>1813</v>
      </c>
      <c r="B3011" s="16">
        <v>43556</v>
      </c>
      <c r="C3011" t="s">
        <v>192</v>
      </c>
      <c r="D3011">
        <v>-86911842.894736797</v>
      </c>
      <c r="E3011" t="s">
        <v>331</v>
      </c>
    </row>
    <row r="3012" spans="1:5" x14ac:dyDescent="0.25">
      <c r="A3012">
        <v>1818</v>
      </c>
      <c r="B3012" s="16">
        <v>43466</v>
      </c>
      <c r="C3012" t="s">
        <v>192</v>
      </c>
      <c r="D3012">
        <v>-14500000</v>
      </c>
      <c r="E3012" t="s">
        <v>331</v>
      </c>
    </row>
    <row r="3013" spans="1:5" x14ac:dyDescent="0.25">
      <c r="A3013">
        <v>1818</v>
      </c>
      <c r="B3013" s="16">
        <v>43497</v>
      </c>
      <c r="C3013" t="s">
        <v>192</v>
      </c>
      <c r="D3013">
        <v>-14500000</v>
      </c>
      <c r="E3013" t="s">
        <v>331</v>
      </c>
    </row>
    <row r="3014" spans="1:5" x14ac:dyDescent="0.25">
      <c r="A3014">
        <v>1818</v>
      </c>
      <c r="B3014" s="16">
        <v>43525</v>
      </c>
      <c r="C3014" t="s">
        <v>192</v>
      </c>
      <c r="D3014">
        <v>-14500000</v>
      </c>
      <c r="E3014" t="s">
        <v>331</v>
      </c>
    </row>
    <row r="3015" spans="1:5" x14ac:dyDescent="0.25">
      <c r="A3015">
        <v>1818</v>
      </c>
      <c r="B3015" s="16">
        <v>43556</v>
      </c>
      <c r="C3015" t="s">
        <v>192</v>
      </c>
      <c r="D3015">
        <v>-14500000</v>
      </c>
      <c r="E3015" t="s">
        <v>331</v>
      </c>
    </row>
    <row r="3016" spans="1:5" x14ac:dyDescent="0.25">
      <c r="A3016">
        <v>1818</v>
      </c>
      <c r="B3016" s="16">
        <v>43586</v>
      </c>
      <c r="C3016" t="s">
        <v>192</v>
      </c>
      <c r="D3016">
        <v>-14500000</v>
      </c>
      <c r="E3016" t="s">
        <v>331</v>
      </c>
    </row>
    <row r="3017" spans="1:5" x14ac:dyDescent="0.25">
      <c r="A3017">
        <v>1818</v>
      </c>
      <c r="B3017" s="16">
        <v>43617</v>
      </c>
      <c r="C3017" t="s">
        <v>192</v>
      </c>
      <c r="D3017">
        <v>-14500000</v>
      </c>
      <c r="E3017" t="s">
        <v>331</v>
      </c>
    </row>
    <row r="3018" spans="1:5" x14ac:dyDescent="0.25">
      <c r="A3018">
        <v>1818</v>
      </c>
      <c r="B3018" s="16">
        <v>43647</v>
      </c>
      <c r="C3018" t="s">
        <v>192</v>
      </c>
      <c r="D3018">
        <v>-14500000</v>
      </c>
      <c r="E3018" t="s">
        <v>331</v>
      </c>
    </row>
    <row r="3019" spans="1:5" x14ac:dyDescent="0.25">
      <c r="A3019">
        <v>1818</v>
      </c>
      <c r="B3019" s="16">
        <v>43678</v>
      </c>
      <c r="C3019" t="s">
        <v>192</v>
      </c>
      <c r="D3019">
        <v>-14500000</v>
      </c>
      <c r="E3019" t="s">
        <v>331</v>
      </c>
    </row>
    <row r="3020" spans="1:5" x14ac:dyDescent="0.25">
      <c r="A3020">
        <v>1818</v>
      </c>
      <c r="B3020" s="16">
        <v>43709</v>
      </c>
      <c r="C3020" t="s">
        <v>192</v>
      </c>
      <c r="D3020">
        <v>-14500000</v>
      </c>
      <c r="E3020" t="s">
        <v>331</v>
      </c>
    </row>
    <row r="3021" spans="1:5" x14ac:dyDescent="0.25">
      <c r="A3021">
        <v>1818</v>
      </c>
      <c r="B3021" s="16">
        <v>43739</v>
      </c>
      <c r="C3021" t="s">
        <v>192</v>
      </c>
      <c r="D3021">
        <v>-14500000</v>
      </c>
      <c r="E3021" t="s">
        <v>331</v>
      </c>
    </row>
    <row r="3022" spans="1:5" x14ac:dyDescent="0.25">
      <c r="A3022">
        <v>1818</v>
      </c>
      <c r="B3022" s="16">
        <v>43770</v>
      </c>
      <c r="C3022" t="s">
        <v>192</v>
      </c>
      <c r="D3022">
        <v>-14500000</v>
      </c>
      <c r="E3022" t="s">
        <v>331</v>
      </c>
    </row>
    <row r="3023" spans="1:5" x14ac:dyDescent="0.25">
      <c r="A3023">
        <v>1818</v>
      </c>
      <c r="B3023" s="16">
        <v>43800</v>
      </c>
      <c r="C3023" t="s">
        <v>192</v>
      </c>
      <c r="D3023">
        <v>-14500000</v>
      </c>
      <c r="E3023" t="s">
        <v>331</v>
      </c>
    </row>
    <row r="3024" spans="1:5" x14ac:dyDescent="0.25">
      <c r="A3024">
        <v>1829</v>
      </c>
      <c r="B3024" s="16">
        <v>43466</v>
      </c>
      <c r="C3024" t="s">
        <v>192</v>
      </c>
      <c r="D3024">
        <v>-13393000</v>
      </c>
      <c r="E3024" t="s">
        <v>331</v>
      </c>
    </row>
    <row r="3025" spans="1:5" x14ac:dyDescent="0.25">
      <c r="A3025">
        <v>1829</v>
      </c>
      <c r="B3025" s="16">
        <v>43497</v>
      </c>
      <c r="C3025" t="s">
        <v>192</v>
      </c>
      <c r="D3025">
        <v>-13393000</v>
      </c>
      <c r="E3025" t="s">
        <v>331</v>
      </c>
    </row>
    <row r="3026" spans="1:5" x14ac:dyDescent="0.25">
      <c r="A3026">
        <v>1829</v>
      </c>
      <c r="B3026" s="16">
        <v>43525</v>
      </c>
      <c r="C3026" t="s">
        <v>192</v>
      </c>
      <c r="D3026">
        <v>-13393000</v>
      </c>
      <c r="E3026" t="s">
        <v>331</v>
      </c>
    </row>
    <row r="3027" spans="1:5" x14ac:dyDescent="0.25">
      <c r="A3027">
        <v>1829</v>
      </c>
      <c r="B3027" s="16">
        <v>43556</v>
      </c>
      <c r="C3027" t="s">
        <v>192</v>
      </c>
      <c r="D3027">
        <v>-13393000</v>
      </c>
      <c r="E3027" t="s">
        <v>331</v>
      </c>
    </row>
    <row r="3028" spans="1:5" x14ac:dyDescent="0.25">
      <c r="A3028">
        <v>1829</v>
      </c>
      <c r="B3028" s="16">
        <v>43586</v>
      </c>
      <c r="C3028" t="s">
        <v>192</v>
      </c>
      <c r="D3028">
        <v>-13393000</v>
      </c>
      <c r="E3028" t="s">
        <v>331</v>
      </c>
    </row>
    <row r="3029" spans="1:5" x14ac:dyDescent="0.25">
      <c r="A3029">
        <v>1829</v>
      </c>
      <c r="B3029" s="16">
        <v>43617</v>
      </c>
      <c r="C3029" t="s">
        <v>192</v>
      </c>
      <c r="D3029">
        <v>-13393000</v>
      </c>
      <c r="E3029" t="s">
        <v>331</v>
      </c>
    </row>
    <row r="3030" spans="1:5" x14ac:dyDescent="0.25">
      <c r="A3030">
        <v>1829</v>
      </c>
      <c r="B3030" s="16">
        <v>43647</v>
      </c>
      <c r="C3030" t="s">
        <v>192</v>
      </c>
      <c r="D3030">
        <v>-13393000</v>
      </c>
      <c r="E3030" t="s">
        <v>331</v>
      </c>
    </row>
    <row r="3031" spans="1:5" x14ac:dyDescent="0.25">
      <c r="A3031">
        <v>1829</v>
      </c>
      <c r="B3031" s="16">
        <v>43678</v>
      </c>
      <c r="C3031" t="s">
        <v>192</v>
      </c>
      <c r="D3031">
        <v>-13393000</v>
      </c>
      <c r="E3031" t="s">
        <v>331</v>
      </c>
    </row>
    <row r="3032" spans="1:5" x14ac:dyDescent="0.25">
      <c r="A3032">
        <v>1829</v>
      </c>
      <c r="B3032" s="16">
        <v>43709</v>
      </c>
      <c r="C3032" t="s">
        <v>192</v>
      </c>
      <c r="D3032">
        <v>-13393000</v>
      </c>
      <c r="E3032" t="s">
        <v>331</v>
      </c>
    </row>
    <row r="3033" spans="1:5" x14ac:dyDescent="0.25">
      <c r="A3033">
        <v>1829</v>
      </c>
      <c r="B3033" s="16">
        <v>43739</v>
      </c>
      <c r="C3033" t="s">
        <v>192</v>
      </c>
      <c r="D3033">
        <v>-13393000</v>
      </c>
      <c r="E3033" t="s">
        <v>331</v>
      </c>
    </row>
    <row r="3034" spans="1:5" x14ac:dyDescent="0.25">
      <c r="A3034">
        <v>1829</v>
      </c>
      <c r="B3034" s="16">
        <v>43770</v>
      </c>
      <c r="C3034" t="s">
        <v>192</v>
      </c>
      <c r="D3034">
        <v>-13393000</v>
      </c>
      <c r="E3034" t="s">
        <v>331</v>
      </c>
    </row>
    <row r="3035" spans="1:5" x14ac:dyDescent="0.25">
      <c r="A3035">
        <v>1829</v>
      </c>
      <c r="B3035" s="16">
        <v>43800</v>
      </c>
      <c r="C3035" t="s">
        <v>192</v>
      </c>
      <c r="D3035">
        <v>-13393000</v>
      </c>
      <c r="E3035" t="s">
        <v>331</v>
      </c>
    </row>
    <row r="3036" spans="1:5" x14ac:dyDescent="0.25">
      <c r="A3036">
        <v>1829</v>
      </c>
      <c r="B3036" s="16">
        <v>43831</v>
      </c>
      <c r="C3036" t="s">
        <v>192</v>
      </c>
      <c r="D3036">
        <v>-13393000</v>
      </c>
      <c r="E3036" t="s">
        <v>331</v>
      </c>
    </row>
    <row r="3037" spans="1:5" x14ac:dyDescent="0.25">
      <c r="A3037">
        <v>1829</v>
      </c>
      <c r="B3037" s="16">
        <v>43862</v>
      </c>
      <c r="C3037" t="s">
        <v>192</v>
      </c>
      <c r="D3037">
        <v>-13393000</v>
      </c>
      <c r="E3037" t="s">
        <v>331</v>
      </c>
    </row>
    <row r="3038" spans="1:5" x14ac:dyDescent="0.25">
      <c r="A3038">
        <v>1829</v>
      </c>
      <c r="B3038" s="16">
        <v>43891</v>
      </c>
      <c r="C3038" t="s">
        <v>192</v>
      </c>
      <c r="D3038">
        <v>-13393000</v>
      </c>
      <c r="E3038" t="s">
        <v>331</v>
      </c>
    </row>
    <row r="3039" spans="1:5" x14ac:dyDescent="0.25">
      <c r="A3039">
        <v>1829</v>
      </c>
      <c r="B3039" s="16">
        <v>43922</v>
      </c>
      <c r="C3039" t="s">
        <v>192</v>
      </c>
      <c r="D3039">
        <v>-13393000</v>
      </c>
      <c r="E3039" t="s">
        <v>331</v>
      </c>
    </row>
    <row r="3040" spans="1:5" x14ac:dyDescent="0.25">
      <c r="A3040">
        <v>1829</v>
      </c>
      <c r="B3040" s="16">
        <v>43952</v>
      </c>
      <c r="C3040" t="s">
        <v>192</v>
      </c>
      <c r="D3040">
        <v>-13393000</v>
      </c>
      <c r="E3040" t="s">
        <v>331</v>
      </c>
    </row>
    <row r="3041" spans="1:5" x14ac:dyDescent="0.25">
      <c r="A3041">
        <v>1829</v>
      </c>
      <c r="B3041" s="16">
        <v>43983</v>
      </c>
      <c r="C3041" t="s">
        <v>192</v>
      </c>
      <c r="D3041">
        <v>-13393000</v>
      </c>
      <c r="E3041" t="s">
        <v>331</v>
      </c>
    </row>
    <row r="3042" spans="1:5" x14ac:dyDescent="0.25">
      <c r="A3042">
        <v>1829</v>
      </c>
      <c r="B3042" s="16">
        <v>43466</v>
      </c>
      <c r="C3042" t="s">
        <v>192</v>
      </c>
      <c r="D3042">
        <v>-2337394.9579831935</v>
      </c>
      <c r="E3042" t="s">
        <v>331</v>
      </c>
    </row>
    <row r="3043" spans="1:5" x14ac:dyDescent="0.25">
      <c r="A3043">
        <v>1829</v>
      </c>
      <c r="B3043" s="16">
        <v>43497</v>
      </c>
      <c r="C3043" t="s">
        <v>192</v>
      </c>
      <c r="D3043">
        <v>-2337394.9579831935</v>
      </c>
      <c r="E3043" t="s">
        <v>331</v>
      </c>
    </row>
    <row r="3044" spans="1:5" x14ac:dyDescent="0.25">
      <c r="A3044">
        <v>1829</v>
      </c>
      <c r="B3044" s="16">
        <v>43525</v>
      </c>
      <c r="C3044" t="s">
        <v>192</v>
      </c>
      <c r="D3044">
        <v>-2337394.9579831935</v>
      </c>
      <c r="E3044" t="s">
        <v>331</v>
      </c>
    </row>
    <row r="3045" spans="1:5" x14ac:dyDescent="0.25">
      <c r="A3045">
        <v>1829</v>
      </c>
      <c r="B3045" s="16">
        <v>43556</v>
      </c>
      <c r="C3045" t="s">
        <v>192</v>
      </c>
      <c r="D3045">
        <v>-2337394.9579831935</v>
      </c>
      <c r="E3045" t="s">
        <v>331</v>
      </c>
    </row>
    <row r="3046" spans="1:5" x14ac:dyDescent="0.25">
      <c r="A3046">
        <v>1829</v>
      </c>
      <c r="B3046" s="16">
        <v>43586</v>
      </c>
      <c r="C3046" t="s">
        <v>192</v>
      </c>
      <c r="D3046">
        <v>-2337394.9579831935</v>
      </c>
      <c r="E3046" t="s">
        <v>331</v>
      </c>
    </row>
    <row r="3047" spans="1:5" x14ac:dyDescent="0.25">
      <c r="A3047">
        <v>1829</v>
      </c>
      <c r="B3047" s="16">
        <v>43617</v>
      </c>
      <c r="C3047" t="s">
        <v>192</v>
      </c>
      <c r="D3047">
        <v>-2337394.9579831935</v>
      </c>
      <c r="E3047" t="s">
        <v>331</v>
      </c>
    </row>
    <row r="3048" spans="1:5" x14ac:dyDescent="0.25">
      <c r="A3048">
        <v>1829</v>
      </c>
      <c r="B3048" s="16">
        <v>43647</v>
      </c>
      <c r="C3048" t="s">
        <v>192</v>
      </c>
      <c r="D3048">
        <v>-2337394.9579831935</v>
      </c>
      <c r="E3048" t="s">
        <v>331</v>
      </c>
    </row>
    <row r="3049" spans="1:5" x14ac:dyDescent="0.25">
      <c r="A3049">
        <v>1829</v>
      </c>
      <c r="B3049" s="16">
        <v>43678</v>
      </c>
      <c r="C3049" t="s">
        <v>192</v>
      </c>
      <c r="D3049">
        <v>-2337394.9579831935</v>
      </c>
      <c r="E3049" t="s">
        <v>331</v>
      </c>
    </row>
    <row r="3050" spans="1:5" x14ac:dyDescent="0.25">
      <c r="A3050">
        <v>1829</v>
      </c>
      <c r="B3050" s="16">
        <v>43709</v>
      </c>
      <c r="C3050" t="s">
        <v>192</v>
      </c>
      <c r="D3050">
        <v>-2337394.9579831935</v>
      </c>
      <c r="E3050" t="s">
        <v>331</v>
      </c>
    </row>
    <row r="3051" spans="1:5" x14ac:dyDescent="0.25">
      <c r="A3051">
        <v>1829</v>
      </c>
      <c r="B3051" s="16">
        <v>43739</v>
      </c>
      <c r="C3051" t="s">
        <v>192</v>
      </c>
      <c r="D3051">
        <v>-2337394.9579831935</v>
      </c>
      <c r="E3051" t="s">
        <v>331</v>
      </c>
    </row>
    <row r="3052" spans="1:5" x14ac:dyDescent="0.25">
      <c r="A3052">
        <v>1829</v>
      </c>
      <c r="B3052" s="16">
        <v>43770</v>
      </c>
      <c r="C3052" t="s">
        <v>192</v>
      </c>
      <c r="D3052">
        <v>-2337394.9579831935</v>
      </c>
      <c r="E3052" t="s">
        <v>331</v>
      </c>
    </row>
    <row r="3053" spans="1:5" x14ac:dyDescent="0.25">
      <c r="A3053">
        <v>1829</v>
      </c>
      <c r="B3053" s="16">
        <v>43800</v>
      </c>
      <c r="C3053" t="s">
        <v>192</v>
      </c>
      <c r="D3053">
        <v>-2337394.9579831935</v>
      </c>
      <c r="E3053" t="s">
        <v>331</v>
      </c>
    </row>
    <row r="3054" spans="1:5" x14ac:dyDescent="0.25">
      <c r="A3054">
        <v>1829</v>
      </c>
      <c r="B3054" s="16">
        <v>43831</v>
      </c>
      <c r="C3054" t="s">
        <v>192</v>
      </c>
      <c r="D3054">
        <v>-2337394.9579831935</v>
      </c>
      <c r="E3054" t="s">
        <v>331</v>
      </c>
    </row>
    <row r="3055" spans="1:5" x14ac:dyDescent="0.25">
      <c r="A3055">
        <v>1829</v>
      </c>
      <c r="B3055" s="16">
        <v>43862</v>
      </c>
      <c r="C3055" t="s">
        <v>192</v>
      </c>
      <c r="D3055">
        <v>-2337394.9579831935</v>
      </c>
      <c r="E3055" t="s">
        <v>331</v>
      </c>
    </row>
    <row r="3056" spans="1:5" x14ac:dyDescent="0.25">
      <c r="A3056">
        <v>1829</v>
      </c>
      <c r="B3056" s="16">
        <v>43891</v>
      </c>
      <c r="C3056" t="s">
        <v>192</v>
      </c>
      <c r="D3056">
        <v>-2337394.9579831935</v>
      </c>
      <c r="E3056" t="s">
        <v>331</v>
      </c>
    </row>
    <row r="3057" spans="1:5" x14ac:dyDescent="0.25">
      <c r="A3057">
        <v>1829</v>
      </c>
      <c r="B3057" s="16">
        <v>43922</v>
      </c>
      <c r="C3057" t="s">
        <v>192</v>
      </c>
      <c r="D3057">
        <v>-2337394.9579831935</v>
      </c>
      <c r="E3057" t="s">
        <v>331</v>
      </c>
    </row>
    <row r="3058" spans="1:5" x14ac:dyDescent="0.25">
      <c r="A3058">
        <v>1829</v>
      </c>
      <c r="B3058" s="16">
        <v>43952</v>
      </c>
      <c r="C3058" t="s">
        <v>192</v>
      </c>
      <c r="D3058">
        <v>-2337394.9579831935</v>
      </c>
      <c r="E3058" t="s">
        <v>331</v>
      </c>
    </row>
    <row r="3059" spans="1:5" x14ac:dyDescent="0.25">
      <c r="A3059">
        <v>1829</v>
      </c>
      <c r="B3059" s="16">
        <v>43983</v>
      </c>
      <c r="C3059" t="s">
        <v>192</v>
      </c>
      <c r="D3059">
        <v>-2337394.9579831935</v>
      </c>
      <c r="E3059" t="s">
        <v>331</v>
      </c>
    </row>
    <row r="3060" spans="1:5" x14ac:dyDescent="0.25">
      <c r="A3060">
        <v>1838</v>
      </c>
      <c r="B3060" s="16">
        <v>43466</v>
      </c>
      <c r="C3060" t="s">
        <v>192</v>
      </c>
      <c r="D3060">
        <v>-5797541</v>
      </c>
      <c r="E3060" t="s">
        <v>331</v>
      </c>
    </row>
    <row r="3061" spans="1:5" x14ac:dyDescent="0.25">
      <c r="A3061">
        <v>1838</v>
      </c>
      <c r="B3061" s="16">
        <v>43497</v>
      </c>
      <c r="C3061" t="s">
        <v>192</v>
      </c>
      <c r="D3061">
        <v>-5797541</v>
      </c>
      <c r="E3061" t="s">
        <v>331</v>
      </c>
    </row>
    <row r="3062" spans="1:5" x14ac:dyDescent="0.25">
      <c r="A3062">
        <v>1838</v>
      </c>
      <c r="B3062" s="16">
        <v>43525</v>
      </c>
      <c r="C3062" t="s">
        <v>192</v>
      </c>
      <c r="D3062">
        <v>-5797541</v>
      </c>
      <c r="E3062" t="s">
        <v>331</v>
      </c>
    </row>
    <row r="3063" spans="1:5" x14ac:dyDescent="0.25">
      <c r="A3063">
        <v>1856</v>
      </c>
      <c r="B3063" s="16">
        <v>43466</v>
      </c>
      <c r="C3063" t="s">
        <v>192</v>
      </c>
      <c r="D3063">
        <v>-20000000</v>
      </c>
      <c r="E3063" t="s">
        <v>331</v>
      </c>
    </row>
    <row r="3064" spans="1:5" x14ac:dyDescent="0.25">
      <c r="A3064">
        <v>1856</v>
      </c>
      <c r="B3064" s="16">
        <v>43497</v>
      </c>
      <c r="C3064" t="s">
        <v>192</v>
      </c>
      <c r="D3064">
        <v>-20000000</v>
      </c>
      <c r="E3064" t="s">
        <v>331</v>
      </c>
    </row>
    <row r="3065" spans="1:5" x14ac:dyDescent="0.25">
      <c r="A3065">
        <v>1856</v>
      </c>
      <c r="B3065" s="16">
        <v>43525</v>
      </c>
      <c r="C3065" t="s">
        <v>192</v>
      </c>
      <c r="D3065">
        <v>-20000000</v>
      </c>
      <c r="E3065" t="s">
        <v>331</v>
      </c>
    </row>
    <row r="3066" spans="1:5" x14ac:dyDescent="0.25">
      <c r="A3066">
        <v>1856</v>
      </c>
      <c r="B3066" s="16">
        <v>43556</v>
      </c>
      <c r="C3066" t="s">
        <v>192</v>
      </c>
      <c r="D3066">
        <v>-20000000</v>
      </c>
      <c r="E3066" t="s">
        <v>331</v>
      </c>
    </row>
    <row r="3067" spans="1:5" x14ac:dyDescent="0.25">
      <c r="A3067">
        <v>1856</v>
      </c>
      <c r="B3067" s="16">
        <v>43586</v>
      </c>
      <c r="C3067" t="s">
        <v>192</v>
      </c>
      <c r="D3067">
        <v>-20000000</v>
      </c>
      <c r="E3067" t="s">
        <v>331</v>
      </c>
    </row>
    <row r="3068" spans="1:5" x14ac:dyDescent="0.25">
      <c r="A3068">
        <v>1856</v>
      </c>
      <c r="B3068" s="16">
        <v>43617</v>
      </c>
      <c r="C3068" t="s">
        <v>192</v>
      </c>
      <c r="D3068">
        <v>-20000000</v>
      </c>
      <c r="E3068" t="s">
        <v>331</v>
      </c>
    </row>
    <row r="3069" spans="1:5" x14ac:dyDescent="0.25">
      <c r="A3069">
        <v>1856</v>
      </c>
      <c r="B3069" s="16">
        <v>43647</v>
      </c>
      <c r="C3069" t="s">
        <v>192</v>
      </c>
      <c r="D3069">
        <v>-20000000</v>
      </c>
      <c r="E3069" t="s">
        <v>331</v>
      </c>
    </row>
    <row r="3070" spans="1:5" x14ac:dyDescent="0.25">
      <c r="A3070">
        <v>1856</v>
      </c>
      <c r="B3070" s="16">
        <v>43678</v>
      </c>
      <c r="C3070" t="s">
        <v>192</v>
      </c>
      <c r="D3070">
        <v>-20000000</v>
      </c>
      <c r="E3070" t="s">
        <v>331</v>
      </c>
    </row>
    <row r="3071" spans="1:5" x14ac:dyDescent="0.25">
      <c r="A3071">
        <v>1856</v>
      </c>
      <c r="B3071" s="16">
        <v>43709</v>
      </c>
      <c r="C3071" t="s">
        <v>192</v>
      </c>
      <c r="D3071">
        <v>-20000000</v>
      </c>
      <c r="E3071" t="s">
        <v>331</v>
      </c>
    </row>
    <row r="3072" spans="1:5" x14ac:dyDescent="0.25">
      <c r="A3072">
        <v>1856</v>
      </c>
      <c r="B3072" s="16">
        <v>43739</v>
      </c>
      <c r="C3072" t="s">
        <v>192</v>
      </c>
      <c r="D3072">
        <v>-20000000</v>
      </c>
      <c r="E3072" t="s">
        <v>331</v>
      </c>
    </row>
    <row r="3073" spans="1:5" x14ac:dyDescent="0.25">
      <c r="A3073">
        <v>1856</v>
      </c>
      <c r="B3073" s="16">
        <v>43770</v>
      </c>
      <c r="C3073" t="s">
        <v>192</v>
      </c>
      <c r="D3073">
        <v>-20000000</v>
      </c>
      <c r="E3073" t="s">
        <v>331</v>
      </c>
    </row>
    <row r="3074" spans="1:5" x14ac:dyDescent="0.25">
      <c r="A3074">
        <v>1856</v>
      </c>
      <c r="B3074" s="16">
        <v>43800</v>
      </c>
      <c r="C3074" t="s">
        <v>192</v>
      </c>
      <c r="D3074">
        <v>-20000000</v>
      </c>
      <c r="E3074" t="s">
        <v>331</v>
      </c>
    </row>
    <row r="3075" spans="1:5" x14ac:dyDescent="0.25">
      <c r="A3075">
        <v>1856</v>
      </c>
      <c r="B3075" s="16">
        <v>43831</v>
      </c>
      <c r="C3075" t="s">
        <v>192</v>
      </c>
      <c r="D3075">
        <v>-20000000</v>
      </c>
      <c r="E3075" t="s">
        <v>331</v>
      </c>
    </row>
    <row r="3076" spans="1:5" x14ac:dyDescent="0.25">
      <c r="A3076">
        <v>1856</v>
      </c>
      <c r="B3076" s="16">
        <v>43862</v>
      </c>
      <c r="C3076" t="s">
        <v>192</v>
      </c>
      <c r="D3076">
        <v>-20000000</v>
      </c>
      <c r="E3076" t="s">
        <v>331</v>
      </c>
    </row>
    <row r="3077" spans="1:5" x14ac:dyDescent="0.25">
      <c r="A3077">
        <v>1856</v>
      </c>
      <c r="B3077" s="16">
        <v>43891</v>
      </c>
      <c r="C3077" t="s">
        <v>192</v>
      </c>
      <c r="D3077">
        <v>-20000000</v>
      </c>
      <c r="E3077" t="s">
        <v>331</v>
      </c>
    </row>
    <row r="3078" spans="1:5" x14ac:dyDescent="0.25">
      <c r="A3078">
        <v>1856</v>
      </c>
      <c r="B3078" s="16">
        <v>43922</v>
      </c>
      <c r="C3078" t="s">
        <v>192</v>
      </c>
      <c r="D3078">
        <v>-20000000</v>
      </c>
      <c r="E3078" t="s">
        <v>331</v>
      </c>
    </row>
    <row r="3079" spans="1:5" x14ac:dyDescent="0.25">
      <c r="A3079">
        <v>1856</v>
      </c>
      <c r="B3079" s="16">
        <v>43952</v>
      </c>
      <c r="C3079" t="s">
        <v>192</v>
      </c>
      <c r="D3079">
        <v>-20000000</v>
      </c>
      <c r="E3079" t="s">
        <v>331</v>
      </c>
    </row>
    <row r="3080" spans="1:5" x14ac:dyDescent="0.25">
      <c r="A3080">
        <v>1856</v>
      </c>
      <c r="B3080" s="16">
        <v>43983</v>
      </c>
      <c r="C3080" t="s">
        <v>192</v>
      </c>
      <c r="D3080">
        <v>-20000000</v>
      </c>
      <c r="E3080" t="s">
        <v>331</v>
      </c>
    </row>
    <row r="3081" spans="1:5" x14ac:dyDescent="0.25">
      <c r="A3081">
        <v>1856</v>
      </c>
      <c r="B3081" s="16">
        <v>44013</v>
      </c>
      <c r="C3081" t="s">
        <v>192</v>
      </c>
      <c r="D3081">
        <v>-20000000</v>
      </c>
      <c r="E3081" t="s">
        <v>331</v>
      </c>
    </row>
    <row r="3082" spans="1:5" x14ac:dyDescent="0.25">
      <c r="A3082">
        <v>1856</v>
      </c>
      <c r="B3082" s="16">
        <v>44044</v>
      </c>
      <c r="C3082" t="s">
        <v>192</v>
      </c>
      <c r="D3082">
        <v>-20000000</v>
      </c>
      <c r="E3082" t="s">
        <v>331</v>
      </c>
    </row>
    <row r="3083" spans="1:5" x14ac:dyDescent="0.25">
      <c r="A3083">
        <v>1856</v>
      </c>
      <c r="B3083" s="16">
        <v>44075</v>
      </c>
      <c r="C3083" t="s">
        <v>192</v>
      </c>
      <c r="D3083">
        <v>-20000000</v>
      </c>
      <c r="E3083" t="s">
        <v>331</v>
      </c>
    </row>
    <row r="3084" spans="1:5" x14ac:dyDescent="0.25">
      <c r="A3084">
        <v>1856</v>
      </c>
      <c r="B3084" s="16">
        <v>44105</v>
      </c>
      <c r="C3084" t="s">
        <v>192</v>
      </c>
      <c r="D3084">
        <v>-20000000</v>
      </c>
      <c r="E3084" t="s">
        <v>331</v>
      </c>
    </row>
    <row r="3085" spans="1:5" x14ac:dyDescent="0.25">
      <c r="A3085">
        <v>1856</v>
      </c>
      <c r="B3085" s="16">
        <v>44136</v>
      </c>
      <c r="C3085" t="s">
        <v>192</v>
      </c>
      <c r="D3085">
        <v>-20000000</v>
      </c>
      <c r="E3085" t="s">
        <v>331</v>
      </c>
    </row>
    <row r="3086" spans="1:5" x14ac:dyDescent="0.25">
      <c r="A3086">
        <v>1856</v>
      </c>
      <c r="B3086" s="16">
        <v>44166</v>
      </c>
      <c r="C3086" t="s">
        <v>192</v>
      </c>
      <c r="D3086">
        <v>-20000000</v>
      </c>
      <c r="E3086" t="s">
        <v>331</v>
      </c>
    </row>
    <row r="3087" spans="1:5" x14ac:dyDescent="0.25">
      <c r="A3087">
        <v>1856</v>
      </c>
      <c r="B3087" s="16">
        <v>44197</v>
      </c>
      <c r="C3087" t="s">
        <v>192</v>
      </c>
      <c r="D3087">
        <v>-20000000</v>
      </c>
      <c r="E3087" t="s">
        <v>331</v>
      </c>
    </row>
    <row r="3088" spans="1:5" x14ac:dyDescent="0.25">
      <c r="A3088">
        <v>1857</v>
      </c>
      <c r="B3088" s="16">
        <v>43466</v>
      </c>
      <c r="C3088" t="s">
        <v>192</v>
      </c>
      <c r="D3088">
        <v>-9800000</v>
      </c>
      <c r="E3088" t="s">
        <v>331</v>
      </c>
    </row>
    <row r="3089" spans="1:5" x14ac:dyDescent="0.25">
      <c r="A3089">
        <v>1857</v>
      </c>
      <c r="B3089" s="16">
        <v>43497</v>
      </c>
      <c r="C3089" t="s">
        <v>192</v>
      </c>
      <c r="D3089">
        <v>-9800000</v>
      </c>
      <c r="E3089" t="s">
        <v>331</v>
      </c>
    </row>
    <row r="3090" spans="1:5" x14ac:dyDescent="0.25">
      <c r="A3090">
        <v>1857</v>
      </c>
      <c r="B3090" s="16">
        <v>43525</v>
      </c>
      <c r="C3090" t="s">
        <v>192</v>
      </c>
      <c r="D3090">
        <v>-9800000</v>
      </c>
      <c r="E3090" t="s">
        <v>331</v>
      </c>
    </row>
    <row r="3091" spans="1:5" x14ac:dyDescent="0.25">
      <c r="A3091">
        <v>1857</v>
      </c>
      <c r="B3091" s="16">
        <v>43556</v>
      </c>
      <c r="C3091" t="s">
        <v>192</v>
      </c>
      <c r="D3091">
        <v>-9800000</v>
      </c>
      <c r="E3091" t="s">
        <v>331</v>
      </c>
    </row>
    <row r="3092" spans="1:5" x14ac:dyDescent="0.25">
      <c r="A3092">
        <v>1857</v>
      </c>
      <c r="B3092" s="16">
        <v>43586</v>
      </c>
      <c r="C3092" t="s">
        <v>192</v>
      </c>
      <c r="D3092">
        <v>-9800000</v>
      </c>
      <c r="E3092" t="s">
        <v>331</v>
      </c>
    </row>
    <row r="3093" spans="1:5" x14ac:dyDescent="0.25">
      <c r="A3093">
        <v>1857</v>
      </c>
      <c r="B3093" s="16">
        <v>43617</v>
      </c>
      <c r="C3093" t="s">
        <v>192</v>
      </c>
      <c r="D3093">
        <v>-9800000</v>
      </c>
      <c r="E3093" t="s">
        <v>331</v>
      </c>
    </row>
    <row r="3094" spans="1:5" x14ac:dyDescent="0.25">
      <c r="A3094">
        <v>1857</v>
      </c>
      <c r="B3094" s="16">
        <v>43647</v>
      </c>
      <c r="C3094" t="s">
        <v>192</v>
      </c>
      <c r="D3094">
        <v>-9800000</v>
      </c>
      <c r="E3094" t="s">
        <v>331</v>
      </c>
    </row>
    <row r="3095" spans="1:5" x14ac:dyDescent="0.25">
      <c r="A3095">
        <v>1857</v>
      </c>
      <c r="B3095" s="16">
        <v>43678</v>
      </c>
      <c r="C3095" t="s">
        <v>192</v>
      </c>
      <c r="D3095">
        <v>-9800000</v>
      </c>
      <c r="E3095" t="s">
        <v>331</v>
      </c>
    </row>
    <row r="3096" spans="1:5" x14ac:dyDescent="0.25">
      <c r="A3096">
        <v>1857</v>
      </c>
      <c r="B3096" s="16">
        <v>43709</v>
      </c>
      <c r="C3096" t="s">
        <v>192</v>
      </c>
      <c r="D3096">
        <v>-9800000</v>
      </c>
      <c r="E3096" t="s">
        <v>331</v>
      </c>
    </row>
    <row r="3097" spans="1:5" x14ac:dyDescent="0.25">
      <c r="A3097">
        <v>1860</v>
      </c>
      <c r="B3097" s="16">
        <v>43466</v>
      </c>
      <c r="C3097" t="s">
        <v>192</v>
      </c>
      <c r="D3097">
        <v>-7700000</v>
      </c>
      <c r="E3097" t="s">
        <v>331</v>
      </c>
    </row>
    <row r="3098" spans="1:5" x14ac:dyDescent="0.25">
      <c r="A3098">
        <v>1860</v>
      </c>
      <c r="B3098" s="16">
        <v>43497</v>
      </c>
      <c r="C3098" t="s">
        <v>192</v>
      </c>
      <c r="D3098">
        <v>-7700000</v>
      </c>
      <c r="E3098" t="s">
        <v>331</v>
      </c>
    </row>
    <row r="3099" spans="1:5" x14ac:dyDescent="0.25">
      <c r="A3099">
        <v>1860</v>
      </c>
      <c r="B3099" s="16">
        <v>43525</v>
      </c>
      <c r="C3099" t="s">
        <v>192</v>
      </c>
      <c r="D3099">
        <v>-7700000</v>
      </c>
      <c r="E3099" t="s">
        <v>331</v>
      </c>
    </row>
    <row r="3100" spans="1:5" x14ac:dyDescent="0.25">
      <c r="A3100">
        <v>1860</v>
      </c>
      <c r="B3100" s="16">
        <v>43556</v>
      </c>
      <c r="C3100" t="s">
        <v>192</v>
      </c>
      <c r="D3100">
        <v>-7700000</v>
      </c>
      <c r="E3100" t="s">
        <v>331</v>
      </c>
    </row>
    <row r="3101" spans="1:5" x14ac:dyDescent="0.25">
      <c r="A3101">
        <v>1860</v>
      </c>
      <c r="B3101" s="16">
        <v>43586</v>
      </c>
      <c r="C3101" t="s">
        <v>192</v>
      </c>
      <c r="D3101">
        <v>-7700000</v>
      </c>
      <c r="E3101" t="s">
        <v>331</v>
      </c>
    </row>
    <row r="3102" spans="1:5" x14ac:dyDescent="0.25">
      <c r="A3102">
        <v>1860</v>
      </c>
      <c r="B3102" s="16">
        <v>43617</v>
      </c>
      <c r="C3102" t="s">
        <v>192</v>
      </c>
      <c r="D3102">
        <v>-7700000</v>
      </c>
      <c r="E3102" t="s">
        <v>331</v>
      </c>
    </row>
    <row r="3103" spans="1:5" x14ac:dyDescent="0.25">
      <c r="A3103">
        <v>1860</v>
      </c>
      <c r="B3103" s="16">
        <v>43647</v>
      </c>
      <c r="C3103" t="s">
        <v>192</v>
      </c>
      <c r="D3103">
        <v>-7700000</v>
      </c>
      <c r="E3103" t="s">
        <v>331</v>
      </c>
    </row>
    <row r="3104" spans="1:5" x14ac:dyDescent="0.25">
      <c r="A3104">
        <v>1860</v>
      </c>
      <c r="B3104" s="16">
        <v>43678</v>
      </c>
      <c r="C3104" t="s">
        <v>192</v>
      </c>
      <c r="D3104">
        <v>-7700000</v>
      </c>
      <c r="E3104" t="s">
        <v>331</v>
      </c>
    </row>
    <row r="3105" spans="1:5" x14ac:dyDescent="0.25">
      <c r="A3105">
        <v>1860</v>
      </c>
      <c r="B3105" s="16">
        <v>43709</v>
      </c>
      <c r="C3105" t="s">
        <v>192</v>
      </c>
      <c r="D3105">
        <v>-7700000</v>
      </c>
      <c r="E3105" t="s">
        <v>331</v>
      </c>
    </row>
    <row r="3106" spans="1:5" x14ac:dyDescent="0.25">
      <c r="A3106">
        <v>1860</v>
      </c>
      <c r="B3106" s="16">
        <v>43739</v>
      </c>
      <c r="C3106" t="s">
        <v>192</v>
      </c>
      <c r="D3106">
        <v>-7700000</v>
      </c>
      <c r="E3106" t="s">
        <v>331</v>
      </c>
    </row>
    <row r="3107" spans="1:5" x14ac:dyDescent="0.25">
      <c r="A3107">
        <v>1860</v>
      </c>
      <c r="B3107" s="16">
        <v>43770</v>
      </c>
      <c r="C3107" t="s">
        <v>192</v>
      </c>
      <c r="D3107">
        <v>-7700000</v>
      </c>
      <c r="E3107" t="s">
        <v>331</v>
      </c>
    </row>
    <row r="3108" spans="1:5" x14ac:dyDescent="0.25">
      <c r="A3108">
        <v>1860</v>
      </c>
      <c r="B3108" s="16">
        <v>43800</v>
      </c>
      <c r="C3108" t="s">
        <v>192</v>
      </c>
      <c r="D3108">
        <v>-7700000</v>
      </c>
      <c r="E3108" t="s">
        <v>331</v>
      </c>
    </row>
    <row r="3109" spans="1:5" x14ac:dyDescent="0.25">
      <c r="A3109">
        <v>1860</v>
      </c>
      <c r="B3109" s="16">
        <v>43831</v>
      </c>
      <c r="C3109" t="s">
        <v>192</v>
      </c>
      <c r="D3109">
        <v>-7700000</v>
      </c>
      <c r="E3109" t="s">
        <v>331</v>
      </c>
    </row>
    <row r="3110" spans="1:5" x14ac:dyDescent="0.25">
      <c r="A3110">
        <v>1860</v>
      </c>
      <c r="B3110" s="16">
        <v>43862</v>
      </c>
      <c r="C3110" t="s">
        <v>192</v>
      </c>
      <c r="D3110">
        <v>-7700000</v>
      </c>
      <c r="E3110" t="s">
        <v>331</v>
      </c>
    </row>
    <row r="3111" spans="1:5" x14ac:dyDescent="0.25">
      <c r="A3111">
        <v>1860</v>
      </c>
      <c r="B3111" s="16">
        <v>43891</v>
      </c>
      <c r="C3111" t="s">
        <v>192</v>
      </c>
      <c r="D3111">
        <v>-7700000</v>
      </c>
      <c r="E3111" t="s">
        <v>331</v>
      </c>
    </row>
    <row r="3112" spans="1:5" x14ac:dyDescent="0.25">
      <c r="A3112">
        <v>1860</v>
      </c>
      <c r="B3112" s="16">
        <v>43922</v>
      </c>
      <c r="C3112" t="s">
        <v>192</v>
      </c>
      <c r="D3112">
        <v>-7700000</v>
      </c>
      <c r="E3112" t="s">
        <v>331</v>
      </c>
    </row>
    <row r="3113" spans="1:5" x14ac:dyDescent="0.25">
      <c r="A3113">
        <v>1860</v>
      </c>
      <c r="B3113" s="16">
        <v>43952</v>
      </c>
      <c r="C3113" t="s">
        <v>192</v>
      </c>
      <c r="D3113">
        <v>-7700000</v>
      </c>
      <c r="E3113" t="s">
        <v>331</v>
      </c>
    </row>
    <row r="3114" spans="1:5" x14ac:dyDescent="0.25">
      <c r="A3114">
        <v>1860</v>
      </c>
      <c r="B3114" s="16">
        <v>43983</v>
      </c>
      <c r="C3114" t="s">
        <v>192</v>
      </c>
      <c r="D3114">
        <v>-7700000</v>
      </c>
      <c r="E3114" t="s">
        <v>331</v>
      </c>
    </row>
    <row r="3115" spans="1:5" x14ac:dyDescent="0.25">
      <c r="A3115">
        <v>1860</v>
      </c>
      <c r="B3115" s="16">
        <v>44013</v>
      </c>
      <c r="C3115" t="s">
        <v>192</v>
      </c>
      <c r="D3115">
        <v>-7700000</v>
      </c>
      <c r="E3115" t="s">
        <v>331</v>
      </c>
    </row>
    <row r="3116" spans="1:5" x14ac:dyDescent="0.25">
      <c r="A3116">
        <v>1860</v>
      </c>
      <c r="B3116" s="16">
        <v>44044</v>
      </c>
      <c r="C3116" t="s">
        <v>192</v>
      </c>
      <c r="D3116">
        <v>-7700000</v>
      </c>
      <c r="E3116" t="s">
        <v>331</v>
      </c>
    </row>
    <row r="3117" spans="1:5" x14ac:dyDescent="0.25">
      <c r="A3117">
        <v>1860</v>
      </c>
      <c r="B3117" s="16">
        <v>44075</v>
      </c>
      <c r="C3117" t="s">
        <v>192</v>
      </c>
      <c r="D3117">
        <v>-7700000</v>
      </c>
      <c r="E3117" t="s">
        <v>331</v>
      </c>
    </row>
    <row r="3118" spans="1:5" x14ac:dyDescent="0.25">
      <c r="A3118">
        <v>1860</v>
      </c>
      <c r="B3118" s="16">
        <v>44105</v>
      </c>
      <c r="C3118" t="s">
        <v>192</v>
      </c>
      <c r="D3118">
        <v>-7700000</v>
      </c>
      <c r="E3118" t="s">
        <v>331</v>
      </c>
    </row>
    <row r="3119" spans="1:5" x14ac:dyDescent="0.25">
      <c r="A3119">
        <v>1860</v>
      </c>
      <c r="B3119" s="16">
        <v>44136</v>
      </c>
      <c r="C3119" t="s">
        <v>192</v>
      </c>
      <c r="D3119">
        <v>-7700000</v>
      </c>
      <c r="E3119" t="s">
        <v>331</v>
      </c>
    </row>
    <row r="3120" spans="1:5" x14ac:dyDescent="0.25">
      <c r="A3120">
        <v>1860</v>
      </c>
      <c r="B3120" s="16">
        <v>44166</v>
      </c>
      <c r="C3120" t="s">
        <v>192</v>
      </c>
      <c r="D3120">
        <v>-7700000</v>
      </c>
      <c r="E3120" t="s">
        <v>331</v>
      </c>
    </row>
    <row r="3121" spans="1:5" x14ac:dyDescent="0.25">
      <c r="A3121">
        <v>1860</v>
      </c>
      <c r="B3121" s="16">
        <v>44197</v>
      </c>
      <c r="C3121" t="s">
        <v>192</v>
      </c>
      <c r="D3121">
        <v>-7700000</v>
      </c>
      <c r="E3121" t="s">
        <v>331</v>
      </c>
    </row>
    <row r="3122" spans="1:5" x14ac:dyDescent="0.25">
      <c r="A3122">
        <v>1860</v>
      </c>
      <c r="B3122" s="16">
        <v>44228</v>
      </c>
      <c r="C3122" t="s">
        <v>192</v>
      </c>
      <c r="D3122">
        <v>-7700000</v>
      </c>
      <c r="E3122" t="s">
        <v>331</v>
      </c>
    </row>
    <row r="3123" spans="1:5" x14ac:dyDescent="0.25">
      <c r="A3123">
        <v>1860</v>
      </c>
      <c r="B3123" s="16">
        <v>44256</v>
      </c>
      <c r="C3123" t="s">
        <v>192</v>
      </c>
      <c r="D3123">
        <v>-7700000</v>
      </c>
      <c r="E3123" t="s">
        <v>331</v>
      </c>
    </row>
    <row r="3124" spans="1:5" x14ac:dyDescent="0.25">
      <c r="A3124">
        <v>1860</v>
      </c>
      <c r="B3124" s="16">
        <v>44287</v>
      </c>
      <c r="C3124" t="s">
        <v>192</v>
      </c>
      <c r="D3124">
        <v>-7700000</v>
      </c>
      <c r="E3124" t="s">
        <v>331</v>
      </c>
    </row>
    <row r="3125" spans="1:5" x14ac:dyDescent="0.25">
      <c r="A3125">
        <v>1861</v>
      </c>
      <c r="B3125" s="16">
        <v>43466</v>
      </c>
      <c r="C3125" t="s">
        <v>192</v>
      </c>
      <c r="D3125">
        <v>-64030000</v>
      </c>
      <c r="E3125" t="s">
        <v>331</v>
      </c>
    </row>
    <row r="3126" spans="1:5" x14ac:dyDescent="0.25">
      <c r="A3126">
        <v>1861</v>
      </c>
      <c r="B3126" s="16">
        <v>43497</v>
      </c>
      <c r="C3126" t="s">
        <v>192</v>
      </c>
      <c r="D3126">
        <v>-64030000</v>
      </c>
      <c r="E3126" t="s">
        <v>331</v>
      </c>
    </row>
    <row r="3127" spans="1:5" x14ac:dyDescent="0.25">
      <c r="A3127">
        <v>1861</v>
      </c>
      <c r="B3127" s="16">
        <v>43525</v>
      </c>
      <c r="C3127" t="s">
        <v>192</v>
      </c>
      <c r="D3127">
        <v>-64030000</v>
      </c>
      <c r="E3127" t="s">
        <v>331</v>
      </c>
    </row>
    <row r="3128" spans="1:5" x14ac:dyDescent="0.25">
      <c r="A3128">
        <v>1861</v>
      </c>
      <c r="B3128" s="16">
        <v>43466</v>
      </c>
      <c r="C3128" t="s">
        <v>192</v>
      </c>
      <c r="D3128">
        <v>-48811000</v>
      </c>
      <c r="E3128" t="s">
        <v>331</v>
      </c>
    </row>
    <row r="3129" spans="1:5" x14ac:dyDescent="0.25">
      <c r="A3129">
        <v>1861</v>
      </c>
      <c r="B3129" s="16">
        <v>43497</v>
      </c>
      <c r="C3129" t="s">
        <v>192</v>
      </c>
      <c r="D3129">
        <v>-48811000</v>
      </c>
      <c r="E3129" t="s">
        <v>331</v>
      </c>
    </row>
    <row r="3130" spans="1:5" x14ac:dyDescent="0.25">
      <c r="A3130">
        <v>1861</v>
      </c>
      <c r="B3130" s="16">
        <v>43525</v>
      </c>
      <c r="C3130" t="s">
        <v>192</v>
      </c>
      <c r="D3130">
        <v>-48811000</v>
      </c>
      <c r="E3130" t="s">
        <v>331</v>
      </c>
    </row>
    <row r="3131" spans="1:5" x14ac:dyDescent="0.25">
      <c r="A3131">
        <v>1861</v>
      </c>
      <c r="B3131" s="16">
        <v>43556</v>
      </c>
      <c r="C3131" t="s">
        <v>192</v>
      </c>
      <c r="D3131">
        <v>-48811000</v>
      </c>
      <c r="E3131" t="s">
        <v>331</v>
      </c>
    </row>
    <row r="3132" spans="1:5" x14ac:dyDescent="0.25">
      <c r="A3132">
        <v>1861</v>
      </c>
      <c r="B3132" s="16">
        <v>43586</v>
      </c>
      <c r="C3132" t="s">
        <v>192</v>
      </c>
      <c r="D3132">
        <v>-48811000</v>
      </c>
      <c r="E3132" t="s">
        <v>331</v>
      </c>
    </row>
    <row r="3133" spans="1:5" x14ac:dyDescent="0.25">
      <c r="A3133">
        <v>1861</v>
      </c>
      <c r="B3133" s="16">
        <v>43617</v>
      </c>
      <c r="C3133" t="s">
        <v>192</v>
      </c>
      <c r="D3133">
        <v>-48811000</v>
      </c>
      <c r="E3133" t="s">
        <v>331</v>
      </c>
    </row>
    <row r="3134" spans="1:5" x14ac:dyDescent="0.25">
      <c r="A3134">
        <v>1861</v>
      </c>
      <c r="B3134" s="16">
        <v>43647</v>
      </c>
      <c r="C3134" t="s">
        <v>192</v>
      </c>
      <c r="D3134">
        <v>-48811000</v>
      </c>
      <c r="E3134" t="s">
        <v>331</v>
      </c>
    </row>
    <row r="3135" spans="1:5" x14ac:dyDescent="0.25">
      <c r="A3135">
        <v>1861</v>
      </c>
      <c r="B3135" s="16">
        <v>43678</v>
      </c>
      <c r="C3135" t="s">
        <v>192</v>
      </c>
      <c r="D3135">
        <v>-48811000</v>
      </c>
      <c r="E3135" t="s">
        <v>331</v>
      </c>
    </row>
    <row r="3136" spans="1:5" x14ac:dyDescent="0.25">
      <c r="A3136">
        <v>1861</v>
      </c>
      <c r="B3136" s="16">
        <v>43709</v>
      </c>
      <c r="C3136" t="s">
        <v>192</v>
      </c>
      <c r="D3136">
        <v>-48811000</v>
      </c>
      <c r="E3136" t="s">
        <v>331</v>
      </c>
    </row>
    <row r="3137" spans="1:5" x14ac:dyDescent="0.25">
      <c r="A3137">
        <v>1861</v>
      </c>
      <c r="B3137" s="16">
        <v>43739</v>
      </c>
      <c r="C3137" t="s">
        <v>192</v>
      </c>
      <c r="D3137">
        <v>-48811000</v>
      </c>
      <c r="E3137" t="s">
        <v>331</v>
      </c>
    </row>
    <row r="3138" spans="1:5" x14ac:dyDescent="0.25">
      <c r="A3138">
        <v>1861</v>
      </c>
      <c r="B3138" s="16">
        <v>43770</v>
      </c>
      <c r="C3138" t="s">
        <v>192</v>
      </c>
      <c r="D3138">
        <v>-48811000</v>
      </c>
      <c r="E3138" t="s">
        <v>331</v>
      </c>
    </row>
    <row r="3139" spans="1:5" x14ac:dyDescent="0.25">
      <c r="A3139">
        <v>1861</v>
      </c>
      <c r="B3139" s="16">
        <v>43800</v>
      </c>
      <c r="C3139" t="s">
        <v>192</v>
      </c>
      <c r="D3139">
        <v>-48811000</v>
      </c>
      <c r="E3139" t="s">
        <v>331</v>
      </c>
    </row>
    <row r="3140" spans="1:5" x14ac:dyDescent="0.25">
      <c r="A3140">
        <v>1861</v>
      </c>
      <c r="B3140" s="16">
        <v>43831</v>
      </c>
      <c r="C3140" t="s">
        <v>192</v>
      </c>
      <c r="D3140">
        <v>-48811000</v>
      </c>
      <c r="E3140" t="s">
        <v>331</v>
      </c>
    </row>
    <row r="3141" spans="1:5" x14ac:dyDescent="0.25">
      <c r="A3141">
        <v>1861</v>
      </c>
      <c r="B3141" s="16">
        <v>43862</v>
      </c>
      <c r="C3141" t="s">
        <v>192</v>
      </c>
      <c r="D3141">
        <v>-48811000</v>
      </c>
      <c r="E3141" t="s">
        <v>331</v>
      </c>
    </row>
    <row r="3142" spans="1:5" x14ac:dyDescent="0.25">
      <c r="A3142">
        <v>1861</v>
      </c>
      <c r="B3142" s="16">
        <v>43891</v>
      </c>
      <c r="C3142" t="s">
        <v>192</v>
      </c>
      <c r="D3142">
        <v>-48811000</v>
      </c>
      <c r="E3142" t="s">
        <v>331</v>
      </c>
    </row>
    <row r="3143" spans="1:5" x14ac:dyDescent="0.25">
      <c r="A3143">
        <v>1861</v>
      </c>
      <c r="B3143" s="16">
        <v>43922</v>
      </c>
      <c r="C3143" t="s">
        <v>192</v>
      </c>
      <c r="D3143">
        <v>-48811000</v>
      </c>
      <c r="E3143" t="s">
        <v>331</v>
      </c>
    </row>
    <row r="3144" spans="1:5" x14ac:dyDescent="0.25">
      <c r="A3144">
        <v>1861</v>
      </c>
      <c r="B3144" s="16">
        <v>43952</v>
      </c>
      <c r="C3144" t="s">
        <v>192</v>
      </c>
      <c r="D3144">
        <v>-48811000</v>
      </c>
      <c r="E3144" t="s">
        <v>331</v>
      </c>
    </row>
    <row r="3145" spans="1:5" x14ac:dyDescent="0.25">
      <c r="A3145">
        <v>1861</v>
      </c>
      <c r="B3145" s="16">
        <v>43983</v>
      </c>
      <c r="C3145" t="s">
        <v>192</v>
      </c>
      <c r="D3145">
        <v>-48811000</v>
      </c>
      <c r="E3145" t="s">
        <v>331</v>
      </c>
    </row>
    <row r="3146" spans="1:5" x14ac:dyDescent="0.25">
      <c r="A3146">
        <v>1861</v>
      </c>
      <c r="B3146" s="16">
        <v>44013</v>
      </c>
      <c r="C3146" t="s">
        <v>192</v>
      </c>
      <c r="D3146">
        <v>-48811000</v>
      </c>
      <c r="E3146" t="s">
        <v>331</v>
      </c>
    </row>
    <row r="3147" spans="1:5" x14ac:dyDescent="0.25">
      <c r="A3147">
        <v>1861</v>
      </c>
      <c r="B3147" s="16">
        <v>44044</v>
      </c>
      <c r="C3147" t="s">
        <v>192</v>
      </c>
      <c r="D3147">
        <v>-48811000</v>
      </c>
      <c r="E3147" t="s">
        <v>331</v>
      </c>
    </row>
    <row r="3148" spans="1:5" x14ac:dyDescent="0.25">
      <c r="A3148">
        <v>1861</v>
      </c>
      <c r="B3148" s="16">
        <v>44075</v>
      </c>
      <c r="C3148" t="s">
        <v>192</v>
      </c>
      <c r="D3148">
        <v>-48811000</v>
      </c>
      <c r="E3148" t="s">
        <v>331</v>
      </c>
    </row>
    <row r="3149" spans="1:5" x14ac:dyDescent="0.25">
      <c r="A3149">
        <v>1861</v>
      </c>
      <c r="B3149" s="16">
        <v>44105</v>
      </c>
      <c r="C3149" t="s">
        <v>192</v>
      </c>
      <c r="D3149">
        <v>-48811000</v>
      </c>
      <c r="E3149" t="s">
        <v>331</v>
      </c>
    </row>
    <row r="3150" spans="1:5" x14ac:dyDescent="0.25">
      <c r="A3150">
        <v>1861</v>
      </c>
      <c r="B3150" s="16">
        <v>44136</v>
      </c>
      <c r="C3150" t="s">
        <v>192</v>
      </c>
      <c r="D3150">
        <v>-48811000</v>
      </c>
      <c r="E3150" t="s">
        <v>331</v>
      </c>
    </row>
    <row r="3151" spans="1:5" x14ac:dyDescent="0.25">
      <c r="A3151">
        <v>1861</v>
      </c>
      <c r="B3151" s="16">
        <v>44166</v>
      </c>
      <c r="C3151" t="s">
        <v>192</v>
      </c>
      <c r="D3151">
        <v>-48811000</v>
      </c>
      <c r="E3151" t="s">
        <v>331</v>
      </c>
    </row>
    <row r="3152" spans="1:5" x14ac:dyDescent="0.25">
      <c r="A3152">
        <v>1873</v>
      </c>
      <c r="B3152" s="16">
        <v>43466</v>
      </c>
      <c r="C3152" t="s">
        <v>192</v>
      </c>
      <c r="D3152">
        <v>-6950000</v>
      </c>
      <c r="E3152" t="s">
        <v>331</v>
      </c>
    </row>
    <row r="3153" spans="1:5" x14ac:dyDescent="0.25">
      <c r="A3153">
        <v>1873</v>
      </c>
      <c r="B3153" s="16">
        <v>43497</v>
      </c>
      <c r="C3153" t="s">
        <v>192</v>
      </c>
      <c r="D3153">
        <v>-6950000</v>
      </c>
      <c r="E3153" t="s">
        <v>331</v>
      </c>
    </row>
    <row r="3154" spans="1:5" x14ac:dyDescent="0.25">
      <c r="A3154">
        <v>1873</v>
      </c>
      <c r="B3154" s="16">
        <v>43525</v>
      </c>
      <c r="C3154" t="s">
        <v>192</v>
      </c>
      <c r="D3154">
        <v>-6950000</v>
      </c>
      <c r="E3154" t="s">
        <v>331</v>
      </c>
    </row>
    <row r="3155" spans="1:5" x14ac:dyDescent="0.25">
      <c r="A3155">
        <v>1873</v>
      </c>
      <c r="B3155" s="16">
        <v>43556</v>
      </c>
      <c r="C3155" t="s">
        <v>192</v>
      </c>
      <c r="D3155">
        <v>-6950000</v>
      </c>
      <c r="E3155" t="s">
        <v>331</v>
      </c>
    </row>
    <row r="3156" spans="1:5" x14ac:dyDescent="0.25">
      <c r="A3156">
        <v>1873</v>
      </c>
      <c r="B3156" s="16">
        <v>43586</v>
      </c>
      <c r="C3156" t="s">
        <v>192</v>
      </c>
      <c r="D3156">
        <v>-6950000</v>
      </c>
      <c r="E3156" t="s">
        <v>331</v>
      </c>
    </row>
    <row r="3157" spans="1:5" x14ac:dyDescent="0.25">
      <c r="A3157">
        <v>1873</v>
      </c>
      <c r="B3157" s="16">
        <v>43617</v>
      </c>
      <c r="C3157" t="s">
        <v>192</v>
      </c>
      <c r="D3157">
        <v>-6950000</v>
      </c>
      <c r="E3157" t="s">
        <v>331</v>
      </c>
    </row>
    <row r="3158" spans="1:5" x14ac:dyDescent="0.25">
      <c r="A3158">
        <v>1873</v>
      </c>
      <c r="B3158" s="16">
        <v>43647</v>
      </c>
      <c r="C3158" t="s">
        <v>192</v>
      </c>
      <c r="D3158">
        <v>-6950000</v>
      </c>
      <c r="E3158" t="s">
        <v>331</v>
      </c>
    </row>
    <row r="3159" spans="1:5" x14ac:dyDescent="0.25">
      <c r="A3159">
        <v>1873</v>
      </c>
      <c r="B3159" s="16">
        <v>43678</v>
      </c>
      <c r="C3159" t="s">
        <v>192</v>
      </c>
      <c r="D3159">
        <v>-6950000</v>
      </c>
      <c r="E3159" t="s">
        <v>331</v>
      </c>
    </row>
    <row r="3160" spans="1:5" x14ac:dyDescent="0.25">
      <c r="A3160">
        <v>1873</v>
      </c>
      <c r="B3160" s="16">
        <v>43709</v>
      </c>
      <c r="C3160" t="s">
        <v>192</v>
      </c>
      <c r="D3160">
        <v>-6950000</v>
      </c>
      <c r="E3160" t="s">
        <v>331</v>
      </c>
    </row>
    <row r="3161" spans="1:5" x14ac:dyDescent="0.25">
      <c r="A3161">
        <v>1873</v>
      </c>
      <c r="B3161" s="16">
        <v>43739</v>
      </c>
      <c r="C3161" t="s">
        <v>192</v>
      </c>
      <c r="D3161">
        <v>-6950000</v>
      </c>
      <c r="E3161" t="s">
        <v>331</v>
      </c>
    </row>
    <row r="3162" spans="1:5" x14ac:dyDescent="0.25">
      <c r="A3162">
        <v>1873</v>
      </c>
      <c r="B3162" s="16">
        <v>43770</v>
      </c>
      <c r="C3162" t="s">
        <v>192</v>
      </c>
      <c r="D3162">
        <v>-6950000</v>
      </c>
      <c r="E3162" t="s">
        <v>331</v>
      </c>
    </row>
    <row r="3163" spans="1:5" x14ac:dyDescent="0.25">
      <c r="A3163">
        <v>1873</v>
      </c>
      <c r="B3163" s="16">
        <v>43800</v>
      </c>
      <c r="C3163" t="s">
        <v>192</v>
      </c>
      <c r="D3163">
        <v>-6950000</v>
      </c>
      <c r="E3163" t="s">
        <v>331</v>
      </c>
    </row>
    <row r="3164" spans="1:5" x14ac:dyDescent="0.25">
      <c r="A3164">
        <v>1874</v>
      </c>
      <c r="B3164" s="16">
        <v>43466</v>
      </c>
      <c r="C3164" t="s">
        <v>192</v>
      </c>
      <c r="D3164">
        <v>-19400000</v>
      </c>
      <c r="E3164" t="s">
        <v>331</v>
      </c>
    </row>
    <row r="3165" spans="1:5" x14ac:dyDescent="0.25">
      <c r="A3165">
        <v>1874</v>
      </c>
      <c r="B3165" s="16">
        <v>43497</v>
      </c>
      <c r="C3165" t="s">
        <v>192</v>
      </c>
      <c r="D3165">
        <v>-19400000</v>
      </c>
      <c r="E3165" t="s">
        <v>331</v>
      </c>
    </row>
    <row r="3166" spans="1:5" x14ac:dyDescent="0.25">
      <c r="A3166">
        <v>1874</v>
      </c>
      <c r="B3166" s="16">
        <v>43525</v>
      </c>
      <c r="C3166" t="s">
        <v>192</v>
      </c>
      <c r="D3166">
        <v>-19400000</v>
      </c>
      <c r="E3166" t="s">
        <v>331</v>
      </c>
    </row>
    <row r="3167" spans="1:5" x14ac:dyDescent="0.25">
      <c r="A3167">
        <v>1874</v>
      </c>
      <c r="B3167" s="16">
        <v>43556</v>
      </c>
      <c r="C3167" t="s">
        <v>192</v>
      </c>
      <c r="D3167">
        <v>-19400000</v>
      </c>
      <c r="E3167" t="s">
        <v>331</v>
      </c>
    </row>
    <row r="3168" spans="1:5" x14ac:dyDescent="0.25">
      <c r="A3168">
        <v>1874</v>
      </c>
      <c r="B3168" s="16">
        <v>43586</v>
      </c>
      <c r="C3168" t="s">
        <v>192</v>
      </c>
      <c r="D3168">
        <v>-19400000</v>
      </c>
      <c r="E3168" t="s">
        <v>331</v>
      </c>
    </row>
    <row r="3169" spans="1:5" x14ac:dyDescent="0.25">
      <c r="A3169">
        <v>1874</v>
      </c>
      <c r="B3169" s="16">
        <v>43617</v>
      </c>
      <c r="C3169" t="s">
        <v>192</v>
      </c>
      <c r="D3169">
        <v>-19400000</v>
      </c>
      <c r="E3169" t="s">
        <v>331</v>
      </c>
    </row>
    <row r="3170" spans="1:5" x14ac:dyDescent="0.25">
      <c r="A3170">
        <v>1874</v>
      </c>
      <c r="B3170" s="16">
        <v>43647</v>
      </c>
      <c r="C3170" t="s">
        <v>192</v>
      </c>
      <c r="D3170">
        <v>-19400000</v>
      </c>
      <c r="E3170" t="s">
        <v>331</v>
      </c>
    </row>
    <row r="3171" spans="1:5" x14ac:dyDescent="0.25">
      <c r="A3171">
        <v>1874</v>
      </c>
      <c r="B3171" s="16">
        <v>43678</v>
      </c>
      <c r="C3171" t="s">
        <v>192</v>
      </c>
      <c r="D3171">
        <v>-19400000</v>
      </c>
      <c r="E3171" t="s">
        <v>331</v>
      </c>
    </row>
    <row r="3172" spans="1:5" x14ac:dyDescent="0.25">
      <c r="A3172">
        <v>1874</v>
      </c>
      <c r="B3172" s="16">
        <v>43709</v>
      </c>
      <c r="C3172" t="s">
        <v>192</v>
      </c>
      <c r="D3172">
        <v>-19400000</v>
      </c>
      <c r="E3172" t="s">
        <v>331</v>
      </c>
    </row>
    <row r="3173" spans="1:5" x14ac:dyDescent="0.25">
      <c r="A3173">
        <v>1874</v>
      </c>
      <c r="B3173" s="16">
        <v>43739</v>
      </c>
      <c r="C3173" t="s">
        <v>192</v>
      </c>
      <c r="D3173">
        <v>-19400000</v>
      </c>
      <c r="E3173" t="s">
        <v>331</v>
      </c>
    </row>
    <row r="3174" spans="1:5" x14ac:dyDescent="0.25">
      <c r="A3174">
        <v>1883</v>
      </c>
      <c r="B3174" s="16">
        <v>43466</v>
      </c>
      <c r="C3174" t="s">
        <v>192</v>
      </c>
      <c r="D3174">
        <v>-11029019</v>
      </c>
      <c r="E3174" t="s">
        <v>331</v>
      </c>
    </row>
    <row r="3175" spans="1:5" x14ac:dyDescent="0.25">
      <c r="A3175">
        <v>1883</v>
      </c>
      <c r="B3175" s="16">
        <v>43497</v>
      </c>
      <c r="C3175" t="s">
        <v>192</v>
      </c>
      <c r="D3175">
        <v>-11029019</v>
      </c>
      <c r="E3175" t="s">
        <v>331</v>
      </c>
    </row>
    <row r="3176" spans="1:5" x14ac:dyDescent="0.25">
      <c r="A3176">
        <v>1883</v>
      </c>
      <c r="B3176" s="16">
        <v>43525</v>
      </c>
      <c r="C3176" t="s">
        <v>192</v>
      </c>
      <c r="D3176">
        <v>-11029019</v>
      </c>
      <c r="E3176" t="s">
        <v>331</v>
      </c>
    </row>
    <row r="3177" spans="1:5" x14ac:dyDescent="0.25">
      <c r="A3177">
        <v>1883</v>
      </c>
      <c r="B3177" s="16">
        <v>43556</v>
      </c>
      <c r="C3177" t="s">
        <v>192</v>
      </c>
      <c r="D3177">
        <v>-11029019</v>
      </c>
      <c r="E3177" t="s">
        <v>331</v>
      </c>
    </row>
    <row r="3178" spans="1:5" x14ac:dyDescent="0.25">
      <c r="A3178">
        <v>1883</v>
      </c>
      <c r="B3178" s="16">
        <v>43586</v>
      </c>
      <c r="C3178" t="s">
        <v>192</v>
      </c>
      <c r="D3178">
        <v>-11029019</v>
      </c>
      <c r="E3178" t="s">
        <v>331</v>
      </c>
    </row>
    <row r="3179" spans="1:5" x14ac:dyDescent="0.25">
      <c r="A3179">
        <v>1883</v>
      </c>
      <c r="B3179" s="16">
        <v>43617</v>
      </c>
      <c r="C3179" t="s">
        <v>192</v>
      </c>
      <c r="D3179">
        <v>-11029019</v>
      </c>
      <c r="E3179" t="s">
        <v>331</v>
      </c>
    </row>
    <row r="3180" spans="1:5" x14ac:dyDescent="0.25">
      <c r="A3180">
        <v>1883</v>
      </c>
      <c r="B3180" s="16">
        <v>43647</v>
      </c>
      <c r="C3180" t="s">
        <v>192</v>
      </c>
      <c r="D3180">
        <v>-11029019</v>
      </c>
      <c r="E3180" t="s">
        <v>331</v>
      </c>
    </row>
    <row r="3181" spans="1:5" x14ac:dyDescent="0.25">
      <c r="A3181">
        <v>1883</v>
      </c>
      <c r="B3181" s="16">
        <v>43678</v>
      </c>
      <c r="C3181" t="s">
        <v>192</v>
      </c>
      <c r="D3181">
        <v>-11029019</v>
      </c>
      <c r="E3181" t="s">
        <v>331</v>
      </c>
    </row>
    <row r="3182" spans="1:5" x14ac:dyDescent="0.25">
      <c r="A3182">
        <v>1883</v>
      </c>
      <c r="B3182" s="16">
        <v>43709</v>
      </c>
      <c r="C3182" t="s">
        <v>192</v>
      </c>
      <c r="D3182">
        <v>-11029019</v>
      </c>
      <c r="E3182" t="s">
        <v>331</v>
      </c>
    </row>
    <row r="3183" spans="1:5" x14ac:dyDescent="0.25">
      <c r="A3183">
        <v>1883</v>
      </c>
      <c r="B3183" s="16">
        <v>43739</v>
      </c>
      <c r="C3183" t="s">
        <v>192</v>
      </c>
      <c r="D3183">
        <v>-11029019</v>
      </c>
      <c r="E3183" t="s">
        <v>331</v>
      </c>
    </row>
    <row r="3184" spans="1:5" x14ac:dyDescent="0.25">
      <c r="A3184">
        <v>1883</v>
      </c>
      <c r="B3184" s="16">
        <v>43770</v>
      </c>
      <c r="C3184" t="s">
        <v>192</v>
      </c>
      <c r="D3184">
        <v>-11029019</v>
      </c>
      <c r="E3184" t="s">
        <v>331</v>
      </c>
    </row>
    <row r="3185" spans="1:5" x14ac:dyDescent="0.25">
      <c r="A3185">
        <v>1883</v>
      </c>
      <c r="B3185" s="16">
        <v>43800</v>
      </c>
      <c r="C3185" t="s">
        <v>192</v>
      </c>
      <c r="D3185">
        <v>-11029019</v>
      </c>
      <c r="E3185" t="s">
        <v>331</v>
      </c>
    </row>
    <row r="3186" spans="1:5" x14ac:dyDescent="0.25">
      <c r="A3186">
        <v>1883</v>
      </c>
      <c r="B3186" s="16">
        <v>43831</v>
      </c>
      <c r="C3186" t="s">
        <v>192</v>
      </c>
      <c r="D3186">
        <v>-11029019</v>
      </c>
      <c r="E3186" t="s">
        <v>331</v>
      </c>
    </row>
    <row r="3187" spans="1:5" x14ac:dyDescent="0.25">
      <c r="A3187">
        <v>1883</v>
      </c>
      <c r="B3187" s="16">
        <v>43862</v>
      </c>
      <c r="C3187" t="s">
        <v>192</v>
      </c>
      <c r="D3187">
        <v>-11029019</v>
      </c>
      <c r="E3187" t="s">
        <v>331</v>
      </c>
    </row>
    <row r="3188" spans="1:5" x14ac:dyDescent="0.25">
      <c r="A3188">
        <v>1883</v>
      </c>
      <c r="B3188" s="16">
        <v>43891</v>
      </c>
      <c r="C3188" t="s">
        <v>192</v>
      </c>
      <c r="D3188">
        <v>-11029019</v>
      </c>
      <c r="E3188" t="s">
        <v>331</v>
      </c>
    </row>
    <row r="3189" spans="1:5" x14ac:dyDescent="0.25">
      <c r="A3189">
        <v>1883</v>
      </c>
      <c r="B3189" s="16">
        <v>43922</v>
      </c>
      <c r="C3189" t="s">
        <v>192</v>
      </c>
      <c r="D3189">
        <v>-11029019</v>
      </c>
      <c r="E3189" t="s">
        <v>331</v>
      </c>
    </row>
    <row r="3190" spans="1:5" x14ac:dyDescent="0.25">
      <c r="A3190">
        <v>1883</v>
      </c>
      <c r="B3190" s="16">
        <v>43952</v>
      </c>
      <c r="C3190" t="s">
        <v>192</v>
      </c>
      <c r="D3190">
        <v>-11029019</v>
      </c>
      <c r="E3190" t="s">
        <v>331</v>
      </c>
    </row>
    <row r="3191" spans="1:5" x14ac:dyDescent="0.25">
      <c r="A3191">
        <v>1883</v>
      </c>
      <c r="B3191" s="16">
        <v>43983</v>
      </c>
      <c r="C3191" t="s">
        <v>192</v>
      </c>
      <c r="D3191">
        <v>-11029019</v>
      </c>
      <c r="E3191" t="s">
        <v>331</v>
      </c>
    </row>
    <row r="3192" spans="1:5" x14ac:dyDescent="0.25">
      <c r="A3192">
        <v>1883</v>
      </c>
      <c r="B3192" s="16">
        <v>44013</v>
      </c>
      <c r="C3192" t="s">
        <v>192</v>
      </c>
      <c r="D3192">
        <v>-11029019</v>
      </c>
      <c r="E3192" t="s">
        <v>331</v>
      </c>
    </row>
    <row r="3193" spans="1:5" x14ac:dyDescent="0.25">
      <c r="A3193">
        <v>1883</v>
      </c>
      <c r="B3193" s="16">
        <v>44044</v>
      </c>
      <c r="C3193" t="s">
        <v>192</v>
      </c>
      <c r="D3193">
        <v>-11029019</v>
      </c>
      <c r="E3193" t="s">
        <v>331</v>
      </c>
    </row>
    <row r="3194" spans="1:5" x14ac:dyDescent="0.25">
      <c r="A3194">
        <v>1883</v>
      </c>
      <c r="B3194" s="16">
        <v>44075</v>
      </c>
      <c r="C3194" t="s">
        <v>192</v>
      </c>
      <c r="D3194">
        <v>-11029019</v>
      </c>
      <c r="E3194" t="s">
        <v>331</v>
      </c>
    </row>
    <row r="3195" spans="1:5" x14ac:dyDescent="0.25">
      <c r="A3195">
        <v>1883</v>
      </c>
      <c r="B3195" s="16">
        <v>44105</v>
      </c>
      <c r="C3195" t="s">
        <v>192</v>
      </c>
      <c r="D3195">
        <v>-11029019</v>
      </c>
      <c r="E3195" t="s">
        <v>331</v>
      </c>
    </row>
    <row r="3196" spans="1:5" x14ac:dyDescent="0.25">
      <c r="A3196">
        <v>1883</v>
      </c>
      <c r="B3196" s="16">
        <v>44136</v>
      </c>
      <c r="C3196" t="s">
        <v>192</v>
      </c>
      <c r="D3196">
        <v>-11029019</v>
      </c>
      <c r="E3196" t="s">
        <v>331</v>
      </c>
    </row>
    <row r="3197" spans="1:5" x14ac:dyDescent="0.25">
      <c r="A3197">
        <v>1883</v>
      </c>
      <c r="B3197" s="16">
        <v>44166</v>
      </c>
      <c r="C3197" t="s">
        <v>192</v>
      </c>
      <c r="D3197">
        <v>-11029019</v>
      </c>
      <c r="E3197" t="s">
        <v>331</v>
      </c>
    </row>
    <row r="3198" spans="1:5" x14ac:dyDescent="0.25">
      <c r="A3198">
        <v>1883</v>
      </c>
      <c r="B3198" s="16">
        <v>44197</v>
      </c>
      <c r="C3198" t="s">
        <v>192</v>
      </c>
      <c r="D3198">
        <v>-11029019</v>
      </c>
      <c r="E3198" t="s">
        <v>331</v>
      </c>
    </row>
    <row r="3199" spans="1:5" x14ac:dyDescent="0.25">
      <c r="A3199">
        <v>1883</v>
      </c>
      <c r="B3199" s="16">
        <v>44228</v>
      </c>
      <c r="C3199" t="s">
        <v>192</v>
      </c>
      <c r="D3199">
        <v>-11029019</v>
      </c>
      <c r="E3199" t="s">
        <v>331</v>
      </c>
    </row>
    <row r="3200" spans="1:5" x14ac:dyDescent="0.25">
      <c r="A3200">
        <v>1884</v>
      </c>
      <c r="B3200" s="16">
        <v>43466</v>
      </c>
      <c r="C3200" t="s">
        <v>192</v>
      </c>
      <c r="D3200">
        <v>-10920000</v>
      </c>
      <c r="E3200" t="s">
        <v>331</v>
      </c>
    </row>
    <row r="3201" spans="1:5" x14ac:dyDescent="0.25">
      <c r="A3201">
        <v>1884</v>
      </c>
      <c r="B3201" s="16">
        <v>43497</v>
      </c>
      <c r="C3201" t="s">
        <v>192</v>
      </c>
      <c r="D3201">
        <v>-10920000</v>
      </c>
      <c r="E3201" t="s">
        <v>331</v>
      </c>
    </row>
    <row r="3202" spans="1:5" x14ac:dyDescent="0.25">
      <c r="A3202">
        <v>1884</v>
      </c>
      <c r="B3202" s="16">
        <v>43525</v>
      </c>
      <c r="C3202" t="s">
        <v>192</v>
      </c>
      <c r="D3202">
        <v>-10920000</v>
      </c>
      <c r="E3202" t="s">
        <v>331</v>
      </c>
    </row>
    <row r="3203" spans="1:5" x14ac:dyDescent="0.25">
      <c r="A3203">
        <v>1884</v>
      </c>
      <c r="B3203" s="16">
        <v>43556</v>
      </c>
      <c r="C3203" t="s">
        <v>192</v>
      </c>
      <c r="D3203">
        <v>-10920000</v>
      </c>
      <c r="E3203" t="s">
        <v>331</v>
      </c>
    </row>
    <row r="3204" spans="1:5" x14ac:dyDescent="0.25">
      <c r="A3204">
        <v>1884</v>
      </c>
      <c r="B3204" s="16">
        <v>43586</v>
      </c>
      <c r="C3204" t="s">
        <v>192</v>
      </c>
      <c r="D3204">
        <v>-10920000</v>
      </c>
      <c r="E3204" t="s">
        <v>331</v>
      </c>
    </row>
    <row r="3205" spans="1:5" x14ac:dyDescent="0.25">
      <c r="A3205">
        <v>1884</v>
      </c>
      <c r="B3205" s="16">
        <v>43617</v>
      </c>
      <c r="C3205" t="s">
        <v>192</v>
      </c>
      <c r="D3205">
        <v>-10920000</v>
      </c>
      <c r="E3205" t="s">
        <v>331</v>
      </c>
    </row>
    <row r="3206" spans="1:5" x14ac:dyDescent="0.25">
      <c r="A3206">
        <v>1884</v>
      </c>
      <c r="B3206" s="16">
        <v>43647</v>
      </c>
      <c r="C3206" t="s">
        <v>192</v>
      </c>
      <c r="D3206">
        <v>-10920000</v>
      </c>
      <c r="E3206" t="s">
        <v>331</v>
      </c>
    </row>
    <row r="3207" spans="1:5" x14ac:dyDescent="0.25">
      <c r="A3207">
        <v>1884</v>
      </c>
      <c r="B3207" s="16">
        <v>43678</v>
      </c>
      <c r="C3207" t="s">
        <v>192</v>
      </c>
      <c r="D3207">
        <v>-10920000</v>
      </c>
      <c r="E3207" t="s">
        <v>331</v>
      </c>
    </row>
    <row r="3208" spans="1:5" x14ac:dyDescent="0.25">
      <c r="A3208">
        <v>1884</v>
      </c>
      <c r="B3208" s="16">
        <v>43709</v>
      </c>
      <c r="C3208" t="s">
        <v>192</v>
      </c>
      <c r="D3208">
        <v>-10920000</v>
      </c>
      <c r="E3208" t="s">
        <v>331</v>
      </c>
    </row>
    <row r="3209" spans="1:5" x14ac:dyDescent="0.25">
      <c r="A3209">
        <v>1884</v>
      </c>
      <c r="B3209" s="16">
        <v>43739</v>
      </c>
      <c r="C3209" t="s">
        <v>192</v>
      </c>
      <c r="D3209">
        <v>-10920000</v>
      </c>
      <c r="E3209" t="s">
        <v>331</v>
      </c>
    </row>
    <row r="3210" spans="1:5" x14ac:dyDescent="0.25">
      <c r="A3210">
        <v>1884</v>
      </c>
      <c r="B3210" s="16">
        <v>43770</v>
      </c>
      <c r="C3210" t="s">
        <v>192</v>
      </c>
      <c r="D3210">
        <v>-10920000</v>
      </c>
      <c r="E3210" t="s">
        <v>331</v>
      </c>
    </row>
    <row r="3211" spans="1:5" x14ac:dyDescent="0.25">
      <c r="A3211">
        <v>1884</v>
      </c>
      <c r="B3211" s="16">
        <v>43800</v>
      </c>
      <c r="C3211" t="s">
        <v>192</v>
      </c>
      <c r="D3211">
        <v>-10920000</v>
      </c>
      <c r="E3211" t="s">
        <v>331</v>
      </c>
    </row>
    <row r="3212" spans="1:5" x14ac:dyDescent="0.25">
      <c r="A3212">
        <v>1884</v>
      </c>
      <c r="B3212" s="16">
        <v>43831</v>
      </c>
      <c r="C3212" t="s">
        <v>192</v>
      </c>
      <c r="D3212">
        <v>-10920000</v>
      </c>
      <c r="E3212" t="s">
        <v>331</v>
      </c>
    </row>
    <row r="3213" spans="1:5" x14ac:dyDescent="0.25">
      <c r="A3213">
        <v>1881</v>
      </c>
      <c r="B3213" s="16">
        <v>43466</v>
      </c>
      <c r="C3213" t="s">
        <v>192</v>
      </c>
      <c r="D3213">
        <v>-8200000</v>
      </c>
      <c r="E3213" t="s">
        <v>331</v>
      </c>
    </row>
    <row r="3214" spans="1:5" x14ac:dyDescent="0.25">
      <c r="A3214">
        <v>1881</v>
      </c>
      <c r="B3214" s="16">
        <v>43497</v>
      </c>
      <c r="C3214" t="s">
        <v>192</v>
      </c>
      <c r="D3214">
        <v>-8200000</v>
      </c>
      <c r="E3214" t="s">
        <v>331</v>
      </c>
    </row>
    <row r="3215" spans="1:5" x14ac:dyDescent="0.25">
      <c r="A3215">
        <v>1881</v>
      </c>
      <c r="B3215" s="16">
        <v>43525</v>
      </c>
      <c r="C3215" t="s">
        <v>192</v>
      </c>
      <c r="D3215">
        <v>-8200000</v>
      </c>
      <c r="E3215" t="s">
        <v>331</v>
      </c>
    </row>
    <row r="3216" spans="1:5" x14ac:dyDescent="0.25">
      <c r="A3216">
        <v>1881</v>
      </c>
      <c r="B3216" s="16">
        <v>43556</v>
      </c>
      <c r="C3216" t="s">
        <v>192</v>
      </c>
      <c r="D3216">
        <v>-8200000</v>
      </c>
      <c r="E3216" t="s">
        <v>331</v>
      </c>
    </row>
    <row r="3217" spans="1:5" x14ac:dyDescent="0.25">
      <c r="A3217">
        <v>1881</v>
      </c>
      <c r="B3217" s="16">
        <v>43586</v>
      </c>
      <c r="C3217" t="s">
        <v>192</v>
      </c>
      <c r="D3217">
        <v>-8200000</v>
      </c>
      <c r="E3217" t="s">
        <v>331</v>
      </c>
    </row>
    <row r="3218" spans="1:5" x14ac:dyDescent="0.25">
      <c r="A3218">
        <v>1881</v>
      </c>
      <c r="B3218" s="16">
        <v>43617</v>
      </c>
      <c r="C3218" t="s">
        <v>192</v>
      </c>
      <c r="D3218">
        <v>-8200000</v>
      </c>
      <c r="E3218" t="s">
        <v>331</v>
      </c>
    </row>
    <row r="3219" spans="1:5" x14ac:dyDescent="0.25">
      <c r="A3219">
        <v>1881</v>
      </c>
      <c r="B3219" s="16">
        <v>43647</v>
      </c>
      <c r="C3219" t="s">
        <v>192</v>
      </c>
      <c r="D3219">
        <v>-8200000</v>
      </c>
      <c r="E3219" t="s">
        <v>331</v>
      </c>
    </row>
    <row r="3220" spans="1:5" x14ac:dyDescent="0.25">
      <c r="A3220">
        <v>1881</v>
      </c>
      <c r="B3220" s="16">
        <v>43678</v>
      </c>
      <c r="C3220" t="s">
        <v>192</v>
      </c>
      <c r="D3220">
        <v>-8200000</v>
      </c>
      <c r="E3220" t="s">
        <v>331</v>
      </c>
    </row>
    <row r="3221" spans="1:5" x14ac:dyDescent="0.25">
      <c r="A3221">
        <v>1881</v>
      </c>
      <c r="B3221" s="16">
        <v>43709</v>
      </c>
      <c r="C3221" t="s">
        <v>192</v>
      </c>
      <c r="D3221">
        <v>-8200000</v>
      </c>
      <c r="E3221" t="s">
        <v>331</v>
      </c>
    </row>
    <row r="3222" spans="1:5" x14ac:dyDescent="0.25">
      <c r="A3222">
        <v>1881</v>
      </c>
      <c r="B3222" s="16">
        <v>43739</v>
      </c>
      <c r="C3222" t="s">
        <v>192</v>
      </c>
      <c r="D3222">
        <v>-8200000</v>
      </c>
      <c r="E3222" t="s">
        <v>331</v>
      </c>
    </row>
    <row r="3223" spans="1:5" x14ac:dyDescent="0.25">
      <c r="A3223">
        <v>1881</v>
      </c>
      <c r="B3223" s="16">
        <v>43770</v>
      </c>
      <c r="C3223" t="s">
        <v>192</v>
      </c>
      <c r="D3223">
        <v>-8200000</v>
      </c>
      <c r="E3223" t="s">
        <v>331</v>
      </c>
    </row>
    <row r="3224" spans="1:5" x14ac:dyDescent="0.25">
      <c r="A3224">
        <v>1881</v>
      </c>
      <c r="B3224" s="16">
        <v>43800</v>
      </c>
      <c r="C3224" t="s">
        <v>192</v>
      </c>
      <c r="D3224">
        <v>-8200000</v>
      </c>
      <c r="E3224" t="s">
        <v>331</v>
      </c>
    </row>
    <row r="3225" spans="1:5" x14ac:dyDescent="0.25">
      <c r="A3225">
        <v>1881</v>
      </c>
      <c r="B3225" s="16">
        <v>43831</v>
      </c>
      <c r="C3225" t="s">
        <v>192</v>
      </c>
      <c r="D3225">
        <v>-8200000</v>
      </c>
      <c r="E3225" t="s">
        <v>331</v>
      </c>
    </row>
    <row r="3226" spans="1:5" x14ac:dyDescent="0.25">
      <c r="A3226">
        <v>1881</v>
      </c>
      <c r="B3226" s="16">
        <v>43862</v>
      </c>
      <c r="C3226" t="s">
        <v>192</v>
      </c>
      <c r="D3226">
        <v>-8200000</v>
      </c>
      <c r="E3226" t="s">
        <v>331</v>
      </c>
    </row>
    <row r="3227" spans="1:5" x14ac:dyDescent="0.25">
      <c r="A3227">
        <v>1881</v>
      </c>
      <c r="B3227" s="16">
        <v>43891</v>
      </c>
      <c r="C3227" t="s">
        <v>192</v>
      </c>
      <c r="D3227">
        <v>-8200000</v>
      </c>
      <c r="E3227" t="s">
        <v>331</v>
      </c>
    </row>
    <row r="3228" spans="1:5" x14ac:dyDescent="0.25">
      <c r="A3228">
        <v>1881</v>
      </c>
      <c r="B3228" s="16">
        <v>43922</v>
      </c>
      <c r="C3228" t="s">
        <v>192</v>
      </c>
      <c r="D3228">
        <v>-8200000</v>
      </c>
      <c r="E3228" t="s">
        <v>331</v>
      </c>
    </row>
    <row r="3229" spans="1:5" x14ac:dyDescent="0.25">
      <c r="A3229">
        <v>1881</v>
      </c>
      <c r="B3229" s="16">
        <v>43952</v>
      </c>
      <c r="C3229" t="s">
        <v>192</v>
      </c>
      <c r="D3229">
        <v>-8200000</v>
      </c>
      <c r="E3229" t="s">
        <v>331</v>
      </c>
    </row>
    <row r="3230" spans="1:5" x14ac:dyDescent="0.25">
      <c r="A3230">
        <v>1881</v>
      </c>
      <c r="B3230" s="16">
        <v>43983</v>
      </c>
      <c r="C3230" t="s">
        <v>192</v>
      </c>
      <c r="D3230">
        <v>-8200000</v>
      </c>
      <c r="E3230" t="s">
        <v>331</v>
      </c>
    </row>
    <row r="3231" spans="1:5" x14ac:dyDescent="0.25">
      <c r="A3231">
        <v>1881</v>
      </c>
      <c r="B3231" s="16">
        <v>44013</v>
      </c>
      <c r="C3231" t="s">
        <v>192</v>
      </c>
      <c r="D3231">
        <v>-8200000</v>
      </c>
      <c r="E3231" t="s">
        <v>331</v>
      </c>
    </row>
    <row r="3232" spans="1:5" x14ac:dyDescent="0.25">
      <c r="A3232">
        <v>1880</v>
      </c>
      <c r="B3232" s="16">
        <v>43466</v>
      </c>
      <c r="C3232" t="s">
        <v>192</v>
      </c>
      <c r="D3232">
        <v>-9080000</v>
      </c>
      <c r="E3232" t="s">
        <v>331</v>
      </c>
    </row>
    <row r="3233" spans="1:5" x14ac:dyDescent="0.25">
      <c r="A3233">
        <v>1880</v>
      </c>
      <c r="B3233" s="16">
        <v>43497</v>
      </c>
      <c r="C3233" t="s">
        <v>192</v>
      </c>
      <c r="D3233">
        <v>-9080000</v>
      </c>
      <c r="E3233" t="s">
        <v>331</v>
      </c>
    </row>
    <row r="3234" spans="1:5" x14ac:dyDescent="0.25">
      <c r="A3234">
        <v>1880</v>
      </c>
      <c r="B3234" s="16">
        <v>43525</v>
      </c>
      <c r="C3234" t="s">
        <v>192</v>
      </c>
      <c r="D3234">
        <v>-9080000</v>
      </c>
      <c r="E3234" t="s">
        <v>331</v>
      </c>
    </row>
    <row r="3235" spans="1:5" x14ac:dyDescent="0.25">
      <c r="A3235">
        <v>1880</v>
      </c>
      <c r="B3235" s="16">
        <v>43556</v>
      </c>
      <c r="C3235" t="s">
        <v>192</v>
      </c>
      <c r="D3235">
        <v>-9080000</v>
      </c>
      <c r="E3235" t="s">
        <v>331</v>
      </c>
    </row>
    <row r="3236" spans="1:5" x14ac:dyDescent="0.25">
      <c r="A3236">
        <v>1880</v>
      </c>
      <c r="B3236" s="16">
        <v>43586</v>
      </c>
      <c r="C3236" t="s">
        <v>192</v>
      </c>
      <c r="D3236">
        <v>-9080000</v>
      </c>
      <c r="E3236" t="s">
        <v>331</v>
      </c>
    </row>
    <row r="3237" spans="1:5" x14ac:dyDescent="0.25">
      <c r="A3237">
        <v>1880</v>
      </c>
      <c r="B3237" s="16">
        <v>43617</v>
      </c>
      <c r="C3237" t="s">
        <v>192</v>
      </c>
      <c r="D3237">
        <v>-9080000</v>
      </c>
      <c r="E3237" t="s">
        <v>331</v>
      </c>
    </row>
    <row r="3238" spans="1:5" x14ac:dyDescent="0.25">
      <c r="A3238">
        <v>1877</v>
      </c>
      <c r="B3238" s="16">
        <v>43466</v>
      </c>
      <c r="C3238" t="s">
        <v>192</v>
      </c>
      <c r="D3238">
        <v>-27800000</v>
      </c>
      <c r="E3238" t="s">
        <v>331</v>
      </c>
    </row>
    <row r="3239" spans="1:5" x14ac:dyDescent="0.25">
      <c r="A3239">
        <v>1877</v>
      </c>
      <c r="B3239" s="16">
        <v>43497</v>
      </c>
      <c r="C3239" t="s">
        <v>192</v>
      </c>
      <c r="D3239">
        <v>-27800000</v>
      </c>
      <c r="E3239" t="s">
        <v>331</v>
      </c>
    </row>
    <row r="3240" spans="1:5" x14ac:dyDescent="0.25">
      <c r="A3240">
        <v>1877</v>
      </c>
      <c r="B3240" s="16">
        <v>43525</v>
      </c>
      <c r="C3240" t="s">
        <v>192</v>
      </c>
      <c r="D3240">
        <v>-27800000</v>
      </c>
      <c r="E3240" t="s">
        <v>331</v>
      </c>
    </row>
    <row r="3241" spans="1:5" x14ac:dyDescent="0.25">
      <c r="A3241">
        <v>1877</v>
      </c>
      <c r="B3241" s="16">
        <v>43556</v>
      </c>
      <c r="C3241" t="s">
        <v>192</v>
      </c>
      <c r="D3241">
        <v>-27800000</v>
      </c>
      <c r="E3241" t="s">
        <v>331</v>
      </c>
    </row>
    <row r="3242" spans="1:5" x14ac:dyDescent="0.25">
      <c r="A3242">
        <v>1877</v>
      </c>
      <c r="B3242" s="16">
        <v>43586</v>
      </c>
      <c r="C3242" t="s">
        <v>192</v>
      </c>
      <c r="D3242">
        <v>-27800000</v>
      </c>
      <c r="E3242" t="s">
        <v>331</v>
      </c>
    </row>
    <row r="3243" spans="1:5" x14ac:dyDescent="0.25">
      <c r="A3243">
        <v>1877</v>
      </c>
      <c r="B3243" s="16">
        <v>43617</v>
      </c>
      <c r="C3243" t="s">
        <v>192</v>
      </c>
      <c r="D3243">
        <v>-27800000</v>
      </c>
      <c r="E3243" t="s">
        <v>331</v>
      </c>
    </row>
    <row r="3244" spans="1:5" x14ac:dyDescent="0.25">
      <c r="A3244">
        <v>1877</v>
      </c>
      <c r="B3244" s="16">
        <v>43647</v>
      </c>
      <c r="C3244" t="s">
        <v>192</v>
      </c>
      <c r="D3244">
        <v>-27800000</v>
      </c>
      <c r="E3244" t="s">
        <v>331</v>
      </c>
    </row>
    <row r="3245" spans="1:5" x14ac:dyDescent="0.25">
      <c r="A3245">
        <v>1877</v>
      </c>
      <c r="B3245" s="16">
        <v>43678</v>
      </c>
      <c r="C3245" t="s">
        <v>192</v>
      </c>
      <c r="D3245">
        <v>-27800000</v>
      </c>
      <c r="E3245" t="s">
        <v>331</v>
      </c>
    </row>
    <row r="3246" spans="1:5" x14ac:dyDescent="0.25">
      <c r="A3246">
        <v>1877</v>
      </c>
      <c r="B3246" s="16">
        <v>43709</v>
      </c>
      <c r="C3246" t="s">
        <v>192</v>
      </c>
      <c r="D3246">
        <v>-27800000</v>
      </c>
      <c r="E3246" t="s">
        <v>331</v>
      </c>
    </row>
    <row r="3247" spans="1:5" x14ac:dyDescent="0.25">
      <c r="A3247">
        <v>1877</v>
      </c>
      <c r="B3247" s="16">
        <v>43739</v>
      </c>
      <c r="C3247" t="s">
        <v>192</v>
      </c>
      <c r="D3247">
        <v>-27800000</v>
      </c>
      <c r="E3247" t="s">
        <v>331</v>
      </c>
    </row>
    <row r="3248" spans="1:5" x14ac:dyDescent="0.25">
      <c r="A3248">
        <v>1877</v>
      </c>
      <c r="B3248" s="16">
        <v>43770</v>
      </c>
      <c r="C3248" t="s">
        <v>192</v>
      </c>
      <c r="D3248">
        <v>-27800000</v>
      </c>
      <c r="E3248" t="s">
        <v>331</v>
      </c>
    </row>
    <row r="3249" spans="1:5" x14ac:dyDescent="0.25">
      <c r="A3249">
        <v>1877</v>
      </c>
      <c r="B3249" s="16">
        <v>43800</v>
      </c>
      <c r="C3249" t="s">
        <v>192</v>
      </c>
      <c r="D3249">
        <v>-27800000</v>
      </c>
      <c r="E3249" t="s">
        <v>331</v>
      </c>
    </row>
    <row r="3250" spans="1:5" x14ac:dyDescent="0.25">
      <c r="A3250">
        <v>1877</v>
      </c>
      <c r="B3250" s="16">
        <v>43831</v>
      </c>
      <c r="C3250" t="s">
        <v>192</v>
      </c>
      <c r="D3250">
        <v>-27800000</v>
      </c>
      <c r="E3250" t="s">
        <v>331</v>
      </c>
    </row>
    <row r="3251" spans="1:5" x14ac:dyDescent="0.25">
      <c r="A3251">
        <v>1877</v>
      </c>
      <c r="B3251" s="16">
        <v>43862</v>
      </c>
      <c r="C3251" t="s">
        <v>192</v>
      </c>
      <c r="D3251">
        <v>-27800000</v>
      </c>
      <c r="E3251" t="s">
        <v>331</v>
      </c>
    </row>
    <row r="3252" spans="1:5" x14ac:dyDescent="0.25">
      <c r="A3252">
        <v>1877</v>
      </c>
      <c r="B3252" s="16">
        <v>43891</v>
      </c>
      <c r="C3252" t="s">
        <v>192</v>
      </c>
      <c r="D3252">
        <v>-27800000</v>
      </c>
      <c r="E3252" t="s">
        <v>331</v>
      </c>
    </row>
    <row r="3253" spans="1:5" x14ac:dyDescent="0.25">
      <c r="A3253">
        <v>1813</v>
      </c>
      <c r="B3253" s="16">
        <v>43466</v>
      </c>
      <c r="C3253" t="s">
        <v>192</v>
      </c>
      <c r="D3253">
        <v>0</v>
      </c>
      <c r="E3253" t="s">
        <v>331</v>
      </c>
    </row>
    <row r="3254" spans="1:5" x14ac:dyDescent="0.25">
      <c r="A3254">
        <v>1813</v>
      </c>
      <c r="B3254" s="16">
        <v>43497</v>
      </c>
      <c r="C3254" t="s">
        <v>192</v>
      </c>
      <c r="D3254">
        <v>0</v>
      </c>
      <c r="E3254" t="s">
        <v>331</v>
      </c>
    </row>
    <row r="3255" spans="1:5" x14ac:dyDescent="0.25">
      <c r="A3255">
        <v>1813</v>
      </c>
      <c r="B3255" s="16">
        <v>43525</v>
      </c>
      <c r="C3255" t="s">
        <v>192</v>
      </c>
      <c r="D3255">
        <v>0</v>
      </c>
      <c r="E3255" t="s">
        <v>331</v>
      </c>
    </row>
    <row r="3256" spans="1:5" x14ac:dyDescent="0.25">
      <c r="A3256">
        <v>1813</v>
      </c>
      <c r="B3256" s="16">
        <v>43556</v>
      </c>
      <c r="C3256" t="s">
        <v>192</v>
      </c>
      <c r="D3256">
        <v>0</v>
      </c>
      <c r="E3256" t="s">
        <v>331</v>
      </c>
    </row>
    <row r="3257" spans="1:5" x14ac:dyDescent="0.25">
      <c r="A3257">
        <v>1701</v>
      </c>
      <c r="B3257" s="16">
        <v>43466</v>
      </c>
      <c r="C3257" t="s">
        <v>192</v>
      </c>
      <c r="D3257">
        <v>-19000000</v>
      </c>
      <c r="E3257" t="s">
        <v>331</v>
      </c>
    </row>
    <row r="3258" spans="1:5" x14ac:dyDescent="0.25">
      <c r="A3258">
        <v>1701</v>
      </c>
      <c r="B3258" s="16">
        <v>43497</v>
      </c>
      <c r="C3258" t="s">
        <v>192</v>
      </c>
      <c r="D3258">
        <v>-19000000</v>
      </c>
      <c r="E3258" t="s">
        <v>331</v>
      </c>
    </row>
    <row r="3259" spans="1:5" x14ac:dyDescent="0.25">
      <c r="A3259">
        <v>1701</v>
      </c>
      <c r="B3259" s="16">
        <v>43525</v>
      </c>
      <c r="C3259" t="s">
        <v>192</v>
      </c>
      <c r="D3259">
        <v>-19000000</v>
      </c>
      <c r="E3259" t="s">
        <v>331</v>
      </c>
    </row>
    <row r="3260" spans="1:5" x14ac:dyDescent="0.25">
      <c r="A3260">
        <v>1701</v>
      </c>
      <c r="B3260" s="16">
        <v>43556</v>
      </c>
      <c r="C3260" t="s">
        <v>192</v>
      </c>
      <c r="D3260">
        <v>-19000000</v>
      </c>
      <c r="E3260" t="s">
        <v>331</v>
      </c>
    </row>
    <row r="3261" spans="1:5" x14ac:dyDescent="0.25">
      <c r="A3261">
        <v>1701</v>
      </c>
      <c r="B3261" s="16">
        <v>43586</v>
      </c>
      <c r="C3261" t="s">
        <v>192</v>
      </c>
      <c r="D3261">
        <v>-19000000</v>
      </c>
      <c r="E3261" t="s">
        <v>331</v>
      </c>
    </row>
    <row r="3262" spans="1:5" x14ac:dyDescent="0.25">
      <c r="A3262">
        <v>1701</v>
      </c>
      <c r="B3262" s="16">
        <v>43617</v>
      </c>
      <c r="C3262" t="s">
        <v>192</v>
      </c>
      <c r="D3262">
        <v>-19000000</v>
      </c>
      <c r="E3262" t="s">
        <v>331</v>
      </c>
    </row>
    <row r="3263" spans="1:5" x14ac:dyDescent="0.25">
      <c r="A3263">
        <v>1701</v>
      </c>
      <c r="B3263" s="16">
        <v>43647</v>
      </c>
      <c r="C3263" t="s">
        <v>192</v>
      </c>
      <c r="D3263">
        <v>-19000000</v>
      </c>
      <c r="E3263" t="s">
        <v>331</v>
      </c>
    </row>
    <row r="3264" spans="1:5" x14ac:dyDescent="0.25">
      <c r="A3264">
        <v>1701</v>
      </c>
      <c r="B3264" s="16">
        <v>43678</v>
      </c>
      <c r="C3264" t="s">
        <v>192</v>
      </c>
      <c r="D3264">
        <v>-19000000</v>
      </c>
      <c r="E3264" t="s">
        <v>331</v>
      </c>
    </row>
    <row r="3265" spans="1:5" x14ac:dyDescent="0.25">
      <c r="A3265">
        <v>1701</v>
      </c>
      <c r="B3265" s="16">
        <v>43709</v>
      </c>
      <c r="C3265" t="s">
        <v>192</v>
      </c>
      <c r="D3265">
        <v>-19000000</v>
      </c>
      <c r="E3265" t="s">
        <v>331</v>
      </c>
    </row>
    <row r="3266" spans="1:5" x14ac:dyDescent="0.25">
      <c r="A3266">
        <v>1701</v>
      </c>
      <c r="B3266" s="16">
        <v>43739</v>
      </c>
      <c r="C3266" t="s">
        <v>192</v>
      </c>
      <c r="D3266">
        <v>-19000000</v>
      </c>
      <c r="E3266" t="s">
        <v>331</v>
      </c>
    </row>
    <row r="3267" spans="1:5" x14ac:dyDescent="0.25">
      <c r="A3267">
        <v>1701</v>
      </c>
      <c r="B3267" s="16">
        <v>43770</v>
      </c>
      <c r="C3267" t="s">
        <v>192</v>
      </c>
      <c r="D3267">
        <v>-19000000</v>
      </c>
      <c r="E3267" t="s">
        <v>331</v>
      </c>
    </row>
    <row r="3268" spans="1:5" x14ac:dyDescent="0.25">
      <c r="A3268">
        <v>1701</v>
      </c>
      <c r="B3268" s="16">
        <v>43800</v>
      </c>
      <c r="C3268" t="s">
        <v>192</v>
      </c>
      <c r="D3268">
        <v>-19000000</v>
      </c>
      <c r="E3268" t="s">
        <v>331</v>
      </c>
    </row>
    <row r="3269" spans="1:5" x14ac:dyDescent="0.25">
      <c r="A3269">
        <v>1687</v>
      </c>
      <c r="B3269" s="16">
        <v>43466</v>
      </c>
      <c r="C3269" t="s">
        <v>192</v>
      </c>
      <c r="D3269">
        <v>-32000000</v>
      </c>
      <c r="E3269" t="s">
        <v>331</v>
      </c>
    </row>
    <row r="3270" spans="1:5" x14ac:dyDescent="0.25">
      <c r="A3270">
        <v>1577</v>
      </c>
      <c r="B3270" s="16">
        <v>43466</v>
      </c>
      <c r="C3270" t="s">
        <v>192</v>
      </c>
      <c r="D3270">
        <v>-33000000</v>
      </c>
      <c r="E3270" t="s">
        <v>331</v>
      </c>
    </row>
    <row r="3271" spans="1:5" x14ac:dyDescent="0.25">
      <c r="A3271">
        <v>1577</v>
      </c>
      <c r="B3271" s="16">
        <v>43497</v>
      </c>
      <c r="C3271" t="s">
        <v>192</v>
      </c>
      <c r="D3271">
        <v>-33000000</v>
      </c>
      <c r="E3271" t="s">
        <v>331</v>
      </c>
    </row>
    <row r="3272" spans="1:5" x14ac:dyDescent="0.25">
      <c r="A3272">
        <v>1577</v>
      </c>
      <c r="B3272" s="16">
        <v>43525</v>
      </c>
      <c r="C3272" t="s">
        <v>192</v>
      </c>
      <c r="D3272">
        <v>-33000000</v>
      </c>
      <c r="E3272" t="s">
        <v>331</v>
      </c>
    </row>
    <row r="3273" spans="1:5" x14ac:dyDescent="0.25">
      <c r="A3273">
        <v>1577</v>
      </c>
      <c r="B3273" s="16">
        <v>43556</v>
      </c>
      <c r="C3273" t="s">
        <v>192</v>
      </c>
      <c r="D3273">
        <v>-33000000</v>
      </c>
      <c r="E3273" t="s">
        <v>331</v>
      </c>
    </row>
    <row r="3274" spans="1:5" x14ac:dyDescent="0.25">
      <c r="A3274">
        <v>1577</v>
      </c>
      <c r="B3274" s="16">
        <v>43586</v>
      </c>
      <c r="C3274" t="s">
        <v>192</v>
      </c>
      <c r="D3274">
        <v>-33000000</v>
      </c>
      <c r="E3274" t="s">
        <v>331</v>
      </c>
    </row>
    <row r="3275" spans="1:5" x14ac:dyDescent="0.25">
      <c r="A3275">
        <v>1577</v>
      </c>
      <c r="B3275" s="16">
        <v>43617</v>
      </c>
      <c r="C3275" t="s">
        <v>192</v>
      </c>
      <c r="D3275">
        <v>-15000000</v>
      </c>
      <c r="E3275" t="s">
        <v>331</v>
      </c>
    </row>
    <row r="3276" spans="1:5" x14ac:dyDescent="0.25">
      <c r="A3276">
        <v>1577</v>
      </c>
      <c r="B3276" s="16">
        <v>43647</v>
      </c>
      <c r="C3276" t="s">
        <v>192</v>
      </c>
      <c r="D3276">
        <v>-15000000</v>
      </c>
      <c r="E3276" t="s">
        <v>331</v>
      </c>
    </row>
    <row r="3277" spans="1:5" x14ac:dyDescent="0.25">
      <c r="A3277">
        <v>1622</v>
      </c>
      <c r="B3277" s="16">
        <v>43466</v>
      </c>
      <c r="C3277" t="s">
        <v>192</v>
      </c>
      <c r="D3277">
        <v>-36049228</v>
      </c>
      <c r="E3277" t="s">
        <v>331</v>
      </c>
    </row>
    <row r="3278" spans="1:5" x14ac:dyDescent="0.25">
      <c r="A3278">
        <v>1622</v>
      </c>
      <c r="B3278" s="16">
        <v>43497</v>
      </c>
      <c r="C3278" t="s">
        <v>192</v>
      </c>
      <c r="D3278">
        <v>-36049228</v>
      </c>
      <c r="E3278" t="s">
        <v>331</v>
      </c>
    </row>
    <row r="3279" spans="1:5" x14ac:dyDescent="0.25">
      <c r="A3279">
        <v>1622</v>
      </c>
      <c r="B3279" s="16">
        <v>43525</v>
      </c>
      <c r="C3279" t="s">
        <v>192</v>
      </c>
      <c r="D3279">
        <v>-36049228</v>
      </c>
      <c r="E3279" t="s">
        <v>331</v>
      </c>
    </row>
    <row r="3280" spans="1:5" x14ac:dyDescent="0.25">
      <c r="A3280">
        <v>1622</v>
      </c>
      <c r="B3280" s="16">
        <v>43466</v>
      </c>
      <c r="C3280" t="s">
        <v>192</v>
      </c>
      <c r="D3280">
        <v>-44700000</v>
      </c>
      <c r="E3280" t="s">
        <v>331</v>
      </c>
    </row>
    <row r="3281" spans="1:5" x14ac:dyDescent="0.25">
      <c r="A3281">
        <v>1622</v>
      </c>
      <c r="B3281" s="16">
        <v>43497</v>
      </c>
      <c r="C3281" t="s">
        <v>192</v>
      </c>
      <c r="D3281">
        <v>-44700000</v>
      </c>
      <c r="E3281" t="s">
        <v>331</v>
      </c>
    </row>
    <row r="3282" spans="1:5" x14ac:dyDescent="0.25">
      <c r="A3282">
        <v>1622</v>
      </c>
      <c r="B3282" s="16">
        <v>43525</v>
      </c>
      <c r="C3282" t="s">
        <v>192</v>
      </c>
      <c r="D3282">
        <v>-44700000</v>
      </c>
      <c r="E3282" t="s">
        <v>331</v>
      </c>
    </row>
    <row r="3283" spans="1:5" x14ac:dyDescent="0.25">
      <c r="A3283">
        <v>1622</v>
      </c>
      <c r="B3283" s="16">
        <v>43556</v>
      </c>
      <c r="C3283" t="s">
        <v>192</v>
      </c>
      <c r="D3283">
        <v>-44700000</v>
      </c>
      <c r="E3283" t="s">
        <v>331</v>
      </c>
    </row>
    <row r="3284" spans="1:5" x14ac:dyDescent="0.25">
      <c r="A3284">
        <v>1588</v>
      </c>
      <c r="B3284" s="16">
        <v>43466</v>
      </c>
      <c r="C3284" t="s">
        <v>192</v>
      </c>
      <c r="D3284">
        <v>-20430000</v>
      </c>
      <c r="E3284" t="s">
        <v>331</v>
      </c>
    </row>
    <row r="3285" spans="1:5" x14ac:dyDescent="0.25">
      <c r="A3285">
        <v>1588</v>
      </c>
      <c r="B3285" s="16">
        <v>43497</v>
      </c>
      <c r="C3285" t="s">
        <v>192</v>
      </c>
      <c r="D3285">
        <v>-20430000</v>
      </c>
      <c r="E3285" t="s">
        <v>331</v>
      </c>
    </row>
    <row r="3286" spans="1:5" x14ac:dyDescent="0.25">
      <c r="A3286">
        <v>1588</v>
      </c>
      <c r="B3286" s="16">
        <v>43525</v>
      </c>
      <c r="C3286" t="s">
        <v>192</v>
      </c>
      <c r="D3286">
        <v>-20430000</v>
      </c>
      <c r="E3286" t="s">
        <v>331</v>
      </c>
    </row>
    <row r="3287" spans="1:5" x14ac:dyDescent="0.25">
      <c r="A3287">
        <v>1723</v>
      </c>
      <c r="B3287" s="16">
        <v>43466</v>
      </c>
      <c r="C3287" t="s">
        <v>192</v>
      </c>
      <c r="D3287">
        <v>-48600000</v>
      </c>
      <c r="E3287" t="s">
        <v>331</v>
      </c>
    </row>
    <row r="3288" spans="1:5" x14ac:dyDescent="0.25">
      <c r="A3288">
        <v>1723</v>
      </c>
      <c r="B3288" s="16">
        <v>43497</v>
      </c>
      <c r="C3288" t="s">
        <v>192</v>
      </c>
      <c r="D3288">
        <v>-48600000</v>
      </c>
      <c r="E3288" t="s">
        <v>331</v>
      </c>
    </row>
    <row r="3289" spans="1:5" x14ac:dyDescent="0.25">
      <c r="A3289">
        <v>1723</v>
      </c>
      <c r="B3289" s="16">
        <v>43525</v>
      </c>
      <c r="C3289" t="s">
        <v>192</v>
      </c>
      <c r="D3289">
        <v>-48600000</v>
      </c>
      <c r="E3289" t="s">
        <v>331</v>
      </c>
    </row>
    <row r="3290" spans="1:5" x14ac:dyDescent="0.25">
      <c r="A3290">
        <v>1723</v>
      </c>
      <c r="B3290" s="16">
        <v>43556</v>
      </c>
      <c r="C3290" t="s">
        <v>192</v>
      </c>
      <c r="D3290">
        <v>-48600000</v>
      </c>
      <c r="E3290" t="s">
        <v>331</v>
      </c>
    </row>
    <row r="3291" spans="1:5" x14ac:dyDescent="0.25">
      <c r="A3291">
        <v>1723</v>
      </c>
      <c r="B3291" s="16">
        <v>43586</v>
      </c>
      <c r="C3291" t="s">
        <v>192</v>
      </c>
      <c r="D3291">
        <v>-48600000</v>
      </c>
      <c r="E3291" t="s">
        <v>331</v>
      </c>
    </row>
    <row r="3292" spans="1:5" x14ac:dyDescent="0.25">
      <c r="A3292">
        <v>1723</v>
      </c>
      <c r="B3292" s="16">
        <v>43617</v>
      </c>
      <c r="C3292" t="s">
        <v>192</v>
      </c>
      <c r="D3292">
        <v>-48600000</v>
      </c>
      <c r="E3292" t="s">
        <v>331</v>
      </c>
    </row>
    <row r="3293" spans="1:5" x14ac:dyDescent="0.25">
      <c r="A3293">
        <v>1888</v>
      </c>
      <c r="B3293" s="16">
        <v>43525</v>
      </c>
      <c r="C3293" t="s">
        <v>192</v>
      </c>
      <c r="D3293">
        <v>-6040000</v>
      </c>
      <c r="E3293" t="s">
        <v>331</v>
      </c>
    </row>
    <row r="3294" spans="1:5" x14ac:dyDescent="0.25">
      <c r="A3294">
        <v>1888</v>
      </c>
      <c r="B3294" s="16">
        <v>43556</v>
      </c>
      <c r="C3294" t="s">
        <v>192</v>
      </c>
      <c r="D3294">
        <v>-6040000</v>
      </c>
      <c r="E3294" t="s">
        <v>331</v>
      </c>
    </row>
    <row r="3295" spans="1:5" x14ac:dyDescent="0.25">
      <c r="A3295">
        <v>1888</v>
      </c>
      <c r="B3295" s="16">
        <v>43586</v>
      </c>
      <c r="C3295" t="s">
        <v>192</v>
      </c>
      <c r="D3295">
        <v>-6040000</v>
      </c>
      <c r="E3295" t="s">
        <v>331</v>
      </c>
    </row>
    <row r="3296" spans="1:5" x14ac:dyDescent="0.25">
      <c r="A3296">
        <v>1888</v>
      </c>
      <c r="B3296" s="16">
        <v>43617</v>
      </c>
      <c r="C3296" t="s">
        <v>192</v>
      </c>
      <c r="D3296">
        <v>-6040000</v>
      </c>
      <c r="E3296" t="s">
        <v>331</v>
      </c>
    </row>
    <row r="3297" spans="1:5" x14ac:dyDescent="0.25">
      <c r="A3297">
        <v>1888</v>
      </c>
      <c r="B3297" s="16">
        <v>43525</v>
      </c>
      <c r="C3297" t="s">
        <v>192</v>
      </c>
      <c r="D3297">
        <v>-19220000</v>
      </c>
      <c r="E3297" t="s">
        <v>331</v>
      </c>
    </row>
    <row r="3298" spans="1:5" x14ac:dyDescent="0.25">
      <c r="A3298">
        <v>1888</v>
      </c>
      <c r="B3298" s="16">
        <v>43556</v>
      </c>
      <c r="C3298" t="s">
        <v>192</v>
      </c>
      <c r="D3298">
        <v>-19220000</v>
      </c>
      <c r="E3298" t="s">
        <v>331</v>
      </c>
    </row>
    <row r="3299" spans="1:5" x14ac:dyDescent="0.25">
      <c r="A3299">
        <v>1888</v>
      </c>
      <c r="B3299" s="16">
        <v>43586</v>
      </c>
      <c r="C3299" t="s">
        <v>192</v>
      </c>
      <c r="D3299">
        <v>-19220000</v>
      </c>
      <c r="E3299" t="s">
        <v>331</v>
      </c>
    </row>
    <row r="3300" spans="1:5" x14ac:dyDescent="0.25">
      <c r="A3300">
        <v>1888</v>
      </c>
      <c r="B3300" s="16">
        <v>43617</v>
      </c>
      <c r="C3300" t="s">
        <v>192</v>
      </c>
      <c r="D3300">
        <v>-19220000</v>
      </c>
      <c r="E3300" t="s">
        <v>331</v>
      </c>
    </row>
    <row r="3301" spans="1:5" x14ac:dyDescent="0.25">
      <c r="A3301">
        <v>1888</v>
      </c>
      <c r="B3301" s="16">
        <v>43647</v>
      </c>
      <c r="C3301" t="s">
        <v>192</v>
      </c>
      <c r="D3301">
        <v>-19220000</v>
      </c>
      <c r="E3301" t="s">
        <v>331</v>
      </c>
    </row>
    <row r="3302" spans="1:5" x14ac:dyDescent="0.25">
      <c r="A3302">
        <v>1888</v>
      </c>
      <c r="B3302" s="16">
        <v>43678</v>
      </c>
      <c r="C3302" t="s">
        <v>192</v>
      </c>
      <c r="D3302">
        <v>-19220000</v>
      </c>
      <c r="E3302" t="s">
        <v>331</v>
      </c>
    </row>
    <row r="3303" spans="1:5" x14ac:dyDescent="0.25">
      <c r="A3303">
        <v>1888</v>
      </c>
      <c r="B3303" s="16">
        <v>43709</v>
      </c>
      <c r="C3303" t="s">
        <v>192</v>
      </c>
      <c r="D3303">
        <v>-19220000</v>
      </c>
      <c r="E3303" t="s">
        <v>331</v>
      </c>
    </row>
    <row r="3304" spans="1:5" x14ac:dyDescent="0.25">
      <c r="A3304">
        <v>1888</v>
      </c>
      <c r="B3304" s="16">
        <v>43739</v>
      </c>
      <c r="C3304" t="s">
        <v>192</v>
      </c>
      <c r="D3304">
        <v>-19220000</v>
      </c>
      <c r="E3304" t="s">
        <v>331</v>
      </c>
    </row>
    <row r="3305" spans="1:5" x14ac:dyDescent="0.25">
      <c r="A3305">
        <v>1888</v>
      </c>
      <c r="B3305" s="16">
        <v>43770</v>
      </c>
      <c r="C3305" t="s">
        <v>192</v>
      </c>
      <c r="D3305">
        <v>-19220000</v>
      </c>
      <c r="E3305" t="s">
        <v>331</v>
      </c>
    </row>
    <row r="3306" spans="1:5" x14ac:dyDescent="0.25">
      <c r="A3306">
        <v>1888</v>
      </c>
      <c r="B3306" s="16">
        <v>43800</v>
      </c>
      <c r="C3306" t="s">
        <v>192</v>
      </c>
      <c r="D3306">
        <v>-19220000</v>
      </c>
      <c r="E3306" t="s">
        <v>331</v>
      </c>
    </row>
    <row r="3307" spans="1:5" x14ac:dyDescent="0.25">
      <c r="A3307">
        <v>1888</v>
      </c>
      <c r="B3307" s="16">
        <v>43831</v>
      </c>
      <c r="C3307" t="s">
        <v>192</v>
      </c>
      <c r="D3307">
        <v>-19220000</v>
      </c>
      <c r="E3307" t="s">
        <v>331</v>
      </c>
    </row>
    <row r="3308" spans="1:5" x14ac:dyDescent="0.25">
      <c r="A3308">
        <v>1888</v>
      </c>
      <c r="B3308" s="16">
        <v>43862</v>
      </c>
      <c r="C3308" t="s">
        <v>192</v>
      </c>
      <c r="D3308">
        <v>-19220000</v>
      </c>
      <c r="E3308" t="s">
        <v>331</v>
      </c>
    </row>
    <row r="3309" spans="1:5" x14ac:dyDescent="0.25">
      <c r="A3309">
        <v>1891</v>
      </c>
      <c r="B3309" s="16">
        <v>43497</v>
      </c>
      <c r="C3309" t="s">
        <v>192</v>
      </c>
      <c r="D3309">
        <v>-23250000</v>
      </c>
      <c r="E3309" t="s">
        <v>331</v>
      </c>
    </row>
    <row r="3310" spans="1:5" x14ac:dyDescent="0.25">
      <c r="A3310">
        <v>1891</v>
      </c>
      <c r="B3310" s="16">
        <v>43525</v>
      </c>
      <c r="C3310" t="s">
        <v>192</v>
      </c>
      <c r="D3310">
        <v>-23250000</v>
      </c>
      <c r="E3310" t="s">
        <v>331</v>
      </c>
    </row>
    <row r="3311" spans="1:5" x14ac:dyDescent="0.25">
      <c r="A3311">
        <v>1891</v>
      </c>
      <c r="B3311" s="16">
        <v>43556</v>
      </c>
      <c r="C3311" t="s">
        <v>192</v>
      </c>
      <c r="D3311">
        <v>-23250000</v>
      </c>
      <c r="E3311" t="s">
        <v>331</v>
      </c>
    </row>
    <row r="3312" spans="1:5" x14ac:dyDescent="0.25">
      <c r="A3312">
        <v>1891</v>
      </c>
      <c r="B3312" s="16">
        <v>43586</v>
      </c>
      <c r="C3312" t="s">
        <v>192</v>
      </c>
      <c r="D3312">
        <v>-23250000</v>
      </c>
      <c r="E3312" t="s">
        <v>331</v>
      </c>
    </row>
    <row r="3313" spans="1:5" x14ac:dyDescent="0.25">
      <c r="A3313">
        <v>1891</v>
      </c>
      <c r="B3313" s="16">
        <v>43617</v>
      </c>
      <c r="C3313" t="s">
        <v>192</v>
      </c>
      <c r="D3313">
        <v>-23250000</v>
      </c>
      <c r="E3313" t="s">
        <v>331</v>
      </c>
    </row>
    <row r="3314" spans="1:5" x14ac:dyDescent="0.25">
      <c r="A3314">
        <v>1891</v>
      </c>
      <c r="B3314" s="16">
        <v>43647</v>
      </c>
      <c r="C3314" t="s">
        <v>192</v>
      </c>
      <c r="D3314">
        <v>-23250000</v>
      </c>
      <c r="E3314" t="s">
        <v>331</v>
      </c>
    </row>
    <row r="3315" spans="1:5" x14ac:dyDescent="0.25">
      <c r="A3315">
        <v>1891</v>
      </c>
      <c r="B3315" s="16">
        <v>43678</v>
      </c>
      <c r="C3315" t="s">
        <v>192</v>
      </c>
      <c r="D3315">
        <v>-23250000</v>
      </c>
      <c r="E3315" t="s">
        <v>331</v>
      </c>
    </row>
    <row r="3316" spans="1:5" x14ac:dyDescent="0.25">
      <c r="A3316">
        <v>1891</v>
      </c>
      <c r="B3316" s="16">
        <v>43709</v>
      </c>
      <c r="C3316" t="s">
        <v>192</v>
      </c>
      <c r="D3316">
        <v>-23250000</v>
      </c>
      <c r="E3316" t="s">
        <v>331</v>
      </c>
    </row>
    <row r="3317" spans="1:5" x14ac:dyDescent="0.25">
      <c r="A3317">
        <v>1891</v>
      </c>
      <c r="B3317" s="16">
        <v>43739</v>
      </c>
      <c r="C3317" t="s">
        <v>192</v>
      </c>
      <c r="D3317">
        <v>-23250000</v>
      </c>
      <c r="E3317" t="s">
        <v>331</v>
      </c>
    </row>
    <row r="3318" spans="1:5" x14ac:dyDescent="0.25">
      <c r="A3318">
        <v>1891</v>
      </c>
      <c r="B3318" s="16">
        <v>43770</v>
      </c>
      <c r="C3318" t="s">
        <v>192</v>
      </c>
      <c r="D3318">
        <v>-23250000</v>
      </c>
      <c r="E3318" t="s">
        <v>331</v>
      </c>
    </row>
    <row r="3319" spans="1:5" x14ac:dyDescent="0.25">
      <c r="A3319">
        <v>1891</v>
      </c>
      <c r="B3319" s="16">
        <v>43800</v>
      </c>
      <c r="C3319" t="s">
        <v>192</v>
      </c>
      <c r="D3319">
        <v>-23250000</v>
      </c>
      <c r="E3319" t="s">
        <v>331</v>
      </c>
    </row>
    <row r="3320" spans="1:5" x14ac:dyDescent="0.25">
      <c r="A3320">
        <v>1891</v>
      </c>
      <c r="B3320" s="16">
        <v>43831</v>
      </c>
      <c r="C3320" t="s">
        <v>192</v>
      </c>
      <c r="D3320">
        <v>-23250000</v>
      </c>
      <c r="E3320" t="s">
        <v>331</v>
      </c>
    </row>
    <row r="3321" spans="1:5" x14ac:dyDescent="0.25">
      <c r="A3321">
        <v>1891</v>
      </c>
      <c r="B3321" s="16">
        <v>43862</v>
      </c>
      <c r="C3321" t="s">
        <v>192</v>
      </c>
      <c r="D3321">
        <v>-23250000</v>
      </c>
      <c r="E3321" t="s">
        <v>331</v>
      </c>
    </row>
    <row r="3322" spans="1:5" x14ac:dyDescent="0.25">
      <c r="A3322">
        <v>1891</v>
      </c>
      <c r="B3322" s="16">
        <v>43891</v>
      </c>
      <c r="C3322" t="s">
        <v>192</v>
      </c>
      <c r="D3322">
        <v>-23250000</v>
      </c>
      <c r="E3322" t="s">
        <v>331</v>
      </c>
    </row>
    <row r="3323" spans="1:5" x14ac:dyDescent="0.25">
      <c r="A3323">
        <v>1891</v>
      </c>
      <c r="B3323" s="16">
        <v>43922</v>
      </c>
      <c r="C3323" t="s">
        <v>192</v>
      </c>
      <c r="D3323">
        <v>-23250000</v>
      </c>
      <c r="E3323" t="s">
        <v>331</v>
      </c>
    </row>
    <row r="3324" spans="1:5" x14ac:dyDescent="0.25">
      <c r="A3324">
        <v>1891</v>
      </c>
      <c r="B3324" s="16">
        <v>43952</v>
      </c>
      <c r="C3324" t="s">
        <v>192</v>
      </c>
      <c r="D3324">
        <v>-23250000</v>
      </c>
      <c r="E3324" t="s">
        <v>331</v>
      </c>
    </row>
    <row r="3325" spans="1:5" x14ac:dyDescent="0.25">
      <c r="A3325">
        <v>1891</v>
      </c>
      <c r="B3325" s="16">
        <v>43983</v>
      </c>
      <c r="C3325" t="s">
        <v>192</v>
      </c>
      <c r="D3325">
        <v>-23250000</v>
      </c>
      <c r="E3325" t="s">
        <v>331</v>
      </c>
    </row>
    <row r="3326" spans="1:5" x14ac:dyDescent="0.25">
      <c r="A3326">
        <v>1891</v>
      </c>
      <c r="B3326" s="16">
        <v>44013</v>
      </c>
      <c r="C3326" t="s">
        <v>192</v>
      </c>
      <c r="D3326">
        <v>-23250000</v>
      </c>
      <c r="E3326" t="s">
        <v>331</v>
      </c>
    </row>
    <row r="3327" spans="1:5" x14ac:dyDescent="0.25">
      <c r="A3327">
        <v>1891</v>
      </c>
      <c r="B3327" s="16">
        <v>44044</v>
      </c>
      <c r="C3327" t="s">
        <v>192</v>
      </c>
      <c r="D3327">
        <v>-23250000</v>
      </c>
      <c r="E3327" t="s">
        <v>331</v>
      </c>
    </row>
    <row r="3328" spans="1:5" x14ac:dyDescent="0.25">
      <c r="A3328">
        <v>1891</v>
      </c>
      <c r="B3328" s="16">
        <v>44075</v>
      </c>
      <c r="C3328" t="s">
        <v>192</v>
      </c>
      <c r="D3328">
        <v>-23250000</v>
      </c>
      <c r="E3328" t="s">
        <v>331</v>
      </c>
    </row>
    <row r="3329" spans="1:5" x14ac:dyDescent="0.25">
      <c r="A3329">
        <v>1891</v>
      </c>
      <c r="B3329" s="16">
        <v>44105</v>
      </c>
      <c r="C3329" t="s">
        <v>192</v>
      </c>
      <c r="D3329">
        <v>-23250000</v>
      </c>
      <c r="E3329" t="s">
        <v>331</v>
      </c>
    </row>
    <row r="3330" spans="1:5" x14ac:dyDescent="0.25">
      <c r="A3330">
        <v>1891</v>
      </c>
      <c r="B3330" s="16">
        <v>44136</v>
      </c>
      <c r="C3330" t="s">
        <v>192</v>
      </c>
      <c r="D3330">
        <v>-23250000</v>
      </c>
      <c r="E3330" t="s">
        <v>331</v>
      </c>
    </row>
    <row r="3331" spans="1:5" x14ac:dyDescent="0.25">
      <c r="A3331">
        <v>1891</v>
      </c>
      <c r="B3331" s="16">
        <v>44166</v>
      </c>
      <c r="C3331" t="s">
        <v>192</v>
      </c>
      <c r="D3331">
        <v>-23250000</v>
      </c>
      <c r="E3331" t="s">
        <v>331</v>
      </c>
    </row>
    <row r="3332" spans="1:5" x14ac:dyDescent="0.25">
      <c r="A3332">
        <v>1791</v>
      </c>
      <c r="B3332" s="16">
        <v>43466</v>
      </c>
      <c r="C3332" t="s">
        <v>192</v>
      </c>
      <c r="D3332">
        <v>-60561853.894285716</v>
      </c>
      <c r="E3332" t="s">
        <v>331</v>
      </c>
    </row>
    <row r="3333" spans="1:5" x14ac:dyDescent="0.25">
      <c r="A3333">
        <v>1791</v>
      </c>
      <c r="B3333" s="16">
        <v>43497</v>
      </c>
      <c r="C3333" t="s">
        <v>192</v>
      </c>
      <c r="D3333">
        <v>-60561853.894285716</v>
      </c>
      <c r="E3333" t="s">
        <v>331</v>
      </c>
    </row>
    <row r="3334" spans="1:5" x14ac:dyDescent="0.25">
      <c r="A3334">
        <v>1791</v>
      </c>
      <c r="B3334" s="16">
        <v>43525</v>
      </c>
      <c r="C3334" t="s">
        <v>192</v>
      </c>
      <c r="D3334">
        <v>-60561853.894285716</v>
      </c>
      <c r="E3334" t="s">
        <v>331</v>
      </c>
    </row>
    <row r="3335" spans="1:5" x14ac:dyDescent="0.25">
      <c r="A3335">
        <v>1791</v>
      </c>
      <c r="B3335" s="16">
        <v>43556</v>
      </c>
      <c r="C3335" t="s">
        <v>192</v>
      </c>
      <c r="D3335">
        <v>-60561853.894285716</v>
      </c>
      <c r="E3335" t="s">
        <v>331</v>
      </c>
    </row>
    <row r="3336" spans="1:5" x14ac:dyDescent="0.25">
      <c r="A3336">
        <v>1791</v>
      </c>
      <c r="B3336" s="16">
        <v>43586</v>
      </c>
      <c r="C3336" t="s">
        <v>192</v>
      </c>
      <c r="D3336">
        <v>-60561853.894285716</v>
      </c>
      <c r="E3336" t="s">
        <v>331</v>
      </c>
    </row>
    <row r="3337" spans="1:5" x14ac:dyDescent="0.25">
      <c r="A3337">
        <v>1791</v>
      </c>
      <c r="B3337" s="16">
        <v>43617</v>
      </c>
      <c r="C3337" t="s">
        <v>192</v>
      </c>
      <c r="D3337">
        <v>-60561853.894285716</v>
      </c>
      <c r="E3337" t="s">
        <v>331</v>
      </c>
    </row>
    <row r="3338" spans="1:5" x14ac:dyDescent="0.25">
      <c r="A3338">
        <v>1791</v>
      </c>
      <c r="B3338" s="16">
        <v>43647</v>
      </c>
      <c r="C3338" t="s">
        <v>192</v>
      </c>
      <c r="D3338">
        <v>-60561853.894285716</v>
      </c>
      <c r="E3338" t="s">
        <v>331</v>
      </c>
    </row>
    <row r="3339" spans="1:5" x14ac:dyDescent="0.25">
      <c r="A3339">
        <v>1791</v>
      </c>
      <c r="B3339" s="16">
        <v>43678</v>
      </c>
      <c r="C3339" t="s">
        <v>192</v>
      </c>
      <c r="D3339">
        <v>-60561853.894285716</v>
      </c>
      <c r="E3339" t="s">
        <v>331</v>
      </c>
    </row>
    <row r="3340" spans="1:5" x14ac:dyDescent="0.25">
      <c r="A3340">
        <v>1791</v>
      </c>
      <c r="B3340" s="16">
        <v>43709</v>
      </c>
      <c r="C3340" t="s">
        <v>192</v>
      </c>
      <c r="D3340">
        <v>-60561853.894285716</v>
      </c>
      <c r="E3340" t="s">
        <v>331</v>
      </c>
    </row>
    <row r="3341" spans="1:5" x14ac:dyDescent="0.25">
      <c r="A3341">
        <v>1791</v>
      </c>
      <c r="B3341" s="16">
        <v>43739</v>
      </c>
      <c r="C3341" t="s">
        <v>192</v>
      </c>
      <c r="D3341">
        <v>-60561853.894285716</v>
      </c>
      <c r="E3341" t="s">
        <v>331</v>
      </c>
    </row>
    <row r="3342" spans="1:5" x14ac:dyDescent="0.25">
      <c r="A3342">
        <v>1791</v>
      </c>
      <c r="B3342" s="16">
        <v>43770</v>
      </c>
      <c r="C3342" t="s">
        <v>192</v>
      </c>
      <c r="D3342">
        <v>-60561853.894285716</v>
      </c>
      <c r="E3342" t="s">
        <v>331</v>
      </c>
    </row>
    <row r="3343" spans="1:5" x14ac:dyDescent="0.25">
      <c r="A3343">
        <v>1791</v>
      </c>
      <c r="B3343" s="16">
        <v>43800</v>
      </c>
      <c r="C3343" t="s">
        <v>192</v>
      </c>
      <c r="D3343">
        <v>-60561853.894285716</v>
      </c>
      <c r="E3343" t="s">
        <v>331</v>
      </c>
    </row>
    <row r="3344" spans="1:5" x14ac:dyDescent="0.25">
      <c r="A3344">
        <v>1453</v>
      </c>
      <c r="B3344" s="16">
        <v>43466</v>
      </c>
      <c r="C3344" t="s">
        <v>192</v>
      </c>
      <c r="D3344">
        <v>-15250000</v>
      </c>
      <c r="E3344" t="s">
        <v>331</v>
      </c>
    </row>
    <row r="3345" spans="1:5" x14ac:dyDescent="0.25">
      <c r="A3345">
        <v>1453</v>
      </c>
      <c r="B3345" s="16">
        <v>43497</v>
      </c>
      <c r="C3345" t="s">
        <v>192</v>
      </c>
      <c r="D3345">
        <v>-15250000</v>
      </c>
      <c r="E3345" t="s">
        <v>331</v>
      </c>
    </row>
    <row r="3346" spans="1:5" x14ac:dyDescent="0.25">
      <c r="A3346">
        <v>1453</v>
      </c>
      <c r="B3346" s="16">
        <v>43525</v>
      </c>
      <c r="C3346" t="s">
        <v>192</v>
      </c>
      <c r="D3346">
        <v>-15250000</v>
      </c>
      <c r="E3346" t="s">
        <v>331</v>
      </c>
    </row>
    <row r="3347" spans="1:5" x14ac:dyDescent="0.25">
      <c r="A3347">
        <v>1453</v>
      </c>
      <c r="B3347" s="16">
        <v>43556</v>
      </c>
      <c r="C3347" t="s">
        <v>192</v>
      </c>
      <c r="D3347">
        <v>-15250000</v>
      </c>
      <c r="E3347" t="s">
        <v>331</v>
      </c>
    </row>
    <row r="3348" spans="1:5" x14ac:dyDescent="0.25">
      <c r="A3348">
        <v>1453</v>
      </c>
      <c r="B3348" s="16">
        <v>43586</v>
      </c>
      <c r="C3348" t="s">
        <v>192</v>
      </c>
      <c r="D3348">
        <v>-15250000</v>
      </c>
      <c r="E3348" t="s">
        <v>331</v>
      </c>
    </row>
    <row r="3349" spans="1:5" x14ac:dyDescent="0.25">
      <c r="A3349">
        <v>1453</v>
      </c>
      <c r="B3349" s="16">
        <v>43617</v>
      </c>
      <c r="C3349" t="s">
        <v>192</v>
      </c>
      <c r="D3349">
        <v>-15250000</v>
      </c>
      <c r="E3349" t="s">
        <v>331</v>
      </c>
    </row>
    <row r="3350" spans="1:5" x14ac:dyDescent="0.25">
      <c r="A3350">
        <v>1453</v>
      </c>
      <c r="B3350" s="16">
        <v>43647</v>
      </c>
      <c r="C3350" t="s">
        <v>192</v>
      </c>
      <c r="D3350">
        <v>-15250000</v>
      </c>
      <c r="E3350" t="s">
        <v>331</v>
      </c>
    </row>
    <row r="3351" spans="1:5" x14ac:dyDescent="0.25">
      <c r="A3351">
        <v>1453</v>
      </c>
      <c r="B3351" s="16">
        <v>43678</v>
      </c>
      <c r="C3351" t="s">
        <v>192</v>
      </c>
      <c r="D3351">
        <v>-15250000</v>
      </c>
      <c r="E3351" t="s">
        <v>331</v>
      </c>
    </row>
    <row r="3352" spans="1:5" x14ac:dyDescent="0.25">
      <c r="A3352">
        <v>1453</v>
      </c>
      <c r="B3352" s="16">
        <v>43709</v>
      </c>
      <c r="C3352" t="s">
        <v>192</v>
      </c>
      <c r="D3352">
        <v>-15250000</v>
      </c>
      <c r="E3352" t="s">
        <v>331</v>
      </c>
    </row>
    <row r="3353" spans="1:5" x14ac:dyDescent="0.25">
      <c r="A3353">
        <v>1453</v>
      </c>
      <c r="B3353" s="16">
        <v>43739</v>
      </c>
      <c r="C3353" t="s">
        <v>192</v>
      </c>
      <c r="D3353">
        <v>-15250000</v>
      </c>
      <c r="E3353" t="s">
        <v>331</v>
      </c>
    </row>
    <row r="3354" spans="1:5" x14ac:dyDescent="0.25">
      <c r="A3354">
        <v>1453</v>
      </c>
      <c r="B3354" s="16">
        <v>43770</v>
      </c>
      <c r="C3354" t="s">
        <v>192</v>
      </c>
      <c r="D3354">
        <v>-15250000</v>
      </c>
      <c r="E3354" t="s">
        <v>331</v>
      </c>
    </row>
    <row r="3355" spans="1:5" x14ac:dyDescent="0.25">
      <c r="A3355">
        <v>1453</v>
      </c>
      <c r="B3355" s="16">
        <v>43800</v>
      </c>
      <c r="C3355" t="s">
        <v>192</v>
      </c>
      <c r="D3355">
        <v>-15250000</v>
      </c>
      <c r="E3355" t="s">
        <v>331</v>
      </c>
    </row>
    <row r="3356" spans="1:5" x14ac:dyDescent="0.25">
      <c r="A3356">
        <v>1826</v>
      </c>
      <c r="B3356" s="16">
        <v>43466</v>
      </c>
      <c r="C3356" t="s">
        <v>192</v>
      </c>
      <c r="D3356">
        <v>-20341421</v>
      </c>
      <c r="E3356" t="s">
        <v>331</v>
      </c>
    </row>
    <row r="3357" spans="1:5" x14ac:dyDescent="0.25">
      <c r="A3357">
        <v>1826</v>
      </c>
      <c r="B3357" s="16">
        <v>43497</v>
      </c>
      <c r="C3357" t="s">
        <v>192</v>
      </c>
      <c r="D3357">
        <v>-20341421</v>
      </c>
      <c r="E3357" t="s">
        <v>331</v>
      </c>
    </row>
    <row r="3358" spans="1:5" x14ac:dyDescent="0.25">
      <c r="A3358">
        <v>1826</v>
      </c>
      <c r="B3358" s="16">
        <v>43525</v>
      </c>
      <c r="C3358" t="s">
        <v>192</v>
      </c>
      <c r="D3358">
        <v>-20341421</v>
      </c>
      <c r="E3358" t="s">
        <v>331</v>
      </c>
    </row>
    <row r="3359" spans="1:5" x14ac:dyDescent="0.25">
      <c r="A3359">
        <v>1895</v>
      </c>
      <c r="B3359" s="16">
        <v>43466</v>
      </c>
      <c r="C3359" t="s">
        <v>192</v>
      </c>
      <c r="D3359">
        <v>-7100000</v>
      </c>
      <c r="E3359" t="s">
        <v>331</v>
      </c>
    </row>
    <row r="3360" spans="1:5" x14ac:dyDescent="0.25">
      <c r="A3360">
        <v>1734</v>
      </c>
      <c r="B3360" s="16">
        <v>43466</v>
      </c>
      <c r="C3360" t="s">
        <v>192</v>
      </c>
      <c r="D3360">
        <v>-15173515.981735155</v>
      </c>
      <c r="E3360" t="s">
        <v>331</v>
      </c>
    </row>
    <row r="3361" spans="1:5" x14ac:dyDescent="0.25">
      <c r="A3361">
        <v>1734</v>
      </c>
      <c r="B3361" s="16">
        <v>43497</v>
      </c>
      <c r="C3361" t="s">
        <v>192</v>
      </c>
      <c r="D3361">
        <v>-14609589.041095892</v>
      </c>
      <c r="E3361" t="s">
        <v>331</v>
      </c>
    </row>
    <row r="3362" spans="1:5" x14ac:dyDescent="0.25">
      <c r="A3362">
        <v>1734</v>
      </c>
      <c r="B3362" s="16">
        <v>43525</v>
      </c>
      <c r="C3362" t="s">
        <v>192</v>
      </c>
      <c r="D3362">
        <v>-15203196.347031964</v>
      </c>
      <c r="E3362" t="s">
        <v>331</v>
      </c>
    </row>
    <row r="3363" spans="1:5" x14ac:dyDescent="0.25">
      <c r="A3363">
        <v>1734</v>
      </c>
      <c r="B3363" s="16">
        <v>43556</v>
      </c>
      <c r="C3363" t="s">
        <v>192</v>
      </c>
      <c r="D3363">
        <v>-18824200.913242016</v>
      </c>
      <c r="E3363" t="s">
        <v>331</v>
      </c>
    </row>
    <row r="3364" spans="1:5" x14ac:dyDescent="0.25">
      <c r="A3364">
        <v>1734</v>
      </c>
      <c r="B3364" s="16">
        <v>43586</v>
      </c>
      <c r="C3364" t="s">
        <v>192</v>
      </c>
      <c r="D3364">
        <v>-21317351.598173514</v>
      </c>
      <c r="E3364" t="s">
        <v>331</v>
      </c>
    </row>
    <row r="3365" spans="1:5" x14ac:dyDescent="0.25">
      <c r="A3365">
        <v>1734</v>
      </c>
      <c r="B3365" s="16">
        <v>43617</v>
      </c>
      <c r="C3365" t="s">
        <v>192</v>
      </c>
      <c r="D3365">
        <v>-22860730.593607314</v>
      </c>
      <c r="E3365" t="s">
        <v>331</v>
      </c>
    </row>
    <row r="3366" spans="1:5" x14ac:dyDescent="0.25">
      <c r="A3366">
        <v>1734</v>
      </c>
      <c r="B3366" s="16">
        <v>43647</v>
      </c>
      <c r="C3366" t="s">
        <v>192</v>
      </c>
      <c r="D3366">
        <v>-21079908.675799087</v>
      </c>
      <c r="E3366" t="s">
        <v>331</v>
      </c>
    </row>
    <row r="3367" spans="1:5" x14ac:dyDescent="0.25">
      <c r="A3367">
        <v>1734</v>
      </c>
      <c r="B3367" s="16">
        <v>43678</v>
      </c>
      <c r="C3367" t="s">
        <v>192</v>
      </c>
      <c r="D3367">
        <v>-25917808.219178069</v>
      </c>
      <c r="E3367" t="s">
        <v>331</v>
      </c>
    </row>
    <row r="3368" spans="1:5" x14ac:dyDescent="0.25">
      <c r="A3368">
        <v>1734</v>
      </c>
      <c r="B3368" s="16">
        <v>43709</v>
      </c>
      <c r="C3368" t="s">
        <v>192</v>
      </c>
      <c r="D3368">
        <v>-23216894.977168947</v>
      </c>
      <c r="E3368" t="s">
        <v>331</v>
      </c>
    </row>
    <row r="3369" spans="1:5" x14ac:dyDescent="0.25">
      <c r="A3369">
        <v>1734</v>
      </c>
      <c r="B3369" s="16">
        <v>43739</v>
      </c>
      <c r="C3369" t="s">
        <v>192</v>
      </c>
      <c r="D3369">
        <v>-24226027.397260282</v>
      </c>
      <c r="E3369" t="s">
        <v>331</v>
      </c>
    </row>
    <row r="3370" spans="1:5" x14ac:dyDescent="0.25">
      <c r="A3370">
        <v>1734</v>
      </c>
      <c r="B3370" s="16">
        <v>43770</v>
      </c>
      <c r="C3370" t="s">
        <v>192</v>
      </c>
      <c r="D3370">
        <v>-25977168.949771687</v>
      </c>
      <c r="E3370" t="s">
        <v>331</v>
      </c>
    </row>
    <row r="3371" spans="1:5" x14ac:dyDescent="0.25">
      <c r="A3371">
        <v>1734</v>
      </c>
      <c r="B3371" s="16">
        <v>43800</v>
      </c>
      <c r="C3371" t="s">
        <v>192</v>
      </c>
      <c r="D3371">
        <v>-20456621.00456623</v>
      </c>
      <c r="E3371" t="s">
        <v>331</v>
      </c>
    </row>
    <row r="3372" spans="1:5" x14ac:dyDescent="0.25">
      <c r="A3372">
        <v>1734</v>
      </c>
      <c r="B3372" s="16">
        <v>43831</v>
      </c>
      <c r="C3372" t="s">
        <v>192</v>
      </c>
      <c r="D3372">
        <v>-20812785.388127822</v>
      </c>
      <c r="E3372" t="s">
        <v>331</v>
      </c>
    </row>
    <row r="3373" spans="1:5" x14ac:dyDescent="0.25">
      <c r="A3373">
        <v>1734</v>
      </c>
      <c r="B3373" s="16">
        <v>43862</v>
      </c>
      <c r="C3373" t="s">
        <v>192</v>
      </c>
      <c r="D3373">
        <v>-23038812.785388142</v>
      </c>
      <c r="E3373" t="s">
        <v>331</v>
      </c>
    </row>
    <row r="3374" spans="1:5" x14ac:dyDescent="0.25">
      <c r="A3374">
        <v>1734</v>
      </c>
      <c r="B3374" s="16">
        <v>43891</v>
      </c>
      <c r="C3374" t="s">
        <v>192</v>
      </c>
      <c r="D3374">
        <v>-20219178.082191784</v>
      </c>
      <c r="E3374" t="s">
        <v>331</v>
      </c>
    </row>
    <row r="3375" spans="1:5" x14ac:dyDescent="0.25">
      <c r="A3375">
        <v>1734</v>
      </c>
      <c r="B3375" s="16">
        <v>43922</v>
      </c>
      <c r="C3375" t="s">
        <v>192</v>
      </c>
      <c r="D3375">
        <v>-22415525.11415524</v>
      </c>
      <c r="E3375" t="s">
        <v>331</v>
      </c>
    </row>
    <row r="3376" spans="1:5" x14ac:dyDescent="0.25">
      <c r="A3376">
        <v>1734</v>
      </c>
      <c r="B3376" s="16">
        <v>43952</v>
      </c>
      <c r="C3376" t="s">
        <v>192</v>
      </c>
      <c r="D3376">
        <v>-22920091.324200906</v>
      </c>
      <c r="E3376" t="s">
        <v>331</v>
      </c>
    </row>
    <row r="3377" spans="1:5" x14ac:dyDescent="0.25">
      <c r="A3377">
        <v>1734</v>
      </c>
      <c r="B3377" s="16">
        <v>43983</v>
      </c>
      <c r="C3377" t="s">
        <v>192</v>
      </c>
      <c r="D3377">
        <v>-18468036.529680401</v>
      </c>
      <c r="E3377" t="s">
        <v>331</v>
      </c>
    </row>
    <row r="3378" spans="1:5" x14ac:dyDescent="0.25">
      <c r="A3378">
        <v>1734</v>
      </c>
      <c r="B3378" s="16">
        <v>44013</v>
      </c>
      <c r="C3378" t="s">
        <v>192</v>
      </c>
      <c r="D3378">
        <v>-17013698.630136952</v>
      </c>
      <c r="E3378" t="s">
        <v>331</v>
      </c>
    </row>
    <row r="3379" spans="1:5" x14ac:dyDescent="0.25">
      <c r="A3379">
        <v>1734</v>
      </c>
      <c r="B3379" s="16">
        <v>44044</v>
      </c>
      <c r="C3379" t="s">
        <v>192</v>
      </c>
      <c r="D3379">
        <v>-16894977.168949805</v>
      </c>
      <c r="E3379" t="s">
        <v>331</v>
      </c>
    </row>
    <row r="3380" spans="1:5" x14ac:dyDescent="0.25">
      <c r="A3380">
        <v>1734</v>
      </c>
      <c r="B3380" s="16">
        <v>44075</v>
      </c>
      <c r="C3380" t="s">
        <v>192</v>
      </c>
      <c r="D3380">
        <v>-14609589.041095892</v>
      </c>
      <c r="E3380" t="s">
        <v>331</v>
      </c>
    </row>
    <row r="3381" spans="1:5" x14ac:dyDescent="0.25">
      <c r="A3381">
        <v>1846</v>
      </c>
      <c r="B3381" s="16">
        <v>43466</v>
      </c>
      <c r="C3381" t="s">
        <v>192</v>
      </c>
      <c r="D3381">
        <v>-29900000</v>
      </c>
      <c r="E3381" t="s">
        <v>331</v>
      </c>
    </row>
    <row r="3382" spans="1:5" x14ac:dyDescent="0.25">
      <c r="A3382">
        <v>1846</v>
      </c>
      <c r="B3382" s="16">
        <v>43497</v>
      </c>
      <c r="C3382" t="s">
        <v>192</v>
      </c>
      <c r="D3382">
        <v>-29900000</v>
      </c>
      <c r="E3382" t="s">
        <v>331</v>
      </c>
    </row>
    <row r="3383" spans="1:5" x14ac:dyDescent="0.25">
      <c r="A3383">
        <v>1846</v>
      </c>
      <c r="B3383" s="16">
        <v>43525</v>
      </c>
      <c r="C3383" t="s">
        <v>192</v>
      </c>
      <c r="D3383">
        <v>-29900000</v>
      </c>
      <c r="E3383" t="s">
        <v>331</v>
      </c>
    </row>
    <row r="3384" spans="1:5" x14ac:dyDescent="0.25">
      <c r="A3384">
        <v>1858</v>
      </c>
      <c r="B3384" s="16">
        <v>43466</v>
      </c>
      <c r="C3384" t="s">
        <v>192</v>
      </c>
      <c r="D3384">
        <v>-118601976.15000001</v>
      </c>
      <c r="E3384" t="s">
        <v>331</v>
      </c>
    </row>
    <row r="3385" spans="1:5" x14ac:dyDescent="0.25">
      <c r="A3385">
        <v>1858</v>
      </c>
      <c r="B3385" s="16">
        <v>43497</v>
      </c>
      <c r="C3385" t="s">
        <v>192</v>
      </c>
      <c r="D3385">
        <v>-197669960.25</v>
      </c>
      <c r="E3385" t="s">
        <v>331</v>
      </c>
    </row>
    <row r="3386" spans="1:5" x14ac:dyDescent="0.25">
      <c r="A3386">
        <v>1858</v>
      </c>
      <c r="B3386" s="16">
        <v>43525</v>
      </c>
      <c r="C3386" t="s">
        <v>192</v>
      </c>
      <c r="D3386">
        <v>-171313965.55000007</v>
      </c>
      <c r="E3386" t="s">
        <v>331</v>
      </c>
    </row>
    <row r="3387" spans="1:5" x14ac:dyDescent="0.25">
      <c r="A3387">
        <v>1858</v>
      </c>
      <c r="B3387" s="16">
        <v>43556</v>
      </c>
      <c r="C3387" t="s">
        <v>192</v>
      </c>
      <c r="D3387">
        <v>-210847957.5999999</v>
      </c>
      <c r="E3387" t="s">
        <v>331</v>
      </c>
    </row>
    <row r="3388" spans="1:5" x14ac:dyDescent="0.25">
      <c r="A3388">
        <v>1893</v>
      </c>
      <c r="B3388" s="16">
        <v>43466</v>
      </c>
      <c r="C3388" t="s">
        <v>192</v>
      </c>
      <c r="D3388">
        <v>-14000000</v>
      </c>
      <c r="E3388" t="s">
        <v>331</v>
      </c>
    </row>
    <row r="3389" spans="1:5" x14ac:dyDescent="0.25">
      <c r="A3389">
        <v>1893</v>
      </c>
      <c r="B3389" s="16">
        <v>43497</v>
      </c>
      <c r="C3389" t="s">
        <v>192</v>
      </c>
      <c r="D3389">
        <v>-14000000</v>
      </c>
      <c r="E3389" t="s">
        <v>331</v>
      </c>
    </row>
    <row r="3390" spans="1:5" x14ac:dyDescent="0.25">
      <c r="A3390">
        <v>1893</v>
      </c>
      <c r="B3390" s="16">
        <v>43525</v>
      </c>
      <c r="C3390" t="s">
        <v>192</v>
      </c>
      <c r="D3390">
        <v>-14000000</v>
      </c>
      <c r="E3390" t="s">
        <v>331</v>
      </c>
    </row>
    <row r="3391" spans="1:5" x14ac:dyDescent="0.25">
      <c r="A3391">
        <v>1893</v>
      </c>
      <c r="B3391" s="16">
        <v>43556</v>
      </c>
      <c r="C3391" t="s">
        <v>192</v>
      </c>
      <c r="D3391">
        <v>-14000000</v>
      </c>
      <c r="E3391" t="s">
        <v>331</v>
      </c>
    </row>
    <row r="3392" spans="1:5" x14ac:dyDescent="0.25">
      <c r="A3392">
        <v>1893</v>
      </c>
      <c r="B3392" s="16">
        <v>43586</v>
      </c>
      <c r="C3392" t="s">
        <v>192</v>
      </c>
      <c r="D3392">
        <v>-14000000</v>
      </c>
      <c r="E3392" t="s">
        <v>331</v>
      </c>
    </row>
    <row r="3393" spans="1:5" x14ac:dyDescent="0.25">
      <c r="A3393">
        <v>1893</v>
      </c>
      <c r="B3393" s="16">
        <v>43617</v>
      </c>
      <c r="C3393" t="s">
        <v>192</v>
      </c>
      <c r="D3393">
        <v>-14000000</v>
      </c>
      <c r="E3393" t="s">
        <v>331</v>
      </c>
    </row>
    <row r="3394" spans="1:5" x14ac:dyDescent="0.25">
      <c r="A3394">
        <v>1893</v>
      </c>
      <c r="B3394" s="16">
        <v>43647</v>
      </c>
      <c r="C3394" t="s">
        <v>192</v>
      </c>
      <c r="D3394">
        <v>-14000000</v>
      </c>
      <c r="E3394" t="s">
        <v>331</v>
      </c>
    </row>
    <row r="3395" spans="1:5" x14ac:dyDescent="0.25">
      <c r="A3395">
        <v>1893</v>
      </c>
      <c r="B3395" s="16">
        <v>43678</v>
      </c>
      <c r="C3395" t="s">
        <v>192</v>
      </c>
      <c r="D3395">
        <v>-14000000</v>
      </c>
      <c r="E3395" t="s">
        <v>331</v>
      </c>
    </row>
    <row r="3396" spans="1:5" x14ac:dyDescent="0.25">
      <c r="A3396">
        <v>1893</v>
      </c>
      <c r="B3396" s="16">
        <v>43709</v>
      </c>
      <c r="C3396" t="s">
        <v>192</v>
      </c>
      <c r="D3396">
        <v>-14000000</v>
      </c>
      <c r="E3396" t="s">
        <v>331</v>
      </c>
    </row>
    <row r="3397" spans="1:5" x14ac:dyDescent="0.25">
      <c r="A3397">
        <v>1893</v>
      </c>
      <c r="B3397" s="16">
        <v>43739</v>
      </c>
      <c r="C3397" t="s">
        <v>192</v>
      </c>
      <c r="D3397">
        <v>-14000000</v>
      </c>
      <c r="E3397" t="s">
        <v>331</v>
      </c>
    </row>
    <row r="3398" spans="1:5" x14ac:dyDescent="0.25">
      <c r="A3398">
        <v>1893</v>
      </c>
      <c r="B3398" s="16">
        <v>43770</v>
      </c>
      <c r="C3398" t="s">
        <v>192</v>
      </c>
      <c r="D3398">
        <v>-14000000</v>
      </c>
      <c r="E3398" t="s">
        <v>331</v>
      </c>
    </row>
    <row r="3399" spans="1:5" x14ac:dyDescent="0.25">
      <c r="A3399">
        <v>1893</v>
      </c>
      <c r="B3399" s="16">
        <v>43800</v>
      </c>
      <c r="C3399" t="s">
        <v>192</v>
      </c>
      <c r="D3399">
        <v>-14000000</v>
      </c>
      <c r="E3399" t="s">
        <v>331</v>
      </c>
    </row>
    <row r="3400" spans="1:5" x14ac:dyDescent="0.25">
      <c r="A3400">
        <v>1893</v>
      </c>
      <c r="B3400" s="16">
        <v>43831</v>
      </c>
      <c r="C3400" t="s">
        <v>192</v>
      </c>
      <c r="D3400">
        <v>-14000000</v>
      </c>
      <c r="E3400" t="s">
        <v>331</v>
      </c>
    </row>
    <row r="3401" spans="1:5" x14ac:dyDescent="0.25">
      <c r="A3401">
        <v>1893</v>
      </c>
      <c r="B3401" s="16">
        <v>43862</v>
      </c>
      <c r="C3401" t="s">
        <v>192</v>
      </c>
      <c r="D3401">
        <v>-14000000</v>
      </c>
      <c r="E3401" t="s">
        <v>331</v>
      </c>
    </row>
    <row r="3402" spans="1:5" x14ac:dyDescent="0.25">
      <c r="A3402">
        <v>1893</v>
      </c>
      <c r="B3402" s="16">
        <v>43891</v>
      </c>
      <c r="C3402" t="s">
        <v>192</v>
      </c>
      <c r="D3402">
        <v>-14000000</v>
      </c>
      <c r="E3402" t="s">
        <v>331</v>
      </c>
    </row>
    <row r="3403" spans="1:5" x14ac:dyDescent="0.25">
      <c r="A3403">
        <v>1890</v>
      </c>
      <c r="B3403" s="16">
        <v>43466</v>
      </c>
      <c r="C3403" t="s">
        <v>192</v>
      </c>
      <c r="D3403">
        <v>-12000000</v>
      </c>
      <c r="E3403" t="s">
        <v>331</v>
      </c>
    </row>
    <row r="3404" spans="1:5" x14ac:dyDescent="0.25">
      <c r="A3404">
        <v>1890</v>
      </c>
      <c r="B3404" s="16">
        <v>43497</v>
      </c>
      <c r="C3404" t="s">
        <v>192</v>
      </c>
      <c r="D3404">
        <v>-12000000</v>
      </c>
      <c r="E3404" t="s">
        <v>331</v>
      </c>
    </row>
    <row r="3405" spans="1:5" x14ac:dyDescent="0.25">
      <c r="A3405">
        <v>1890</v>
      </c>
      <c r="B3405" s="16">
        <v>43525</v>
      </c>
      <c r="C3405" t="s">
        <v>192</v>
      </c>
      <c r="D3405">
        <v>-12000000</v>
      </c>
      <c r="E3405" t="s">
        <v>331</v>
      </c>
    </row>
    <row r="3406" spans="1:5" x14ac:dyDescent="0.25">
      <c r="A3406">
        <v>1890</v>
      </c>
      <c r="B3406" s="16">
        <v>43556</v>
      </c>
      <c r="C3406" t="s">
        <v>192</v>
      </c>
      <c r="D3406">
        <v>-12000000</v>
      </c>
      <c r="E3406" t="s">
        <v>331</v>
      </c>
    </row>
    <row r="3407" spans="1:5" x14ac:dyDescent="0.25">
      <c r="A3407">
        <v>1890</v>
      </c>
      <c r="B3407" s="16">
        <v>43586</v>
      </c>
      <c r="C3407" t="s">
        <v>192</v>
      </c>
      <c r="D3407">
        <v>-12000000</v>
      </c>
      <c r="E3407" t="s">
        <v>331</v>
      </c>
    </row>
    <row r="3408" spans="1:5" x14ac:dyDescent="0.25">
      <c r="A3408">
        <v>1890</v>
      </c>
      <c r="B3408" s="16">
        <v>43617</v>
      </c>
      <c r="C3408" t="s">
        <v>192</v>
      </c>
      <c r="D3408">
        <v>-12000000</v>
      </c>
      <c r="E3408" t="s">
        <v>331</v>
      </c>
    </row>
    <row r="3409" spans="1:5" x14ac:dyDescent="0.25">
      <c r="A3409">
        <v>1890</v>
      </c>
      <c r="B3409" s="16">
        <v>43647</v>
      </c>
      <c r="C3409" t="s">
        <v>192</v>
      </c>
      <c r="D3409">
        <v>-12000000</v>
      </c>
      <c r="E3409" t="s">
        <v>331</v>
      </c>
    </row>
    <row r="3410" spans="1:5" x14ac:dyDescent="0.25">
      <c r="A3410">
        <v>1890</v>
      </c>
      <c r="B3410" s="16">
        <v>43678</v>
      </c>
      <c r="C3410" t="s">
        <v>192</v>
      </c>
      <c r="D3410">
        <v>-12000000</v>
      </c>
      <c r="E3410" t="s">
        <v>331</v>
      </c>
    </row>
    <row r="3411" spans="1:5" x14ac:dyDescent="0.25">
      <c r="A3411">
        <v>1890</v>
      </c>
      <c r="B3411" s="16">
        <v>43709</v>
      </c>
      <c r="C3411" t="s">
        <v>192</v>
      </c>
      <c r="D3411">
        <v>-12000000</v>
      </c>
      <c r="E3411" t="s">
        <v>331</v>
      </c>
    </row>
    <row r="3412" spans="1:5" x14ac:dyDescent="0.25">
      <c r="A3412">
        <v>1890</v>
      </c>
      <c r="B3412" s="16">
        <v>43739</v>
      </c>
      <c r="C3412" t="s">
        <v>192</v>
      </c>
      <c r="D3412">
        <v>-12000000</v>
      </c>
      <c r="E3412" t="s">
        <v>331</v>
      </c>
    </row>
    <row r="3413" spans="1:5" x14ac:dyDescent="0.25">
      <c r="A3413">
        <v>1890</v>
      </c>
      <c r="B3413" s="16">
        <v>43770</v>
      </c>
      <c r="C3413" t="s">
        <v>192</v>
      </c>
      <c r="D3413">
        <v>-12000000</v>
      </c>
      <c r="E3413" t="s">
        <v>331</v>
      </c>
    </row>
    <row r="3414" spans="1:5" x14ac:dyDescent="0.25">
      <c r="A3414">
        <v>1890</v>
      </c>
      <c r="B3414" s="16">
        <v>43800</v>
      </c>
      <c r="C3414" t="s">
        <v>192</v>
      </c>
      <c r="D3414">
        <v>-12000000</v>
      </c>
      <c r="E3414" t="s">
        <v>331</v>
      </c>
    </row>
    <row r="3415" spans="1:5" x14ac:dyDescent="0.25">
      <c r="A3415">
        <v>1890</v>
      </c>
      <c r="B3415" s="16">
        <v>43831</v>
      </c>
      <c r="C3415" t="s">
        <v>192</v>
      </c>
      <c r="D3415">
        <v>-12000000</v>
      </c>
      <c r="E3415" t="s">
        <v>331</v>
      </c>
    </row>
    <row r="3416" spans="1:5" x14ac:dyDescent="0.25">
      <c r="A3416">
        <v>1890</v>
      </c>
      <c r="B3416" s="16">
        <v>43862</v>
      </c>
      <c r="C3416" t="s">
        <v>192</v>
      </c>
      <c r="D3416">
        <v>-12000000</v>
      </c>
      <c r="E3416" t="s">
        <v>331</v>
      </c>
    </row>
    <row r="3417" spans="1:5" x14ac:dyDescent="0.25">
      <c r="A3417">
        <v>1890</v>
      </c>
      <c r="B3417" s="16">
        <v>43891</v>
      </c>
      <c r="C3417" t="s">
        <v>192</v>
      </c>
      <c r="D3417">
        <v>-12000000</v>
      </c>
      <c r="E3417" t="s">
        <v>331</v>
      </c>
    </row>
    <row r="3418" spans="1:5" x14ac:dyDescent="0.25">
      <c r="A3418">
        <v>1890</v>
      </c>
      <c r="B3418" s="16">
        <v>43922</v>
      </c>
      <c r="C3418" t="s">
        <v>192</v>
      </c>
      <c r="D3418">
        <v>-12000000</v>
      </c>
      <c r="E3418" t="s">
        <v>331</v>
      </c>
    </row>
    <row r="3419" spans="1:5" x14ac:dyDescent="0.25">
      <c r="A3419">
        <v>1890</v>
      </c>
      <c r="B3419" s="16">
        <v>43952</v>
      </c>
      <c r="C3419" t="s">
        <v>192</v>
      </c>
      <c r="D3419">
        <v>-12000000</v>
      </c>
      <c r="E3419" t="s">
        <v>331</v>
      </c>
    </row>
    <row r="3420" spans="1:5" x14ac:dyDescent="0.25">
      <c r="A3420">
        <v>1890</v>
      </c>
      <c r="B3420" s="16">
        <v>43983</v>
      </c>
      <c r="C3420" t="s">
        <v>192</v>
      </c>
      <c r="D3420">
        <v>-12000000</v>
      </c>
      <c r="E3420" t="s">
        <v>331</v>
      </c>
    </row>
    <row r="3421" spans="1:5" x14ac:dyDescent="0.25">
      <c r="A3421">
        <v>1890</v>
      </c>
      <c r="B3421" s="16">
        <v>44013</v>
      </c>
      <c r="C3421" t="s">
        <v>192</v>
      </c>
      <c r="D3421">
        <v>-12000000</v>
      </c>
      <c r="E3421" t="s">
        <v>331</v>
      </c>
    </row>
    <row r="3422" spans="1:5" x14ac:dyDescent="0.25">
      <c r="A3422">
        <v>1890</v>
      </c>
      <c r="B3422" s="16">
        <v>44044</v>
      </c>
      <c r="C3422" t="s">
        <v>192</v>
      </c>
      <c r="D3422">
        <v>-12000000</v>
      </c>
      <c r="E3422" t="s">
        <v>331</v>
      </c>
    </row>
    <row r="3423" spans="1:5" x14ac:dyDescent="0.25">
      <c r="A3423">
        <v>1890</v>
      </c>
      <c r="B3423" s="16">
        <v>44075</v>
      </c>
      <c r="C3423" t="s">
        <v>192</v>
      </c>
      <c r="D3423">
        <v>-12000000</v>
      </c>
      <c r="E3423" t="s">
        <v>331</v>
      </c>
    </row>
    <row r="3424" spans="1:5" x14ac:dyDescent="0.25">
      <c r="A3424">
        <v>1890</v>
      </c>
      <c r="B3424" s="16">
        <v>44105</v>
      </c>
      <c r="C3424" t="s">
        <v>192</v>
      </c>
      <c r="D3424">
        <v>-12000000</v>
      </c>
      <c r="E3424" t="s">
        <v>331</v>
      </c>
    </row>
    <row r="3425" spans="1:5" x14ac:dyDescent="0.25">
      <c r="A3425">
        <v>1890</v>
      </c>
      <c r="B3425" s="16">
        <v>44136</v>
      </c>
      <c r="C3425" t="s">
        <v>192</v>
      </c>
      <c r="D3425">
        <v>-12000000</v>
      </c>
      <c r="E3425" t="s">
        <v>331</v>
      </c>
    </row>
    <row r="3426" spans="1:5" x14ac:dyDescent="0.25">
      <c r="A3426">
        <v>1890</v>
      </c>
      <c r="B3426" s="16">
        <v>44166</v>
      </c>
      <c r="C3426" t="s">
        <v>192</v>
      </c>
      <c r="D3426">
        <v>-12000000</v>
      </c>
      <c r="E3426" t="s">
        <v>331</v>
      </c>
    </row>
    <row r="3427" spans="1:5" x14ac:dyDescent="0.25">
      <c r="A3427">
        <v>1715</v>
      </c>
      <c r="B3427" s="16">
        <v>43466</v>
      </c>
      <c r="C3427" t="s">
        <v>192</v>
      </c>
      <c r="D3427">
        <v>-7050296.2803877732</v>
      </c>
      <c r="E3427" t="s">
        <v>331</v>
      </c>
    </row>
    <row r="3428" spans="1:5" x14ac:dyDescent="0.25">
      <c r="A3428">
        <v>1715</v>
      </c>
      <c r="B3428" s="16">
        <v>43497</v>
      </c>
      <c r="C3428" t="s">
        <v>192</v>
      </c>
      <c r="D3428">
        <v>-7050296.2803877732</v>
      </c>
      <c r="E3428" t="s">
        <v>331</v>
      </c>
    </row>
    <row r="3429" spans="1:5" x14ac:dyDescent="0.25">
      <c r="A3429">
        <v>1715</v>
      </c>
      <c r="B3429" s="16">
        <v>43525</v>
      </c>
      <c r="C3429" t="s">
        <v>192</v>
      </c>
      <c r="D3429">
        <v>-7050296.2803877732</v>
      </c>
      <c r="E3429" t="s">
        <v>331</v>
      </c>
    </row>
    <row r="3430" spans="1:5" x14ac:dyDescent="0.25">
      <c r="A3430">
        <v>1715</v>
      </c>
      <c r="B3430" s="16">
        <v>43466</v>
      </c>
      <c r="C3430" t="s">
        <v>192</v>
      </c>
      <c r="D3430">
        <v>-5301683.8089733012</v>
      </c>
      <c r="E3430" t="s">
        <v>331</v>
      </c>
    </row>
    <row r="3431" spans="1:5" x14ac:dyDescent="0.25">
      <c r="A3431">
        <v>1715</v>
      </c>
      <c r="B3431" s="16">
        <v>43497</v>
      </c>
      <c r="C3431" t="s">
        <v>192</v>
      </c>
      <c r="D3431">
        <v>-5301683.8089733012</v>
      </c>
      <c r="E3431" t="s">
        <v>331</v>
      </c>
    </row>
    <row r="3432" spans="1:5" x14ac:dyDescent="0.25">
      <c r="A3432">
        <v>1715</v>
      </c>
      <c r="B3432" s="16">
        <v>43525</v>
      </c>
      <c r="C3432" t="s">
        <v>192</v>
      </c>
      <c r="D3432">
        <v>-5301683.8089733012</v>
      </c>
      <c r="E3432" t="s">
        <v>331</v>
      </c>
    </row>
    <row r="3433" spans="1:5" x14ac:dyDescent="0.25">
      <c r="A3433">
        <v>1715</v>
      </c>
      <c r="B3433" s="16">
        <v>43466</v>
      </c>
      <c r="C3433" t="s">
        <v>192</v>
      </c>
      <c r="D3433">
        <v>-7122595.6118260631</v>
      </c>
      <c r="E3433" t="s">
        <v>331</v>
      </c>
    </row>
    <row r="3434" spans="1:5" x14ac:dyDescent="0.25">
      <c r="A3434">
        <v>1715</v>
      </c>
      <c r="B3434" s="16">
        <v>43497</v>
      </c>
      <c r="C3434" t="s">
        <v>192</v>
      </c>
      <c r="D3434">
        <v>-7122595.6118260631</v>
      </c>
      <c r="E3434" t="s">
        <v>331</v>
      </c>
    </row>
    <row r="3435" spans="1:5" x14ac:dyDescent="0.25">
      <c r="A3435">
        <v>1715</v>
      </c>
      <c r="B3435" s="16">
        <v>43525</v>
      </c>
      <c r="C3435" t="s">
        <v>192</v>
      </c>
      <c r="D3435">
        <v>-7122595.6118260631</v>
      </c>
      <c r="E3435" t="s">
        <v>331</v>
      </c>
    </row>
    <row r="3436" spans="1:5" x14ac:dyDescent="0.25">
      <c r="A3436">
        <v>1715</v>
      </c>
      <c r="B3436" s="16">
        <v>43466</v>
      </c>
      <c r="C3436" t="s">
        <v>192</v>
      </c>
      <c r="D3436">
        <v>-2753063.7872998388</v>
      </c>
      <c r="E3436" t="s">
        <v>331</v>
      </c>
    </row>
    <row r="3437" spans="1:5" x14ac:dyDescent="0.25">
      <c r="A3437">
        <v>1715</v>
      </c>
      <c r="B3437" s="16">
        <v>43497</v>
      </c>
      <c r="C3437" t="s">
        <v>192</v>
      </c>
      <c r="D3437">
        <v>-2753063.7872998388</v>
      </c>
      <c r="E3437" t="s">
        <v>331</v>
      </c>
    </row>
    <row r="3438" spans="1:5" x14ac:dyDescent="0.25">
      <c r="A3438">
        <v>1715</v>
      </c>
      <c r="B3438" s="16">
        <v>43525</v>
      </c>
      <c r="C3438" t="s">
        <v>192</v>
      </c>
      <c r="D3438">
        <v>-2753063.7872998388</v>
      </c>
      <c r="E3438" t="s">
        <v>331</v>
      </c>
    </row>
    <row r="3439" spans="1:5" x14ac:dyDescent="0.25">
      <c r="A3439">
        <v>1715</v>
      </c>
      <c r="B3439" s="16">
        <v>43466</v>
      </c>
      <c r="C3439" t="s">
        <v>192</v>
      </c>
      <c r="D3439">
        <v>-4064763.0345789804</v>
      </c>
      <c r="E3439" t="s">
        <v>331</v>
      </c>
    </row>
    <row r="3440" spans="1:5" x14ac:dyDescent="0.25">
      <c r="A3440">
        <v>1715</v>
      </c>
      <c r="B3440" s="16">
        <v>43497</v>
      </c>
      <c r="C3440" t="s">
        <v>192</v>
      </c>
      <c r="D3440">
        <v>-4064763.0345789804</v>
      </c>
      <c r="E3440" t="s">
        <v>331</v>
      </c>
    </row>
    <row r="3441" spans="1:5" x14ac:dyDescent="0.25">
      <c r="A3441">
        <v>1715</v>
      </c>
      <c r="B3441" s="16">
        <v>43525</v>
      </c>
      <c r="C3441" t="s">
        <v>192</v>
      </c>
      <c r="D3441">
        <v>-4064763.0345789804</v>
      </c>
      <c r="E3441" t="s">
        <v>331</v>
      </c>
    </row>
    <row r="3442" spans="1:5" x14ac:dyDescent="0.25">
      <c r="A3442">
        <v>1715</v>
      </c>
      <c r="B3442" s="16">
        <v>43466</v>
      </c>
      <c r="C3442" t="s">
        <v>192</v>
      </c>
      <c r="D3442">
        <v>-3114204.2269340428</v>
      </c>
      <c r="E3442" t="s">
        <v>331</v>
      </c>
    </row>
    <row r="3443" spans="1:5" x14ac:dyDescent="0.25">
      <c r="A3443">
        <v>1715</v>
      </c>
      <c r="B3443" s="16">
        <v>43497</v>
      </c>
      <c r="C3443" t="s">
        <v>192</v>
      </c>
      <c r="D3443">
        <v>-3114204.2269340428</v>
      </c>
      <c r="E3443" t="s">
        <v>331</v>
      </c>
    </row>
    <row r="3444" spans="1:5" x14ac:dyDescent="0.25">
      <c r="A3444">
        <v>1715</v>
      </c>
      <c r="B3444" s="16">
        <v>43525</v>
      </c>
      <c r="C3444" t="s">
        <v>192</v>
      </c>
      <c r="D3444">
        <v>-3114204.2269340428</v>
      </c>
      <c r="E3444" t="s">
        <v>331</v>
      </c>
    </row>
    <row r="3445" spans="1:5" x14ac:dyDescent="0.25">
      <c r="A3445">
        <v>1848</v>
      </c>
      <c r="B3445" s="16">
        <v>43466</v>
      </c>
      <c r="C3445" t="s">
        <v>192</v>
      </c>
      <c r="D3445">
        <v>-12773052.833333334</v>
      </c>
      <c r="E3445" t="s">
        <v>331</v>
      </c>
    </row>
    <row r="3446" spans="1:5" x14ac:dyDescent="0.25">
      <c r="A3446">
        <v>1848</v>
      </c>
      <c r="B3446" s="16">
        <v>43497</v>
      </c>
      <c r="C3446" t="s">
        <v>192</v>
      </c>
      <c r="D3446">
        <v>-12773052.833333334</v>
      </c>
      <c r="E3446" t="s">
        <v>331</v>
      </c>
    </row>
    <row r="3447" spans="1:5" x14ac:dyDescent="0.25">
      <c r="A3447">
        <v>1806</v>
      </c>
      <c r="B3447" s="16">
        <v>43466</v>
      </c>
      <c r="C3447" t="s">
        <v>192</v>
      </c>
      <c r="D3447">
        <v>-50000000</v>
      </c>
      <c r="E3447" t="s">
        <v>331</v>
      </c>
    </row>
    <row r="3448" spans="1:5" x14ac:dyDescent="0.25">
      <c r="A3448">
        <v>1806</v>
      </c>
      <c r="B3448" s="16">
        <v>43497</v>
      </c>
      <c r="C3448" t="s">
        <v>192</v>
      </c>
      <c r="D3448">
        <v>-50000000</v>
      </c>
      <c r="E3448" t="s">
        <v>331</v>
      </c>
    </row>
    <row r="3449" spans="1:5" x14ac:dyDescent="0.25">
      <c r="A3449">
        <v>1806</v>
      </c>
      <c r="B3449" s="16">
        <v>43525</v>
      </c>
      <c r="C3449" t="s">
        <v>192</v>
      </c>
      <c r="D3449">
        <v>-50000000</v>
      </c>
      <c r="E3449" t="s">
        <v>331</v>
      </c>
    </row>
    <row r="3450" spans="1:5" x14ac:dyDescent="0.25">
      <c r="A3450">
        <v>1806</v>
      </c>
      <c r="B3450" s="16">
        <v>43556</v>
      </c>
      <c r="C3450" t="s">
        <v>192</v>
      </c>
      <c r="D3450">
        <v>-50000000</v>
      </c>
      <c r="E3450" t="s">
        <v>331</v>
      </c>
    </row>
    <row r="3451" spans="1:5" x14ac:dyDescent="0.25">
      <c r="A3451">
        <v>1806</v>
      </c>
      <c r="B3451" s="16">
        <v>43586</v>
      </c>
      <c r="C3451" t="s">
        <v>192</v>
      </c>
      <c r="D3451">
        <v>-50000000</v>
      </c>
      <c r="E3451" t="s">
        <v>331</v>
      </c>
    </row>
    <row r="3452" spans="1:5" x14ac:dyDescent="0.25">
      <c r="A3452">
        <v>1824</v>
      </c>
      <c r="B3452" s="16">
        <v>43466</v>
      </c>
      <c r="C3452" t="s">
        <v>192</v>
      </c>
      <c r="D3452">
        <v>-48166666.666666664</v>
      </c>
      <c r="E3452" t="s">
        <v>331</v>
      </c>
    </row>
    <row r="3453" spans="1:5" x14ac:dyDescent="0.25">
      <c r="A3453">
        <v>1824</v>
      </c>
      <c r="B3453" s="16">
        <v>43497</v>
      </c>
      <c r="C3453" t="s">
        <v>192</v>
      </c>
      <c r="D3453">
        <v>-48166666.666666664</v>
      </c>
      <c r="E3453" t="s">
        <v>331</v>
      </c>
    </row>
    <row r="3454" spans="1:5" x14ac:dyDescent="0.25">
      <c r="A3454">
        <v>1824</v>
      </c>
      <c r="B3454" s="16">
        <v>43525</v>
      </c>
      <c r="C3454" t="s">
        <v>192</v>
      </c>
      <c r="D3454">
        <v>-48166666.666666664</v>
      </c>
      <c r="E3454" t="s">
        <v>331</v>
      </c>
    </row>
    <row r="3455" spans="1:5" x14ac:dyDescent="0.25">
      <c r="A3455">
        <v>1824</v>
      </c>
      <c r="B3455" s="16">
        <v>43556</v>
      </c>
      <c r="C3455" t="s">
        <v>192</v>
      </c>
      <c r="D3455">
        <v>-48166666.666666664</v>
      </c>
      <c r="E3455" t="s">
        <v>331</v>
      </c>
    </row>
    <row r="3456" spans="1:5" x14ac:dyDescent="0.25">
      <c r="A3456">
        <v>1824</v>
      </c>
      <c r="B3456" s="16">
        <v>43586</v>
      </c>
      <c r="C3456" t="s">
        <v>192</v>
      </c>
      <c r="D3456">
        <v>-48166666.666666664</v>
      </c>
      <c r="E3456" t="s">
        <v>331</v>
      </c>
    </row>
    <row r="3457" spans="1:5" x14ac:dyDescent="0.25">
      <c r="A3457">
        <v>1824</v>
      </c>
      <c r="B3457" s="16">
        <v>43617</v>
      </c>
      <c r="C3457" t="s">
        <v>192</v>
      </c>
      <c r="D3457">
        <v>-48166666.666666664</v>
      </c>
      <c r="E3457" t="s">
        <v>331</v>
      </c>
    </row>
    <row r="3458" spans="1:5" x14ac:dyDescent="0.25">
      <c r="A3458">
        <v>1837</v>
      </c>
      <c r="B3458" s="16">
        <v>43466</v>
      </c>
      <c r="C3458" t="s">
        <v>192</v>
      </c>
      <c r="D3458">
        <v>-10500000</v>
      </c>
      <c r="E3458" t="s">
        <v>331</v>
      </c>
    </row>
    <row r="3459" spans="1:5" x14ac:dyDescent="0.25">
      <c r="A3459">
        <v>1837</v>
      </c>
      <c r="B3459" s="16">
        <v>43497</v>
      </c>
      <c r="C3459" t="s">
        <v>192</v>
      </c>
      <c r="D3459">
        <v>-10500000</v>
      </c>
      <c r="E3459" t="s">
        <v>331</v>
      </c>
    </row>
    <row r="3460" spans="1:5" x14ac:dyDescent="0.25">
      <c r="A3460">
        <v>1866</v>
      </c>
      <c r="B3460" s="16">
        <v>43497</v>
      </c>
      <c r="C3460" t="s">
        <v>192</v>
      </c>
      <c r="D3460">
        <v>-9800000</v>
      </c>
      <c r="E3460" t="s">
        <v>331</v>
      </c>
    </row>
    <row r="3461" spans="1:5" x14ac:dyDescent="0.25">
      <c r="A3461">
        <v>1866</v>
      </c>
      <c r="B3461" s="16">
        <v>43525</v>
      </c>
      <c r="C3461" t="s">
        <v>192</v>
      </c>
      <c r="D3461">
        <v>-9800000</v>
      </c>
      <c r="E3461" t="s">
        <v>331</v>
      </c>
    </row>
    <row r="3462" spans="1:5" x14ac:dyDescent="0.25">
      <c r="A3462">
        <v>1866</v>
      </c>
      <c r="B3462" s="16">
        <v>43556</v>
      </c>
      <c r="C3462" t="s">
        <v>192</v>
      </c>
      <c r="D3462">
        <v>-9800000</v>
      </c>
      <c r="E3462" t="s">
        <v>331</v>
      </c>
    </row>
    <row r="3463" spans="1:5" x14ac:dyDescent="0.25">
      <c r="A3463">
        <v>1866</v>
      </c>
      <c r="B3463" s="16">
        <v>43586</v>
      </c>
      <c r="C3463" t="s">
        <v>192</v>
      </c>
      <c r="D3463">
        <v>-9800000</v>
      </c>
      <c r="E3463" t="s">
        <v>331</v>
      </c>
    </row>
    <row r="3464" spans="1:5" x14ac:dyDescent="0.25">
      <c r="A3464">
        <v>1866</v>
      </c>
      <c r="B3464" s="16">
        <v>43617</v>
      </c>
      <c r="C3464" t="s">
        <v>192</v>
      </c>
      <c r="D3464">
        <v>-9800000</v>
      </c>
      <c r="E3464" t="s">
        <v>331</v>
      </c>
    </row>
    <row r="3465" spans="1:5" x14ac:dyDescent="0.25">
      <c r="A3465">
        <v>1866</v>
      </c>
      <c r="B3465" s="16">
        <v>43647</v>
      </c>
      <c r="C3465" t="s">
        <v>192</v>
      </c>
      <c r="D3465">
        <v>-9800000</v>
      </c>
      <c r="E3465" t="s">
        <v>331</v>
      </c>
    </row>
    <row r="3466" spans="1:5" x14ac:dyDescent="0.25">
      <c r="A3466">
        <v>1866</v>
      </c>
      <c r="B3466" s="16">
        <v>43678</v>
      </c>
      <c r="C3466" t="s">
        <v>192</v>
      </c>
      <c r="D3466">
        <v>-9800000</v>
      </c>
      <c r="E3466" t="s">
        <v>331</v>
      </c>
    </row>
    <row r="3467" spans="1:5" x14ac:dyDescent="0.25">
      <c r="A3467">
        <v>1866</v>
      </c>
      <c r="B3467" s="16">
        <v>43709</v>
      </c>
      <c r="C3467" t="s">
        <v>192</v>
      </c>
      <c r="D3467">
        <v>-9800000</v>
      </c>
      <c r="E3467" t="s">
        <v>331</v>
      </c>
    </row>
    <row r="3468" spans="1:5" x14ac:dyDescent="0.25">
      <c r="A3468">
        <v>1866</v>
      </c>
      <c r="B3468" s="16">
        <v>43739</v>
      </c>
      <c r="C3468" t="s">
        <v>192</v>
      </c>
      <c r="D3468">
        <v>-9800000</v>
      </c>
      <c r="E3468" t="s">
        <v>331</v>
      </c>
    </row>
    <row r="3469" spans="1:5" x14ac:dyDescent="0.25">
      <c r="A3469">
        <v>1866</v>
      </c>
      <c r="B3469" s="16">
        <v>43770</v>
      </c>
      <c r="C3469" t="s">
        <v>192</v>
      </c>
      <c r="D3469">
        <v>-9800000</v>
      </c>
      <c r="E3469" t="s">
        <v>331</v>
      </c>
    </row>
    <row r="3470" spans="1:5" x14ac:dyDescent="0.25">
      <c r="A3470">
        <v>1866</v>
      </c>
      <c r="B3470" s="16">
        <v>43800</v>
      </c>
      <c r="C3470" t="s">
        <v>192</v>
      </c>
      <c r="D3470">
        <v>-9800000</v>
      </c>
      <c r="E3470" t="s">
        <v>331</v>
      </c>
    </row>
    <row r="3471" spans="1:5" x14ac:dyDescent="0.25">
      <c r="A3471">
        <v>1866</v>
      </c>
      <c r="B3471" s="16">
        <v>43831</v>
      </c>
      <c r="C3471" t="s">
        <v>192</v>
      </c>
      <c r="D3471">
        <v>-9800000</v>
      </c>
      <c r="E3471" t="s">
        <v>331</v>
      </c>
    </row>
    <row r="3472" spans="1:5" x14ac:dyDescent="0.25">
      <c r="A3472">
        <v>1866</v>
      </c>
      <c r="B3472" s="16">
        <v>43862</v>
      </c>
      <c r="C3472" t="s">
        <v>192</v>
      </c>
      <c r="D3472">
        <v>-9800000</v>
      </c>
      <c r="E3472" t="s">
        <v>331</v>
      </c>
    </row>
    <row r="3473" spans="1:5" x14ac:dyDescent="0.25">
      <c r="A3473">
        <v>1866</v>
      </c>
      <c r="B3473" s="16">
        <v>43891</v>
      </c>
      <c r="C3473" t="s">
        <v>192</v>
      </c>
      <c r="D3473">
        <v>-9800000</v>
      </c>
      <c r="E3473" t="s">
        <v>331</v>
      </c>
    </row>
    <row r="3474" spans="1:5" x14ac:dyDescent="0.25">
      <c r="A3474">
        <v>1848</v>
      </c>
      <c r="B3474" s="16">
        <v>43525</v>
      </c>
      <c r="C3474" t="s">
        <v>192</v>
      </c>
      <c r="D3474">
        <v>-12773052.833333334</v>
      </c>
      <c r="E3474" t="s">
        <v>331</v>
      </c>
    </row>
    <row r="3475" spans="1:5" x14ac:dyDescent="0.25">
      <c r="A3475">
        <v>1848</v>
      </c>
      <c r="B3475" s="16">
        <v>43556</v>
      </c>
      <c r="C3475" t="s">
        <v>192</v>
      </c>
      <c r="D3475">
        <v>-12773052.833333334</v>
      </c>
      <c r="E3475" t="s">
        <v>331</v>
      </c>
    </row>
    <row r="3476" spans="1:5" x14ac:dyDescent="0.25">
      <c r="A3476">
        <v>1848</v>
      </c>
      <c r="B3476" s="16">
        <v>43586</v>
      </c>
      <c r="C3476" t="s">
        <v>192</v>
      </c>
      <c r="D3476">
        <v>-12773052.833333334</v>
      </c>
      <c r="E3476" t="s">
        <v>331</v>
      </c>
    </row>
    <row r="3477" spans="1:5" x14ac:dyDescent="0.25">
      <c r="A3477">
        <v>1848</v>
      </c>
      <c r="B3477" s="16">
        <v>43617</v>
      </c>
      <c r="C3477" t="s">
        <v>192</v>
      </c>
      <c r="D3477">
        <v>-12773052.833333334</v>
      </c>
      <c r="E3477" t="s">
        <v>331</v>
      </c>
    </row>
    <row r="3478" spans="1:5" x14ac:dyDescent="0.25">
      <c r="A3478">
        <v>1848</v>
      </c>
      <c r="B3478" s="16">
        <v>43647</v>
      </c>
      <c r="C3478" t="s">
        <v>192</v>
      </c>
      <c r="D3478">
        <v>-12773052.833333334</v>
      </c>
      <c r="E3478" t="s">
        <v>331</v>
      </c>
    </row>
    <row r="3479" spans="1:5" x14ac:dyDescent="0.25">
      <c r="A3479">
        <v>1848</v>
      </c>
      <c r="B3479" s="16">
        <v>43678</v>
      </c>
      <c r="C3479" t="s">
        <v>192</v>
      </c>
      <c r="D3479">
        <v>-12773052.833333334</v>
      </c>
      <c r="E3479" t="s">
        <v>331</v>
      </c>
    </row>
    <row r="3480" spans="1:5" x14ac:dyDescent="0.25">
      <c r="A3480">
        <v>1848</v>
      </c>
      <c r="B3480" s="16">
        <v>43709</v>
      </c>
      <c r="C3480" t="s">
        <v>192</v>
      </c>
      <c r="D3480">
        <v>-12773052.833333334</v>
      </c>
      <c r="E3480" t="s">
        <v>331</v>
      </c>
    </row>
    <row r="3481" spans="1:5" x14ac:dyDescent="0.25">
      <c r="A3481">
        <v>1848</v>
      </c>
      <c r="B3481" s="16">
        <v>43739</v>
      </c>
      <c r="C3481" t="s">
        <v>192</v>
      </c>
      <c r="D3481">
        <v>-12773052.833333334</v>
      </c>
      <c r="E3481" t="s">
        <v>331</v>
      </c>
    </row>
    <row r="3482" spans="1:5" x14ac:dyDescent="0.25">
      <c r="A3482">
        <v>1848</v>
      </c>
      <c r="B3482" s="16">
        <v>43770</v>
      </c>
      <c r="C3482" t="s">
        <v>192</v>
      </c>
      <c r="D3482">
        <v>-12773052.833333334</v>
      </c>
      <c r="E3482" t="s">
        <v>331</v>
      </c>
    </row>
    <row r="3483" spans="1:5" x14ac:dyDescent="0.25">
      <c r="A3483">
        <v>1845</v>
      </c>
      <c r="B3483" s="16">
        <v>43497</v>
      </c>
      <c r="C3483" t="s">
        <v>192</v>
      </c>
      <c r="D3483">
        <v>-22250000</v>
      </c>
      <c r="E3483" t="s">
        <v>331</v>
      </c>
    </row>
    <row r="3484" spans="1:5" x14ac:dyDescent="0.25">
      <c r="A3484">
        <v>1845</v>
      </c>
      <c r="B3484" s="16">
        <v>43525</v>
      </c>
      <c r="C3484" t="s">
        <v>192</v>
      </c>
      <c r="D3484">
        <v>-22250000</v>
      </c>
      <c r="E3484" t="s">
        <v>331</v>
      </c>
    </row>
    <row r="3485" spans="1:5" x14ac:dyDescent="0.25">
      <c r="A3485">
        <v>1845</v>
      </c>
      <c r="B3485" s="16">
        <v>43556</v>
      </c>
      <c r="C3485" t="s">
        <v>192</v>
      </c>
      <c r="D3485">
        <v>-22250000</v>
      </c>
      <c r="E3485" t="s">
        <v>331</v>
      </c>
    </row>
    <row r="3486" spans="1:5" x14ac:dyDescent="0.25">
      <c r="A3486">
        <v>1845</v>
      </c>
      <c r="B3486" s="16">
        <v>43586</v>
      </c>
      <c r="C3486" t="s">
        <v>192</v>
      </c>
      <c r="D3486">
        <v>-22250000</v>
      </c>
      <c r="E3486" t="s">
        <v>331</v>
      </c>
    </row>
    <row r="3487" spans="1:5" x14ac:dyDescent="0.25">
      <c r="A3487">
        <v>1845</v>
      </c>
      <c r="B3487" s="16">
        <v>43617</v>
      </c>
      <c r="C3487" t="s">
        <v>192</v>
      </c>
      <c r="D3487">
        <v>-22250000</v>
      </c>
      <c r="E3487" t="s">
        <v>331</v>
      </c>
    </row>
    <row r="3488" spans="1:5" x14ac:dyDescent="0.25">
      <c r="A3488">
        <v>1845</v>
      </c>
      <c r="B3488" s="16">
        <v>43647</v>
      </c>
      <c r="C3488" t="s">
        <v>192</v>
      </c>
      <c r="D3488">
        <v>-22250000</v>
      </c>
      <c r="E3488" t="s">
        <v>331</v>
      </c>
    </row>
    <row r="3489" spans="1:5" x14ac:dyDescent="0.25">
      <c r="A3489">
        <v>1845</v>
      </c>
      <c r="B3489" s="16">
        <v>43678</v>
      </c>
      <c r="C3489" t="s">
        <v>192</v>
      </c>
      <c r="D3489">
        <v>-22250000</v>
      </c>
      <c r="E3489" t="s">
        <v>331</v>
      </c>
    </row>
    <row r="3490" spans="1:5" x14ac:dyDescent="0.25">
      <c r="A3490">
        <v>1790</v>
      </c>
      <c r="B3490" s="16">
        <v>43556</v>
      </c>
      <c r="C3490" t="s">
        <v>192</v>
      </c>
      <c r="D3490">
        <v>-17160000</v>
      </c>
      <c r="E3490" t="s">
        <v>331</v>
      </c>
    </row>
    <row r="3491" spans="1:5" x14ac:dyDescent="0.25">
      <c r="A3491">
        <v>1790</v>
      </c>
      <c r="B3491" s="16">
        <v>43586</v>
      </c>
      <c r="C3491" t="s">
        <v>192</v>
      </c>
      <c r="D3491">
        <v>-17160000</v>
      </c>
      <c r="E3491" t="s">
        <v>331</v>
      </c>
    </row>
    <row r="3492" spans="1:5" x14ac:dyDescent="0.25">
      <c r="A3492">
        <v>1790</v>
      </c>
      <c r="B3492" s="16">
        <v>43617</v>
      </c>
      <c r="C3492" t="s">
        <v>192</v>
      </c>
      <c r="D3492">
        <v>-17160000</v>
      </c>
      <c r="E3492" t="s">
        <v>331</v>
      </c>
    </row>
    <row r="3493" spans="1:5" x14ac:dyDescent="0.25">
      <c r="A3493">
        <v>1790</v>
      </c>
      <c r="B3493" s="16">
        <v>43647</v>
      </c>
      <c r="C3493" t="s">
        <v>192</v>
      </c>
      <c r="D3493">
        <v>-17160000</v>
      </c>
      <c r="E3493" t="s">
        <v>331</v>
      </c>
    </row>
    <row r="3494" spans="1:5" x14ac:dyDescent="0.25">
      <c r="A3494">
        <v>1790</v>
      </c>
      <c r="B3494" s="16">
        <v>43678</v>
      </c>
      <c r="C3494" t="s">
        <v>192</v>
      </c>
      <c r="D3494">
        <v>-17160000</v>
      </c>
      <c r="E3494" t="s">
        <v>331</v>
      </c>
    </row>
    <row r="3495" spans="1:5" x14ac:dyDescent="0.25">
      <c r="A3495">
        <v>1790</v>
      </c>
      <c r="B3495" s="16">
        <v>43709</v>
      </c>
      <c r="C3495" t="s">
        <v>192</v>
      </c>
      <c r="D3495">
        <v>-17160000</v>
      </c>
      <c r="E3495" t="s">
        <v>331</v>
      </c>
    </row>
    <row r="3496" spans="1:5" x14ac:dyDescent="0.25">
      <c r="A3496">
        <v>1790</v>
      </c>
      <c r="B3496" s="16">
        <v>43739</v>
      </c>
      <c r="C3496" t="s">
        <v>192</v>
      </c>
      <c r="D3496">
        <v>-17160000</v>
      </c>
      <c r="E3496" t="s">
        <v>331</v>
      </c>
    </row>
    <row r="3497" spans="1:5" x14ac:dyDescent="0.25">
      <c r="A3497">
        <v>1790</v>
      </c>
      <c r="B3497" s="16">
        <v>43770</v>
      </c>
      <c r="C3497" t="s">
        <v>192</v>
      </c>
      <c r="D3497">
        <v>-17160000</v>
      </c>
      <c r="E3497" t="s">
        <v>331</v>
      </c>
    </row>
    <row r="3498" spans="1:5" x14ac:dyDescent="0.25">
      <c r="A3498">
        <v>1790</v>
      </c>
      <c r="B3498" s="16">
        <v>43800</v>
      </c>
      <c r="C3498" t="s">
        <v>192</v>
      </c>
      <c r="D3498">
        <v>-17160000</v>
      </c>
      <c r="E3498" t="s">
        <v>331</v>
      </c>
    </row>
    <row r="3499" spans="1:5" x14ac:dyDescent="0.25">
      <c r="A3499">
        <v>1790</v>
      </c>
      <c r="B3499" s="16">
        <v>43831</v>
      </c>
      <c r="C3499" t="s">
        <v>192</v>
      </c>
      <c r="D3499">
        <v>-17160000</v>
      </c>
      <c r="E3499" t="s">
        <v>331</v>
      </c>
    </row>
    <row r="3500" spans="1:5" x14ac:dyDescent="0.25">
      <c r="A3500">
        <v>1790</v>
      </c>
      <c r="B3500" s="16">
        <v>43862</v>
      </c>
      <c r="C3500" t="s">
        <v>192</v>
      </c>
      <c r="D3500">
        <v>-17160000</v>
      </c>
      <c r="E3500" t="s">
        <v>331</v>
      </c>
    </row>
    <row r="3501" spans="1:5" x14ac:dyDescent="0.25">
      <c r="A3501">
        <v>1790</v>
      </c>
      <c r="B3501" s="16">
        <v>43891</v>
      </c>
      <c r="C3501" t="s">
        <v>192</v>
      </c>
      <c r="D3501">
        <v>-17160000</v>
      </c>
      <c r="E3501" t="s">
        <v>331</v>
      </c>
    </row>
    <row r="3502" spans="1:5" x14ac:dyDescent="0.25">
      <c r="A3502">
        <v>1790</v>
      </c>
      <c r="B3502" s="16">
        <v>43922</v>
      </c>
      <c r="C3502" t="s">
        <v>192</v>
      </c>
      <c r="D3502">
        <v>-17160000</v>
      </c>
      <c r="E3502" t="s">
        <v>331</v>
      </c>
    </row>
    <row r="3503" spans="1:5" x14ac:dyDescent="0.25">
      <c r="A3503">
        <v>1899</v>
      </c>
      <c r="B3503" s="16">
        <v>43525</v>
      </c>
      <c r="C3503" t="s">
        <v>192</v>
      </c>
      <c r="D3503">
        <v>-26936126</v>
      </c>
      <c r="E3503" t="s">
        <v>331</v>
      </c>
    </row>
    <row r="3504" spans="1:5" x14ac:dyDescent="0.25">
      <c r="A3504">
        <v>1899</v>
      </c>
      <c r="B3504" s="16">
        <v>43556</v>
      </c>
      <c r="C3504" t="s">
        <v>192</v>
      </c>
      <c r="D3504">
        <v>-26936126</v>
      </c>
      <c r="E3504" t="s">
        <v>331</v>
      </c>
    </row>
    <row r="3505" spans="1:5" x14ac:dyDescent="0.25">
      <c r="A3505">
        <v>1899</v>
      </c>
      <c r="B3505" s="16">
        <v>43586</v>
      </c>
      <c r="C3505" t="s">
        <v>192</v>
      </c>
      <c r="D3505">
        <v>-26936126</v>
      </c>
      <c r="E3505" t="s">
        <v>331</v>
      </c>
    </row>
    <row r="3506" spans="1:5" x14ac:dyDescent="0.25">
      <c r="A3506">
        <v>1899</v>
      </c>
      <c r="B3506" s="16">
        <v>43617</v>
      </c>
      <c r="C3506" t="s">
        <v>192</v>
      </c>
      <c r="D3506">
        <v>-26936126</v>
      </c>
      <c r="E3506" t="s">
        <v>331</v>
      </c>
    </row>
    <row r="3507" spans="1:5" x14ac:dyDescent="0.25">
      <c r="A3507">
        <v>1899</v>
      </c>
      <c r="B3507" s="16">
        <v>43647</v>
      </c>
      <c r="C3507" t="s">
        <v>192</v>
      </c>
      <c r="D3507">
        <v>-26936126</v>
      </c>
      <c r="E3507" t="s">
        <v>331</v>
      </c>
    </row>
    <row r="3508" spans="1:5" x14ac:dyDescent="0.25">
      <c r="A3508">
        <v>1899</v>
      </c>
      <c r="B3508" s="16">
        <v>43678</v>
      </c>
      <c r="C3508" t="s">
        <v>192</v>
      </c>
      <c r="D3508">
        <v>-26936126</v>
      </c>
      <c r="E3508" t="s">
        <v>331</v>
      </c>
    </row>
    <row r="3509" spans="1:5" x14ac:dyDescent="0.25">
      <c r="A3509">
        <v>1899</v>
      </c>
      <c r="B3509" s="16">
        <v>43709</v>
      </c>
      <c r="C3509" t="s">
        <v>192</v>
      </c>
      <c r="D3509">
        <v>-26936126</v>
      </c>
      <c r="E3509" t="s">
        <v>331</v>
      </c>
    </row>
    <row r="3510" spans="1:5" x14ac:dyDescent="0.25">
      <c r="A3510">
        <v>1899</v>
      </c>
      <c r="B3510" s="16">
        <v>43739</v>
      </c>
      <c r="C3510" t="s">
        <v>192</v>
      </c>
      <c r="D3510">
        <v>-26936126</v>
      </c>
      <c r="E3510" t="s">
        <v>331</v>
      </c>
    </row>
    <row r="3511" spans="1:5" x14ac:dyDescent="0.25">
      <c r="A3511">
        <v>1899</v>
      </c>
      <c r="B3511" s="16">
        <v>43770</v>
      </c>
      <c r="C3511" t="s">
        <v>192</v>
      </c>
      <c r="D3511">
        <v>-26936126</v>
      </c>
      <c r="E3511" t="s">
        <v>331</v>
      </c>
    </row>
    <row r="3512" spans="1:5" x14ac:dyDescent="0.25">
      <c r="A3512">
        <v>1899</v>
      </c>
      <c r="B3512" s="16">
        <v>43800</v>
      </c>
      <c r="C3512" t="s">
        <v>192</v>
      </c>
      <c r="D3512">
        <v>-26936126</v>
      </c>
      <c r="E3512" t="s">
        <v>331</v>
      </c>
    </row>
    <row r="3513" spans="1:5" x14ac:dyDescent="0.25">
      <c r="A3513">
        <v>1899</v>
      </c>
      <c r="B3513" s="16">
        <v>43831</v>
      </c>
      <c r="C3513" t="s">
        <v>192</v>
      </c>
      <c r="D3513">
        <v>-26936126</v>
      </c>
      <c r="E3513" t="s">
        <v>331</v>
      </c>
    </row>
    <row r="3514" spans="1:5" x14ac:dyDescent="0.25">
      <c r="A3514">
        <v>1899</v>
      </c>
      <c r="B3514" s="16">
        <v>43862</v>
      </c>
      <c r="C3514" t="s">
        <v>192</v>
      </c>
      <c r="D3514">
        <v>-26936126</v>
      </c>
      <c r="E3514" t="s">
        <v>331</v>
      </c>
    </row>
    <row r="3515" spans="1:5" x14ac:dyDescent="0.25">
      <c r="A3515">
        <v>1899</v>
      </c>
      <c r="B3515" s="16">
        <v>43891</v>
      </c>
      <c r="C3515" t="s">
        <v>192</v>
      </c>
      <c r="D3515">
        <v>-26936126</v>
      </c>
      <c r="E3515" t="s">
        <v>331</v>
      </c>
    </row>
    <row r="3516" spans="1:5" x14ac:dyDescent="0.25">
      <c r="A3516">
        <v>1899</v>
      </c>
      <c r="B3516" s="16">
        <v>43922</v>
      </c>
      <c r="C3516" t="s">
        <v>192</v>
      </c>
      <c r="D3516">
        <v>-26936126</v>
      </c>
      <c r="E3516" t="s">
        <v>331</v>
      </c>
    </row>
    <row r="3517" spans="1:5" x14ac:dyDescent="0.25">
      <c r="A3517">
        <v>1899</v>
      </c>
      <c r="B3517" s="16">
        <v>43952</v>
      </c>
      <c r="C3517" t="s">
        <v>192</v>
      </c>
      <c r="D3517">
        <v>-26936126</v>
      </c>
      <c r="E3517" t="s">
        <v>331</v>
      </c>
    </row>
    <row r="3518" spans="1:5" x14ac:dyDescent="0.25">
      <c r="A3518">
        <v>1899</v>
      </c>
      <c r="B3518" s="16">
        <v>43983</v>
      </c>
      <c r="C3518" t="s">
        <v>192</v>
      </c>
      <c r="D3518">
        <v>-26936126</v>
      </c>
      <c r="E3518" t="s">
        <v>331</v>
      </c>
    </row>
    <row r="3519" spans="1:5" x14ac:dyDescent="0.25">
      <c r="A3519">
        <v>1899</v>
      </c>
      <c r="B3519" s="16">
        <v>44013</v>
      </c>
      <c r="C3519" t="s">
        <v>192</v>
      </c>
      <c r="D3519">
        <v>-26936126</v>
      </c>
      <c r="E3519" t="s">
        <v>331</v>
      </c>
    </row>
    <row r="3520" spans="1:5" x14ac:dyDescent="0.25">
      <c r="A3520">
        <v>1899</v>
      </c>
      <c r="B3520" s="16">
        <v>44044</v>
      </c>
      <c r="C3520" t="s">
        <v>192</v>
      </c>
      <c r="D3520">
        <v>-26936126</v>
      </c>
      <c r="E3520" t="s">
        <v>331</v>
      </c>
    </row>
    <row r="3521" spans="1:5" x14ac:dyDescent="0.25">
      <c r="A3521">
        <v>1899</v>
      </c>
      <c r="B3521" s="16">
        <v>44075</v>
      </c>
      <c r="C3521" t="s">
        <v>192</v>
      </c>
      <c r="D3521">
        <v>-26936126</v>
      </c>
      <c r="E3521" t="s">
        <v>331</v>
      </c>
    </row>
    <row r="3522" spans="1:5" x14ac:dyDescent="0.25">
      <c r="A3522">
        <v>1899</v>
      </c>
      <c r="B3522" s="16">
        <v>44105</v>
      </c>
      <c r="C3522" t="s">
        <v>192</v>
      </c>
      <c r="D3522">
        <v>-26936126</v>
      </c>
      <c r="E3522" t="s">
        <v>331</v>
      </c>
    </row>
    <row r="3523" spans="1:5" x14ac:dyDescent="0.25">
      <c r="A3523">
        <v>1899</v>
      </c>
      <c r="B3523" s="16">
        <v>44136</v>
      </c>
      <c r="C3523" t="s">
        <v>192</v>
      </c>
      <c r="D3523">
        <v>-26936126</v>
      </c>
      <c r="E3523" t="s">
        <v>331</v>
      </c>
    </row>
    <row r="3524" spans="1:5" x14ac:dyDescent="0.25">
      <c r="A3524">
        <v>1899</v>
      </c>
      <c r="B3524" s="16">
        <v>44166</v>
      </c>
      <c r="C3524" t="s">
        <v>192</v>
      </c>
      <c r="D3524">
        <v>-26936126</v>
      </c>
      <c r="E3524" t="s">
        <v>331</v>
      </c>
    </row>
    <row r="3525" spans="1:5" x14ac:dyDescent="0.25">
      <c r="A3525">
        <v>1899</v>
      </c>
      <c r="B3525" s="16">
        <v>44197</v>
      </c>
      <c r="C3525" t="s">
        <v>192</v>
      </c>
      <c r="D3525">
        <v>-26936126</v>
      </c>
      <c r="E3525" t="s">
        <v>331</v>
      </c>
    </row>
    <row r="3526" spans="1:5" x14ac:dyDescent="0.25">
      <c r="A3526">
        <v>1899</v>
      </c>
      <c r="B3526" s="16">
        <v>44228</v>
      </c>
      <c r="C3526" t="s">
        <v>192</v>
      </c>
      <c r="D3526">
        <v>-26936126</v>
      </c>
      <c r="E3526" t="s">
        <v>331</v>
      </c>
    </row>
    <row r="3527" spans="1:5" x14ac:dyDescent="0.25">
      <c r="A3527">
        <v>1899</v>
      </c>
      <c r="B3527" s="16">
        <v>44256</v>
      </c>
      <c r="C3527" t="s">
        <v>192</v>
      </c>
      <c r="D3527">
        <v>-26936126</v>
      </c>
      <c r="E3527" t="s">
        <v>331</v>
      </c>
    </row>
    <row r="3528" spans="1:5" x14ac:dyDescent="0.25">
      <c r="A3528">
        <v>1900</v>
      </c>
      <c r="B3528" s="16">
        <v>43556</v>
      </c>
      <c r="C3528" t="s">
        <v>192</v>
      </c>
      <c r="D3528">
        <v>-8700000</v>
      </c>
      <c r="E3528" t="s">
        <v>331</v>
      </c>
    </row>
    <row r="3529" spans="1:5" x14ac:dyDescent="0.25">
      <c r="A3529">
        <v>1900</v>
      </c>
      <c r="B3529" s="16">
        <v>43556</v>
      </c>
      <c r="C3529" t="s">
        <v>192</v>
      </c>
      <c r="D3529">
        <v>-20600000</v>
      </c>
      <c r="E3529" t="s">
        <v>331</v>
      </c>
    </row>
    <row r="3530" spans="1:5" x14ac:dyDescent="0.25">
      <c r="A3530">
        <v>1900</v>
      </c>
      <c r="B3530" s="16">
        <v>43586</v>
      </c>
      <c r="C3530" t="s">
        <v>192</v>
      </c>
      <c r="D3530">
        <v>-20600000</v>
      </c>
      <c r="E3530" t="s">
        <v>331</v>
      </c>
    </row>
    <row r="3531" spans="1:5" x14ac:dyDescent="0.25">
      <c r="A3531">
        <v>1900</v>
      </c>
      <c r="B3531" s="16">
        <v>43617</v>
      </c>
      <c r="C3531" t="s">
        <v>192</v>
      </c>
      <c r="D3531">
        <v>-20600000</v>
      </c>
      <c r="E3531" t="s">
        <v>331</v>
      </c>
    </row>
    <row r="3532" spans="1:5" x14ac:dyDescent="0.25">
      <c r="A3532">
        <v>1900</v>
      </c>
      <c r="B3532" s="16">
        <v>43647</v>
      </c>
      <c r="C3532" t="s">
        <v>192</v>
      </c>
      <c r="D3532">
        <v>-20600000</v>
      </c>
      <c r="E3532" t="s">
        <v>331</v>
      </c>
    </row>
    <row r="3533" spans="1:5" x14ac:dyDescent="0.25">
      <c r="A3533">
        <v>1900</v>
      </c>
      <c r="B3533" s="16">
        <v>43678</v>
      </c>
      <c r="C3533" t="s">
        <v>192</v>
      </c>
      <c r="D3533">
        <v>-20600000</v>
      </c>
      <c r="E3533" t="s">
        <v>331</v>
      </c>
    </row>
    <row r="3534" spans="1:5" x14ac:dyDescent="0.25">
      <c r="A3534">
        <v>1900</v>
      </c>
      <c r="B3534" s="16">
        <v>43709</v>
      </c>
      <c r="C3534" t="s">
        <v>192</v>
      </c>
      <c r="D3534">
        <v>-20600000</v>
      </c>
      <c r="E3534" t="s">
        <v>331</v>
      </c>
    </row>
    <row r="3535" spans="1:5" x14ac:dyDescent="0.25">
      <c r="A3535">
        <v>1900</v>
      </c>
      <c r="B3535" s="16">
        <v>43739</v>
      </c>
      <c r="C3535" t="s">
        <v>192</v>
      </c>
      <c r="D3535">
        <v>-20600000</v>
      </c>
      <c r="E3535" t="s">
        <v>331</v>
      </c>
    </row>
    <row r="3536" spans="1:5" x14ac:dyDescent="0.25">
      <c r="A3536">
        <v>1900</v>
      </c>
      <c r="B3536" s="16">
        <v>43770</v>
      </c>
      <c r="C3536" t="s">
        <v>192</v>
      </c>
      <c r="D3536">
        <v>-20600000</v>
      </c>
      <c r="E3536" t="s">
        <v>331</v>
      </c>
    </row>
    <row r="3537" spans="1:5" x14ac:dyDescent="0.25">
      <c r="A3537">
        <v>1900</v>
      </c>
      <c r="B3537" s="16">
        <v>43800</v>
      </c>
      <c r="C3537" t="s">
        <v>192</v>
      </c>
      <c r="D3537">
        <v>-20600000</v>
      </c>
      <c r="E3537" t="s">
        <v>331</v>
      </c>
    </row>
    <row r="3538" spans="1:5" x14ac:dyDescent="0.25">
      <c r="A3538">
        <v>1900</v>
      </c>
      <c r="B3538" s="16">
        <v>43831</v>
      </c>
      <c r="C3538" t="s">
        <v>192</v>
      </c>
      <c r="D3538">
        <v>-20600000</v>
      </c>
      <c r="E3538" t="s">
        <v>331</v>
      </c>
    </row>
    <row r="3539" spans="1:5" x14ac:dyDescent="0.25">
      <c r="A3539">
        <v>1900</v>
      </c>
      <c r="B3539" s="16">
        <v>43556</v>
      </c>
      <c r="C3539" t="s">
        <v>192</v>
      </c>
      <c r="D3539">
        <v>-14200000</v>
      </c>
      <c r="E3539" t="s">
        <v>331</v>
      </c>
    </row>
    <row r="3540" spans="1:5" x14ac:dyDescent="0.25">
      <c r="A3540">
        <v>1900</v>
      </c>
      <c r="B3540" s="16">
        <v>43586</v>
      </c>
      <c r="C3540" t="s">
        <v>192</v>
      </c>
      <c r="D3540">
        <v>-14200000</v>
      </c>
      <c r="E3540" t="s">
        <v>331</v>
      </c>
    </row>
    <row r="3541" spans="1:5" x14ac:dyDescent="0.25">
      <c r="A3541">
        <v>1900</v>
      </c>
      <c r="B3541" s="16">
        <v>43617</v>
      </c>
      <c r="C3541" t="s">
        <v>192</v>
      </c>
      <c r="D3541">
        <v>-14200000</v>
      </c>
      <c r="E3541" t="s">
        <v>331</v>
      </c>
    </row>
    <row r="3542" spans="1:5" x14ac:dyDescent="0.25">
      <c r="A3542">
        <v>1900</v>
      </c>
      <c r="B3542" s="16">
        <v>43647</v>
      </c>
      <c r="C3542" t="s">
        <v>192</v>
      </c>
      <c r="D3542">
        <v>-14200000</v>
      </c>
      <c r="E3542" t="s">
        <v>331</v>
      </c>
    </row>
    <row r="3543" spans="1:5" x14ac:dyDescent="0.25">
      <c r="A3543">
        <v>1898</v>
      </c>
      <c r="B3543" s="16">
        <v>43556</v>
      </c>
      <c r="C3543" t="s">
        <v>192</v>
      </c>
      <c r="D3543">
        <v>-10000000</v>
      </c>
      <c r="E3543" t="s">
        <v>331</v>
      </c>
    </row>
    <row r="3544" spans="1:5" x14ac:dyDescent="0.25">
      <c r="A3544">
        <v>1898</v>
      </c>
      <c r="B3544" s="16">
        <v>43586</v>
      </c>
      <c r="C3544" t="s">
        <v>192</v>
      </c>
      <c r="D3544">
        <v>-10000000</v>
      </c>
      <c r="E3544" t="s">
        <v>331</v>
      </c>
    </row>
    <row r="3545" spans="1:5" x14ac:dyDescent="0.25">
      <c r="A3545">
        <v>1898</v>
      </c>
      <c r="B3545" s="16">
        <v>43617</v>
      </c>
      <c r="C3545" t="s">
        <v>192</v>
      </c>
      <c r="D3545">
        <v>-10000000</v>
      </c>
      <c r="E3545" t="s">
        <v>331</v>
      </c>
    </row>
    <row r="3546" spans="1:5" x14ac:dyDescent="0.25">
      <c r="A3546">
        <v>1580</v>
      </c>
      <c r="B3546" s="16">
        <v>43466</v>
      </c>
      <c r="C3546" t="s">
        <v>19</v>
      </c>
      <c r="D3546">
        <v>5273934.6806999994</v>
      </c>
      <c r="E3546" t="s">
        <v>330</v>
      </c>
    </row>
    <row r="3547" spans="1:5" x14ac:dyDescent="0.25">
      <c r="A3547">
        <v>1580</v>
      </c>
      <c r="B3547" s="16">
        <v>43497</v>
      </c>
      <c r="C3547" t="s">
        <v>19</v>
      </c>
      <c r="D3547">
        <v>5273934.6806999994</v>
      </c>
      <c r="E3547" t="s">
        <v>330</v>
      </c>
    </row>
    <row r="3548" spans="1:5" x14ac:dyDescent="0.25">
      <c r="A3548">
        <v>1580</v>
      </c>
      <c r="B3548" s="16">
        <v>43525</v>
      </c>
      <c r="C3548" t="s">
        <v>19</v>
      </c>
      <c r="D3548">
        <v>5273934.6806999994</v>
      </c>
      <c r="E3548" t="s">
        <v>330</v>
      </c>
    </row>
    <row r="3549" spans="1:5" x14ac:dyDescent="0.25">
      <c r="A3549">
        <v>1580</v>
      </c>
      <c r="B3549" s="16">
        <v>43556</v>
      </c>
      <c r="C3549" t="s">
        <v>19</v>
      </c>
      <c r="D3549">
        <v>5273934.6806999994</v>
      </c>
      <c r="E3549" t="s">
        <v>330</v>
      </c>
    </row>
    <row r="3550" spans="1:5" x14ac:dyDescent="0.25">
      <c r="A3550">
        <v>1580</v>
      </c>
      <c r="B3550" s="16">
        <v>43586</v>
      </c>
      <c r="C3550" t="s">
        <v>19</v>
      </c>
      <c r="D3550">
        <v>5273934.6806999994</v>
      </c>
      <c r="E3550" t="s">
        <v>330</v>
      </c>
    </row>
    <row r="3551" spans="1:5" x14ac:dyDescent="0.25">
      <c r="A3551">
        <v>1580</v>
      </c>
      <c r="B3551" s="16">
        <v>43617</v>
      </c>
      <c r="C3551" t="s">
        <v>19</v>
      </c>
      <c r="D3551">
        <v>5273934.6806999994</v>
      </c>
      <c r="E3551" t="s">
        <v>330</v>
      </c>
    </row>
    <row r="3552" spans="1:5" x14ac:dyDescent="0.25">
      <c r="A3552">
        <v>1580</v>
      </c>
      <c r="B3552" s="16">
        <v>43647</v>
      </c>
      <c r="C3552" t="s">
        <v>19</v>
      </c>
      <c r="D3552">
        <v>5273934.6806999994</v>
      </c>
      <c r="E3552" t="s">
        <v>330</v>
      </c>
    </row>
    <row r="3553" spans="1:5" x14ac:dyDescent="0.25">
      <c r="A3553">
        <v>1580</v>
      </c>
      <c r="B3553" s="16">
        <v>43678</v>
      </c>
      <c r="C3553" t="s">
        <v>19</v>
      </c>
      <c r="D3553">
        <v>5273934.6806999994</v>
      </c>
      <c r="E3553" t="s">
        <v>330</v>
      </c>
    </row>
    <row r="3554" spans="1:5" x14ac:dyDescent="0.25">
      <c r="A3554">
        <v>1580</v>
      </c>
      <c r="B3554" s="16">
        <v>43709</v>
      </c>
      <c r="C3554" t="s">
        <v>19</v>
      </c>
      <c r="D3554">
        <v>5273934.6806999994</v>
      </c>
      <c r="E3554" t="s">
        <v>330</v>
      </c>
    </row>
    <row r="3555" spans="1:5" x14ac:dyDescent="0.25">
      <c r="A3555">
        <v>1580</v>
      </c>
      <c r="B3555" s="16">
        <v>43739</v>
      </c>
      <c r="C3555" t="s">
        <v>19</v>
      </c>
      <c r="D3555">
        <v>5273934.6806999994</v>
      </c>
      <c r="E3555" t="s">
        <v>330</v>
      </c>
    </row>
    <row r="3556" spans="1:5" x14ac:dyDescent="0.25">
      <c r="A3556">
        <v>1580</v>
      </c>
      <c r="B3556" s="16">
        <v>43770</v>
      </c>
      <c r="C3556" t="s">
        <v>19</v>
      </c>
      <c r="D3556">
        <v>5273934.6806999994</v>
      </c>
      <c r="E3556" t="s">
        <v>330</v>
      </c>
    </row>
    <row r="3557" spans="1:5" x14ac:dyDescent="0.25">
      <c r="A3557">
        <v>1580</v>
      </c>
      <c r="B3557" s="16">
        <v>43800</v>
      </c>
      <c r="C3557" t="s">
        <v>19</v>
      </c>
      <c r="D3557">
        <v>5273934.6806999994</v>
      </c>
      <c r="E3557" t="s">
        <v>330</v>
      </c>
    </row>
    <row r="3558" spans="1:5" x14ac:dyDescent="0.25">
      <c r="A3558">
        <v>1580</v>
      </c>
      <c r="B3558" s="16">
        <v>43831</v>
      </c>
      <c r="C3558" t="s">
        <v>19</v>
      </c>
      <c r="D3558">
        <v>5273934.6806999994</v>
      </c>
      <c r="E3558" t="s">
        <v>330</v>
      </c>
    </row>
    <row r="3559" spans="1:5" x14ac:dyDescent="0.25">
      <c r="A3559">
        <v>1580</v>
      </c>
      <c r="B3559" s="16">
        <v>43862</v>
      </c>
      <c r="C3559" t="s">
        <v>19</v>
      </c>
      <c r="D3559">
        <v>5273934.6806999994</v>
      </c>
      <c r="E3559" t="s">
        <v>330</v>
      </c>
    </row>
    <row r="3560" spans="1:5" x14ac:dyDescent="0.25">
      <c r="A3560">
        <v>1580</v>
      </c>
      <c r="B3560" s="16">
        <v>43466</v>
      </c>
      <c r="C3560" t="s">
        <v>12</v>
      </c>
      <c r="D3560">
        <v>7784590.2750000004</v>
      </c>
      <c r="E3560" t="s">
        <v>330</v>
      </c>
    </row>
    <row r="3561" spans="1:5" x14ac:dyDescent="0.25">
      <c r="A3561">
        <v>1580</v>
      </c>
      <c r="B3561" s="16">
        <v>43497</v>
      </c>
      <c r="C3561" t="s">
        <v>12</v>
      </c>
      <c r="D3561">
        <v>7784590.2750000004</v>
      </c>
      <c r="E3561" t="s">
        <v>330</v>
      </c>
    </row>
    <row r="3562" spans="1:5" x14ac:dyDescent="0.25">
      <c r="A3562">
        <v>1580</v>
      </c>
      <c r="B3562" s="16">
        <v>43525</v>
      </c>
      <c r="C3562" t="s">
        <v>12</v>
      </c>
      <c r="D3562">
        <v>7784590.2750000004</v>
      </c>
      <c r="E3562" t="s">
        <v>330</v>
      </c>
    </row>
    <row r="3563" spans="1:5" x14ac:dyDescent="0.25">
      <c r="A3563">
        <v>1580</v>
      </c>
      <c r="B3563" s="16">
        <v>43556</v>
      </c>
      <c r="C3563" t="s">
        <v>12</v>
      </c>
      <c r="D3563">
        <v>7784590.2750000004</v>
      </c>
      <c r="E3563" t="s">
        <v>330</v>
      </c>
    </row>
    <row r="3564" spans="1:5" x14ac:dyDescent="0.25">
      <c r="A3564">
        <v>1580</v>
      </c>
      <c r="B3564" s="16">
        <v>43586</v>
      </c>
      <c r="C3564" t="s">
        <v>12</v>
      </c>
      <c r="D3564">
        <v>7784590.2750000004</v>
      </c>
      <c r="E3564" t="s">
        <v>330</v>
      </c>
    </row>
    <row r="3565" spans="1:5" x14ac:dyDescent="0.25">
      <c r="A3565">
        <v>1580</v>
      </c>
      <c r="B3565" s="16">
        <v>43617</v>
      </c>
      <c r="C3565" t="s">
        <v>12</v>
      </c>
      <c r="D3565">
        <v>7784590.2750000004</v>
      </c>
      <c r="E3565" t="s">
        <v>330</v>
      </c>
    </row>
    <row r="3566" spans="1:5" x14ac:dyDescent="0.25">
      <c r="A3566">
        <v>1580</v>
      </c>
      <c r="B3566" s="16">
        <v>43647</v>
      </c>
      <c r="C3566" t="s">
        <v>12</v>
      </c>
      <c r="D3566">
        <v>7784590.2750000004</v>
      </c>
      <c r="E3566" t="s">
        <v>330</v>
      </c>
    </row>
    <row r="3567" spans="1:5" x14ac:dyDescent="0.25">
      <c r="A3567">
        <v>1580</v>
      </c>
      <c r="B3567" s="16">
        <v>43678</v>
      </c>
      <c r="C3567" t="s">
        <v>12</v>
      </c>
      <c r="D3567">
        <v>7784590.2750000004</v>
      </c>
      <c r="E3567" t="s">
        <v>330</v>
      </c>
    </row>
    <row r="3568" spans="1:5" x14ac:dyDescent="0.25">
      <c r="A3568">
        <v>1580</v>
      </c>
      <c r="B3568" s="16">
        <v>43709</v>
      </c>
      <c r="C3568" t="s">
        <v>12</v>
      </c>
      <c r="D3568">
        <v>7784590.2750000004</v>
      </c>
      <c r="E3568" t="s">
        <v>330</v>
      </c>
    </row>
    <row r="3569" spans="1:5" x14ac:dyDescent="0.25">
      <c r="A3569">
        <v>1580</v>
      </c>
      <c r="B3569" s="16">
        <v>43739</v>
      </c>
      <c r="C3569" t="s">
        <v>12</v>
      </c>
      <c r="D3569">
        <v>7784590.2750000004</v>
      </c>
      <c r="E3569" t="s">
        <v>330</v>
      </c>
    </row>
    <row r="3570" spans="1:5" x14ac:dyDescent="0.25">
      <c r="A3570">
        <v>1580</v>
      </c>
      <c r="B3570" s="16">
        <v>43770</v>
      </c>
      <c r="C3570" t="s">
        <v>12</v>
      </c>
      <c r="D3570">
        <v>7784590.2750000004</v>
      </c>
      <c r="E3570" t="s">
        <v>330</v>
      </c>
    </row>
    <row r="3571" spans="1:5" x14ac:dyDescent="0.25">
      <c r="A3571">
        <v>1580</v>
      </c>
      <c r="B3571" s="16">
        <v>43800</v>
      </c>
      <c r="C3571" t="s">
        <v>12</v>
      </c>
      <c r="D3571">
        <v>7784590.2750000004</v>
      </c>
      <c r="E3571" t="s">
        <v>330</v>
      </c>
    </row>
    <row r="3572" spans="1:5" x14ac:dyDescent="0.25">
      <c r="A3572">
        <v>1580</v>
      </c>
      <c r="B3572" s="16">
        <v>43831</v>
      </c>
      <c r="C3572" t="s">
        <v>12</v>
      </c>
      <c r="D3572">
        <v>7784590.2750000004</v>
      </c>
      <c r="E3572" t="s">
        <v>330</v>
      </c>
    </row>
    <row r="3573" spans="1:5" x14ac:dyDescent="0.25">
      <c r="A3573">
        <v>1580</v>
      </c>
      <c r="B3573" s="16">
        <v>43862</v>
      </c>
      <c r="C3573" t="s">
        <v>12</v>
      </c>
      <c r="D3573">
        <v>7784590.2750000004</v>
      </c>
      <c r="E3573" t="s">
        <v>330</v>
      </c>
    </row>
    <row r="3574" spans="1:5" x14ac:dyDescent="0.25">
      <c r="A3574">
        <v>1580</v>
      </c>
      <c r="B3574" s="16">
        <v>43466</v>
      </c>
      <c r="C3574" t="s">
        <v>13</v>
      </c>
      <c r="D3574">
        <v>6517329.5250000004</v>
      </c>
      <c r="E3574" t="s">
        <v>330</v>
      </c>
    </row>
    <row r="3575" spans="1:5" x14ac:dyDescent="0.25">
      <c r="A3575">
        <v>1580</v>
      </c>
      <c r="B3575" s="16">
        <v>43497</v>
      </c>
      <c r="C3575" t="s">
        <v>13</v>
      </c>
      <c r="D3575">
        <v>6517329.5250000004</v>
      </c>
      <c r="E3575" t="s">
        <v>330</v>
      </c>
    </row>
    <row r="3576" spans="1:5" x14ac:dyDescent="0.25">
      <c r="A3576">
        <v>1580</v>
      </c>
      <c r="B3576" s="16">
        <v>43525</v>
      </c>
      <c r="C3576" t="s">
        <v>13</v>
      </c>
      <c r="D3576">
        <v>6517329.5250000004</v>
      </c>
      <c r="E3576" t="s">
        <v>330</v>
      </c>
    </row>
    <row r="3577" spans="1:5" x14ac:dyDescent="0.25">
      <c r="A3577">
        <v>1580</v>
      </c>
      <c r="B3577" s="16">
        <v>43556</v>
      </c>
      <c r="C3577" t="s">
        <v>13</v>
      </c>
      <c r="D3577">
        <v>6517329.5250000004</v>
      </c>
      <c r="E3577" t="s">
        <v>330</v>
      </c>
    </row>
    <row r="3578" spans="1:5" x14ac:dyDescent="0.25">
      <c r="A3578">
        <v>1580</v>
      </c>
      <c r="B3578" s="16">
        <v>43586</v>
      </c>
      <c r="C3578" t="s">
        <v>13</v>
      </c>
      <c r="D3578">
        <v>6517329.5250000004</v>
      </c>
      <c r="E3578" t="s">
        <v>330</v>
      </c>
    </row>
    <row r="3579" spans="1:5" x14ac:dyDescent="0.25">
      <c r="A3579">
        <v>1580</v>
      </c>
      <c r="B3579" s="16">
        <v>43617</v>
      </c>
      <c r="C3579" t="s">
        <v>13</v>
      </c>
      <c r="D3579">
        <v>6517329.5250000004</v>
      </c>
      <c r="E3579" t="s">
        <v>330</v>
      </c>
    </row>
    <row r="3580" spans="1:5" x14ac:dyDescent="0.25">
      <c r="A3580">
        <v>1580</v>
      </c>
      <c r="B3580" s="16">
        <v>43647</v>
      </c>
      <c r="C3580" t="s">
        <v>13</v>
      </c>
      <c r="D3580">
        <v>6517329.5250000004</v>
      </c>
      <c r="E3580" t="s">
        <v>330</v>
      </c>
    </row>
    <row r="3581" spans="1:5" x14ac:dyDescent="0.25">
      <c r="A3581">
        <v>1580</v>
      </c>
      <c r="B3581" s="16">
        <v>43678</v>
      </c>
      <c r="C3581" t="s">
        <v>13</v>
      </c>
      <c r="D3581">
        <v>6517329.5250000004</v>
      </c>
      <c r="E3581" t="s">
        <v>330</v>
      </c>
    </row>
    <row r="3582" spans="1:5" x14ac:dyDescent="0.25">
      <c r="A3582">
        <v>1580</v>
      </c>
      <c r="B3582" s="16">
        <v>43709</v>
      </c>
      <c r="C3582" t="s">
        <v>13</v>
      </c>
      <c r="D3582">
        <v>6517329.5250000004</v>
      </c>
      <c r="E3582" t="s">
        <v>330</v>
      </c>
    </row>
    <row r="3583" spans="1:5" x14ac:dyDescent="0.25">
      <c r="A3583">
        <v>1580</v>
      </c>
      <c r="B3583" s="16">
        <v>43739</v>
      </c>
      <c r="C3583" t="s">
        <v>13</v>
      </c>
      <c r="D3583">
        <v>6517329.5250000004</v>
      </c>
      <c r="E3583" t="s">
        <v>330</v>
      </c>
    </row>
    <row r="3584" spans="1:5" x14ac:dyDescent="0.25">
      <c r="A3584">
        <v>1580</v>
      </c>
      <c r="B3584" s="16">
        <v>43770</v>
      </c>
      <c r="C3584" t="s">
        <v>13</v>
      </c>
      <c r="D3584">
        <v>6517329.5250000004</v>
      </c>
      <c r="E3584" t="s">
        <v>330</v>
      </c>
    </row>
    <row r="3585" spans="1:5" x14ac:dyDescent="0.25">
      <c r="A3585">
        <v>1580</v>
      </c>
      <c r="B3585" s="16">
        <v>43800</v>
      </c>
      <c r="C3585" t="s">
        <v>13</v>
      </c>
      <c r="D3585">
        <v>6517329.5250000004</v>
      </c>
      <c r="E3585" t="s">
        <v>330</v>
      </c>
    </row>
    <row r="3586" spans="1:5" x14ac:dyDescent="0.25">
      <c r="A3586">
        <v>1580</v>
      </c>
      <c r="B3586" s="16">
        <v>43831</v>
      </c>
      <c r="C3586" t="s">
        <v>13</v>
      </c>
      <c r="D3586">
        <v>6517329.5250000004</v>
      </c>
      <c r="E3586" t="s">
        <v>330</v>
      </c>
    </row>
    <row r="3587" spans="1:5" x14ac:dyDescent="0.25">
      <c r="A3587">
        <v>1580</v>
      </c>
      <c r="B3587" s="16">
        <v>43466</v>
      </c>
      <c r="C3587" t="s">
        <v>14</v>
      </c>
      <c r="D3587">
        <v>7791940.1186286025</v>
      </c>
      <c r="E3587" t="s">
        <v>330</v>
      </c>
    </row>
    <row r="3588" spans="1:5" x14ac:dyDescent="0.25">
      <c r="A3588">
        <v>1580</v>
      </c>
      <c r="B3588" s="16">
        <v>43497</v>
      </c>
      <c r="C3588" t="s">
        <v>14</v>
      </c>
      <c r="D3588">
        <v>7791940.1186286025</v>
      </c>
      <c r="E3588" t="s">
        <v>330</v>
      </c>
    </row>
    <row r="3589" spans="1:5" x14ac:dyDescent="0.25">
      <c r="A3589">
        <v>1580</v>
      </c>
      <c r="B3589" s="16">
        <v>43525</v>
      </c>
      <c r="C3589" t="s">
        <v>14</v>
      </c>
      <c r="D3589">
        <v>7791940.1186286025</v>
      </c>
      <c r="E3589" t="s">
        <v>330</v>
      </c>
    </row>
    <row r="3590" spans="1:5" x14ac:dyDescent="0.25">
      <c r="A3590">
        <v>1580</v>
      </c>
      <c r="B3590" s="16">
        <v>43556</v>
      </c>
      <c r="C3590" t="s">
        <v>14</v>
      </c>
      <c r="D3590">
        <v>7791940.1186286025</v>
      </c>
      <c r="E3590" t="s">
        <v>330</v>
      </c>
    </row>
    <row r="3591" spans="1:5" x14ac:dyDescent="0.25">
      <c r="A3591">
        <v>1580</v>
      </c>
      <c r="B3591" s="16">
        <v>43586</v>
      </c>
      <c r="C3591" t="s">
        <v>14</v>
      </c>
      <c r="D3591">
        <v>7791940.1186286025</v>
      </c>
      <c r="E3591" t="s">
        <v>330</v>
      </c>
    </row>
    <row r="3592" spans="1:5" x14ac:dyDescent="0.25">
      <c r="A3592">
        <v>1580</v>
      </c>
      <c r="B3592" s="16">
        <v>43617</v>
      </c>
      <c r="C3592" t="s">
        <v>14</v>
      </c>
      <c r="D3592">
        <v>7791940.1186286025</v>
      </c>
      <c r="E3592" t="s">
        <v>330</v>
      </c>
    </row>
    <row r="3593" spans="1:5" x14ac:dyDescent="0.25">
      <c r="A3593">
        <v>1580</v>
      </c>
      <c r="B3593" s="16">
        <v>43647</v>
      </c>
      <c r="C3593" t="s">
        <v>14</v>
      </c>
      <c r="D3593">
        <v>7791940.1186286025</v>
      </c>
      <c r="E3593" t="s">
        <v>330</v>
      </c>
    </row>
    <row r="3594" spans="1:5" x14ac:dyDescent="0.25">
      <c r="A3594">
        <v>1580</v>
      </c>
      <c r="B3594" s="16">
        <v>43678</v>
      </c>
      <c r="C3594" t="s">
        <v>14</v>
      </c>
      <c r="D3594">
        <v>7791940.1186286025</v>
      </c>
      <c r="E3594" t="s">
        <v>330</v>
      </c>
    </row>
    <row r="3595" spans="1:5" x14ac:dyDescent="0.25">
      <c r="A3595">
        <v>1580</v>
      </c>
      <c r="B3595" s="16">
        <v>43709</v>
      </c>
      <c r="C3595" t="s">
        <v>14</v>
      </c>
      <c r="D3595">
        <v>7791940.1186286025</v>
      </c>
      <c r="E3595" t="s">
        <v>330</v>
      </c>
    </row>
    <row r="3596" spans="1:5" x14ac:dyDescent="0.25">
      <c r="A3596">
        <v>1580</v>
      </c>
      <c r="B3596" s="16">
        <v>43739</v>
      </c>
      <c r="C3596" t="s">
        <v>14</v>
      </c>
      <c r="D3596">
        <v>7791940.1186286025</v>
      </c>
      <c r="E3596" t="s">
        <v>330</v>
      </c>
    </row>
    <row r="3597" spans="1:5" x14ac:dyDescent="0.25">
      <c r="A3597">
        <v>1580</v>
      </c>
      <c r="B3597" s="16">
        <v>43770</v>
      </c>
      <c r="C3597" t="s">
        <v>14</v>
      </c>
      <c r="D3597">
        <v>7791940.1186286025</v>
      </c>
      <c r="E3597" t="s">
        <v>330</v>
      </c>
    </row>
    <row r="3598" spans="1:5" x14ac:dyDescent="0.25">
      <c r="A3598">
        <v>1580</v>
      </c>
      <c r="B3598" s="16">
        <v>43800</v>
      </c>
      <c r="C3598" t="s">
        <v>14</v>
      </c>
      <c r="D3598">
        <v>7791940.1186286025</v>
      </c>
      <c r="E3598" t="s">
        <v>330</v>
      </c>
    </row>
    <row r="3599" spans="1:5" x14ac:dyDescent="0.25">
      <c r="A3599">
        <v>1580</v>
      </c>
      <c r="B3599" s="16">
        <v>43831</v>
      </c>
      <c r="C3599" t="s">
        <v>14</v>
      </c>
      <c r="D3599">
        <v>7791940.1186286025</v>
      </c>
      <c r="E3599" t="s">
        <v>330</v>
      </c>
    </row>
    <row r="3600" spans="1:5" x14ac:dyDescent="0.25">
      <c r="A3600">
        <v>1580</v>
      </c>
      <c r="B3600" s="16">
        <v>43862</v>
      </c>
      <c r="C3600" t="s">
        <v>14</v>
      </c>
      <c r="D3600">
        <v>7791940.1186286025</v>
      </c>
      <c r="E3600" t="s">
        <v>330</v>
      </c>
    </row>
    <row r="3601" spans="1:5" x14ac:dyDescent="0.25">
      <c r="A3601">
        <v>1580</v>
      </c>
      <c r="B3601" s="16">
        <v>43466</v>
      </c>
      <c r="C3601" t="s">
        <v>15</v>
      </c>
      <c r="D3601">
        <v>4525924.49505</v>
      </c>
      <c r="E3601" t="s">
        <v>330</v>
      </c>
    </row>
    <row r="3602" spans="1:5" x14ac:dyDescent="0.25">
      <c r="A3602">
        <v>1580</v>
      </c>
      <c r="B3602" s="16">
        <v>43497</v>
      </c>
      <c r="C3602" t="s">
        <v>15</v>
      </c>
      <c r="D3602">
        <v>4525924.49505</v>
      </c>
      <c r="E3602" t="s">
        <v>330</v>
      </c>
    </row>
    <row r="3603" spans="1:5" x14ac:dyDescent="0.25">
      <c r="A3603">
        <v>1580</v>
      </c>
      <c r="B3603" s="16">
        <v>43525</v>
      </c>
      <c r="C3603" t="s">
        <v>15</v>
      </c>
      <c r="D3603">
        <v>4525924.49505</v>
      </c>
      <c r="E3603" t="s">
        <v>330</v>
      </c>
    </row>
    <row r="3604" spans="1:5" x14ac:dyDescent="0.25">
      <c r="A3604">
        <v>1580</v>
      </c>
      <c r="B3604" s="16">
        <v>43556</v>
      </c>
      <c r="C3604" t="s">
        <v>15</v>
      </c>
      <c r="D3604">
        <v>4525924.49505</v>
      </c>
      <c r="E3604" t="s">
        <v>330</v>
      </c>
    </row>
    <row r="3605" spans="1:5" x14ac:dyDescent="0.25">
      <c r="A3605">
        <v>1580</v>
      </c>
      <c r="B3605" s="16">
        <v>43586</v>
      </c>
      <c r="C3605" t="s">
        <v>15</v>
      </c>
      <c r="D3605">
        <v>4525924.49505</v>
      </c>
      <c r="E3605" t="s">
        <v>330</v>
      </c>
    </row>
    <row r="3606" spans="1:5" x14ac:dyDescent="0.25">
      <c r="A3606">
        <v>1580</v>
      </c>
      <c r="B3606" s="16">
        <v>43617</v>
      </c>
      <c r="C3606" t="s">
        <v>15</v>
      </c>
      <c r="D3606">
        <v>4525924.49505</v>
      </c>
      <c r="E3606" t="s">
        <v>330</v>
      </c>
    </row>
    <row r="3607" spans="1:5" x14ac:dyDescent="0.25">
      <c r="A3607">
        <v>1580</v>
      </c>
      <c r="B3607" s="16">
        <v>43647</v>
      </c>
      <c r="C3607" t="s">
        <v>15</v>
      </c>
      <c r="D3607">
        <v>4525924.49505</v>
      </c>
      <c r="E3607" t="s">
        <v>330</v>
      </c>
    </row>
    <row r="3608" spans="1:5" x14ac:dyDescent="0.25">
      <c r="A3608">
        <v>1580</v>
      </c>
      <c r="B3608" s="16">
        <v>43678</v>
      </c>
      <c r="C3608" t="s">
        <v>15</v>
      </c>
      <c r="D3608">
        <v>4525924.49505</v>
      </c>
      <c r="E3608" t="s">
        <v>330</v>
      </c>
    </row>
    <row r="3609" spans="1:5" x14ac:dyDescent="0.25">
      <c r="A3609">
        <v>1580</v>
      </c>
      <c r="B3609" s="16">
        <v>43709</v>
      </c>
      <c r="C3609" t="s">
        <v>15</v>
      </c>
      <c r="D3609">
        <v>4525924.49505</v>
      </c>
      <c r="E3609" t="s">
        <v>330</v>
      </c>
    </row>
    <row r="3610" spans="1:5" x14ac:dyDescent="0.25">
      <c r="A3610">
        <v>1580</v>
      </c>
      <c r="B3610" s="16">
        <v>43739</v>
      </c>
      <c r="C3610" t="s">
        <v>15</v>
      </c>
      <c r="D3610">
        <v>4525924.49505</v>
      </c>
      <c r="E3610" t="s">
        <v>330</v>
      </c>
    </row>
    <row r="3611" spans="1:5" x14ac:dyDescent="0.25">
      <c r="A3611">
        <v>1580</v>
      </c>
      <c r="B3611" s="16">
        <v>43770</v>
      </c>
      <c r="C3611" t="s">
        <v>15</v>
      </c>
      <c r="D3611">
        <v>4525924.49505</v>
      </c>
      <c r="E3611" t="s">
        <v>330</v>
      </c>
    </row>
    <row r="3612" spans="1:5" x14ac:dyDescent="0.25">
      <c r="A3612">
        <v>1580</v>
      </c>
      <c r="B3612" s="16">
        <v>43800</v>
      </c>
      <c r="C3612" t="s">
        <v>15</v>
      </c>
      <c r="D3612">
        <v>4525924.49505</v>
      </c>
      <c r="E3612" t="s">
        <v>330</v>
      </c>
    </row>
    <row r="3613" spans="1:5" x14ac:dyDescent="0.25">
      <c r="A3613">
        <v>1580</v>
      </c>
      <c r="B3613" s="16">
        <v>43831</v>
      </c>
      <c r="C3613" t="s">
        <v>15</v>
      </c>
      <c r="D3613">
        <v>4525924.49505</v>
      </c>
      <c r="E3613" t="s">
        <v>330</v>
      </c>
    </row>
    <row r="3614" spans="1:5" x14ac:dyDescent="0.25">
      <c r="A3614">
        <v>1580</v>
      </c>
      <c r="B3614" s="16">
        <v>43862</v>
      </c>
      <c r="C3614" t="s">
        <v>15</v>
      </c>
      <c r="D3614">
        <v>4525924.49505</v>
      </c>
      <c r="E3614" t="s">
        <v>330</v>
      </c>
    </row>
    <row r="3615" spans="1:5" x14ac:dyDescent="0.25">
      <c r="A3615">
        <v>1580</v>
      </c>
      <c r="B3615" s="16">
        <v>43466</v>
      </c>
      <c r="C3615" t="s">
        <v>16</v>
      </c>
      <c r="D3615">
        <v>4797479.3643000005</v>
      </c>
      <c r="E3615" t="s">
        <v>330</v>
      </c>
    </row>
    <row r="3616" spans="1:5" x14ac:dyDescent="0.25">
      <c r="A3616">
        <v>1580</v>
      </c>
      <c r="B3616" s="16">
        <v>43497</v>
      </c>
      <c r="C3616" t="s">
        <v>16</v>
      </c>
      <c r="D3616">
        <v>4797479.3643000005</v>
      </c>
      <c r="E3616" t="s">
        <v>330</v>
      </c>
    </row>
    <row r="3617" spans="1:5" x14ac:dyDescent="0.25">
      <c r="A3617">
        <v>1580</v>
      </c>
      <c r="B3617" s="16">
        <v>43525</v>
      </c>
      <c r="C3617" t="s">
        <v>16</v>
      </c>
      <c r="D3617">
        <v>4797479.3643000005</v>
      </c>
      <c r="E3617" t="s">
        <v>330</v>
      </c>
    </row>
    <row r="3618" spans="1:5" x14ac:dyDescent="0.25">
      <c r="A3618">
        <v>1580</v>
      </c>
      <c r="B3618" s="16">
        <v>43556</v>
      </c>
      <c r="C3618" t="s">
        <v>16</v>
      </c>
      <c r="D3618">
        <v>4797479.3643000005</v>
      </c>
      <c r="E3618" t="s">
        <v>330</v>
      </c>
    </row>
    <row r="3619" spans="1:5" x14ac:dyDescent="0.25">
      <c r="A3619">
        <v>1580</v>
      </c>
      <c r="B3619" s="16">
        <v>43586</v>
      </c>
      <c r="C3619" t="s">
        <v>16</v>
      </c>
      <c r="D3619">
        <v>4797479.3643000005</v>
      </c>
      <c r="E3619" t="s">
        <v>330</v>
      </c>
    </row>
    <row r="3620" spans="1:5" x14ac:dyDescent="0.25">
      <c r="A3620">
        <v>1580</v>
      </c>
      <c r="B3620" s="16">
        <v>43617</v>
      </c>
      <c r="C3620" t="s">
        <v>16</v>
      </c>
      <c r="D3620">
        <v>4797479.3643000005</v>
      </c>
      <c r="E3620" t="s">
        <v>330</v>
      </c>
    </row>
    <row r="3621" spans="1:5" x14ac:dyDescent="0.25">
      <c r="A3621">
        <v>1580</v>
      </c>
      <c r="B3621" s="16">
        <v>43647</v>
      </c>
      <c r="C3621" t="s">
        <v>16</v>
      </c>
      <c r="D3621">
        <v>4797479.3643000005</v>
      </c>
      <c r="E3621" t="s">
        <v>330</v>
      </c>
    </row>
    <row r="3622" spans="1:5" x14ac:dyDescent="0.25">
      <c r="A3622">
        <v>1580</v>
      </c>
      <c r="B3622" s="16">
        <v>43678</v>
      </c>
      <c r="C3622" t="s">
        <v>16</v>
      </c>
      <c r="D3622">
        <v>4797479.3643000005</v>
      </c>
      <c r="E3622" t="s">
        <v>330</v>
      </c>
    </row>
    <row r="3623" spans="1:5" x14ac:dyDescent="0.25">
      <c r="A3623">
        <v>1580</v>
      </c>
      <c r="B3623" s="16">
        <v>43709</v>
      </c>
      <c r="C3623" t="s">
        <v>16</v>
      </c>
      <c r="D3623">
        <v>4797479.3643000005</v>
      </c>
      <c r="E3623" t="s">
        <v>330</v>
      </c>
    </row>
    <row r="3624" spans="1:5" x14ac:dyDescent="0.25">
      <c r="A3624">
        <v>1580</v>
      </c>
      <c r="B3624" s="16">
        <v>43466</v>
      </c>
      <c r="C3624" t="s">
        <v>17</v>
      </c>
      <c r="D3624">
        <v>4024174.4865000001</v>
      </c>
      <c r="E3624" t="s">
        <v>330</v>
      </c>
    </row>
    <row r="3625" spans="1:5" x14ac:dyDescent="0.25">
      <c r="A3625">
        <v>1580</v>
      </c>
      <c r="B3625" s="16">
        <v>43497</v>
      </c>
      <c r="C3625" t="s">
        <v>17</v>
      </c>
      <c r="D3625">
        <v>4024174.4865000001</v>
      </c>
      <c r="E3625" t="s">
        <v>330</v>
      </c>
    </row>
    <row r="3626" spans="1:5" x14ac:dyDescent="0.25">
      <c r="A3626">
        <v>1580</v>
      </c>
      <c r="B3626" s="16">
        <v>43525</v>
      </c>
      <c r="C3626" t="s">
        <v>17</v>
      </c>
      <c r="D3626">
        <v>4024174.4865000001</v>
      </c>
      <c r="E3626" t="s">
        <v>330</v>
      </c>
    </row>
    <row r="3627" spans="1:5" x14ac:dyDescent="0.25">
      <c r="A3627">
        <v>1580</v>
      </c>
      <c r="B3627" s="16">
        <v>43556</v>
      </c>
      <c r="C3627" t="s">
        <v>17</v>
      </c>
      <c r="D3627">
        <v>4024174.4865000001</v>
      </c>
      <c r="E3627" t="s">
        <v>330</v>
      </c>
    </row>
    <row r="3628" spans="1:5" x14ac:dyDescent="0.25">
      <c r="A3628">
        <v>1580</v>
      </c>
      <c r="B3628" s="16">
        <v>43586</v>
      </c>
      <c r="C3628" t="s">
        <v>17</v>
      </c>
      <c r="D3628">
        <v>4024174.4865000001</v>
      </c>
      <c r="E3628" t="s">
        <v>330</v>
      </c>
    </row>
    <row r="3629" spans="1:5" x14ac:dyDescent="0.25">
      <c r="A3629">
        <v>1580</v>
      </c>
      <c r="B3629" s="16">
        <v>43617</v>
      </c>
      <c r="C3629" t="s">
        <v>17</v>
      </c>
      <c r="D3629">
        <v>4024174.4865000001</v>
      </c>
      <c r="E3629" t="s">
        <v>330</v>
      </c>
    </row>
    <row r="3630" spans="1:5" x14ac:dyDescent="0.25">
      <c r="A3630">
        <v>1580</v>
      </c>
      <c r="B3630" s="16">
        <v>43647</v>
      </c>
      <c r="C3630" t="s">
        <v>17</v>
      </c>
      <c r="D3630">
        <v>4024174.4865000001</v>
      </c>
      <c r="E3630" t="s">
        <v>330</v>
      </c>
    </row>
    <row r="3631" spans="1:5" x14ac:dyDescent="0.25">
      <c r="A3631">
        <v>1580</v>
      </c>
      <c r="B3631" s="16">
        <v>43678</v>
      </c>
      <c r="C3631" t="s">
        <v>17</v>
      </c>
      <c r="D3631">
        <v>4024174.4865000001</v>
      </c>
      <c r="E3631" t="s">
        <v>330</v>
      </c>
    </row>
    <row r="3632" spans="1:5" x14ac:dyDescent="0.25">
      <c r="A3632">
        <v>1580</v>
      </c>
      <c r="B3632" s="16">
        <v>43709</v>
      </c>
      <c r="C3632" t="s">
        <v>17</v>
      </c>
      <c r="D3632">
        <v>4024174.4865000001</v>
      </c>
      <c r="E3632" t="s">
        <v>330</v>
      </c>
    </row>
    <row r="3633" spans="1:5" x14ac:dyDescent="0.25">
      <c r="A3633">
        <v>1580</v>
      </c>
      <c r="B3633" s="16">
        <v>43739</v>
      </c>
      <c r="C3633" t="s">
        <v>17</v>
      </c>
      <c r="D3633">
        <v>4024174.4865000001</v>
      </c>
      <c r="E3633" t="s">
        <v>330</v>
      </c>
    </row>
    <row r="3634" spans="1:5" x14ac:dyDescent="0.25">
      <c r="A3634">
        <v>1580</v>
      </c>
      <c r="B3634" s="16">
        <v>43770</v>
      </c>
      <c r="C3634" t="s">
        <v>17</v>
      </c>
      <c r="D3634">
        <v>4024174.4865000001</v>
      </c>
      <c r="E3634" t="s">
        <v>330</v>
      </c>
    </row>
    <row r="3635" spans="1:5" x14ac:dyDescent="0.25">
      <c r="A3635">
        <v>1580</v>
      </c>
      <c r="B3635" s="16">
        <v>43800</v>
      </c>
      <c r="C3635" t="s">
        <v>17</v>
      </c>
      <c r="D3635">
        <v>4024174.4865000001</v>
      </c>
      <c r="E3635" t="s">
        <v>330</v>
      </c>
    </row>
    <row r="3636" spans="1:5" x14ac:dyDescent="0.25">
      <c r="A3636">
        <v>1580</v>
      </c>
      <c r="B3636" s="16">
        <v>43831</v>
      </c>
      <c r="C3636" t="s">
        <v>17</v>
      </c>
      <c r="D3636">
        <v>4024174.4865000001</v>
      </c>
      <c r="E3636" t="s">
        <v>330</v>
      </c>
    </row>
    <row r="3637" spans="1:5" x14ac:dyDescent="0.25">
      <c r="A3637">
        <v>1580</v>
      </c>
      <c r="B3637" s="16">
        <v>43556</v>
      </c>
      <c r="C3637" t="s">
        <v>18</v>
      </c>
      <c r="D3637">
        <v>3995634.3839999996</v>
      </c>
      <c r="E3637" t="s">
        <v>330</v>
      </c>
    </row>
    <row r="3638" spans="1:5" x14ac:dyDescent="0.25">
      <c r="A3638">
        <v>1580</v>
      </c>
      <c r="B3638" s="16">
        <v>43586</v>
      </c>
      <c r="C3638" t="s">
        <v>18</v>
      </c>
      <c r="D3638">
        <v>3995634.3839999996</v>
      </c>
      <c r="E3638" t="s">
        <v>330</v>
      </c>
    </row>
    <row r="3639" spans="1:5" x14ac:dyDescent="0.25">
      <c r="A3639">
        <v>1580</v>
      </c>
      <c r="B3639" s="16">
        <v>43617</v>
      </c>
      <c r="C3639" t="s">
        <v>18</v>
      </c>
      <c r="D3639">
        <v>3995634.3839999996</v>
      </c>
      <c r="E3639" t="s">
        <v>330</v>
      </c>
    </row>
    <row r="3640" spans="1:5" x14ac:dyDescent="0.25">
      <c r="A3640">
        <v>1580</v>
      </c>
      <c r="B3640" s="16">
        <v>43647</v>
      </c>
      <c r="C3640" t="s">
        <v>18</v>
      </c>
      <c r="D3640">
        <v>3995634.3839999996</v>
      </c>
      <c r="E3640" t="s">
        <v>330</v>
      </c>
    </row>
    <row r="3641" spans="1:5" x14ac:dyDescent="0.25">
      <c r="A3641">
        <v>1580</v>
      </c>
      <c r="B3641" s="16">
        <v>43678</v>
      </c>
      <c r="C3641" t="s">
        <v>18</v>
      </c>
      <c r="D3641">
        <v>3995634.3839999996</v>
      </c>
      <c r="E3641" t="s">
        <v>330</v>
      </c>
    </row>
    <row r="3642" spans="1:5" x14ac:dyDescent="0.25">
      <c r="A3642">
        <v>1580</v>
      </c>
      <c r="B3642" s="16">
        <v>43709</v>
      </c>
      <c r="C3642" t="s">
        <v>18</v>
      </c>
      <c r="D3642">
        <v>3995634.3839999996</v>
      </c>
      <c r="E3642" t="s">
        <v>330</v>
      </c>
    </row>
    <row r="3643" spans="1:5" x14ac:dyDescent="0.25">
      <c r="A3643">
        <v>1580</v>
      </c>
      <c r="B3643" s="16">
        <v>43739</v>
      </c>
      <c r="C3643" t="s">
        <v>18</v>
      </c>
      <c r="D3643">
        <v>3995634.3839999996</v>
      </c>
      <c r="E3643" t="s">
        <v>330</v>
      </c>
    </row>
    <row r="3644" spans="1:5" x14ac:dyDescent="0.25">
      <c r="A3644">
        <v>1580</v>
      </c>
      <c r="B3644" s="16">
        <v>43770</v>
      </c>
      <c r="C3644" t="s">
        <v>18</v>
      </c>
      <c r="D3644">
        <v>3995634.3839999996</v>
      </c>
      <c r="E3644" t="s">
        <v>330</v>
      </c>
    </row>
    <row r="3645" spans="1:5" x14ac:dyDescent="0.25">
      <c r="A3645">
        <v>1580</v>
      </c>
      <c r="B3645" s="16">
        <v>43800</v>
      </c>
      <c r="C3645" t="s">
        <v>18</v>
      </c>
      <c r="D3645">
        <v>3995634.3839999996</v>
      </c>
      <c r="E3645" t="s">
        <v>330</v>
      </c>
    </row>
    <row r="3646" spans="1:5" x14ac:dyDescent="0.25">
      <c r="A3646">
        <v>1588</v>
      </c>
      <c r="B3646" s="16">
        <v>43466</v>
      </c>
      <c r="C3646" t="s">
        <v>12</v>
      </c>
      <c r="D3646">
        <v>10120918.862249998</v>
      </c>
      <c r="E3646" t="s">
        <v>330</v>
      </c>
    </row>
    <row r="3647" spans="1:5" x14ac:dyDescent="0.25">
      <c r="A3647">
        <v>1588</v>
      </c>
      <c r="B3647" s="16">
        <v>43497</v>
      </c>
      <c r="C3647" t="s">
        <v>12</v>
      </c>
      <c r="D3647">
        <v>10120918.862249998</v>
      </c>
      <c r="E3647" t="s">
        <v>330</v>
      </c>
    </row>
    <row r="3648" spans="1:5" x14ac:dyDescent="0.25">
      <c r="A3648">
        <v>1588</v>
      </c>
      <c r="B3648" s="16">
        <v>43525</v>
      </c>
      <c r="C3648" t="s">
        <v>12</v>
      </c>
      <c r="D3648">
        <v>10120918.862249998</v>
      </c>
      <c r="E3648" t="s">
        <v>330</v>
      </c>
    </row>
    <row r="3649" spans="1:5" x14ac:dyDescent="0.25">
      <c r="A3649">
        <v>1588</v>
      </c>
      <c r="B3649" s="16">
        <v>43466</v>
      </c>
      <c r="C3649" t="s">
        <v>21</v>
      </c>
      <c r="D3649">
        <v>3845949.1676549995</v>
      </c>
      <c r="E3649" t="s">
        <v>330</v>
      </c>
    </row>
    <row r="3650" spans="1:5" x14ac:dyDescent="0.25">
      <c r="A3650">
        <v>1588</v>
      </c>
      <c r="B3650" s="16">
        <v>43497</v>
      </c>
      <c r="C3650" t="s">
        <v>21</v>
      </c>
      <c r="D3650">
        <v>3845949.1676549995</v>
      </c>
      <c r="E3650" t="s">
        <v>330</v>
      </c>
    </row>
    <row r="3651" spans="1:5" x14ac:dyDescent="0.25">
      <c r="A3651">
        <v>1588</v>
      </c>
      <c r="B3651" s="16">
        <v>43525</v>
      </c>
      <c r="C3651" t="s">
        <v>21</v>
      </c>
      <c r="D3651">
        <v>3845949.1676549995</v>
      </c>
      <c r="E3651" t="s">
        <v>330</v>
      </c>
    </row>
    <row r="3652" spans="1:5" x14ac:dyDescent="0.25">
      <c r="A3652">
        <v>1588</v>
      </c>
      <c r="B3652" s="16">
        <v>43466</v>
      </c>
      <c r="C3652" t="s">
        <v>22</v>
      </c>
      <c r="D3652">
        <v>3845949.1676549995</v>
      </c>
      <c r="E3652" t="s">
        <v>330</v>
      </c>
    </row>
    <row r="3653" spans="1:5" x14ac:dyDescent="0.25">
      <c r="A3653">
        <v>1588</v>
      </c>
      <c r="B3653" s="16">
        <v>43497</v>
      </c>
      <c r="C3653" t="s">
        <v>22</v>
      </c>
      <c r="D3653">
        <v>3845949.1676549995</v>
      </c>
      <c r="E3653" t="s">
        <v>330</v>
      </c>
    </row>
    <row r="3654" spans="1:5" x14ac:dyDescent="0.25">
      <c r="A3654">
        <v>1588</v>
      </c>
      <c r="B3654" s="16">
        <v>43525</v>
      </c>
      <c r="C3654" t="s">
        <v>22</v>
      </c>
      <c r="D3654">
        <v>3845949.1676549995</v>
      </c>
      <c r="E3654" t="s">
        <v>330</v>
      </c>
    </row>
    <row r="3655" spans="1:5" x14ac:dyDescent="0.25">
      <c r="A3655">
        <v>1588</v>
      </c>
      <c r="B3655" s="16">
        <v>43466</v>
      </c>
      <c r="C3655" t="s">
        <v>23</v>
      </c>
      <c r="D3655">
        <v>4250785.9221449997</v>
      </c>
      <c r="E3655" t="s">
        <v>330</v>
      </c>
    </row>
    <row r="3656" spans="1:5" x14ac:dyDescent="0.25">
      <c r="A3656">
        <v>1588</v>
      </c>
      <c r="B3656" s="16">
        <v>43497</v>
      </c>
      <c r="C3656" t="s">
        <v>23</v>
      </c>
      <c r="D3656">
        <v>4250785.9221449997</v>
      </c>
      <c r="E3656" t="s">
        <v>330</v>
      </c>
    </row>
    <row r="3657" spans="1:5" x14ac:dyDescent="0.25">
      <c r="A3657">
        <v>1588</v>
      </c>
      <c r="B3657" s="16">
        <v>43525</v>
      </c>
      <c r="C3657" t="s">
        <v>23</v>
      </c>
      <c r="D3657">
        <v>4250785.9221449997</v>
      </c>
      <c r="E3657" t="s">
        <v>330</v>
      </c>
    </row>
    <row r="3658" spans="1:5" x14ac:dyDescent="0.25">
      <c r="A3658">
        <v>1588</v>
      </c>
      <c r="B3658" s="16">
        <v>43466</v>
      </c>
      <c r="C3658" t="s">
        <v>24</v>
      </c>
      <c r="D3658">
        <v>3643530.7904099999</v>
      </c>
      <c r="E3658" t="s">
        <v>330</v>
      </c>
    </row>
    <row r="3659" spans="1:5" x14ac:dyDescent="0.25">
      <c r="A3659">
        <v>1588</v>
      </c>
      <c r="B3659" s="16">
        <v>43497</v>
      </c>
      <c r="C3659" t="s">
        <v>24</v>
      </c>
      <c r="D3659">
        <v>3643530.7904099999</v>
      </c>
      <c r="E3659" t="s">
        <v>330</v>
      </c>
    </row>
    <row r="3660" spans="1:5" x14ac:dyDescent="0.25">
      <c r="A3660">
        <v>1588</v>
      </c>
      <c r="B3660" s="16">
        <v>43525</v>
      </c>
      <c r="C3660" t="s">
        <v>24</v>
      </c>
      <c r="D3660">
        <v>3643530.7904099999</v>
      </c>
      <c r="E3660" t="s">
        <v>330</v>
      </c>
    </row>
    <row r="3661" spans="1:5" x14ac:dyDescent="0.25">
      <c r="A3661">
        <v>1588</v>
      </c>
      <c r="B3661" s="16">
        <v>43466</v>
      </c>
      <c r="C3661" t="s">
        <v>25</v>
      </c>
      <c r="D3661">
        <v>4964979.0644999994</v>
      </c>
      <c r="E3661" t="s">
        <v>330</v>
      </c>
    </row>
    <row r="3662" spans="1:5" x14ac:dyDescent="0.25">
      <c r="A3662">
        <v>1588</v>
      </c>
      <c r="B3662" s="16">
        <v>43497</v>
      </c>
      <c r="C3662" t="s">
        <v>25</v>
      </c>
      <c r="D3662">
        <v>4964979.0644999994</v>
      </c>
      <c r="E3662" t="s">
        <v>330</v>
      </c>
    </row>
    <row r="3663" spans="1:5" x14ac:dyDescent="0.25">
      <c r="A3663">
        <v>1588</v>
      </c>
      <c r="B3663" s="16">
        <v>43525</v>
      </c>
      <c r="C3663" t="s">
        <v>25</v>
      </c>
      <c r="D3663">
        <v>4964979.0644999994</v>
      </c>
      <c r="E3663" t="s">
        <v>330</v>
      </c>
    </row>
    <row r="3664" spans="1:5" x14ac:dyDescent="0.25">
      <c r="A3664">
        <v>1588</v>
      </c>
      <c r="B3664" s="16">
        <v>43466</v>
      </c>
      <c r="C3664" t="s">
        <v>14</v>
      </c>
      <c r="D3664">
        <v>8593232.9962500017</v>
      </c>
      <c r="E3664" t="s">
        <v>330</v>
      </c>
    </row>
    <row r="3665" spans="1:5" x14ac:dyDescent="0.25">
      <c r="A3665">
        <v>1588</v>
      </c>
      <c r="B3665" s="16">
        <v>43497</v>
      </c>
      <c r="C3665" t="s">
        <v>14</v>
      </c>
      <c r="D3665">
        <v>8593232.9962500017</v>
      </c>
      <c r="E3665" t="s">
        <v>330</v>
      </c>
    </row>
    <row r="3666" spans="1:5" x14ac:dyDescent="0.25">
      <c r="A3666">
        <v>1588</v>
      </c>
      <c r="B3666" s="16">
        <v>43525</v>
      </c>
      <c r="C3666" t="s">
        <v>14</v>
      </c>
      <c r="D3666">
        <v>8593232.9962500017</v>
      </c>
      <c r="E3666" t="s">
        <v>330</v>
      </c>
    </row>
    <row r="3667" spans="1:5" x14ac:dyDescent="0.25">
      <c r="A3667">
        <v>1588</v>
      </c>
      <c r="B3667" s="16">
        <v>43466</v>
      </c>
      <c r="C3667" t="s">
        <v>26</v>
      </c>
      <c r="D3667">
        <v>6110743.4639999997</v>
      </c>
      <c r="E3667" t="s">
        <v>330</v>
      </c>
    </row>
    <row r="3668" spans="1:5" x14ac:dyDescent="0.25">
      <c r="A3668">
        <v>1588</v>
      </c>
      <c r="B3668" s="16">
        <v>43497</v>
      </c>
      <c r="C3668" t="s">
        <v>26</v>
      </c>
      <c r="D3668">
        <v>6110743.4639999997</v>
      </c>
      <c r="E3668" t="s">
        <v>330</v>
      </c>
    </row>
    <row r="3669" spans="1:5" x14ac:dyDescent="0.25">
      <c r="A3669">
        <v>1588</v>
      </c>
      <c r="B3669" s="16">
        <v>43525</v>
      </c>
      <c r="C3669" t="s">
        <v>26</v>
      </c>
      <c r="D3669">
        <v>6110743.4639999997</v>
      </c>
      <c r="E3669" t="s">
        <v>330</v>
      </c>
    </row>
    <row r="3670" spans="1:5" x14ac:dyDescent="0.25">
      <c r="A3670">
        <v>1596</v>
      </c>
      <c r="B3670" s="16">
        <v>43466</v>
      </c>
      <c r="C3670" t="s">
        <v>19</v>
      </c>
      <c r="D3670">
        <v>2679075</v>
      </c>
      <c r="E3670" t="s">
        <v>330</v>
      </c>
    </row>
    <row r="3671" spans="1:5" x14ac:dyDescent="0.25">
      <c r="A3671">
        <v>1596</v>
      </c>
      <c r="B3671" s="16">
        <v>43497</v>
      </c>
      <c r="C3671" t="s">
        <v>19</v>
      </c>
      <c r="D3671">
        <v>2679075</v>
      </c>
      <c r="E3671" t="s">
        <v>330</v>
      </c>
    </row>
    <row r="3672" spans="1:5" x14ac:dyDescent="0.25">
      <c r="A3672">
        <v>1596</v>
      </c>
      <c r="B3672" s="16">
        <v>43525</v>
      </c>
      <c r="C3672" t="s">
        <v>19</v>
      </c>
      <c r="D3672">
        <v>2679075</v>
      </c>
      <c r="E3672" t="s">
        <v>330</v>
      </c>
    </row>
    <row r="3673" spans="1:5" x14ac:dyDescent="0.25">
      <c r="A3673">
        <v>1596</v>
      </c>
      <c r="B3673" s="16">
        <v>43556</v>
      </c>
      <c r="C3673" t="s">
        <v>19</v>
      </c>
      <c r="D3673">
        <v>2679075</v>
      </c>
      <c r="E3673" t="s">
        <v>330</v>
      </c>
    </row>
    <row r="3674" spans="1:5" x14ac:dyDescent="0.25">
      <c r="A3674">
        <v>1596</v>
      </c>
      <c r="B3674" s="16">
        <v>43586</v>
      </c>
      <c r="C3674" t="s">
        <v>19</v>
      </c>
      <c r="D3674">
        <v>2679075</v>
      </c>
      <c r="E3674" t="s">
        <v>330</v>
      </c>
    </row>
    <row r="3675" spans="1:5" x14ac:dyDescent="0.25">
      <c r="A3675">
        <v>1596</v>
      </c>
      <c r="B3675" s="16">
        <v>43617</v>
      </c>
      <c r="C3675" t="s">
        <v>19</v>
      </c>
      <c r="D3675">
        <v>2679075</v>
      </c>
      <c r="E3675" t="s">
        <v>330</v>
      </c>
    </row>
    <row r="3676" spans="1:5" x14ac:dyDescent="0.25">
      <c r="A3676">
        <v>1596</v>
      </c>
      <c r="B3676" s="16">
        <v>43466</v>
      </c>
      <c r="C3676" t="s">
        <v>12</v>
      </c>
      <c r="D3676">
        <v>9754920</v>
      </c>
      <c r="E3676" t="s">
        <v>330</v>
      </c>
    </row>
    <row r="3677" spans="1:5" x14ac:dyDescent="0.25">
      <c r="A3677">
        <v>1596</v>
      </c>
      <c r="B3677" s="16">
        <v>43497</v>
      </c>
      <c r="C3677" t="s">
        <v>12</v>
      </c>
      <c r="D3677">
        <v>9754920</v>
      </c>
      <c r="E3677" t="s">
        <v>330</v>
      </c>
    </row>
    <row r="3678" spans="1:5" x14ac:dyDescent="0.25">
      <c r="A3678">
        <v>1596</v>
      </c>
      <c r="B3678" s="16">
        <v>43525</v>
      </c>
      <c r="C3678" t="s">
        <v>12</v>
      </c>
      <c r="D3678">
        <v>9754920</v>
      </c>
      <c r="E3678" t="s">
        <v>330</v>
      </c>
    </row>
    <row r="3679" spans="1:5" x14ac:dyDescent="0.25">
      <c r="A3679">
        <v>1596</v>
      </c>
      <c r="B3679" s="16">
        <v>43556</v>
      </c>
      <c r="C3679" t="s">
        <v>12</v>
      </c>
      <c r="D3679">
        <v>9754920</v>
      </c>
      <c r="E3679" t="s">
        <v>330</v>
      </c>
    </row>
    <row r="3680" spans="1:5" x14ac:dyDescent="0.25">
      <c r="A3680">
        <v>1596</v>
      </c>
      <c r="B3680" s="16">
        <v>43586</v>
      </c>
      <c r="C3680" t="s">
        <v>12</v>
      </c>
      <c r="D3680">
        <v>9754920</v>
      </c>
      <c r="E3680" t="s">
        <v>330</v>
      </c>
    </row>
    <row r="3681" spans="1:5" x14ac:dyDescent="0.25">
      <c r="A3681">
        <v>1596</v>
      </c>
      <c r="B3681" s="16">
        <v>43617</v>
      </c>
      <c r="C3681" t="s">
        <v>12</v>
      </c>
      <c r="D3681">
        <v>9754920</v>
      </c>
      <c r="E3681" t="s">
        <v>330</v>
      </c>
    </row>
    <row r="3682" spans="1:5" x14ac:dyDescent="0.25">
      <c r="A3682">
        <v>1596</v>
      </c>
      <c r="B3682" s="16">
        <v>43466</v>
      </c>
      <c r="C3682" t="s">
        <v>38</v>
      </c>
      <c r="D3682">
        <v>4163260.5</v>
      </c>
      <c r="E3682" t="s">
        <v>330</v>
      </c>
    </row>
    <row r="3683" spans="1:5" x14ac:dyDescent="0.25">
      <c r="A3683">
        <v>1596</v>
      </c>
      <c r="B3683" s="16">
        <v>43497</v>
      </c>
      <c r="C3683" t="s">
        <v>38</v>
      </c>
      <c r="D3683">
        <v>4163260.5</v>
      </c>
      <c r="E3683" t="s">
        <v>330</v>
      </c>
    </row>
    <row r="3684" spans="1:5" x14ac:dyDescent="0.25">
      <c r="A3684">
        <v>1596</v>
      </c>
      <c r="B3684" s="16">
        <v>43525</v>
      </c>
      <c r="C3684" t="s">
        <v>38</v>
      </c>
      <c r="D3684">
        <v>4163260.5</v>
      </c>
      <c r="E3684" t="s">
        <v>330</v>
      </c>
    </row>
    <row r="3685" spans="1:5" x14ac:dyDescent="0.25">
      <c r="A3685">
        <v>1596</v>
      </c>
      <c r="B3685" s="16">
        <v>43556</v>
      </c>
      <c r="C3685" t="s">
        <v>38</v>
      </c>
      <c r="D3685">
        <v>4163260.5</v>
      </c>
      <c r="E3685" t="s">
        <v>330</v>
      </c>
    </row>
    <row r="3686" spans="1:5" x14ac:dyDescent="0.25">
      <c r="A3686">
        <v>1596</v>
      </c>
      <c r="B3686" s="16">
        <v>43466</v>
      </c>
      <c r="C3686" t="s">
        <v>16</v>
      </c>
      <c r="D3686">
        <v>1950380.3812500001</v>
      </c>
      <c r="E3686" t="s">
        <v>330</v>
      </c>
    </row>
    <row r="3687" spans="1:5" x14ac:dyDescent="0.25">
      <c r="A3687">
        <v>1596</v>
      </c>
      <c r="B3687" s="16">
        <v>43497</v>
      </c>
      <c r="C3687" t="s">
        <v>16</v>
      </c>
      <c r="D3687">
        <v>1950380.3812500001</v>
      </c>
      <c r="E3687" t="s">
        <v>330</v>
      </c>
    </row>
    <row r="3688" spans="1:5" x14ac:dyDescent="0.25">
      <c r="A3688">
        <v>1596</v>
      </c>
      <c r="B3688" s="16">
        <v>43525</v>
      </c>
      <c r="C3688" t="s">
        <v>16</v>
      </c>
      <c r="D3688">
        <v>1950380.3812500001</v>
      </c>
      <c r="E3688" t="s">
        <v>330</v>
      </c>
    </row>
    <row r="3689" spans="1:5" x14ac:dyDescent="0.25">
      <c r="A3689">
        <v>1596</v>
      </c>
      <c r="B3689" s="16">
        <v>43556</v>
      </c>
      <c r="C3689" t="s">
        <v>16</v>
      </c>
      <c r="D3689">
        <v>1950380.3812500001</v>
      </c>
      <c r="E3689" t="s">
        <v>330</v>
      </c>
    </row>
    <row r="3690" spans="1:5" x14ac:dyDescent="0.25">
      <c r="A3690">
        <v>1596</v>
      </c>
      <c r="B3690" s="16">
        <v>43466</v>
      </c>
      <c r="C3690" t="s">
        <v>39</v>
      </c>
      <c r="D3690">
        <v>5521981.5</v>
      </c>
      <c r="E3690" t="s">
        <v>330</v>
      </c>
    </row>
    <row r="3691" spans="1:5" x14ac:dyDescent="0.25">
      <c r="A3691">
        <v>1596</v>
      </c>
      <c r="B3691" s="16">
        <v>43497</v>
      </c>
      <c r="C3691" t="s">
        <v>39</v>
      </c>
      <c r="D3691">
        <v>5521981.5</v>
      </c>
      <c r="E3691" t="s">
        <v>330</v>
      </c>
    </row>
    <row r="3692" spans="1:5" x14ac:dyDescent="0.25">
      <c r="A3692">
        <v>1596</v>
      </c>
      <c r="B3692" s="16">
        <v>43525</v>
      </c>
      <c r="C3692" t="s">
        <v>39</v>
      </c>
      <c r="D3692">
        <v>5521981.5</v>
      </c>
      <c r="E3692" t="s">
        <v>330</v>
      </c>
    </row>
    <row r="3693" spans="1:5" x14ac:dyDescent="0.25">
      <c r="A3693">
        <v>1687</v>
      </c>
      <c r="B3693" s="16">
        <v>43466</v>
      </c>
      <c r="C3693" t="s">
        <v>19</v>
      </c>
      <c r="D3693">
        <v>3804794.5320000006</v>
      </c>
      <c r="E3693" t="s">
        <v>330</v>
      </c>
    </row>
    <row r="3694" spans="1:5" x14ac:dyDescent="0.25">
      <c r="A3694">
        <v>1687</v>
      </c>
      <c r="B3694" s="16">
        <v>43497</v>
      </c>
      <c r="C3694" t="s">
        <v>19</v>
      </c>
      <c r="D3694">
        <v>3804794.5320000006</v>
      </c>
      <c r="E3694" t="s">
        <v>330</v>
      </c>
    </row>
    <row r="3695" spans="1:5" x14ac:dyDescent="0.25">
      <c r="A3695">
        <v>1687</v>
      </c>
      <c r="B3695" s="16">
        <v>43525</v>
      </c>
      <c r="C3695" t="s">
        <v>19</v>
      </c>
      <c r="D3695">
        <v>3804794.5320000006</v>
      </c>
      <c r="E3695" t="s">
        <v>330</v>
      </c>
    </row>
    <row r="3696" spans="1:5" x14ac:dyDescent="0.25">
      <c r="A3696">
        <v>1687</v>
      </c>
      <c r="B3696" s="16">
        <v>43556</v>
      </c>
      <c r="C3696" t="s">
        <v>19</v>
      </c>
      <c r="D3696">
        <v>3804794.5320000006</v>
      </c>
      <c r="E3696" t="s">
        <v>330</v>
      </c>
    </row>
    <row r="3697" spans="1:5" x14ac:dyDescent="0.25">
      <c r="A3697">
        <v>1687</v>
      </c>
      <c r="B3697" s="16">
        <v>43466</v>
      </c>
      <c r="C3697" t="s">
        <v>12</v>
      </c>
      <c r="D3697">
        <v>10868700</v>
      </c>
      <c r="E3697" t="s">
        <v>330</v>
      </c>
    </row>
    <row r="3698" spans="1:5" x14ac:dyDescent="0.25">
      <c r="A3698">
        <v>1687</v>
      </c>
      <c r="B3698" s="16">
        <v>43497</v>
      </c>
      <c r="C3698" t="s">
        <v>12</v>
      </c>
      <c r="D3698">
        <v>10868700</v>
      </c>
      <c r="E3698" t="s">
        <v>330</v>
      </c>
    </row>
    <row r="3699" spans="1:5" x14ac:dyDescent="0.25">
      <c r="A3699">
        <v>1687</v>
      </c>
      <c r="B3699" s="16">
        <v>43525</v>
      </c>
      <c r="C3699" t="s">
        <v>12</v>
      </c>
      <c r="D3699">
        <v>10868700</v>
      </c>
      <c r="E3699" t="s">
        <v>330</v>
      </c>
    </row>
    <row r="3700" spans="1:5" x14ac:dyDescent="0.25">
      <c r="A3700">
        <v>1687</v>
      </c>
      <c r="B3700" s="16">
        <v>43556</v>
      </c>
      <c r="C3700" t="s">
        <v>12</v>
      </c>
      <c r="D3700">
        <v>10868700</v>
      </c>
      <c r="E3700" t="s">
        <v>330</v>
      </c>
    </row>
    <row r="3701" spans="1:5" x14ac:dyDescent="0.25">
      <c r="A3701">
        <v>1687</v>
      </c>
      <c r="B3701" s="16">
        <v>43466</v>
      </c>
      <c r="C3701" t="s">
        <v>38</v>
      </c>
      <c r="D3701">
        <v>3601566.2399999998</v>
      </c>
      <c r="E3701" t="s">
        <v>330</v>
      </c>
    </row>
    <row r="3702" spans="1:5" x14ac:dyDescent="0.25">
      <c r="A3702">
        <v>1687</v>
      </c>
      <c r="B3702" s="16">
        <v>43497</v>
      </c>
      <c r="C3702" t="s">
        <v>38</v>
      </c>
      <c r="D3702">
        <v>3601566.2399999998</v>
      </c>
      <c r="E3702" t="s">
        <v>330</v>
      </c>
    </row>
    <row r="3703" spans="1:5" x14ac:dyDescent="0.25">
      <c r="A3703">
        <v>1687</v>
      </c>
      <c r="B3703" s="16">
        <v>43525</v>
      </c>
      <c r="C3703" t="s">
        <v>38</v>
      </c>
      <c r="D3703">
        <v>3601566.2399999998</v>
      </c>
      <c r="E3703" t="s">
        <v>330</v>
      </c>
    </row>
    <row r="3704" spans="1:5" x14ac:dyDescent="0.25">
      <c r="A3704">
        <v>1687</v>
      </c>
      <c r="B3704" s="16">
        <v>43556</v>
      </c>
      <c r="C3704" t="s">
        <v>38</v>
      </c>
      <c r="D3704">
        <v>3601566.2399999998</v>
      </c>
      <c r="E3704" t="s">
        <v>330</v>
      </c>
    </row>
    <row r="3705" spans="1:5" x14ac:dyDescent="0.25">
      <c r="A3705">
        <v>1687</v>
      </c>
      <c r="B3705" s="16">
        <v>43466</v>
      </c>
      <c r="C3705" t="s">
        <v>67</v>
      </c>
      <c r="D3705">
        <v>5246958</v>
      </c>
      <c r="E3705" t="s">
        <v>330</v>
      </c>
    </row>
    <row r="3706" spans="1:5" x14ac:dyDescent="0.25">
      <c r="A3706">
        <v>1687</v>
      </c>
      <c r="B3706" s="16">
        <v>43497</v>
      </c>
      <c r="C3706" t="s">
        <v>67</v>
      </c>
      <c r="D3706">
        <v>5246958</v>
      </c>
      <c r="E3706" t="s">
        <v>330</v>
      </c>
    </row>
    <row r="3707" spans="1:5" x14ac:dyDescent="0.25">
      <c r="A3707">
        <v>1687</v>
      </c>
      <c r="B3707" s="16">
        <v>43525</v>
      </c>
      <c r="C3707" t="s">
        <v>67</v>
      </c>
      <c r="D3707">
        <v>5246958</v>
      </c>
      <c r="E3707" t="s">
        <v>330</v>
      </c>
    </row>
    <row r="3708" spans="1:5" x14ac:dyDescent="0.25">
      <c r="A3708">
        <v>1687</v>
      </c>
      <c r="B3708" s="16">
        <v>43556</v>
      </c>
      <c r="C3708" t="s">
        <v>67</v>
      </c>
      <c r="D3708">
        <v>5246958</v>
      </c>
      <c r="E3708" t="s">
        <v>330</v>
      </c>
    </row>
    <row r="3709" spans="1:5" x14ac:dyDescent="0.25">
      <c r="A3709">
        <v>1687</v>
      </c>
      <c r="B3709" s="16">
        <v>43466</v>
      </c>
      <c r="C3709" t="s">
        <v>39</v>
      </c>
      <c r="D3709">
        <v>4544697</v>
      </c>
      <c r="E3709" t="s">
        <v>330</v>
      </c>
    </row>
    <row r="3710" spans="1:5" x14ac:dyDescent="0.25">
      <c r="A3710">
        <v>1687</v>
      </c>
      <c r="B3710" s="16">
        <v>43497</v>
      </c>
      <c r="C3710" t="s">
        <v>39</v>
      </c>
      <c r="D3710">
        <v>4544697</v>
      </c>
      <c r="E3710" t="s">
        <v>330</v>
      </c>
    </row>
    <row r="3711" spans="1:5" x14ac:dyDescent="0.25">
      <c r="A3711">
        <v>1687</v>
      </c>
      <c r="B3711" s="16">
        <v>43525</v>
      </c>
      <c r="C3711" t="s">
        <v>39</v>
      </c>
      <c r="D3711">
        <v>4544697</v>
      </c>
      <c r="E3711" t="s">
        <v>330</v>
      </c>
    </row>
    <row r="3712" spans="1:5" x14ac:dyDescent="0.25">
      <c r="A3712">
        <v>1687</v>
      </c>
      <c r="B3712" s="16">
        <v>43556</v>
      </c>
      <c r="C3712" t="s">
        <v>39</v>
      </c>
      <c r="D3712">
        <v>4544697</v>
      </c>
      <c r="E3712" t="s">
        <v>330</v>
      </c>
    </row>
    <row r="3713" spans="1:5" x14ac:dyDescent="0.25">
      <c r="A3713">
        <v>1687</v>
      </c>
      <c r="B3713" s="16">
        <v>43466</v>
      </c>
      <c r="C3713" t="s">
        <v>68</v>
      </c>
      <c r="D3713">
        <v>7308264</v>
      </c>
      <c r="E3713" t="s">
        <v>330</v>
      </c>
    </row>
    <row r="3714" spans="1:5" x14ac:dyDescent="0.25">
      <c r="A3714">
        <v>1687</v>
      </c>
      <c r="B3714" s="16">
        <v>43497</v>
      </c>
      <c r="C3714" t="s">
        <v>68</v>
      </c>
      <c r="D3714">
        <v>7308264</v>
      </c>
      <c r="E3714" t="s">
        <v>330</v>
      </c>
    </row>
    <row r="3715" spans="1:5" x14ac:dyDescent="0.25">
      <c r="A3715">
        <v>1687</v>
      </c>
      <c r="B3715" s="16">
        <v>43525</v>
      </c>
      <c r="C3715" t="s">
        <v>68</v>
      </c>
      <c r="D3715">
        <v>7308264</v>
      </c>
      <c r="E3715" t="s">
        <v>330</v>
      </c>
    </row>
    <row r="3716" spans="1:5" x14ac:dyDescent="0.25">
      <c r="A3716">
        <v>1687</v>
      </c>
      <c r="B3716" s="16">
        <v>43556</v>
      </c>
      <c r="C3716" t="s">
        <v>68</v>
      </c>
      <c r="D3716">
        <v>7308264</v>
      </c>
      <c r="E3716" t="s">
        <v>330</v>
      </c>
    </row>
    <row r="3717" spans="1:5" x14ac:dyDescent="0.25">
      <c r="A3717">
        <v>1687</v>
      </c>
      <c r="B3717" s="16">
        <v>43466</v>
      </c>
      <c r="C3717" t="s">
        <v>69</v>
      </c>
      <c r="D3717">
        <v>3989386.5</v>
      </c>
      <c r="E3717" t="s">
        <v>330</v>
      </c>
    </row>
    <row r="3718" spans="1:5" x14ac:dyDescent="0.25">
      <c r="A3718">
        <v>1687</v>
      </c>
      <c r="B3718" s="16">
        <v>43497</v>
      </c>
      <c r="C3718" t="s">
        <v>69</v>
      </c>
      <c r="D3718">
        <v>3989386.5</v>
      </c>
      <c r="E3718" t="s">
        <v>330</v>
      </c>
    </row>
    <row r="3719" spans="1:5" x14ac:dyDescent="0.25">
      <c r="A3719">
        <v>1687</v>
      </c>
      <c r="B3719" s="16">
        <v>43525</v>
      </c>
      <c r="C3719" t="s">
        <v>69</v>
      </c>
      <c r="D3719">
        <v>3989386.5</v>
      </c>
      <c r="E3719" t="s">
        <v>330</v>
      </c>
    </row>
    <row r="3720" spans="1:5" x14ac:dyDescent="0.25">
      <c r="A3720">
        <v>1689</v>
      </c>
      <c r="B3720" s="16">
        <v>43466</v>
      </c>
      <c r="C3720" t="s">
        <v>12</v>
      </c>
      <c r="D3720">
        <v>9724050.0000000019</v>
      </c>
      <c r="E3720" t="s">
        <v>330</v>
      </c>
    </row>
    <row r="3721" spans="1:5" x14ac:dyDescent="0.25">
      <c r="A3721">
        <v>1689</v>
      </c>
      <c r="B3721" s="16">
        <v>43497</v>
      </c>
      <c r="C3721" t="s">
        <v>12</v>
      </c>
      <c r="D3721">
        <v>9724050.0000000019</v>
      </c>
      <c r="E3721" t="s">
        <v>330</v>
      </c>
    </row>
    <row r="3722" spans="1:5" x14ac:dyDescent="0.25">
      <c r="A3722">
        <v>1689</v>
      </c>
      <c r="B3722" s="16">
        <v>43525</v>
      </c>
      <c r="C3722" t="s">
        <v>12</v>
      </c>
      <c r="D3722">
        <v>9724050.0000000019</v>
      </c>
      <c r="E3722" t="s">
        <v>330</v>
      </c>
    </row>
    <row r="3723" spans="1:5" x14ac:dyDescent="0.25">
      <c r="A3723">
        <v>1689</v>
      </c>
      <c r="B3723" s="16">
        <v>43556</v>
      </c>
      <c r="C3723" t="s">
        <v>12</v>
      </c>
      <c r="D3723">
        <v>9724050.0000000019</v>
      </c>
      <c r="E3723" t="s">
        <v>330</v>
      </c>
    </row>
    <row r="3724" spans="1:5" x14ac:dyDescent="0.25">
      <c r="A3724">
        <v>1689</v>
      </c>
      <c r="B3724" s="16">
        <v>43586</v>
      </c>
      <c r="C3724" t="s">
        <v>12</v>
      </c>
      <c r="D3724">
        <v>9724050.0000000019</v>
      </c>
      <c r="E3724" t="s">
        <v>330</v>
      </c>
    </row>
    <row r="3725" spans="1:5" x14ac:dyDescent="0.25">
      <c r="A3725">
        <v>1689</v>
      </c>
      <c r="B3725" s="16">
        <v>43617</v>
      </c>
      <c r="C3725" t="s">
        <v>12</v>
      </c>
      <c r="D3725">
        <v>9724050.0000000019</v>
      </c>
      <c r="E3725" t="s">
        <v>330</v>
      </c>
    </row>
    <row r="3726" spans="1:5" x14ac:dyDescent="0.25">
      <c r="A3726">
        <v>1689</v>
      </c>
      <c r="B3726" s="16">
        <v>43647</v>
      </c>
      <c r="C3726" t="s">
        <v>12</v>
      </c>
      <c r="D3726">
        <v>9724050.0000000019</v>
      </c>
      <c r="E3726" t="s">
        <v>330</v>
      </c>
    </row>
    <row r="3727" spans="1:5" x14ac:dyDescent="0.25">
      <c r="A3727">
        <v>1689</v>
      </c>
      <c r="B3727" s="16">
        <v>43678</v>
      </c>
      <c r="C3727" t="s">
        <v>12</v>
      </c>
      <c r="D3727">
        <v>9724050.0000000019</v>
      </c>
      <c r="E3727" t="s">
        <v>330</v>
      </c>
    </row>
    <row r="3728" spans="1:5" x14ac:dyDescent="0.25">
      <c r="A3728">
        <v>1689</v>
      </c>
      <c r="B3728" s="16">
        <v>43709</v>
      </c>
      <c r="C3728" t="s">
        <v>12</v>
      </c>
      <c r="D3728">
        <v>9724050.0000000019</v>
      </c>
      <c r="E3728" t="s">
        <v>330</v>
      </c>
    </row>
    <row r="3729" spans="1:5" x14ac:dyDescent="0.25">
      <c r="A3729">
        <v>1689</v>
      </c>
      <c r="B3729" s="16">
        <v>43739</v>
      </c>
      <c r="C3729" t="s">
        <v>12</v>
      </c>
      <c r="D3729">
        <v>9724050.0000000019</v>
      </c>
      <c r="E3729" t="s">
        <v>330</v>
      </c>
    </row>
    <row r="3730" spans="1:5" x14ac:dyDescent="0.25">
      <c r="A3730">
        <v>1689</v>
      </c>
      <c r="B3730" s="16">
        <v>43770</v>
      </c>
      <c r="C3730" t="s">
        <v>12</v>
      </c>
      <c r="D3730">
        <v>9724050.0000000019</v>
      </c>
      <c r="E3730" t="s">
        <v>330</v>
      </c>
    </row>
    <row r="3731" spans="1:5" x14ac:dyDescent="0.25">
      <c r="A3731">
        <v>1689</v>
      </c>
      <c r="B3731" s="16">
        <v>43800</v>
      </c>
      <c r="C3731" t="s">
        <v>12</v>
      </c>
      <c r="D3731">
        <v>9724050.0000000019</v>
      </c>
      <c r="E3731" t="s">
        <v>330</v>
      </c>
    </row>
    <row r="3732" spans="1:5" x14ac:dyDescent="0.25">
      <c r="A3732">
        <v>1689</v>
      </c>
      <c r="B3732" s="16">
        <v>43466</v>
      </c>
      <c r="C3732" t="s">
        <v>36</v>
      </c>
      <c r="D3732">
        <v>3533997.5999999996</v>
      </c>
      <c r="E3732" t="s">
        <v>330</v>
      </c>
    </row>
    <row r="3733" spans="1:5" x14ac:dyDescent="0.25">
      <c r="A3733">
        <v>1689</v>
      </c>
      <c r="B3733" s="16">
        <v>43497</v>
      </c>
      <c r="C3733" t="s">
        <v>36</v>
      </c>
      <c r="D3733">
        <v>3533997.5999999996</v>
      </c>
      <c r="E3733" t="s">
        <v>330</v>
      </c>
    </row>
    <row r="3734" spans="1:5" x14ac:dyDescent="0.25">
      <c r="A3734">
        <v>1689</v>
      </c>
      <c r="B3734" s="16">
        <v>43525</v>
      </c>
      <c r="C3734" t="s">
        <v>36</v>
      </c>
      <c r="D3734">
        <v>3533997.5999999996</v>
      </c>
      <c r="E3734" t="s">
        <v>330</v>
      </c>
    </row>
    <row r="3735" spans="1:5" x14ac:dyDescent="0.25">
      <c r="A3735">
        <v>1689</v>
      </c>
      <c r="B3735" s="16">
        <v>43556</v>
      </c>
      <c r="C3735" t="s">
        <v>36</v>
      </c>
      <c r="D3735">
        <v>3533997.5999999996</v>
      </c>
      <c r="E3735" t="s">
        <v>330</v>
      </c>
    </row>
    <row r="3736" spans="1:5" x14ac:dyDescent="0.25">
      <c r="A3736">
        <v>1689</v>
      </c>
      <c r="B3736" s="16">
        <v>43586</v>
      </c>
      <c r="C3736" t="s">
        <v>36</v>
      </c>
      <c r="D3736">
        <v>3533997.5999999996</v>
      </c>
      <c r="E3736" t="s">
        <v>330</v>
      </c>
    </row>
    <row r="3737" spans="1:5" x14ac:dyDescent="0.25">
      <c r="A3737">
        <v>1689</v>
      </c>
      <c r="B3737" s="16">
        <v>43617</v>
      </c>
      <c r="C3737" t="s">
        <v>36</v>
      </c>
      <c r="D3737">
        <v>3533997.5999999996</v>
      </c>
      <c r="E3737" t="s">
        <v>330</v>
      </c>
    </row>
    <row r="3738" spans="1:5" x14ac:dyDescent="0.25">
      <c r="A3738">
        <v>1689</v>
      </c>
      <c r="B3738" s="16">
        <v>43647</v>
      </c>
      <c r="C3738" t="s">
        <v>36</v>
      </c>
      <c r="D3738">
        <v>3533997.5999999996</v>
      </c>
      <c r="E3738" t="s">
        <v>330</v>
      </c>
    </row>
    <row r="3739" spans="1:5" x14ac:dyDescent="0.25">
      <c r="A3739">
        <v>1689</v>
      </c>
      <c r="B3739" s="16">
        <v>43678</v>
      </c>
      <c r="C3739" t="s">
        <v>36</v>
      </c>
      <c r="D3739">
        <v>3533997.5999999996</v>
      </c>
      <c r="E3739" t="s">
        <v>330</v>
      </c>
    </row>
    <row r="3740" spans="1:5" x14ac:dyDescent="0.25">
      <c r="A3740">
        <v>1689</v>
      </c>
      <c r="B3740" s="16">
        <v>43709</v>
      </c>
      <c r="C3740" t="s">
        <v>36</v>
      </c>
      <c r="D3740">
        <v>3533997.5999999996</v>
      </c>
      <c r="E3740" t="s">
        <v>330</v>
      </c>
    </row>
    <row r="3741" spans="1:5" x14ac:dyDescent="0.25">
      <c r="A3741">
        <v>1689</v>
      </c>
      <c r="B3741" s="16">
        <v>43739</v>
      </c>
      <c r="C3741" t="s">
        <v>36</v>
      </c>
      <c r="D3741">
        <v>3533997.5999999996</v>
      </c>
      <c r="E3741" t="s">
        <v>330</v>
      </c>
    </row>
    <row r="3742" spans="1:5" x14ac:dyDescent="0.25">
      <c r="A3742">
        <v>1689</v>
      </c>
      <c r="B3742" s="16">
        <v>43770</v>
      </c>
      <c r="C3742" t="s">
        <v>36</v>
      </c>
      <c r="D3742">
        <v>3533997.5999999996</v>
      </c>
      <c r="E3742" t="s">
        <v>330</v>
      </c>
    </row>
    <row r="3743" spans="1:5" x14ac:dyDescent="0.25">
      <c r="A3743">
        <v>1689</v>
      </c>
      <c r="B3743" s="16">
        <v>43800</v>
      </c>
      <c r="C3743" t="s">
        <v>36</v>
      </c>
      <c r="D3743">
        <v>3533997.5999999996</v>
      </c>
      <c r="E3743" t="s">
        <v>330</v>
      </c>
    </row>
    <row r="3744" spans="1:5" x14ac:dyDescent="0.25">
      <c r="A3744">
        <v>1689</v>
      </c>
      <c r="B3744" s="16">
        <v>43466</v>
      </c>
      <c r="C3744" t="s">
        <v>35</v>
      </c>
      <c r="D3744">
        <v>3902122.35</v>
      </c>
      <c r="E3744" t="s">
        <v>330</v>
      </c>
    </row>
    <row r="3745" spans="1:5" x14ac:dyDescent="0.25">
      <c r="A3745">
        <v>1689</v>
      </c>
      <c r="B3745" s="16">
        <v>43497</v>
      </c>
      <c r="C3745" t="s">
        <v>35</v>
      </c>
      <c r="D3745">
        <v>3902122.35</v>
      </c>
      <c r="E3745" t="s">
        <v>330</v>
      </c>
    </row>
    <row r="3746" spans="1:5" x14ac:dyDescent="0.25">
      <c r="A3746">
        <v>1689</v>
      </c>
      <c r="B3746" s="16">
        <v>43525</v>
      </c>
      <c r="C3746" t="s">
        <v>35</v>
      </c>
      <c r="D3746">
        <v>3902122.35</v>
      </c>
      <c r="E3746" t="s">
        <v>330</v>
      </c>
    </row>
    <row r="3747" spans="1:5" x14ac:dyDescent="0.25">
      <c r="A3747">
        <v>1689</v>
      </c>
      <c r="B3747" s="16">
        <v>43556</v>
      </c>
      <c r="C3747" t="s">
        <v>35</v>
      </c>
      <c r="D3747">
        <v>3902122.35</v>
      </c>
      <c r="E3747" t="s">
        <v>330</v>
      </c>
    </row>
    <row r="3748" spans="1:5" x14ac:dyDescent="0.25">
      <c r="A3748">
        <v>1689</v>
      </c>
      <c r="B3748" s="16">
        <v>43586</v>
      </c>
      <c r="C3748" t="s">
        <v>35</v>
      </c>
      <c r="D3748">
        <v>3902122.35</v>
      </c>
      <c r="E3748" t="s">
        <v>330</v>
      </c>
    </row>
    <row r="3749" spans="1:5" x14ac:dyDescent="0.25">
      <c r="A3749">
        <v>1689</v>
      </c>
      <c r="B3749" s="16">
        <v>43617</v>
      </c>
      <c r="C3749" t="s">
        <v>35</v>
      </c>
      <c r="D3749">
        <v>3902122.35</v>
      </c>
      <c r="E3749" t="s">
        <v>330</v>
      </c>
    </row>
    <row r="3750" spans="1:5" x14ac:dyDescent="0.25">
      <c r="A3750">
        <v>1689</v>
      </c>
      <c r="B3750" s="16">
        <v>43647</v>
      </c>
      <c r="C3750" t="s">
        <v>35</v>
      </c>
      <c r="D3750">
        <v>3902122.35</v>
      </c>
      <c r="E3750" t="s">
        <v>330</v>
      </c>
    </row>
    <row r="3751" spans="1:5" x14ac:dyDescent="0.25">
      <c r="A3751">
        <v>1689</v>
      </c>
      <c r="B3751" s="16">
        <v>43678</v>
      </c>
      <c r="C3751" t="s">
        <v>35</v>
      </c>
      <c r="D3751">
        <v>3902122.35</v>
      </c>
      <c r="E3751" t="s">
        <v>330</v>
      </c>
    </row>
    <row r="3752" spans="1:5" x14ac:dyDescent="0.25">
      <c r="A3752">
        <v>1689</v>
      </c>
      <c r="B3752" s="16">
        <v>43466</v>
      </c>
      <c r="C3752" t="s">
        <v>39</v>
      </c>
      <c r="D3752">
        <v>3993806.2500000005</v>
      </c>
      <c r="E3752" t="s">
        <v>330</v>
      </c>
    </row>
    <row r="3753" spans="1:5" x14ac:dyDescent="0.25">
      <c r="A3753">
        <v>1689</v>
      </c>
      <c r="B3753" s="16">
        <v>43497</v>
      </c>
      <c r="C3753" t="s">
        <v>39</v>
      </c>
      <c r="D3753">
        <v>3993806.2500000005</v>
      </c>
      <c r="E3753" t="s">
        <v>330</v>
      </c>
    </row>
    <row r="3754" spans="1:5" x14ac:dyDescent="0.25">
      <c r="A3754">
        <v>1689</v>
      </c>
      <c r="B3754" s="16">
        <v>43525</v>
      </c>
      <c r="C3754" t="s">
        <v>39</v>
      </c>
      <c r="D3754">
        <v>3993806.2500000005</v>
      </c>
      <c r="E3754" t="s">
        <v>330</v>
      </c>
    </row>
    <row r="3755" spans="1:5" x14ac:dyDescent="0.25">
      <c r="A3755">
        <v>1689</v>
      </c>
      <c r="B3755" s="16">
        <v>43556</v>
      </c>
      <c r="C3755" t="s">
        <v>39</v>
      </c>
      <c r="D3755">
        <v>3993806.2500000005</v>
      </c>
      <c r="E3755" t="s">
        <v>330</v>
      </c>
    </row>
    <row r="3756" spans="1:5" x14ac:dyDescent="0.25">
      <c r="A3756">
        <v>1689</v>
      </c>
      <c r="B3756" s="16">
        <v>43586</v>
      </c>
      <c r="C3756" t="s">
        <v>39</v>
      </c>
      <c r="D3756">
        <v>3993806.2500000005</v>
      </c>
      <c r="E3756" t="s">
        <v>330</v>
      </c>
    </row>
    <row r="3757" spans="1:5" x14ac:dyDescent="0.25">
      <c r="A3757">
        <v>1689</v>
      </c>
      <c r="B3757" s="16">
        <v>43617</v>
      </c>
      <c r="C3757" t="s">
        <v>39</v>
      </c>
      <c r="D3757">
        <v>3993806.2500000005</v>
      </c>
      <c r="E3757" t="s">
        <v>330</v>
      </c>
    </row>
    <row r="3758" spans="1:5" x14ac:dyDescent="0.25">
      <c r="A3758">
        <v>1689</v>
      </c>
      <c r="B3758" s="16">
        <v>43647</v>
      </c>
      <c r="C3758" t="s">
        <v>39</v>
      </c>
      <c r="D3758">
        <v>3993806.2500000005</v>
      </c>
      <c r="E3758" t="s">
        <v>330</v>
      </c>
    </row>
    <row r="3759" spans="1:5" x14ac:dyDescent="0.25">
      <c r="A3759">
        <v>1689</v>
      </c>
      <c r="B3759" s="16">
        <v>43678</v>
      </c>
      <c r="C3759" t="s">
        <v>39</v>
      </c>
      <c r="D3759">
        <v>3993806.2500000005</v>
      </c>
      <c r="E3759" t="s">
        <v>330</v>
      </c>
    </row>
    <row r="3760" spans="1:5" x14ac:dyDescent="0.25">
      <c r="A3760">
        <v>1701</v>
      </c>
      <c r="B3760" s="16">
        <v>43466</v>
      </c>
      <c r="C3760" t="s">
        <v>19</v>
      </c>
      <c r="D3760">
        <v>4388324.8500000006</v>
      </c>
      <c r="E3760" t="s">
        <v>330</v>
      </c>
    </row>
    <row r="3761" spans="1:5" x14ac:dyDescent="0.25">
      <c r="A3761">
        <v>1701</v>
      </c>
      <c r="B3761" s="16">
        <v>43497</v>
      </c>
      <c r="C3761" t="s">
        <v>19</v>
      </c>
      <c r="D3761">
        <v>4388324.8500000006</v>
      </c>
      <c r="E3761" t="s">
        <v>330</v>
      </c>
    </row>
    <row r="3762" spans="1:5" x14ac:dyDescent="0.25">
      <c r="A3762">
        <v>1701</v>
      </c>
      <c r="B3762" s="16">
        <v>43525</v>
      </c>
      <c r="C3762" t="s">
        <v>19</v>
      </c>
      <c r="D3762">
        <v>4388324.8500000006</v>
      </c>
      <c r="E3762" t="s">
        <v>330</v>
      </c>
    </row>
    <row r="3763" spans="1:5" x14ac:dyDescent="0.25">
      <c r="A3763">
        <v>1701</v>
      </c>
      <c r="B3763" s="16">
        <v>43556</v>
      </c>
      <c r="C3763" t="s">
        <v>19</v>
      </c>
      <c r="D3763">
        <v>4388324.8500000006</v>
      </c>
      <c r="E3763" t="s">
        <v>330</v>
      </c>
    </row>
    <row r="3764" spans="1:5" x14ac:dyDescent="0.25">
      <c r="A3764">
        <v>1701</v>
      </c>
      <c r="B3764" s="16">
        <v>43586</v>
      </c>
      <c r="C3764" t="s">
        <v>19</v>
      </c>
      <c r="D3764">
        <v>4388324.8500000006</v>
      </c>
      <c r="E3764" t="s">
        <v>330</v>
      </c>
    </row>
    <row r="3765" spans="1:5" x14ac:dyDescent="0.25">
      <c r="A3765">
        <v>1701</v>
      </c>
      <c r="B3765" s="16">
        <v>43466</v>
      </c>
      <c r="C3765" t="s">
        <v>12</v>
      </c>
      <c r="D3765">
        <v>8682187.5000000019</v>
      </c>
      <c r="E3765" t="s">
        <v>330</v>
      </c>
    </row>
    <row r="3766" spans="1:5" x14ac:dyDescent="0.25">
      <c r="A3766">
        <v>1701</v>
      </c>
      <c r="B3766" s="16">
        <v>43497</v>
      </c>
      <c r="C3766" t="s">
        <v>12</v>
      </c>
      <c r="D3766">
        <v>8682187.5000000019</v>
      </c>
      <c r="E3766" t="s">
        <v>330</v>
      </c>
    </row>
    <row r="3767" spans="1:5" x14ac:dyDescent="0.25">
      <c r="A3767">
        <v>1701</v>
      </c>
      <c r="B3767" s="16">
        <v>43525</v>
      </c>
      <c r="C3767" t="s">
        <v>12</v>
      </c>
      <c r="D3767">
        <v>8682187.5000000019</v>
      </c>
      <c r="E3767" t="s">
        <v>330</v>
      </c>
    </row>
    <row r="3768" spans="1:5" x14ac:dyDescent="0.25">
      <c r="A3768">
        <v>1701</v>
      </c>
      <c r="B3768" s="16">
        <v>43556</v>
      </c>
      <c r="C3768" t="s">
        <v>12</v>
      </c>
      <c r="D3768">
        <v>8682187.5000000019</v>
      </c>
      <c r="E3768" t="s">
        <v>330</v>
      </c>
    </row>
    <row r="3769" spans="1:5" x14ac:dyDescent="0.25">
      <c r="A3769">
        <v>1701</v>
      </c>
      <c r="B3769" s="16">
        <v>43586</v>
      </c>
      <c r="C3769" t="s">
        <v>12</v>
      </c>
      <c r="D3769">
        <v>8682187.5000000019</v>
      </c>
      <c r="E3769" t="s">
        <v>330</v>
      </c>
    </row>
    <row r="3770" spans="1:5" x14ac:dyDescent="0.25">
      <c r="A3770">
        <v>1701</v>
      </c>
      <c r="B3770" s="16">
        <v>43466</v>
      </c>
      <c r="C3770" t="s">
        <v>38</v>
      </c>
      <c r="D3770">
        <v>3865309.875</v>
      </c>
      <c r="E3770" t="s">
        <v>330</v>
      </c>
    </row>
    <row r="3771" spans="1:5" x14ac:dyDescent="0.25">
      <c r="A3771">
        <v>1701</v>
      </c>
      <c r="B3771" s="16">
        <v>43497</v>
      </c>
      <c r="C3771" t="s">
        <v>38</v>
      </c>
      <c r="D3771">
        <v>3865309.875</v>
      </c>
      <c r="E3771" t="s">
        <v>330</v>
      </c>
    </row>
    <row r="3772" spans="1:5" x14ac:dyDescent="0.25">
      <c r="A3772">
        <v>1701</v>
      </c>
      <c r="B3772" s="16">
        <v>43525</v>
      </c>
      <c r="C3772" t="s">
        <v>38</v>
      </c>
      <c r="D3772">
        <v>3865309.875</v>
      </c>
      <c r="E3772" t="s">
        <v>330</v>
      </c>
    </row>
    <row r="3773" spans="1:5" x14ac:dyDescent="0.25">
      <c r="A3773">
        <v>1701</v>
      </c>
      <c r="B3773" s="16">
        <v>43556</v>
      </c>
      <c r="C3773" t="s">
        <v>38</v>
      </c>
      <c r="D3773">
        <v>3865309.875</v>
      </c>
      <c r="E3773" t="s">
        <v>330</v>
      </c>
    </row>
    <row r="3774" spans="1:5" x14ac:dyDescent="0.25">
      <c r="A3774">
        <v>1701</v>
      </c>
      <c r="B3774" s="16">
        <v>43586</v>
      </c>
      <c r="C3774" t="s">
        <v>38</v>
      </c>
      <c r="D3774">
        <v>3865309.875</v>
      </c>
      <c r="E3774" t="s">
        <v>330</v>
      </c>
    </row>
    <row r="3775" spans="1:5" x14ac:dyDescent="0.25">
      <c r="A3775">
        <v>1701</v>
      </c>
      <c r="B3775" s="16">
        <v>43466</v>
      </c>
      <c r="C3775" t="s">
        <v>76</v>
      </c>
      <c r="D3775">
        <v>3497185.125</v>
      </c>
      <c r="E3775" t="s">
        <v>330</v>
      </c>
    </row>
    <row r="3776" spans="1:5" x14ac:dyDescent="0.25">
      <c r="A3776">
        <v>1701</v>
      </c>
      <c r="B3776" s="16">
        <v>43497</v>
      </c>
      <c r="C3776" t="s">
        <v>76</v>
      </c>
      <c r="D3776">
        <v>3497185.125</v>
      </c>
      <c r="E3776" t="s">
        <v>330</v>
      </c>
    </row>
    <row r="3777" spans="1:5" x14ac:dyDescent="0.25">
      <c r="A3777">
        <v>1701</v>
      </c>
      <c r="B3777" s="16">
        <v>43525</v>
      </c>
      <c r="C3777" t="s">
        <v>76</v>
      </c>
      <c r="D3777">
        <v>3497185.125</v>
      </c>
      <c r="E3777" t="s">
        <v>330</v>
      </c>
    </row>
    <row r="3778" spans="1:5" x14ac:dyDescent="0.25">
      <c r="A3778">
        <v>1701</v>
      </c>
      <c r="B3778" s="16">
        <v>43556</v>
      </c>
      <c r="C3778" t="s">
        <v>76</v>
      </c>
      <c r="D3778">
        <v>3497185.125</v>
      </c>
      <c r="E3778" t="s">
        <v>330</v>
      </c>
    </row>
    <row r="3779" spans="1:5" x14ac:dyDescent="0.25">
      <c r="A3779">
        <v>1701</v>
      </c>
      <c r="B3779" s="16">
        <v>43586</v>
      </c>
      <c r="C3779" t="s">
        <v>76</v>
      </c>
      <c r="D3779">
        <v>3497185.125</v>
      </c>
      <c r="E3779" t="s">
        <v>330</v>
      </c>
    </row>
    <row r="3780" spans="1:5" x14ac:dyDescent="0.25">
      <c r="A3780">
        <v>1701</v>
      </c>
      <c r="B3780" s="16">
        <v>43617</v>
      </c>
      <c r="C3780" t="s">
        <v>76</v>
      </c>
      <c r="D3780">
        <v>3497185.125</v>
      </c>
      <c r="E3780" t="s">
        <v>330</v>
      </c>
    </row>
    <row r="3781" spans="1:5" x14ac:dyDescent="0.25">
      <c r="A3781">
        <v>1701</v>
      </c>
      <c r="B3781" s="16">
        <v>43647</v>
      </c>
      <c r="C3781" t="s">
        <v>76</v>
      </c>
      <c r="D3781">
        <v>3497185.125</v>
      </c>
      <c r="E3781" t="s">
        <v>330</v>
      </c>
    </row>
    <row r="3782" spans="1:5" x14ac:dyDescent="0.25">
      <c r="A3782">
        <v>1701</v>
      </c>
      <c r="B3782" s="16">
        <v>43678</v>
      </c>
      <c r="C3782" t="s">
        <v>76</v>
      </c>
      <c r="D3782">
        <v>3497185.125</v>
      </c>
      <c r="E3782" t="s">
        <v>330</v>
      </c>
    </row>
    <row r="3783" spans="1:5" x14ac:dyDescent="0.25">
      <c r="A3783">
        <v>1701</v>
      </c>
      <c r="B3783" s="16">
        <v>43709</v>
      </c>
      <c r="C3783" t="s">
        <v>76</v>
      </c>
      <c r="D3783">
        <v>3497185.125</v>
      </c>
      <c r="E3783" t="s">
        <v>330</v>
      </c>
    </row>
    <row r="3784" spans="1:5" x14ac:dyDescent="0.25">
      <c r="A3784">
        <v>1701</v>
      </c>
      <c r="B3784" s="16">
        <v>43739</v>
      </c>
      <c r="C3784" t="s">
        <v>76</v>
      </c>
      <c r="D3784">
        <v>3497185.125</v>
      </c>
      <c r="E3784" t="s">
        <v>330</v>
      </c>
    </row>
    <row r="3785" spans="1:5" x14ac:dyDescent="0.25">
      <c r="A3785">
        <v>1701</v>
      </c>
      <c r="B3785" s="16">
        <v>43770</v>
      </c>
      <c r="C3785" t="s">
        <v>76</v>
      </c>
      <c r="D3785">
        <v>3497185.125</v>
      </c>
      <c r="E3785" t="s">
        <v>330</v>
      </c>
    </row>
    <row r="3786" spans="1:5" x14ac:dyDescent="0.25">
      <c r="A3786">
        <v>1701</v>
      </c>
      <c r="B3786" s="16">
        <v>43800</v>
      </c>
      <c r="C3786" t="s">
        <v>76</v>
      </c>
      <c r="D3786">
        <v>3497185.125</v>
      </c>
      <c r="E3786" t="s">
        <v>330</v>
      </c>
    </row>
    <row r="3787" spans="1:5" x14ac:dyDescent="0.25">
      <c r="A3787">
        <v>1701</v>
      </c>
      <c r="B3787" s="16">
        <v>43831</v>
      </c>
      <c r="C3787" t="s">
        <v>76</v>
      </c>
      <c r="D3787">
        <v>3497185.125</v>
      </c>
      <c r="E3787" t="s">
        <v>330</v>
      </c>
    </row>
    <row r="3788" spans="1:5" x14ac:dyDescent="0.25">
      <c r="A3788">
        <v>1701</v>
      </c>
      <c r="B3788" s="16">
        <v>43466</v>
      </c>
      <c r="C3788" t="s">
        <v>39</v>
      </c>
      <c r="D3788">
        <v>3646518.7500000005</v>
      </c>
      <c r="E3788" t="s">
        <v>330</v>
      </c>
    </row>
    <row r="3789" spans="1:5" x14ac:dyDescent="0.25">
      <c r="A3789">
        <v>1751</v>
      </c>
      <c r="B3789" s="16">
        <v>43466</v>
      </c>
      <c r="C3789" t="s">
        <v>26</v>
      </c>
      <c r="D3789">
        <v>8365287.65625</v>
      </c>
      <c r="E3789" t="s">
        <v>330</v>
      </c>
    </row>
    <row r="3790" spans="1:5" x14ac:dyDescent="0.25">
      <c r="A3790">
        <v>1751</v>
      </c>
      <c r="B3790" s="16">
        <v>43497</v>
      </c>
      <c r="C3790" t="s">
        <v>26</v>
      </c>
      <c r="D3790">
        <v>8365287.65625</v>
      </c>
      <c r="E3790" t="s">
        <v>330</v>
      </c>
    </row>
    <row r="3791" spans="1:5" x14ac:dyDescent="0.25">
      <c r="A3791">
        <v>1758</v>
      </c>
      <c r="B3791" s="16">
        <v>43466</v>
      </c>
      <c r="C3791" t="s">
        <v>19</v>
      </c>
      <c r="D3791">
        <v>3839596.7085000006</v>
      </c>
      <c r="E3791" t="s">
        <v>330</v>
      </c>
    </row>
    <row r="3792" spans="1:5" x14ac:dyDescent="0.25">
      <c r="A3792">
        <v>1758</v>
      </c>
      <c r="B3792" s="16">
        <v>43497</v>
      </c>
      <c r="C3792" t="s">
        <v>19</v>
      </c>
      <c r="D3792">
        <v>3839596.7085000006</v>
      </c>
      <c r="E3792" t="s">
        <v>330</v>
      </c>
    </row>
    <row r="3793" spans="1:5" x14ac:dyDescent="0.25">
      <c r="A3793">
        <v>1758</v>
      </c>
      <c r="B3793" s="16">
        <v>43525</v>
      </c>
      <c r="C3793" t="s">
        <v>19</v>
      </c>
      <c r="D3793">
        <v>3839596.7085000006</v>
      </c>
      <c r="E3793" t="s">
        <v>330</v>
      </c>
    </row>
    <row r="3794" spans="1:5" x14ac:dyDescent="0.25">
      <c r="A3794">
        <v>1758</v>
      </c>
      <c r="B3794" s="16">
        <v>43556</v>
      </c>
      <c r="C3794" t="s">
        <v>19</v>
      </c>
      <c r="D3794">
        <v>3839596.7085000006</v>
      </c>
      <c r="E3794" t="s">
        <v>330</v>
      </c>
    </row>
    <row r="3795" spans="1:5" x14ac:dyDescent="0.25">
      <c r="A3795">
        <v>1758</v>
      </c>
      <c r="B3795" s="16">
        <v>43586</v>
      </c>
      <c r="C3795" t="s">
        <v>19</v>
      </c>
      <c r="D3795">
        <v>3839596.7085000006</v>
      </c>
      <c r="E3795" t="s">
        <v>330</v>
      </c>
    </row>
    <row r="3796" spans="1:5" x14ac:dyDescent="0.25">
      <c r="A3796">
        <v>1758</v>
      </c>
      <c r="B3796" s="16">
        <v>43617</v>
      </c>
      <c r="C3796" t="s">
        <v>19</v>
      </c>
      <c r="D3796">
        <v>3839596.7085000006</v>
      </c>
      <c r="E3796" t="s">
        <v>330</v>
      </c>
    </row>
    <row r="3797" spans="1:5" x14ac:dyDescent="0.25">
      <c r="A3797">
        <v>1758</v>
      </c>
      <c r="B3797" s="16">
        <v>43647</v>
      </c>
      <c r="C3797" t="s">
        <v>19</v>
      </c>
      <c r="D3797">
        <v>3839596.7085000006</v>
      </c>
      <c r="E3797" t="s">
        <v>330</v>
      </c>
    </row>
    <row r="3798" spans="1:5" x14ac:dyDescent="0.25">
      <c r="A3798">
        <v>1758</v>
      </c>
      <c r="B3798" s="16">
        <v>43678</v>
      </c>
      <c r="C3798" t="s">
        <v>19</v>
      </c>
      <c r="D3798">
        <v>3839596.7085000006</v>
      </c>
      <c r="E3798" t="s">
        <v>330</v>
      </c>
    </row>
    <row r="3799" spans="1:5" x14ac:dyDescent="0.25">
      <c r="A3799">
        <v>1758</v>
      </c>
      <c r="B3799" s="16">
        <v>43709</v>
      </c>
      <c r="C3799" t="s">
        <v>19</v>
      </c>
      <c r="D3799">
        <v>3839596.7085000006</v>
      </c>
      <c r="E3799" t="s">
        <v>330</v>
      </c>
    </row>
    <row r="3800" spans="1:5" x14ac:dyDescent="0.25">
      <c r="A3800">
        <v>1758</v>
      </c>
      <c r="B3800" s="16">
        <v>43739</v>
      </c>
      <c r="C3800" t="s">
        <v>19</v>
      </c>
      <c r="D3800">
        <v>3839596.7085000006</v>
      </c>
      <c r="E3800" t="s">
        <v>330</v>
      </c>
    </row>
    <row r="3801" spans="1:5" x14ac:dyDescent="0.25">
      <c r="A3801">
        <v>1758</v>
      </c>
      <c r="B3801" s="16">
        <v>43770</v>
      </c>
      <c r="C3801" t="s">
        <v>19</v>
      </c>
      <c r="D3801">
        <v>3839596.7085000006</v>
      </c>
      <c r="E3801" t="s">
        <v>330</v>
      </c>
    </row>
    <row r="3802" spans="1:5" x14ac:dyDescent="0.25">
      <c r="A3802">
        <v>1758</v>
      </c>
      <c r="B3802" s="16">
        <v>43800</v>
      </c>
      <c r="C3802" t="s">
        <v>19</v>
      </c>
      <c r="D3802">
        <v>3839596.7085000006</v>
      </c>
      <c r="E3802" t="s">
        <v>330</v>
      </c>
    </row>
    <row r="3803" spans="1:5" x14ac:dyDescent="0.25">
      <c r="A3803">
        <v>1758</v>
      </c>
      <c r="B3803" s="16">
        <v>43466</v>
      </c>
      <c r="C3803" t="s">
        <v>12</v>
      </c>
      <c r="D3803">
        <v>12599152.25625</v>
      </c>
      <c r="E3803" t="s">
        <v>330</v>
      </c>
    </row>
    <row r="3804" spans="1:5" x14ac:dyDescent="0.25">
      <c r="A3804">
        <v>1758</v>
      </c>
      <c r="B3804" s="16">
        <v>43497</v>
      </c>
      <c r="C3804" t="s">
        <v>12</v>
      </c>
      <c r="D3804">
        <v>12599152.25625</v>
      </c>
      <c r="E3804" t="s">
        <v>330</v>
      </c>
    </row>
    <row r="3805" spans="1:5" x14ac:dyDescent="0.25">
      <c r="A3805">
        <v>1758</v>
      </c>
      <c r="B3805" s="16">
        <v>43525</v>
      </c>
      <c r="C3805" t="s">
        <v>12</v>
      </c>
      <c r="D3805">
        <v>12599152.25625</v>
      </c>
      <c r="E3805" t="s">
        <v>330</v>
      </c>
    </row>
    <row r="3806" spans="1:5" x14ac:dyDescent="0.25">
      <c r="A3806">
        <v>1758</v>
      </c>
      <c r="B3806" s="16">
        <v>43556</v>
      </c>
      <c r="C3806" t="s">
        <v>12</v>
      </c>
      <c r="D3806">
        <v>12599152.25625</v>
      </c>
      <c r="E3806" t="s">
        <v>330</v>
      </c>
    </row>
    <row r="3807" spans="1:5" x14ac:dyDescent="0.25">
      <c r="A3807">
        <v>1758</v>
      </c>
      <c r="B3807" s="16">
        <v>43586</v>
      </c>
      <c r="C3807" t="s">
        <v>12</v>
      </c>
      <c r="D3807">
        <v>12599152.25625</v>
      </c>
      <c r="E3807" t="s">
        <v>330</v>
      </c>
    </row>
    <row r="3808" spans="1:5" x14ac:dyDescent="0.25">
      <c r="A3808">
        <v>1758</v>
      </c>
      <c r="B3808" s="16">
        <v>43617</v>
      </c>
      <c r="C3808" t="s">
        <v>12</v>
      </c>
      <c r="D3808">
        <v>12599152.25625</v>
      </c>
      <c r="E3808" t="s">
        <v>330</v>
      </c>
    </row>
    <row r="3809" spans="1:5" x14ac:dyDescent="0.25">
      <c r="A3809">
        <v>1758</v>
      </c>
      <c r="B3809" s="16">
        <v>43647</v>
      </c>
      <c r="C3809" t="s">
        <v>12</v>
      </c>
      <c r="D3809">
        <v>12599152.25625</v>
      </c>
      <c r="E3809" t="s">
        <v>330</v>
      </c>
    </row>
    <row r="3810" spans="1:5" x14ac:dyDescent="0.25">
      <c r="A3810">
        <v>1758</v>
      </c>
      <c r="B3810" s="16">
        <v>43678</v>
      </c>
      <c r="C3810" t="s">
        <v>12</v>
      </c>
      <c r="D3810">
        <v>12599152.25625</v>
      </c>
      <c r="E3810" t="s">
        <v>330</v>
      </c>
    </row>
    <row r="3811" spans="1:5" x14ac:dyDescent="0.25">
      <c r="A3811">
        <v>1758</v>
      </c>
      <c r="B3811" s="16">
        <v>43709</v>
      </c>
      <c r="C3811" t="s">
        <v>12</v>
      </c>
      <c r="D3811">
        <v>12599152.25625</v>
      </c>
      <c r="E3811" t="s">
        <v>330</v>
      </c>
    </row>
    <row r="3812" spans="1:5" x14ac:dyDescent="0.25">
      <c r="A3812">
        <v>1758</v>
      </c>
      <c r="B3812" s="16">
        <v>43739</v>
      </c>
      <c r="C3812" t="s">
        <v>12</v>
      </c>
      <c r="D3812">
        <v>12599152.25625</v>
      </c>
      <c r="E3812" t="s">
        <v>330</v>
      </c>
    </row>
    <row r="3813" spans="1:5" x14ac:dyDescent="0.25">
      <c r="A3813">
        <v>1758</v>
      </c>
      <c r="B3813" s="16">
        <v>43770</v>
      </c>
      <c r="C3813" t="s">
        <v>12</v>
      </c>
      <c r="D3813">
        <v>12599152.25625</v>
      </c>
      <c r="E3813" t="s">
        <v>330</v>
      </c>
    </row>
    <row r="3814" spans="1:5" x14ac:dyDescent="0.25">
      <c r="A3814">
        <v>1758</v>
      </c>
      <c r="B3814" s="16">
        <v>43800</v>
      </c>
      <c r="C3814" t="s">
        <v>12</v>
      </c>
      <c r="D3814">
        <v>12599152.25625</v>
      </c>
      <c r="E3814" t="s">
        <v>330</v>
      </c>
    </row>
    <row r="3815" spans="1:5" x14ac:dyDescent="0.25">
      <c r="A3815">
        <v>1758</v>
      </c>
      <c r="B3815" s="16">
        <v>43466</v>
      </c>
      <c r="C3815" t="s">
        <v>125</v>
      </c>
      <c r="D3815">
        <v>7005285</v>
      </c>
      <c r="E3815" t="s">
        <v>330</v>
      </c>
    </row>
    <row r="3816" spans="1:5" x14ac:dyDescent="0.25">
      <c r="A3816">
        <v>1758</v>
      </c>
      <c r="B3816" s="16">
        <v>43497</v>
      </c>
      <c r="C3816" t="s">
        <v>125</v>
      </c>
      <c r="D3816">
        <v>7005285</v>
      </c>
      <c r="E3816" t="s">
        <v>330</v>
      </c>
    </row>
    <row r="3817" spans="1:5" x14ac:dyDescent="0.25">
      <c r="A3817">
        <v>1758</v>
      </c>
      <c r="B3817" s="16">
        <v>43525</v>
      </c>
      <c r="C3817" t="s">
        <v>125</v>
      </c>
      <c r="D3817">
        <v>7005285</v>
      </c>
      <c r="E3817" t="s">
        <v>330</v>
      </c>
    </row>
    <row r="3818" spans="1:5" x14ac:dyDescent="0.25">
      <c r="A3818">
        <v>1758</v>
      </c>
      <c r="B3818" s="16">
        <v>43556</v>
      </c>
      <c r="C3818" t="s">
        <v>125</v>
      </c>
      <c r="D3818">
        <v>7005285</v>
      </c>
      <c r="E3818" t="s">
        <v>330</v>
      </c>
    </row>
    <row r="3819" spans="1:5" x14ac:dyDescent="0.25">
      <c r="A3819">
        <v>1758</v>
      </c>
      <c r="B3819" s="16">
        <v>43586</v>
      </c>
      <c r="C3819" t="s">
        <v>125</v>
      </c>
      <c r="D3819">
        <v>7005285</v>
      </c>
      <c r="E3819" t="s">
        <v>330</v>
      </c>
    </row>
    <row r="3820" spans="1:5" x14ac:dyDescent="0.25">
      <c r="A3820">
        <v>1758</v>
      </c>
      <c r="B3820" s="16">
        <v>43617</v>
      </c>
      <c r="C3820" t="s">
        <v>125</v>
      </c>
      <c r="D3820">
        <v>7005285</v>
      </c>
      <c r="E3820" t="s">
        <v>330</v>
      </c>
    </row>
    <row r="3821" spans="1:5" x14ac:dyDescent="0.25">
      <c r="A3821">
        <v>1758</v>
      </c>
      <c r="B3821" s="16">
        <v>43647</v>
      </c>
      <c r="C3821" t="s">
        <v>125</v>
      </c>
      <c r="D3821">
        <v>7005285</v>
      </c>
      <c r="E3821" t="s">
        <v>330</v>
      </c>
    </row>
    <row r="3822" spans="1:5" x14ac:dyDescent="0.25">
      <c r="A3822">
        <v>1758</v>
      </c>
      <c r="B3822" s="16">
        <v>43678</v>
      </c>
      <c r="C3822" t="s">
        <v>125</v>
      </c>
      <c r="D3822">
        <v>7005285</v>
      </c>
      <c r="E3822" t="s">
        <v>330</v>
      </c>
    </row>
    <row r="3823" spans="1:5" x14ac:dyDescent="0.25">
      <c r="A3823">
        <v>1758</v>
      </c>
      <c r="B3823" s="16">
        <v>43709</v>
      </c>
      <c r="C3823" t="s">
        <v>125</v>
      </c>
      <c r="D3823">
        <v>7005285</v>
      </c>
      <c r="E3823" t="s">
        <v>330</v>
      </c>
    </row>
    <row r="3824" spans="1:5" x14ac:dyDescent="0.25">
      <c r="A3824">
        <v>1758</v>
      </c>
      <c r="B3824" s="16">
        <v>43739</v>
      </c>
      <c r="C3824" t="s">
        <v>125</v>
      </c>
      <c r="D3824">
        <v>7005285</v>
      </c>
      <c r="E3824" t="s">
        <v>330</v>
      </c>
    </row>
    <row r="3825" spans="1:5" x14ac:dyDescent="0.25">
      <c r="A3825">
        <v>1758</v>
      </c>
      <c r="B3825" s="16">
        <v>43770</v>
      </c>
      <c r="C3825" t="s">
        <v>125</v>
      </c>
      <c r="D3825">
        <v>7005285</v>
      </c>
      <c r="E3825" t="s">
        <v>330</v>
      </c>
    </row>
    <row r="3826" spans="1:5" x14ac:dyDescent="0.25">
      <c r="A3826">
        <v>1758</v>
      </c>
      <c r="B3826" s="16">
        <v>43800</v>
      </c>
      <c r="C3826" t="s">
        <v>125</v>
      </c>
      <c r="D3826">
        <v>7005285</v>
      </c>
      <c r="E3826" t="s">
        <v>330</v>
      </c>
    </row>
    <row r="3827" spans="1:5" x14ac:dyDescent="0.25">
      <c r="A3827">
        <v>1789</v>
      </c>
      <c r="B3827" s="16">
        <v>43466</v>
      </c>
      <c r="C3827" t="s">
        <v>19</v>
      </c>
      <c r="D3827">
        <v>2727772.2</v>
      </c>
      <c r="E3827" t="s">
        <v>330</v>
      </c>
    </row>
    <row r="3828" spans="1:5" x14ac:dyDescent="0.25">
      <c r="A3828">
        <v>1789</v>
      </c>
      <c r="B3828" s="16">
        <v>43466</v>
      </c>
      <c r="C3828" t="s">
        <v>126</v>
      </c>
      <c r="D3828">
        <v>8520078</v>
      </c>
      <c r="E3828" t="s">
        <v>330</v>
      </c>
    </row>
    <row r="3829" spans="1:5" x14ac:dyDescent="0.25">
      <c r="A3829">
        <v>1789</v>
      </c>
      <c r="B3829" s="16">
        <v>43466</v>
      </c>
      <c r="C3829" t="s">
        <v>127</v>
      </c>
      <c r="D3829">
        <v>8520078</v>
      </c>
      <c r="E3829" t="s">
        <v>330</v>
      </c>
    </row>
    <row r="3830" spans="1:5" x14ac:dyDescent="0.25">
      <c r="A3830">
        <v>1789</v>
      </c>
      <c r="B3830" s="16">
        <v>43466</v>
      </c>
      <c r="C3830" t="s">
        <v>128</v>
      </c>
      <c r="D3830">
        <v>4462096.5</v>
      </c>
      <c r="E3830" t="s">
        <v>330</v>
      </c>
    </row>
    <row r="3831" spans="1:5" x14ac:dyDescent="0.25">
      <c r="A3831">
        <v>1789</v>
      </c>
      <c r="B3831" s="16">
        <v>43466</v>
      </c>
      <c r="C3831" t="s">
        <v>39</v>
      </c>
      <c r="D3831">
        <v>3872763</v>
      </c>
      <c r="E3831" t="s">
        <v>330</v>
      </c>
    </row>
    <row r="3832" spans="1:5" x14ac:dyDescent="0.25">
      <c r="A3832">
        <v>1802</v>
      </c>
      <c r="B3832" s="16">
        <v>43466</v>
      </c>
      <c r="C3832" t="s">
        <v>12</v>
      </c>
      <c r="D3832">
        <v>11721250.800000001</v>
      </c>
      <c r="E3832" t="s">
        <v>330</v>
      </c>
    </row>
    <row r="3833" spans="1:5" x14ac:dyDescent="0.25">
      <c r="A3833">
        <v>1802</v>
      </c>
      <c r="B3833" s="16">
        <v>43497</v>
      </c>
      <c r="C3833" t="s">
        <v>12</v>
      </c>
      <c r="D3833">
        <v>11721250.800000001</v>
      </c>
      <c r="E3833" t="s">
        <v>330</v>
      </c>
    </row>
    <row r="3834" spans="1:5" x14ac:dyDescent="0.25">
      <c r="A3834">
        <v>1802</v>
      </c>
      <c r="B3834" s="16">
        <v>43525</v>
      </c>
      <c r="C3834" t="s">
        <v>12</v>
      </c>
      <c r="D3834">
        <v>11721250.800000001</v>
      </c>
      <c r="E3834" t="s">
        <v>330</v>
      </c>
    </row>
    <row r="3835" spans="1:5" x14ac:dyDescent="0.25">
      <c r="A3835">
        <v>1802</v>
      </c>
      <c r="B3835" s="16">
        <v>43556</v>
      </c>
      <c r="C3835" t="s">
        <v>12</v>
      </c>
      <c r="D3835">
        <v>11721250.800000001</v>
      </c>
      <c r="E3835" t="s">
        <v>330</v>
      </c>
    </row>
    <row r="3836" spans="1:5" x14ac:dyDescent="0.25">
      <c r="A3836">
        <v>1802</v>
      </c>
      <c r="B3836" s="16">
        <v>43586</v>
      </c>
      <c r="C3836" t="s">
        <v>12</v>
      </c>
      <c r="D3836">
        <v>11721250.800000001</v>
      </c>
      <c r="E3836" t="s">
        <v>330</v>
      </c>
    </row>
    <row r="3837" spans="1:5" x14ac:dyDescent="0.25">
      <c r="A3837">
        <v>1802</v>
      </c>
      <c r="B3837" s="16">
        <v>43617</v>
      </c>
      <c r="C3837" t="s">
        <v>12</v>
      </c>
      <c r="D3837">
        <v>11721250.800000001</v>
      </c>
      <c r="E3837" t="s">
        <v>330</v>
      </c>
    </row>
    <row r="3838" spans="1:5" x14ac:dyDescent="0.25">
      <c r="A3838">
        <v>1802</v>
      </c>
      <c r="B3838" s="16">
        <v>43647</v>
      </c>
      <c r="C3838" t="s">
        <v>12</v>
      </c>
      <c r="D3838">
        <v>11721250.800000001</v>
      </c>
      <c r="E3838" t="s">
        <v>330</v>
      </c>
    </row>
    <row r="3839" spans="1:5" x14ac:dyDescent="0.25">
      <c r="A3839">
        <v>1802</v>
      </c>
      <c r="B3839" s="16">
        <v>43678</v>
      </c>
      <c r="C3839" t="s">
        <v>12</v>
      </c>
      <c r="D3839">
        <v>11721250.800000001</v>
      </c>
      <c r="E3839" t="s">
        <v>330</v>
      </c>
    </row>
    <row r="3840" spans="1:5" x14ac:dyDescent="0.25">
      <c r="A3840">
        <v>1802</v>
      </c>
      <c r="B3840" s="16">
        <v>43466</v>
      </c>
      <c r="C3840" t="s">
        <v>38</v>
      </c>
      <c r="D3840">
        <v>3810634.5847499999</v>
      </c>
      <c r="E3840" t="s">
        <v>330</v>
      </c>
    </row>
    <row r="3841" spans="1:5" x14ac:dyDescent="0.25">
      <c r="A3841">
        <v>1802</v>
      </c>
      <c r="B3841" s="16">
        <v>43497</v>
      </c>
      <c r="C3841" t="s">
        <v>38</v>
      </c>
      <c r="D3841">
        <v>3810634.5847499999</v>
      </c>
      <c r="E3841" t="s">
        <v>330</v>
      </c>
    </row>
    <row r="3842" spans="1:5" x14ac:dyDescent="0.25">
      <c r="A3842">
        <v>1802</v>
      </c>
      <c r="B3842" s="16">
        <v>43525</v>
      </c>
      <c r="C3842" t="s">
        <v>38</v>
      </c>
      <c r="D3842">
        <v>3810634.5847499999</v>
      </c>
      <c r="E3842" t="s">
        <v>330</v>
      </c>
    </row>
    <row r="3843" spans="1:5" x14ac:dyDescent="0.25">
      <c r="A3843">
        <v>1802</v>
      </c>
      <c r="B3843" s="16">
        <v>43556</v>
      </c>
      <c r="C3843" t="s">
        <v>38</v>
      </c>
      <c r="D3843">
        <v>3810634.5847499999</v>
      </c>
      <c r="E3843" t="s">
        <v>330</v>
      </c>
    </row>
    <row r="3844" spans="1:5" x14ac:dyDescent="0.25">
      <c r="A3844">
        <v>1802</v>
      </c>
      <c r="B3844" s="16">
        <v>43586</v>
      </c>
      <c r="C3844" t="s">
        <v>38</v>
      </c>
      <c r="D3844">
        <v>3810634.5847499999</v>
      </c>
      <c r="E3844" t="s">
        <v>330</v>
      </c>
    </row>
    <row r="3845" spans="1:5" x14ac:dyDescent="0.25">
      <c r="A3845">
        <v>1802</v>
      </c>
      <c r="B3845" s="16">
        <v>43617</v>
      </c>
      <c r="C3845" t="s">
        <v>38</v>
      </c>
      <c r="D3845">
        <v>3810634.5847499999</v>
      </c>
      <c r="E3845" t="s">
        <v>330</v>
      </c>
    </row>
    <row r="3846" spans="1:5" x14ac:dyDescent="0.25">
      <c r="A3846">
        <v>1802</v>
      </c>
      <c r="B3846" s="16">
        <v>43647</v>
      </c>
      <c r="C3846" t="s">
        <v>38</v>
      </c>
      <c r="D3846">
        <v>3810634.5847499999</v>
      </c>
      <c r="E3846" t="s">
        <v>330</v>
      </c>
    </row>
    <row r="3847" spans="1:5" x14ac:dyDescent="0.25">
      <c r="A3847">
        <v>1802</v>
      </c>
      <c r="B3847" s="16">
        <v>43466</v>
      </c>
      <c r="C3847" t="s">
        <v>39</v>
      </c>
      <c r="D3847">
        <v>5301459.45</v>
      </c>
      <c r="E3847" t="s">
        <v>330</v>
      </c>
    </row>
    <row r="3848" spans="1:5" x14ac:dyDescent="0.25">
      <c r="A3848">
        <v>1802</v>
      </c>
      <c r="B3848" s="16">
        <v>43497</v>
      </c>
      <c r="C3848" t="s">
        <v>39</v>
      </c>
      <c r="D3848">
        <v>5301459.45</v>
      </c>
      <c r="E3848" t="s">
        <v>330</v>
      </c>
    </row>
    <row r="3849" spans="1:5" x14ac:dyDescent="0.25">
      <c r="A3849">
        <v>1802</v>
      </c>
      <c r="B3849" s="16">
        <v>43525</v>
      </c>
      <c r="C3849" t="s">
        <v>39</v>
      </c>
      <c r="D3849">
        <v>5301459.45</v>
      </c>
      <c r="E3849" t="s">
        <v>330</v>
      </c>
    </row>
    <row r="3850" spans="1:5" x14ac:dyDescent="0.25">
      <c r="A3850">
        <v>1802</v>
      </c>
      <c r="B3850" s="16">
        <v>43556</v>
      </c>
      <c r="C3850" t="s">
        <v>39</v>
      </c>
      <c r="D3850">
        <v>5301459.45</v>
      </c>
      <c r="E3850" t="s">
        <v>330</v>
      </c>
    </row>
    <row r="3851" spans="1:5" x14ac:dyDescent="0.25">
      <c r="A3851">
        <v>1802</v>
      </c>
      <c r="B3851" s="16">
        <v>43586</v>
      </c>
      <c r="C3851" t="s">
        <v>39</v>
      </c>
      <c r="D3851">
        <v>5301459.45</v>
      </c>
      <c r="E3851" t="s">
        <v>330</v>
      </c>
    </row>
    <row r="3852" spans="1:5" x14ac:dyDescent="0.25">
      <c r="A3852">
        <v>1802</v>
      </c>
      <c r="B3852" s="16">
        <v>43617</v>
      </c>
      <c r="C3852" t="s">
        <v>39</v>
      </c>
      <c r="D3852">
        <v>5301459.45</v>
      </c>
      <c r="E3852" t="s">
        <v>330</v>
      </c>
    </row>
    <row r="3853" spans="1:5" x14ac:dyDescent="0.25">
      <c r="A3853">
        <v>1802</v>
      </c>
      <c r="B3853" s="16">
        <v>43647</v>
      </c>
      <c r="C3853" t="s">
        <v>39</v>
      </c>
      <c r="D3853">
        <v>5301459.45</v>
      </c>
      <c r="E3853" t="s">
        <v>330</v>
      </c>
    </row>
    <row r="3854" spans="1:5" x14ac:dyDescent="0.25">
      <c r="A3854">
        <v>1802</v>
      </c>
      <c r="B3854" s="16">
        <v>43678</v>
      </c>
      <c r="C3854" t="s">
        <v>39</v>
      </c>
      <c r="D3854">
        <v>5301459.45</v>
      </c>
      <c r="E3854" t="s">
        <v>330</v>
      </c>
    </row>
    <row r="3855" spans="1:5" x14ac:dyDescent="0.25">
      <c r="A3855">
        <v>1802</v>
      </c>
      <c r="B3855" s="16">
        <v>43466</v>
      </c>
      <c r="C3855" t="s">
        <v>69</v>
      </c>
      <c r="D3855">
        <v>4777683.75</v>
      </c>
      <c r="E3855" t="s">
        <v>330</v>
      </c>
    </row>
    <row r="3856" spans="1:5" x14ac:dyDescent="0.25">
      <c r="A3856">
        <v>1802</v>
      </c>
      <c r="B3856" s="16">
        <v>43497</v>
      </c>
      <c r="C3856" t="s">
        <v>69</v>
      </c>
      <c r="D3856">
        <v>4777683.75</v>
      </c>
      <c r="E3856" t="s">
        <v>330</v>
      </c>
    </row>
    <row r="3857" spans="1:5" x14ac:dyDescent="0.25">
      <c r="A3857">
        <v>1802</v>
      </c>
      <c r="B3857" s="16">
        <v>43525</v>
      </c>
      <c r="C3857" t="s">
        <v>69</v>
      </c>
      <c r="D3857">
        <v>4777683.75</v>
      </c>
      <c r="E3857" t="s">
        <v>330</v>
      </c>
    </row>
    <row r="3858" spans="1:5" x14ac:dyDescent="0.25">
      <c r="A3858">
        <v>1802</v>
      </c>
      <c r="B3858" s="16">
        <v>43556</v>
      </c>
      <c r="C3858" t="s">
        <v>69</v>
      </c>
      <c r="D3858">
        <v>4777683.75</v>
      </c>
      <c r="E3858" t="s">
        <v>330</v>
      </c>
    </row>
    <row r="3859" spans="1:5" x14ac:dyDescent="0.25">
      <c r="A3859">
        <v>1802</v>
      </c>
      <c r="B3859" s="16">
        <v>43586</v>
      </c>
      <c r="C3859" t="s">
        <v>69</v>
      </c>
      <c r="D3859">
        <v>4777683.75</v>
      </c>
      <c r="E3859" t="s">
        <v>330</v>
      </c>
    </row>
    <row r="3860" spans="1:5" x14ac:dyDescent="0.25">
      <c r="A3860">
        <v>1802</v>
      </c>
      <c r="B3860" s="16">
        <v>43617</v>
      </c>
      <c r="C3860" t="s">
        <v>69</v>
      </c>
      <c r="D3860">
        <v>4777683.75</v>
      </c>
      <c r="E3860" t="s">
        <v>330</v>
      </c>
    </row>
    <row r="3861" spans="1:5" x14ac:dyDescent="0.25">
      <c r="A3861">
        <v>1802</v>
      </c>
      <c r="B3861" s="16">
        <v>43647</v>
      </c>
      <c r="C3861" t="s">
        <v>69</v>
      </c>
      <c r="D3861">
        <v>4777683.75</v>
      </c>
      <c r="E3861" t="s">
        <v>330</v>
      </c>
    </row>
    <row r="3862" spans="1:5" x14ac:dyDescent="0.25">
      <c r="A3862">
        <v>1802</v>
      </c>
      <c r="B3862" s="16">
        <v>43466</v>
      </c>
      <c r="C3862" t="s">
        <v>26</v>
      </c>
      <c r="D3862">
        <v>7255001.25</v>
      </c>
      <c r="E3862" t="s">
        <v>330</v>
      </c>
    </row>
    <row r="3863" spans="1:5" x14ac:dyDescent="0.25">
      <c r="A3863">
        <v>1802</v>
      </c>
      <c r="B3863" s="16">
        <v>43497</v>
      </c>
      <c r="C3863" t="s">
        <v>26</v>
      </c>
      <c r="D3863">
        <v>7255001.25</v>
      </c>
      <c r="E3863" t="s">
        <v>330</v>
      </c>
    </row>
    <row r="3864" spans="1:5" x14ac:dyDescent="0.25">
      <c r="A3864">
        <v>1802</v>
      </c>
      <c r="B3864" s="16">
        <v>43525</v>
      </c>
      <c r="C3864" t="s">
        <v>26</v>
      </c>
      <c r="D3864">
        <v>7255001.25</v>
      </c>
      <c r="E3864" t="s">
        <v>330</v>
      </c>
    </row>
    <row r="3865" spans="1:5" x14ac:dyDescent="0.25">
      <c r="A3865">
        <v>1802</v>
      </c>
      <c r="B3865" s="16">
        <v>43556</v>
      </c>
      <c r="C3865" t="s">
        <v>26</v>
      </c>
      <c r="D3865">
        <v>7255001.25</v>
      </c>
      <c r="E3865" t="s">
        <v>330</v>
      </c>
    </row>
    <row r="3866" spans="1:5" x14ac:dyDescent="0.25">
      <c r="A3866">
        <v>1802</v>
      </c>
      <c r="B3866" s="16">
        <v>43586</v>
      </c>
      <c r="C3866" t="s">
        <v>26</v>
      </c>
      <c r="D3866">
        <v>7255001.25</v>
      </c>
      <c r="E3866" t="s">
        <v>330</v>
      </c>
    </row>
    <row r="3867" spans="1:5" x14ac:dyDescent="0.25">
      <c r="A3867">
        <v>1802</v>
      </c>
      <c r="B3867" s="16">
        <v>43617</v>
      </c>
      <c r="C3867" t="s">
        <v>26</v>
      </c>
      <c r="D3867">
        <v>7255001.25</v>
      </c>
      <c r="E3867" t="s">
        <v>330</v>
      </c>
    </row>
    <row r="3868" spans="1:5" x14ac:dyDescent="0.25">
      <c r="A3868">
        <v>1802</v>
      </c>
      <c r="B3868" s="16">
        <v>43647</v>
      </c>
      <c r="C3868" t="s">
        <v>26</v>
      </c>
      <c r="D3868">
        <v>7255001.25</v>
      </c>
      <c r="E3868" t="s">
        <v>330</v>
      </c>
    </row>
    <row r="3869" spans="1:5" x14ac:dyDescent="0.25">
      <c r="A3869">
        <v>1802</v>
      </c>
      <c r="B3869" s="16">
        <v>43678</v>
      </c>
      <c r="C3869" t="s">
        <v>26</v>
      </c>
      <c r="D3869">
        <v>7255001.25</v>
      </c>
      <c r="E3869" t="s">
        <v>330</v>
      </c>
    </row>
    <row r="3870" spans="1:5" x14ac:dyDescent="0.25">
      <c r="A3870">
        <v>1802</v>
      </c>
      <c r="B3870" s="16">
        <v>43709</v>
      </c>
      <c r="C3870" t="s">
        <v>26</v>
      </c>
      <c r="D3870">
        <v>7255001.25</v>
      </c>
      <c r="E3870" t="s">
        <v>330</v>
      </c>
    </row>
    <row r="3871" spans="1:5" x14ac:dyDescent="0.25">
      <c r="A3871">
        <v>1802</v>
      </c>
      <c r="B3871" s="16">
        <v>43739</v>
      </c>
      <c r="C3871" t="s">
        <v>26</v>
      </c>
      <c r="D3871">
        <v>7255001.25</v>
      </c>
      <c r="E3871" t="s">
        <v>330</v>
      </c>
    </row>
    <row r="3872" spans="1:5" x14ac:dyDescent="0.25">
      <c r="A3872">
        <v>1802</v>
      </c>
      <c r="B3872" s="16">
        <v>43770</v>
      </c>
      <c r="C3872" t="s">
        <v>26</v>
      </c>
      <c r="D3872">
        <v>7255001.25</v>
      </c>
      <c r="E3872" t="s">
        <v>330</v>
      </c>
    </row>
    <row r="3873" spans="1:5" x14ac:dyDescent="0.25">
      <c r="A3873">
        <v>1802</v>
      </c>
      <c r="B3873" s="16">
        <v>43800</v>
      </c>
      <c r="C3873" t="s">
        <v>26</v>
      </c>
      <c r="D3873">
        <v>7255001.25</v>
      </c>
      <c r="E3873" t="s">
        <v>330</v>
      </c>
    </row>
    <row r="3874" spans="1:5" x14ac:dyDescent="0.25">
      <c r="A3874">
        <v>1818</v>
      </c>
      <c r="B3874" s="16">
        <v>43466</v>
      </c>
      <c r="C3874" t="s">
        <v>19</v>
      </c>
      <c r="D3874">
        <v>4704455.7</v>
      </c>
      <c r="E3874" t="s">
        <v>330</v>
      </c>
    </row>
    <row r="3875" spans="1:5" x14ac:dyDescent="0.25">
      <c r="A3875">
        <v>1818</v>
      </c>
      <c r="B3875" s="16">
        <v>43497</v>
      </c>
      <c r="C3875" t="s">
        <v>19</v>
      </c>
      <c r="D3875">
        <v>4704455.7</v>
      </c>
      <c r="E3875" t="s">
        <v>330</v>
      </c>
    </row>
    <row r="3876" spans="1:5" x14ac:dyDescent="0.25">
      <c r="A3876">
        <v>1818</v>
      </c>
      <c r="B3876" s="16">
        <v>43525</v>
      </c>
      <c r="C3876" t="s">
        <v>19</v>
      </c>
      <c r="D3876">
        <v>4704455.7</v>
      </c>
      <c r="E3876" t="s">
        <v>330</v>
      </c>
    </row>
    <row r="3877" spans="1:5" x14ac:dyDescent="0.25">
      <c r="A3877">
        <v>1818</v>
      </c>
      <c r="B3877" s="16">
        <v>43556</v>
      </c>
      <c r="C3877" t="s">
        <v>19</v>
      </c>
      <c r="D3877">
        <v>4704455.7</v>
      </c>
      <c r="E3877" t="s">
        <v>330</v>
      </c>
    </row>
    <row r="3878" spans="1:5" x14ac:dyDescent="0.25">
      <c r="A3878">
        <v>1818</v>
      </c>
      <c r="B3878" s="16">
        <v>43586</v>
      </c>
      <c r="C3878" t="s">
        <v>19</v>
      </c>
      <c r="D3878">
        <v>4704455.7</v>
      </c>
      <c r="E3878" t="s">
        <v>330</v>
      </c>
    </row>
    <row r="3879" spans="1:5" x14ac:dyDescent="0.25">
      <c r="A3879">
        <v>1818</v>
      </c>
      <c r="B3879" s="16">
        <v>43617</v>
      </c>
      <c r="C3879" t="s">
        <v>19</v>
      </c>
      <c r="D3879">
        <v>4704455.7</v>
      </c>
      <c r="E3879" t="s">
        <v>330</v>
      </c>
    </row>
    <row r="3880" spans="1:5" x14ac:dyDescent="0.25">
      <c r="A3880">
        <v>1818</v>
      </c>
      <c r="B3880" s="16">
        <v>43647</v>
      </c>
      <c r="C3880" t="s">
        <v>19</v>
      </c>
      <c r="D3880">
        <v>4704455.7</v>
      </c>
      <c r="E3880" t="s">
        <v>330</v>
      </c>
    </row>
    <row r="3881" spans="1:5" x14ac:dyDescent="0.25">
      <c r="A3881">
        <v>1818</v>
      </c>
      <c r="B3881" s="16">
        <v>43678</v>
      </c>
      <c r="C3881" t="s">
        <v>19</v>
      </c>
      <c r="D3881">
        <v>4704455.7</v>
      </c>
      <c r="E3881" t="s">
        <v>330</v>
      </c>
    </row>
    <row r="3882" spans="1:5" x14ac:dyDescent="0.25">
      <c r="A3882">
        <v>1818</v>
      </c>
      <c r="B3882" s="16">
        <v>43709</v>
      </c>
      <c r="C3882" t="s">
        <v>19</v>
      </c>
      <c r="D3882">
        <v>4704455.7</v>
      </c>
      <c r="E3882" t="s">
        <v>330</v>
      </c>
    </row>
    <row r="3883" spans="1:5" x14ac:dyDescent="0.25">
      <c r="A3883">
        <v>1818</v>
      </c>
      <c r="B3883" s="16">
        <v>43739</v>
      </c>
      <c r="C3883" t="s">
        <v>19</v>
      </c>
      <c r="D3883">
        <v>4704455.7</v>
      </c>
      <c r="E3883" t="s">
        <v>330</v>
      </c>
    </row>
    <row r="3884" spans="1:5" x14ac:dyDescent="0.25">
      <c r="A3884">
        <v>1818</v>
      </c>
      <c r="B3884" s="16">
        <v>43770</v>
      </c>
      <c r="C3884" t="s">
        <v>19</v>
      </c>
      <c r="D3884">
        <v>4704455.7</v>
      </c>
      <c r="E3884" t="s">
        <v>330</v>
      </c>
    </row>
    <row r="3885" spans="1:5" x14ac:dyDescent="0.25">
      <c r="A3885">
        <v>1818</v>
      </c>
      <c r="B3885" s="16">
        <v>43800</v>
      </c>
      <c r="C3885" t="s">
        <v>19</v>
      </c>
      <c r="D3885">
        <v>4704455.7</v>
      </c>
      <c r="E3885" t="s">
        <v>330</v>
      </c>
    </row>
    <row r="3886" spans="1:5" x14ac:dyDescent="0.25">
      <c r="A3886">
        <v>1818</v>
      </c>
      <c r="B3886" s="16">
        <v>43466</v>
      </c>
      <c r="C3886" t="s">
        <v>12</v>
      </c>
      <c r="D3886">
        <v>8351437.5</v>
      </c>
      <c r="E3886" t="s">
        <v>330</v>
      </c>
    </row>
    <row r="3887" spans="1:5" x14ac:dyDescent="0.25">
      <c r="A3887">
        <v>1818</v>
      </c>
      <c r="B3887" s="16">
        <v>43497</v>
      </c>
      <c r="C3887" t="s">
        <v>12</v>
      </c>
      <c r="D3887">
        <v>8351437.5</v>
      </c>
      <c r="E3887" t="s">
        <v>330</v>
      </c>
    </row>
    <row r="3888" spans="1:5" x14ac:dyDescent="0.25">
      <c r="A3888">
        <v>1818</v>
      </c>
      <c r="B3888" s="16">
        <v>43525</v>
      </c>
      <c r="C3888" t="s">
        <v>12</v>
      </c>
      <c r="D3888">
        <v>8351437.5</v>
      </c>
      <c r="E3888" t="s">
        <v>330</v>
      </c>
    </row>
    <row r="3889" spans="1:5" x14ac:dyDescent="0.25">
      <c r="A3889">
        <v>1818</v>
      </c>
      <c r="B3889" s="16">
        <v>43556</v>
      </c>
      <c r="C3889" t="s">
        <v>12</v>
      </c>
      <c r="D3889">
        <v>8351437.5</v>
      </c>
      <c r="E3889" t="s">
        <v>330</v>
      </c>
    </row>
    <row r="3890" spans="1:5" x14ac:dyDescent="0.25">
      <c r="A3890">
        <v>1818</v>
      </c>
      <c r="B3890" s="16">
        <v>43586</v>
      </c>
      <c r="C3890" t="s">
        <v>12</v>
      </c>
      <c r="D3890">
        <v>8351437.5</v>
      </c>
      <c r="E3890" t="s">
        <v>330</v>
      </c>
    </row>
    <row r="3891" spans="1:5" x14ac:dyDescent="0.25">
      <c r="A3891">
        <v>1818</v>
      </c>
      <c r="B3891" s="16">
        <v>43617</v>
      </c>
      <c r="C3891" t="s">
        <v>12</v>
      </c>
      <c r="D3891">
        <v>8351437.5</v>
      </c>
      <c r="E3891" t="s">
        <v>330</v>
      </c>
    </row>
    <row r="3892" spans="1:5" x14ac:dyDescent="0.25">
      <c r="A3892">
        <v>1818</v>
      </c>
      <c r="B3892" s="16">
        <v>43647</v>
      </c>
      <c r="C3892" t="s">
        <v>12</v>
      </c>
      <c r="D3892">
        <v>8351437.5</v>
      </c>
      <c r="E3892" t="s">
        <v>330</v>
      </c>
    </row>
    <row r="3893" spans="1:5" x14ac:dyDescent="0.25">
      <c r="A3893">
        <v>1818</v>
      </c>
      <c r="B3893" s="16">
        <v>43678</v>
      </c>
      <c r="C3893" t="s">
        <v>12</v>
      </c>
      <c r="D3893">
        <v>8351437.5</v>
      </c>
      <c r="E3893" t="s">
        <v>330</v>
      </c>
    </row>
    <row r="3894" spans="1:5" x14ac:dyDescent="0.25">
      <c r="A3894">
        <v>1818</v>
      </c>
      <c r="B3894" s="16">
        <v>43709</v>
      </c>
      <c r="C3894" t="s">
        <v>12</v>
      </c>
      <c r="D3894">
        <v>8351437.5</v>
      </c>
      <c r="E3894" t="s">
        <v>330</v>
      </c>
    </row>
    <row r="3895" spans="1:5" x14ac:dyDescent="0.25">
      <c r="A3895">
        <v>1818</v>
      </c>
      <c r="B3895" s="16">
        <v>43739</v>
      </c>
      <c r="C3895" t="s">
        <v>12</v>
      </c>
      <c r="D3895">
        <v>8351437.5</v>
      </c>
      <c r="E3895" t="s">
        <v>330</v>
      </c>
    </row>
    <row r="3896" spans="1:5" x14ac:dyDescent="0.25">
      <c r="A3896">
        <v>1818</v>
      </c>
      <c r="B3896" s="16">
        <v>43770</v>
      </c>
      <c r="C3896" t="s">
        <v>12</v>
      </c>
      <c r="D3896">
        <v>8351437.5</v>
      </c>
      <c r="E3896" t="s">
        <v>330</v>
      </c>
    </row>
    <row r="3897" spans="1:5" x14ac:dyDescent="0.25">
      <c r="A3897">
        <v>1818</v>
      </c>
      <c r="B3897" s="16">
        <v>43800</v>
      </c>
      <c r="C3897" t="s">
        <v>12</v>
      </c>
      <c r="D3897">
        <v>8351437.5</v>
      </c>
      <c r="E3897" t="s">
        <v>330</v>
      </c>
    </row>
    <row r="3898" spans="1:5" x14ac:dyDescent="0.25">
      <c r="A3898">
        <v>1818</v>
      </c>
      <c r="B3898" s="16">
        <v>43466</v>
      </c>
      <c r="C3898" t="s">
        <v>132</v>
      </c>
      <c r="D3898">
        <v>2356593.75</v>
      </c>
      <c r="E3898" t="s">
        <v>330</v>
      </c>
    </row>
    <row r="3899" spans="1:5" x14ac:dyDescent="0.25">
      <c r="A3899">
        <v>1818</v>
      </c>
      <c r="B3899" s="16">
        <v>43497</v>
      </c>
      <c r="C3899" t="s">
        <v>132</v>
      </c>
      <c r="D3899">
        <v>2356593.75</v>
      </c>
      <c r="E3899" t="s">
        <v>330</v>
      </c>
    </row>
    <row r="3900" spans="1:5" x14ac:dyDescent="0.25">
      <c r="A3900">
        <v>1818</v>
      </c>
      <c r="B3900" s="16">
        <v>43525</v>
      </c>
      <c r="C3900" t="s">
        <v>132</v>
      </c>
      <c r="D3900">
        <v>2356593.75</v>
      </c>
      <c r="E3900" t="s">
        <v>330</v>
      </c>
    </row>
    <row r="3901" spans="1:5" x14ac:dyDescent="0.25">
      <c r="A3901">
        <v>1818</v>
      </c>
      <c r="B3901" s="16">
        <v>43556</v>
      </c>
      <c r="C3901" t="s">
        <v>132</v>
      </c>
      <c r="D3901">
        <v>2356593.75</v>
      </c>
      <c r="E3901" t="s">
        <v>330</v>
      </c>
    </row>
    <row r="3902" spans="1:5" x14ac:dyDescent="0.25">
      <c r="A3902">
        <v>1818</v>
      </c>
      <c r="B3902" s="16">
        <v>43586</v>
      </c>
      <c r="C3902" t="s">
        <v>132</v>
      </c>
      <c r="D3902">
        <v>2356593.75</v>
      </c>
      <c r="E3902" t="s">
        <v>330</v>
      </c>
    </row>
    <row r="3903" spans="1:5" x14ac:dyDescent="0.25">
      <c r="A3903">
        <v>1818</v>
      </c>
      <c r="B3903" s="16">
        <v>43617</v>
      </c>
      <c r="C3903" t="s">
        <v>132</v>
      </c>
      <c r="D3903">
        <v>2356593.75</v>
      </c>
      <c r="E3903" t="s">
        <v>330</v>
      </c>
    </row>
    <row r="3904" spans="1:5" x14ac:dyDescent="0.25">
      <c r="A3904">
        <v>1818</v>
      </c>
      <c r="B3904" s="16">
        <v>43466</v>
      </c>
      <c r="C3904" t="s">
        <v>38</v>
      </c>
      <c r="D3904">
        <v>3786425.9999999995</v>
      </c>
      <c r="E3904" t="s">
        <v>330</v>
      </c>
    </row>
    <row r="3905" spans="1:5" x14ac:dyDescent="0.25">
      <c r="A3905">
        <v>1818</v>
      </c>
      <c r="B3905" s="16">
        <v>43497</v>
      </c>
      <c r="C3905" t="s">
        <v>38</v>
      </c>
      <c r="D3905">
        <v>3786425.9999999995</v>
      </c>
      <c r="E3905" t="s">
        <v>330</v>
      </c>
    </row>
    <row r="3906" spans="1:5" x14ac:dyDescent="0.25">
      <c r="A3906">
        <v>1818</v>
      </c>
      <c r="B3906" s="16">
        <v>43525</v>
      </c>
      <c r="C3906" t="s">
        <v>38</v>
      </c>
      <c r="D3906">
        <v>3786425.9999999995</v>
      </c>
      <c r="E3906" t="s">
        <v>330</v>
      </c>
    </row>
    <row r="3907" spans="1:5" x14ac:dyDescent="0.25">
      <c r="A3907">
        <v>1818</v>
      </c>
      <c r="B3907" s="16">
        <v>43556</v>
      </c>
      <c r="C3907" t="s">
        <v>38</v>
      </c>
      <c r="D3907">
        <v>3786425.9999999995</v>
      </c>
      <c r="E3907" t="s">
        <v>330</v>
      </c>
    </row>
    <row r="3908" spans="1:5" x14ac:dyDescent="0.25">
      <c r="A3908">
        <v>1818</v>
      </c>
      <c r="B3908" s="16">
        <v>43586</v>
      </c>
      <c r="C3908" t="s">
        <v>38</v>
      </c>
      <c r="D3908">
        <v>3786425.9999999995</v>
      </c>
      <c r="E3908" t="s">
        <v>330</v>
      </c>
    </row>
    <row r="3909" spans="1:5" x14ac:dyDescent="0.25">
      <c r="A3909">
        <v>1818</v>
      </c>
      <c r="B3909" s="16">
        <v>43617</v>
      </c>
      <c r="C3909" t="s">
        <v>38</v>
      </c>
      <c r="D3909">
        <v>3786425.9999999995</v>
      </c>
      <c r="E3909" t="s">
        <v>330</v>
      </c>
    </row>
    <row r="3910" spans="1:5" x14ac:dyDescent="0.25">
      <c r="A3910">
        <v>1818</v>
      </c>
      <c r="B3910" s="16">
        <v>43647</v>
      </c>
      <c r="C3910" t="s">
        <v>38</v>
      </c>
      <c r="D3910">
        <v>3786425.9999999995</v>
      </c>
      <c r="E3910" t="s">
        <v>330</v>
      </c>
    </row>
    <row r="3911" spans="1:5" x14ac:dyDescent="0.25">
      <c r="A3911">
        <v>1818</v>
      </c>
      <c r="B3911" s="16">
        <v>43678</v>
      </c>
      <c r="C3911" t="s">
        <v>38</v>
      </c>
      <c r="D3911">
        <v>3786425.9999999995</v>
      </c>
      <c r="E3911" t="s">
        <v>330</v>
      </c>
    </row>
    <row r="3912" spans="1:5" x14ac:dyDescent="0.25">
      <c r="A3912">
        <v>1818</v>
      </c>
      <c r="B3912" s="16">
        <v>43709</v>
      </c>
      <c r="C3912" t="s">
        <v>38</v>
      </c>
      <c r="D3912">
        <v>3786425.9999999995</v>
      </c>
      <c r="E3912" t="s">
        <v>330</v>
      </c>
    </row>
    <row r="3913" spans="1:5" x14ac:dyDescent="0.25">
      <c r="A3913">
        <v>1818</v>
      </c>
      <c r="B3913" s="16">
        <v>43739</v>
      </c>
      <c r="C3913" t="s">
        <v>38</v>
      </c>
      <c r="D3913">
        <v>3786425.9999999995</v>
      </c>
      <c r="E3913" t="s">
        <v>330</v>
      </c>
    </row>
    <row r="3914" spans="1:5" x14ac:dyDescent="0.25">
      <c r="A3914">
        <v>1818</v>
      </c>
      <c r="B3914" s="16">
        <v>43770</v>
      </c>
      <c r="C3914" t="s">
        <v>38</v>
      </c>
      <c r="D3914">
        <v>3786425.9999999995</v>
      </c>
      <c r="E3914" t="s">
        <v>330</v>
      </c>
    </row>
    <row r="3915" spans="1:5" x14ac:dyDescent="0.25">
      <c r="A3915">
        <v>1818</v>
      </c>
      <c r="B3915" s="16">
        <v>43466</v>
      </c>
      <c r="C3915" t="s">
        <v>39</v>
      </c>
      <c r="D3915">
        <v>3853237.5</v>
      </c>
      <c r="E3915" t="s">
        <v>330</v>
      </c>
    </row>
    <row r="3916" spans="1:5" x14ac:dyDescent="0.25">
      <c r="A3916">
        <v>1818</v>
      </c>
      <c r="B3916" s="16">
        <v>43497</v>
      </c>
      <c r="C3916" t="s">
        <v>39</v>
      </c>
      <c r="D3916">
        <v>3853237.5</v>
      </c>
      <c r="E3916" t="s">
        <v>330</v>
      </c>
    </row>
    <row r="3917" spans="1:5" x14ac:dyDescent="0.25">
      <c r="A3917">
        <v>1818</v>
      </c>
      <c r="B3917" s="16">
        <v>43525</v>
      </c>
      <c r="C3917" t="s">
        <v>39</v>
      </c>
      <c r="D3917">
        <v>3853237.5</v>
      </c>
      <c r="E3917" t="s">
        <v>330</v>
      </c>
    </row>
    <row r="3918" spans="1:5" x14ac:dyDescent="0.25">
      <c r="A3918">
        <v>1818</v>
      </c>
      <c r="B3918" s="16">
        <v>43556</v>
      </c>
      <c r="C3918" t="s">
        <v>39</v>
      </c>
      <c r="D3918">
        <v>3853237.5</v>
      </c>
      <c r="E3918" t="s">
        <v>330</v>
      </c>
    </row>
    <row r="3919" spans="1:5" x14ac:dyDescent="0.25">
      <c r="A3919">
        <v>1818</v>
      </c>
      <c r="B3919" s="16">
        <v>43586</v>
      </c>
      <c r="C3919" t="s">
        <v>39</v>
      </c>
      <c r="D3919">
        <v>3853237.5</v>
      </c>
      <c r="E3919" t="s">
        <v>330</v>
      </c>
    </row>
    <row r="3920" spans="1:5" x14ac:dyDescent="0.25">
      <c r="A3920">
        <v>1818</v>
      </c>
      <c r="B3920" s="16">
        <v>43617</v>
      </c>
      <c r="C3920" t="s">
        <v>39</v>
      </c>
      <c r="D3920">
        <v>3853237.5</v>
      </c>
      <c r="E3920" t="s">
        <v>330</v>
      </c>
    </row>
    <row r="3921" spans="1:5" x14ac:dyDescent="0.25">
      <c r="A3921">
        <v>1818</v>
      </c>
      <c r="B3921" s="16">
        <v>43647</v>
      </c>
      <c r="C3921" t="s">
        <v>39</v>
      </c>
      <c r="D3921">
        <v>3853237.5</v>
      </c>
      <c r="E3921" t="s">
        <v>330</v>
      </c>
    </row>
    <row r="3922" spans="1:5" x14ac:dyDescent="0.25">
      <c r="A3922">
        <v>1818</v>
      </c>
      <c r="B3922" s="16">
        <v>43678</v>
      </c>
      <c r="C3922" t="s">
        <v>39</v>
      </c>
      <c r="D3922">
        <v>3853237.5</v>
      </c>
      <c r="E3922" t="s">
        <v>330</v>
      </c>
    </row>
    <row r="3923" spans="1:5" x14ac:dyDescent="0.25">
      <c r="A3923">
        <v>1818</v>
      </c>
      <c r="B3923" s="16">
        <v>43709</v>
      </c>
      <c r="C3923" t="s">
        <v>39</v>
      </c>
      <c r="D3923">
        <v>3853237.5</v>
      </c>
      <c r="E3923" t="s">
        <v>330</v>
      </c>
    </row>
    <row r="3924" spans="1:5" x14ac:dyDescent="0.25">
      <c r="A3924">
        <v>1818</v>
      </c>
      <c r="B3924" s="16">
        <v>43739</v>
      </c>
      <c r="C3924" t="s">
        <v>39</v>
      </c>
      <c r="D3924">
        <v>3853237.5</v>
      </c>
      <c r="E3924" t="s">
        <v>330</v>
      </c>
    </row>
    <row r="3925" spans="1:5" x14ac:dyDescent="0.25">
      <c r="A3925">
        <v>1818</v>
      </c>
      <c r="B3925" s="16">
        <v>43770</v>
      </c>
      <c r="C3925" t="s">
        <v>39</v>
      </c>
      <c r="D3925">
        <v>3853237.5</v>
      </c>
      <c r="E3925" t="s">
        <v>330</v>
      </c>
    </row>
    <row r="3926" spans="1:5" x14ac:dyDescent="0.25">
      <c r="A3926">
        <v>1818</v>
      </c>
      <c r="B3926" s="16">
        <v>43800</v>
      </c>
      <c r="C3926" t="s">
        <v>39</v>
      </c>
      <c r="D3926">
        <v>3853237.5</v>
      </c>
      <c r="E3926" t="s">
        <v>330</v>
      </c>
    </row>
    <row r="3927" spans="1:5" x14ac:dyDescent="0.25">
      <c r="A3927">
        <v>1829</v>
      </c>
      <c r="B3927" s="16">
        <v>43466</v>
      </c>
      <c r="C3927" t="s">
        <v>19</v>
      </c>
      <c r="D3927">
        <v>3811675.6440000003</v>
      </c>
      <c r="E3927" t="s">
        <v>330</v>
      </c>
    </row>
    <row r="3928" spans="1:5" x14ac:dyDescent="0.25">
      <c r="A3928">
        <v>1829</v>
      </c>
      <c r="B3928" s="16">
        <v>43497</v>
      </c>
      <c r="C3928" t="s">
        <v>19</v>
      </c>
      <c r="D3928">
        <v>3811675.6440000003</v>
      </c>
      <c r="E3928" t="s">
        <v>330</v>
      </c>
    </row>
    <row r="3929" spans="1:5" x14ac:dyDescent="0.25">
      <c r="A3929">
        <v>1829</v>
      </c>
      <c r="B3929" s="16">
        <v>43525</v>
      </c>
      <c r="C3929" t="s">
        <v>19</v>
      </c>
      <c r="D3929">
        <v>3811675.6440000003</v>
      </c>
      <c r="E3929" t="s">
        <v>330</v>
      </c>
    </row>
    <row r="3930" spans="1:5" x14ac:dyDescent="0.25">
      <c r="A3930">
        <v>1829</v>
      </c>
      <c r="B3930" s="16">
        <v>43556</v>
      </c>
      <c r="C3930" t="s">
        <v>19</v>
      </c>
      <c r="D3930">
        <v>3811675.6440000003</v>
      </c>
      <c r="E3930" t="s">
        <v>330</v>
      </c>
    </row>
    <row r="3931" spans="1:5" x14ac:dyDescent="0.25">
      <c r="A3931">
        <v>1829</v>
      </c>
      <c r="B3931" s="16">
        <v>43586</v>
      </c>
      <c r="C3931" t="s">
        <v>19</v>
      </c>
      <c r="D3931">
        <v>3811675.6440000003</v>
      </c>
      <c r="E3931" t="s">
        <v>330</v>
      </c>
    </row>
    <row r="3932" spans="1:5" x14ac:dyDescent="0.25">
      <c r="A3932">
        <v>1829</v>
      </c>
      <c r="B3932" s="16">
        <v>43617</v>
      </c>
      <c r="C3932" t="s">
        <v>19</v>
      </c>
      <c r="D3932">
        <v>3811675.6440000003</v>
      </c>
      <c r="E3932" t="s">
        <v>330</v>
      </c>
    </row>
    <row r="3933" spans="1:5" x14ac:dyDescent="0.25">
      <c r="A3933">
        <v>1829</v>
      </c>
      <c r="B3933" s="16">
        <v>43647</v>
      </c>
      <c r="C3933" t="s">
        <v>19</v>
      </c>
      <c r="D3933">
        <v>3811675.6440000003</v>
      </c>
      <c r="E3933" t="s">
        <v>330</v>
      </c>
    </row>
    <row r="3934" spans="1:5" x14ac:dyDescent="0.25">
      <c r="A3934">
        <v>1829</v>
      </c>
      <c r="B3934" s="16">
        <v>43678</v>
      </c>
      <c r="C3934" t="s">
        <v>19</v>
      </c>
      <c r="D3934">
        <v>3811675.6440000003</v>
      </c>
      <c r="E3934" t="s">
        <v>330</v>
      </c>
    </row>
    <row r="3935" spans="1:5" x14ac:dyDescent="0.25">
      <c r="A3935">
        <v>1829</v>
      </c>
      <c r="B3935" s="16">
        <v>43709</v>
      </c>
      <c r="C3935" t="s">
        <v>19</v>
      </c>
      <c r="D3935">
        <v>3811675.6440000003</v>
      </c>
      <c r="E3935" t="s">
        <v>330</v>
      </c>
    </row>
    <row r="3936" spans="1:5" x14ac:dyDescent="0.25">
      <c r="A3936">
        <v>1829</v>
      </c>
      <c r="B3936" s="16">
        <v>43739</v>
      </c>
      <c r="C3936" t="s">
        <v>19</v>
      </c>
      <c r="D3936">
        <v>3811675.6440000003</v>
      </c>
      <c r="E3936" t="s">
        <v>330</v>
      </c>
    </row>
    <row r="3937" spans="1:5" x14ac:dyDescent="0.25">
      <c r="A3937">
        <v>1829</v>
      </c>
      <c r="B3937" s="16">
        <v>43770</v>
      </c>
      <c r="C3937" t="s">
        <v>19</v>
      </c>
      <c r="D3937">
        <v>3811675.6440000003</v>
      </c>
      <c r="E3937" t="s">
        <v>330</v>
      </c>
    </row>
    <row r="3938" spans="1:5" x14ac:dyDescent="0.25">
      <c r="A3938">
        <v>1829</v>
      </c>
      <c r="B3938" s="16">
        <v>43800</v>
      </c>
      <c r="C3938" t="s">
        <v>19</v>
      </c>
      <c r="D3938">
        <v>3811675.6440000003</v>
      </c>
      <c r="E3938" t="s">
        <v>330</v>
      </c>
    </row>
    <row r="3939" spans="1:5" x14ac:dyDescent="0.25">
      <c r="A3939">
        <v>1829</v>
      </c>
      <c r="B3939" s="16">
        <v>43831</v>
      </c>
      <c r="C3939" t="s">
        <v>19</v>
      </c>
      <c r="D3939">
        <v>3811675.6440000003</v>
      </c>
      <c r="E3939" t="s">
        <v>330</v>
      </c>
    </row>
    <row r="3940" spans="1:5" x14ac:dyDescent="0.25">
      <c r="A3940">
        <v>1829</v>
      </c>
      <c r="B3940" s="16">
        <v>43862</v>
      </c>
      <c r="C3940" t="s">
        <v>19</v>
      </c>
      <c r="D3940">
        <v>3811675.6440000003</v>
      </c>
      <c r="E3940" t="s">
        <v>330</v>
      </c>
    </row>
    <row r="3941" spans="1:5" x14ac:dyDescent="0.25">
      <c r="A3941">
        <v>1829</v>
      </c>
      <c r="B3941" s="16">
        <v>43891</v>
      </c>
      <c r="C3941" t="s">
        <v>19</v>
      </c>
      <c r="D3941">
        <v>3811675.6440000003</v>
      </c>
      <c r="E3941" t="s">
        <v>330</v>
      </c>
    </row>
    <row r="3942" spans="1:5" x14ac:dyDescent="0.25">
      <c r="A3942">
        <v>1829</v>
      </c>
      <c r="B3942" s="16">
        <v>43922</v>
      </c>
      <c r="C3942" t="s">
        <v>19</v>
      </c>
      <c r="D3942">
        <v>3811675.6440000003</v>
      </c>
      <c r="E3942" t="s">
        <v>330</v>
      </c>
    </row>
    <row r="3943" spans="1:5" x14ac:dyDescent="0.25">
      <c r="A3943">
        <v>1829</v>
      </c>
      <c r="B3943" s="16">
        <v>43952</v>
      </c>
      <c r="C3943" t="s">
        <v>19</v>
      </c>
      <c r="D3943">
        <v>3811675.6440000003</v>
      </c>
      <c r="E3943" t="s">
        <v>330</v>
      </c>
    </row>
    <row r="3944" spans="1:5" x14ac:dyDescent="0.25">
      <c r="A3944">
        <v>1829</v>
      </c>
      <c r="B3944" s="16">
        <v>43983</v>
      </c>
      <c r="C3944" t="s">
        <v>19</v>
      </c>
      <c r="D3944">
        <v>3811675.6440000003</v>
      </c>
      <c r="E3944" t="s">
        <v>330</v>
      </c>
    </row>
    <row r="3945" spans="1:5" x14ac:dyDescent="0.25">
      <c r="A3945">
        <v>1829</v>
      </c>
      <c r="B3945" s="16">
        <v>43466</v>
      </c>
      <c r="C3945" t="s">
        <v>139</v>
      </c>
      <c r="D3945">
        <v>7505662.5</v>
      </c>
      <c r="E3945" t="s">
        <v>330</v>
      </c>
    </row>
    <row r="3946" spans="1:5" x14ac:dyDescent="0.25">
      <c r="A3946">
        <v>1829</v>
      </c>
      <c r="B3946" s="16">
        <v>43497</v>
      </c>
      <c r="C3946" t="s">
        <v>139</v>
      </c>
      <c r="D3946">
        <v>7505662.5</v>
      </c>
      <c r="E3946" t="s">
        <v>330</v>
      </c>
    </row>
    <row r="3947" spans="1:5" x14ac:dyDescent="0.25">
      <c r="A3947">
        <v>1829</v>
      </c>
      <c r="B3947" s="16">
        <v>43525</v>
      </c>
      <c r="C3947" t="s">
        <v>139</v>
      </c>
      <c r="D3947">
        <v>7505662.5</v>
      </c>
      <c r="E3947" t="s">
        <v>330</v>
      </c>
    </row>
    <row r="3948" spans="1:5" x14ac:dyDescent="0.25">
      <c r="A3948">
        <v>1829</v>
      </c>
      <c r="B3948" s="16">
        <v>43556</v>
      </c>
      <c r="C3948" t="s">
        <v>139</v>
      </c>
      <c r="D3948">
        <v>7505662.5</v>
      </c>
      <c r="E3948" t="s">
        <v>330</v>
      </c>
    </row>
    <row r="3949" spans="1:5" x14ac:dyDescent="0.25">
      <c r="A3949">
        <v>1829</v>
      </c>
      <c r="B3949" s="16">
        <v>43586</v>
      </c>
      <c r="C3949" t="s">
        <v>139</v>
      </c>
      <c r="D3949">
        <v>7505662.5</v>
      </c>
      <c r="E3949" t="s">
        <v>330</v>
      </c>
    </row>
    <row r="3950" spans="1:5" x14ac:dyDescent="0.25">
      <c r="A3950">
        <v>1829</v>
      </c>
      <c r="B3950" s="16">
        <v>43617</v>
      </c>
      <c r="C3950" t="s">
        <v>139</v>
      </c>
      <c r="D3950">
        <v>7505662.5</v>
      </c>
      <c r="E3950" t="s">
        <v>330</v>
      </c>
    </row>
    <row r="3951" spans="1:5" x14ac:dyDescent="0.25">
      <c r="A3951">
        <v>1829</v>
      </c>
      <c r="B3951" s="16">
        <v>43647</v>
      </c>
      <c r="C3951" t="s">
        <v>139</v>
      </c>
      <c r="D3951">
        <v>7505662.5</v>
      </c>
      <c r="E3951" t="s">
        <v>330</v>
      </c>
    </row>
    <row r="3952" spans="1:5" x14ac:dyDescent="0.25">
      <c r="A3952">
        <v>1829</v>
      </c>
      <c r="B3952" s="16">
        <v>43678</v>
      </c>
      <c r="C3952" t="s">
        <v>139</v>
      </c>
      <c r="D3952">
        <v>7505662.5</v>
      </c>
      <c r="E3952" t="s">
        <v>330</v>
      </c>
    </row>
    <row r="3953" spans="1:5" x14ac:dyDescent="0.25">
      <c r="A3953">
        <v>1829</v>
      </c>
      <c r="B3953" s="16">
        <v>43709</v>
      </c>
      <c r="C3953" t="s">
        <v>139</v>
      </c>
      <c r="D3953">
        <v>7505662.5</v>
      </c>
      <c r="E3953" t="s">
        <v>330</v>
      </c>
    </row>
    <row r="3954" spans="1:5" x14ac:dyDescent="0.25">
      <c r="A3954">
        <v>1829</v>
      </c>
      <c r="B3954" s="16">
        <v>43739</v>
      </c>
      <c r="C3954" t="s">
        <v>139</v>
      </c>
      <c r="D3954">
        <v>7505662.5</v>
      </c>
      <c r="E3954" t="s">
        <v>330</v>
      </c>
    </row>
    <row r="3955" spans="1:5" x14ac:dyDescent="0.25">
      <c r="A3955">
        <v>1829</v>
      </c>
      <c r="B3955" s="16">
        <v>43770</v>
      </c>
      <c r="C3955" t="s">
        <v>139</v>
      </c>
      <c r="D3955">
        <v>7505662.5</v>
      </c>
      <c r="E3955" t="s">
        <v>330</v>
      </c>
    </row>
    <row r="3956" spans="1:5" x14ac:dyDescent="0.25">
      <c r="A3956">
        <v>1829</v>
      </c>
      <c r="B3956" s="16">
        <v>43800</v>
      </c>
      <c r="C3956" t="s">
        <v>139</v>
      </c>
      <c r="D3956">
        <v>7505662.5</v>
      </c>
      <c r="E3956" t="s">
        <v>330</v>
      </c>
    </row>
    <row r="3957" spans="1:5" x14ac:dyDescent="0.25">
      <c r="A3957">
        <v>1829</v>
      </c>
      <c r="B3957" s="16">
        <v>43831</v>
      </c>
      <c r="C3957" t="s">
        <v>139</v>
      </c>
      <c r="D3957">
        <v>7505662.5</v>
      </c>
      <c r="E3957" t="s">
        <v>330</v>
      </c>
    </row>
    <row r="3958" spans="1:5" x14ac:dyDescent="0.25">
      <c r="A3958">
        <v>1829</v>
      </c>
      <c r="B3958" s="16">
        <v>43862</v>
      </c>
      <c r="C3958" t="s">
        <v>139</v>
      </c>
      <c r="D3958">
        <v>7505662.5</v>
      </c>
      <c r="E3958" t="s">
        <v>330</v>
      </c>
    </row>
    <row r="3959" spans="1:5" x14ac:dyDescent="0.25">
      <c r="A3959">
        <v>1829</v>
      </c>
      <c r="B3959" s="16">
        <v>43891</v>
      </c>
      <c r="C3959" t="s">
        <v>139</v>
      </c>
      <c r="D3959">
        <v>7505662.5</v>
      </c>
      <c r="E3959" t="s">
        <v>330</v>
      </c>
    </row>
    <row r="3960" spans="1:5" x14ac:dyDescent="0.25">
      <c r="A3960">
        <v>1829</v>
      </c>
      <c r="B3960" s="16">
        <v>43922</v>
      </c>
      <c r="C3960" t="s">
        <v>139</v>
      </c>
      <c r="D3960">
        <v>7505662.5</v>
      </c>
      <c r="E3960" t="s">
        <v>330</v>
      </c>
    </row>
    <row r="3961" spans="1:5" x14ac:dyDescent="0.25">
      <c r="A3961">
        <v>1829</v>
      </c>
      <c r="B3961" s="16">
        <v>43952</v>
      </c>
      <c r="C3961" t="s">
        <v>139</v>
      </c>
      <c r="D3961">
        <v>7505662.5</v>
      </c>
      <c r="E3961" t="s">
        <v>330</v>
      </c>
    </row>
    <row r="3962" spans="1:5" x14ac:dyDescent="0.25">
      <c r="A3962">
        <v>1829</v>
      </c>
      <c r="B3962" s="16">
        <v>43466</v>
      </c>
      <c r="C3962" t="s">
        <v>12</v>
      </c>
      <c r="D3962">
        <v>17112910.5</v>
      </c>
      <c r="E3962" t="s">
        <v>330</v>
      </c>
    </row>
    <row r="3963" spans="1:5" x14ac:dyDescent="0.25">
      <c r="A3963">
        <v>1829</v>
      </c>
      <c r="B3963" s="16">
        <v>43497</v>
      </c>
      <c r="C3963" t="s">
        <v>12</v>
      </c>
      <c r="D3963">
        <v>17112910.5</v>
      </c>
      <c r="E3963" t="s">
        <v>330</v>
      </c>
    </row>
    <row r="3964" spans="1:5" x14ac:dyDescent="0.25">
      <c r="A3964">
        <v>1829</v>
      </c>
      <c r="B3964" s="16">
        <v>43525</v>
      </c>
      <c r="C3964" t="s">
        <v>12</v>
      </c>
      <c r="D3964">
        <v>17112910.5</v>
      </c>
      <c r="E3964" t="s">
        <v>330</v>
      </c>
    </row>
    <row r="3965" spans="1:5" x14ac:dyDescent="0.25">
      <c r="A3965">
        <v>1829</v>
      </c>
      <c r="B3965" s="16">
        <v>43556</v>
      </c>
      <c r="C3965" t="s">
        <v>12</v>
      </c>
      <c r="D3965">
        <v>17112910.5</v>
      </c>
      <c r="E3965" t="s">
        <v>330</v>
      </c>
    </row>
    <row r="3966" spans="1:5" x14ac:dyDescent="0.25">
      <c r="A3966">
        <v>1829</v>
      </c>
      <c r="B3966" s="16">
        <v>43586</v>
      </c>
      <c r="C3966" t="s">
        <v>12</v>
      </c>
      <c r="D3966">
        <v>17112910.5</v>
      </c>
      <c r="E3966" t="s">
        <v>330</v>
      </c>
    </row>
    <row r="3967" spans="1:5" x14ac:dyDescent="0.25">
      <c r="A3967">
        <v>1829</v>
      </c>
      <c r="B3967" s="16">
        <v>43617</v>
      </c>
      <c r="C3967" t="s">
        <v>12</v>
      </c>
      <c r="D3967">
        <v>17112910.5</v>
      </c>
      <c r="E3967" t="s">
        <v>330</v>
      </c>
    </row>
    <row r="3968" spans="1:5" x14ac:dyDescent="0.25">
      <c r="A3968">
        <v>1829</v>
      </c>
      <c r="B3968" s="16">
        <v>43647</v>
      </c>
      <c r="C3968" t="s">
        <v>12</v>
      </c>
      <c r="D3968">
        <v>17112910.5</v>
      </c>
      <c r="E3968" t="s">
        <v>330</v>
      </c>
    </row>
    <row r="3969" spans="1:5" x14ac:dyDescent="0.25">
      <c r="A3969">
        <v>1829</v>
      </c>
      <c r="B3969" s="16">
        <v>43678</v>
      </c>
      <c r="C3969" t="s">
        <v>12</v>
      </c>
      <c r="D3969">
        <v>17112910.5</v>
      </c>
      <c r="E3969" t="s">
        <v>330</v>
      </c>
    </row>
    <row r="3970" spans="1:5" x14ac:dyDescent="0.25">
      <c r="A3970">
        <v>1829</v>
      </c>
      <c r="B3970" s="16">
        <v>43709</v>
      </c>
      <c r="C3970" t="s">
        <v>12</v>
      </c>
      <c r="D3970">
        <v>17112910.5</v>
      </c>
      <c r="E3970" t="s">
        <v>330</v>
      </c>
    </row>
    <row r="3971" spans="1:5" x14ac:dyDescent="0.25">
      <c r="A3971">
        <v>1829</v>
      </c>
      <c r="B3971" s="16">
        <v>43739</v>
      </c>
      <c r="C3971" t="s">
        <v>12</v>
      </c>
      <c r="D3971">
        <v>17112910.5</v>
      </c>
      <c r="E3971" t="s">
        <v>330</v>
      </c>
    </row>
    <row r="3972" spans="1:5" x14ac:dyDescent="0.25">
      <c r="A3972">
        <v>1829</v>
      </c>
      <c r="B3972" s="16">
        <v>43770</v>
      </c>
      <c r="C3972" t="s">
        <v>12</v>
      </c>
      <c r="D3972">
        <v>17112910.5</v>
      </c>
      <c r="E3972" t="s">
        <v>330</v>
      </c>
    </row>
    <row r="3973" spans="1:5" x14ac:dyDescent="0.25">
      <c r="A3973">
        <v>1829</v>
      </c>
      <c r="B3973" s="16">
        <v>43800</v>
      </c>
      <c r="C3973" t="s">
        <v>12</v>
      </c>
      <c r="D3973">
        <v>17112910.5</v>
      </c>
      <c r="E3973" t="s">
        <v>330</v>
      </c>
    </row>
    <row r="3974" spans="1:5" x14ac:dyDescent="0.25">
      <c r="A3974">
        <v>1829</v>
      </c>
      <c r="B3974" s="16">
        <v>43831</v>
      </c>
      <c r="C3974" t="s">
        <v>12</v>
      </c>
      <c r="D3974">
        <v>17112910.5</v>
      </c>
      <c r="E3974" t="s">
        <v>330</v>
      </c>
    </row>
    <row r="3975" spans="1:5" x14ac:dyDescent="0.25">
      <c r="A3975">
        <v>1829</v>
      </c>
      <c r="B3975" s="16">
        <v>43862</v>
      </c>
      <c r="C3975" t="s">
        <v>12</v>
      </c>
      <c r="D3975">
        <v>17112910.5</v>
      </c>
      <c r="E3975" t="s">
        <v>330</v>
      </c>
    </row>
    <row r="3976" spans="1:5" x14ac:dyDescent="0.25">
      <c r="A3976">
        <v>1829</v>
      </c>
      <c r="B3976" s="16">
        <v>43891</v>
      </c>
      <c r="C3976" t="s">
        <v>12</v>
      </c>
      <c r="D3976">
        <v>17112910.5</v>
      </c>
      <c r="E3976" t="s">
        <v>330</v>
      </c>
    </row>
    <row r="3977" spans="1:5" x14ac:dyDescent="0.25">
      <c r="A3977">
        <v>1829</v>
      </c>
      <c r="B3977" s="16">
        <v>43922</v>
      </c>
      <c r="C3977" t="s">
        <v>12</v>
      </c>
      <c r="D3977">
        <v>17112910.5</v>
      </c>
      <c r="E3977" t="s">
        <v>330</v>
      </c>
    </row>
    <row r="3978" spans="1:5" x14ac:dyDescent="0.25">
      <c r="A3978">
        <v>1829</v>
      </c>
      <c r="B3978" s="16">
        <v>43952</v>
      </c>
      <c r="C3978" t="s">
        <v>12</v>
      </c>
      <c r="D3978">
        <v>17112910.5</v>
      </c>
      <c r="E3978" t="s">
        <v>330</v>
      </c>
    </row>
    <row r="3979" spans="1:5" x14ac:dyDescent="0.25">
      <c r="A3979">
        <v>1829</v>
      </c>
      <c r="B3979" s="16">
        <v>43983</v>
      </c>
      <c r="C3979" t="s">
        <v>12</v>
      </c>
      <c r="D3979">
        <v>17112910.5</v>
      </c>
      <c r="E3979" t="s">
        <v>330</v>
      </c>
    </row>
    <row r="3980" spans="1:5" x14ac:dyDescent="0.25">
      <c r="A3980">
        <v>1829</v>
      </c>
      <c r="B3980" s="16">
        <v>43466</v>
      </c>
      <c r="C3980" t="s">
        <v>140</v>
      </c>
      <c r="D3980">
        <v>5821058.25</v>
      </c>
      <c r="E3980" t="s">
        <v>330</v>
      </c>
    </row>
    <row r="3981" spans="1:5" x14ac:dyDescent="0.25">
      <c r="A3981">
        <v>1829</v>
      </c>
      <c r="B3981" s="16">
        <v>43497</v>
      </c>
      <c r="C3981" t="s">
        <v>140</v>
      </c>
      <c r="D3981">
        <v>5821058.25</v>
      </c>
      <c r="E3981" t="s">
        <v>330</v>
      </c>
    </row>
    <row r="3982" spans="1:5" x14ac:dyDescent="0.25">
      <c r="A3982">
        <v>1829</v>
      </c>
      <c r="B3982" s="16">
        <v>43525</v>
      </c>
      <c r="C3982" t="s">
        <v>140</v>
      </c>
      <c r="D3982">
        <v>5821058.25</v>
      </c>
      <c r="E3982" t="s">
        <v>330</v>
      </c>
    </row>
    <row r="3983" spans="1:5" x14ac:dyDescent="0.25">
      <c r="A3983">
        <v>1829</v>
      </c>
      <c r="B3983" s="16">
        <v>43556</v>
      </c>
      <c r="C3983" t="s">
        <v>140</v>
      </c>
      <c r="D3983">
        <v>5821058.25</v>
      </c>
      <c r="E3983" t="s">
        <v>330</v>
      </c>
    </row>
    <row r="3984" spans="1:5" x14ac:dyDescent="0.25">
      <c r="A3984">
        <v>1829</v>
      </c>
      <c r="B3984" s="16">
        <v>43586</v>
      </c>
      <c r="C3984" t="s">
        <v>140</v>
      </c>
      <c r="D3984">
        <v>5821058.25</v>
      </c>
      <c r="E3984" t="s">
        <v>330</v>
      </c>
    </row>
    <row r="3985" spans="1:5" x14ac:dyDescent="0.25">
      <c r="A3985">
        <v>1829</v>
      </c>
      <c r="B3985" s="16">
        <v>43617</v>
      </c>
      <c r="C3985" t="s">
        <v>140</v>
      </c>
      <c r="D3985">
        <v>5821058.25</v>
      </c>
      <c r="E3985" t="s">
        <v>330</v>
      </c>
    </row>
    <row r="3986" spans="1:5" x14ac:dyDescent="0.25">
      <c r="A3986">
        <v>1829</v>
      </c>
      <c r="B3986" s="16">
        <v>43647</v>
      </c>
      <c r="C3986" t="s">
        <v>140</v>
      </c>
      <c r="D3986">
        <v>5821058.25</v>
      </c>
      <c r="E3986" t="s">
        <v>330</v>
      </c>
    </row>
    <row r="3987" spans="1:5" x14ac:dyDescent="0.25">
      <c r="A3987">
        <v>1829</v>
      </c>
      <c r="B3987" s="16">
        <v>43678</v>
      </c>
      <c r="C3987" t="s">
        <v>140</v>
      </c>
      <c r="D3987">
        <v>5821058.25</v>
      </c>
      <c r="E3987" t="s">
        <v>330</v>
      </c>
    </row>
    <row r="3988" spans="1:5" x14ac:dyDescent="0.25">
      <c r="A3988">
        <v>1829</v>
      </c>
      <c r="B3988" s="16">
        <v>43709</v>
      </c>
      <c r="C3988" t="s">
        <v>140</v>
      </c>
      <c r="D3988">
        <v>5821058.25</v>
      </c>
      <c r="E3988" t="s">
        <v>330</v>
      </c>
    </row>
    <row r="3989" spans="1:5" x14ac:dyDescent="0.25">
      <c r="A3989">
        <v>1829</v>
      </c>
      <c r="B3989" s="16">
        <v>43739</v>
      </c>
      <c r="C3989" t="s">
        <v>140</v>
      </c>
      <c r="D3989">
        <v>5821058.25</v>
      </c>
      <c r="E3989" t="s">
        <v>330</v>
      </c>
    </row>
    <row r="3990" spans="1:5" x14ac:dyDescent="0.25">
      <c r="A3990">
        <v>1829</v>
      </c>
      <c r="B3990" s="16">
        <v>43770</v>
      </c>
      <c r="C3990" t="s">
        <v>140</v>
      </c>
      <c r="D3990">
        <v>5821058.25</v>
      </c>
      <c r="E3990" t="s">
        <v>330</v>
      </c>
    </row>
    <row r="3991" spans="1:5" x14ac:dyDescent="0.25">
      <c r="A3991">
        <v>1829</v>
      </c>
      <c r="B3991" s="16">
        <v>43800</v>
      </c>
      <c r="C3991" t="s">
        <v>140</v>
      </c>
      <c r="D3991">
        <v>5821058.25</v>
      </c>
      <c r="E3991" t="s">
        <v>330</v>
      </c>
    </row>
    <row r="3992" spans="1:5" x14ac:dyDescent="0.25">
      <c r="A3992">
        <v>1829</v>
      </c>
      <c r="B3992" s="16">
        <v>43466</v>
      </c>
      <c r="C3992" t="s">
        <v>142</v>
      </c>
      <c r="D3992">
        <v>4154801.1749999998</v>
      </c>
      <c r="E3992" t="s">
        <v>330</v>
      </c>
    </row>
    <row r="3993" spans="1:5" x14ac:dyDescent="0.25">
      <c r="A3993">
        <v>1829</v>
      </c>
      <c r="B3993" s="16">
        <v>43497</v>
      </c>
      <c r="C3993" t="s">
        <v>142</v>
      </c>
      <c r="D3993">
        <v>4154801.1749999998</v>
      </c>
      <c r="E3993" t="s">
        <v>330</v>
      </c>
    </row>
    <row r="3994" spans="1:5" x14ac:dyDescent="0.25">
      <c r="A3994">
        <v>1829</v>
      </c>
      <c r="B3994" s="16">
        <v>43525</v>
      </c>
      <c r="C3994" t="s">
        <v>142</v>
      </c>
      <c r="D3994">
        <v>4154801.1749999998</v>
      </c>
      <c r="E3994" t="s">
        <v>330</v>
      </c>
    </row>
    <row r="3995" spans="1:5" x14ac:dyDescent="0.25">
      <c r="A3995">
        <v>1829</v>
      </c>
      <c r="B3995" s="16">
        <v>43556</v>
      </c>
      <c r="C3995" t="s">
        <v>142</v>
      </c>
      <c r="D3995">
        <v>4154801.1749999998</v>
      </c>
      <c r="E3995" t="s">
        <v>330</v>
      </c>
    </row>
    <row r="3996" spans="1:5" x14ac:dyDescent="0.25">
      <c r="A3996">
        <v>1829</v>
      </c>
      <c r="B3996" s="16">
        <v>43586</v>
      </c>
      <c r="C3996" t="s">
        <v>142</v>
      </c>
      <c r="D3996">
        <v>4154801.1749999998</v>
      </c>
      <c r="E3996" t="s">
        <v>330</v>
      </c>
    </row>
    <row r="3997" spans="1:5" x14ac:dyDescent="0.25">
      <c r="A3997">
        <v>1829</v>
      </c>
      <c r="B3997" s="16">
        <v>43617</v>
      </c>
      <c r="C3997" t="s">
        <v>142</v>
      </c>
      <c r="D3997">
        <v>4154801.1749999998</v>
      </c>
      <c r="E3997" t="s">
        <v>330</v>
      </c>
    </row>
    <row r="3998" spans="1:5" x14ac:dyDescent="0.25">
      <c r="A3998">
        <v>1829</v>
      </c>
      <c r="B3998" s="16">
        <v>43647</v>
      </c>
      <c r="C3998" t="s">
        <v>142</v>
      </c>
      <c r="D3998">
        <v>4154801.1749999998</v>
      </c>
      <c r="E3998" t="s">
        <v>330</v>
      </c>
    </row>
    <row r="3999" spans="1:5" x14ac:dyDescent="0.25">
      <c r="A3999">
        <v>1829</v>
      </c>
      <c r="B3999" s="16">
        <v>43678</v>
      </c>
      <c r="C3999" t="s">
        <v>142</v>
      </c>
      <c r="D3999">
        <v>4154801.1749999998</v>
      </c>
      <c r="E3999" t="s">
        <v>330</v>
      </c>
    </row>
    <row r="4000" spans="1:5" x14ac:dyDescent="0.25">
      <c r="A4000">
        <v>1829</v>
      </c>
      <c r="B4000" s="16">
        <v>43709</v>
      </c>
      <c r="C4000" t="s">
        <v>142</v>
      </c>
      <c r="D4000">
        <v>4154801.1749999998</v>
      </c>
      <c r="E4000" t="s">
        <v>330</v>
      </c>
    </row>
    <row r="4001" spans="1:5" x14ac:dyDescent="0.25">
      <c r="A4001">
        <v>1829</v>
      </c>
      <c r="B4001" s="16">
        <v>43739</v>
      </c>
      <c r="C4001" t="s">
        <v>142</v>
      </c>
      <c r="D4001">
        <v>4154801.1749999998</v>
      </c>
      <c r="E4001" t="s">
        <v>330</v>
      </c>
    </row>
    <row r="4002" spans="1:5" x14ac:dyDescent="0.25">
      <c r="A4002">
        <v>1829</v>
      </c>
      <c r="B4002" s="16">
        <v>43770</v>
      </c>
      <c r="C4002" t="s">
        <v>142</v>
      </c>
      <c r="D4002">
        <v>4154801.1749999998</v>
      </c>
      <c r="E4002" t="s">
        <v>330</v>
      </c>
    </row>
    <row r="4003" spans="1:5" x14ac:dyDescent="0.25">
      <c r="A4003">
        <v>1829</v>
      </c>
      <c r="B4003" s="16">
        <v>43800</v>
      </c>
      <c r="C4003" t="s">
        <v>142</v>
      </c>
      <c r="D4003">
        <v>4154801.1749999998</v>
      </c>
      <c r="E4003" t="s">
        <v>330</v>
      </c>
    </row>
    <row r="4004" spans="1:5" x14ac:dyDescent="0.25">
      <c r="A4004">
        <v>1829</v>
      </c>
      <c r="B4004" s="16">
        <v>43831</v>
      </c>
      <c r="C4004" t="s">
        <v>142</v>
      </c>
      <c r="D4004">
        <v>4154801.1749999998</v>
      </c>
      <c r="E4004" t="s">
        <v>330</v>
      </c>
    </row>
    <row r="4005" spans="1:5" x14ac:dyDescent="0.25">
      <c r="A4005">
        <v>1829</v>
      </c>
      <c r="B4005" s="16">
        <v>43862</v>
      </c>
      <c r="C4005" t="s">
        <v>142</v>
      </c>
      <c r="D4005">
        <v>4154801.1749999998</v>
      </c>
      <c r="E4005" t="s">
        <v>330</v>
      </c>
    </row>
    <row r="4006" spans="1:5" x14ac:dyDescent="0.25">
      <c r="A4006">
        <v>1829</v>
      </c>
      <c r="B4006" s="16">
        <v>43466</v>
      </c>
      <c r="C4006" t="s">
        <v>59</v>
      </c>
      <c r="D4006">
        <v>1667925</v>
      </c>
      <c r="E4006" t="s">
        <v>330</v>
      </c>
    </row>
    <row r="4007" spans="1:5" x14ac:dyDescent="0.25">
      <c r="A4007">
        <v>1829</v>
      </c>
      <c r="B4007" s="16">
        <v>43497</v>
      </c>
      <c r="C4007" t="s">
        <v>59</v>
      </c>
      <c r="D4007">
        <v>1667925</v>
      </c>
      <c r="E4007" t="s">
        <v>330</v>
      </c>
    </row>
    <row r="4008" spans="1:5" x14ac:dyDescent="0.25">
      <c r="A4008">
        <v>1829</v>
      </c>
      <c r="B4008" s="16">
        <v>43525</v>
      </c>
      <c r="C4008" t="s">
        <v>59</v>
      </c>
      <c r="D4008">
        <v>1667925</v>
      </c>
      <c r="E4008" t="s">
        <v>330</v>
      </c>
    </row>
    <row r="4009" spans="1:5" x14ac:dyDescent="0.25">
      <c r="A4009">
        <v>1829</v>
      </c>
      <c r="B4009" s="16">
        <v>43556</v>
      </c>
      <c r="C4009" t="s">
        <v>59</v>
      </c>
      <c r="D4009">
        <v>1667925</v>
      </c>
      <c r="E4009" t="s">
        <v>330</v>
      </c>
    </row>
    <row r="4010" spans="1:5" x14ac:dyDescent="0.25">
      <c r="A4010">
        <v>1829</v>
      </c>
      <c r="B4010" s="16">
        <v>43586</v>
      </c>
      <c r="C4010" t="s">
        <v>59</v>
      </c>
      <c r="D4010">
        <v>1667925</v>
      </c>
      <c r="E4010" t="s">
        <v>330</v>
      </c>
    </row>
    <row r="4011" spans="1:5" x14ac:dyDescent="0.25">
      <c r="A4011">
        <v>1829</v>
      </c>
      <c r="B4011" s="16">
        <v>43617</v>
      </c>
      <c r="C4011" t="s">
        <v>59</v>
      </c>
      <c r="D4011">
        <v>1667925</v>
      </c>
      <c r="E4011" t="s">
        <v>330</v>
      </c>
    </row>
    <row r="4012" spans="1:5" x14ac:dyDescent="0.25">
      <c r="A4012">
        <v>1829</v>
      </c>
      <c r="B4012" s="16">
        <v>43647</v>
      </c>
      <c r="C4012" t="s">
        <v>59</v>
      </c>
      <c r="D4012">
        <v>1667925</v>
      </c>
      <c r="E4012" t="s">
        <v>330</v>
      </c>
    </row>
    <row r="4013" spans="1:5" x14ac:dyDescent="0.25">
      <c r="A4013">
        <v>1829</v>
      </c>
      <c r="B4013" s="16">
        <v>43678</v>
      </c>
      <c r="C4013" t="s">
        <v>59</v>
      </c>
      <c r="D4013">
        <v>1667925</v>
      </c>
      <c r="E4013" t="s">
        <v>330</v>
      </c>
    </row>
    <row r="4014" spans="1:5" x14ac:dyDescent="0.25">
      <c r="A4014">
        <v>1829</v>
      </c>
      <c r="B4014" s="16">
        <v>43709</v>
      </c>
      <c r="C4014" t="s">
        <v>59</v>
      </c>
      <c r="D4014">
        <v>1667925</v>
      </c>
      <c r="E4014" t="s">
        <v>330</v>
      </c>
    </row>
    <row r="4015" spans="1:5" x14ac:dyDescent="0.25">
      <c r="A4015">
        <v>1829</v>
      </c>
      <c r="B4015" s="16">
        <v>43739</v>
      </c>
      <c r="C4015" t="s">
        <v>59</v>
      </c>
      <c r="D4015">
        <v>1667925</v>
      </c>
      <c r="E4015" t="s">
        <v>330</v>
      </c>
    </row>
    <row r="4016" spans="1:5" x14ac:dyDescent="0.25">
      <c r="A4016">
        <v>1829</v>
      </c>
      <c r="B4016" s="16">
        <v>43770</v>
      </c>
      <c r="C4016" t="s">
        <v>59</v>
      </c>
      <c r="D4016">
        <v>1667925</v>
      </c>
      <c r="E4016" t="s">
        <v>330</v>
      </c>
    </row>
    <row r="4017" spans="1:5" x14ac:dyDescent="0.25">
      <c r="A4017">
        <v>1829</v>
      </c>
      <c r="B4017" s="16">
        <v>43800</v>
      </c>
      <c r="C4017" t="s">
        <v>59</v>
      </c>
      <c r="D4017">
        <v>1667925</v>
      </c>
      <c r="E4017" t="s">
        <v>330</v>
      </c>
    </row>
    <row r="4018" spans="1:5" x14ac:dyDescent="0.25">
      <c r="A4018">
        <v>1829</v>
      </c>
      <c r="B4018" s="16">
        <v>43831</v>
      </c>
      <c r="C4018" t="s">
        <v>59</v>
      </c>
      <c r="D4018">
        <v>1667925</v>
      </c>
      <c r="E4018" t="s">
        <v>330</v>
      </c>
    </row>
    <row r="4019" spans="1:5" x14ac:dyDescent="0.25">
      <c r="A4019">
        <v>1829</v>
      </c>
      <c r="B4019" s="16">
        <v>43862</v>
      </c>
      <c r="C4019" t="s">
        <v>59</v>
      </c>
      <c r="D4019">
        <v>1667925</v>
      </c>
      <c r="E4019" t="s">
        <v>330</v>
      </c>
    </row>
    <row r="4020" spans="1:5" x14ac:dyDescent="0.25">
      <c r="A4020">
        <v>1829</v>
      </c>
      <c r="B4020" s="16">
        <v>43891</v>
      </c>
      <c r="C4020" t="s">
        <v>59</v>
      </c>
      <c r="D4020">
        <v>1667925</v>
      </c>
      <c r="E4020" t="s">
        <v>330</v>
      </c>
    </row>
    <row r="4021" spans="1:5" x14ac:dyDescent="0.25">
      <c r="A4021">
        <v>1829</v>
      </c>
      <c r="B4021" s="16">
        <v>43922</v>
      </c>
      <c r="C4021" t="s">
        <v>59</v>
      </c>
      <c r="D4021">
        <v>1667925</v>
      </c>
      <c r="E4021" t="s">
        <v>330</v>
      </c>
    </row>
    <row r="4022" spans="1:5" x14ac:dyDescent="0.25">
      <c r="A4022">
        <v>1829</v>
      </c>
      <c r="B4022" s="16">
        <v>43466</v>
      </c>
      <c r="C4022" t="s">
        <v>39</v>
      </c>
      <c r="D4022">
        <v>3886265.25</v>
      </c>
      <c r="E4022" t="s">
        <v>330</v>
      </c>
    </row>
    <row r="4023" spans="1:5" x14ac:dyDescent="0.25">
      <c r="A4023">
        <v>1829</v>
      </c>
      <c r="B4023" s="16">
        <v>43497</v>
      </c>
      <c r="C4023" t="s">
        <v>39</v>
      </c>
      <c r="D4023">
        <v>3886265.25</v>
      </c>
      <c r="E4023" t="s">
        <v>330</v>
      </c>
    </row>
    <row r="4024" spans="1:5" x14ac:dyDescent="0.25">
      <c r="A4024">
        <v>1829</v>
      </c>
      <c r="B4024" s="16">
        <v>43525</v>
      </c>
      <c r="C4024" t="s">
        <v>39</v>
      </c>
      <c r="D4024">
        <v>3886265.25</v>
      </c>
      <c r="E4024" t="s">
        <v>330</v>
      </c>
    </row>
    <row r="4025" spans="1:5" x14ac:dyDescent="0.25">
      <c r="A4025">
        <v>1829</v>
      </c>
      <c r="B4025" s="16">
        <v>43556</v>
      </c>
      <c r="C4025" t="s">
        <v>39</v>
      </c>
      <c r="D4025">
        <v>3886265.25</v>
      </c>
      <c r="E4025" t="s">
        <v>330</v>
      </c>
    </row>
    <row r="4026" spans="1:5" x14ac:dyDescent="0.25">
      <c r="A4026">
        <v>1829</v>
      </c>
      <c r="B4026" s="16">
        <v>43586</v>
      </c>
      <c r="C4026" t="s">
        <v>39</v>
      </c>
      <c r="D4026">
        <v>3886265.25</v>
      </c>
      <c r="E4026" t="s">
        <v>330</v>
      </c>
    </row>
    <row r="4027" spans="1:5" x14ac:dyDescent="0.25">
      <c r="A4027">
        <v>1829</v>
      </c>
      <c r="B4027" s="16">
        <v>43617</v>
      </c>
      <c r="C4027" t="s">
        <v>39</v>
      </c>
      <c r="D4027">
        <v>3886265.25</v>
      </c>
      <c r="E4027" t="s">
        <v>330</v>
      </c>
    </row>
    <row r="4028" spans="1:5" x14ac:dyDescent="0.25">
      <c r="A4028">
        <v>1829</v>
      </c>
      <c r="B4028" s="16">
        <v>43647</v>
      </c>
      <c r="C4028" t="s">
        <v>39</v>
      </c>
      <c r="D4028">
        <v>3886265.25</v>
      </c>
      <c r="E4028" t="s">
        <v>330</v>
      </c>
    </row>
    <row r="4029" spans="1:5" x14ac:dyDescent="0.25">
      <c r="A4029">
        <v>1829</v>
      </c>
      <c r="B4029" s="16">
        <v>43678</v>
      </c>
      <c r="C4029" t="s">
        <v>39</v>
      </c>
      <c r="D4029">
        <v>3886265.25</v>
      </c>
      <c r="E4029" t="s">
        <v>330</v>
      </c>
    </row>
    <row r="4030" spans="1:5" x14ac:dyDescent="0.25">
      <c r="A4030">
        <v>1829</v>
      </c>
      <c r="B4030" s="16">
        <v>43709</v>
      </c>
      <c r="C4030" t="s">
        <v>39</v>
      </c>
      <c r="D4030">
        <v>3886265.25</v>
      </c>
      <c r="E4030" t="s">
        <v>330</v>
      </c>
    </row>
    <row r="4031" spans="1:5" x14ac:dyDescent="0.25">
      <c r="A4031">
        <v>1829</v>
      </c>
      <c r="B4031" s="16">
        <v>43739</v>
      </c>
      <c r="C4031" t="s">
        <v>39</v>
      </c>
      <c r="D4031">
        <v>3886265.25</v>
      </c>
      <c r="E4031" t="s">
        <v>330</v>
      </c>
    </row>
    <row r="4032" spans="1:5" x14ac:dyDescent="0.25">
      <c r="A4032">
        <v>1829</v>
      </c>
      <c r="B4032" s="16">
        <v>43770</v>
      </c>
      <c r="C4032" t="s">
        <v>39</v>
      </c>
      <c r="D4032">
        <v>3886265.25</v>
      </c>
      <c r="E4032" t="s">
        <v>330</v>
      </c>
    </row>
    <row r="4033" spans="1:5" x14ac:dyDescent="0.25">
      <c r="A4033">
        <v>1829</v>
      </c>
      <c r="B4033" s="16">
        <v>43800</v>
      </c>
      <c r="C4033" t="s">
        <v>39</v>
      </c>
      <c r="D4033">
        <v>3886265.25</v>
      </c>
      <c r="E4033" t="s">
        <v>330</v>
      </c>
    </row>
    <row r="4034" spans="1:5" x14ac:dyDescent="0.25">
      <c r="A4034">
        <v>1829</v>
      </c>
      <c r="B4034" s="16">
        <v>43831</v>
      </c>
      <c r="C4034" t="s">
        <v>39</v>
      </c>
      <c r="D4034">
        <v>3886265.25</v>
      </c>
      <c r="E4034" t="s">
        <v>330</v>
      </c>
    </row>
    <row r="4035" spans="1:5" x14ac:dyDescent="0.25">
      <c r="A4035">
        <v>1829</v>
      </c>
      <c r="B4035" s="16">
        <v>43862</v>
      </c>
      <c r="C4035" t="s">
        <v>39</v>
      </c>
      <c r="D4035">
        <v>3886265.25</v>
      </c>
      <c r="E4035" t="s">
        <v>330</v>
      </c>
    </row>
    <row r="4036" spans="1:5" x14ac:dyDescent="0.25">
      <c r="A4036">
        <v>1829</v>
      </c>
      <c r="B4036" s="16">
        <v>43891</v>
      </c>
      <c r="C4036" t="s">
        <v>39</v>
      </c>
      <c r="D4036">
        <v>3886265.25</v>
      </c>
      <c r="E4036" t="s">
        <v>330</v>
      </c>
    </row>
    <row r="4037" spans="1:5" x14ac:dyDescent="0.25">
      <c r="A4037">
        <v>1829</v>
      </c>
      <c r="B4037" s="16">
        <v>43922</v>
      </c>
      <c r="C4037" t="s">
        <v>39</v>
      </c>
      <c r="D4037">
        <v>3886265.25</v>
      </c>
      <c r="E4037" t="s">
        <v>330</v>
      </c>
    </row>
    <row r="4038" spans="1:5" x14ac:dyDescent="0.25">
      <c r="A4038">
        <v>1829</v>
      </c>
      <c r="B4038" s="16">
        <v>43952</v>
      </c>
      <c r="C4038" t="s">
        <v>39</v>
      </c>
      <c r="D4038">
        <v>3886265.25</v>
      </c>
      <c r="E4038" t="s">
        <v>330</v>
      </c>
    </row>
    <row r="4039" spans="1:5" x14ac:dyDescent="0.25">
      <c r="A4039">
        <v>1829</v>
      </c>
      <c r="B4039" s="16">
        <v>43983</v>
      </c>
      <c r="C4039" t="s">
        <v>39</v>
      </c>
      <c r="D4039">
        <v>3886265.25</v>
      </c>
      <c r="E4039" t="s">
        <v>330</v>
      </c>
    </row>
    <row r="4040" spans="1:5" x14ac:dyDescent="0.25">
      <c r="A4040">
        <v>1829</v>
      </c>
      <c r="B4040" s="16">
        <v>43466</v>
      </c>
      <c r="C4040" t="s">
        <v>136</v>
      </c>
      <c r="D4040">
        <v>6004530</v>
      </c>
      <c r="E4040" t="s">
        <v>330</v>
      </c>
    </row>
    <row r="4041" spans="1:5" x14ac:dyDescent="0.25">
      <c r="A4041">
        <v>1829</v>
      </c>
      <c r="B4041" s="16">
        <v>43497</v>
      </c>
      <c r="C4041" t="s">
        <v>136</v>
      </c>
      <c r="D4041">
        <v>6004530</v>
      </c>
      <c r="E4041" t="s">
        <v>330</v>
      </c>
    </row>
    <row r="4042" spans="1:5" x14ac:dyDescent="0.25">
      <c r="A4042">
        <v>1829</v>
      </c>
      <c r="B4042" s="16">
        <v>43525</v>
      </c>
      <c r="C4042" t="s">
        <v>136</v>
      </c>
      <c r="D4042">
        <v>6004530</v>
      </c>
      <c r="E4042" t="s">
        <v>330</v>
      </c>
    </row>
    <row r="4043" spans="1:5" x14ac:dyDescent="0.25">
      <c r="A4043">
        <v>1829</v>
      </c>
      <c r="B4043" s="16">
        <v>43556</v>
      </c>
      <c r="C4043" t="s">
        <v>136</v>
      </c>
      <c r="D4043">
        <v>6004530</v>
      </c>
      <c r="E4043" t="s">
        <v>330</v>
      </c>
    </row>
    <row r="4044" spans="1:5" x14ac:dyDescent="0.25">
      <c r="A4044">
        <v>1829</v>
      </c>
      <c r="B4044" s="16">
        <v>43586</v>
      </c>
      <c r="C4044" t="s">
        <v>136</v>
      </c>
      <c r="D4044">
        <v>6004530</v>
      </c>
      <c r="E4044" t="s">
        <v>330</v>
      </c>
    </row>
    <row r="4045" spans="1:5" x14ac:dyDescent="0.25">
      <c r="A4045">
        <v>1829</v>
      </c>
      <c r="B4045" s="16">
        <v>43617</v>
      </c>
      <c r="C4045" t="s">
        <v>136</v>
      </c>
      <c r="D4045">
        <v>6004530</v>
      </c>
      <c r="E4045" t="s">
        <v>330</v>
      </c>
    </row>
    <row r="4046" spans="1:5" x14ac:dyDescent="0.25">
      <c r="A4046">
        <v>1829</v>
      </c>
      <c r="B4046" s="16">
        <v>43647</v>
      </c>
      <c r="C4046" t="s">
        <v>136</v>
      </c>
      <c r="D4046">
        <v>6004530</v>
      </c>
      <c r="E4046" t="s">
        <v>330</v>
      </c>
    </row>
    <row r="4047" spans="1:5" x14ac:dyDescent="0.25">
      <c r="A4047">
        <v>1829</v>
      </c>
      <c r="B4047" s="16">
        <v>43678</v>
      </c>
      <c r="C4047" t="s">
        <v>136</v>
      </c>
      <c r="D4047">
        <v>6004530</v>
      </c>
      <c r="E4047" t="s">
        <v>330</v>
      </c>
    </row>
    <row r="4048" spans="1:5" x14ac:dyDescent="0.25">
      <c r="A4048">
        <v>1829</v>
      </c>
      <c r="B4048" s="16">
        <v>43709</v>
      </c>
      <c r="C4048" t="s">
        <v>136</v>
      </c>
      <c r="D4048">
        <v>6004530</v>
      </c>
      <c r="E4048" t="s">
        <v>330</v>
      </c>
    </row>
    <row r="4049" spans="1:5" x14ac:dyDescent="0.25">
      <c r="A4049">
        <v>1829</v>
      </c>
      <c r="B4049" s="16">
        <v>43739</v>
      </c>
      <c r="C4049" t="s">
        <v>136</v>
      </c>
      <c r="D4049">
        <v>6004530</v>
      </c>
      <c r="E4049" t="s">
        <v>330</v>
      </c>
    </row>
    <row r="4050" spans="1:5" x14ac:dyDescent="0.25">
      <c r="A4050">
        <v>1829</v>
      </c>
      <c r="B4050" s="16">
        <v>43770</v>
      </c>
      <c r="C4050" t="s">
        <v>136</v>
      </c>
      <c r="D4050">
        <v>6004530</v>
      </c>
      <c r="E4050" t="s">
        <v>330</v>
      </c>
    </row>
    <row r="4051" spans="1:5" x14ac:dyDescent="0.25">
      <c r="A4051">
        <v>1829</v>
      </c>
      <c r="B4051" s="16">
        <v>43800</v>
      </c>
      <c r="C4051" t="s">
        <v>136</v>
      </c>
      <c r="D4051">
        <v>6004530</v>
      </c>
      <c r="E4051" t="s">
        <v>330</v>
      </c>
    </row>
    <row r="4052" spans="1:5" x14ac:dyDescent="0.25">
      <c r="A4052">
        <v>1829</v>
      </c>
      <c r="B4052" s="16">
        <v>43831</v>
      </c>
      <c r="C4052" t="s">
        <v>136</v>
      </c>
      <c r="D4052">
        <v>6004530</v>
      </c>
      <c r="E4052" t="s">
        <v>330</v>
      </c>
    </row>
    <row r="4053" spans="1:5" x14ac:dyDescent="0.25">
      <c r="A4053">
        <v>1829</v>
      </c>
      <c r="B4053" s="16">
        <v>43862</v>
      </c>
      <c r="C4053" t="s">
        <v>136</v>
      </c>
      <c r="D4053">
        <v>6004530</v>
      </c>
      <c r="E4053" t="s">
        <v>330</v>
      </c>
    </row>
    <row r="4054" spans="1:5" x14ac:dyDescent="0.25">
      <c r="A4054">
        <v>1829</v>
      </c>
      <c r="B4054" s="16">
        <v>43891</v>
      </c>
      <c r="C4054" t="s">
        <v>136</v>
      </c>
      <c r="D4054">
        <v>6004530</v>
      </c>
      <c r="E4054" t="s">
        <v>330</v>
      </c>
    </row>
    <row r="4055" spans="1:5" x14ac:dyDescent="0.25">
      <c r="A4055">
        <v>1838</v>
      </c>
      <c r="B4055" s="16">
        <v>43466</v>
      </c>
      <c r="C4055" t="s">
        <v>144</v>
      </c>
      <c r="D4055">
        <v>1289925</v>
      </c>
      <c r="E4055" t="s">
        <v>330</v>
      </c>
    </row>
    <row r="4056" spans="1:5" x14ac:dyDescent="0.25">
      <c r="A4056">
        <v>1838</v>
      </c>
      <c r="B4056" s="16">
        <v>43497</v>
      </c>
      <c r="C4056" t="s">
        <v>144</v>
      </c>
      <c r="D4056">
        <v>1289925</v>
      </c>
      <c r="E4056" t="s">
        <v>330</v>
      </c>
    </row>
    <row r="4057" spans="1:5" x14ac:dyDescent="0.25">
      <c r="A4057">
        <v>1838</v>
      </c>
      <c r="B4057" s="16">
        <v>43525</v>
      </c>
      <c r="C4057" t="s">
        <v>144</v>
      </c>
      <c r="D4057">
        <v>1289925</v>
      </c>
      <c r="E4057" t="s">
        <v>330</v>
      </c>
    </row>
    <row r="4058" spans="1:5" x14ac:dyDescent="0.25">
      <c r="A4058">
        <v>1838</v>
      </c>
      <c r="B4058" s="16">
        <v>43466</v>
      </c>
      <c r="C4058" t="s">
        <v>83</v>
      </c>
      <c r="D4058">
        <v>1129511.25</v>
      </c>
      <c r="E4058" t="s">
        <v>330</v>
      </c>
    </row>
    <row r="4059" spans="1:5" x14ac:dyDescent="0.25">
      <c r="A4059">
        <v>1838</v>
      </c>
      <c r="B4059" s="16">
        <v>43497</v>
      </c>
      <c r="C4059" t="s">
        <v>83</v>
      </c>
      <c r="D4059">
        <v>1129511.25</v>
      </c>
      <c r="E4059" t="s">
        <v>330</v>
      </c>
    </row>
    <row r="4060" spans="1:5" x14ac:dyDescent="0.25">
      <c r="A4060">
        <v>1838</v>
      </c>
      <c r="B4060" s="16">
        <v>43525</v>
      </c>
      <c r="C4060" t="s">
        <v>83</v>
      </c>
      <c r="D4060">
        <v>1129511.25</v>
      </c>
      <c r="E4060" t="s">
        <v>330</v>
      </c>
    </row>
    <row r="4061" spans="1:5" x14ac:dyDescent="0.25">
      <c r="A4061">
        <v>1838</v>
      </c>
      <c r="B4061" s="16">
        <v>43466</v>
      </c>
      <c r="C4061" t="s">
        <v>119</v>
      </c>
      <c r="D4061">
        <v>7607250</v>
      </c>
      <c r="E4061" t="s">
        <v>330</v>
      </c>
    </row>
    <row r="4062" spans="1:5" x14ac:dyDescent="0.25">
      <c r="A4062">
        <v>1838</v>
      </c>
      <c r="B4062" s="16">
        <v>43497</v>
      </c>
      <c r="C4062" t="s">
        <v>119</v>
      </c>
      <c r="D4062">
        <v>7607250</v>
      </c>
      <c r="E4062" t="s">
        <v>330</v>
      </c>
    </row>
    <row r="4063" spans="1:5" x14ac:dyDescent="0.25">
      <c r="A4063">
        <v>1838</v>
      </c>
      <c r="B4063" s="16">
        <v>43525</v>
      </c>
      <c r="C4063" t="s">
        <v>119</v>
      </c>
      <c r="D4063">
        <v>7607250</v>
      </c>
      <c r="E4063" t="s">
        <v>330</v>
      </c>
    </row>
    <row r="4064" spans="1:5" x14ac:dyDescent="0.25">
      <c r="A4064">
        <v>1846</v>
      </c>
      <c r="B4064" s="16">
        <v>43466</v>
      </c>
      <c r="C4064" t="s">
        <v>145</v>
      </c>
      <c r="D4064">
        <v>3780000</v>
      </c>
      <c r="E4064" t="s">
        <v>330</v>
      </c>
    </row>
    <row r="4065" spans="1:5" x14ac:dyDescent="0.25">
      <c r="A4065">
        <v>1846</v>
      </c>
      <c r="B4065" s="16">
        <v>43497</v>
      </c>
      <c r="C4065" t="s">
        <v>145</v>
      </c>
      <c r="D4065">
        <v>3780000</v>
      </c>
      <c r="E4065" t="s">
        <v>330</v>
      </c>
    </row>
    <row r="4066" spans="1:5" x14ac:dyDescent="0.25">
      <c r="A4066">
        <v>1846</v>
      </c>
      <c r="B4066" s="16">
        <v>43525</v>
      </c>
      <c r="C4066" t="s">
        <v>145</v>
      </c>
      <c r="D4066">
        <v>3780000</v>
      </c>
      <c r="E4066" t="s">
        <v>330</v>
      </c>
    </row>
    <row r="4067" spans="1:5" x14ac:dyDescent="0.25">
      <c r="A4067">
        <v>1846</v>
      </c>
      <c r="B4067" s="16">
        <v>43466</v>
      </c>
      <c r="C4067" t="s">
        <v>146</v>
      </c>
      <c r="D4067">
        <v>5868450</v>
      </c>
      <c r="E4067" t="s">
        <v>330</v>
      </c>
    </row>
    <row r="4068" spans="1:5" x14ac:dyDescent="0.25">
      <c r="A4068">
        <v>1846</v>
      </c>
      <c r="B4068" s="16">
        <v>43497</v>
      </c>
      <c r="C4068" t="s">
        <v>146</v>
      </c>
      <c r="D4068">
        <v>5868450</v>
      </c>
      <c r="E4068" t="s">
        <v>330</v>
      </c>
    </row>
    <row r="4069" spans="1:5" x14ac:dyDescent="0.25">
      <c r="A4069">
        <v>1846</v>
      </c>
      <c r="B4069" s="16">
        <v>43525</v>
      </c>
      <c r="C4069" t="s">
        <v>146</v>
      </c>
      <c r="D4069">
        <v>5868450</v>
      </c>
      <c r="E4069" t="s">
        <v>330</v>
      </c>
    </row>
    <row r="4070" spans="1:5" x14ac:dyDescent="0.25">
      <c r="A4070">
        <v>1846</v>
      </c>
      <c r="B4070" s="16">
        <v>43525</v>
      </c>
      <c r="C4070" t="s">
        <v>147</v>
      </c>
      <c r="D4070">
        <v>1535625</v>
      </c>
      <c r="E4070" t="s">
        <v>330</v>
      </c>
    </row>
    <row r="4071" spans="1:5" x14ac:dyDescent="0.25">
      <c r="A4071">
        <v>1846</v>
      </c>
      <c r="B4071" s="16">
        <v>43466</v>
      </c>
      <c r="C4071" t="s">
        <v>83</v>
      </c>
      <c r="D4071">
        <v>19561500</v>
      </c>
      <c r="E4071" t="s">
        <v>330</v>
      </c>
    </row>
    <row r="4072" spans="1:5" x14ac:dyDescent="0.25">
      <c r="A4072">
        <v>1846</v>
      </c>
      <c r="B4072" s="16">
        <v>43497</v>
      </c>
      <c r="C4072" t="s">
        <v>83</v>
      </c>
      <c r="D4072">
        <v>19561500</v>
      </c>
      <c r="E4072" t="s">
        <v>330</v>
      </c>
    </row>
    <row r="4073" spans="1:5" x14ac:dyDescent="0.25">
      <c r="A4073">
        <v>1846</v>
      </c>
      <c r="B4073" s="16">
        <v>43466</v>
      </c>
      <c r="C4073" t="s">
        <v>148</v>
      </c>
      <c r="D4073">
        <v>2835913.5</v>
      </c>
      <c r="E4073" t="s">
        <v>330</v>
      </c>
    </row>
    <row r="4074" spans="1:5" x14ac:dyDescent="0.25">
      <c r="A4074">
        <v>1846</v>
      </c>
      <c r="B4074" s="16">
        <v>43497</v>
      </c>
      <c r="C4074" t="s">
        <v>148</v>
      </c>
      <c r="D4074">
        <v>2835913.5</v>
      </c>
      <c r="E4074" t="s">
        <v>330</v>
      </c>
    </row>
    <row r="4075" spans="1:5" x14ac:dyDescent="0.25">
      <c r="A4075">
        <v>1846</v>
      </c>
      <c r="B4075" s="16">
        <v>43466</v>
      </c>
      <c r="C4075" t="s">
        <v>149</v>
      </c>
      <c r="D4075">
        <v>5868450</v>
      </c>
      <c r="E4075" t="s">
        <v>330</v>
      </c>
    </row>
    <row r="4076" spans="1:5" x14ac:dyDescent="0.25">
      <c r="A4076">
        <v>1846</v>
      </c>
      <c r="B4076" s="16">
        <v>43497</v>
      </c>
      <c r="C4076" t="s">
        <v>149</v>
      </c>
      <c r="D4076">
        <v>5868450</v>
      </c>
      <c r="E4076" t="s">
        <v>330</v>
      </c>
    </row>
    <row r="4077" spans="1:5" x14ac:dyDescent="0.25">
      <c r="A4077">
        <v>1846</v>
      </c>
      <c r="B4077" s="16">
        <v>43525</v>
      </c>
      <c r="C4077" t="s">
        <v>149</v>
      </c>
      <c r="D4077">
        <v>5868450</v>
      </c>
      <c r="E4077" t="s">
        <v>330</v>
      </c>
    </row>
    <row r="4078" spans="1:5" x14ac:dyDescent="0.25">
      <c r="A4078">
        <v>1846</v>
      </c>
      <c r="B4078" s="16">
        <v>43466</v>
      </c>
      <c r="C4078" t="s">
        <v>150</v>
      </c>
      <c r="D4078">
        <v>2531377.8000000003</v>
      </c>
      <c r="E4078" t="s">
        <v>330</v>
      </c>
    </row>
    <row r="4079" spans="1:5" x14ac:dyDescent="0.25">
      <c r="A4079">
        <v>1846</v>
      </c>
      <c r="B4079" s="16">
        <v>43497</v>
      </c>
      <c r="C4079" t="s">
        <v>150</v>
      </c>
      <c r="D4079">
        <v>2531377.8000000003</v>
      </c>
      <c r="E4079" t="s">
        <v>330</v>
      </c>
    </row>
    <row r="4080" spans="1:5" x14ac:dyDescent="0.25">
      <c r="A4080">
        <v>1846</v>
      </c>
      <c r="B4080" s="16">
        <v>43525</v>
      </c>
      <c r="C4080" t="s">
        <v>150</v>
      </c>
      <c r="D4080">
        <v>2531377.8000000003</v>
      </c>
      <c r="E4080" t="s">
        <v>330</v>
      </c>
    </row>
    <row r="4081" spans="1:5" x14ac:dyDescent="0.25">
      <c r="A4081">
        <v>1846</v>
      </c>
      <c r="B4081" s="16">
        <v>43466</v>
      </c>
      <c r="C4081" t="s">
        <v>151</v>
      </c>
      <c r="D4081">
        <v>3780000</v>
      </c>
      <c r="E4081" t="s">
        <v>330</v>
      </c>
    </row>
    <row r="4082" spans="1:5" x14ac:dyDescent="0.25">
      <c r="A4082">
        <v>1846</v>
      </c>
      <c r="B4082" s="16">
        <v>43497</v>
      </c>
      <c r="C4082" t="s">
        <v>151</v>
      </c>
      <c r="D4082">
        <v>3780000</v>
      </c>
      <c r="E4082" t="s">
        <v>330</v>
      </c>
    </row>
    <row r="4083" spans="1:5" x14ac:dyDescent="0.25">
      <c r="A4083">
        <v>1846</v>
      </c>
      <c r="B4083" s="16">
        <v>43525</v>
      </c>
      <c r="C4083" t="s">
        <v>151</v>
      </c>
      <c r="D4083">
        <v>3780000</v>
      </c>
      <c r="E4083" t="s">
        <v>330</v>
      </c>
    </row>
    <row r="4084" spans="1:5" x14ac:dyDescent="0.25">
      <c r="A4084">
        <v>1846</v>
      </c>
      <c r="B4084" s="16">
        <v>43466</v>
      </c>
      <c r="C4084" t="s">
        <v>152</v>
      </c>
      <c r="D4084">
        <v>2173500</v>
      </c>
      <c r="E4084" t="s">
        <v>330</v>
      </c>
    </row>
    <row r="4085" spans="1:5" x14ac:dyDescent="0.25">
      <c r="A4085">
        <v>1846</v>
      </c>
      <c r="B4085" s="16">
        <v>43497</v>
      </c>
      <c r="C4085" t="s">
        <v>152</v>
      </c>
      <c r="D4085">
        <v>2173500</v>
      </c>
      <c r="E4085" t="s">
        <v>330</v>
      </c>
    </row>
    <row r="4086" spans="1:5" x14ac:dyDescent="0.25">
      <c r="A4086">
        <v>1846</v>
      </c>
      <c r="B4086" s="16">
        <v>43525</v>
      </c>
      <c r="C4086" t="s">
        <v>152</v>
      </c>
      <c r="D4086">
        <v>2173500</v>
      </c>
      <c r="E4086" t="s">
        <v>330</v>
      </c>
    </row>
    <row r="4087" spans="1:5" x14ac:dyDescent="0.25">
      <c r="A4087">
        <v>1846</v>
      </c>
      <c r="B4087" s="16">
        <v>43466</v>
      </c>
      <c r="C4087" t="s">
        <v>153</v>
      </c>
      <c r="D4087">
        <v>5460525</v>
      </c>
      <c r="E4087" t="s">
        <v>330</v>
      </c>
    </row>
    <row r="4088" spans="1:5" x14ac:dyDescent="0.25">
      <c r="A4088">
        <v>1846</v>
      </c>
      <c r="B4088" s="16">
        <v>43497</v>
      </c>
      <c r="C4088" t="s">
        <v>153</v>
      </c>
      <c r="D4088">
        <v>5460525</v>
      </c>
      <c r="E4088" t="s">
        <v>330</v>
      </c>
    </row>
    <row r="4089" spans="1:5" x14ac:dyDescent="0.25">
      <c r="A4089">
        <v>1846</v>
      </c>
      <c r="B4089" s="16">
        <v>43525</v>
      </c>
      <c r="C4089" t="s">
        <v>153</v>
      </c>
      <c r="D4089">
        <v>5460525</v>
      </c>
      <c r="E4089" t="s">
        <v>330</v>
      </c>
    </row>
    <row r="4090" spans="1:5" x14ac:dyDescent="0.25">
      <c r="A4090">
        <v>1846</v>
      </c>
      <c r="B4090" s="16">
        <v>43466</v>
      </c>
      <c r="C4090" t="s">
        <v>154</v>
      </c>
      <c r="D4090">
        <v>3213000</v>
      </c>
      <c r="E4090" t="s">
        <v>330</v>
      </c>
    </row>
    <row r="4091" spans="1:5" x14ac:dyDescent="0.25">
      <c r="A4091">
        <v>1846</v>
      </c>
      <c r="B4091" s="16">
        <v>43497</v>
      </c>
      <c r="C4091" t="s">
        <v>154</v>
      </c>
      <c r="D4091">
        <v>3213000</v>
      </c>
      <c r="E4091" t="s">
        <v>330</v>
      </c>
    </row>
    <row r="4092" spans="1:5" x14ac:dyDescent="0.25">
      <c r="A4092">
        <v>1846</v>
      </c>
      <c r="B4092" s="16">
        <v>43525</v>
      </c>
      <c r="C4092" t="s">
        <v>154</v>
      </c>
      <c r="D4092">
        <v>3213000</v>
      </c>
      <c r="E4092" t="s">
        <v>330</v>
      </c>
    </row>
    <row r="4093" spans="1:5" x14ac:dyDescent="0.25">
      <c r="A4093">
        <v>1846</v>
      </c>
      <c r="B4093" s="16">
        <v>43466</v>
      </c>
      <c r="C4093" t="s">
        <v>155</v>
      </c>
      <c r="D4093">
        <v>2173500</v>
      </c>
      <c r="E4093" t="s">
        <v>330</v>
      </c>
    </row>
    <row r="4094" spans="1:5" x14ac:dyDescent="0.25">
      <c r="A4094">
        <v>1846</v>
      </c>
      <c r="B4094" s="16">
        <v>43497</v>
      </c>
      <c r="C4094" t="s">
        <v>155</v>
      </c>
      <c r="D4094">
        <v>2173500</v>
      </c>
      <c r="E4094" t="s">
        <v>330</v>
      </c>
    </row>
    <row r="4095" spans="1:5" x14ac:dyDescent="0.25">
      <c r="A4095">
        <v>1846</v>
      </c>
      <c r="B4095" s="16">
        <v>43525</v>
      </c>
      <c r="C4095" t="s">
        <v>155</v>
      </c>
      <c r="D4095">
        <v>2173500</v>
      </c>
      <c r="E4095" t="s">
        <v>330</v>
      </c>
    </row>
    <row r="4096" spans="1:5" x14ac:dyDescent="0.25">
      <c r="A4096">
        <v>1846</v>
      </c>
      <c r="B4096" s="16">
        <v>43466</v>
      </c>
      <c r="C4096" t="s">
        <v>156</v>
      </c>
      <c r="D4096">
        <v>3780000</v>
      </c>
      <c r="E4096" t="s">
        <v>330</v>
      </c>
    </row>
    <row r="4097" spans="1:5" x14ac:dyDescent="0.25">
      <c r="A4097">
        <v>1846</v>
      </c>
      <c r="B4097" s="16">
        <v>43497</v>
      </c>
      <c r="C4097" t="s">
        <v>156</v>
      </c>
      <c r="D4097">
        <v>3780000</v>
      </c>
      <c r="E4097" t="s">
        <v>330</v>
      </c>
    </row>
    <row r="4098" spans="1:5" x14ac:dyDescent="0.25">
      <c r="A4098">
        <v>1846</v>
      </c>
      <c r="B4098" s="16">
        <v>43525</v>
      </c>
      <c r="C4098" t="s">
        <v>156</v>
      </c>
      <c r="D4098">
        <v>3780000</v>
      </c>
      <c r="E4098" t="s">
        <v>330</v>
      </c>
    </row>
    <row r="4099" spans="1:5" x14ac:dyDescent="0.25">
      <c r="A4099">
        <v>1846</v>
      </c>
      <c r="B4099" s="16">
        <v>43466</v>
      </c>
      <c r="C4099" t="s">
        <v>157</v>
      </c>
      <c r="D4099">
        <v>1890000</v>
      </c>
      <c r="E4099" t="s">
        <v>330</v>
      </c>
    </row>
    <row r="4100" spans="1:5" x14ac:dyDescent="0.25">
      <c r="A4100">
        <v>1846</v>
      </c>
      <c r="B4100" s="16">
        <v>43497</v>
      </c>
      <c r="C4100" t="s">
        <v>157</v>
      </c>
      <c r="D4100">
        <v>1890000</v>
      </c>
      <c r="E4100" t="s">
        <v>330</v>
      </c>
    </row>
    <row r="4101" spans="1:5" x14ac:dyDescent="0.25">
      <c r="A4101">
        <v>1846</v>
      </c>
      <c r="B4101" s="16">
        <v>43525</v>
      </c>
      <c r="C4101" t="s">
        <v>157</v>
      </c>
      <c r="D4101">
        <v>1890000</v>
      </c>
      <c r="E4101" t="s">
        <v>330</v>
      </c>
    </row>
    <row r="4102" spans="1:5" x14ac:dyDescent="0.25">
      <c r="A4102">
        <v>1846</v>
      </c>
      <c r="B4102" s="16">
        <v>43466</v>
      </c>
      <c r="C4102" t="s">
        <v>158</v>
      </c>
      <c r="D4102">
        <v>1265688.9000000001</v>
      </c>
      <c r="E4102" t="s">
        <v>330</v>
      </c>
    </row>
    <row r="4103" spans="1:5" x14ac:dyDescent="0.25">
      <c r="A4103">
        <v>1846</v>
      </c>
      <c r="B4103" s="16">
        <v>43497</v>
      </c>
      <c r="C4103" t="s">
        <v>158</v>
      </c>
      <c r="D4103">
        <v>1265688.9000000001</v>
      </c>
      <c r="E4103" t="s">
        <v>330</v>
      </c>
    </row>
    <row r="4104" spans="1:5" x14ac:dyDescent="0.25">
      <c r="A4104">
        <v>1846</v>
      </c>
      <c r="B4104" s="16">
        <v>43525</v>
      </c>
      <c r="C4104" t="s">
        <v>158</v>
      </c>
      <c r="D4104">
        <v>1265688.9000000001</v>
      </c>
      <c r="E4104" t="s">
        <v>330</v>
      </c>
    </row>
    <row r="4105" spans="1:5" x14ac:dyDescent="0.25">
      <c r="A4105">
        <v>1846</v>
      </c>
      <c r="B4105" s="16">
        <v>43466</v>
      </c>
      <c r="C4105" t="s">
        <v>159</v>
      </c>
      <c r="D4105">
        <v>5827500</v>
      </c>
      <c r="E4105" t="s">
        <v>330</v>
      </c>
    </row>
    <row r="4106" spans="1:5" x14ac:dyDescent="0.25">
      <c r="A4106">
        <v>1846</v>
      </c>
      <c r="B4106" s="16">
        <v>43497</v>
      </c>
      <c r="C4106" t="s">
        <v>159</v>
      </c>
      <c r="D4106">
        <v>5827500</v>
      </c>
      <c r="E4106" t="s">
        <v>330</v>
      </c>
    </row>
    <row r="4107" spans="1:5" x14ac:dyDescent="0.25">
      <c r="A4107">
        <v>1846</v>
      </c>
      <c r="B4107" s="16">
        <v>43525</v>
      </c>
      <c r="C4107" t="s">
        <v>159</v>
      </c>
      <c r="D4107">
        <v>5827500</v>
      </c>
      <c r="E4107" t="s">
        <v>330</v>
      </c>
    </row>
    <row r="4108" spans="1:5" x14ac:dyDescent="0.25">
      <c r="A4108">
        <v>1846</v>
      </c>
      <c r="B4108" s="16">
        <v>43466</v>
      </c>
      <c r="C4108" t="s">
        <v>160</v>
      </c>
      <c r="D4108">
        <v>5118750</v>
      </c>
      <c r="E4108" t="s">
        <v>330</v>
      </c>
    </row>
    <row r="4109" spans="1:5" x14ac:dyDescent="0.25">
      <c r="A4109">
        <v>1846</v>
      </c>
      <c r="B4109" s="16">
        <v>43497</v>
      </c>
      <c r="C4109" t="s">
        <v>160</v>
      </c>
      <c r="D4109">
        <v>5118750</v>
      </c>
      <c r="E4109" t="s">
        <v>330</v>
      </c>
    </row>
    <row r="4110" spans="1:5" x14ac:dyDescent="0.25">
      <c r="A4110">
        <v>1846</v>
      </c>
      <c r="B4110" s="16">
        <v>43466</v>
      </c>
      <c r="C4110" t="s">
        <v>88</v>
      </c>
      <c r="D4110">
        <v>7245000</v>
      </c>
      <c r="E4110" t="s">
        <v>330</v>
      </c>
    </row>
    <row r="4111" spans="1:5" x14ac:dyDescent="0.25">
      <c r="A4111">
        <v>1846</v>
      </c>
      <c r="B4111" s="16">
        <v>43497</v>
      </c>
      <c r="C4111" t="s">
        <v>88</v>
      </c>
      <c r="D4111">
        <v>7245000</v>
      </c>
      <c r="E4111" t="s">
        <v>330</v>
      </c>
    </row>
    <row r="4112" spans="1:5" x14ac:dyDescent="0.25">
      <c r="A4112">
        <v>1846</v>
      </c>
      <c r="B4112" s="16">
        <v>43466</v>
      </c>
      <c r="C4112" t="s">
        <v>161</v>
      </c>
      <c r="D4112">
        <v>5118750</v>
      </c>
      <c r="E4112" t="s">
        <v>330</v>
      </c>
    </row>
    <row r="4113" spans="1:5" x14ac:dyDescent="0.25">
      <c r="A4113">
        <v>1846</v>
      </c>
      <c r="B4113" s="16">
        <v>43497</v>
      </c>
      <c r="C4113" t="s">
        <v>161</v>
      </c>
      <c r="D4113">
        <v>5118750</v>
      </c>
      <c r="E4113" t="s">
        <v>330</v>
      </c>
    </row>
    <row r="4114" spans="1:5" x14ac:dyDescent="0.25">
      <c r="A4114">
        <v>1856</v>
      </c>
      <c r="B4114" s="16">
        <v>43466</v>
      </c>
      <c r="C4114" t="s">
        <v>12</v>
      </c>
      <c r="D4114">
        <v>9910003.9500000011</v>
      </c>
      <c r="E4114" t="s">
        <v>330</v>
      </c>
    </row>
    <row r="4115" spans="1:5" x14ac:dyDescent="0.25">
      <c r="A4115">
        <v>1856</v>
      </c>
      <c r="B4115" s="16">
        <v>43497</v>
      </c>
      <c r="C4115" t="s">
        <v>12</v>
      </c>
      <c r="D4115">
        <v>9910003.9500000011</v>
      </c>
      <c r="E4115" t="s">
        <v>330</v>
      </c>
    </row>
    <row r="4116" spans="1:5" x14ac:dyDescent="0.25">
      <c r="A4116">
        <v>1856</v>
      </c>
      <c r="B4116" s="16">
        <v>43525</v>
      </c>
      <c r="C4116" t="s">
        <v>12</v>
      </c>
      <c r="D4116">
        <v>9910003.9500000011</v>
      </c>
      <c r="E4116" t="s">
        <v>330</v>
      </c>
    </row>
    <row r="4117" spans="1:5" x14ac:dyDescent="0.25">
      <c r="A4117">
        <v>1856</v>
      </c>
      <c r="B4117" s="16">
        <v>43556</v>
      </c>
      <c r="C4117" t="s">
        <v>12</v>
      </c>
      <c r="D4117">
        <v>9910003.9500000011</v>
      </c>
      <c r="E4117" t="s">
        <v>330</v>
      </c>
    </row>
    <row r="4118" spans="1:5" x14ac:dyDescent="0.25">
      <c r="A4118">
        <v>1856</v>
      </c>
      <c r="B4118" s="16">
        <v>43586</v>
      </c>
      <c r="C4118" t="s">
        <v>12</v>
      </c>
      <c r="D4118">
        <v>9910003.9500000011</v>
      </c>
      <c r="E4118" t="s">
        <v>330</v>
      </c>
    </row>
    <row r="4119" spans="1:5" x14ac:dyDescent="0.25">
      <c r="A4119">
        <v>1856</v>
      </c>
      <c r="B4119" s="16">
        <v>43617</v>
      </c>
      <c r="C4119" t="s">
        <v>12</v>
      </c>
      <c r="D4119">
        <v>9910003.9500000011</v>
      </c>
      <c r="E4119" t="s">
        <v>330</v>
      </c>
    </row>
    <row r="4120" spans="1:5" x14ac:dyDescent="0.25">
      <c r="A4120">
        <v>1856</v>
      </c>
      <c r="B4120" s="16">
        <v>43647</v>
      </c>
      <c r="C4120" t="s">
        <v>12</v>
      </c>
      <c r="D4120">
        <v>9910003.9500000011</v>
      </c>
      <c r="E4120" t="s">
        <v>330</v>
      </c>
    </row>
    <row r="4121" spans="1:5" x14ac:dyDescent="0.25">
      <c r="A4121">
        <v>1856</v>
      </c>
      <c r="B4121" s="16">
        <v>43678</v>
      </c>
      <c r="C4121" t="s">
        <v>12</v>
      </c>
      <c r="D4121">
        <v>9910003.9500000011</v>
      </c>
      <c r="E4121" t="s">
        <v>330</v>
      </c>
    </row>
    <row r="4122" spans="1:5" x14ac:dyDescent="0.25">
      <c r="A4122">
        <v>1856</v>
      </c>
      <c r="B4122" s="16">
        <v>43709</v>
      </c>
      <c r="C4122" t="s">
        <v>12</v>
      </c>
      <c r="D4122">
        <v>9910003.9500000011</v>
      </c>
      <c r="E4122" t="s">
        <v>330</v>
      </c>
    </row>
    <row r="4123" spans="1:5" x14ac:dyDescent="0.25">
      <c r="A4123">
        <v>1856</v>
      </c>
      <c r="B4123" s="16">
        <v>43739</v>
      </c>
      <c r="C4123" t="s">
        <v>12</v>
      </c>
      <c r="D4123">
        <v>9910003.9500000011</v>
      </c>
      <c r="E4123" t="s">
        <v>330</v>
      </c>
    </row>
    <row r="4124" spans="1:5" x14ac:dyDescent="0.25">
      <c r="A4124">
        <v>1856</v>
      </c>
      <c r="B4124" s="16">
        <v>43770</v>
      </c>
      <c r="C4124" t="s">
        <v>12</v>
      </c>
      <c r="D4124">
        <v>9910003.9500000011</v>
      </c>
      <c r="E4124" t="s">
        <v>330</v>
      </c>
    </row>
    <row r="4125" spans="1:5" x14ac:dyDescent="0.25">
      <c r="A4125">
        <v>1856</v>
      </c>
      <c r="B4125" s="16">
        <v>43800</v>
      </c>
      <c r="C4125" t="s">
        <v>12</v>
      </c>
      <c r="D4125">
        <v>9910003.9500000011</v>
      </c>
      <c r="E4125" t="s">
        <v>330</v>
      </c>
    </row>
    <row r="4126" spans="1:5" x14ac:dyDescent="0.25">
      <c r="A4126">
        <v>1856</v>
      </c>
      <c r="B4126" s="16">
        <v>43831</v>
      </c>
      <c r="C4126" t="s">
        <v>12</v>
      </c>
      <c r="D4126">
        <v>9910003.9500000011</v>
      </c>
      <c r="E4126" t="s">
        <v>330</v>
      </c>
    </row>
    <row r="4127" spans="1:5" x14ac:dyDescent="0.25">
      <c r="A4127">
        <v>1856</v>
      </c>
      <c r="B4127" s="16">
        <v>43862</v>
      </c>
      <c r="C4127" t="s">
        <v>12</v>
      </c>
      <c r="D4127">
        <v>9910003.9500000011</v>
      </c>
      <c r="E4127" t="s">
        <v>330</v>
      </c>
    </row>
    <row r="4128" spans="1:5" x14ac:dyDescent="0.25">
      <c r="A4128">
        <v>1856</v>
      </c>
      <c r="B4128" s="16">
        <v>43891</v>
      </c>
      <c r="C4128" t="s">
        <v>12</v>
      </c>
      <c r="D4128">
        <v>9910003.9500000011</v>
      </c>
      <c r="E4128" t="s">
        <v>330</v>
      </c>
    </row>
    <row r="4129" spans="1:5" x14ac:dyDescent="0.25">
      <c r="A4129">
        <v>1856</v>
      </c>
      <c r="B4129" s="16">
        <v>43922</v>
      </c>
      <c r="C4129" t="s">
        <v>12</v>
      </c>
      <c r="D4129">
        <v>9910003.9500000011</v>
      </c>
      <c r="E4129" t="s">
        <v>330</v>
      </c>
    </row>
    <row r="4130" spans="1:5" x14ac:dyDescent="0.25">
      <c r="A4130">
        <v>1856</v>
      </c>
      <c r="B4130" s="16">
        <v>43952</v>
      </c>
      <c r="C4130" t="s">
        <v>12</v>
      </c>
      <c r="D4130">
        <v>9910003.9500000011</v>
      </c>
      <c r="E4130" t="s">
        <v>330</v>
      </c>
    </row>
    <row r="4131" spans="1:5" x14ac:dyDescent="0.25">
      <c r="A4131">
        <v>1856</v>
      </c>
      <c r="B4131" s="16">
        <v>43983</v>
      </c>
      <c r="C4131" t="s">
        <v>12</v>
      </c>
      <c r="D4131">
        <v>9910003.9500000011</v>
      </c>
      <c r="E4131" t="s">
        <v>330</v>
      </c>
    </row>
    <row r="4132" spans="1:5" x14ac:dyDescent="0.25">
      <c r="A4132">
        <v>1856</v>
      </c>
      <c r="B4132" s="16">
        <v>44013</v>
      </c>
      <c r="C4132" t="s">
        <v>12</v>
      </c>
      <c r="D4132">
        <v>9910003.9500000011</v>
      </c>
      <c r="E4132" t="s">
        <v>330</v>
      </c>
    </row>
    <row r="4133" spans="1:5" x14ac:dyDescent="0.25">
      <c r="A4133">
        <v>1856</v>
      </c>
      <c r="B4133" s="16">
        <v>44044</v>
      </c>
      <c r="C4133" t="s">
        <v>12</v>
      </c>
      <c r="D4133">
        <v>9910003.9500000011</v>
      </c>
      <c r="E4133" t="s">
        <v>330</v>
      </c>
    </row>
    <row r="4134" spans="1:5" x14ac:dyDescent="0.25">
      <c r="A4134">
        <v>1856</v>
      </c>
      <c r="B4134" s="16">
        <v>44075</v>
      </c>
      <c r="C4134" t="s">
        <v>12</v>
      </c>
      <c r="D4134">
        <v>9910003.9500000011</v>
      </c>
      <c r="E4134" t="s">
        <v>330</v>
      </c>
    </row>
    <row r="4135" spans="1:5" x14ac:dyDescent="0.25">
      <c r="A4135">
        <v>1856</v>
      </c>
      <c r="B4135" s="16">
        <v>44105</v>
      </c>
      <c r="C4135" t="s">
        <v>12</v>
      </c>
      <c r="D4135">
        <v>9910003.9500000011</v>
      </c>
      <c r="E4135" t="s">
        <v>330</v>
      </c>
    </row>
    <row r="4136" spans="1:5" x14ac:dyDescent="0.25">
      <c r="A4136">
        <v>1856</v>
      </c>
      <c r="B4136" s="16">
        <v>44136</v>
      </c>
      <c r="C4136" t="s">
        <v>12</v>
      </c>
      <c r="D4136">
        <v>9910003.9500000011</v>
      </c>
      <c r="E4136" t="s">
        <v>330</v>
      </c>
    </row>
    <row r="4137" spans="1:5" x14ac:dyDescent="0.25">
      <c r="A4137">
        <v>1856</v>
      </c>
      <c r="B4137" s="16">
        <v>44166</v>
      </c>
      <c r="C4137" t="s">
        <v>12</v>
      </c>
      <c r="D4137">
        <v>9910003.9500000011</v>
      </c>
      <c r="E4137" t="s">
        <v>330</v>
      </c>
    </row>
    <row r="4138" spans="1:5" x14ac:dyDescent="0.25">
      <c r="A4138">
        <v>1856</v>
      </c>
      <c r="B4138" s="16">
        <v>44197</v>
      </c>
      <c r="C4138" t="s">
        <v>12</v>
      </c>
      <c r="D4138">
        <v>9910003.9500000011</v>
      </c>
      <c r="E4138" t="s">
        <v>330</v>
      </c>
    </row>
    <row r="4139" spans="1:5" x14ac:dyDescent="0.25">
      <c r="A4139">
        <v>1856</v>
      </c>
      <c r="B4139" s="16">
        <v>44228</v>
      </c>
      <c r="C4139" t="s">
        <v>12</v>
      </c>
      <c r="D4139">
        <v>9910003.9500000011</v>
      </c>
      <c r="E4139" t="s">
        <v>330</v>
      </c>
    </row>
    <row r="4140" spans="1:5" x14ac:dyDescent="0.25">
      <c r="A4140">
        <v>1856</v>
      </c>
      <c r="B4140" s="16">
        <v>43466</v>
      </c>
      <c r="C4140" t="s">
        <v>162</v>
      </c>
      <c r="D4140">
        <v>5019615.5309999995</v>
      </c>
      <c r="E4140" t="s">
        <v>330</v>
      </c>
    </row>
    <row r="4141" spans="1:5" x14ac:dyDescent="0.25">
      <c r="A4141">
        <v>1856</v>
      </c>
      <c r="B4141" s="16">
        <v>43497</v>
      </c>
      <c r="C4141" t="s">
        <v>162</v>
      </c>
      <c r="D4141">
        <v>5019615.5309999995</v>
      </c>
      <c r="E4141" t="s">
        <v>330</v>
      </c>
    </row>
    <row r="4142" spans="1:5" x14ac:dyDescent="0.25">
      <c r="A4142">
        <v>1856</v>
      </c>
      <c r="B4142" s="16">
        <v>43525</v>
      </c>
      <c r="C4142" t="s">
        <v>162</v>
      </c>
      <c r="D4142">
        <v>5019615.5309999995</v>
      </c>
      <c r="E4142" t="s">
        <v>330</v>
      </c>
    </row>
    <row r="4143" spans="1:5" x14ac:dyDescent="0.25">
      <c r="A4143">
        <v>1856</v>
      </c>
      <c r="B4143" s="16">
        <v>43556</v>
      </c>
      <c r="C4143" t="s">
        <v>162</v>
      </c>
      <c r="D4143">
        <v>5019615.5309999995</v>
      </c>
      <c r="E4143" t="s">
        <v>330</v>
      </c>
    </row>
    <row r="4144" spans="1:5" x14ac:dyDescent="0.25">
      <c r="A4144">
        <v>1856</v>
      </c>
      <c r="B4144" s="16">
        <v>43586</v>
      </c>
      <c r="C4144" t="s">
        <v>162</v>
      </c>
      <c r="D4144">
        <v>5019615.5309999995</v>
      </c>
      <c r="E4144" t="s">
        <v>330</v>
      </c>
    </row>
    <row r="4145" spans="1:5" x14ac:dyDescent="0.25">
      <c r="A4145">
        <v>1856</v>
      </c>
      <c r="B4145" s="16">
        <v>43617</v>
      </c>
      <c r="C4145" t="s">
        <v>162</v>
      </c>
      <c r="D4145">
        <v>5019615.5309999995</v>
      </c>
      <c r="E4145" t="s">
        <v>330</v>
      </c>
    </row>
    <row r="4146" spans="1:5" x14ac:dyDescent="0.25">
      <c r="A4146">
        <v>1856</v>
      </c>
      <c r="B4146" s="16">
        <v>43647</v>
      </c>
      <c r="C4146" t="s">
        <v>162</v>
      </c>
      <c r="D4146">
        <v>5019615.5309999995</v>
      </c>
      <c r="E4146" t="s">
        <v>330</v>
      </c>
    </row>
    <row r="4147" spans="1:5" x14ac:dyDescent="0.25">
      <c r="A4147">
        <v>1856</v>
      </c>
      <c r="B4147" s="16">
        <v>43678</v>
      </c>
      <c r="C4147" t="s">
        <v>162</v>
      </c>
      <c r="D4147">
        <v>5019615.5309999995</v>
      </c>
      <c r="E4147" t="s">
        <v>330</v>
      </c>
    </row>
    <row r="4148" spans="1:5" x14ac:dyDescent="0.25">
      <c r="A4148">
        <v>1856</v>
      </c>
      <c r="B4148" s="16">
        <v>43709</v>
      </c>
      <c r="C4148" t="s">
        <v>162</v>
      </c>
      <c r="D4148">
        <v>5019615.5309999995</v>
      </c>
      <c r="E4148" t="s">
        <v>330</v>
      </c>
    </row>
    <row r="4149" spans="1:5" x14ac:dyDescent="0.25">
      <c r="A4149">
        <v>1856</v>
      </c>
      <c r="B4149" s="16">
        <v>43739</v>
      </c>
      <c r="C4149" t="s">
        <v>162</v>
      </c>
      <c r="D4149">
        <v>5019615.5309999995</v>
      </c>
      <c r="E4149" t="s">
        <v>330</v>
      </c>
    </row>
    <row r="4150" spans="1:5" x14ac:dyDescent="0.25">
      <c r="A4150">
        <v>1856</v>
      </c>
      <c r="B4150" s="16">
        <v>43770</v>
      </c>
      <c r="C4150" t="s">
        <v>162</v>
      </c>
      <c r="D4150">
        <v>5019615.5309999995</v>
      </c>
      <c r="E4150" t="s">
        <v>330</v>
      </c>
    </row>
    <row r="4151" spans="1:5" x14ac:dyDescent="0.25">
      <c r="A4151">
        <v>1856</v>
      </c>
      <c r="B4151" s="16">
        <v>43800</v>
      </c>
      <c r="C4151" t="s">
        <v>162</v>
      </c>
      <c r="D4151">
        <v>5019615.5309999995</v>
      </c>
      <c r="E4151" t="s">
        <v>330</v>
      </c>
    </row>
    <row r="4152" spans="1:5" x14ac:dyDescent="0.25">
      <c r="A4152">
        <v>1856</v>
      </c>
      <c r="B4152" s="16">
        <v>43831</v>
      </c>
      <c r="C4152" t="s">
        <v>162</v>
      </c>
      <c r="D4152">
        <v>5019615.5309999995</v>
      </c>
      <c r="E4152" t="s">
        <v>330</v>
      </c>
    </row>
    <row r="4153" spans="1:5" x14ac:dyDescent="0.25">
      <c r="A4153">
        <v>1856</v>
      </c>
      <c r="B4153" s="16">
        <v>43862</v>
      </c>
      <c r="C4153" t="s">
        <v>162</v>
      </c>
      <c r="D4153">
        <v>5019615.5309999995</v>
      </c>
      <c r="E4153" t="s">
        <v>330</v>
      </c>
    </row>
    <row r="4154" spans="1:5" x14ac:dyDescent="0.25">
      <c r="A4154">
        <v>1856</v>
      </c>
      <c r="B4154" s="16">
        <v>43891</v>
      </c>
      <c r="C4154" t="s">
        <v>162</v>
      </c>
      <c r="D4154">
        <v>5019615.5309999995</v>
      </c>
      <c r="E4154" t="s">
        <v>330</v>
      </c>
    </row>
    <row r="4155" spans="1:5" x14ac:dyDescent="0.25">
      <c r="A4155">
        <v>1856</v>
      </c>
      <c r="B4155" s="16">
        <v>43922</v>
      </c>
      <c r="C4155" t="s">
        <v>162</v>
      </c>
      <c r="D4155">
        <v>5019615.5309999995</v>
      </c>
      <c r="E4155" t="s">
        <v>330</v>
      </c>
    </row>
    <row r="4156" spans="1:5" x14ac:dyDescent="0.25">
      <c r="A4156">
        <v>1856</v>
      </c>
      <c r="B4156" s="16">
        <v>43952</v>
      </c>
      <c r="C4156" t="s">
        <v>162</v>
      </c>
      <c r="D4156">
        <v>5019615.5309999995</v>
      </c>
      <c r="E4156" t="s">
        <v>330</v>
      </c>
    </row>
    <row r="4157" spans="1:5" x14ac:dyDescent="0.25">
      <c r="A4157">
        <v>1856</v>
      </c>
      <c r="B4157" s="16">
        <v>43983</v>
      </c>
      <c r="C4157" t="s">
        <v>162</v>
      </c>
      <c r="D4157">
        <v>5019615.5309999995</v>
      </c>
      <c r="E4157" t="s">
        <v>330</v>
      </c>
    </row>
    <row r="4158" spans="1:5" x14ac:dyDescent="0.25">
      <c r="A4158">
        <v>1856</v>
      </c>
      <c r="B4158" s="16">
        <v>44013</v>
      </c>
      <c r="C4158" t="s">
        <v>162</v>
      </c>
      <c r="D4158">
        <v>5019615.5309999995</v>
      </c>
      <c r="E4158" t="s">
        <v>330</v>
      </c>
    </row>
    <row r="4159" spans="1:5" x14ac:dyDescent="0.25">
      <c r="A4159">
        <v>1856</v>
      </c>
      <c r="B4159" s="16">
        <v>44044</v>
      </c>
      <c r="C4159" t="s">
        <v>162</v>
      </c>
      <c r="D4159">
        <v>5019615.5309999995</v>
      </c>
      <c r="E4159" t="s">
        <v>330</v>
      </c>
    </row>
    <row r="4160" spans="1:5" x14ac:dyDescent="0.25">
      <c r="A4160">
        <v>1856</v>
      </c>
      <c r="B4160" s="16">
        <v>44075</v>
      </c>
      <c r="C4160" t="s">
        <v>162</v>
      </c>
      <c r="D4160">
        <v>5019615.5309999995</v>
      </c>
      <c r="E4160" t="s">
        <v>330</v>
      </c>
    </row>
    <row r="4161" spans="1:5" x14ac:dyDescent="0.25">
      <c r="A4161">
        <v>1856</v>
      </c>
      <c r="B4161" s="16">
        <v>44105</v>
      </c>
      <c r="C4161" t="s">
        <v>162</v>
      </c>
      <c r="D4161">
        <v>5019615.5309999995</v>
      </c>
      <c r="E4161" t="s">
        <v>330</v>
      </c>
    </row>
    <row r="4162" spans="1:5" x14ac:dyDescent="0.25">
      <c r="A4162">
        <v>1856</v>
      </c>
      <c r="B4162" s="16">
        <v>44136</v>
      </c>
      <c r="C4162" t="s">
        <v>162</v>
      </c>
      <c r="D4162">
        <v>5019615.5309999995</v>
      </c>
      <c r="E4162" t="s">
        <v>330</v>
      </c>
    </row>
    <row r="4163" spans="1:5" x14ac:dyDescent="0.25">
      <c r="A4163">
        <v>1856</v>
      </c>
      <c r="B4163" s="16">
        <v>44166</v>
      </c>
      <c r="C4163" t="s">
        <v>162</v>
      </c>
      <c r="D4163">
        <v>5019615.5309999995</v>
      </c>
      <c r="E4163" t="s">
        <v>330</v>
      </c>
    </row>
    <row r="4164" spans="1:5" x14ac:dyDescent="0.25">
      <c r="A4164">
        <v>1856</v>
      </c>
      <c r="B4164" s="16">
        <v>44197</v>
      </c>
      <c r="C4164" t="s">
        <v>162</v>
      </c>
      <c r="D4164">
        <v>5019615.5309999995</v>
      </c>
      <c r="E4164" t="s">
        <v>330</v>
      </c>
    </row>
    <row r="4165" spans="1:5" x14ac:dyDescent="0.25">
      <c r="A4165">
        <v>1856</v>
      </c>
      <c r="B4165" s="16">
        <v>43466</v>
      </c>
      <c r="C4165" t="s">
        <v>76</v>
      </c>
      <c r="D4165">
        <v>4260730.9499999993</v>
      </c>
      <c r="E4165" t="s">
        <v>330</v>
      </c>
    </row>
    <row r="4166" spans="1:5" x14ac:dyDescent="0.25">
      <c r="A4166">
        <v>1856</v>
      </c>
      <c r="B4166" s="16">
        <v>43497</v>
      </c>
      <c r="C4166" t="s">
        <v>76</v>
      </c>
      <c r="D4166">
        <v>4260730.9499999993</v>
      </c>
      <c r="E4166" t="s">
        <v>330</v>
      </c>
    </row>
    <row r="4167" spans="1:5" x14ac:dyDescent="0.25">
      <c r="A4167">
        <v>1856</v>
      </c>
      <c r="B4167" s="16">
        <v>43525</v>
      </c>
      <c r="C4167" t="s">
        <v>76</v>
      </c>
      <c r="D4167">
        <v>4260730.9499999993</v>
      </c>
      <c r="E4167" t="s">
        <v>330</v>
      </c>
    </row>
    <row r="4168" spans="1:5" x14ac:dyDescent="0.25">
      <c r="A4168">
        <v>1856</v>
      </c>
      <c r="B4168" s="16">
        <v>43556</v>
      </c>
      <c r="C4168" t="s">
        <v>76</v>
      </c>
      <c r="D4168">
        <v>4260730.9499999993</v>
      </c>
      <c r="E4168" t="s">
        <v>330</v>
      </c>
    </row>
    <row r="4169" spans="1:5" x14ac:dyDescent="0.25">
      <c r="A4169">
        <v>1856</v>
      </c>
      <c r="B4169" s="16">
        <v>43586</v>
      </c>
      <c r="C4169" t="s">
        <v>76</v>
      </c>
      <c r="D4169">
        <v>4260730.9499999993</v>
      </c>
      <c r="E4169" t="s">
        <v>330</v>
      </c>
    </row>
    <row r="4170" spans="1:5" x14ac:dyDescent="0.25">
      <c r="A4170">
        <v>1856</v>
      </c>
      <c r="B4170" s="16">
        <v>43617</v>
      </c>
      <c r="C4170" t="s">
        <v>76</v>
      </c>
      <c r="D4170">
        <v>4260730.9499999993</v>
      </c>
      <c r="E4170" t="s">
        <v>330</v>
      </c>
    </row>
    <row r="4171" spans="1:5" x14ac:dyDescent="0.25">
      <c r="A4171">
        <v>1856</v>
      </c>
      <c r="B4171" s="16">
        <v>43647</v>
      </c>
      <c r="C4171" t="s">
        <v>76</v>
      </c>
      <c r="D4171">
        <v>4260730.9499999993</v>
      </c>
      <c r="E4171" t="s">
        <v>330</v>
      </c>
    </row>
    <row r="4172" spans="1:5" x14ac:dyDescent="0.25">
      <c r="A4172">
        <v>1856</v>
      </c>
      <c r="B4172" s="16">
        <v>43678</v>
      </c>
      <c r="C4172" t="s">
        <v>76</v>
      </c>
      <c r="D4172">
        <v>4260730.9499999993</v>
      </c>
      <c r="E4172" t="s">
        <v>330</v>
      </c>
    </row>
    <row r="4173" spans="1:5" x14ac:dyDescent="0.25">
      <c r="A4173">
        <v>1856</v>
      </c>
      <c r="B4173" s="16">
        <v>43466</v>
      </c>
      <c r="C4173" t="s">
        <v>163</v>
      </c>
      <c r="D4173">
        <v>3984270.0974999997</v>
      </c>
      <c r="E4173" t="s">
        <v>330</v>
      </c>
    </row>
    <row r="4174" spans="1:5" x14ac:dyDescent="0.25">
      <c r="A4174">
        <v>1856</v>
      </c>
      <c r="B4174" s="16">
        <v>43466</v>
      </c>
      <c r="C4174" t="s">
        <v>39</v>
      </c>
      <c r="D4174">
        <v>4205787.0750000002</v>
      </c>
      <c r="E4174" t="s">
        <v>330</v>
      </c>
    </row>
    <row r="4175" spans="1:5" x14ac:dyDescent="0.25">
      <c r="A4175">
        <v>1856</v>
      </c>
      <c r="B4175" s="16">
        <v>43497</v>
      </c>
      <c r="C4175" t="s">
        <v>39</v>
      </c>
      <c r="D4175">
        <v>4205787.0750000002</v>
      </c>
      <c r="E4175" t="s">
        <v>330</v>
      </c>
    </row>
    <row r="4176" spans="1:5" x14ac:dyDescent="0.25">
      <c r="A4176">
        <v>1856</v>
      </c>
      <c r="B4176" s="16">
        <v>43525</v>
      </c>
      <c r="C4176" t="s">
        <v>39</v>
      </c>
      <c r="D4176">
        <v>4205787.0750000002</v>
      </c>
      <c r="E4176" t="s">
        <v>330</v>
      </c>
    </row>
    <row r="4177" spans="1:5" x14ac:dyDescent="0.25">
      <c r="A4177">
        <v>1856</v>
      </c>
      <c r="B4177" s="16">
        <v>43556</v>
      </c>
      <c r="C4177" t="s">
        <v>39</v>
      </c>
      <c r="D4177">
        <v>4205787.0750000002</v>
      </c>
      <c r="E4177" t="s">
        <v>330</v>
      </c>
    </row>
    <row r="4178" spans="1:5" x14ac:dyDescent="0.25">
      <c r="A4178">
        <v>1856</v>
      </c>
      <c r="B4178" s="16">
        <v>43586</v>
      </c>
      <c r="C4178" t="s">
        <v>39</v>
      </c>
      <c r="D4178">
        <v>4205787.0750000002</v>
      </c>
      <c r="E4178" t="s">
        <v>330</v>
      </c>
    </row>
    <row r="4179" spans="1:5" x14ac:dyDescent="0.25">
      <c r="A4179">
        <v>1856</v>
      </c>
      <c r="B4179" s="16">
        <v>43617</v>
      </c>
      <c r="C4179" t="s">
        <v>39</v>
      </c>
      <c r="D4179">
        <v>4205787.0750000002</v>
      </c>
      <c r="E4179" t="s">
        <v>330</v>
      </c>
    </row>
    <row r="4180" spans="1:5" x14ac:dyDescent="0.25">
      <c r="A4180">
        <v>1856</v>
      </c>
      <c r="B4180" s="16">
        <v>43647</v>
      </c>
      <c r="C4180" t="s">
        <v>39</v>
      </c>
      <c r="D4180">
        <v>4205787.0750000002</v>
      </c>
      <c r="E4180" t="s">
        <v>330</v>
      </c>
    </row>
    <row r="4181" spans="1:5" x14ac:dyDescent="0.25">
      <c r="A4181">
        <v>1856</v>
      </c>
      <c r="B4181" s="16">
        <v>43678</v>
      </c>
      <c r="C4181" t="s">
        <v>39</v>
      </c>
      <c r="D4181">
        <v>4205787.0750000002</v>
      </c>
      <c r="E4181" t="s">
        <v>330</v>
      </c>
    </row>
    <row r="4182" spans="1:5" x14ac:dyDescent="0.25">
      <c r="A4182">
        <v>1856</v>
      </c>
      <c r="B4182" s="16">
        <v>43709</v>
      </c>
      <c r="C4182" t="s">
        <v>39</v>
      </c>
      <c r="D4182">
        <v>4205787.0750000002</v>
      </c>
      <c r="E4182" t="s">
        <v>330</v>
      </c>
    </row>
    <row r="4183" spans="1:5" x14ac:dyDescent="0.25">
      <c r="A4183">
        <v>1856</v>
      </c>
      <c r="B4183" s="16">
        <v>43739</v>
      </c>
      <c r="C4183" t="s">
        <v>39</v>
      </c>
      <c r="D4183">
        <v>4205787.0750000002</v>
      </c>
      <c r="E4183" t="s">
        <v>330</v>
      </c>
    </row>
    <row r="4184" spans="1:5" x14ac:dyDescent="0.25">
      <c r="A4184">
        <v>1856</v>
      </c>
      <c r="B4184" s="16">
        <v>43770</v>
      </c>
      <c r="C4184" t="s">
        <v>39</v>
      </c>
      <c r="D4184">
        <v>4205787.0750000002</v>
      </c>
      <c r="E4184" t="s">
        <v>330</v>
      </c>
    </row>
    <row r="4185" spans="1:5" x14ac:dyDescent="0.25">
      <c r="A4185">
        <v>1856</v>
      </c>
      <c r="B4185" s="16">
        <v>43800</v>
      </c>
      <c r="C4185" t="s">
        <v>39</v>
      </c>
      <c r="D4185">
        <v>4205787.0750000002</v>
      </c>
      <c r="E4185" t="s">
        <v>330</v>
      </c>
    </row>
    <row r="4186" spans="1:5" x14ac:dyDescent="0.25">
      <c r="A4186">
        <v>1856</v>
      </c>
      <c r="B4186" s="16">
        <v>43831</v>
      </c>
      <c r="C4186" t="s">
        <v>39</v>
      </c>
      <c r="D4186">
        <v>4205787.0750000002</v>
      </c>
      <c r="E4186" t="s">
        <v>330</v>
      </c>
    </row>
    <row r="4187" spans="1:5" x14ac:dyDescent="0.25">
      <c r="A4187">
        <v>1856</v>
      </c>
      <c r="B4187" s="16">
        <v>43862</v>
      </c>
      <c r="C4187" t="s">
        <v>39</v>
      </c>
      <c r="D4187">
        <v>4205787.0750000002</v>
      </c>
      <c r="E4187" t="s">
        <v>330</v>
      </c>
    </row>
    <row r="4188" spans="1:5" x14ac:dyDescent="0.25">
      <c r="A4188">
        <v>1856</v>
      </c>
      <c r="B4188" s="16">
        <v>43891</v>
      </c>
      <c r="C4188" t="s">
        <v>39</v>
      </c>
      <c r="D4188">
        <v>4205787.0750000002</v>
      </c>
      <c r="E4188" t="s">
        <v>330</v>
      </c>
    </row>
    <row r="4189" spans="1:5" x14ac:dyDescent="0.25">
      <c r="A4189">
        <v>1856</v>
      </c>
      <c r="B4189" s="16">
        <v>43922</v>
      </c>
      <c r="C4189" t="s">
        <v>39</v>
      </c>
      <c r="D4189">
        <v>4205787.0750000002</v>
      </c>
      <c r="E4189" t="s">
        <v>330</v>
      </c>
    </row>
    <row r="4190" spans="1:5" x14ac:dyDescent="0.25">
      <c r="A4190">
        <v>1856</v>
      </c>
      <c r="B4190" s="16">
        <v>43952</v>
      </c>
      <c r="C4190" t="s">
        <v>39</v>
      </c>
      <c r="D4190">
        <v>4205787.0750000002</v>
      </c>
      <c r="E4190" t="s">
        <v>330</v>
      </c>
    </row>
    <row r="4191" spans="1:5" x14ac:dyDescent="0.25">
      <c r="A4191">
        <v>1856</v>
      </c>
      <c r="B4191" s="16">
        <v>43983</v>
      </c>
      <c r="C4191" t="s">
        <v>39</v>
      </c>
      <c r="D4191">
        <v>4205787.0750000002</v>
      </c>
      <c r="E4191" t="s">
        <v>330</v>
      </c>
    </row>
    <row r="4192" spans="1:5" x14ac:dyDescent="0.25">
      <c r="A4192">
        <v>1856</v>
      </c>
      <c r="B4192" s="16">
        <v>44013</v>
      </c>
      <c r="C4192" t="s">
        <v>39</v>
      </c>
      <c r="D4192">
        <v>4205787.0750000002</v>
      </c>
      <c r="E4192" t="s">
        <v>330</v>
      </c>
    </row>
    <row r="4193" spans="1:5" x14ac:dyDescent="0.25">
      <c r="A4193">
        <v>1856</v>
      </c>
      <c r="B4193" s="16">
        <v>44044</v>
      </c>
      <c r="C4193" t="s">
        <v>39</v>
      </c>
      <c r="D4193">
        <v>4205787.0750000002</v>
      </c>
      <c r="E4193" t="s">
        <v>330</v>
      </c>
    </row>
    <row r="4194" spans="1:5" x14ac:dyDescent="0.25">
      <c r="A4194">
        <v>1856</v>
      </c>
      <c r="B4194" s="16">
        <v>44075</v>
      </c>
      <c r="C4194" t="s">
        <v>39</v>
      </c>
      <c r="D4194">
        <v>4205787.0750000002</v>
      </c>
      <c r="E4194" t="s">
        <v>330</v>
      </c>
    </row>
    <row r="4195" spans="1:5" x14ac:dyDescent="0.25">
      <c r="A4195">
        <v>1856</v>
      </c>
      <c r="B4195" s="16">
        <v>44105</v>
      </c>
      <c r="C4195" t="s">
        <v>39</v>
      </c>
      <c r="D4195">
        <v>4205787.0750000002</v>
      </c>
      <c r="E4195" t="s">
        <v>330</v>
      </c>
    </row>
    <row r="4196" spans="1:5" x14ac:dyDescent="0.25">
      <c r="A4196">
        <v>1856</v>
      </c>
      <c r="B4196" s="16">
        <v>44136</v>
      </c>
      <c r="C4196" t="s">
        <v>39</v>
      </c>
      <c r="D4196">
        <v>4205787.0750000002</v>
      </c>
      <c r="E4196" t="s">
        <v>330</v>
      </c>
    </row>
    <row r="4197" spans="1:5" x14ac:dyDescent="0.25">
      <c r="A4197">
        <v>1856</v>
      </c>
      <c r="B4197" s="16">
        <v>44166</v>
      </c>
      <c r="C4197" t="s">
        <v>39</v>
      </c>
      <c r="D4197">
        <v>4205787.0750000002</v>
      </c>
      <c r="E4197" t="s">
        <v>330</v>
      </c>
    </row>
    <row r="4198" spans="1:5" x14ac:dyDescent="0.25">
      <c r="A4198">
        <v>1856</v>
      </c>
      <c r="B4198" s="16">
        <v>44197</v>
      </c>
      <c r="C4198" t="s">
        <v>39</v>
      </c>
      <c r="D4198">
        <v>4205787.0750000002</v>
      </c>
      <c r="E4198" t="s">
        <v>330</v>
      </c>
    </row>
    <row r="4199" spans="1:5" x14ac:dyDescent="0.25">
      <c r="A4199">
        <v>1856</v>
      </c>
      <c r="B4199" s="16">
        <v>43556</v>
      </c>
      <c r="C4199" t="s">
        <v>26</v>
      </c>
      <c r="D4199">
        <v>6444668.4750000006</v>
      </c>
      <c r="E4199" t="s">
        <v>330</v>
      </c>
    </row>
    <row r="4200" spans="1:5" x14ac:dyDescent="0.25">
      <c r="A4200">
        <v>1856</v>
      </c>
      <c r="B4200" s="16">
        <v>43586</v>
      </c>
      <c r="C4200" t="s">
        <v>26</v>
      </c>
      <c r="D4200">
        <v>6444668.4750000006</v>
      </c>
      <c r="E4200" t="s">
        <v>330</v>
      </c>
    </row>
    <row r="4201" spans="1:5" x14ac:dyDescent="0.25">
      <c r="A4201">
        <v>1856</v>
      </c>
      <c r="B4201" s="16">
        <v>43617</v>
      </c>
      <c r="C4201" t="s">
        <v>26</v>
      </c>
      <c r="D4201">
        <v>6444668.4750000006</v>
      </c>
      <c r="E4201" t="s">
        <v>330</v>
      </c>
    </row>
    <row r="4202" spans="1:5" x14ac:dyDescent="0.25">
      <c r="A4202">
        <v>1856</v>
      </c>
      <c r="B4202" s="16">
        <v>43647</v>
      </c>
      <c r="C4202" t="s">
        <v>26</v>
      </c>
      <c r="D4202">
        <v>6444668.4750000006</v>
      </c>
      <c r="E4202" t="s">
        <v>330</v>
      </c>
    </row>
    <row r="4203" spans="1:5" x14ac:dyDescent="0.25">
      <c r="A4203">
        <v>1856</v>
      </c>
      <c r="B4203" s="16">
        <v>43678</v>
      </c>
      <c r="C4203" t="s">
        <v>26</v>
      </c>
      <c r="D4203">
        <v>6444668.4750000006</v>
      </c>
      <c r="E4203" t="s">
        <v>330</v>
      </c>
    </row>
    <row r="4204" spans="1:5" x14ac:dyDescent="0.25">
      <c r="A4204">
        <v>1856</v>
      </c>
      <c r="B4204" s="16">
        <v>43709</v>
      </c>
      <c r="C4204" t="s">
        <v>26</v>
      </c>
      <c r="D4204">
        <v>6444668.4750000006</v>
      </c>
      <c r="E4204" t="s">
        <v>330</v>
      </c>
    </row>
    <row r="4205" spans="1:5" x14ac:dyDescent="0.25">
      <c r="A4205">
        <v>1856</v>
      </c>
      <c r="B4205" s="16">
        <v>43739</v>
      </c>
      <c r="C4205" t="s">
        <v>26</v>
      </c>
      <c r="D4205">
        <v>6444668.4750000006</v>
      </c>
      <c r="E4205" t="s">
        <v>330</v>
      </c>
    </row>
    <row r="4206" spans="1:5" x14ac:dyDescent="0.25">
      <c r="A4206">
        <v>1856</v>
      </c>
      <c r="B4206" s="16">
        <v>43770</v>
      </c>
      <c r="C4206" t="s">
        <v>26</v>
      </c>
      <c r="D4206">
        <v>6444668.4750000006</v>
      </c>
      <c r="E4206" t="s">
        <v>330</v>
      </c>
    </row>
    <row r="4207" spans="1:5" x14ac:dyDescent="0.25">
      <c r="A4207">
        <v>1856</v>
      </c>
      <c r="B4207" s="16">
        <v>43800</v>
      </c>
      <c r="C4207" t="s">
        <v>26</v>
      </c>
      <c r="D4207">
        <v>6444668.4750000006</v>
      </c>
      <c r="E4207" t="s">
        <v>330</v>
      </c>
    </row>
    <row r="4208" spans="1:5" x14ac:dyDescent="0.25">
      <c r="A4208">
        <v>1856</v>
      </c>
      <c r="B4208" s="16">
        <v>43831</v>
      </c>
      <c r="C4208" t="s">
        <v>26</v>
      </c>
      <c r="D4208">
        <v>6444668.4750000006</v>
      </c>
      <c r="E4208" t="s">
        <v>330</v>
      </c>
    </row>
    <row r="4209" spans="1:5" x14ac:dyDescent="0.25">
      <c r="A4209">
        <v>1856</v>
      </c>
      <c r="B4209" s="16">
        <v>43862</v>
      </c>
      <c r="C4209" t="s">
        <v>26</v>
      </c>
      <c r="D4209">
        <v>6444668.4750000006</v>
      </c>
      <c r="E4209" t="s">
        <v>330</v>
      </c>
    </row>
    <row r="4210" spans="1:5" x14ac:dyDescent="0.25">
      <c r="A4210">
        <v>1856</v>
      </c>
      <c r="B4210" s="16">
        <v>43891</v>
      </c>
      <c r="C4210" t="s">
        <v>26</v>
      </c>
      <c r="D4210">
        <v>6444668.4750000006</v>
      </c>
      <c r="E4210" t="s">
        <v>330</v>
      </c>
    </row>
    <row r="4211" spans="1:5" x14ac:dyDescent="0.25">
      <c r="A4211">
        <v>1856</v>
      </c>
      <c r="B4211" s="16">
        <v>43922</v>
      </c>
      <c r="C4211" t="s">
        <v>26</v>
      </c>
      <c r="D4211">
        <v>6444668.4750000006</v>
      </c>
      <c r="E4211" t="s">
        <v>330</v>
      </c>
    </row>
    <row r="4212" spans="1:5" x14ac:dyDescent="0.25">
      <c r="A4212">
        <v>1856</v>
      </c>
      <c r="B4212" s="16">
        <v>43952</v>
      </c>
      <c r="C4212" t="s">
        <v>26</v>
      </c>
      <c r="D4212">
        <v>6444668.4750000006</v>
      </c>
      <c r="E4212" t="s">
        <v>330</v>
      </c>
    </row>
    <row r="4213" spans="1:5" x14ac:dyDescent="0.25">
      <c r="A4213">
        <v>1856</v>
      </c>
      <c r="B4213" s="16">
        <v>43983</v>
      </c>
      <c r="C4213" t="s">
        <v>26</v>
      </c>
      <c r="D4213">
        <v>6444668.4750000006</v>
      </c>
      <c r="E4213" t="s">
        <v>330</v>
      </c>
    </row>
    <row r="4214" spans="1:5" x14ac:dyDescent="0.25">
      <c r="A4214">
        <v>1856</v>
      </c>
      <c r="B4214" s="16">
        <v>44013</v>
      </c>
      <c r="C4214" t="s">
        <v>26</v>
      </c>
      <c r="D4214">
        <v>6444668.4750000006</v>
      </c>
      <c r="E4214" t="s">
        <v>330</v>
      </c>
    </row>
    <row r="4215" spans="1:5" x14ac:dyDescent="0.25">
      <c r="A4215">
        <v>1856</v>
      </c>
      <c r="B4215" s="16">
        <v>44044</v>
      </c>
      <c r="C4215" t="s">
        <v>26</v>
      </c>
      <c r="D4215">
        <v>6444668.4750000006</v>
      </c>
      <c r="E4215" t="s">
        <v>330</v>
      </c>
    </row>
    <row r="4216" spans="1:5" x14ac:dyDescent="0.25">
      <c r="A4216">
        <v>1856</v>
      </c>
      <c r="B4216" s="16">
        <v>44075</v>
      </c>
      <c r="C4216" t="s">
        <v>26</v>
      </c>
      <c r="D4216">
        <v>6444668.4750000006</v>
      </c>
      <c r="E4216" t="s">
        <v>330</v>
      </c>
    </row>
    <row r="4217" spans="1:5" x14ac:dyDescent="0.25">
      <c r="A4217">
        <v>1856</v>
      </c>
      <c r="B4217" s="16">
        <v>44105</v>
      </c>
      <c r="C4217" t="s">
        <v>26</v>
      </c>
      <c r="D4217">
        <v>6444668.4750000006</v>
      </c>
      <c r="E4217" t="s">
        <v>330</v>
      </c>
    </row>
    <row r="4218" spans="1:5" x14ac:dyDescent="0.25">
      <c r="A4218">
        <v>1856</v>
      </c>
      <c r="B4218" s="16">
        <v>44136</v>
      </c>
      <c r="C4218" t="s">
        <v>26</v>
      </c>
      <c r="D4218">
        <v>6444668.4750000006</v>
      </c>
      <c r="E4218" t="s">
        <v>330</v>
      </c>
    </row>
    <row r="4219" spans="1:5" x14ac:dyDescent="0.25">
      <c r="A4219">
        <v>1856</v>
      </c>
      <c r="B4219" s="16">
        <v>44166</v>
      </c>
      <c r="C4219" t="s">
        <v>26</v>
      </c>
      <c r="D4219">
        <v>6444668.4750000006</v>
      </c>
      <c r="E4219" t="s">
        <v>330</v>
      </c>
    </row>
    <row r="4220" spans="1:5" x14ac:dyDescent="0.25">
      <c r="A4220">
        <v>1856</v>
      </c>
      <c r="B4220" s="16">
        <v>44197</v>
      </c>
      <c r="C4220" t="s">
        <v>26</v>
      </c>
      <c r="D4220">
        <v>6444668.4750000006</v>
      </c>
      <c r="E4220" t="s">
        <v>330</v>
      </c>
    </row>
    <row r="4221" spans="1:5" x14ac:dyDescent="0.25">
      <c r="A4221">
        <v>1860</v>
      </c>
      <c r="B4221" s="16">
        <v>43466</v>
      </c>
      <c r="C4221" t="s">
        <v>19</v>
      </c>
      <c r="D4221">
        <v>1905120.0000000002</v>
      </c>
      <c r="E4221" t="s">
        <v>330</v>
      </c>
    </row>
    <row r="4222" spans="1:5" x14ac:dyDescent="0.25">
      <c r="A4222">
        <v>1860</v>
      </c>
      <c r="B4222" s="16">
        <v>43497</v>
      </c>
      <c r="C4222" t="s">
        <v>19</v>
      </c>
      <c r="D4222">
        <v>1905120.0000000002</v>
      </c>
      <c r="E4222" t="s">
        <v>330</v>
      </c>
    </row>
    <row r="4223" spans="1:5" x14ac:dyDescent="0.25">
      <c r="A4223">
        <v>1860</v>
      </c>
      <c r="B4223" s="16">
        <v>43525</v>
      </c>
      <c r="C4223" t="s">
        <v>19</v>
      </c>
      <c r="D4223">
        <v>1905120.0000000002</v>
      </c>
      <c r="E4223" t="s">
        <v>330</v>
      </c>
    </row>
    <row r="4224" spans="1:5" x14ac:dyDescent="0.25">
      <c r="A4224">
        <v>1860</v>
      </c>
      <c r="B4224" s="16">
        <v>43556</v>
      </c>
      <c r="C4224" t="s">
        <v>19</v>
      </c>
      <c r="D4224">
        <v>1905120.0000000002</v>
      </c>
      <c r="E4224" t="s">
        <v>330</v>
      </c>
    </row>
    <row r="4225" spans="1:5" x14ac:dyDescent="0.25">
      <c r="A4225">
        <v>1860</v>
      </c>
      <c r="B4225" s="16">
        <v>43586</v>
      </c>
      <c r="C4225" t="s">
        <v>19</v>
      </c>
      <c r="D4225">
        <v>1905120.0000000002</v>
      </c>
      <c r="E4225" t="s">
        <v>330</v>
      </c>
    </row>
    <row r="4226" spans="1:5" x14ac:dyDescent="0.25">
      <c r="A4226">
        <v>1860</v>
      </c>
      <c r="B4226" s="16">
        <v>43617</v>
      </c>
      <c r="C4226" t="s">
        <v>19</v>
      </c>
      <c r="D4226">
        <v>1905120.0000000002</v>
      </c>
      <c r="E4226" t="s">
        <v>330</v>
      </c>
    </row>
    <row r="4227" spans="1:5" x14ac:dyDescent="0.25">
      <c r="A4227">
        <v>1860</v>
      </c>
      <c r="B4227" s="16">
        <v>43647</v>
      </c>
      <c r="C4227" t="s">
        <v>19</v>
      </c>
      <c r="D4227">
        <v>1905120.0000000002</v>
      </c>
      <c r="E4227" t="s">
        <v>330</v>
      </c>
    </row>
    <row r="4228" spans="1:5" x14ac:dyDescent="0.25">
      <c r="A4228">
        <v>1860</v>
      </c>
      <c r="B4228" s="16">
        <v>43678</v>
      </c>
      <c r="C4228" t="s">
        <v>19</v>
      </c>
      <c r="D4228">
        <v>1905120.0000000002</v>
      </c>
      <c r="E4228" t="s">
        <v>330</v>
      </c>
    </row>
    <row r="4229" spans="1:5" x14ac:dyDescent="0.25">
      <c r="A4229">
        <v>1860</v>
      </c>
      <c r="B4229" s="16">
        <v>43709</v>
      </c>
      <c r="C4229" t="s">
        <v>19</v>
      </c>
      <c r="D4229">
        <v>1905120.0000000002</v>
      </c>
      <c r="E4229" t="s">
        <v>330</v>
      </c>
    </row>
    <row r="4230" spans="1:5" x14ac:dyDescent="0.25">
      <c r="A4230">
        <v>1860</v>
      </c>
      <c r="B4230" s="16">
        <v>43739</v>
      </c>
      <c r="C4230" t="s">
        <v>19</v>
      </c>
      <c r="D4230">
        <v>1905120.0000000002</v>
      </c>
      <c r="E4230" t="s">
        <v>330</v>
      </c>
    </row>
    <row r="4231" spans="1:5" x14ac:dyDescent="0.25">
      <c r="A4231">
        <v>1860</v>
      </c>
      <c r="B4231" s="16">
        <v>43770</v>
      </c>
      <c r="C4231" t="s">
        <v>19</v>
      </c>
      <c r="D4231">
        <v>1905120.0000000002</v>
      </c>
      <c r="E4231" t="s">
        <v>330</v>
      </c>
    </row>
    <row r="4232" spans="1:5" x14ac:dyDescent="0.25">
      <c r="A4232">
        <v>1860</v>
      </c>
      <c r="B4232" s="16">
        <v>43800</v>
      </c>
      <c r="C4232" t="s">
        <v>19</v>
      </c>
      <c r="D4232">
        <v>1905120.0000000002</v>
      </c>
      <c r="E4232" t="s">
        <v>330</v>
      </c>
    </row>
    <row r="4233" spans="1:5" x14ac:dyDescent="0.25">
      <c r="A4233">
        <v>1860</v>
      </c>
      <c r="B4233" s="16">
        <v>43831</v>
      </c>
      <c r="C4233" t="s">
        <v>19</v>
      </c>
      <c r="D4233">
        <v>1905120.0000000002</v>
      </c>
      <c r="E4233" t="s">
        <v>330</v>
      </c>
    </row>
    <row r="4234" spans="1:5" x14ac:dyDescent="0.25">
      <c r="A4234">
        <v>1860</v>
      </c>
      <c r="B4234" s="16">
        <v>43862</v>
      </c>
      <c r="C4234" t="s">
        <v>19</v>
      </c>
      <c r="D4234">
        <v>1905120.0000000002</v>
      </c>
      <c r="E4234" t="s">
        <v>330</v>
      </c>
    </row>
    <row r="4235" spans="1:5" x14ac:dyDescent="0.25">
      <c r="A4235">
        <v>1860</v>
      </c>
      <c r="B4235" s="16">
        <v>43891</v>
      </c>
      <c r="C4235" t="s">
        <v>19</v>
      </c>
      <c r="D4235">
        <v>1905120.0000000002</v>
      </c>
      <c r="E4235" t="s">
        <v>330</v>
      </c>
    </row>
    <row r="4236" spans="1:5" x14ac:dyDescent="0.25">
      <c r="A4236">
        <v>1860</v>
      </c>
      <c r="B4236" s="16">
        <v>43922</v>
      </c>
      <c r="C4236" t="s">
        <v>19</v>
      </c>
      <c r="D4236">
        <v>1905120.0000000002</v>
      </c>
      <c r="E4236" t="s">
        <v>330</v>
      </c>
    </row>
    <row r="4237" spans="1:5" x14ac:dyDescent="0.25">
      <c r="A4237">
        <v>1860</v>
      </c>
      <c r="B4237" s="16">
        <v>43952</v>
      </c>
      <c r="C4237" t="s">
        <v>19</v>
      </c>
      <c r="D4237">
        <v>1905120.0000000002</v>
      </c>
      <c r="E4237" t="s">
        <v>330</v>
      </c>
    </row>
    <row r="4238" spans="1:5" x14ac:dyDescent="0.25">
      <c r="A4238">
        <v>1860</v>
      </c>
      <c r="B4238" s="16">
        <v>43983</v>
      </c>
      <c r="C4238" t="s">
        <v>19</v>
      </c>
      <c r="D4238">
        <v>1905120.0000000002</v>
      </c>
      <c r="E4238" t="s">
        <v>330</v>
      </c>
    </row>
    <row r="4239" spans="1:5" x14ac:dyDescent="0.25">
      <c r="A4239">
        <v>1860</v>
      </c>
      <c r="B4239" s="16">
        <v>44013</v>
      </c>
      <c r="C4239" t="s">
        <v>19</v>
      </c>
      <c r="D4239">
        <v>1905120.0000000002</v>
      </c>
      <c r="E4239" t="s">
        <v>330</v>
      </c>
    </row>
    <row r="4240" spans="1:5" x14ac:dyDescent="0.25">
      <c r="A4240">
        <v>1860</v>
      </c>
      <c r="B4240" s="16">
        <v>44044</v>
      </c>
      <c r="C4240" t="s">
        <v>19</v>
      </c>
      <c r="D4240">
        <v>1905120.0000000002</v>
      </c>
      <c r="E4240" t="s">
        <v>330</v>
      </c>
    </row>
    <row r="4241" spans="1:5" x14ac:dyDescent="0.25">
      <c r="A4241">
        <v>1860</v>
      </c>
      <c r="B4241" s="16">
        <v>44075</v>
      </c>
      <c r="C4241" t="s">
        <v>19</v>
      </c>
      <c r="D4241">
        <v>1905120.0000000002</v>
      </c>
      <c r="E4241" t="s">
        <v>330</v>
      </c>
    </row>
    <row r="4242" spans="1:5" x14ac:dyDescent="0.25">
      <c r="A4242">
        <v>1860</v>
      </c>
      <c r="B4242" s="16">
        <v>44105</v>
      </c>
      <c r="C4242" t="s">
        <v>19</v>
      </c>
      <c r="D4242">
        <v>1905120.0000000002</v>
      </c>
      <c r="E4242" t="s">
        <v>330</v>
      </c>
    </row>
    <row r="4243" spans="1:5" x14ac:dyDescent="0.25">
      <c r="A4243">
        <v>1860</v>
      </c>
      <c r="B4243" s="16">
        <v>44136</v>
      </c>
      <c r="C4243" t="s">
        <v>19</v>
      </c>
      <c r="D4243">
        <v>1905120.0000000002</v>
      </c>
      <c r="E4243" t="s">
        <v>330</v>
      </c>
    </row>
    <row r="4244" spans="1:5" x14ac:dyDescent="0.25">
      <c r="A4244">
        <v>1860</v>
      </c>
      <c r="B4244" s="16">
        <v>44166</v>
      </c>
      <c r="C4244" t="s">
        <v>19</v>
      </c>
      <c r="D4244">
        <v>1905120.0000000002</v>
      </c>
      <c r="E4244" t="s">
        <v>330</v>
      </c>
    </row>
    <row r="4245" spans="1:5" x14ac:dyDescent="0.25">
      <c r="A4245">
        <v>1860</v>
      </c>
      <c r="B4245" s="16">
        <v>44197</v>
      </c>
      <c r="C4245" t="s">
        <v>19</v>
      </c>
      <c r="D4245">
        <v>1905120.0000000002</v>
      </c>
      <c r="E4245" t="s">
        <v>330</v>
      </c>
    </row>
    <row r="4246" spans="1:5" x14ac:dyDescent="0.25">
      <c r="A4246">
        <v>1860</v>
      </c>
      <c r="B4246" s="16">
        <v>44228</v>
      </c>
      <c r="C4246" t="s">
        <v>19</v>
      </c>
      <c r="D4246">
        <v>1905120.0000000002</v>
      </c>
      <c r="E4246" t="s">
        <v>330</v>
      </c>
    </row>
    <row r="4247" spans="1:5" x14ac:dyDescent="0.25">
      <c r="A4247">
        <v>1860</v>
      </c>
      <c r="B4247" s="16">
        <v>44256</v>
      </c>
      <c r="C4247" t="s">
        <v>19</v>
      </c>
      <c r="D4247">
        <v>1905120.0000000002</v>
      </c>
      <c r="E4247" t="s">
        <v>330</v>
      </c>
    </row>
    <row r="4248" spans="1:5" x14ac:dyDescent="0.25">
      <c r="A4248">
        <v>1860</v>
      </c>
      <c r="B4248" s="16">
        <v>44287</v>
      </c>
      <c r="C4248" t="s">
        <v>19</v>
      </c>
      <c r="D4248">
        <v>1905120.0000000002</v>
      </c>
      <c r="E4248" t="s">
        <v>330</v>
      </c>
    </row>
    <row r="4249" spans="1:5" x14ac:dyDescent="0.25">
      <c r="A4249">
        <v>1860</v>
      </c>
      <c r="B4249" s="16">
        <v>44044</v>
      </c>
      <c r="C4249" t="s">
        <v>76</v>
      </c>
      <c r="D4249">
        <v>3923324.9999999995</v>
      </c>
      <c r="E4249" t="s">
        <v>330</v>
      </c>
    </row>
    <row r="4250" spans="1:5" x14ac:dyDescent="0.25">
      <c r="A4250">
        <v>1860</v>
      </c>
      <c r="B4250" s="16">
        <v>44075</v>
      </c>
      <c r="C4250" t="s">
        <v>76</v>
      </c>
      <c r="D4250">
        <v>3923324.9999999995</v>
      </c>
      <c r="E4250" t="s">
        <v>330</v>
      </c>
    </row>
    <row r="4251" spans="1:5" x14ac:dyDescent="0.25">
      <c r="A4251">
        <v>1860</v>
      </c>
      <c r="B4251" s="16">
        <v>44105</v>
      </c>
      <c r="C4251" t="s">
        <v>76</v>
      </c>
      <c r="D4251">
        <v>3923324.9999999995</v>
      </c>
      <c r="E4251" t="s">
        <v>330</v>
      </c>
    </row>
    <row r="4252" spans="1:5" x14ac:dyDescent="0.25">
      <c r="A4252">
        <v>1860</v>
      </c>
      <c r="B4252" s="16">
        <v>44136</v>
      </c>
      <c r="C4252" t="s">
        <v>76</v>
      </c>
      <c r="D4252">
        <v>3923324.9999999995</v>
      </c>
      <c r="E4252" t="s">
        <v>330</v>
      </c>
    </row>
    <row r="4253" spans="1:5" x14ac:dyDescent="0.25">
      <c r="A4253">
        <v>1860</v>
      </c>
      <c r="B4253" s="16">
        <v>44166</v>
      </c>
      <c r="C4253" t="s">
        <v>76</v>
      </c>
      <c r="D4253">
        <v>3923324.9999999995</v>
      </c>
      <c r="E4253" t="s">
        <v>330</v>
      </c>
    </row>
    <row r="4254" spans="1:5" x14ac:dyDescent="0.25">
      <c r="A4254">
        <v>1860</v>
      </c>
      <c r="B4254" s="16">
        <v>44197</v>
      </c>
      <c r="C4254" t="s">
        <v>76</v>
      </c>
      <c r="D4254">
        <v>3923324.9999999995</v>
      </c>
      <c r="E4254" t="s">
        <v>330</v>
      </c>
    </row>
    <row r="4255" spans="1:5" x14ac:dyDescent="0.25">
      <c r="A4255">
        <v>1860</v>
      </c>
      <c r="B4255" s="16">
        <v>44228</v>
      </c>
      <c r="C4255" t="s">
        <v>76</v>
      </c>
      <c r="D4255">
        <v>3923324.9999999995</v>
      </c>
      <c r="E4255" t="s">
        <v>330</v>
      </c>
    </row>
    <row r="4256" spans="1:5" x14ac:dyDescent="0.25">
      <c r="A4256">
        <v>1860</v>
      </c>
      <c r="B4256" s="16">
        <v>44256</v>
      </c>
      <c r="C4256" t="s">
        <v>76</v>
      </c>
      <c r="D4256">
        <v>3923324.9999999995</v>
      </c>
      <c r="E4256" t="s">
        <v>330</v>
      </c>
    </row>
    <row r="4257" spans="1:5" x14ac:dyDescent="0.25">
      <c r="A4257">
        <v>1860</v>
      </c>
      <c r="B4257" s="16">
        <v>44287</v>
      </c>
      <c r="C4257" t="s">
        <v>76</v>
      </c>
      <c r="D4257">
        <v>3923324.9999999995</v>
      </c>
      <c r="E4257" t="s">
        <v>330</v>
      </c>
    </row>
    <row r="4258" spans="1:5" x14ac:dyDescent="0.25">
      <c r="A4258">
        <v>1860</v>
      </c>
      <c r="B4258" s="16">
        <v>44317</v>
      </c>
      <c r="C4258" t="s">
        <v>76</v>
      </c>
      <c r="D4258">
        <v>3923324.9999999995</v>
      </c>
      <c r="E4258" t="s">
        <v>330</v>
      </c>
    </row>
    <row r="4259" spans="1:5" x14ac:dyDescent="0.25">
      <c r="A4259">
        <v>1860</v>
      </c>
      <c r="B4259" s="16">
        <v>44348</v>
      </c>
      <c r="C4259" t="s">
        <v>76</v>
      </c>
      <c r="D4259">
        <v>3923324.9999999995</v>
      </c>
      <c r="E4259" t="s">
        <v>330</v>
      </c>
    </row>
    <row r="4260" spans="1:5" x14ac:dyDescent="0.25">
      <c r="A4260">
        <v>1860</v>
      </c>
      <c r="B4260" s="16">
        <v>44378</v>
      </c>
      <c r="C4260" t="s">
        <v>76</v>
      </c>
      <c r="D4260">
        <v>3923324.9999999995</v>
      </c>
      <c r="E4260" t="s">
        <v>330</v>
      </c>
    </row>
    <row r="4261" spans="1:5" x14ac:dyDescent="0.25">
      <c r="A4261">
        <v>1860</v>
      </c>
      <c r="B4261" s="16">
        <v>43466</v>
      </c>
      <c r="C4261" t="s">
        <v>162</v>
      </c>
      <c r="D4261">
        <v>4758075</v>
      </c>
      <c r="E4261" t="s">
        <v>330</v>
      </c>
    </row>
    <row r="4262" spans="1:5" x14ac:dyDescent="0.25">
      <c r="A4262">
        <v>1860</v>
      </c>
      <c r="B4262" s="16">
        <v>43497</v>
      </c>
      <c r="C4262" t="s">
        <v>162</v>
      </c>
      <c r="D4262">
        <v>4758075</v>
      </c>
      <c r="E4262" t="s">
        <v>330</v>
      </c>
    </row>
    <row r="4263" spans="1:5" x14ac:dyDescent="0.25">
      <c r="A4263">
        <v>1860</v>
      </c>
      <c r="B4263" s="16">
        <v>43525</v>
      </c>
      <c r="C4263" t="s">
        <v>162</v>
      </c>
      <c r="D4263">
        <v>4758075</v>
      </c>
      <c r="E4263" t="s">
        <v>330</v>
      </c>
    </row>
    <row r="4264" spans="1:5" x14ac:dyDescent="0.25">
      <c r="A4264">
        <v>1860</v>
      </c>
      <c r="B4264" s="16">
        <v>43556</v>
      </c>
      <c r="C4264" t="s">
        <v>162</v>
      </c>
      <c r="D4264">
        <v>4758075</v>
      </c>
      <c r="E4264" t="s">
        <v>330</v>
      </c>
    </row>
    <row r="4265" spans="1:5" x14ac:dyDescent="0.25">
      <c r="A4265">
        <v>1860</v>
      </c>
      <c r="B4265" s="16">
        <v>43586</v>
      </c>
      <c r="C4265" t="s">
        <v>162</v>
      </c>
      <c r="D4265">
        <v>4758075</v>
      </c>
      <c r="E4265" t="s">
        <v>330</v>
      </c>
    </row>
    <row r="4266" spans="1:5" x14ac:dyDescent="0.25">
      <c r="A4266">
        <v>1860</v>
      </c>
      <c r="B4266" s="16">
        <v>43617</v>
      </c>
      <c r="C4266" t="s">
        <v>162</v>
      </c>
      <c r="D4266">
        <v>4758075</v>
      </c>
      <c r="E4266" t="s">
        <v>330</v>
      </c>
    </row>
    <row r="4267" spans="1:5" x14ac:dyDescent="0.25">
      <c r="A4267">
        <v>1860</v>
      </c>
      <c r="B4267" s="16">
        <v>43647</v>
      </c>
      <c r="C4267" t="s">
        <v>162</v>
      </c>
      <c r="D4267">
        <v>4758075</v>
      </c>
      <c r="E4267" t="s">
        <v>330</v>
      </c>
    </row>
    <row r="4268" spans="1:5" x14ac:dyDescent="0.25">
      <c r="A4268">
        <v>1860</v>
      </c>
      <c r="B4268" s="16">
        <v>43678</v>
      </c>
      <c r="C4268" t="s">
        <v>162</v>
      </c>
      <c r="D4268">
        <v>4758075</v>
      </c>
      <c r="E4268" t="s">
        <v>330</v>
      </c>
    </row>
    <row r="4269" spans="1:5" x14ac:dyDescent="0.25">
      <c r="A4269">
        <v>1860</v>
      </c>
      <c r="B4269" s="16">
        <v>43709</v>
      </c>
      <c r="C4269" t="s">
        <v>162</v>
      </c>
      <c r="D4269">
        <v>4758075</v>
      </c>
      <c r="E4269" t="s">
        <v>330</v>
      </c>
    </row>
    <row r="4270" spans="1:5" x14ac:dyDescent="0.25">
      <c r="A4270">
        <v>1860</v>
      </c>
      <c r="B4270" s="16">
        <v>43739</v>
      </c>
      <c r="C4270" t="s">
        <v>162</v>
      </c>
      <c r="D4270">
        <v>4758075</v>
      </c>
      <c r="E4270" t="s">
        <v>330</v>
      </c>
    </row>
    <row r="4271" spans="1:5" x14ac:dyDescent="0.25">
      <c r="A4271">
        <v>1860</v>
      </c>
      <c r="B4271" s="16">
        <v>43770</v>
      </c>
      <c r="C4271" t="s">
        <v>162</v>
      </c>
      <c r="D4271">
        <v>4758075</v>
      </c>
      <c r="E4271" t="s">
        <v>330</v>
      </c>
    </row>
    <row r="4272" spans="1:5" x14ac:dyDescent="0.25">
      <c r="A4272">
        <v>1860</v>
      </c>
      <c r="B4272" s="16">
        <v>43800</v>
      </c>
      <c r="C4272" t="s">
        <v>162</v>
      </c>
      <c r="D4272">
        <v>4758075</v>
      </c>
      <c r="E4272" t="s">
        <v>330</v>
      </c>
    </row>
    <row r="4273" spans="1:5" x14ac:dyDescent="0.25">
      <c r="A4273">
        <v>1860</v>
      </c>
      <c r="B4273" s="16">
        <v>43831</v>
      </c>
      <c r="C4273" t="s">
        <v>162</v>
      </c>
      <c r="D4273">
        <v>4758075</v>
      </c>
      <c r="E4273" t="s">
        <v>330</v>
      </c>
    </row>
    <row r="4274" spans="1:5" x14ac:dyDescent="0.25">
      <c r="A4274">
        <v>1860</v>
      </c>
      <c r="B4274" s="16">
        <v>43862</v>
      </c>
      <c r="C4274" t="s">
        <v>162</v>
      </c>
      <c r="D4274">
        <v>4758075</v>
      </c>
      <c r="E4274" t="s">
        <v>330</v>
      </c>
    </row>
    <row r="4275" spans="1:5" x14ac:dyDescent="0.25">
      <c r="A4275">
        <v>1860</v>
      </c>
      <c r="B4275" s="16">
        <v>43891</v>
      </c>
      <c r="C4275" t="s">
        <v>162</v>
      </c>
      <c r="D4275">
        <v>4758075</v>
      </c>
      <c r="E4275" t="s">
        <v>330</v>
      </c>
    </row>
    <row r="4276" spans="1:5" x14ac:dyDescent="0.25">
      <c r="A4276">
        <v>1860</v>
      </c>
      <c r="B4276" s="16">
        <v>43922</v>
      </c>
      <c r="C4276" t="s">
        <v>162</v>
      </c>
      <c r="D4276">
        <v>4758075</v>
      </c>
      <c r="E4276" t="s">
        <v>330</v>
      </c>
    </row>
    <row r="4277" spans="1:5" x14ac:dyDescent="0.25">
      <c r="A4277">
        <v>1860</v>
      </c>
      <c r="B4277" s="16">
        <v>43952</v>
      </c>
      <c r="C4277" t="s">
        <v>162</v>
      </c>
      <c r="D4277">
        <v>4758075</v>
      </c>
      <c r="E4277" t="s">
        <v>330</v>
      </c>
    </row>
    <row r="4278" spans="1:5" x14ac:dyDescent="0.25">
      <c r="A4278">
        <v>1860</v>
      </c>
      <c r="B4278" s="16">
        <v>43983</v>
      </c>
      <c r="C4278" t="s">
        <v>162</v>
      </c>
      <c r="D4278">
        <v>4758075</v>
      </c>
      <c r="E4278" t="s">
        <v>330</v>
      </c>
    </row>
    <row r="4279" spans="1:5" x14ac:dyDescent="0.25">
      <c r="A4279">
        <v>1860</v>
      </c>
      <c r="B4279" s="16">
        <v>44013</v>
      </c>
      <c r="C4279" t="s">
        <v>162</v>
      </c>
      <c r="D4279">
        <v>4758075</v>
      </c>
      <c r="E4279" t="s">
        <v>330</v>
      </c>
    </row>
    <row r="4280" spans="1:5" x14ac:dyDescent="0.25">
      <c r="A4280">
        <v>1860</v>
      </c>
      <c r="B4280" s="16">
        <v>44044</v>
      </c>
      <c r="C4280" t="s">
        <v>162</v>
      </c>
      <c r="D4280">
        <v>4758075</v>
      </c>
      <c r="E4280" t="s">
        <v>330</v>
      </c>
    </row>
    <row r="4281" spans="1:5" x14ac:dyDescent="0.25">
      <c r="A4281">
        <v>1860</v>
      </c>
      <c r="B4281" s="16">
        <v>44075</v>
      </c>
      <c r="C4281" t="s">
        <v>162</v>
      </c>
      <c r="D4281">
        <v>4758075</v>
      </c>
      <c r="E4281" t="s">
        <v>330</v>
      </c>
    </row>
    <row r="4282" spans="1:5" x14ac:dyDescent="0.25">
      <c r="A4282">
        <v>1860</v>
      </c>
      <c r="B4282" s="16">
        <v>44105</v>
      </c>
      <c r="C4282" t="s">
        <v>162</v>
      </c>
      <c r="D4282">
        <v>4758075</v>
      </c>
      <c r="E4282" t="s">
        <v>330</v>
      </c>
    </row>
    <row r="4283" spans="1:5" x14ac:dyDescent="0.25">
      <c r="A4283">
        <v>1860</v>
      </c>
      <c r="B4283" s="16">
        <v>44136</v>
      </c>
      <c r="C4283" t="s">
        <v>162</v>
      </c>
      <c r="D4283">
        <v>4758075</v>
      </c>
      <c r="E4283" t="s">
        <v>330</v>
      </c>
    </row>
    <row r="4284" spans="1:5" x14ac:dyDescent="0.25">
      <c r="A4284">
        <v>1860</v>
      </c>
      <c r="B4284" s="16">
        <v>44166</v>
      </c>
      <c r="C4284" t="s">
        <v>162</v>
      </c>
      <c r="D4284">
        <v>4758075</v>
      </c>
      <c r="E4284" t="s">
        <v>330</v>
      </c>
    </row>
    <row r="4285" spans="1:5" x14ac:dyDescent="0.25">
      <c r="A4285">
        <v>1860</v>
      </c>
      <c r="B4285" s="16">
        <v>44197</v>
      </c>
      <c r="C4285" t="s">
        <v>162</v>
      </c>
      <c r="D4285">
        <v>4758075</v>
      </c>
      <c r="E4285" t="s">
        <v>330</v>
      </c>
    </row>
    <row r="4286" spans="1:5" x14ac:dyDescent="0.25">
      <c r="A4286">
        <v>1860</v>
      </c>
      <c r="B4286" s="16">
        <v>44228</v>
      </c>
      <c r="C4286" t="s">
        <v>162</v>
      </c>
      <c r="D4286">
        <v>4758075</v>
      </c>
      <c r="E4286" t="s">
        <v>330</v>
      </c>
    </row>
    <row r="4287" spans="1:5" x14ac:dyDescent="0.25">
      <c r="A4287">
        <v>1860</v>
      </c>
      <c r="B4287" s="16">
        <v>44256</v>
      </c>
      <c r="C4287" t="s">
        <v>162</v>
      </c>
      <c r="D4287">
        <v>4758075</v>
      </c>
      <c r="E4287" t="s">
        <v>330</v>
      </c>
    </row>
    <row r="4288" spans="1:5" x14ac:dyDescent="0.25">
      <c r="A4288">
        <v>1860</v>
      </c>
      <c r="B4288" s="16">
        <v>43466</v>
      </c>
      <c r="C4288" t="s">
        <v>26</v>
      </c>
      <c r="D4288">
        <v>5985000</v>
      </c>
      <c r="E4288" t="s">
        <v>330</v>
      </c>
    </row>
    <row r="4289" spans="1:5" x14ac:dyDescent="0.25">
      <c r="A4289">
        <v>1860</v>
      </c>
      <c r="B4289" s="16">
        <v>43497</v>
      </c>
      <c r="C4289" t="s">
        <v>26</v>
      </c>
      <c r="D4289">
        <v>5985000</v>
      </c>
      <c r="E4289" t="s">
        <v>330</v>
      </c>
    </row>
    <row r="4290" spans="1:5" x14ac:dyDescent="0.25">
      <c r="A4290">
        <v>1860</v>
      </c>
      <c r="B4290" s="16">
        <v>43525</v>
      </c>
      <c r="C4290" t="s">
        <v>26</v>
      </c>
      <c r="D4290">
        <v>5985000</v>
      </c>
      <c r="E4290" t="s">
        <v>330</v>
      </c>
    </row>
    <row r="4291" spans="1:5" x14ac:dyDescent="0.25">
      <c r="A4291">
        <v>1860</v>
      </c>
      <c r="B4291" s="16">
        <v>43556</v>
      </c>
      <c r="C4291" t="s">
        <v>26</v>
      </c>
      <c r="D4291">
        <v>5985000</v>
      </c>
      <c r="E4291" t="s">
        <v>330</v>
      </c>
    </row>
    <row r="4292" spans="1:5" x14ac:dyDescent="0.25">
      <c r="A4292">
        <v>1860</v>
      </c>
      <c r="B4292" s="16">
        <v>43586</v>
      </c>
      <c r="C4292" t="s">
        <v>26</v>
      </c>
      <c r="D4292">
        <v>5985000</v>
      </c>
      <c r="E4292" t="s">
        <v>330</v>
      </c>
    </row>
    <row r="4293" spans="1:5" x14ac:dyDescent="0.25">
      <c r="A4293">
        <v>1860</v>
      </c>
      <c r="B4293" s="16">
        <v>43617</v>
      </c>
      <c r="C4293" t="s">
        <v>26</v>
      </c>
      <c r="D4293">
        <v>5985000</v>
      </c>
      <c r="E4293" t="s">
        <v>330</v>
      </c>
    </row>
    <row r="4294" spans="1:5" x14ac:dyDescent="0.25">
      <c r="A4294">
        <v>1860</v>
      </c>
      <c r="B4294" s="16">
        <v>43647</v>
      </c>
      <c r="C4294" t="s">
        <v>26</v>
      </c>
      <c r="D4294">
        <v>5985000</v>
      </c>
      <c r="E4294" t="s">
        <v>330</v>
      </c>
    </row>
    <row r="4295" spans="1:5" x14ac:dyDescent="0.25">
      <c r="A4295">
        <v>1860</v>
      </c>
      <c r="B4295" s="16">
        <v>43678</v>
      </c>
      <c r="C4295" t="s">
        <v>26</v>
      </c>
      <c r="D4295">
        <v>5985000</v>
      </c>
      <c r="E4295" t="s">
        <v>330</v>
      </c>
    </row>
    <row r="4296" spans="1:5" x14ac:dyDescent="0.25">
      <c r="A4296">
        <v>1860</v>
      </c>
      <c r="B4296" s="16">
        <v>43709</v>
      </c>
      <c r="C4296" t="s">
        <v>26</v>
      </c>
      <c r="D4296">
        <v>5985000</v>
      </c>
      <c r="E4296" t="s">
        <v>330</v>
      </c>
    </row>
    <row r="4297" spans="1:5" x14ac:dyDescent="0.25">
      <c r="A4297">
        <v>1860</v>
      </c>
      <c r="B4297" s="16">
        <v>43739</v>
      </c>
      <c r="C4297" t="s">
        <v>26</v>
      </c>
      <c r="D4297">
        <v>5985000</v>
      </c>
      <c r="E4297" t="s">
        <v>330</v>
      </c>
    </row>
    <row r="4298" spans="1:5" x14ac:dyDescent="0.25">
      <c r="A4298">
        <v>1860</v>
      </c>
      <c r="B4298" s="16">
        <v>43770</v>
      </c>
      <c r="C4298" t="s">
        <v>26</v>
      </c>
      <c r="D4298">
        <v>5985000</v>
      </c>
      <c r="E4298" t="s">
        <v>330</v>
      </c>
    </row>
    <row r="4299" spans="1:5" x14ac:dyDescent="0.25">
      <c r="A4299">
        <v>1860</v>
      </c>
      <c r="B4299" s="16">
        <v>43800</v>
      </c>
      <c r="C4299" t="s">
        <v>26</v>
      </c>
      <c r="D4299">
        <v>5985000</v>
      </c>
      <c r="E4299" t="s">
        <v>330</v>
      </c>
    </row>
    <row r="4300" spans="1:5" x14ac:dyDescent="0.25">
      <c r="A4300">
        <v>1860</v>
      </c>
      <c r="B4300" s="16">
        <v>43831</v>
      </c>
      <c r="C4300" t="s">
        <v>26</v>
      </c>
      <c r="D4300">
        <v>5985000</v>
      </c>
      <c r="E4300" t="s">
        <v>330</v>
      </c>
    </row>
    <row r="4301" spans="1:5" x14ac:dyDescent="0.25">
      <c r="A4301">
        <v>1860</v>
      </c>
      <c r="B4301" s="16">
        <v>43862</v>
      </c>
      <c r="C4301" t="s">
        <v>26</v>
      </c>
      <c r="D4301">
        <v>5985000</v>
      </c>
      <c r="E4301" t="s">
        <v>330</v>
      </c>
    </row>
    <row r="4302" spans="1:5" x14ac:dyDescent="0.25">
      <c r="A4302">
        <v>1860</v>
      </c>
      <c r="B4302" s="16">
        <v>43891</v>
      </c>
      <c r="C4302" t="s">
        <v>26</v>
      </c>
      <c r="D4302">
        <v>5985000</v>
      </c>
      <c r="E4302" t="s">
        <v>330</v>
      </c>
    </row>
    <row r="4303" spans="1:5" x14ac:dyDescent="0.25">
      <c r="A4303">
        <v>1860</v>
      </c>
      <c r="B4303" s="16">
        <v>43922</v>
      </c>
      <c r="C4303" t="s">
        <v>26</v>
      </c>
      <c r="D4303">
        <v>5985000</v>
      </c>
      <c r="E4303" t="s">
        <v>330</v>
      </c>
    </row>
    <row r="4304" spans="1:5" x14ac:dyDescent="0.25">
      <c r="A4304">
        <v>1860</v>
      </c>
      <c r="B4304" s="16">
        <v>43952</v>
      </c>
      <c r="C4304" t="s">
        <v>26</v>
      </c>
      <c r="D4304">
        <v>5985000</v>
      </c>
      <c r="E4304" t="s">
        <v>330</v>
      </c>
    </row>
    <row r="4305" spans="1:5" x14ac:dyDescent="0.25">
      <c r="A4305">
        <v>1860</v>
      </c>
      <c r="B4305" s="16">
        <v>43983</v>
      </c>
      <c r="C4305" t="s">
        <v>26</v>
      </c>
      <c r="D4305">
        <v>5985000</v>
      </c>
      <c r="E4305" t="s">
        <v>330</v>
      </c>
    </row>
    <row r="4306" spans="1:5" x14ac:dyDescent="0.25">
      <c r="A4306">
        <v>1860</v>
      </c>
      <c r="B4306" s="16">
        <v>44013</v>
      </c>
      <c r="C4306" t="s">
        <v>26</v>
      </c>
      <c r="D4306">
        <v>5985000</v>
      </c>
      <c r="E4306" t="s">
        <v>330</v>
      </c>
    </row>
    <row r="4307" spans="1:5" x14ac:dyDescent="0.25">
      <c r="A4307">
        <v>1860</v>
      </c>
      <c r="B4307" s="16">
        <v>44044</v>
      </c>
      <c r="C4307" t="s">
        <v>26</v>
      </c>
      <c r="D4307">
        <v>5985000</v>
      </c>
      <c r="E4307" t="s">
        <v>330</v>
      </c>
    </row>
    <row r="4308" spans="1:5" x14ac:dyDescent="0.25">
      <c r="A4308">
        <v>1860</v>
      </c>
      <c r="B4308" s="16">
        <v>44075</v>
      </c>
      <c r="C4308" t="s">
        <v>26</v>
      </c>
      <c r="D4308">
        <v>5985000</v>
      </c>
      <c r="E4308" t="s">
        <v>330</v>
      </c>
    </row>
    <row r="4309" spans="1:5" x14ac:dyDescent="0.25">
      <c r="A4309">
        <v>1860</v>
      </c>
      <c r="B4309" s="16">
        <v>44105</v>
      </c>
      <c r="C4309" t="s">
        <v>26</v>
      </c>
      <c r="D4309">
        <v>5985000</v>
      </c>
      <c r="E4309" t="s">
        <v>330</v>
      </c>
    </row>
    <row r="4310" spans="1:5" x14ac:dyDescent="0.25">
      <c r="A4310">
        <v>1860</v>
      </c>
      <c r="B4310" s="16">
        <v>44136</v>
      </c>
      <c r="C4310" t="s">
        <v>26</v>
      </c>
      <c r="D4310">
        <v>5985000</v>
      </c>
      <c r="E4310" t="s">
        <v>330</v>
      </c>
    </row>
    <row r="4311" spans="1:5" x14ac:dyDescent="0.25">
      <c r="A4311">
        <v>1860</v>
      </c>
      <c r="B4311" s="16">
        <v>44166</v>
      </c>
      <c r="C4311" t="s">
        <v>26</v>
      </c>
      <c r="D4311">
        <v>5985000</v>
      </c>
      <c r="E4311" t="s">
        <v>330</v>
      </c>
    </row>
    <row r="4312" spans="1:5" x14ac:dyDescent="0.25">
      <c r="A4312">
        <v>1860</v>
      </c>
      <c r="B4312" s="16">
        <v>44197</v>
      </c>
      <c r="C4312" t="s">
        <v>26</v>
      </c>
      <c r="D4312">
        <v>5985000</v>
      </c>
      <c r="E4312" t="s">
        <v>330</v>
      </c>
    </row>
    <row r="4313" spans="1:5" x14ac:dyDescent="0.25">
      <c r="A4313">
        <v>1860</v>
      </c>
      <c r="B4313" s="16">
        <v>44228</v>
      </c>
      <c r="C4313" t="s">
        <v>26</v>
      </c>
      <c r="D4313">
        <v>5985000</v>
      </c>
      <c r="E4313" t="s">
        <v>330</v>
      </c>
    </row>
    <row r="4314" spans="1:5" x14ac:dyDescent="0.25">
      <c r="A4314">
        <v>1860</v>
      </c>
      <c r="B4314" s="16">
        <v>44256</v>
      </c>
      <c r="C4314" t="s">
        <v>26</v>
      </c>
      <c r="D4314">
        <v>5985000</v>
      </c>
      <c r="E4314" t="s">
        <v>330</v>
      </c>
    </row>
    <row r="4315" spans="1:5" x14ac:dyDescent="0.25">
      <c r="A4315">
        <v>1860</v>
      </c>
      <c r="B4315" s="16">
        <v>44287</v>
      </c>
      <c r="C4315" t="s">
        <v>26</v>
      </c>
      <c r="D4315">
        <v>5985000</v>
      </c>
      <c r="E4315" t="s">
        <v>330</v>
      </c>
    </row>
    <row r="4316" spans="1:5" x14ac:dyDescent="0.25">
      <c r="A4316">
        <v>1861</v>
      </c>
      <c r="B4316" s="16">
        <v>43466</v>
      </c>
      <c r="C4316" t="s">
        <v>166</v>
      </c>
      <c r="D4316">
        <v>5768028</v>
      </c>
      <c r="E4316" t="s">
        <v>330</v>
      </c>
    </row>
    <row r="4317" spans="1:5" x14ac:dyDescent="0.25">
      <c r="A4317">
        <v>1861</v>
      </c>
      <c r="B4317" s="16">
        <v>43497</v>
      </c>
      <c r="C4317" t="s">
        <v>166</v>
      </c>
      <c r="D4317">
        <v>5768028</v>
      </c>
      <c r="E4317" t="s">
        <v>330</v>
      </c>
    </row>
    <row r="4318" spans="1:5" x14ac:dyDescent="0.25">
      <c r="A4318">
        <v>1861</v>
      </c>
      <c r="B4318" s="16">
        <v>43525</v>
      </c>
      <c r="C4318" t="s">
        <v>166</v>
      </c>
      <c r="D4318">
        <v>5768028</v>
      </c>
      <c r="E4318" t="s">
        <v>330</v>
      </c>
    </row>
    <row r="4319" spans="1:5" x14ac:dyDescent="0.25">
      <c r="A4319">
        <v>1861</v>
      </c>
      <c r="B4319" s="16">
        <v>43556</v>
      </c>
      <c r="C4319" t="s">
        <v>166</v>
      </c>
      <c r="D4319">
        <v>5768028</v>
      </c>
      <c r="E4319" t="s">
        <v>330</v>
      </c>
    </row>
    <row r="4320" spans="1:5" x14ac:dyDescent="0.25">
      <c r="A4320">
        <v>1861</v>
      </c>
      <c r="B4320" s="16">
        <v>43586</v>
      </c>
      <c r="C4320" t="s">
        <v>166</v>
      </c>
      <c r="D4320">
        <v>5768028</v>
      </c>
      <c r="E4320" t="s">
        <v>330</v>
      </c>
    </row>
    <row r="4321" spans="1:5" x14ac:dyDescent="0.25">
      <c r="A4321">
        <v>1861</v>
      </c>
      <c r="B4321" s="16">
        <v>43617</v>
      </c>
      <c r="C4321" t="s">
        <v>166</v>
      </c>
      <c r="D4321">
        <v>5768028</v>
      </c>
      <c r="E4321" t="s">
        <v>330</v>
      </c>
    </row>
    <row r="4322" spans="1:5" x14ac:dyDescent="0.25">
      <c r="A4322">
        <v>1861</v>
      </c>
      <c r="B4322" s="16">
        <v>43647</v>
      </c>
      <c r="C4322" t="s">
        <v>166</v>
      </c>
      <c r="D4322">
        <v>5768028</v>
      </c>
      <c r="E4322" t="s">
        <v>330</v>
      </c>
    </row>
    <row r="4323" spans="1:5" x14ac:dyDescent="0.25">
      <c r="A4323">
        <v>1861</v>
      </c>
      <c r="B4323" s="16">
        <v>43678</v>
      </c>
      <c r="C4323" t="s">
        <v>166</v>
      </c>
      <c r="D4323">
        <v>5768028</v>
      </c>
      <c r="E4323" t="s">
        <v>330</v>
      </c>
    </row>
    <row r="4324" spans="1:5" x14ac:dyDescent="0.25">
      <c r="A4324">
        <v>1861</v>
      </c>
      <c r="B4324" s="16">
        <v>43709</v>
      </c>
      <c r="C4324" t="s">
        <v>166</v>
      </c>
      <c r="D4324">
        <v>5768028</v>
      </c>
      <c r="E4324" t="s">
        <v>330</v>
      </c>
    </row>
    <row r="4325" spans="1:5" x14ac:dyDescent="0.25">
      <c r="A4325">
        <v>1861</v>
      </c>
      <c r="B4325" s="16">
        <v>43739</v>
      </c>
      <c r="C4325" t="s">
        <v>166</v>
      </c>
      <c r="D4325">
        <v>5768028</v>
      </c>
      <c r="E4325" t="s">
        <v>330</v>
      </c>
    </row>
    <row r="4326" spans="1:5" x14ac:dyDescent="0.25">
      <c r="A4326">
        <v>1861</v>
      </c>
      <c r="B4326" s="16">
        <v>43770</v>
      </c>
      <c r="C4326" t="s">
        <v>166</v>
      </c>
      <c r="D4326">
        <v>5768028</v>
      </c>
      <c r="E4326" t="s">
        <v>330</v>
      </c>
    </row>
    <row r="4327" spans="1:5" x14ac:dyDescent="0.25">
      <c r="A4327">
        <v>1861</v>
      </c>
      <c r="B4327" s="16">
        <v>43800</v>
      </c>
      <c r="C4327" t="s">
        <v>166</v>
      </c>
      <c r="D4327">
        <v>5768028</v>
      </c>
      <c r="E4327" t="s">
        <v>330</v>
      </c>
    </row>
    <row r="4328" spans="1:5" x14ac:dyDescent="0.25">
      <c r="A4328">
        <v>1861</v>
      </c>
      <c r="B4328" s="16">
        <v>43831</v>
      </c>
      <c r="C4328" t="s">
        <v>166</v>
      </c>
      <c r="D4328">
        <v>5768028</v>
      </c>
      <c r="E4328" t="s">
        <v>330</v>
      </c>
    </row>
    <row r="4329" spans="1:5" x14ac:dyDescent="0.25">
      <c r="A4329">
        <v>1861</v>
      </c>
      <c r="B4329" s="16">
        <v>43862</v>
      </c>
      <c r="C4329" t="s">
        <v>166</v>
      </c>
      <c r="D4329">
        <v>5768028</v>
      </c>
      <c r="E4329" t="s">
        <v>330</v>
      </c>
    </row>
    <row r="4330" spans="1:5" x14ac:dyDescent="0.25">
      <c r="A4330">
        <v>1861</v>
      </c>
      <c r="B4330" s="16">
        <v>43891</v>
      </c>
      <c r="C4330" t="s">
        <v>166</v>
      </c>
      <c r="D4330">
        <v>5768028</v>
      </c>
      <c r="E4330" t="s">
        <v>330</v>
      </c>
    </row>
    <row r="4331" spans="1:5" x14ac:dyDescent="0.25">
      <c r="A4331">
        <v>1861</v>
      </c>
      <c r="B4331" s="16">
        <v>43922</v>
      </c>
      <c r="C4331" t="s">
        <v>166</v>
      </c>
      <c r="D4331">
        <v>5768028</v>
      </c>
      <c r="E4331" t="s">
        <v>330</v>
      </c>
    </row>
    <row r="4332" spans="1:5" x14ac:dyDescent="0.25">
      <c r="A4332">
        <v>1861</v>
      </c>
      <c r="B4332" s="16">
        <v>43952</v>
      </c>
      <c r="C4332" t="s">
        <v>166</v>
      </c>
      <c r="D4332">
        <v>5768028</v>
      </c>
      <c r="E4332" t="s">
        <v>330</v>
      </c>
    </row>
    <row r="4333" spans="1:5" x14ac:dyDescent="0.25">
      <c r="A4333">
        <v>1861</v>
      </c>
      <c r="B4333" s="16">
        <v>43983</v>
      </c>
      <c r="C4333" t="s">
        <v>166</v>
      </c>
      <c r="D4333">
        <v>5768028</v>
      </c>
      <c r="E4333" t="s">
        <v>330</v>
      </c>
    </row>
    <row r="4334" spans="1:5" x14ac:dyDescent="0.25">
      <c r="A4334">
        <v>1861</v>
      </c>
      <c r="B4334" s="16">
        <v>44013</v>
      </c>
      <c r="C4334" t="s">
        <v>166</v>
      </c>
      <c r="D4334">
        <v>5768028</v>
      </c>
      <c r="E4334" t="s">
        <v>330</v>
      </c>
    </row>
    <row r="4335" spans="1:5" x14ac:dyDescent="0.25">
      <c r="A4335">
        <v>1861</v>
      </c>
      <c r="B4335" s="16">
        <v>44044</v>
      </c>
      <c r="C4335" t="s">
        <v>166</v>
      </c>
      <c r="D4335">
        <v>5768028</v>
      </c>
      <c r="E4335" t="s">
        <v>330</v>
      </c>
    </row>
    <row r="4336" spans="1:5" x14ac:dyDescent="0.25">
      <c r="A4336">
        <v>1861</v>
      </c>
      <c r="B4336" s="16">
        <v>44075</v>
      </c>
      <c r="C4336" t="s">
        <v>166</v>
      </c>
      <c r="D4336">
        <v>5768028</v>
      </c>
      <c r="E4336" t="s">
        <v>330</v>
      </c>
    </row>
    <row r="4337" spans="1:5" x14ac:dyDescent="0.25">
      <c r="A4337">
        <v>1861</v>
      </c>
      <c r="B4337" s="16">
        <v>44105</v>
      </c>
      <c r="C4337" t="s">
        <v>166</v>
      </c>
      <c r="D4337">
        <v>5768028</v>
      </c>
      <c r="E4337" t="s">
        <v>330</v>
      </c>
    </row>
    <row r="4338" spans="1:5" x14ac:dyDescent="0.25">
      <c r="A4338">
        <v>1861</v>
      </c>
      <c r="B4338" s="16">
        <v>44136</v>
      </c>
      <c r="C4338" t="s">
        <v>166</v>
      </c>
      <c r="D4338">
        <v>5768028</v>
      </c>
      <c r="E4338" t="s">
        <v>330</v>
      </c>
    </row>
    <row r="4339" spans="1:5" x14ac:dyDescent="0.25">
      <c r="A4339">
        <v>1861</v>
      </c>
      <c r="B4339" s="16">
        <v>43466</v>
      </c>
      <c r="C4339" t="s">
        <v>166</v>
      </c>
      <c r="D4339">
        <v>5853202.4250000007</v>
      </c>
      <c r="E4339" t="s">
        <v>330</v>
      </c>
    </row>
    <row r="4340" spans="1:5" x14ac:dyDescent="0.25">
      <c r="A4340">
        <v>1861</v>
      </c>
      <c r="B4340" s="16">
        <v>43497</v>
      </c>
      <c r="C4340" t="s">
        <v>166</v>
      </c>
      <c r="D4340">
        <v>5853202.4250000007</v>
      </c>
      <c r="E4340" t="s">
        <v>330</v>
      </c>
    </row>
    <row r="4341" spans="1:5" x14ac:dyDescent="0.25">
      <c r="A4341">
        <v>1861</v>
      </c>
      <c r="B4341" s="16">
        <v>43525</v>
      </c>
      <c r="C4341" t="s">
        <v>166</v>
      </c>
      <c r="D4341">
        <v>5853202.4250000007</v>
      </c>
      <c r="E4341" t="s">
        <v>330</v>
      </c>
    </row>
    <row r="4342" spans="1:5" x14ac:dyDescent="0.25">
      <c r="A4342">
        <v>1861</v>
      </c>
      <c r="B4342" s="16">
        <v>43556</v>
      </c>
      <c r="C4342" t="s">
        <v>166</v>
      </c>
      <c r="D4342">
        <v>5853202.4250000007</v>
      </c>
      <c r="E4342" t="s">
        <v>330</v>
      </c>
    </row>
    <row r="4343" spans="1:5" x14ac:dyDescent="0.25">
      <c r="A4343">
        <v>1861</v>
      </c>
      <c r="B4343" s="16">
        <v>43586</v>
      </c>
      <c r="C4343" t="s">
        <v>166</v>
      </c>
      <c r="D4343">
        <v>5853202.4250000007</v>
      </c>
      <c r="E4343" t="s">
        <v>330</v>
      </c>
    </row>
    <row r="4344" spans="1:5" x14ac:dyDescent="0.25">
      <c r="A4344">
        <v>1861</v>
      </c>
      <c r="B4344" s="16">
        <v>43617</v>
      </c>
      <c r="C4344" t="s">
        <v>166</v>
      </c>
      <c r="D4344">
        <v>5853202.4250000007</v>
      </c>
      <c r="E4344" t="s">
        <v>330</v>
      </c>
    </row>
    <row r="4345" spans="1:5" x14ac:dyDescent="0.25">
      <c r="A4345">
        <v>1861</v>
      </c>
      <c r="B4345" s="16">
        <v>43647</v>
      </c>
      <c r="C4345" t="s">
        <v>166</v>
      </c>
      <c r="D4345">
        <v>5853202.4250000007</v>
      </c>
      <c r="E4345" t="s">
        <v>330</v>
      </c>
    </row>
    <row r="4346" spans="1:5" x14ac:dyDescent="0.25">
      <c r="A4346">
        <v>1861</v>
      </c>
      <c r="B4346" s="16">
        <v>43678</v>
      </c>
      <c r="C4346" t="s">
        <v>166</v>
      </c>
      <c r="D4346">
        <v>5853202.4250000007</v>
      </c>
      <c r="E4346" t="s">
        <v>330</v>
      </c>
    </row>
    <row r="4347" spans="1:5" x14ac:dyDescent="0.25">
      <c r="A4347">
        <v>1861</v>
      </c>
      <c r="B4347" s="16">
        <v>43709</v>
      </c>
      <c r="C4347" t="s">
        <v>166</v>
      </c>
      <c r="D4347">
        <v>5853202.4250000007</v>
      </c>
      <c r="E4347" t="s">
        <v>330</v>
      </c>
    </row>
    <row r="4348" spans="1:5" x14ac:dyDescent="0.25">
      <c r="A4348">
        <v>1861</v>
      </c>
      <c r="B4348" s="16">
        <v>43739</v>
      </c>
      <c r="C4348" t="s">
        <v>166</v>
      </c>
      <c r="D4348">
        <v>5853202.4250000007</v>
      </c>
      <c r="E4348" t="s">
        <v>330</v>
      </c>
    </row>
    <row r="4349" spans="1:5" x14ac:dyDescent="0.25">
      <c r="A4349">
        <v>1861</v>
      </c>
      <c r="B4349" s="16">
        <v>43770</v>
      </c>
      <c r="C4349" t="s">
        <v>166</v>
      </c>
      <c r="D4349">
        <v>5853202.4250000007</v>
      </c>
      <c r="E4349" t="s">
        <v>330</v>
      </c>
    </row>
    <row r="4350" spans="1:5" x14ac:dyDescent="0.25">
      <c r="A4350">
        <v>1861</v>
      </c>
      <c r="B4350" s="16">
        <v>43800</v>
      </c>
      <c r="C4350" t="s">
        <v>166</v>
      </c>
      <c r="D4350">
        <v>5853202.4250000007</v>
      </c>
      <c r="E4350" t="s">
        <v>330</v>
      </c>
    </row>
    <row r="4351" spans="1:5" x14ac:dyDescent="0.25">
      <c r="A4351">
        <v>1861</v>
      </c>
      <c r="B4351" s="16">
        <v>43831</v>
      </c>
      <c r="C4351" t="s">
        <v>166</v>
      </c>
      <c r="D4351">
        <v>5853202.4250000007</v>
      </c>
      <c r="E4351" t="s">
        <v>330</v>
      </c>
    </row>
    <row r="4352" spans="1:5" x14ac:dyDescent="0.25">
      <c r="A4352">
        <v>1861</v>
      </c>
      <c r="B4352" s="16">
        <v>43862</v>
      </c>
      <c r="C4352" t="s">
        <v>166</v>
      </c>
      <c r="D4352">
        <v>5853202.4250000007</v>
      </c>
      <c r="E4352" t="s">
        <v>330</v>
      </c>
    </row>
    <row r="4353" spans="1:5" x14ac:dyDescent="0.25">
      <c r="A4353">
        <v>1861</v>
      </c>
      <c r="B4353" s="16">
        <v>43891</v>
      </c>
      <c r="C4353" t="s">
        <v>166</v>
      </c>
      <c r="D4353">
        <v>5853202.4250000007</v>
      </c>
      <c r="E4353" t="s">
        <v>330</v>
      </c>
    </row>
    <row r="4354" spans="1:5" x14ac:dyDescent="0.25">
      <c r="A4354">
        <v>1861</v>
      </c>
      <c r="B4354" s="16">
        <v>43922</v>
      </c>
      <c r="C4354" t="s">
        <v>166</v>
      </c>
      <c r="D4354">
        <v>5853202.4250000007</v>
      </c>
      <c r="E4354" t="s">
        <v>330</v>
      </c>
    </row>
    <row r="4355" spans="1:5" x14ac:dyDescent="0.25">
      <c r="A4355">
        <v>1861</v>
      </c>
      <c r="B4355" s="16">
        <v>43952</v>
      </c>
      <c r="C4355" t="s">
        <v>166</v>
      </c>
      <c r="D4355">
        <v>5853202.4250000007</v>
      </c>
      <c r="E4355" t="s">
        <v>330</v>
      </c>
    </row>
    <row r="4356" spans="1:5" x14ac:dyDescent="0.25">
      <c r="A4356">
        <v>1861</v>
      </c>
      <c r="B4356" s="16">
        <v>43466</v>
      </c>
      <c r="C4356" t="s">
        <v>12</v>
      </c>
      <c r="D4356">
        <v>11280052.350000001</v>
      </c>
      <c r="E4356" t="s">
        <v>330</v>
      </c>
    </row>
    <row r="4357" spans="1:5" x14ac:dyDescent="0.25">
      <c r="A4357">
        <v>1861</v>
      </c>
      <c r="B4357" s="16">
        <v>43497</v>
      </c>
      <c r="C4357" t="s">
        <v>12</v>
      </c>
      <c r="D4357">
        <v>11280052.350000001</v>
      </c>
      <c r="E4357" t="s">
        <v>330</v>
      </c>
    </row>
    <row r="4358" spans="1:5" x14ac:dyDescent="0.25">
      <c r="A4358">
        <v>1861</v>
      </c>
      <c r="B4358" s="16">
        <v>43525</v>
      </c>
      <c r="C4358" t="s">
        <v>12</v>
      </c>
      <c r="D4358">
        <v>11280052.350000001</v>
      </c>
      <c r="E4358" t="s">
        <v>330</v>
      </c>
    </row>
    <row r="4359" spans="1:5" x14ac:dyDescent="0.25">
      <c r="A4359">
        <v>1861</v>
      </c>
      <c r="B4359" s="16">
        <v>43556</v>
      </c>
      <c r="C4359" t="s">
        <v>12</v>
      </c>
      <c r="D4359">
        <v>11280052.350000001</v>
      </c>
      <c r="E4359" t="s">
        <v>330</v>
      </c>
    </row>
    <row r="4360" spans="1:5" x14ac:dyDescent="0.25">
      <c r="A4360">
        <v>1861</v>
      </c>
      <c r="B4360" s="16">
        <v>43586</v>
      </c>
      <c r="C4360" t="s">
        <v>12</v>
      </c>
      <c r="D4360">
        <v>11280052.350000001</v>
      </c>
      <c r="E4360" t="s">
        <v>330</v>
      </c>
    </row>
    <row r="4361" spans="1:5" x14ac:dyDescent="0.25">
      <c r="A4361">
        <v>1861</v>
      </c>
      <c r="B4361" s="16">
        <v>43617</v>
      </c>
      <c r="C4361" t="s">
        <v>12</v>
      </c>
      <c r="D4361">
        <v>11280052.350000001</v>
      </c>
      <c r="E4361" t="s">
        <v>330</v>
      </c>
    </row>
    <row r="4362" spans="1:5" x14ac:dyDescent="0.25">
      <c r="A4362">
        <v>1861</v>
      </c>
      <c r="B4362" s="16">
        <v>43647</v>
      </c>
      <c r="C4362" t="s">
        <v>12</v>
      </c>
      <c r="D4362">
        <v>11280052.350000001</v>
      </c>
      <c r="E4362" t="s">
        <v>330</v>
      </c>
    </row>
    <row r="4363" spans="1:5" x14ac:dyDescent="0.25">
      <c r="A4363">
        <v>1861</v>
      </c>
      <c r="B4363" s="16">
        <v>43678</v>
      </c>
      <c r="C4363" t="s">
        <v>12</v>
      </c>
      <c r="D4363">
        <v>11280052.350000001</v>
      </c>
      <c r="E4363" t="s">
        <v>330</v>
      </c>
    </row>
    <row r="4364" spans="1:5" x14ac:dyDescent="0.25">
      <c r="A4364">
        <v>1861</v>
      </c>
      <c r="B4364" s="16">
        <v>43709</v>
      </c>
      <c r="C4364" t="s">
        <v>12</v>
      </c>
      <c r="D4364">
        <v>11280052.350000001</v>
      </c>
      <c r="E4364" t="s">
        <v>330</v>
      </c>
    </row>
    <row r="4365" spans="1:5" x14ac:dyDescent="0.25">
      <c r="A4365">
        <v>1861</v>
      </c>
      <c r="B4365" s="16">
        <v>43739</v>
      </c>
      <c r="C4365" t="s">
        <v>12</v>
      </c>
      <c r="D4365">
        <v>11280052.350000001</v>
      </c>
      <c r="E4365" t="s">
        <v>330</v>
      </c>
    </row>
    <row r="4366" spans="1:5" x14ac:dyDescent="0.25">
      <c r="A4366">
        <v>1861</v>
      </c>
      <c r="B4366" s="16">
        <v>43770</v>
      </c>
      <c r="C4366" t="s">
        <v>12</v>
      </c>
      <c r="D4366">
        <v>11280052.350000001</v>
      </c>
      <c r="E4366" t="s">
        <v>330</v>
      </c>
    </row>
    <row r="4367" spans="1:5" x14ac:dyDescent="0.25">
      <c r="A4367">
        <v>1861</v>
      </c>
      <c r="B4367" s="16">
        <v>43800</v>
      </c>
      <c r="C4367" t="s">
        <v>12</v>
      </c>
      <c r="D4367">
        <v>11280052.350000001</v>
      </c>
      <c r="E4367" t="s">
        <v>330</v>
      </c>
    </row>
    <row r="4368" spans="1:5" x14ac:dyDescent="0.25">
      <c r="A4368">
        <v>1861</v>
      </c>
      <c r="B4368" s="16">
        <v>43831</v>
      </c>
      <c r="C4368" t="s">
        <v>12</v>
      </c>
      <c r="D4368">
        <v>11280052.350000001</v>
      </c>
      <c r="E4368" t="s">
        <v>330</v>
      </c>
    </row>
    <row r="4369" spans="1:5" x14ac:dyDescent="0.25">
      <c r="A4369">
        <v>1861</v>
      </c>
      <c r="B4369" s="16">
        <v>43862</v>
      </c>
      <c r="C4369" t="s">
        <v>12</v>
      </c>
      <c r="D4369">
        <v>11280052.350000001</v>
      </c>
      <c r="E4369" t="s">
        <v>330</v>
      </c>
    </row>
    <row r="4370" spans="1:5" x14ac:dyDescent="0.25">
      <c r="A4370">
        <v>1861</v>
      </c>
      <c r="B4370" s="16">
        <v>43891</v>
      </c>
      <c r="C4370" t="s">
        <v>12</v>
      </c>
      <c r="D4370">
        <v>11280052.350000001</v>
      </c>
      <c r="E4370" t="s">
        <v>330</v>
      </c>
    </row>
    <row r="4371" spans="1:5" x14ac:dyDescent="0.25">
      <c r="A4371">
        <v>1861</v>
      </c>
      <c r="B4371" s="16">
        <v>43922</v>
      </c>
      <c r="C4371" t="s">
        <v>12</v>
      </c>
      <c r="D4371">
        <v>11280052.350000001</v>
      </c>
      <c r="E4371" t="s">
        <v>330</v>
      </c>
    </row>
    <row r="4372" spans="1:5" x14ac:dyDescent="0.25">
      <c r="A4372">
        <v>1861</v>
      </c>
      <c r="B4372" s="16">
        <v>43952</v>
      </c>
      <c r="C4372" t="s">
        <v>12</v>
      </c>
      <c r="D4372">
        <v>11280052.350000001</v>
      </c>
      <c r="E4372" t="s">
        <v>330</v>
      </c>
    </row>
    <row r="4373" spans="1:5" x14ac:dyDescent="0.25">
      <c r="A4373">
        <v>1861</v>
      </c>
      <c r="B4373" s="16">
        <v>43983</v>
      </c>
      <c r="C4373" t="s">
        <v>12</v>
      </c>
      <c r="D4373">
        <v>11280052.350000001</v>
      </c>
      <c r="E4373" t="s">
        <v>330</v>
      </c>
    </row>
    <row r="4374" spans="1:5" x14ac:dyDescent="0.25">
      <c r="A4374">
        <v>1861</v>
      </c>
      <c r="B4374" s="16">
        <v>44013</v>
      </c>
      <c r="C4374" t="s">
        <v>12</v>
      </c>
      <c r="D4374">
        <v>11280052.350000001</v>
      </c>
      <c r="E4374" t="s">
        <v>330</v>
      </c>
    </row>
    <row r="4375" spans="1:5" x14ac:dyDescent="0.25">
      <c r="A4375">
        <v>1861</v>
      </c>
      <c r="B4375" s="16">
        <v>44044</v>
      </c>
      <c r="C4375" t="s">
        <v>12</v>
      </c>
      <c r="D4375">
        <v>11280052.350000001</v>
      </c>
      <c r="E4375" t="s">
        <v>330</v>
      </c>
    </row>
    <row r="4376" spans="1:5" x14ac:dyDescent="0.25">
      <c r="A4376">
        <v>1861</v>
      </c>
      <c r="B4376" s="16">
        <v>44075</v>
      </c>
      <c r="C4376" t="s">
        <v>12</v>
      </c>
      <c r="D4376">
        <v>11280052.350000001</v>
      </c>
      <c r="E4376" t="s">
        <v>330</v>
      </c>
    </row>
    <row r="4377" spans="1:5" x14ac:dyDescent="0.25">
      <c r="A4377">
        <v>1861</v>
      </c>
      <c r="B4377" s="16">
        <v>43466</v>
      </c>
      <c r="C4377" t="s">
        <v>167</v>
      </c>
      <c r="D4377">
        <v>4765579.4024999999</v>
      </c>
      <c r="E4377" t="s">
        <v>330</v>
      </c>
    </row>
    <row r="4378" spans="1:5" x14ac:dyDescent="0.25">
      <c r="A4378">
        <v>1861</v>
      </c>
      <c r="B4378" s="16">
        <v>43497</v>
      </c>
      <c r="C4378" t="s">
        <v>167</v>
      </c>
      <c r="D4378">
        <v>4765579.4024999999</v>
      </c>
      <c r="E4378" t="s">
        <v>330</v>
      </c>
    </row>
    <row r="4379" spans="1:5" x14ac:dyDescent="0.25">
      <c r="A4379">
        <v>1861</v>
      </c>
      <c r="B4379" s="16">
        <v>43525</v>
      </c>
      <c r="C4379" t="s">
        <v>167</v>
      </c>
      <c r="D4379">
        <v>4765579.4024999999</v>
      </c>
      <c r="E4379" t="s">
        <v>330</v>
      </c>
    </row>
    <row r="4380" spans="1:5" x14ac:dyDescent="0.25">
      <c r="A4380">
        <v>1861</v>
      </c>
      <c r="B4380" s="16">
        <v>43556</v>
      </c>
      <c r="C4380" t="s">
        <v>167</v>
      </c>
      <c r="D4380">
        <v>4765579.4024999999</v>
      </c>
      <c r="E4380" t="s">
        <v>330</v>
      </c>
    </row>
    <row r="4381" spans="1:5" x14ac:dyDescent="0.25">
      <c r="A4381">
        <v>1861</v>
      </c>
      <c r="B4381" s="16">
        <v>43586</v>
      </c>
      <c r="C4381" t="s">
        <v>167</v>
      </c>
      <c r="D4381">
        <v>4765579.4024999999</v>
      </c>
      <c r="E4381" t="s">
        <v>330</v>
      </c>
    </row>
    <row r="4382" spans="1:5" x14ac:dyDescent="0.25">
      <c r="A4382">
        <v>1861</v>
      </c>
      <c r="B4382" s="16">
        <v>43617</v>
      </c>
      <c r="C4382" t="s">
        <v>167</v>
      </c>
      <c r="D4382">
        <v>4765579.4024999999</v>
      </c>
      <c r="E4382" t="s">
        <v>330</v>
      </c>
    </row>
    <row r="4383" spans="1:5" x14ac:dyDescent="0.25">
      <c r="A4383">
        <v>1861</v>
      </c>
      <c r="B4383" s="16">
        <v>43647</v>
      </c>
      <c r="C4383" t="s">
        <v>167</v>
      </c>
      <c r="D4383">
        <v>4765579.4024999999</v>
      </c>
      <c r="E4383" t="s">
        <v>330</v>
      </c>
    </row>
    <row r="4384" spans="1:5" x14ac:dyDescent="0.25">
      <c r="A4384">
        <v>1861</v>
      </c>
      <c r="B4384" s="16">
        <v>43678</v>
      </c>
      <c r="C4384" t="s">
        <v>167</v>
      </c>
      <c r="D4384">
        <v>4765579.4024999999</v>
      </c>
      <c r="E4384" t="s">
        <v>330</v>
      </c>
    </row>
    <row r="4385" spans="1:5" x14ac:dyDescent="0.25">
      <c r="A4385">
        <v>1861</v>
      </c>
      <c r="B4385" s="16">
        <v>43709</v>
      </c>
      <c r="C4385" t="s">
        <v>167</v>
      </c>
      <c r="D4385">
        <v>4765579.4024999999</v>
      </c>
      <c r="E4385" t="s">
        <v>330</v>
      </c>
    </row>
    <row r="4386" spans="1:5" x14ac:dyDescent="0.25">
      <c r="A4386">
        <v>1861</v>
      </c>
      <c r="B4386" s="16">
        <v>43739</v>
      </c>
      <c r="C4386" t="s">
        <v>167</v>
      </c>
      <c r="D4386">
        <v>4765579.4024999999</v>
      </c>
      <c r="E4386" t="s">
        <v>330</v>
      </c>
    </row>
    <row r="4387" spans="1:5" x14ac:dyDescent="0.25">
      <c r="A4387">
        <v>1861</v>
      </c>
      <c r="B4387" s="16">
        <v>43770</v>
      </c>
      <c r="C4387" t="s">
        <v>167</v>
      </c>
      <c r="D4387">
        <v>4765579.4024999999</v>
      </c>
      <c r="E4387" t="s">
        <v>330</v>
      </c>
    </row>
    <row r="4388" spans="1:5" x14ac:dyDescent="0.25">
      <c r="A4388">
        <v>1861</v>
      </c>
      <c r="B4388" s="16">
        <v>43800</v>
      </c>
      <c r="C4388" t="s">
        <v>167</v>
      </c>
      <c r="D4388">
        <v>4765579.4024999999</v>
      </c>
      <c r="E4388" t="s">
        <v>330</v>
      </c>
    </row>
    <row r="4389" spans="1:5" x14ac:dyDescent="0.25">
      <c r="A4389">
        <v>1861</v>
      </c>
      <c r="B4389" s="16">
        <v>43831</v>
      </c>
      <c r="C4389" t="s">
        <v>167</v>
      </c>
      <c r="D4389">
        <v>4765579.4024999999</v>
      </c>
      <c r="E4389" t="s">
        <v>330</v>
      </c>
    </row>
    <row r="4390" spans="1:5" x14ac:dyDescent="0.25">
      <c r="A4390">
        <v>1861</v>
      </c>
      <c r="B4390" s="16">
        <v>43862</v>
      </c>
      <c r="C4390" t="s">
        <v>167</v>
      </c>
      <c r="D4390">
        <v>4765579.4024999999</v>
      </c>
      <c r="E4390" t="s">
        <v>330</v>
      </c>
    </row>
    <row r="4391" spans="1:5" x14ac:dyDescent="0.25">
      <c r="A4391">
        <v>1861</v>
      </c>
      <c r="B4391" s="16">
        <v>43891</v>
      </c>
      <c r="C4391" t="s">
        <v>167</v>
      </c>
      <c r="D4391">
        <v>4765579.4024999999</v>
      </c>
      <c r="E4391" t="s">
        <v>330</v>
      </c>
    </row>
    <row r="4392" spans="1:5" x14ac:dyDescent="0.25">
      <c r="A4392">
        <v>1861</v>
      </c>
      <c r="B4392" s="16">
        <v>43922</v>
      </c>
      <c r="C4392" t="s">
        <v>167</v>
      </c>
      <c r="D4392">
        <v>4765579.4024999999</v>
      </c>
      <c r="E4392" t="s">
        <v>330</v>
      </c>
    </row>
    <row r="4393" spans="1:5" x14ac:dyDescent="0.25">
      <c r="A4393">
        <v>1861</v>
      </c>
      <c r="B4393" s="16">
        <v>43952</v>
      </c>
      <c r="C4393" t="s">
        <v>167</v>
      </c>
      <c r="D4393">
        <v>4765579.4024999999</v>
      </c>
      <c r="E4393" t="s">
        <v>330</v>
      </c>
    </row>
    <row r="4394" spans="1:5" x14ac:dyDescent="0.25">
      <c r="A4394">
        <v>1861</v>
      </c>
      <c r="B4394" s="16">
        <v>43983</v>
      </c>
      <c r="C4394" t="s">
        <v>167</v>
      </c>
      <c r="D4394">
        <v>4765579.4024999999</v>
      </c>
      <c r="E4394" t="s">
        <v>330</v>
      </c>
    </row>
    <row r="4395" spans="1:5" x14ac:dyDescent="0.25">
      <c r="A4395">
        <v>1861</v>
      </c>
      <c r="B4395" s="16">
        <v>44013</v>
      </c>
      <c r="C4395" t="s">
        <v>167</v>
      </c>
      <c r="D4395">
        <v>4765579.4024999999</v>
      </c>
      <c r="E4395" t="s">
        <v>330</v>
      </c>
    </row>
    <row r="4396" spans="1:5" x14ac:dyDescent="0.25">
      <c r="A4396">
        <v>1861</v>
      </c>
      <c r="B4396" s="16">
        <v>44044</v>
      </c>
      <c r="C4396" t="s">
        <v>167</v>
      </c>
      <c r="D4396">
        <v>4765579.4024999999</v>
      </c>
      <c r="E4396" t="s">
        <v>330</v>
      </c>
    </row>
    <row r="4397" spans="1:5" x14ac:dyDescent="0.25">
      <c r="A4397">
        <v>1861</v>
      </c>
      <c r="B4397" s="16">
        <v>44075</v>
      </c>
      <c r="C4397" t="s">
        <v>167</v>
      </c>
      <c r="D4397">
        <v>4765579.4024999999</v>
      </c>
      <c r="E4397" t="s">
        <v>330</v>
      </c>
    </row>
    <row r="4398" spans="1:5" x14ac:dyDescent="0.25">
      <c r="A4398">
        <v>1861</v>
      </c>
      <c r="B4398" s="16">
        <v>44105</v>
      </c>
      <c r="C4398" t="s">
        <v>167</v>
      </c>
      <c r="D4398">
        <v>4765579.4024999999</v>
      </c>
      <c r="E4398" t="s">
        <v>330</v>
      </c>
    </row>
    <row r="4399" spans="1:5" x14ac:dyDescent="0.25">
      <c r="A4399">
        <v>1861</v>
      </c>
      <c r="B4399" s="16">
        <v>44136</v>
      </c>
      <c r="C4399" t="s">
        <v>167</v>
      </c>
      <c r="D4399">
        <v>4765579.4024999999</v>
      </c>
      <c r="E4399" t="s">
        <v>330</v>
      </c>
    </row>
    <row r="4400" spans="1:5" x14ac:dyDescent="0.25">
      <c r="A4400">
        <v>1861</v>
      </c>
      <c r="B4400" s="16">
        <v>43466</v>
      </c>
      <c r="C4400" t="s">
        <v>167</v>
      </c>
      <c r="D4400">
        <v>6204394.5704999994</v>
      </c>
      <c r="E4400" t="s">
        <v>330</v>
      </c>
    </row>
    <row r="4401" spans="1:5" x14ac:dyDescent="0.25">
      <c r="A4401">
        <v>1861</v>
      </c>
      <c r="B4401" s="16">
        <v>43497</v>
      </c>
      <c r="C4401" t="s">
        <v>167</v>
      </c>
      <c r="D4401">
        <v>6204394.5704999994</v>
      </c>
      <c r="E4401" t="s">
        <v>330</v>
      </c>
    </row>
    <row r="4402" spans="1:5" x14ac:dyDescent="0.25">
      <c r="A4402">
        <v>1861</v>
      </c>
      <c r="B4402" s="16">
        <v>43525</v>
      </c>
      <c r="C4402" t="s">
        <v>167</v>
      </c>
      <c r="D4402">
        <v>6204394.5704999994</v>
      </c>
      <c r="E4402" t="s">
        <v>330</v>
      </c>
    </row>
    <row r="4403" spans="1:5" x14ac:dyDescent="0.25">
      <c r="A4403">
        <v>1861</v>
      </c>
      <c r="B4403" s="16">
        <v>43556</v>
      </c>
      <c r="C4403" t="s">
        <v>167</v>
      </c>
      <c r="D4403">
        <v>6204394.5704999994</v>
      </c>
      <c r="E4403" t="s">
        <v>330</v>
      </c>
    </row>
    <row r="4404" spans="1:5" x14ac:dyDescent="0.25">
      <c r="A4404">
        <v>1861</v>
      </c>
      <c r="B4404" s="16">
        <v>43586</v>
      </c>
      <c r="C4404" t="s">
        <v>167</v>
      </c>
      <c r="D4404">
        <v>6204394.5704999994</v>
      </c>
      <c r="E4404" t="s">
        <v>330</v>
      </c>
    </row>
    <row r="4405" spans="1:5" x14ac:dyDescent="0.25">
      <c r="A4405">
        <v>1861</v>
      </c>
      <c r="B4405" s="16">
        <v>43617</v>
      </c>
      <c r="C4405" t="s">
        <v>167</v>
      </c>
      <c r="D4405">
        <v>6204394.5704999994</v>
      </c>
      <c r="E4405" t="s">
        <v>330</v>
      </c>
    </row>
    <row r="4406" spans="1:5" x14ac:dyDescent="0.25">
      <c r="A4406">
        <v>1861</v>
      </c>
      <c r="B4406" s="16">
        <v>43647</v>
      </c>
      <c r="C4406" t="s">
        <v>167</v>
      </c>
      <c r="D4406">
        <v>6204394.5704999994</v>
      </c>
      <c r="E4406" t="s">
        <v>330</v>
      </c>
    </row>
    <row r="4407" spans="1:5" x14ac:dyDescent="0.25">
      <c r="A4407">
        <v>1861</v>
      </c>
      <c r="B4407" s="16">
        <v>43678</v>
      </c>
      <c r="C4407" t="s">
        <v>167</v>
      </c>
      <c r="D4407">
        <v>6204394.5704999994</v>
      </c>
      <c r="E4407" t="s">
        <v>330</v>
      </c>
    </row>
    <row r="4408" spans="1:5" x14ac:dyDescent="0.25">
      <c r="A4408">
        <v>1861</v>
      </c>
      <c r="B4408" s="16">
        <v>43709</v>
      </c>
      <c r="C4408" t="s">
        <v>167</v>
      </c>
      <c r="D4408">
        <v>6204394.5704999994</v>
      </c>
      <c r="E4408" t="s">
        <v>330</v>
      </c>
    </row>
    <row r="4409" spans="1:5" x14ac:dyDescent="0.25">
      <c r="A4409">
        <v>1861</v>
      </c>
      <c r="B4409" s="16">
        <v>43739</v>
      </c>
      <c r="C4409" t="s">
        <v>167</v>
      </c>
      <c r="D4409">
        <v>6204394.5704999994</v>
      </c>
      <c r="E4409" t="s">
        <v>330</v>
      </c>
    </row>
    <row r="4410" spans="1:5" x14ac:dyDescent="0.25">
      <c r="A4410">
        <v>1861</v>
      </c>
      <c r="B4410" s="16">
        <v>43770</v>
      </c>
      <c r="C4410" t="s">
        <v>167</v>
      </c>
      <c r="D4410">
        <v>6204394.5704999994</v>
      </c>
      <c r="E4410" t="s">
        <v>330</v>
      </c>
    </row>
    <row r="4411" spans="1:5" x14ac:dyDescent="0.25">
      <c r="A4411">
        <v>1861</v>
      </c>
      <c r="B4411" s="16">
        <v>43800</v>
      </c>
      <c r="C4411" t="s">
        <v>167</v>
      </c>
      <c r="D4411">
        <v>6204394.5704999994</v>
      </c>
      <c r="E4411" t="s">
        <v>330</v>
      </c>
    </row>
    <row r="4412" spans="1:5" x14ac:dyDescent="0.25">
      <c r="A4412">
        <v>1861</v>
      </c>
      <c r="B4412" s="16">
        <v>43831</v>
      </c>
      <c r="C4412" t="s">
        <v>167</v>
      </c>
      <c r="D4412">
        <v>6204394.5704999994</v>
      </c>
      <c r="E4412" t="s">
        <v>330</v>
      </c>
    </row>
    <row r="4413" spans="1:5" x14ac:dyDescent="0.25">
      <c r="A4413">
        <v>1861</v>
      </c>
      <c r="B4413" s="16">
        <v>43862</v>
      </c>
      <c r="C4413" t="s">
        <v>167</v>
      </c>
      <c r="D4413">
        <v>6204394.5704999994</v>
      </c>
      <c r="E4413" t="s">
        <v>330</v>
      </c>
    </row>
    <row r="4414" spans="1:5" x14ac:dyDescent="0.25">
      <c r="A4414">
        <v>1861</v>
      </c>
      <c r="B4414" s="16">
        <v>43891</v>
      </c>
      <c r="C4414" t="s">
        <v>167</v>
      </c>
      <c r="D4414">
        <v>6204394.5704999994</v>
      </c>
      <c r="E4414" t="s">
        <v>330</v>
      </c>
    </row>
    <row r="4415" spans="1:5" x14ac:dyDescent="0.25">
      <c r="A4415">
        <v>1861</v>
      </c>
      <c r="B4415" s="16">
        <v>43922</v>
      </c>
      <c r="C4415" t="s">
        <v>167</v>
      </c>
      <c r="D4415">
        <v>6204394.5704999994</v>
      </c>
      <c r="E4415" t="s">
        <v>330</v>
      </c>
    </row>
    <row r="4416" spans="1:5" x14ac:dyDescent="0.25">
      <c r="A4416">
        <v>1861</v>
      </c>
      <c r="B4416" s="16">
        <v>43952</v>
      </c>
      <c r="C4416" t="s">
        <v>167</v>
      </c>
      <c r="D4416">
        <v>6204394.5704999994</v>
      </c>
      <c r="E4416" t="s">
        <v>330</v>
      </c>
    </row>
    <row r="4417" spans="1:5" x14ac:dyDescent="0.25">
      <c r="A4417">
        <v>1861</v>
      </c>
      <c r="B4417" s="16">
        <v>43466</v>
      </c>
      <c r="C4417" t="s">
        <v>168</v>
      </c>
      <c r="D4417">
        <v>4314814.4024999999</v>
      </c>
      <c r="E4417" t="s">
        <v>330</v>
      </c>
    </row>
    <row r="4418" spans="1:5" x14ac:dyDescent="0.25">
      <c r="A4418">
        <v>1861</v>
      </c>
      <c r="B4418" s="16">
        <v>43497</v>
      </c>
      <c r="C4418" t="s">
        <v>168</v>
      </c>
      <c r="D4418">
        <v>4314814.4024999999</v>
      </c>
      <c r="E4418" t="s">
        <v>330</v>
      </c>
    </row>
    <row r="4419" spans="1:5" x14ac:dyDescent="0.25">
      <c r="A4419">
        <v>1861</v>
      </c>
      <c r="B4419" s="16">
        <v>43525</v>
      </c>
      <c r="C4419" t="s">
        <v>168</v>
      </c>
      <c r="D4419">
        <v>4314814.4024999999</v>
      </c>
      <c r="E4419" t="s">
        <v>330</v>
      </c>
    </row>
    <row r="4420" spans="1:5" x14ac:dyDescent="0.25">
      <c r="A4420">
        <v>1861</v>
      </c>
      <c r="B4420" s="16">
        <v>43556</v>
      </c>
      <c r="C4420" t="s">
        <v>168</v>
      </c>
      <c r="D4420">
        <v>4314814.4024999999</v>
      </c>
      <c r="E4420" t="s">
        <v>330</v>
      </c>
    </row>
    <row r="4421" spans="1:5" x14ac:dyDescent="0.25">
      <c r="A4421">
        <v>1861</v>
      </c>
      <c r="B4421" s="16">
        <v>43586</v>
      </c>
      <c r="C4421" t="s">
        <v>168</v>
      </c>
      <c r="D4421">
        <v>4314814.4024999999</v>
      </c>
      <c r="E4421" t="s">
        <v>330</v>
      </c>
    </row>
    <row r="4422" spans="1:5" x14ac:dyDescent="0.25">
      <c r="A4422">
        <v>1861</v>
      </c>
      <c r="B4422" s="16">
        <v>43617</v>
      </c>
      <c r="C4422" t="s">
        <v>168</v>
      </c>
      <c r="D4422">
        <v>4314814.4024999999</v>
      </c>
      <c r="E4422" t="s">
        <v>330</v>
      </c>
    </row>
    <row r="4423" spans="1:5" x14ac:dyDescent="0.25">
      <c r="A4423">
        <v>1861</v>
      </c>
      <c r="B4423" s="16">
        <v>43647</v>
      </c>
      <c r="C4423" t="s">
        <v>168</v>
      </c>
      <c r="D4423">
        <v>4314814.4024999999</v>
      </c>
      <c r="E4423" t="s">
        <v>330</v>
      </c>
    </row>
    <row r="4424" spans="1:5" x14ac:dyDescent="0.25">
      <c r="A4424">
        <v>1861</v>
      </c>
      <c r="B4424" s="16">
        <v>43678</v>
      </c>
      <c r="C4424" t="s">
        <v>168</v>
      </c>
      <c r="D4424">
        <v>4314814.4024999999</v>
      </c>
      <c r="E4424" t="s">
        <v>330</v>
      </c>
    </row>
    <row r="4425" spans="1:5" x14ac:dyDescent="0.25">
      <c r="A4425">
        <v>1861</v>
      </c>
      <c r="B4425" s="16">
        <v>43709</v>
      </c>
      <c r="C4425" t="s">
        <v>168</v>
      </c>
      <c r="D4425">
        <v>4314814.4024999999</v>
      </c>
      <c r="E4425" t="s">
        <v>330</v>
      </c>
    </row>
    <row r="4426" spans="1:5" x14ac:dyDescent="0.25">
      <c r="A4426">
        <v>1861</v>
      </c>
      <c r="B4426" s="16">
        <v>43739</v>
      </c>
      <c r="C4426" t="s">
        <v>168</v>
      </c>
      <c r="D4426">
        <v>4314814.4024999999</v>
      </c>
      <c r="E4426" t="s">
        <v>330</v>
      </c>
    </row>
    <row r="4427" spans="1:5" x14ac:dyDescent="0.25">
      <c r="A4427">
        <v>1861</v>
      </c>
      <c r="B4427" s="16">
        <v>43770</v>
      </c>
      <c r="C4427" t="s">
        <v>168</v>
      </c>
      <c r="D4427">
        <v>4314814.4024999999</v>
      </c>
      <c r="E4427" t="s">
        <v>330</v>
      </c>
    </row>
    <row r="4428" spans="1:5" x14ac:dyDescent="0.25">
      <c r="A4428">
        <v>1861</v>
      </c>
      <c r="B4428" s="16">
        <v>43800</v>
      </c>
      <c r="C4428" t="s">
        <v>168</v>
      </c>
      <c r="D4428">
        <v>4314814.4024999999</v>
      </c>
      <c r="E4428" t="s">
        <v>330</v>
      </c>
    </row>
    <row r="4429" spans="1:5" x14ac:dyDescent="0.25">
      <c r="A4429">
        <v>1861</v>
      </c>
      <c r="B4429" s="16">
        <v>43831</v>
      </c>
      <c r="C4429" t="s">
        <v>168</v>
      </c>
      <c r="D4429">
        <v>4314814.4024999999</v>
      </c>
      <c r="E4429" t="s">
        <v>330</v>
      </c>
    </row>
    <row r="4430" spans="1:5" x14ac:dyDescent="0.25">
      <c r="A4430">
        <v>1861</v>
      </c>
      <c r="B4430" s="16">
        <v>43862</v>
      </c>
      <c r="C4430" t="s">
        <v>168</v>
      </c>
      <c r="D4430">
        <v>4314814.4024999999</v>
      </c>
      <c r="E4430" t="s">
        <v>330</v>
      </c>
    </row>
    <row r="4431" spans="1:5" x14ac:dyDescent="0.25">
      <c r="A4431">
        <v>1861</v>
      </c>
      <c r="B4431" s="16">
        <v>43891</v>
      </c>
      <c r="C4431" t="s">
        <v>168</v>
      </c>
      <c r="D4431">
        <v>4314814.4024999999</v>
      </c>
      <c r="E4431" t="s">
        <v>330</v>
      </c>
    </row>
    <row r="4432" spans="1:5" x14ac:dyDescent="0.25">
      <c r="A4432">
        <v>1861</v>
      </c>
      <c r="B4432" s="16">
        <v>43922</v>
      </c>
      <c r="C4432" t="s">
        <v>168</v>
      </c>
      <c r="D4432">
        <v>4314814.4024999999</v>
      </c>
      <c r="E4432" t="s">
        <v>330</v>
      </c>
    </row>
    <row r="4433" spans="1:5" x14ac:dyDescent="0.25">
      <c r="A4433">
        <v>1861</v>
      </c>
      <c r="B4433" s="16">
        <v>43952</v>
      </c>
      <c r="C4433" t="s">
        <v>168</v>
      </c>
      <c r="D4433">
        <v>4314814.4024999999</v>
      </c>
      <c r="E4433" t="s">
        <v>330</v>
      </c>
    </row>
    <row r="4434" spans="1:5" x14ac:dyDescent="0.25">
      <c r="A4434">
        <v>1861</v>
      </c>
      <c r="B4434" s="16">
        <v>43983</v>
      </c>
      <c r="C4434" t="s">
        <v>168</v>
      </c>
      <c r="D4434">
        <v>4314814.4024999999</v>
      </c>
      <c r="E4434" t="s">
        <v>330</v>
      </c>
    </row>
    <row r="4435" spans="1:5" x14ac:dyDescent="0.25">
      <c r="A4435">
        <v>1861</v>
      </c>
      <c r="B4435" s="16">
        <v>44013</v>
      </c>
      <c r="C4435" t="s">
        <v>168</v>
      </c>
      <c r="D4435">
        <v>4314814.4024999999</v>
      </c>
      <c r="E4435" t="s">
        <v>330</v>
      </c>
    </row>
    <row r="4436" spans="1:5" x14ac:dyDescent="0.25">
      <c r="A4436">
        <v>1861</v>
      </c>
      <c r="B4436" s="16">
        <v>44044</v>
      </c>
      <c r="C4436" t="s">
        <v>168</v>
      </c>
      <c r="D4436">
        <v>4314814.4024999999</v>
      </c>
      <c r="E4436" t="s">
        <v>330</v>
      </c>
    </row>
    <row r="4437" spans="1:5" x14ac:dyDescent="0.25">
      <c r="A4437">
        <v>1861</v>
      </c>
      <c r="B4437" s="16">
        <v>44075</v>
      </c>
      <c r="C4437" t="s">
        <v>168</v>
      </c>
      <c r="D4437">
        <v>4314814.4024999999</v>
      </c>
      <c r="E4437" t="s">
        <v>330</v>
      </c>
    </row>
    <row r="4438" spans="1:5" x14ac:dyDescent="0.25">
      <c r="A4438">
        <v>1861</v>
      </c>
      <c r="B4438" s="16">
        <v>44105</v>
      </c>
      <c r="C4438" t="s">
        <v>168</v>
      </c>
      <c r="D4438">
        <v>4314814.4024999999</v>
      </c>
      <c r="E4438" t="s">
        <v>330</v>
      </c>
    </row>
    <row r="4439" spans="1:5" x14ac:dyDescent="0.25">
      <c r="A4439">
        <v>1861</v>
      </c>
      <c r="B4439" s="16">
        <v>44136</v>
      </c>
      <c r="C4439" t="s">
        <v>168</v>
      </c>
      <c r="D4439">
        <v>4314814.4024999999</v>
      </c>
      <c r="E4439" t="s">
        <v>330</v>
      </c>
    </row>
    <row r="4440" spans="1:5" x14ac:dyDescent="0.25">
      <c r="A4440">
        <v>1861</v>
      </c>
      <c r="B4440" s="16">
        <v>43466</v>
      </c>
      <c r="C4440" t="s">
        <v>168</v>
      </c>
      <c r="D4440">
        <v>4363154.7749999994</v>
      </c>
      <c r="E4440" t="s">
        <v>330</v>
      </c>
    </row>
    <row r="4441" spans="1:5" x14ac:dyDescent="0.25">
      <c r="A4441">
        <v>1861</v>
      </c>
      <c r="B4441" s="16">
        <v>43497</v>
      </c>
      <c r="C4441" t="s">
        <v>168</v>
      </c>
      <c r="D4441">
        <v>4363154.7749999994</v>
      </c>
      <c r="E4441" t="s">
        <v>330</v>
      </c>
    </row>
    <row r="4442" spans="1:5" x14ac:dyDescent="0.25">
      <c r="A4442">
        <v>1861</v>
      </c>
      <c r="B4442" s="16">
        <v>43525</v>
      </c>
      <c r="C4442" t="s">
        <v>168</v>
      </c>
      <c r="D4442">
        <v>4363154.7749999994</v>
      </c>
      <c r="E4442" t="s">
        <v>330</v>
      </c>
    </row>
    <row r="4443" spans="1:5" x14ac:dyDescent="0.25">
      <c r="A4443">
        <v>1861</v>
      </c>
      <c r="B4443" s="16">
        <v>43556</v>
      </c>
      <c r="C4443" t="s">
        <v>168</v>
      </c>
      <c r="D4443">
        <v>4363154.7749999994</v>
      </c>
      <c r="E4443" t="s">
        <v>330</v>
      </c>
    </row>
    <row r="4444" spans="1:5" x14ac:dyDescent="0.25">
      <c r="A4444">
        <v>1861</v>
      </c>
      <c r="B4444" s="16">
        <v>43586</v>
      </c>
      <c r="C4444" t="s">
        <v>168</v>
      </c>
      <c r="D4444">
        <v>4363154.7749999994</v>
      </c>
      <c r="E4444" t="s">
        <v>330</v>
      </c>
    </row>
    <row r="4445" spans="1:5" x14ac:dyDescent="0.25">
      <c r="A4445">
        <v>1861</v>
      </c>
      <c r="B4445" s="16">
        <v>43617</v>
      </c>
      <c r="C4445" t="s">
        <v>168</v>
      </c>
      <c r="D4445">
        <v>4363154.7749999994</v>
      </c>
      <c r="E4445" t="s">
        <v>330</v>
      </c>
    </row>
    <row r="4446" spans="1:5" x14ac:dyDescent="0.25">
      <c r="A4446">
        <v>1861</v>
      </c>
      <c r="B4446" s="16">
        <v>43647</v>
      </c>
      <c r="C4446" t="s">
        <v>168</v>
      </c>
      <c r="D4446">
        <v>4363154.7749999994</v>
      </c>
      <c r="E4446" t="s">
        <v>330</v>
      </c>
    </row>
    <row r="4447" spans="1:5" x14ac:dyDescent="0.25">
      <c r="A4447">
        <v>1861</v>
      </c>
      <c r="B4447" s="16">
        <v>43678</v>
      </c>
      <c r="C4447" t="s">
        <v>168</v>
      </c>
      <c r="D4447">
        <v>4363154.7749999994</v>
      </c>
      <c r="E4447" t="s">
        <v>330</v>
      </c>
    </row>
    <row r="4448" spans="1:5" x14ac:dyDescent="0.25">
      <c r="A4448">
        <v>1861</v>
      </c>
      <c r="B4448" s="16">
        <v>43709</v>
      </c>
      <c r="C4448" t="s">
        <v>168</v>
      </c>
      <c r="D4448">
        <v>4363154.7749999994</v>
      </c>
      <c r="E4448" t="s">
        <v>330</v>
      </c>
    </row>
    <row r="4449" spans="1:5" x14ac:dyDescent="0.25">
      <c r="A4449">
        <v>1861</v>
      </c>
      <c r="B4449" s="16">
        <v>43739</v>
      </c>
      <c r="C4449" t="s">
        <v>168</v>
      </c>
      <c r="D4449">
        <v>4363154.7749999994</v>
      </c>
      <c r="E4449" t="s">
        <v>330</v>
      </c>
    </row>
    <row r="4450" spans="1:5" x14ac:dyDescent="0.25">
      <c r="A4450">
        <v>1861</v>
      </c>
      <c r="B4450" s="16">
        <v>43770</v>
      </c>
      <c r="C4450" t="s">
        <v>168</v>
      </c>
      <c r="D4450">
        <v>4363154.7749999994</v>
      </c>
      <c r="E4450" t="s">
        <v>330</v>
      </c>
    </row>
    <row r="4451" spans="1:5" x14ac:dyDescent="0.25">
      <c r="A4451">
        <v>1861</v>
      </c>
      <c r="B4451" s="16">
        <v>43800</v>
      </c>
      <c r="C4451" t="s">
        <v>168</v>
      </c>
      <c r="D4451">
        <v>4363154.7749999994</v>
      </c>
      <c r="E4451" t="s">
        <v>330</v>
      </c>
    </row>
    <row r="4452" spans="1:5" x14ac:dyDescent="0.25">
      <c r="A4452">
        <v>1861</v>
      </c>
      <c r="B4452" s="16">
        <v>43466</v>
      </c>
      <c r="C4452" t="s">
        <v>29</v>
      </c>
      <c r="D4452">
        <v>5731070.625</v>
      </c>
      <c r="E4452" t="s">
        <v>330</v>
      </c>
    </row>
    <row r="4453" spans="1:5" x14ac:dyDescent="0.25">
      <c r="A4453">
        <v>1861</v>
      </c>
      <c r="B4453" s="16">
        <v>43497</v>
      </c>
      <c r="C4453" t="s">
        <v>29</v>
      </c>
      <c r="D4453">
        <v>5731070.625</v>
      </c>
      <c r="E4453" t="s">
        <v>330</v>
      </c>
    </row>
    <row r="4454" spans="1:5" x14ac:dyDescent="0.25">
      <c r="A4454">
        <v>1861</v>
      </c>
      <c r="B4454" s="16">
        <v>43525</v>
      </c>
      <c r="C4454" t="s">
        <v>29</v>
      </c>
      <c r="D4454">
        <v>5731070.625</v>
      </c>
      <c r="E4454" t="s">
        <v>330</v>
      </c>
    </row>
    <row r="4455" spans="1:5" x14ac:dyDescent="0.25">
      <c r="A4455">
        <v>1861</v>
      </c>
      <c r="B4455" s="16">
        <v>43556</v>
      </c>
      <c r="C4455" t="s">
        <v>29</v>
      </c>
      <c r="D4455">
        <v>5731070.625</v>
      </c>
      <c r="E4455" t="s">
        <v>330</v>
      </c>
    </row>
    <row r="4456" spans="1:5" x14ac:dyDescent="0.25">
      <c r="A4456">
        <v>1861</v>
      </c>
      <c r="B4456" s="16">
        <v>43586</v>
      </c>
      <c r="C4456" t="s">
        <v>29</v>
      </c>
      <c r="D4456">
        <v>5731070.625</v>
      </c>
      <c r="E4456" t="s">
        <v>330</v>
      </c>
    </row>
    <row r="4457" spans="1:5" x14ac:dyDescent="0.25">
      <c r="A4457">
        <v>1861</v>
      </c>
      <c r="B4457" s="16">
        <v>43617</v>
      </c>
      <c r="C4457" t="s">
        <v>29</v>
      </c>
      <c r="D4457">
        <v>5731070.625</v>
      </c>
      <c r="E4457" t="s">
        <v>330</v>
      </c>
    </row>
    <row r="4458" spans="1:5" x14ac:dyDescent="0.25">
      <c r="A4458">
        <v>1861</v>
      </c>
      <c r="B4458" s="16">
        <v>43647</v>
      </c>
      <c r="C4458" t="s">
        <v>29</v>
      </c>
      <c r="D4458">
        <v>5731070.625</v>
      </c>
      <c r="E4458" t="s">
        <v>330</v>
      </c>
    </row>
    <row r="4459" spans="1:5" x14ac:dyDescent="0.25">
      <c r="A4459">
        <v>1861</v>
      </c>
      <c r="B4459" s="16">
        <v>43678</v>
      </c>
      <c r="C4459" t="s">
        <v>29</v>
      </c>
      <c r="D4459">
        <v>5731070.625</v>
      </c>
      <c r="E4459" t="s">
        <v>330</v>
      </c>
    </row>
    <row r="4460" spans="1:5" x14ac:dyDescent="0.25">
      <c r="A4460">
        <v>1861</v>
      </c>
      <c r="B4460" s="16">
        <v>43709</v>
      </c>
      <c r="C4460" t="s">
        <v>29</v>
      </c>
      <c r="D4460">
        <v>5731070.625</v>
      </c>
      <c r="E4460" t="s">
        <v>330</v>
      </c>
    </row>
    <row r="4461" spans="1:5" x14ac:dyDescent="0.25">
      <c r="A4461">
        <v>1861</v>
      </c>
      <c r="B4461" s="16">
        <v>43739</v>
      </c>
      <c r="C4461" t="s">
        <v>29</v>
      </c>
      <c r="D4461">
        <v>5731070.625</v>
      </c>
      <c r="E4461" t="s">
        <v>330</v>
      </c>
    </row>
    <row r="4462" spans="1:5" x14ac:dyDescent="0.25">
      <c r="A4462">
        <v>1861</v>
      </c>
      <c r="B4462" s="16">
        <v>43770</v>
      </c>
      <c r="C4462" t="s">
        <v>29</v>
      </c>
      <c r="D4462">
        <v>5731070.625</v>
      </c>
      <c r="E4462" t="s">
        <v>330</v>
      </c>
    </row>
    <row r="4463" spans="1:5" x14ac:dyDescent="0.25">
      <c r="A4463">
        <v>1861</v>
      </c>
      <c r="B4463" s="16">
        <v>43800</v>
      </c>
      <c r="C4463" t="s">
        <v>29</v>
      </c>
      <c r="D4463">
        <v>5731070.625</v>
      </c>
      <c r="E4463" t="s">
        <v>330</v>
      </c>
    </row>
    <row r="4464" spans="1:5" x14ac:dyDescent="0.25">
      <c r="A4464">
        <v>1861</v>
      </c>
      <c r="B4464" s="16">
        <v>43831</v>
      </c>
      <c r="C4464" t="s">
        <v>29</v>
      </c>
      <c r="D4464">
        <v>5731070.625</v>
      </c>
      <c r="E4464" t="s">
        <v>330</v>
      </c>
    </row>
    <row r="4465" spans="1:5" x14ac:dyDescent="0.25">
      <c r="A4465">
        <v>1861</v>
      </c>
      <c r="B4465" s="16">
        <v>43862</v>
      </c>
      <c r="C4465" t="s">
        <v>29</v>
      </c>
      <c r="D4465">
        <v>5731070.625</v>
      </c>
      <c r="E4465" t="s">
        <v>330</v>
      </c>
    </row>
    <row r="4466" spans="1:5" x14ac:dyDescent="0.25">
      <c r="A4466">
        <v>1861</v>
      </c>
      <c r="B4466" s="16">
        <v>43891</v>
      </c>
      <c r="C4466" t="s">
        <v>29</v>
      </c>
      <c r="D4466">
        <v>5731070.625</v>
      </c>
      <c r="E4466" t="s">
        <v>330</v>
      </c>
    </row>
    <row r="4467" spans="1:5" x14ac:dyDescent="0.25">
      <c r="A4467">
        <v>1861</v>
      </c>
      <c r="B4467" s="16">
        <v>43922</v>
      </c>
      <c r="C4467" t="s">
        <v>29</v>
      </c>
      <c r="D4467">
        <v>5731070.625</v>
      </c>
      <c r="E4467" t="s">
        <v>330</v>
      </c>
    </row>
    <row r="4468" spans="1:5" x14ac:dyDescent="0.25">
      <c r="A4468">
        <v>1861</v>
      </c>
      <c r="B4468" s="16">
        <v>43952</v>
      </c>
      <c r="C4468" t="s">
        <v>29</v>
      </c>
      <c r="D4468">
        <v>5731070.625</v>
      </c>
      <c r="E4468" t="s">
        <v>330</v>
      </c>
    </row>
    <row r="4469" spans="1:5" x14ac:dyDescent="0.25">
      <c r="A4469">
        <v>1861</v>
      </c>
      <c r="B4469" s="16">
        <v>43983</v>
      </c>
      <c r="C4469" t="s">
        <v>29</v>
      </c>
      <c r="D4469">
        <v>5731070.625</v>
      </c>
      <c r="E4469" t="s">
        <v>330</v>
      </c>
    </row>
    <row r="4470" spans="1:5" x14ac:dyDescent="0.25">
      <c r="A4470">
        <v>1861</v>
      </c>
      <c r="B4470" s="16">
        <v>44013</v>
      </c>
      <c r="C4470" t="s">
        <v>29</v>
      </c>
      <c r="D4470">
        <v>5731070.625</v>
      </c>
      <c r="E4470" t="s">
        <v>330</v>
      </c>
    </row>
    <row r="4471" spans="1:5" x14ac:dyDescent="0.25">
      <c r="A4471">
        <v>1861</v>
      </c>
      <c r="B4471" s="16">
        <v>43466</v>
      </c>
      <c r="C4471" t="s">
        <v>170</v>
      </c>
      <c r="D4471">
        <v>5735067.9750000006</v>
      </c>
      <c r="E4471" t="s">
        <v>330</v>
      </c>
    </row>
    <row r="4472" spans="1:5" x14ac:dyDescent="0.25">
      <c r="A4472">
        <v>1861</v>
      </c>
      <c r="B4472" s="16">
        <v>43497</v>
      </c>
      <c r="C4472" t="s">
        <v>170</v>
      </c>
      <c r="D4472">
        <v>5735067.9750000006</v>
      </c>
      <c r="E4472" t="s">
        <v>330</v>
      </c>
    </row>
    <row r="4473" spans="1:5" x14ac:dyDescent="0.25">
      <c r="A4473">
        <v>1861</v>
      </c>
      <c r="B4473" s="16">
        <v>43525</v>
      </c>
      <c r="C4473" t="s">
        <v>170</v>
      </c>
      <c r="D4473">
        <v>5735067.9750000006</v>
      </c>
      <c r="E4473" t="s">
        <v>330</v>
      </c>
    </row>
    <row r="4474" spans="1:5" x14ac:dyDescent="0.25">
      <c r="A4474">
        <v>1861</v>
      </c>
      <c r="B4474" s="16">
        <v>43556</v>
      </c>
      <c r="C4474" t="s">
        <v>170</v>
      </c>
      <c r="D4474">
        <v>5735067.9750000006</v>
      </c>
      <c r="E4474" t="s">
        <v>330</v>
      </c>
    </row>
    <row r="4475" spans="1:5" x14ac:dyDescent="0.25">
      <c r="A4475">
        <v>1861</v>
      </c>
      <c r="B4475" s="16">
        <v>43586</v>
      </c>
      <c r="C4475" t="s">
        <v>170</v>
      </c>
      <c r="D4475">
        <v>5735067.9750000006</v>
      </c>
      <c r="E4475" t="s">
        <v>330</v>
      </c>
    </row>
    <row r="4476" spans="1:5" x14ac:dyDescent="0.25">
      <c r="A4476">
        <v>1861</v>
      </c>
      <c r="B4476" s="16">
        <v>43617</v>
      </c>
      <c r="C4476" t="s">
        <v>170</v>
      </c>
      <c r="D4476">
        <v>5735067.9750000006</v>
      </c>
      <c r="E4476" t="s">
        <v>330</v>
      </c>
    </row>
    <row r="4477" spans="1:5" x14ac:dyDescent="0.25">
      <c r="A4477">
        <v>1861</v>
      </c>
      <c r="B4477" s="16">
        <v>43647</v>
      </c>
      <c r="C4477" t="s">
        <v>170</v>
      </c>
      <c r="D4477">
        <v>5735067.9750000006</v>
      </c>
      <c r="E4477" t="s">
        <v>330</v>
      </c>
    </row>
    <row r="4478" spans="1:5" x14ac:dyDescent="0.25">
      <c r="A4478">
        <v>1861</v>
      </c>
      <c r="B4478" s="16">
        <v>43678</v>
      </c>
      <c r="C4478" t="s">
        <v>170</v>
      </c>
      <c r="D4478">
        <v>5735067.9750000006</v>
      </c>
      <c r="E4478" t="s">
        <v>330</v>
      </c>
    </row>
    <row r="4479" spans="1:5" x14ac:dyDescent="0.25">
      <c r="A4479">
        <v>1861</v>
      </c>
      <c r="B4479" s="16">
        <v>43709</v>
      </c>
      <c r="C4479" t="s">
        <v>170</v>
      </c>
      <c r="D4479">
        <v>5735067.9750000006</v>
      </c>
      <c r="E4479" t="s">
        <v>330</v>
      </c>
    </row>
    <row r="4480" spans="1:5" x14ac:dyDescent="0.25">
      <c r="A4480">
        <v>1861</v>
      </c>
      <c r="B4480" s="16">
        <v>43739</v>
      </c>
      <c r="C4480" t="s">
        <v>170</v>
      </c>
      <c r="D4480">
        <v>5735067.9750000006</v>
      </c>
      <c r="E4480" t="s">
        <v>330</v>
      </c>
    </row>
    <row r="4481" spans="1:5" x14ac:dyDescent="0.25">
      <c r="A4481">
        <v>1861</v>
      </c>
      <c r="B4481" s="16">
        <v>43770</v>
      </c>
      <c r="C4481" t="s">
        <v>170</v>
      </c>
      <c r="D4481">
        <v>5735067.9750000006</v>
      </c>
      <c r="E4481" t="s">
        <v>330</v>
      </c>
    </row>
    <row r="4482" spans="1:5" x14ac:dyDescent="0.25">
      <c r="A4482">
        <v>1861</v>
      </c>
      <c r="B4482" s="16">
        <v>43800</v>
      </c>
      <c r="C4482" t="s">
        <v>170</v>
      </c>
      <c r="D4482">
        <v>5735067.9750000006</v>
      </c>
      <c r="E4482" t="s">
        <v>330</v>
      </c>
    </row>
    <row r="4483" spans="1:5" x14ac:dyDescent="0.25">
      <c r="A4483">
        <v>1861</v>
      </c>
      <c r="B4483" s="16">
        <v>43831</v>
      </c>
      <c r="C4483" t="s">
        <v>170</v>
      </c>
      <c r="D4483">
        <v>5735067.9750000006</v>
      </c>
      <c r="E4483" t="s">
        <v>330</v>
      </c>
    </row>
    <row r="4484" spans="1:5" x14ac:dyDescent="0.25">
      <c r="A4484">
        <v>1861</v>
      </c>
      <c r="B4484" s="16">
        <v>43862</v>
      </c>
      <c r="C4484" t="s">
        <v>170</v>
      </c>
      <c r="D4484">
        <v>5735067.9750000006</v>
      </c>
      <c r="E4484" t="s">
        <v>330</v>
      </c>
    </row>
    <row r="4485" spans="1:5" x14ac:dyDescent="0.25">
      <c r="A4485">
        <v>1861</v>
      </c>
      <c r="B4485" s="16">
        <v>43891</v>
      </c>
      <c r="C4485" t="s">
        <v>170</v>
      </c>
      <c r="D4485">
        <v>5735067.9750000006</v>
      </c>
      <c r="E4485" t="s">
        <v>330</v>
      </c>
    </row>
    <row r="4486" spans="1:5" x14ac:dyDescent="0.25">
      <c r="A4486">
        <v>1861</v>
      </c>
      <c r="B4486" s="16">
        <v>43922</v>
      </c>
      <c r="C4486" t="s">
        <v>170</v>
      </c>
      <c r="D4486">
        <v>5735067.9750000006</v>
      </c>
      <c r="E4486" t="s">
        <v>330</v>
      </c>
    </row>
    <row r="4487" spans="1:5" x14ac:dyDescent="0.25">
      <c r="A4487">
        <v>1861</v>
      </c>
      <c r="B4487" s="16">
        <v>43952</v>
      </c>
      <c r="C4487" t="s">
        <v>170</v>
      </c>
      <c r="D4487">
        <v>5735067.9750000006</v>
      </c>
      <c r="E4487" t="s">
        <v>330</v>
      </c>
    </row>
    <row r="4488" spans="1:5" x14ac:dyDescent="0.25">
      <c r="A4488">
        <v>1861</v>
      </c>
      <c r="B4488" s="16">
        <v>43983</v>
      </c>
      <c r="C4488" t="s">
        <v>170</v>
      </c>
      <c r="D4488">
        <v>5735067.9750000006</v>
      </c>
      <c r="E4488" t="s">
        <v>330</v>
      </c>
    </row>
    <row r="4489" spans="1:5" x14ac:dyDescent="0.25">
      <c r="A4489">
        <v>1861</v>
      </c>
      <c r="B4489" s="16">
        <v>44013</v>
      </c>
      <c r="C4489" t="s">
        <v>170</v>
      </c>
      <c r="D4489">
        <v>5735067.9750000006</v>
      </c>
      <c r="E4489" t="s">
        <v>330</v>
      </c>
    </row>
    <row r="4490" spans="1:5" x14ac:dyDescent="0.25">
      <c r="A4490">
        <v>1861</v>
      </c>
      <c r="B4490" s="16">
        <v>44044</v>
      </c>
      <c r="C4490" t="s">
        <v>170</v>
      </c>
      <c r="D4490">
        <v>5735067.9750000006</v>
      </c>
      <c r="E4490" t="s">
        <v>330</v>
      </c>
    </row>
    <row r="4491" spans="1:5" x14ac:dyDescent="0.25">
      <c r="A4491">
        <v>1861</v>
      </c>
      <c r="B4491" s="16">
        <v>44075</v>
      </c>
      <c r="C4491" t="s">
        <v>170</v>
      </c>
      <c r="D4491">
        <v>5735067.9750000006</v>
      </c>
      <c r="E4491" t="s">
        <v>330</v>
      </c>
    </row>
    <row r="4492" spans="1:5" x14ac:dyDescent="0.25">
      <c r="A4492">
        <v>1861</v>
      </c>
      <c r="B4492" s="16">
        <v>44105</v>
      </c>
      <c r="C4492" t="s">
        <v>170</v>
      </c>
      <c r="D4492">
        <v>5735067.9750000006</v>
      </c>
      <c r="E4492" t="s">
        <v>330</v>
      </c>
    </row>
    <row r="4493" spans="1:5" x14ac:dyDescent="0.25">
      <c r="A4493">
        <v>1861</v>
      </c>
      <c r="B4493" s="16">
        <v>44136</v>
      </c>
      <c r="C4493" t="s">
        <v>170</v>
      </c>
      <c r="D4493">
        <v>5735067.9750000006</v>
      </c>
      <c r="E4493" t="s">
        <v>330</v>
      </c>
    </row>
    <row r="4494" spans="1:5" x14ac:dyDescent="0.25">
      <c r="A4494">
        <v>1861</v>
      </c>
      <c r="B4494" s="16">
        <v>43466</v>
      </c>
      <c r="C4494" t="s">
        <v>39</v>
      </c>
      <c r="D4494">
        <v>5532675.75</v>
      </c>
      <c r="E4494" t="s">
        <v>330</v>
      </c>
    </row>
    <row r="4495" spans="1:5" x14ac:dyDescent="0.25">
      <c r="A4495">
        <v>1861</v>
      </c>
      <c r="B4495" s="16">
        <v>43497</v>
      </c>
      <c r="C4495" t="s">
        <v>39</v>
      </c>
      <c r="D4495">
        <v>5532675.75</v>
      </c>
      <c r="E4495" t="s">
        <v>330</v>
      </c>
    </row>
    <row r="4496" spans="1:5" x14ac:dyDescent="0.25">
      <c r="A4496">
        <v>1861</v>
      </c>
      <c r="B4496" s="16">
        <v>43525</v>
      </c>
      <c r="C4496" t="s">
        <v>39</v>
      </c>
      <c r="D4496">
        <v>5532675.75</v>
      </c>
      <c r="E4496" t="s">
        <v>330</v>
      </c>
    </row>
    <row r="4497" spans="1:5" x14ac:dyDescent="0.25">
      <c r="A4497">
        <v>1861</v>
      </c>
      <c r="B4497" s="16">
        <v>43556</v>
      </c>
      <c r="C4497" t="s">
        <v>39</v>
      </c>
      <c r="D4497">
        <v>5532675.75</v>
      </c>
      <c r="E4497" t="s">
        <v>330</v>
      </c>
    </row>
    <row r="4498" spans="1:5" x14ac:dyDescent="0.25">
      <c r="A4498">
        <v>1861</v>
      </c>
      <c r="B4498" s="16">
        <v>43586</v>
      </c>
      <c r="C4498" t="s">
        <v>39</v>
      </c>
      <c r="D4498">
        <v>5532675.75</v>
      </c>
      <c r="E4498" t="s">
        <v>330</v>
      </c>
    </row>
    <row r="4499" spans="1:5" x14ac:dyDescent="0.25">
      <c r="A4499">
        <v>1861</v>
      </c>
      <c r="B4499" s="16">
        <v>43617</v>
      </c>
      <c r="C4499" t="s">
        <v>39</v>
      </c>
      <c r="D4499">
        <v>5532675.75</v>
      </c>
      <c r="E4499" t="s">
        <v>330</v>
      </c>
    </row>
    <row r="4500" spans="1:5" x14ac:dyDescent="0.25">
      <c r="A4500">
        <v>1861</v>
      </c>
      <c r="B4500" s="16">
        <v>43647</v>
      </c>
      <c r="C4500" t="s">
        <v>39</v>
      </c>
      <c r="D4500">
        <v>5532675.75</v>
      </c>
      <c r="E4500" t="s">
        <v>330</v>
      </c>
    </row>
    <row r="4501" spans="1:5" x14ac:dyDescent="0.25">
      <c r="A4501">
        <v>1861</v>
      </c>
      <c r="B4501" s="16">
        <v>43678</v>
      </c>
      <c r="C4501" t="s">
        <v>39</v>
      </c>
      <c r="D4501">
        <v>5532675.75</v>
      </c>
      <c r="E4501" t="s">
        <v>330</v>
      </c>
    </row>
    <row r="4502" spans="1:5" x14ac:dyDescent="0.25">
      <c r="A4502">
        <v>1861</v>
      </c>
      <c r="B4502" s="16">
        <v>43709</v>
      </c>
      <c r="C4502" t="s">
        <v>39</v>
      </c>
      <c r="D4502">
        <v>5532675.75</v>
      </c>
      <c r="E4502" t="s">
        <v>330</v>
      </c>
    </row>
    <row r="4503" spans="1:5" x14ac:dyDescent="0.25">
      <c r="A4503">
        <v>1861</v>
      </c>
      <c r="B4503" s="16">
        <v>43739</v>
      </c>
      <c r="C4503" t="s">
        <v>39</v>
      </c>
      <c r="D4503">
        <v>5532675.75</v>
      </c>
      <c r="E4503" t="s">
        <v>330</v>
      </c>
    </row>
    <row r="4504" spans="1:5" x14ac:dyDescent="0.25">
      <c r="A4504">
        <v>1861</v>
      </c>
      <c r="B4504" s="16">
        <v>43770</v>
      </c>
      <c r="C4504" t="s">
        <v>39</v>
      </c>
      <c r="D4504">
        <v>5532675.75</v>
      </c>
      <c r="E4504" t="s">
        <v>330</v>
      </c>
    </row>
    <row r="4505" spans="1:5" x14ac:dyDescent="0.25">
      <c r="A4505">
        <v>1861</v>
      </c>
      <c r="B4505" s="16">
        <v>43800</v>
      </c>
      <c r="C4505" t="s">
        <v>39</v>
      </c>
      <c r="D4505">
        <v>5532675.75</v>
      </c>
      <c r="E4505" t="s">
        <v>330</v>
      </c>
    </row>
    <row r="4506" spans="1:5" x14ac:dyDescent="0.25">
      <c r="A4506">
        <v>1861</v>
      </c>
      <c r="B4506" s="16">
        <v>43831</v>
      </c>
      <c r="C4506" t="s">
        <v>39</v>
      </c>
      <c r="D4506">
        <v>5532675.75</v>
      </c>
      <c r="E4506" t="s">
        <v>330</v>
      </c>
    </row>
    <row r="4507" spans="1:5" x14ac:dyDescent="0.25">
      <c r="A4507">
        <v>1861</v>
      </c>
      <c r="B4507" s="16">
        <v>43862</v>
      </c>
      <c r="C4507" t="s">
        <v>39</v>
      </c>
      <c r="D4507">
        <v>5532675.75</v>
      </c>
      <c r="E4507" t="s">
        <v>330</v>
      </c>
    </row>
    <row r="4508" spans="1:5" x14ac:dyDescent="0.25">
      <c r="A4508">
        <v>1861</v>
      </c>
      <c r="B4508" s="16">
        <v>43891</v>
      </c>
      <c r="C4508" t="s">
        <v>39</v>
      </c>
      <c r="D4508">
        <v>5532675.75</v>
      </c>
      <c r="E4508" t="s">
        <v>330</v>
      </c>
    </row>
    <row r="4509" spans="1:5" x14ac:dyDescent="0.25">
      <c r="A4509">
        <v>1861</v>
      </c>
      <c r="B4509" s="16">
        <v>43922</v>
      </c>
      <c r="C4509" t="s">
        <v>39</v>
      </c>
      <c r="D4509">
        <v>5532675.75</v>
      </c>
      <c r="E4509" t="s">
        <v>330</v>
      </c>
    </row>
    <row r="4510" spans="1:5" x14ac:dyDescent="0.25">
      <c r="A4510">
        <v>1861</v>
      </c>
      <c r="B4510" s="16">
        <v>43952</v>
      </c>
      <c r="C4510" t="s">
        <v>39</v>
      </c>
      <c r="D4510">
        <v>5532675.75</v>
      </c>
      <c r="E4510" t="s">
        <v>330</v>
      </c>
    </row>
    <row r="4511" spans="1:5" x14ac:dyDescent="0.25">
      <c r="A4511">
        <v>1861</v>
      </c>
      <c r="B4511" s="16">
        <v>43983</v>
      </c>
      <c r="C4511" t="s">
        <v>39</v>
      </c>
      <c r="D4511">
        <v>5532675.75</v>
      </c>
      <c r="E4511" t="s">
        <v>330</v>
      </c>
    </row>
    <row r="4512" spans="1:5" x14ac:dyDescent="0.25">
      <c r="A4512">
        <v>1861</v>
      </c>
      <c r="B4512" s="16">
        <v>44013</v>
      </c>
      <c r="C4512" t="s">
        <v>39</v>
      </c>
      <c r="D4512">
        <v>5532675.75</v>
      </c>
      <c r="E4512" t="s">
        <v>330</v>
      </c>
    </row>
    <row r="4513" spans="1:5" x14ac:dyDescent="0.25">
      <c r="A4513">
        <v>1861</v>
      </c>
      <c r="B4513" s="16">
        <v>44044</v>
      </c>
      <c r="C4513" t="s">
        <v>39</v>
      </c>
      <c r="D4513">
        <v>5532675.75</v>
      </c>
      <c r="E4513" t="s">
        <v>330</v>
      </c>
    </row>
    <row r="4514" spans="1:5" x14ac:dyDescent="0.25">
      <c r="A4514">
        <v>1861</v>
      </c>
      <c r="B4514" s="16">
        <v>44075</v>
      </c>
      <c r="C4514" t="s">
        <v>39</v>
      </c>
      <c r="D4514">
        <v>5532675.75</v>
      </c>
      <c r="E4514" t="s">
        <v>330</v>
      </c>
    </row>
    <row r="4515" spans="1:5" x14ac:dyDescent="0.25">
      <c r="A4515">
        <v>1861</v>
      </c>
      <c r="B4515" s="16">
        <v>44105</v>
      </c>
      <c r="C4515" t="s">
        <v>39</v>
      </c>
      <c r="D4515">
        <v>5532675.75</v>
      </c>
      <c r="E4515" t="s">
        <v>330</v>
      </c>
    </row>
    <row r="4516" spans="1:5" x14ac:dyDescent="0.25">
      <c r="A4516">
        <v>1861</v>
      </c>
      <c r="B4516" s="16">
        <v>44136</v>
      </c>
      <c r="C4516" t="s">
        <v>39</v>
      </c>
      <c r="D4516">
        <v>5532675.75</v>
      </c>
      <c r="E4516" t="s">
        <v>330</v>
      </c>
    </row>
    <row r="4517" spans="1:5" x14ac:dyDescent="0.25">
      <c r="A4517">
        <v>1861</v>
      </c>
      <c r="B4517" s="16">
        <v>44166</v>
      </c>
      <c r="C4517" t="s">
        <v>39</v>
      </c>
      <c r="D4517">
        <v>5532675.75</v>
      </c>
      <c r="E4517" t="s">
        <v>330</v>
      </c>
    </row>
    <row r="4518" spans="1:5" x14ac:dyDescent="0.25">
      <c r="A4518">
        <v>1861</v>
      </c>
      <c r="B4518" s="16">
        <v>43466</v>
      </c>
      <c r="C4518" t="s">
        <v>171</v>
      </c>
      <c r="D4518">
        <v>6478130.9250000007</v>
      </c>
      <c r="E4518" t="s">
        <v>330</v>
      </c>
    </row>
    <row r="4519" spans="1:5" x14ac:dyDescent="0.25">
      <c r="A4519">
        <v>1861</v>
      </c>
      <c r="B4519" s="16">
        <v>43497</v>
      </c>
      <c r="C4519" t="s">
        <v>171</v>
      </c>
      <c r="D4519">
        <v>6478130.9250000007</v>
      </c>
      <c r="E4519" t="s">
        <v>330</v>
      </c>
    </row>
    <row r="4520" spans="1:5" x14ac:dyDescent="0.25">
      <c r="A4520">
        <v>1861</v>
      </c>
      <c r="B4520" s="16">
        <v>43525</v>
      </c>
      <c r="C4520" t="s">
        <v>171</v>
      </c>
      <c r="D4520">
        <v>6478130.9250000007</v>
      </c>
      <c r="E4520" t="s">
        <v>330</v>
      </c>
    </row>
    <row r="4521" spans="1:5" x14ac:dyDescent="0.25">
      <c r="A4521">
        <v>1861</v>
      </c>
      <c r="B4521" s="16">
        <v>43556</v>
      </c>
      <c r="C4521" t="s">
        <v>171</v>
      </c>
      <c r="D4521">
        <v>6478130.9250000007</v>
      </c>
      <c r="E4521" t="s">
        <v>330</v>
      </c>
    </row>
    <row r="4522" spans="1:5" x14ac:dyDescent="0.25">
      <c r="A4522">
        <v>1861</v>
      </c>
      <c r="B4522" s="16">
        <v>43586</v>
      </c>
      <c r="C4522" t="s">
        <v>171</v>
      </c>
      <c r="D4522">
        <v>6478130.9250000007</v>
      </c>
      <c r="E4522" t="s">
        <v>330</v>
      </c>
    </row>
    <row r="4523" spans="1:5" x14ac:dyDescent="0.25">
      <c r="A4523">
        <v>1861</v>
      </c>
      <c r="B4523" s="16">
        <v>43617</v>
      </c>
      <c r="C4523" t="s">
        <v>171</v>
      </c>
      <c r="D4523">
        <v>6478130.9250000007</v>
      </c>
      <c r="E4523" t="s">
        <v>330</v>
      </c>
    </row>
    <row r="4524" spans="1:5" x14ac:dyDescent="0.25">
      <c r="A4524">
        <v>1861</v>
      </c>
      <c r="B4524" s="16">
        <v>43647</v>
      </c>
      <c r="C4524" t="s">
        <v>171</v>
      </c>
      <c r="D4524">
        <v>6478130.9250000007</v>
      </c>
      <c r="E4524" t="s">
        <v>330</v>
      </c>
    </row>
    <row r="4525" spans="1:5" x14ac:dyDescent="0.25">
      <c r="A4525">
        <v>1861</v>
      </c>
      <c r="B4525" s="16">
        <v>43678</v>
      </c>
      <c r="C4525" t="s">
        <v>171</v>
      </c>
      <c r="D4525">
        <v>6478130.9250000007</v>
      </c>
      <c r="E4525" t="s">
        <v>330</v>
      </c>
    </row>
    <row r="4526" spans="1:5" x14ac:dyDescent="0.25">
      <c r="A4526">
        <v>1861</v>
      </c>
      <c r="B4526" s="16">
        <v>43709</v>
      </c>
      <c r="C4526" t="s">
        <v>171</v>
      </c>
      <c r="D4526">
        <v>6478130.9250000007</v>
      </c>
      <c r="E4526" t="s">
        <v>330</v>
      </c>
    </row>
    <row r="4527" spans="1:5" x14ac:dyDescent="0.25">
      <c r="A4527">
        <v>1861</v>
      </c>
      <c r="B4527" s="16">
        <v>43739</v>
      </c>
      <c r="C4527" t="s">
        <v>171</v>
      </c>
      <c r="D4527">
        <v>6478130.9250000007</v>
      </c>
      <c r="E4527" t="s">
        <v>330</v>
      </c>
    </row>
    <row r="4528" spans="1:5" x14ac:dyDescent="0.25">
      <c r="A4528">
        <v>1861</v>
      </c>
      <c r="B4528" s="16">
        <v>43770</v>
      </c>
      <c r="C4528" t="s">
        <v>171</v>
      </c>
      <c r="D4528">
        <v>6478130.9250000007</v>
      </c>
      <c r="E4528" t="s">
        <v>330</v>
      </c>
    </row>
    <row r="4529" spans="1:5" x14ac:dyDescent="0.25">
      <c r="A4529">
        <v>1861</v>
      </c>
      <c r="B4529" s="16">
        <v>43800</v>
      </c>
      <c r="C4529" t="s">
        <v>171</v>
      </c>
      <c r="D4529">
        <v>6478130.9250000007</v>
      </c>
      <c r="E4529" t="s">
        <v>330</v>
      </c>
    </row>
    <row r="4530" spans="1:5" x14ac:dyDescent="0.25">
      <c r="A4530">
        <v>1861</v>
      </c>
      <c r="B4530" s="16">
        <v>43831</v>
      </c>
      <c r="C4530" t="s">
        <v>171</v>
      </c>
      <c r="D4530">
        <v>6478130.9250000007</v>
      </c>
      <c r="E4530" t="s">
        <v>330</v>
      </c>
    </row>
    <row r="4531" spans="1:5" x14ac:dyDescent="0.25">
      <c r="A4531">
        <v>1861</v>
      </c>
      <c r="B4531" s="16">
        <v>43862</v>
      </c>
      <c r="C4531" t="s">
        <v>171</v>
      </c>
      <c r="D4531">
        <v>6478130.9250000007</v>
      </c>
      <c r="E4531" t="s">
        <v>330</v>
      </c>
    </row>
    <row r="4532" spans="1:5" x14ac:dyDescent="0.25">
      <c r="A4532">
        <v>1861</v>
      </c>
      <c r="B4532" s="16">
        <v>43891</v>
      </c>
      <c r="C4532" t="s">
        <v>171</v>
      </c>
      <c r="D4532">
        <v>6478130.9250000007</v>
      </c>
      <c r="E4532" t="s">
        <v>330</v>
      </c>
    </row>
    <row r="4533" spans="1:5" x14ac:dyDescent="0.25">
      <c r="A4533">
        <v>1861</v>
      </c>
      <c r="B4533" s="16">
        <v>43922</v>
      </c>
      <c r="C4533" t="s">
        <v>171</v>
      </c>
      <c r="D4533">
        <v>6478130.9250000007</v>
      </c>
      <c r="E4533" t="s">
        <v>330</v>
      </c>
    </row>
    <row r="4534" spans="1:5" x14ac:dyDescent="0.25">
      <c r="A4534">
        <v>1861</v>
      </c>
      <c r="B4534" s="16">
        <v>43952</v>
      </c>
      <c r="C4534" t="s">
        <v>171</v>
      </c>
      <c r="D4534">
        <v>6478130.9250000007</v>
      </c>
      <c r="E4534" t="s">
        <v>330</v>
      </c>
    </row>
    <row r="4535" spans="1:5" x14ac:dyDescent="0.25">
      <c r="A4535">
        <v>1861</v>
      </c>
      <c r="B4535" s="16">
        <v>43983</v>
      </c>
      <c r="C4535" t="s">
        <v>171</v>
      </c>
      <c r="D4535">
        <v>6478130.9250000007</v>
      </c>
      <c r="E4535" t="s">
        <v>330</v>
      </c>
    </row>
    <row r="4536" spans="1:5" x14ac:dyDescent="0.25">
      <c r="A4536">
        <v>1861</v>
      </c>
      <c r="B4536" s="16">
        <v>44013</v>
      </c>
      <c r="C4536" t="s">
        <v>171</v>
      </c>
      <c r="D4536">
        <v>6478130.9250000007</v>
      </c>
      <c r="E4536" t="s">
        <v>330</v>
      </c>
    </row>
    <row r="4537" spans="1:5" x14ac:dyDescent="0.25">
      <c r="A4537">
        <v>1861</v>
      </c>
      <c r="B4537" s="16">
        <v>44044</v>
      </c>
      <c r="C4537" t="s">
        <v>171</v>
      </c>
      <c r="D4537">
        <v>6478130.9250000007</v>
      </c>
      <c r="E4537" t="s">
        <v>330</v>
      </c>
    </row>
    <row r="4538" spans="1:5" x14ac:dyDescent="0.25">
      <c r="A4538">
        <v>1861</v>
      </c>
      <c r="B4538" s="16">
        <v>44075</v>
      </c>
      <c r="C4538" t="s">
        <v>171</v>
      </c>
      <c r="D4538">
        <v>6478130.9250000007</v>
      </c>
      <c r="E4538" t="s">
        <v>330</v>
      </c>
    </row>
    <row r="4539" spans="1:5" x14ac:dyDescent="0.25">
      <c r="A4539">
        <v>1861</v>
      </c>
      <c r="B4539" s="16">
        <v>44105</v>
      </c>
      <c r="C4539" t="s">
        <v>171</v>
      </c>
      <c r="D4539">
        <v>6478130.9250000007</v>
      </c>
      <c r="E4539" t="s">
        <v>330</v>
      </c>
    </row>
    <row r="4540" spans="1:5" x14ac:dyDescent="0.25">
      <c r="A4540">
        <v>1861</v>
      </c>
      <c r="B4540" s="16">
        <v>44136</v>
      </c>
      <c r="C4540" t="s">
        <v>171</v>
      </c>
      <c r="D4540">
        <v>6478130.9250000007</v>
      </c>
      <c r="E4540" t="s">
        <v>330</v>
      </c>
    </row>
    <row r="4541" spans="1:5" x14ac:dyDescent="0.25">
      <c r="A4541">
        <v>1861</v>
      </c>
      <c r="B4541" s="16">
        <v>43466</v>
      </c>
      <c r="C4541" t="s">
        <v>171</v>
      </c>
      <c r="D4541">
        <v>6478130.9250000007</v>
      </c>
      <c r="E4541" t="s">
        <v>330</v>
      </c>
    </row>
    <row r="4542" spans="1:5" x14ac:dyDescent="0.25">
      <c r="A4542">
        <v>1861</v>
      </c>
      <c r="B4542" s="16">
        <v>43497</v>
      </c>
      <c r="C4542" t="s">
        <v>171</v>
      </c>
      <c r="D4542">
        <v>6478130.9250000007</v>
      </c>
      <c r="E4542" t="s">
        <v>330</v>
      </c>
    </row>
    <row r="4543" spans="1:5" x14ac:dyDescent="0.25">
      <c r="A4543">
        <v>1861</v>
      </c>
      <c r="B4543" s="16">
        <v>43525</v>
      </c>
      <c r="C4543" t="s">
        <v>171</v>
      </c>
      <c r="D4543">
        <v>6478130.9250000007</v>
      </c>
      <c r="E4543" t="s">
        <v>330</v>
      </c>
    </row>
    <row r="4544" spans="1:5" x14ac:dyDescent="0.25">
      <c r="A4544">
        <v>1861</v>
      </c>
      <c r="B4544" s="16">
        <v>43556</v>
      </c>
      <c r="C4544" t="s">
        <v>171</v>
      </c>
      <c r="D4544">
        <v>6478130.9250000007</v>
      </c>
      <c r="E4544" t="s">
        <v>330</v>
      </c>
    </row>
    <row r="4545" spans="1:5" x14ac:dyDescent="0.25">
      <c r="A4545">
        <v>1861</v>
      </c>
      <c r="B4545" s="16">
        <v>43586</v>
      </c>
      <c r="C4545" t="s">
        <v>171</v>
      </c>
      <c r="D4545">
        <v>6478130.9250000007</v>
      </c>
      <c r="E4545" t="s">
        <v>330</v>
      </c>
    </row>
    <row r="4546" spans="1:5" x14ac:dyDescent="0.25">
      <c r="A4546">
        <v>1861</v>
      </c>
      <c r="B4546" s="16">
        <v>43617</v>
      </c>
      <c r="C4546" t="s">
        <v>171</v>
      </c>
      <c r="D4546">
        <v>6478130.9250000007</v>
      </c>
      <c r="E4546" t="s">
        <v>330</v>
      </c>
    </row>
    <row r="4547" spans="1:5" x14ac:dyDescent="0.25">
      <c r="A4547">
        <v>1861</v>
      </c>
      <c r="B4547" s="16">
        <v>43647</v>
      </c>
      <c r="C4547" t="s">
        <v>171</v>
      </c>
      <c r="D4547">
        <v>6478130.9250000007</v>
      </c>
      <c r="E4547" t="s">
        <v>330</v>
      </c>
    </row>
    <row r="4548" spans="1:5" x14ac:dyDescent="0.25">
      <c r="A4548">
        <v>1861</v>
      </c>
      <c r="B4548" s="16">
        <v>43678</v>
      </c>
      <c r="C4548" t="s">
        <v>171</v>
      </c>
      <c r="D4548">
        <v>6478130.9250000007</v>
      </c>
      <c r="E4548" t="s">
        <v>330</v>
      </c>
    </row>
    <row r="4549" spans="1:5" x14ac:dyDescent="0.25">
      <c r="A4549">
        <v>1861</v>
      </c>
      <c r="B4549" s="16">
        <v>43709</v>
      </c>
      <c r="C4549" t="s">
        <v>171</v>
      </c>
      <c r="D4549">
        <v>6478130.9250000007</v>
      </c>
      <c r="E4549" t="s">
        <v>330</v>
      </c>
    </row>
    <row r="4550" spans="1:5" x14ac:dyDescent="0.25">
      <c r="A4550">
        <v>1861</v>
      </c>
      <c r="B4550" s="16">
        <v>43739</v>
      </c>
      <c r="C4550" t="s">
        <v>171</v>
      </c>
      <c r="D4550">
        <v>6478130.9250000007</v>
      </c>
      <c r="E4550" t="s">
        <v>330</v>
      </c>
    </row>
    <row r="4551" spans="1:5" x14ac:dyDescent="0.25">
      <c r="A4551">
        <v>1861</v>
      </c>
      <c r="B4551" s="16">
        <v>43770</v>
      </c>
      <c r="C4551" t="s">
        <v>171</v>
      </c>
      <c r="D4551">
        <v>6478130.9250000007</v>
      </c>
      <c r="E4551" t="s">
        <v>330</v>
      </c>
    </row>
    <row r="4552" spans="1:5" x14ac:dyDescent="0.25">
      <c r="A4552">
        <v>1861</v>
      </c>
      <c r="B4552" s="16">
        <v>43800</v>
      </c>
      <c r="C4552" t="s">
        <v>171</v>
      </c>
      <c r="D4552">
        <v>6478130.9250000007</v>
      </c>
      <c r="E4552" t="s">
        <v>330</v>
      </c>
    </row>
    <row r="4553" spans="1:5" x14ac:dyDescent="0.25">
      <c r="A4553">
        <v>1861</v>
      </c>
      <c r="B4553" s="16">
        <v>43831</v>
      </c>
      <c r="C4553" t="s">
        <v>171</v>
      </c>
      <c r="D4553">
        <v>6478130.9250000007</v>
      </c>
      <c r="E4553" t="s">
        <v>330</v>
      </c>
    </row>
    <row r="4554" spans="1:5" x14ac:dyDescent="0.25">
      <c r="A4554">
        <v>1861</v>
      </c>
      <c r="B4554" s="16">
        <v>43862</v>
      </c>
      <c r="C4554" t="s">
        <v>171</v>
      </c>
      <c r="D4554">
        <v>6478130.9250000007</v>
      </c>
      <c r="E4554" t="s">
        <v>330</v>
      </c>
    </row>
    <row r="4555" spans="1:5" x14ac:dyDescent="0.25">
      <c r="A4555">
        <v>1861</v>
      </c>
      <c r="B4555" s="16">
        <v>43891</v>
      </c>
      <c r="C4555" t="s">
        <v>171</v>
      </c>
      <c r="D4555">
        <v>6478130.9250000007</v>
      </c>
      <c r="E4555" t="s">
        <v>330</v>
      </c>
    </row>
    <row r="4556" spans="1:5" x14ac:dyDescent="0.25">
      <c r="A4556">
        <v>1861</v>
      </c>
      <c r="B4556" s="16">
        <v>43922</v>
      </c>
      <c r="C4556" t="s">
        <v>171</v>
      </c>
      <c r="D4556">
        <v>6478130.9250000007</v>
      </c>
      <c r="E4556" t="s">
        <v>330</v>
      </c>
    </row>
    <row r="4557" spans="1:5" x14ac:dyDescent="0.25">
      <c r="A4557">
        <v>1861</v>
      </c>
      <c r="B4557" s="16">
        <v>43952</v>
      </c>
      <c r="C4557" t="s">
        <v>171</v>
      </c>
      <c r="D4557">
        <v>6478130.9250000007</v>
      </c>
      <c r="E4557" t="s">
        <v>330</v>
      </c>
    </row>
    <row r="4558" spans="1:5" x14ac:dyDescent="0.25">
      <c r="A4558">
        <v>1861</v>
      </c>
      <c r="B4558" s="16">
        <v>43983</v>
      </c>
      <c r="C4558" t="s">
        <v>171</v>
      </c>
      <c r="D4558">
        <v>6478130.9250000007</v>
      </c>
      <c r="E4558" t="s">
        <v>330</v>
      </c>
    </row>
    <row r="4559" spans="1:5" x14ac:dyDescent="0.25">
      <c r="A4559">
        <v>1861</v>
      </c>
      <c r="B4559" s="16">
        <v>44013</v>
      </c>
      <c r="C4559" t="s">
        <v>171</v>
      </c>
      <c r="D4559">
        <v>6478130.9250000007</v>
      </c>
      <c r="E4559" t="s">
        <v>330</v>
      </c>
    </row>
    <row r="4560" spans="1:5" x14ac:dyDescent="0.25">
      <c r="A4560">
        <v>1861</v>
      </c>
      <c r="B4560" s="16">
        <v>44044</v>
      </c>
      <c r="C4560" t="s">
        <v>171</v>
      </c>
      <c r="D4560">
        <v>6478130.9250000007</v>
      </c>
      <c r="E4560" t="s">
        <v>330</v>
      </c>
    </row>
    <row r="4561" spans="1:5" x14ac:dyDescent="0.25">
      <c r="A4561">
        <v>1861</v>
      </c>
      <c r="B4561" s="16">
        <v>44075</v>
      </c>
      <c r="C4561" t="s">
        <v>171</v>
      </c>
      <c r="D4561">
        <v>6478130.9250000007</v>
      </c>
      <c r="E4561" t="s">
        <v>330</v>
      </c>
    </row>
    <row r="4562" spans="1:5" x14ac:dyDescent="0.25">
      <c r="A4562">
        <v>1861</v>
      </c>
      <c r="B4562" s="16">
        <v>44105</v>
      </c>
      <c r="C4562" t="s">
        <v>171</v>
      </c>
      <c r="D4562">
        <v>6478130.9250000007</v>
      </c>
      <c r="E4562" t="s">
        <v>330</v>
      </c>
    </row>
    <row r="4563" spans="1:5" x14ac:dyDescent="0.25">
      <c r="A4563">
        <v>1861</v>
      </c>
      <c r="B4563" s="16">
        <v>44136</v>
      </c>
      <c r="C4563" t="s">
        <v>171</v>
      </c>
      <c r="D4563">
        <v>6478130.9250000007</v>
      </c>
      <c r="E4563" t="s">
        <v>330</v>
      </c>
    </row>
    <row r="4564" spans="1:5" x14ac:dyDescent="0.25">
      <c r="A4564">
        <v>1873</v>
      </c>
      <c r="B4564" s="16">
        <v>43466</v>
      </c>
      <c r="C4564" t="s">
        <v>19</v>
      </c>
      <c r="D4564">
        <v>2806650</v>
      </c>
      <c r="E4564" t="s">
        <v>330</v>
      </c>
    </row>
    <row r="4565" spans="1:5" x14ac:dyDescent="0.25">
      <c r="A4565">
        <v>1873</v>
      </c>
      <c r="B4565" s="16">
        <v>43497</v>
      </c>
      <c r="C4565" t="s">
        <v>19</v>
      </c>
      <c r="D4565">
        <v>2806650</v>
      </c>
      <c r="E4565" t="s">
        <v>330</v>
      </c>
    </row>
    <row r="4566" spans="1:5" x14ac:dyDescent="0.25">
      <c r="A4566">
        <v>1873</v>
      </c>
      <c r="B4566" s="16">
        <v>43525</v>
      </c>
      <c r="C4566" t="s">
        <v>19</v>
      </c>
      <c r="D4566">
        <v>2806650</v>
      </c>
      <c r="E4566" t="s">
        <v>330</v>
      </c>
    </row>
    <row r="4567" spans="1:5" x14ac:dyDescent="0.25">
      <c r="A4567">
        <v>1873</v>
      </c>
      <c r="B4567" s="16">
        <v>43556</v>
      </c>
      <c r="C4567" t="s">
        <v>19</v>
      </c>
      <c r="D4567">
        <v>2806650</v>
      </c>
      <c r="E4567" t="s">
        <v>330</v>
      </c>
    </row>
    <row r="4568" spans="1:5" x14ac:dyDescent="0.25">
      <c r="A4568">
        <v>1873</v>
      </c>
      <c r="B4568" s="16">
        <v>43586</v>
      </c>
      <c r="C4568" t="s">
        <v>19</v>
      </c>
      <c r="D4568">
        <v>2806650</v>
      </c>
      <c r="E4568" t="s">
        <v>330</v>
      </c>
    </row>
    <row r="4569" spans="1:5" x14ac:dyDescent="0.25">
      <c r="A4569">
        <v>1873</v>
      </c>
      <c r="B4569" s="16">
        <v>43617</v>
      </c>
      <c r="C4569" t="s">
        <v>19</v>
      </c>
      <c r="D4569">
        <v>2806650</v>
      </c>
      <c r="E4569" t="s">
        <v>330</v>
      </c>
    </row>
    <row r="4570" spans="1:5" x14ac:dyDescent="0.25">
      <c r="A4570">
        <v>1873</v>
      </c>
      <c r="B4570" s="16">
        <v>43647</v>
      </c>
      <c r="C4570" t="s">
        <v>19</v>
      </c>
      <c r="D4570">
        <v>2806650</v>
      </c>
      <c r="E4570" t="s">
        <v>330</v>
      </c>
    </row>
    <row r="4571" spans="1:5" x14ac:dyDescent="0.25">
      <c r="A4571">
        <v>1873</v>
      </c>
      <c r="B4571" s="16">
        <v>43678</v>
      </c>
      <c r="C4571" t="s">
        <v>19</v>
      </c>
      <c r="D4571">
        <v>2806650</v>
      </c>
      <c r="E4571" t="s">
        <v>330</v>
      </c>
    </row>
    <row r="4572" spans="1:5" x14ac:dyDescent="0.25">
      <c r="A4572">
        <v>1873</v>
      </c>
      <c r="B4572" s="16">
        <v>43709</v>
      </c>
      <c r="C4572" t="s">
        <v>19</v>
      </c>
      <c r="D4572">
        <v>2806650</v>
      </c>
      <c r="E4572" t="s">
        <v>330</v>
      </c>
    </row>
    <row r="4573" spans="1:5" x14ac:dyDescent="0.25">
      <c r="A4573">
        <v>1873</v>
      </c>
      <c r="B4573" s="16">
        <v>43739</v>
      </c>
      <c r="C4573" t="s">
        <v>19</v>
      </c>
      <c r="D4573">
        <v>2806650</v>
      </c>
      <c r="E4573" t="s">
        <v>330</v>
      </c>
    </row>
    <row r="4574" spans="1:5" x14ac:dyDescent="0.25">
      <c r="A4574">
        <v>1873</v>
      </c>
      <c r="B4574" s="16">
        <v>43770</v>
      </c>
      <c r="C4574" t="s">
        <v>19</v>
      </c>
      <c r="D4574">
        <v>2806650</v>
      </c>
      <c r="E4574" t="s">
        <v>330</v>
      </c>
    </row>
    <row r="4575" spans="1:5" x14ac:dyDescent="0.25">
      <c r="A4575">
        <v>1873</v>
      </c>
      <c r="B4575" s="16">
        <v>43466</v>
      </c>
      <c r="C4575" t="s">
        <v>26</v>
      </c>
      <c r="D4575">
        <v>5355000</v>
      </c>
      <c r="E4575" t="s">
        <v>330</v>
      </c>
    </row>
    <row r="4576" spans="1:5" x14ac:dyDescent="0.25">
      <c r="A4576">
        <v>1873</v>
      </c>
      <c r="B4576" s="16">
        <v>43497</v>
      </c>
      <c r="C4576" t="s">
        <v>26</v>
      </c>
      <c r="D4576">
        <v>5355000</v>
      </c>
      <c r="E4576" t="s">
        <v>330</v>
      </c>
    </row>
    <row r="4577" spans="1:5" x14ac:dyDescent="0.25">
      <c r="A4577">
        <v>1873</v>
      </c>
      <c r="B4577" s="16">
        <v>43525</v>
      </c>
      <c r="C4577" t="s">
        <v>26</v>
      </c>
      <c r="D4577">
        <v>5355000</v>
      </c>
      <c r="E4577" t="s">
        <v>330</v>
      </c>
    </row>
    <row r="4578" spans="1:5" x14ac:dyDescent="0.25">
      <c r="A4578">
        <v>1873</v>
      </c>
      <c r="B4578" s="16">
        <v>43556</v>
      </c>
      <c r="C4578" t="s">
        <v>26</v>
      </c>
      <c r="D4578">
        <v>5355000</v>
      </c>
      <c r="E4578" t="s">
        <v>330</v>
      </c>
    </row>
    <row r="4579" spans="1:5" x14ac:dyDescent="0.25">
      <c r="A4579">
        <v>1873</v>
      </c>
      <c r="B4579" s="16">
        <v>43586</v>
      </c>
      <c r="C4579" t="s">
        <v>26</v>
      </c>
      <c r="D4579">
        <v>5355000</v>
      </c>
      <c r="E4579" t="s">
        <v>330</v>
      </c>
    </row>
    <row r="4580" spans="1:5" x14ac:dyDescent="0.25">
      <c r="A4580">
        <v>1873</v>
      </c>
      <c r="B4580" s="16">
        <v>43617</v>
      </c>
      <c r="C4580" t="s">
        <v>26</v>
      </c>
      <c r="D4580">
        <v>5355000</v>
      </c>
      <c r="E4580" t="s">
        <v>330</v>
      </c>
    </row>
    <row r="4581" spans="1:5" x14ac:dyDescent="0.25">
      <c r="A4581">
        <v>1873</v>
      </c>
      <c r="B4581" s="16">
        <v>43647</v>
      </c>
      <c r="C4581" t="s">
        <v>26</v>
      </c>
      <c r="D4581">
        <v>5355000</v>
      </c>
      <c r="E4581" t="s">
        <v>330</v>
      </c>
    </row>
    <row r="4582" spans="1:5" x14ac:dyDescent="0.25">
      <c r="A4582">
        <v>1873</v>
      </c>
      <c r="B4582" s="16">
        <v>43678</v>
      </c>
      <c r="C4582" t="s">
        <v>26</v>
      </c>
      <c r="D4582">
        <v>5355000</v>
      </c>
      <c r="E4582" t="s">
        <v>330</v>
      </c>
    </row>
    <row r="4583" spans="1:5" x14ac:dyDescent="0.25">
      <c r="A4583">
        <v>1873</v>
      </c>
      <c r="B4583" s="16">
        <v>43709</v>
      </c>
      <c r="C4583" t="s">
        <v>26</v>
      </c>
      <c r="D4583">
        <v>5355000</v>
      </c>
      <c r="E4583" t="s">
        <v>330</v>
      </c>
    </row>
    <row r="4584" spans="1:5" x14ac:dyDescent="0.25">
      <c r="A4584">
        <v>1873</v>
      </c>
      <c r="B4584" s="16">
        <v>43739</v>
      </c>
      <c r="C4584" t="s">
        <v>26</v>
      </c>
      <c r="D4584">
        <v>5355000</v>
      </c>
      <c r="E4584" t="s">
        <v>330</v>
      </c>
    </row>
    <row r="4585" spans="1:5" x14ac:dyDescent="0.25">
      <c r="A4585">
        <v>1873</v>
      </c>
      <c r="B4585" s="16">
        <v>43770</v>
      </c>
      <c r="C4585" t="s">
        <v>26</v>
      </c>
      <c r="D4585">
        <v>5355000</v>
      </c>
      <c r="E4585" t="s">
        <v>330</v>
      </c>
    </row>
    <row r="4586" spans="1:5" x14ac:dyDescent="0.25">
      <c r="A4586">
        <v>1873</v>
      </c>
      <c r="B4586" s="16">
        <v>43466</v>
      </c>
      <c r="C4586" t="s">
        <v>38</v>
      </c>
      <c r="D4586">
        <v>4123664.9999999995</v>
      </c>
      <c r="E4586" t="s">
        <v>330</v>
      </c>
    </row>
    <row r="4587" spans="1:5" x14ac:dyDescent="0.25">
      <c r="A4587">
        <v>1873</v>
      </c>
      <c r="B4587" s="16">
        <v>43497</v>
      </c>
      <c r="C4587" t="s">
        <v>38</v>
      </c>
      <c r="D4587">
        <v>4123664.9999999995</v>
      </c>
      <c r="E4587" t="s">
        <v>330</v>
      </c>
    </row>
    <row r="4588" spans="1:5" x14ac:dyDescent="0.25">
      <c r="A4588">
        <v>1873</v>
      </c>
      <c r="B4588" s="16">
        <v>43525</v>
      </c>
      <c r="C4588" t="s">
        <v>38</v>
      </c>
      <c r="D4588">
        <v>4123664.9999999995</v>
      </c>
      <c r="E4588" t="s">
        <v>330</v>
      </c>
    </row>
    <row r="4589" spans="1:5" x14ac:dyDescent="0.25">
      <c r="A4589">
        <v>1873</v>
      </c>
      <c r="B4589" s="16">
        <v>43556</v>
      </c>
      <c r="C4589" t="s">
        <v>38</v>
      </c>
      <c r="D4589">
        <v>4123664.9999999995</v>
      </c>
      <c r="E4589" t="s">
        <v>330</v>
      </c>
    </row>
    <row r="4590" spans="1:5" x14ac:dyDescent="0.25">
      <c r="A4590">
        <v>1873</v>
      </c>
      <c r="B4590" s="16">
        <v>43586</v>
      </c>
      <c r="C4590" t="s">
        <v>38</v>
      </c>
      <c r="D4590">
        <v>4123664.9999999995</v>
      </c>
      <c r="E4590" t="s">
        <v>330</v>
      </c>
    </row>
    <row r="4591" spans="1:5" x14ac:dyDescent="0.25">
      <c r="A4591">
        <v>1873</v>
      </c>
      <c r="B4591" s="16">
        <v>43617</v>
      </c>
      <c r="C4591" t="s">
        <v>38</v>
      </c>
      <c r="D4591">
        <v>4123664.9999999995</v>
      </c>
      <c r="E4591" t="s">
        <v>330</v>
      </c>
    </row>
    <row r="4592" spans="1:5" x14ac:dyDescent="0.25">
      <c r="A4592">
        <v>1873</v>
      </c>
      <c r="B4592" s="16">
        <v>43647</v>
      </c>
      <c r="C4592" t="s">
        <v>38</v>
      </c>
      <c r="D4592">
        <v>4123664.9999999995</v>
      </c>
      <c r="E4592" t="s">
        <v>330</v>
      </c>
    </row>
    <row r="4593" spans="1:5" x14ac:dyDescent="0.25">
      <c r="A4593">
        <v>1873</v>
      </c>
      <c r="B4593" s="16">
        <v>43678</v>
      </c>
      <c r="C4593" t="s">
        <v>38</v>
      </c>
      <c r="D4593">
        <v>4123664.9999999995</v>
      </c>
      <c r="E4593" t="s">
        <v>330</v>
      </c>
    </row>
    <row r="4594" spans="1:5" x14ac:dyDescent="0.25">
      <c r="A4594">
        <v>1873</v>
      </c>
      <c r="B4594" s="16">
        <v>43466</v>
      </c>
      <c r="C4594" t="s">
        <v>172</v>
      </c>
      <c r="D4594">
        <v>4123666.6694999998</v>
      </c>
      <c r="E4594" t="s">
        <v>330</v>
      </c>
    </row>
    <row r="4595" spans="1:5" x14ac:dyDescent="0.25">
      <c r="A4595">
        <v>1873</v>
      </c>
      <c r="B4595" s="16">
        <v>43497</v>
      </c>
      <c r="C4595" t="s">
        <v>172</v>
      </c>
      <c r="D4595">
        <v>4123666.6694999998</v>
      </c>
      <c r="E4595" t="s">
        <v>330</v>
      </c>
    </row>
    <row r="4596" spans="1:5" x14ac:dyDescent="0.25">
      <c r="A4596">
        <v>1874</v>
      </c>
      <c r="B4596" s="16">
        <v>43466</v>
      </c>
      <c r="C4596" t="s">
        <v>173</v>
      </c>
      <c r="D4596">
        <v>10415999.475</v>
      </c>
      <c r="E4596" t="s">
        <v>330</v>
      </c>
    </row>
    <row r="4597" spans="1:5" x14ac:dyDescent="0.25">
      <c r="A4597">
        <v>1874</v>
      </c>
      <c r="B4597" s="16">
        <v>43497</v>
      </c>
      <c r="C4597" t="s">
        <v>173</v>
      </c>
      <c r="D4597">
        <v>10415999.475</v>
      </c>
      <c r="E4597" t="s">
        <v>330</v>
      </c>
    </row>
    <row r="4598" spans="1:5" x14ac:dyDescent="0.25">
      <c r="A4598">
        <v>1874</v>
      </c>
      <c r="B4598" s="16">
        <v>43525</v>
      </c>
      <c r="C4598" t="s">
        <v>173</v>
      </c>
      <c r="D4598">
        <v>10415999.475</v>
      </c>
      <c r="E4598" t="s">
        <v>330</v>
      </c>
    </row>
    <row r="4599" spans="1:5" x14ac:dyDescent="0.25">
      <c r="A4599">
        <v>1874</v>
      </c>
      <c r="B4599" s="16">
        <v>43556</v>
      </c>
      <c r="C4599" t="s">
        <v>173</v>
      </c>
      <c r="D4599">
        <v>10415999.475</v>
      </c>
      <c r="E4599" t="s">
        <v>330</v>
      </c>
    </row>
    <row r="4600" spans="1:5" x14ac:dyDescent="0.25">
      <c r="A4600">
        <v>1874</v>
      </c>
      <c r="B4600" s="16">
        <v>43586</v>
      </c>
      <c r="C4600" t="s">
        <v>173</v>
      </c>
      <c r="D4600">
        <v>10415999.475</v>
      </c>
      <c r="E4600" t="s">
        <v>330</v>
      </c>
    </row>
    <row r="4601" spans="1:5" x14ac:dyDescent="0.25">
      <c r="A4601">
        <v>1874</v>
      </c>
      <c r="B4601" s="16">
        <v>43617</v>
      </c>
      <c r="C4601" t="s">
        <v>173</v>
      </c>
      <c r="D4601">
        <v>10415999.475</v>
      </c>
      <c r="E4601" t="s">
        <v>330</v>
      </c>
    </row>
    <row r="4602" spans="1:5" x14ac:dyDescent="0.25">
      <c r="A4602">
        <v>1874</v>
      </c>
      <c r="B4602" s="16">
        <v>43647</v>
      </c>
      <c r="C4602" t="s">
        <v>173</v>
      </c>
      <c r="D4602">
        <v>10415999.475</v>
      </c>
      <c r="E4602" t="s">
        <v>330</v>
      </c>
    </row>
    <row r="4603" spans="1:5" x14ac:dyDescent="0.25">
      <c r="A4603">
        <v>1874</v>
      </c>
      <c r="B4603" s="16">
        <v>43678</v>
      </c>
      <c r="C4603" t="s">
        <v>173</v>
      </c>
      <c r="D4603">
        <v>10415999.475</v>
      </c>
      <c r="E4603" t="s">
        <v>330</v>
      </c>
    </row>
    <row r="4604" spans="1:5" x14ac:dyDescent="0.25">
      <c r="A4604">
        <v>1874</v>
      </c>
      <c r="B4604" s="16">
        <v>43709</v>
      </c>
      <c r="C4604" t="s">
        <v>173</v>
      </c>
      <c r="D4604">
        <v>10415999.475</v>
      </c>
      <c r="E4604" t="s">
        <v>330</v>
      </c>
    </row>
    <row r="4605" spans="1:5" x14ac:dyDescent="0.25">
      <c r="A4605">
        <v>1874</v>
      </c>
      <c r="B4605" s="16">
        <v>43739</v>
      </c>
      <c r="C4605" t="s">
        <v>173</v>
      </c>
      <c r="D4605">
        <v>10415999.475</v>
      </c>
      <c r="E4605" t="s">
        <v>330</v>
      </c>
    </row>
    <row r="4606" spans="1:5" x14ac:dyDescent="0.25">
      <c r="A4606">
        <v>1874</v>
      </c>
      <c r="B4606" s="16">
        <v>43466</v>
      </c>
      <c r="C4606" t="s">
        <v>123</v>
      </c>
      <c r="D4606">
        <v>7207200</v>
      </c>
      <c r="E4606" t="s">
        <v>330</v>
      </c>
    </row>
    <row r="4607" spans="1:5" x14ac:dyDescent="0.25">
      <c r="A4607">
        <v>1874</v>
      </c>
      <c r="B4607" s="16">
        <v>43497</v>
      </c>
      <c r="C4607" t="s">
        <v>123</v>
      </c>
      <c r="D4607">
        <v>7207200</v>
      </c>
      <c r="E4607" t="s">
        <v>330</v>
      </c>
    </row>
    <row r="4608" spans="1:5" x14ac:dyDescent="0.25">
      <c r="A4608">
        <v>1874</v>
      </c>
      <c r="B4608" s="16">
        <v>43525</v>
      </c>
      <c r="C4608" t="s">
        <v>123</v>
      </c>
      <c r="D4608">
        <v>7207200</v>
      </c>
      <c r="E4608" t="s">
        <v>330</v>
      </c>
    </row>
    <row r="4609" spans="1:5" x14ac:dyDescent="0.25">
      <c r="A4609">
        <v>1874</v>
      </c>
      <c r="B4609" s="16">
        <v>43556</v>
      </c>
      <c r="C4609" t="s">
        <v>123</v>
      </c>
      <c r="D4609">
        <v>7207200</v>
      </c>
      <c r="E4609" t="s">
        <v>330</v>
      </c>
    </row>
    <row r="4610" spans="1:5" x14ac:dyDescent="0.25">
      <c r="A4610">
        <v>1874</v>
      </c>
      <c r="B4610" s="16">
        <v>43586</v>
      </c>
      <c r="C4610" t="s">
        <v>123</v>
      </c>
      <c r="D4610">
        <v>7207200</v>
      </c>
      <c r="E4610" t="s">
        <v>330</v>
      </c>
    </row>
    <row r="4611" spans="1:5" x14ac:dyDescent="0.25">
      <c r="A4611">
        <v>1874</v>
      </c>
      <c r="B4611" s="16">
        <v>43617</v>
      </c>
      <c r="C4611" t="s">
        <v>123</v>
      </c>
      <c r="D4611">
        <v>7207200</v>
      </c>
      <c r="E4611" t="s">
        <v>330</v>
      </c>
    </row>
    <row r="4612" spans="1:5" x14ac:dyDescent="0.25">
      <c r="A4612">
        <v>1874</v>
      </c>
      <c r="B4612" s="16">
        <v>43647</v>
      </c>
      <c r="C4612" t="s">
        <v>123</v>
      </c>
      <c r="D4612">
        <v>7207200</v>
      </c>
      <c r="E4612" t="s">
        <v>330</v>
      </c>
    </row>
    <row r="4613" spans="1:5" x14ac:dyDescent="0.25">
      <c r="A4613">
        <v>1874</v>
      </c>
      <c r="B4613" s="16">
        <v>43678</v>
      </c>
      <c r="C4613" t="s">
        <v>123</v>
      </c>
      <c r="D4613">
        <v>7207200</v>
      </c>
      <c r="E4613" t="s">
        <v>330</v>
      </c>
    </row>
    <row r="4614" spans="1:5" x14ac:dyDescent="0.25">
      <c r="A4614">
        <v>1874</v>
      </c>
      <c r="B4614" s="16">
        <v>43466</v>
      </c>
      <c r="C4614" t="s">
        <v>174</v>
      </c>
      <c r="D4614">
        <v>4866750</v>
      </c>
      <c r="E4614" t="s">
        <v>330</v>
      </c>
    </row>
    <row r="4615" spans="1:5" x14ac:dyDescent="0.25">
      <c r="A4615">
        <v>1874</v>
      </c>
      <c r="B4615" s="16">
        <v>43497</v>
      </c>
      <c r="C4615" t="s">
        <v>174</v>
      </c>
      <c r="D4615">
        <v>4866750</v>
      </c>
      <c r="E4615" t="s">
        <v>330</v>
      </c>
    </row>
    <row r="4616" spans="1:5" x14ac:dyDescent="0.25">
      <c r="A4616">
        <v>1874</v>
      </c>
      <c r="B4616" s="16">
        <v>43525</v>
      </c>
      <c r="C4616" t="s">
        <v>174</v>
      </c>
      <c r="D4616">
        <v>4866750</v>
      </c>
      <c r="E4616" t="s">
        <v>330</v>
      </c>
    </row>
    <row r="4617" spans="1:5" x14ac:dyDescent="0.25">
      <c r="A4617">
        <v>1874</v>
      </c>
      <c r="B4617" s="16">
        <v>43556</v>
      </c>
      <c r="C4617" t="s">
        <v>174</v>
      </c>
      <c r="D4617">
        <v>4866750</v>
      </c>
      <c r="E4617" t="s">
        <v>330</v>
      </c>
    </row>
    <row r="4618" spans="1:5" x14ac:dyDescent="0.25">
      <c r="A4618">
        <v>1874</v>
      </c>
      <c r="B4618" s="16">
        <v>43586</v>
      </c>
      <c r="C4618" t="s">
        <v>174</v>
      </c>
      <c r="D4618">
        <v>4866750</v>
      </c>
      <c r="E4618" t="s">
        <v>330</v>
      </c>
    </row>
    <row r="4619" spans="1:5" x14ac:dyDescent="0.25">
      <c r="A4619">
        <v>1874</v>
      </c>
      <c r="B4619" s="16">
        <v>43617</v>
      </c>
      <c r="C4619" t="s">
        <v>174</v>
      </c>
      <c r="D4619">
        <v>4866750</v>
      </c>
      <c r="E4619" t="s">
        <v>330</v>
      </c>
    </row>
    <row r="4620" spans="1:5" x14ac:dyDescent="0.25">
      <c r="A4620">
        <v>1874</v>
      </c>
      <c r="B4620" s="16">
        <v>43647</v>
      </c>
      <c r="C4620" t="s">
        <v>174</v>
      </c>
      <c r="D4620">
        <v>4866750</v>
      </c>
      <c r="E4620" t="s">
        <v>330</v>
      </c>
    </row>
    <row r="4621" spans="1:5" x14ac:dyDescent="0.25">
      <c r="A4621">
        <v>1874</v>
      </c>
      <c r="B4621" s="16">
        <v>43678</v>
      </c>
      <c r="C4621" t="s">
        <v>174</v>
      </c>
      <c r="D4621">
        <v>4866750</v>
      </c>
      <c r="E4621" t="s">
        <v>330</v>
      </c>
    </row>
    <row r="4622" spans="1:5" x14ac:dyDescent="0.25">
      <c r="A4622">
        <v>1874</v>
      </c>
      <c r="B4622" s="16">
        <v>43466</v>
      </c>
      <c r="C4622" t="s">
        <v>175</v>
      </c>
      <c r="D4622">
        <v>3916091.0564999999</v>
      </c>
      <c r="E4622" t="s">
        <v>330</v>
      </c>
    </row>
    <row r="4623" spans="1:5" x14ac:dyDescent="0.25">
      <c r="A4623">
        <v>1874</v>
      </c>
      <c r="B4623" s="16">
        <v>43497</v>
      </c>
      <c r="C4623" t="s">
        <v>175</v>
      </c>
      <c r="D4623">
        <v>3916091.0564999999</v>
      </c>
      <c r="E4623" t="s">
        <v>330</v>
      </c>
    </row>
    <row r="4624" spans="1:5" x14ac:dyDescent="0.25">
      <c r="A4624">
        <v>1874</v>
      </c>
      <c r="B4624" s="16">
        <v>43525</v>
      </c>
      <c r="C4624" t="s">
        <v>175</v>
      </c>
      <c r="D4624">
        <v>3916091.0564999999</v>
      </c>
      <c r="E4624" t="s">
        <v>330</v>
      </c>
    </row>
    <row r="4625" spans="1:5" x14ac:dyDescent="0.25">
      <c r="A4625">
        <v>1874</v>
      </c>
      <c r="B4625" s="16">
        <v>43556</v>
      </c>
      <c r="C4625" t="s">
        <v>175</v>
      </c>
      <c r="D4625">
        <v>3916091.0564999999</v>
      </c>
      <c r="E4625" t="s">
        <v>330</v>
      </c>
    </row>
    <row r="4626" spans="1:5" x14ac:dyDescent="0.25">
      <c r="A4626">
        <v>1874</v>
      </c>
      <c r="B4626" s="16">
        <v>43586</v>
      </c>
      <c r="C4626" t="s">
        <v>175</v>
      </c>
      <c r="D4626">
        <v>3916091.0564999999</v>
      </c>
      <c r="E4626" t="s">
        <v>330</v>
      </c>
    </row>
    <row r="4627" spans="1:5" x14ac:dyDescent="0.25">
      <c r="A4627">
        <v>1874</v>
      </c>
      <c r="B4627" s="16">
        <v>43617</v>
      </c>
      <c r="C4627" t="s">
        <v>175</v>
      </c>
      <c r="D4627">
        <v>3916091.0564999999</v>
      </c>
      <c r="E4627" t="s">
        <v>330</v>
      </c>
    </row>
    <row r="4628" spans="1:5" x14ac:dyDescent="0.25">
      <c r="A4628">
        <v>1874</v>
      </c>
      <c r="B4628" s="16">
        <v>43647</v>
      </c>
      <c r="C4628" t="s">
        <v>175</v>
      </c>
      <c r="D4628">
        <v>3916091.0564999999</v>
      </c>
      <c r="E4628" t="s">
        <v>330</v>
      </c>
    </row>
    <row r="4629" spans="1:5" x14ac:dyDescent="0.25">
      <c r="A4629">
        <v>1874</v>
      </c>
      <c r="B4629" s="16">
        <v>43678</v>
      </c>
      <c r="C4629" t="s">
        <v>175</v>
      </c>
      <c r="D4629">
        <v>3916091.0564999999</v>
      </c>
      <c r="E4629" t="s">
        <v>330</v>
      </c>
    </row>
    <row r="4630" spans="1:5" x14ac:dyDescent="0.25">
      <c r="A4630">
        <v>1874</v>
      </c>
      <c r="B4630" s="16">
        <v>43709</v>
      </c>
      <c r="C4630" t="s">
        <v>175</v>
      </c>
      <c r="D4630">
        <v>3916091.0564999999</v>
      </c>
      <c r="E4630" t="s">
        <v>330</v>
      </c>
    </row>
    <row r="4631" spans="1:5" x14ac:dyDescent="0.25">
      <c r="A4631">
        <v>1874</v>
      </c>
      <c r="B4631" s="16">
        <v>43739</v>
      </c>
      <c r="C4631" t="s">
        <v>175</v>
      </c>
      <c r="D4631">
        <v>3916091.0564999999</v>
      </c>
      <c r="E4631" t="s">
        <v>330</v>
      </c>
    </row>
    <row r="4632" spans="1:5" x14ac:dyDescent="0.25">
      <c r="A4632">
        <v>1861</v>
      </c>
      <c r="B4632" s="16">
        <v>43466</v>
      </c>
      <c r="C4632" t="s">
        <v>19</v>
      </c>
      <c r="D4632">
        <v>6263286.4602000006</v>
      </c>
      <c r="E4632" t="s">
        <v>330</v>
      </c>
    </row>
    <row r="4633" spans="1:5" x14ac:dyDescent="0.25">
      <c r="A4633">
        <v>1861</v>
      </c>
      <c r="B4633" s="16">
        <v>43497</v>
      </c>
      <c r="C4633" t="s">
        <v>19</v>
      </c>
      <c r="D4633">
        <v>6263286.4602000006</v>
      </c>
      <c r="E4633" t="s">
        <v>330</v>
      </c>
    </row>
    <row r="4634" spans="1:5" x14ac:dyDescent="0.25">
      <c r="A4634">
        <v>1861</v>
      </c>
      <c r="B4634" s="16">
        <v>43525</v>
      </c>
      <c r="C4634" t="s">
        <v>19</v>
      </c>
      <c r="D4634">
        <v>6263286.4602000006</v>
      </c>
      <c r="E4634" t="s">
        <v>330</v>
      </c>
    </row>
    <row r="4635" spans="1:5" x14ac:dyDescent="0.25">
      <c r="A4635">
        <v>1861</v>
      </c>
      <c r="B4635" s="16">
        <v>43556</v>
      </c>
      <c r="C4635" t="s">
        <v>19</v>
      </c>
      <c r="D4635">
        <v>6263286.4602000006</v>
      </c>
      <c r="E4635" t="s">
        <v>330</v>
      </c>
    </row>
    <row r="4636" spans="1:5" x14ac:dyDescent="0.25">
      <c r="A4636">
        <v>1861</v>
      </c>
      <c r="B4636" s="16">
        <v>43586</v>
      </c>
      <c r="C4636" t="s">
        <v>19</v>
      </c>
      <c r="D4636">
        <v>6263286.4602000006</v>
      </c>
      <c r="E4636" t="s">
        <v>330</v>
      </c>
    </row>
    <row r="4637" spans="1:5" x14ac:dyDescent="0.25">
      <c r="A4637">
        <v>1861</v>
      </c>
      <c r="B4637" s="16">
        <v>43617</v>
      </c>
      <c r="C4637" t="s">
        <v>19</v>
      </c>
      <c r="D4637">
        <v>6263286.4602000006</v>
      </c>
      <c r="E4637" t="s">
        <v>330</v>
      </c>
    </row>
    <row r="4638" spans="1:5" x14ac:dyDescent="0.25">
      <c r="A4638">
        <v>1861</v>
      </c>
      <c r="B4638" s="16">
        <v>43647</v>
      </c>
      <c r="C4638" t="s">
        <v>19</v>
      </c>
      <c r="D4638">
        <v>6263286.4602000006</v>
      </c>
      <c r="E4638" t="s">
        <v>330</v>
      </c>
    </row>
    <row r="4639" spans="1:5" x14ac:dyDescent="0.25">
      <c r="A4639">
        <v>1861</v>
      </c>
      <c r="B4639" s="16">
        <v>43678</v>
      </c>
      <c r="C4639" t="s">
        <v>19</v>
      </c>
      <c r="D4639">
        <v>6263286.4602000006</v>
      </c>
      <c r="E4639" t="s">
        <v>330</v>
      </c>
    </row>
    <row r="4640" spans="1:5" x14ac:dyDescent="0.25">
      <c r="A4640">
        <v>1861</v>
      </c>
      <c r="B4640" s="16">
        <v>43709</v>
      </c>
      <c r="C4640" t="s">
        <v>19</v>
      </c>
      <c r="D4640">
        <v>6263286.4602000006</v>
      </c>
      <c r="E4640" t="s">
        <v>330</v>
      </c>
    </row>
    <row r="4641" spans="1:5" x14ac:dyDescent="0.25">
      <c r="A4641">
        <v>1861</v>
      </c>
      <c r="B4641" s="16">
        <v>43739</v>
      </c>
      <c r="C4641" t="s">
        <v>19</v>
      </c>
      <c r="D4641">
        <v>6263286.4602000006</v>
      </c>
      <c r="E4641" t="s">
        <v>330</v>
      </c>
    </row>
    <row r="4642" spans="1:5" x14ac:dyDescent="0.25">
      <c r="A4642">
        <v>1861</v>
      </c>
      <c r="B4642" s="16">
        <v>43770</v>
      </c>
      <c r="C4642" t="s">
        <v>19</v>
      </c>
      <c r="D4642">
        <v>6263286.4602000006</v>
      </c>
      <c r="E4642" t="s">
        <v>330</v>
      </c>
    </row>
    <row r="4643" spans="1:5" x14ac:dyDescent="0.25">
      <c r="A4643">
        <v>1861</v>
      </c>
      <c r="B4643" s="16">
        <v>43800</v>
      </c>
      <c r="C4643" t="s">
        <v>19</v>
      </c>
      <c r="D4643">
        <v>6263286.4602000006</v>
      </c>
      <c r="E4643" t="s">
        <v>330</v>
      </c>
    </row>
    <row r="4644" spans="1:5" x14ac:dyDescent="0.25">
      <c r="A4644">
        <v>1861</v>
      </c>
      <c r="B4644" s="16">
        <v>43831</v>
      </c>
      <c r="C4644" t="s">
        <v>19</v>
      </c>
      <c r="D4644">
        <v>6263286.4602000006</v>
      </c>
      <c r="E4644" t="s">
        <v>330</v>
      </c>
    </row>
    <row r="4645" spans="1:5" x14ac:dyDescent="0.25">
      <c r="A4645">
        <v>1861</v>
      </c>
      <c r="B4645" s="16">
        <v>43862</v>
      </c>
      <c r="C4645" t="s">
        <v>19</v>
      </c>
      <c r="D4645">
        <v>6263286.4602000006</v>
      </c>
      <c r="E4645" t="s">
        <v>330</v>
      </c>
    </row>
    <row r="4646" spans="1:5" x14ac:dyDescent="0.25">
      <c r="A4646">
        <v>1861</v>
      </c>
      <c r="B4646" s="16">
        <v>43891</v>
      </c>
      <c r="C4646" t="s">
        <v>19</v>
      </c>
      <c r="D4646">
        <v>6263286.4602000006</v>
      </c>
      <c r="E4646" t="s">
        <v>330</v>
      </c>
    </row>
    <row r="4647" spans="1:5" x14ac:dyDescent="0.25">
      <c r="A4647">
        <v>1861</v>
      </c>
      <c r="B4647" s="16">
        <v>43922</v>
      </c>
      <c r="C4647" t="s">
        <v>19</v>
      </c>
      <c r="D4647">
        <v>6263286.4602000006</v>
      </c>
      <c r="E4647" t="s">
        <v>330</v>
      </c>
    </row>
    <row r="4648" spans="1:5" x14ac:dyDescent="0.25">
      <c r="A4648">
        <v>1861</v>
      </c>
      <c r="B4648" s="16">
        <v>43952</v>
      </c>
      <c r="C4648" t="s">
        <v>19</v>
      </c>
      <c r="D4648">
        <v>6263286.4602000006</v>
      </c>
      <c r="E4648" t="s">
        <v>330</v>
      </c>
    </row>
    <row r="4649" spans="1:5" x14ac:dyDescent="0.25">
      <c r="A4649">
        <v>1861</v>
      </c>
      <c r="B4649" s="16">
        <v>43983</v>
      </c>
      <c r="C4649" t="s">
        <v>19</v>
      </c>
      <c r="D4649">
        <v>6263286.4602000006</v>
      </c>
      <c r="E4649" t="s">
        <v>330</v>
      </c>
    </row>
    <row r="4650" spans="1:5" x14ac:dyDescent="0.25">
      <c r="A4650">
        <v>1861</v>
      </c>
      <c r="B4650" s="16">
        <v>44013</v>
      </c>
      <c r="C4650" t="s">
        <v>19</v>
      </c>
      <c r="D4650">
        <v>6263286.4602000006</v>
      </c>
      <c r="E4650" t="s">
        <v>330</v>
      </c>
    </row>
    <row r="4651" spans="1:5" x14ac:dyDescent="0.25">
      <c r="A4651">
        <v>1861</v>
      </c>
      <c r="B4651" s="16">
        <v>44044</v>
      </c>
      <c r="C4651" t="s">
        <v>19</v>
      </c>
      <c r="D4651">
        <v>6263286.4602000006</v>
      </c>
      <c r="E4651" t="s">
        <v>330</v>
      </c>
    </row>
    <row r="4652" spans="1:5" x14ac:dyDescent="0.25">
      <c r="A4652">
        <v>1861</v>
      </c>
      <c r="B4652" s="16">
        <v>43466</v>
      </c>
      <c r="C4652" t="s">
        <v>165</v>
      </c>
      <c r="D4652">
        <v>4120018.875</v>
      </c>
      <c r="E4652" t="s">
        <v>330</v>
      </c>
    </row>
    <row r="4653" spans="1:5" x14ac:dyDescent="0.25">
      <c r="A4653">
        <v>1861</v>
      </c>
      <c r="B4653" s="16">
        <v>43497</v>
      </c>
      <c r="C4653" t="s">
        <v>165</v>
      </c>
      <c r="D4653">
        <v>4120018.875</v>
      </c>
      <c r="E4653" t="s">
        <v>330</v>
      </c>
    </row>
    <row r="4654" spans="1:5" x14ac:dyDescent="0.25">
      <c r="A4654">
        <v>1861</v>
      </c>
      <c r="B4654" s="16">
        <v>43525</v>
      </c>
      <c r="C4654" t="s">
        <v>165</v>
      </c>
      <c r="D4654">
        <v>4120018.875</v>
      </c>
      <c r="E4654" t="s">
        <v>330</v>
      </c>
    </row>
    <row r="4655" spans="1:5" x14ac:dyDescent="0.25">
      <c r="A4655">
        <v>1861</v>
      </c>
      <c r="B4655" s="16">
        <v>43556</v>
      </c>
      <c r="C4655" t="s">
        <v>165</v>
      </c>
      <c r="D4655">
        <v>4120018.875</v>
      </c>
      <c r="E4655" t="s">
        <v>330</v>
      </c>
    </row>
    <row r="4656" spans="1:5" x14ac:dyDescent="0.25">
      <c r="A4656">
        <v>1861</v>
      </c>
      <c r="B4656" s="16">
        <v>43586</v>
      </c>
      <c r="C4656" t="s">
        <v>165</v>
      </c>
      <c r="D4656">
        <v>4120018.875</v>
      </c>
      <c r="E4656" t="s">
        <v>330</v>
      </c>
    </row>
    <row r="4657" spans="1:5" x14ac:dyDescent="0.25">
      <c r="A4657">
        <v>1861</v>
      </c>
      <c r="B4657" s="16">
        <v>43617</v>
      </c>
      <c r="C4657" t="s">
        <v>165</v>
      </c>
      <c r="D4657">
        <v>4120018.875</v>
      </c>
      <c r="E4657" t="s">
        <v>330</v>
      </c>
    </row>
    <row r="4658" spans="1:5" x14ac:dyDescent="0.25">
      <c r="A4658">
        <v>1861</v>
      </c>
      <c r="B4658" s="16">
        <v>43647</v>
      </c>
      <c r="C4658" t="s">
        <v>165</v>
      </c>
      <c r="D4658">
        <v>4120018.875</v>
      </c>
      <c r="E4658" t="s">
        <v>330</v>
      </c>
    </row>
    <row r="4659" spans="1:5" x14ac:dyDescent="0.25">
      <c r="A4659">
        <v>1861</v>
      </c>
      <c r="B4659" s="16">
        <v>43678</v>
      </c>
      <c r="C4659" t="s">
        <v>165</v>
      </c>
      <c r="D4659">
        <v>4120018.875</v>
      </c>
      <c r="E4659" t="s">
        <v>330</v>
      </c>
    </row>
    <row r="4660" spans="1:5" x14ac:dyDescent="0.25">
      <c r="A4660">
        <v>1861</v>
      </c>
      <c r="B4660" s="16">
        <v>43709</v>
      </c>
      <c r="C4660" t="s">
        <v>165</v>
      </c>
      <c r="D4660">
        <v>4120018.875</v>
      </c>
      <c r="E4660" t="s">
        <v>330</v>
      </c>
    </row>
    <row r="4661" spans="1:5" x14ac:dyDescent="0.25">
      <c r="A4661">
        <v>1861</v>
      </c>
      <c r="B4661" s="16">
        <v>43739</v>
      </c>
      <c r="C4661" t="s">
        <v>165</v>
      </c>
      <c r="D4661">
        <v>4120018.875</v>
      </c>
      <c r="E4661" t="s">
        <v>330</v>
      </c>
    </row>
    <row r="4662" spans="1:5" x14ac:dyDescent="0.25">
      <c r="A4662">
        <v>1861</v>
      </c>
      <c r="B4662" s="16">
        <v>43770</v>
      </c>
      <c r="C4662" t="s">
        <v>165</v>
      </c>
      <c r="D4662">
        <v>4120018.875</v>
      </c>
      <c r="E4662" t="s">
        <v>330</v>
      </c>
    </row>
    <row r="4663" spans="1:5" x14ac:dyDescent="0.25">
      <c r="A4663">
        <v>1861</v>
      </c>
      <c r="B4663" s="16">
        <v>43800</v>
      </c>
      <c r="C4663" t="s">
        <v>165</v>
      </c>
      <c r="D4663">
        <v>4120018.875</v>
      </c>
      <c r="E4663" t="s">
        <v>330</v>
      </c>
    </row>
    <row r="4664" spans="1:5" x14ac:dyDescent="0.25">
      <c r="A4664">
        <v>1861</v>
      </c>
      <c r="B4664" s="16">
        <v>43831</v>
      </c>
      <c r="C4664" t="s">
        <v>165</v>
      </c>
      <c r="D4664">
        <v>4120018.875</v>
      </c>
      <c r="E4664" t="s">
        <v>330</v>
      </c>
    </row>
    <row r="4665" spans="1:5" x14ac:dyDescent="0.25">
      <c r="A4665">
        <v>1861</v>
      </c>
      <c r="B4665" s="16">
        <v>43862</v>
      </c>
      <c r="C4665" t="s">
        <v>165</v>
      </c>
      <c r="D4665">
        <v>4120018.875</v>
      </c>
      <c r="E4665" t="s">
        <v>330</v>
      </c>
    </row>
    <row r="4666" spans="1:5" x14ac:dyDescent="0.25">
      <c r="A4666">
        <v>1861</v>
      </c>
      <c r="B4666" s="16">
        <v>43891</v>
      </c>
      <c r="C4666" t="s">
        <v>165</v>
      </c>
      <c r="D4666">
        <v>4120018.875</v>
      </c>
      <c r="E4666" t="s">
        <v>330</v>
      </c>
    </row>
    <row r="4667" spans="1:5" x14ac:dyDescent="0.25">
      <c r="A4667">
        <v>1861</v>
      </c>
      <c r="B4667" s="16">
        <v>43922</v>
      </c>
      <c r="C4667" t="s">
        <v>165</v>
      </c>
      <c r="D4667">
        <v>4120018.875</v>
      </c>
      <c r="E4667" t="s">
        <v>330</v>
      </c>
    </row>
    <row r="4668" spans="1:5" x14ac:dyDescent="0.25">
      <c r="A4668">
        <v>1861</v>
      </c>
      <c r="B4668" s="16">
        <v>43952</v>
      </c>
      <c r="C4668" t="s">
        <v>165</v>
      </c>
      <c r="D4668">
        <v>4120018.875</v>
      </c>
      <c r="E4668" t="s">
        <v>330</v>
      </c>
    </row>
    <row r="4669" spans="1:5" x14ac:dyDescent="0.25">
      <c r="A4669">
        <v>1861</v>
      </c>
      <c r="B4669" s="16">
        <v>43983</v>
      </c>
      <c r="C4669" t="s">
        <v>165</v>
      </c>
      <c r="D4669">
        <v>4120018.875</v>
      </c>
      <c r="E4669" t="s">
        <v>330</v>
      </c>
    </row>
    <row r="4670" spans="1:5" x14ac:dyDescent="0.25">
      <c r="A4670">
        <v>1861</v>
      </c>
      <c r="B4670" s="16">
        <v>44013</v>
      </c>
      <c r="C4670" t="s">
        <v>165</v>
      </c>
      <c r="D4670">
        <v>4120018.875</v>
      </c>
      <c r="E4670" t="s">
        <v>330</v>
      </c>
    </row>
    <row r="4671" spans="1:5" x14ac:dyDescent="0.25">
      <c r="A4671">
        <v>1861</v>
      </c>
      <c r="B4671" s="16">
        <v>44044</v>
      </c>
      <c r="C4671" t="s">
        <v>165</v>
      </c>
      <c r="D4671">
        <v>4120018.875</v>
      </c>
      <c r="E4671" t="s">
        <v>330</v>
      </c>
    </row>
    <row r="4672" spans="1:5" x14ac:dyDescent="0.25">
      <c r="A4672">
        <v>1861</v>
      </c>
      <c r="B4672" s="16">
        <v>44075</v>
      </c>
      <c r="C4672" t="s">
        <v>165</v>
      </c>
      <c r="D4672">
        <v>4120018.875</v>
      </c>
      <c r="E4672" t="s">
        <v>330</v>
      </c>
    </row>
    <row r="4673" spans="1:5" x14ac:dyDescent="0.25">
      <c r="A4673">
        <v>1861</v>
      </c>
      <c r="B4673" s="16">
        <v>44105</v>
      </c>
      <c r="C4673" t="s">
        <v>165</v>
      </c>
      <c r="D4673">
        <v>4120018.875</v>
      </c>
      <c r="E4673" t="s">
        <v>330</v>
      </c>
    </row>
    <row r="4674" spans="1:5" x14ac:dyDescent="0.25">
      <c r="A4674">
        <v>1861</v>
      </c>
      <c r="B4674" s="16">
        <v>44136</v>
      </c>
      <c r="C4674" t="s">
        <v>165</v>
      </c>
      <c r="D4674">
        <v>4120018.875</v>
      </c>
      <c r="E4674" t="s">
        <v>330</v>
      </c>
    </row>
    <row r="4675" spans="1:5" x14ac:dyDescent="0.25">
      <c r="A4675">
        <v>1881</v>
      </c>
      <c r="B4675" s="16">
        <v>43466</v>
      </c>
      <c r="C4675" t="s">
        <v>119</v>
      </c>
      <c r="D4675">
        <v>6549894.2250000006</v>
      </c>
      <c r="E4675" t="s">
        <v>330</v>
      </c>
    </row>
    <row r="4676" spans="1:5" x14ac:dyDescent="0.25">
      <c r="A4676">
        <v>1881</v>
      </c>
      <c r="B4676" s="16">
        <v>43497</v>
      </c>
      <c r="C4676" t="s">
        <v>119</v>
      </c>
      <c r="D4676">
        <v>6549894.2250000006</v>
      </c>
      <c r="E4676" t="s">
        <v>330</v>
      </c>
    </row>
    <row r="4677" spans="1:5" x14ac:dyDescent="0.25">
      <c r="A4677">
        <v>1881</v>
      </c>
      <c r="B4677" s="16">
        <v>43525</v>
      </c>
      <c r="C4677" t="s">
        <v>119</v>
      </c>
      <c r="D4677">
        <v>6549894.2250000006</v>
      </c>
      <c r="E4677" t="s">
        <v>330</v>
      </c>
    </row>
    <row r="4678" spans="1:5" x14ac:dyDescent="0.25">
      <c r="A4678">
        <v>1881</v>
      </c>
      <c r="B4678" s="16">
        <v>43556</v>
      </c>
      <c r="C4678" t="s">
        <v>119</v>
      </c>
      <c r="D4678">
        <v>6549894.2250000006</v>
      </c>
      <c r="E4678" t="s">
        <v>330</v>
      </c>
    </row>
    <row r="4679" spans="1:5" x14ac:dyDescent="0.25">
      <c r="A4679">
        <v>1881</v>
      </c>
      <c r="B4679" s="16">
        <v>43586</v>
      </c>
      <c r="C4679" t="s">
        <v>119</v>
      </c>
      <c r="D4679">
        <v>6549894.2250000006</v>
      </c>
      <c r="E4679" t="s">
        <v>330</v>
      </c>
    </row>
    <row r="4680" spans="1:5" x14ac:dyDescent="0.25">
      <c r="A4680">
        <v>1881</v>
      </c>
      <c r="B4680" s="16">
        <v>43617</v>
      </c>
      <c r="C4680" t="s">
        <v>119</v>
      </c>
      <c r="D4680">
        <v>6549894.2250000006</v>
      </c>
      <c r="E4680" t="s">
        <v>330</v>
      </c>
    </row>
    <row r="4681" spans="1:5" x14ac:dyDescent="0.25">
      <c r="A4681">
        <v>1881</v>
      </c>
      <c r="B4681" s="16">
        <v>43647</v>
      </c>
      <c r="C4681" t="s">
        <v>119</v>
      </c>
      <c r="D4681">
        <v>6549894.2250000006</v>
      </c>
      <c r="E4681" t="s">
        <v>330</v>
      </c>
    </row>
    <row r="4682" spans="1:5" x14ac:dyDescent="0.25">
      <c r="A4682">
        <v>1881</v>
      </c>
      <c r="B4682" s="16">
        <v>43678</v>
      </c>
      <c r="C4682" t="s">
        <v>119</v>
      </c>
      <c r="D4682">
        <v>6549894.2250000006</v>
      </c>
      <c r="E4682" t="s">
        <v>330</v>
      </c>
    </row>
    <row r="4683" spans="1:5" x14ac:dyDescent="0.25">
      <c r="A4683">
        <v>1881</v>
      </c>
      <c r="B4683" s="16">
        <v>43709</v>
      </c>
      <c r="C4683" t="s">
        <v>119</v>
      </c>
      <c r="D4683">
        <v>6549894.2250000006</v>
      </c>
      <c r="E4683" t="s">
        <v>330</v>
      </c>
    </row>
    <row r="4684" spans="1:5" x14ac:dyDescent="0.25">
      <c r="A4684">
        <v>1881</v>
      </c>
      <c r="B4684" s="16">
        <v>43739</v>
      </c>
      <c r="C4684" t="s">
        <v>119</v>
      </c>
      <c r="D4684">
        <v>6549894.2250000006</v>
      </c>
      <c r="E4684" t="s">
        <v>330</v>
      </c>
    </row>
    <row r="4685" spans="1:5" x14ac:dyDescent="0.25">
      <c r="A4685">
        <v>1881</v>
      </c>
      <c r="B4685" s="16">
        <v>43770</v>
      </c>
      <c r="C4685" t="s">
        <v>119</v>
      </c>
      <c r="D4685">
        <v>6549894.2250000006</v>
      </c>
      <c r="E4685" t="s">
        <v>330</v>
      </c>
    </row>
    <row r="4686" spans="1:5" x14ac:dyDescent="0.25">
      <c r="A4686">
        <v>1881</v>
      </c>
      <c r="B4686" s="16">
        <v>43800</v>
      </c>
      <c r="C4686" t="s">
        <v>119</v>
      </c>
      <c r="D4686">
        <v>6549894.2250000006</v>
      </c>
      <c r="E4686" t="s">
        <v>330</v>
      </c>
    </row>
    <row r="4687" spans="1:5" x14ac:dyDescent="0.25">
      <c r="A4687">
        <v>1881</v>
      </c>
      <c r="B4687" s="16">
        <v>43831</v>
      </c>
      <c r="C4687" t="s">
        <v>119</v>
      </c>
      <c r="D4687">
        <v>6549894.2250000006</v>
      </c>
      <c r="E4687" t="s">
        <v>330</v>
      </c>
    </row>
    <row r="4688" spans="1:5" x14ac:dyDescent="0.25">
      <c r="A4688">
        <v>1881</v>
      </c>
      <c r="B4688" s="16">
        <v>43862</v>
      </c>
      <c r="C4688" t="s">
        <v>119</v>
      </c>
      <c r="D4688">
        <v>6549894.2250000006</v>
      </c>
      <c r="E4688" t="s">
        <v>330</v>
      </c>
    </row>
    <row r="4689" spans="1:5" x14ac:dyDescent="0.25">
      <c r="A4689">
        <v>1881</v>
      </c>
      <c r="B4689" s="16">
        <v>43891</v>
      </c>
      <c r="C4689" t="s">
        <v>119</v>
      </c>
      <c r="D4689">
        <v>6549894.2250000006</v>
      </c>
      <c r="E4689" t="s">
        <v>330</v>
      </c>
    </row>
    <row r="4690" spans="1:5" x14ac:dyDescent="0.25">
      <c r="A4690">
        <v>1881</v>
      </c>
      <c r="B4690" s="16">
        <v>43922</v>
      </c>
      <c r="C4690" t="s">
        <v>119</v>
      </c>
      <c r="D4690">
        <v>6549894.2250000006</v>
      </c>
      <c r="E4690" t="s">
        <v>330</v>
      </c>
    </row>
    <row r="4691" spans="1:5" x14ac:dyDescent="0.25">
      <c r="A4691">
        <v>1881</v>
      </c>
      <c r="B4691" s="16">
        <v>43952</v>
      </c>
      <c r="C4691" t="s">
        <v>119</v>
      </c>
      <c r="D4691">
        <v>6549894.2250000006</v>
      </c>
      <c r="E4691" t="s">
        <v>330</v>
      </c>
    </row>
    <row r="4692" spans="1:5" x14ac:dyDescent="0.25">
      <c r="A4692">
        <v>1881</v>
      </c>
      <c r="B4692" s="16">
        <v>43983</v>
      </c>
      <c r="C4692" t="s">
        <v>119</v>
      </c>
      <c r="D4692">
        <v>6549894.2250000006</v>
      </c>
      <c r="E4692" t="s">
        <v>330</v>
      </c>
    </row>
    <row r="4693" spans="1:5" x14ac:dyDescent="0.25">
      <c r="A4693">
        <v>1881</v>
      </c>
      <c r="B4693" s="16">
        <v>44013</v>
      </c>
      <c r="C4693" t="s">
        <v>119</v>
      </c>
      <c r="D4693">
        <v>6549894.2250000006</v>
      </c>
      <c r="E4693" t="s">
        <v>330</v>
      </c>
    </row>
    <row r="4694" spans="1:5" x14ac:dyDescent="0.25">
      <c r="A4694">
        <v>1881</v>
      </c>
      <c r="B4694" s="16">
        <v>43466</v>
      </c>
      <c r="C4694" t="s">
        <v>135</v>
      </c>
      <c r="D4694">
        <v>3981406.9049999998</v>
      </c>
      <c r="E4694" t="s">
        <v>330</v>
      </c>
    </row>
    <row r="4695" spans="1:5" x14ac:dyDescent="0.25">
      <c r="A4695">
        <v>1881</v>
      </c>
      <c r="B4695" s="16">
        <v>43497</v>
      </c>
      <c r="C4695" t="s">
        <v>135</v>
      </c>
      <c r="D4695">
        <v>3981406.9049999998</v>
      </c>
      <c r="E4695" t="s">
        <v>330</v>
      </c>
    </row>
    <row r="4696" spans="1:5" x14ac:dyDescent="0.25">
      <c r="A4696">
        <v>1881</v>
      </c>
      <c r="B4696" s="16">
        <v>43525</v>
      </c>
      <c r="C4696" t="s">
        <v>135</v>
      </c>
      <c r="D4696">
        <v>3981406.9049999998</v>
      </c>
      <c r="E4696" t="s">
        <v>330</v>
      </c>
    </row>
    <row r="4697" spans="1:5" x14ac:dyDescent="0.25">
      <c r="A4697">
        <v>1881</v>
      </c>
      <c r="B4697" s="16">
        <v>43556</v>
      </c>
      <c r="C4697" t="s">
        <v>135</v>
      </c>
      <c r="D4697">
        <v>3981406.9049999998</v>
      </c>
      <c r="E4697" t="s">
        <v>330</v>
      </c>
    </row>
    <row r="4698" spans="1:5" x14ac:dyDescent="0.25">
      <c r="A4698">
        <v>1881</v>
      </c>
      <c r="B4698" s="16">
        <v>43586</v>
      </c>
      <c r="C4698" t="s">
        <v>135</v>
      </c>
      <c r="D4698">
        <v>3981406.9049999998</v>
      </c>
      <c r="E4698" t="s">
        <v>330</v>
      </c>
    </row>
    <row r="4699" spans="1:5" x14ac:dyDescent="0.25">
      <c r="A4699">
        <v>1881</v>
      </c>
      <c r="B4699" s="16">
        <v>43617</v>
      </c>
      <c r="C4699" t="s">
        <v>135</v>
      </c>
      <c r="D4699">
        <v>3981406.9049999998</v>
      </c>
      <c r="E4699" t="s">
        <v>330</v>
      </c>
    </row>
    <row r="4700" spans="1:5" x14ac:dyDescent="0.25">
      <c r="A4700">
        <v>1881</v>
      </c>
      <c r="B4700" s="16">
        <v>43647</v>
      </c>
      <c r="C4700" t="s">
        <v>135</v>
      </c>
      <c r="D4700">
        <v>3981406.9049999998</v>
      </c>
      <c r="E4700" t="s">
        <v>330</v>
      </c>
    </row>
    <row r="4701" spans="1:5" x14ac:dyDescent="0.25">
      <c r="A4701">
        <v>1881</v>
      </c>
      <c r="B4701" s="16">
        <v>43678</v>
      </c>
      <c r="C4701" t="s">
        <v>135</v>
      </c>
      <c r="D4701">
        <v>3981406.9049999998</v>
      </c>
      <c r="E4701" t="s">
        <v>330</v>
      </c>
    </row>
    <row r="4702" spans="1:5" x14ac:dyDescent="0.25">
      <c r="A4702">
        <v>1881</v>
      </c>
      <c r="B4702" s="16">
        <v>43709</v>
      </c>
      <c r="C4702" t="s">
        <v>135</v>
      </c>
      <c r="D4702">
        <v>3981406.9049999998</v>
      </c>
      <c r="E4702" t="s">
        <v>330</v>
      </c>
    </row>
    <row r="4703" spans="1:5" x14ac:dyDescent="0.25">
      <c r="A4703">
        <v>1881</v>
      </c>
      <c r="B4703" s="16">
        <v>43739</v>
      </c>
      <c r="C4703" t="s">
        <v>135</v>
      </c>
      <c r="D4703">
        <v>3981406.9049999998</v>
      </c>
      <c r="E4703" t="s">
        <v>330</v>
      </c>
    </row>
    <row r="4704" spans="1:5" x14ac:dyDescent="0.25">
      <c r="A4704">
        <v>1881</v>
      </c>
      <c r="B4704" s="16">
        <v>43770</v>
      </c>
      <c r="C4704" t="s">
        <v>135</v>
      </c>
      <c r="D4704">
        <v>3981406.9049999998</v>
      </c>
      <c r="E4704" t="s">
        <v>330</v>
      </c>
    </row>
    <row r="4705" spans="1:5" x14ac:dyDescent="0.25">
      <c r="A4705">
        <v>1881</v>
      </c>
      <c r="B4705" s="16">
        <v>43800</v>
      </c>
      <c r="C4705" t="s">
        <v>135</v>
      </c>
      <c r="D4705">
        <v>3981406.9049999998</v>
      </c>
      <c r="E4705" t="s">
        <v>330</v>
      </c>
    </row>
    <row r="4706" spans="1:5" x14ac:dyDescent="0.25">
      <c r="A4706">
        <v>1881</v>
      </c>
      <c r="B4706" s="16">
        <v>43831</v>
      </c>
      <c r="C4706" t="s">
        <v>135</v>
      </c>
      <c r="D4706">
        <v>3981406.9049999998</v>
      </c>
      <c r="E4706" t="s">
        <v>330</v>
      </c>
    </row>
    <row r="4707" spans="1:5" x14ac:dyDescent="0.25">
      <c r="A4707">
        <v>1881</v>
      </c>
      <c r="B4707" s="16">
        <v>43862</v>
      </c>
      <c r="C4707" t="s">
        <v>135</v>
      </c>
      <c r="D4707">
        <v>3981406.9049999998</v>
      </c>
      <c r="E4707" t="s">
        <v>330</v>
      </c>
    </row>
    <row r="4708" spans="1:5" x14ac:dyDescent="0.25">
      <c r="A4708">
        <v>1881</v>
      </c>
      <c r="B4708" s="16">
        <v>43891</v>
      </c>
      <c r="C4708" t="s">
        <v>135</v>
      </c>
      <c r="D4708">
        <v>3981406.9049999998</v>
      </c>
      <c r="E4708" t="s">
        <v>330</v>
      </c>
    </row>
    <row r="4709" spans="1:5" x14ac:dyDescent="0.25">
      <c r="A4709">
        <v>1881</v>
      </c>
      <c r="B4709" s="16">
        <v>43922</v>
      </c>
      <c r="C4709" t="s">
        <v>135</v>
      </c>
      <c r="D4709">
        <v>3981406.9049999998</v>
      </c>
      <c r="E4709" t="s">
        <v>330</v>
      </c>
    </row>
    <row r="4710" spans="1:5" x14ac:dyDescent="0.25">
      <c r="A4710">
        <v>1881</v>
      </c>
      <c r="B4710" s="16">
        <v>43952</v>
      </c>
      <c r="C4710" t="s">
        <v>135</v>
      </c>
      <c r="D4710">
        <v>3981406.9049999998</v>
      </c>
      <c r="E4710" t="s">
        <v>330</v>
      </c>
    </row>
    <row r="4711" spans="1:5" x14ac:dyDescent="0.25">
      <c r="A4711">
        <v>1881</v>
      </c>
      <c r="B4711" s="16">
        <v>43983</v>
      </c>
      <c r="C4711" t="s">
        <v>135</v>
      </c>
      <c r="D4711">
        <v>3981406.9049999998</v>
      </c>
      <c r="E4711" t="s">
        <v>330</v>
      </c>
    </row>
    <row r="4712" spans="1:5" x14ac:dyDescent="0.25">
      <c r="A4712">
        <v>1881</v>
      </c>
      <c r="B4712" s="16">
        <v>44013</v>
      </c>
      <c r="C4712" t="s">
        <v>135</v>
      </c>
      <c r="D4712">
        <v>3981406.9049999998</v>
      </c>
      <c r="E4712" t="s">
        <v>330</v>
      </c>
    </row>
    <row r="4713" spans="1:5" x14ac:dyDescent="0.25">
      <c r="A4713">
        <v>1880</v>
      </c>
      <c r="B4713" s="16">
        <v>43466</v>
      </c>
      <c r="C4713" t="s">
        <v>19</v>
      </c>
      <c r="D4713">
        <v>2823017.4132300001</v>
      </c>
      <c r="E4713" t="s">
        <v>330</v>
      </c>
    </row>
    <row r="4714" spans="1:5" x14ac:dyDescent="0.25">
      <c r="A4714">
        <v>1880</v>
      </c>
      <c r="B4714" s="16">
        <v>43497</v>
      </c>
      <c r="C4714" t="s">
        <v>19</v>
      </c>
      <c r="D4714">
        <v>2823017.4132300001</v>
      </c>
      <c r="E4714" t="s">
        <v>330</v>
      </c>
    </row>
    <row r="4715" spans="1:5" x14ac:dyDescent="0.25">
      <c r="A4715">
        <v>1880</v>
      </c>
      <c r="B4715" s="16">
        <v>43525</v>
      </c>
      <c r="C4715" t="s">
        <v>19</v>
      </c>
      <c r="D4715">
        <v>2823017.4132300001</v>
      </c>
      <c r="E4715" t="s">
        <v>330</v>
      </c>
    </row>
    <row r="4716" spans="1:5" x14ac:dyDescent="0.25">
      <c r="A4716">
        <v>1880</v>
      </c>
      <c r="B4716" s="16">
        <v>43556</v>
      </c>
      <c r="C4716" t="s">
        <v>19</v>
      </c>
      <c r="D4716">
        <v>2823017.4132300001</v>
      </c>
      <c r="E4716" t="s">
        <v>330</v>
      </c>
    </row>
    <row r="4717" spans="1:5" x14ac:dyDescent="0.25">
      <c r="A4717">
        <v>1880</v>
      </c>
      <c r="B4717" s="16">
        <v>43466</v>
      </c>
      <c r="C4717" t="s">
        <v>26</v>
      </c>
      <c r="D4717">
        <v>6088446</v>
      </c>
      <c r="E4717" t="s">
        <v>330</v>
      </c>
    </row>
    <row r="4718" spans="1:5" x14ac:dyDescent="0.25">
      <c r="A4718">
        <v>1880</v>
      </c>
      <c r="B4718" s="16">
        <v>43497</v>
      </c>
      <c r="C4718" t="s">
        <v>26</v>
      </c>
      <c r="D4718">
        <v>6088446</v>
      </c>
      <c r="E4718" t="s">
        <v>330</v>
      </c>
    </row>
    <row r="4719" spans="1:5" x14ac:dyDescent="0.25">
      <c r="A4719">
        <v>1880</v>
      </c>
      <c r="B4719" s="16">
        <v>43525</v>
      </c>
      <c r="C4719" t="s">
        <v>26</v>
      </c>
      <c r="D4719">
        <v>6088446</v>
      </c>
      <c r="E4719" t="s">
        <v>330</v>
      </c>
    </row>
    <row r="4720" spans="1:5" x14ac:dyDescent="0.25">
      <c r="A4720">
        <v>1880</v>
      </c>
      <c r="B4720" s="16">
        <v>43556</v>
      </c>
      <c r="C4720" t="s">
        <v>26</v>
      </c>
      <c r="D4720">
        <v>6088446</v>
      </c>
      <c r="E4720" t="s">
        <v>330</v>
      </c>
    </row>
    <row r="4721" spans="1:5" x14ac:dyDescent="0.25">
      <c r="A4721">
        <v>1880</v>
      </c>
      <c r="B4721" s="16">
        <v>43586</v>
      </c>
      <c r="C4721" t="s">
        <v>26</v>
      </c>
      <c r="D4721">
        <v>6088446</v>
      </c>
      <c r="E4721" t="s">
        <v>330</v>
      </c>
    </row>
    <row r="4722" spans="1:5" x14ac:dyDescent="0.25">
      <c r="A4722">
        <v>1880</v>
      </c>
      <c r="B4722" s="16">
        <v>43617</v>
      </c>
      <c r="C4722" t="s">
        <v>26</v>
      </c>
      <c r="D4722">
        <v>6088446</v>
      </c>
      <c r="E4722" t="s">
        <v>330</v>
      </c>
    </row>
    <row r="4723" spans="1:5" x14ac:dyDescent="0.25">
      <c r="A4723">
        <v>1880</v>
      </c>
      <c r="B4723" s="16">
        <v>43466</v>
      </c>
      <c r="C4723" t="s">
        <v>59</v>
      </c>
      <c r="D4723">
        <v>3965084.6316681607</v>
      </c>
      <c r="E4723" t="s">
        <v>330</v>
      </c>
    </row>
    <row r="4724" spans="1:5" x14ac:dyDescent="0.25">
      <c r="A4724">
        <v>1880</v>
      </c>
      <c r="B4724" s="16">
        <v>43497</v>
      </c>
      <c r="C4724" t="s">
        <v>59</v>
      </c>
      <c r="D4724">
        <v>3965084.6316681607</v>
      </c>
      <c r="E4724" t="s">
        <v>330</v>
      </c>
    </row>
    <row r="4725" spans="1:5" x14ac:dyDescent="0.25">
      <c r="A4725">
        <v>1880</v>
      </c>
      <c r="B4725" s="16">
        <v>43525</v>
      </c>
      <c r="C4725" t="s">
        <v>59</v>
      </c>
      <c r="D4725">
        <v>3965084.6316681607</v>
      </c>
      <c r="E4725" t="s">
        <v>330</v>
      </c>
    </row>
    <row r="4726" spans="1:5" x14ac:dyDescent="0.25">
      <c r="A4726">
        <v>1880</v>
      </c>
      <c r="B4726" s="16">
        <v>43556</v>
      </c>
      <c r="C4726" t="s">
        <v>59</v>
      </c>
      <c r="D4726">
        <v>3965084.6316681607</v>
      </c>
      <c r="E4726" t="s">
        <v>330</v>
      </c>
    </row>
    <row r="4727" spans="1:5" x14ac:dyDescent="0.25">
      <c r="A4727">
        <v>1880</v>
      </c>
      <c r="B4727" s="16">
        <v>43586</v>
      </c>
      <c r="C4727" t="s">
        <v>59</v>
      </c>
      <c r="D4727">
        <v>3965084.6316681607</v>
      </c>
      <c r="E4727" t="s">
        <v>330</v>
      </c>
    </row>
    <row r="4728" spans="1:5" x14ac:dyDescent="0.25">
      <c r="A4728">
        <v>1880</v>
      </c>
      <c r="B4728" s="16">
        <v>43466</v>
      </c>
      <c r="C4728" t="s">
        <v>35</v>
      </c>
      <c r="D4728">
        <v>3198581.6105249994</v>
      </c>
      <c r="E4728" t="s">
        <v>330</v>
      </c>
    </row>
    <row r="4729" spans="1:5" x14ac:dyDescent="0.25">
      <c r="A4729">
        <v>1880</v>
      </c>
      <c r="B4729" s="16">
        <v>43497</v>
      </c>
      <c r="C4729" t="s">
        <v>35</v>
      </c>
      <c r="D4729">
        <v>3198581.6105249994</v>
      </c>
      <c r="E4729" t="s">
        <v>330</v>
      </c>
    </row>
    <row r="4730" spans="1:5" x14ac:dyDescent="0.25">
      <c r="A4730">
        <v>1880</v>
      </c>
      <c r="B4730" s="16">
        <v>43525</v>
      </c>
      <c r="C4730" t="s">
        <v>35</v>
      </c>
      <c r="D4730">
        <v>3198581.6105249994</v>
      </c>
      <c r="E4730" t="s">
        <v>330</v>
      </c>
    </row>
    <row r="4731" spans="1:5" x14ac:dyDescent="0.25">
      <c r="A4731">
        <v>1880</v>
      </c>
      <c r="B4731" s="16">
        <v>43556</v>
      </c>
      <c r="C4731" t="s">
        <v>35</v>
      </c>
      <c r="D4731">
        <v>3198581.6105249994</v>
      </c>
      <c r="E4731" t="s">
        <v>330</v>
      </c>
    </row>
    <row r="4732" spans="1:5" x14ac:dyDescent="0.25">
      <c r="A4732">
        <v>1880</v>
      </c>
      <c r="B4732" s="16">
        <v>43466</v>
      </c>
      <c r="C4732" t="s">
        <v>35</v>
      </c>
      <c r="D4732">
        <v>3427052.1011999999</v>
      </c>
      <c r="E4732" t="s">
        <v>330</v>
      </c>
    </row>
    <row r="4733" spans="1:5" x14ac:dyDescent="0.25">
      <c r="A4733">
        <v>1880</v>
      </c>
      <c r="B4733" s="16">
        <v>43497</v>
      </c>
      <c r="C4733" t="s">
        <v>35</v>
      </c>
      <c r="D4733">
        <v>3427052.1011999999</v>
      </c>
      <c r="E4733" t="s">
        <v>330</v>
      </c>
    </row>
    <row r="4734" spans="1:5" x14ac:dyDescent="0.25">
      <c r="A4734">
        <v>1877</v>
      </c>
      <c r="B4734" s="16">
        <v>43466</v>
      </c>
      <c r="C4734" t="s">
        <v>12</v>
      </c>
      <c r="D4734">
        <v>11163096</v>
      </c>
      <c r="E4734" t="s">
        <v>330</v>
      </c>
    </row>
    <row r="4735" spans="1:5" x14ac:dyDescent="0.25">
      <c r="A4735">
        <v>1877</v>
      </c>
      <c r="B4735" s="16">
        <v>43497</v>
      </c>
      <c r="C4735" t="s">
        <v>12</v>
      </c>
      <c r="D4735">
        <v>11163096</v>
      </c>
      <c r="E4735" t="s">
        <v>330</v>
      </c>
    </row>
    <row r="4736" spans="1:5" x14ac:dyDescent="0.25">
      <c r="A4736">
        <v>1877</v>
      </c>
      <c r="B4736" s="16">
        <v>43525</v>
      </c>
      <c r="C4736" t="s">
        <v>12</v>
      </c>
      <c r="D4736">
        <v>11163096</v>
      </c>
      <c r="E4736" t="s">
        <v>330</v>
      </c>
    </row>
    <row r="4737" spans="1:5" x14ac:dyDescent="0.25">
      <c r="A4737">
        <v>1877</v>
      </c>
      <c r="B4737" s="16">
        <v>43556</v>
      </c>
      <c r="C4737" t="s">
        <v>12</v>
      </c>
      <c r="D4737">
        <v>11163096</v>
      </c>
      <c r="E4737" t="s">
        <v>330</v>
      </c>
    </row>
    <row r="4738" spans="1:5" x14ac:dyDescent="0.25">
      <c r="A4738">
        <v>1877</v>
      </c>
      <c r="B4738" s="16">
        <v>43586</v>
      </c>
      <c r="C4738" t="s">
        <v>12</v>
      </c>
      <c r="D4738">
        <v>11163096</v>
      </c>
      <c r="E4738" t="s">
        <v>330</v>
      </c>
    </row>
    <row r="4739" spans="1:5" x14ac:dyDescent="0.25">
      <c r="A4739">
        <v>1877</v>
      </c>
      <c r="B4739" s="16">
        <v>43617</v>
      </c>
      <c r="C4739" t="s">
        <v>12</v>
      </c>
      <c r="D4739">
        <v>11163096</v>
      </c>
      <c r="E4739" t="s">
        <v>330</v>
      </c>
    </row>
    <row r="4740" spans="1:5" x14ac:dyDescent="0.25">
      <c r="A4740">
        <v>1877</v>
      </c>
      <c r="B4740" s="16">
        <v>43647</v>
      </c>
      <c r="C4740" t="s">
        <v>12</v>
      </c>
      <c r="D4740">
        <v>11163096</v>
      </c>
      <c r="E4740" t="s">
        <v>330</v>
      </c>
    </row>
    <row r="4741" spans="1:5" x14ac:dyDescent="0.25">
      <c r="A4741">
        <v>1877</v>
      </c>
      <c r="B4741" s="16">
        <v>43678</v>
      </c>
      <c r="C4741" t="s">
        <v>12</v>
      </c>
      <c r="D4741">
        <v>11163096</v>
      </c>
      <c r="E4741" t="s">
        <v>330</v>
      </c>
    </row>
    <row r="4742" spans="1:5" x14ac:dyDescent="0.25">
      <c r="A4742">
        <v>1877</v>
      </c>
      <c r="B4742" s="16">
        <v>43709</v>
      </c>
      <c r="C4742" t="s">
        <v>12</v>
      </c>
      <c r="D4742">
        <v>11163096</v>
      </c>
      <c r="E4742" t="s">
        <v>330</v>
      </c>
    </row>
    <row r="4743" spans="1:5" x14ac:dyDescent="0.25">
      <c r="A4743">
        <v>1877</v>
      </c>
      <c r="B4743" s="16">
        <v>43739</v>
      </c>
      <c r="C4743" t="s">
        <v>12</v>
      </c>
      <c r="D4743">
        <v>11163096</v>
      </c>
      <c r="E4743" t="s">
        <v>330</v>
      </c>
    </row>
    <row r="4744" spans="1:5" x14ac:dyDescent="0.25">
      <c r="A4744">
        <v>1877</v>
      </c>
      <c r="B4744" s="16">
        <v>43770</v>
      </c>
      <c r="C4744" t="s">
        <v>12</v>
      </c>
      <c r="D4744">
        <v>11163096</v>
      </c>
      <c r="E4744" t="s">
        <v>330</v>
      </c>
    </row>
    <row r="4745" spans="1:5" x14ac:dyDescent="0.25">
      <c r="A4745">
        <v>1877</v>
      </c>
      <c r="B4745" s="16">
        <v>43800</v>
      </c>
      <c r="C4745" t="s">
        <v>12</v>
      </c>
      <c r="D4745">
        <v>11163096</v>
      </c>
      <c r="E4745" t="s">
        <v>330</v>
      </c>
    </row>
    <row r="4746" spans="1:5" x14ac:dyDescent="0.25">
      <c r="A4746">
        <v>1877</v>
      </c>
      <c r="B4746" s="16">
        <v>43831</v>
      </c>
      <c r="C4746" t="s">
        <v>12</v>
      </c>
      <c r="D4746">
        <v>11163096</v>
      </c>
      <c r="E4746" t="s">
        <v>330</v>
      </c>
    </row>
    <row r="4747" spans="1:5" x14ac:dyDescent="0.25">
      <c r="A4747">
        <v>1877</v>
      </c>
      <c r="B4747" s="16">
        <v>43862</v>
      </c>
      <c r="C4747" t="s">
        <v>12</v>
      </c>
      <c r="D4747">
        <v>11163096</v>
      </c>
      <c r="E4747" t="s">
        <v>330</v>
      </c>
    </row>
    <row r="4748" spans="1:5" x14ac:dyDescent="0.25">
      <c r="A4748">
        <v>1877</v>
      </c>
      <c r="B4748" s="16">
        <v>43891</v>
      </c>
      <c r="C4748" t="s">
        <v>12</v>
      </c>
      <c r="D4748">
        <v>11163096</v>
      </c>
      <c r="E4748" t="s">
        <v>330</v>
      </c>
    </row>
    <row r="4749" spans="1:5" x14ac:dyDescent="0.25">
      <c r="A4749">
        <v>1877</v>
      </c>
      <c r="B4749" s="16">
        <v>43466</v>
      </c>
      <c r="C4749" t="s">
        <v>176</v>
      </c>
      <c r="D4749">
        <v>6909525</v>
      </c>
      <c r="E4749" t="s">
        <v>330</v>
      </c>
    </row>
    <row r="4750" spans="1:5" x14ac:dyDescent="0.25">
      <c r="A4750">
        <v>1877</v>
      </c>
      <c r="B4750" s="16">
        <v>43497</v>
      </c>
      <c r="C4750" t="s">
        <v>176</v>
      </c>
      <c r="D4750">
        <v>6909525</v>
      </c>
      <c r="E4750" t="s">
        <v>330</v>
      </c>
    </row>
    <row r="4751" spans="1:5" x14ac:dyDescent="0.25">
      <c r="A4751">
        <v>1877</v>
      </c>
      <c r="B4751" s="16">
        <v>43525</v>
      </c>
      <c r="C4751" t="s">
        <v>176</v>
      </c>
      <c r="D4751">
        <v>6909525</v>
      </c>
      <c r="E4751" t="s">
        <v>330</v>
      </c>
    </row>
    <row r="4752" spans="1:5" x14ac:dyDescent="0.25">
      <c r="A4752">
        <v>1877</v>
      </c>
      <c r="B4752" s="16">
        <v>43556</v>
      </c>
      <c r="C4752" t="s">
        <v>176</v>
      </c>
      <c r="D4752">
        <v>6909525</v>
      </c>
      <c r="E4752" t="s">
        <v>330</v>
      </c>
    </row>
    <row r="4753" spans="1:5" x14ac:dyDescent="0.25">
      <c r="A4753">
        <v>1877</v>
      </c>
      <c r="B4753" s="16">
        <v>43586</v>
      </c>
      <c r="C4753" t="s">
        <v>176</v>
      </c>
      <c r="D4753">
        <v>6909525</v>
      </c>
      <c r="E4753" t="s">
        <v>330</v>
      </c>
    </row>
    <row r="4754" spans="1:5" x14ac:dyDescent="0.25">
      <c r="A4754">
        <v>1877</v>
      </c>
      <c r="B4754" s="16">
        <v>43617</v>
      </c>
      <c r="C4754" t="s">
        <v>176</v>
      </c>
      <c r="D4754">
        <v>6909525</v>
      </c>
      <c r="E4754" t="s">
        <v>330</v>
      </c>
    </row>
    <row r="4755" spans="1:5" x14ac:dyDescent="0.25">
      <c r="A4755">
        <v>1877</v>
      </c>
      <c r="B4755" s="16">
        <v>43647</v>
      </c>
      <c r="C4755" t="s">
        <v>176</v>
      </c>
      <c r="D4755">
        <v>6909525</v>
      </c>
      <c r="E4755" t="s">
        <v>330</v>
      </c>
    </row>
    <row r="4756" spans="1:5" x14ac:dyDescent="0.25">
      <c r="A4756">
        <v>1877</v>
      </c>
      <c r="B4756" s="16">
        <v>43678</v>
      </c>
      <c r="C4756" t="s">
        <v>176</v>
      </c>
      <c r="D4756">
        <v>6909525</v>
      </c>
      <c r="E4756" t="s">
        <v>330</v>
      </c>
    </row>
    <row r="4757" spans="1:5" x14ac:dyDescent="0.25">
      <c r="A4757">
        <v>1877</v>
      </c>
      <c r="B4757" s="16">
        <v>43709</v>
      </c>
      <c r="C4757" t="s">
        <v>176</v>
      </c>
      <c r="D4757">
        <v>6909525</v>
      </c>
      <c r="E4757" t="s">
        <v>330</v>
      </c>
    </row>
    <row r="4758" spans="1:5" x14ac:dyDescent="0.25">
      <c r="A4758">
        <v>1877</v>
      </c>
      <c r="B4758" s="16">
        <v>43739</v>
      </c>
      <c r="C4758" t="s">
        <v>176</v>
      </c>
      <c r="D4758">
        <v>6909525</v>
      </c>
      <c r="E4758" t="s">
        <v>330</v>
      </c>
    </row>
    <row r="4759" spans="1:5" x14ac:dyDescent="0.25">
      <c r="A4759">
        <v>1877</v>
      </c>
      <c r="B4759" s="16">
        <v>43770</v>
      </c>
      <c r="C4759" t="s">
        <v>176</v>
      </c>
      <c r="D4759">
        <v>6909525</v>
      </c>
      <c r="E4759" t="s">
        <v>330</v>
      </c>
    </row>
    <row r="4760" spans="1:5" x14ac:dyDescent="0.25">
      <c r="A4760">
        <v>1877</v>
      </c>
      <c r="B4760" s="16">
        <v>43800</v>
      </c>
      <c r="C4760" t="s">
        <v>176</v>
      </c>
      <c r="D4760">
        <v>6909525</v>
      </c>
      <c r="E4760" t="s">
        <v>330</v>
      </c>
    </row>
    <row r="4761" spans="1:5" x14ac:dyDescent="0.25">
      <c r="A4761">
        <v>1877</v>
      </c>
      <c r="B4761" s="16">
        <v>43466</v>
      </c>
      <c r="C4761" t="s">
        <v>177</v>
      </c>
      <c r="D4761">
        <v>6909525</v>
      </c>
      <c r="E4761" t="s">
        <v>330</v>
      </c>
    </row>
    <row r="4762" spans="1:5" x14ac:dyDescent="0.25">
      <c r="A4762">
        <v>1877</v>
      </c>
      <c r="B4762" s="16">
        <v>43497</v>
      </c>
      <c r="C4762" t="s">
        <v>177</v>
      </c>
      <c r="D4762">
        <v>6909525</v>
      </c>
      <c r="E4762" t="s">
        <v>330</v>
      </c>
    </row>
    <row r="4763" spans="1:5" x14ac:dyDescent="0.25">
      <c r="A4763">
        <v>1877</v>
      </c>
      <c r="B4763" s="16">
        <v>43525</v>
      </c>
      <c r="C4763" t="s">
        <v>177</v>
      </c>
      <c r="D4763">
        <v>6909525</v>
      </c>
      <c r="E4763" t="s">
        <v>330</v>
      </c>
    </row>
    <row r="4764" spans="1:5" x14ac:dyDescent="0.25">
      <c r="A4764">
        <v>1877</v>
      </c>
      <c r="B4764" s="16">
        <v>43556</v>
      </c>
      <c r="C4764" t="s">
        <v>177</v>
      </c>
      <c r="D4764">
        <v>6909525</v>
      </c>
      <c r="E4764" t="s">
        <v>330</v>
      </c>
    </row>
    <row r="4765" spans="1:5" x14ac:dyDescent="0.25">
      <c r="A4765">
        <v>1877</v>
      </c>
      <c r="B4765" s="16">
        <v>43586</v>
      </c>
      <c r="C4765" t="s">
        <v>177</v>
      </c>
      <c r="D4765">
        <v>6909525</v>
      </c>
      <c r="E4765" t="s">
        <v>330</v>
      </c>
    </row>
    <row r="4766" spans="1:5" x14ac:dyDescent="0.25">
      <c r="A4766">
        <v>1877</v>
      </c>
      <c r="B4766" s="16">
        <v>43617</v>
      </c>
      <c r="C4766" t="s">
        <v>177</v>
      </c>
      <c r="D4766">
        <v>6909525</v>
      </c>
      <c r="E4766" t="s">
        <v>330</v>
      </c>
    </row>
    <row r="4767" spans="1:5" x14ac:dyDescent="0.25">
      <c r="A4767">
        <v>1877</v>
      </c>
      <c r="B4767" s="16">
        <v>43647</v>
      </c>
      <c r="C4767" t="s">
        <v>177</v>
      </c>
      <c r="D4767">
        <v>6909525</v>
      </c>
      <c r="E4767" t="s">
        <v>330</v>
      </c>
    </row>
    <row r="4768" spans="1:5" x14ac:dyDescent="0.25">
      <c r="A4768">
        <v>1877</v>
      </c>
      <c r="B4768" s="16">
        <v>43678</v>
      </c>
      <c r="C4768" t="s">
        <v>177</v>
      </c>
      <c r="D4768">
        <v>6909525</v>
      </c>
      <c r="E4768" t="s">
        <v>330</v>
      </c>
    </row>
    <row r="4769" spans="1:5" x14ac:dyDescent="0.25">
      <c r="A4769">
        <v>1877</v>
      </c>
      <c r="B4769" s="16">
        <v>43709</v>
      </c>
      <c r="C4769" t="s">
        <v>177</v>
      </c>
      <c r="D4769">
        <v>6909525</v>
      </c>
      <c r="E4769" t="s">
        <v>330</v>
      </c>
    </row>
    <row r="4770" spans="1:5" x14ac:dyDescent="0.25">
      <c r="A4770">
        <v>1877</v>
      </c>
      <c r="B4770" s="16">
        <v>43739</v>
      </c>
      <c r="C4770" t="s">
        <v>177</v>
      </c>
      <c r="D4770">
        <v>6909525</v>
      </c>
      <c r="E4770" t="s">
        <v>330</v>
      </c>
    </row>
    <row r="4771" spans="1:5" x14ac:dyDescent="0.25">
      <c r="A4771">
        <v>1877</v>
      </c>
      <c r="B4771" s="16">
        <v>43466</v>
      </c>
      <c r="C4771" t="s">
        <v>39</v>
      </c>
      <c r="D4771">
        <v>5049009</v>
      </c>
      <c r="E4771" t="s">
        <v>330</v>
      </c>
    </row>
    <row r="4772" spans="1:5" x14ac:dyDescent="0.25">
      <c r="A4772">
        <v>1877</v>
      </c>
      <c r="B4772" s="16">
        <v>43497</v>
      </c>
      <c r="C4772" t="s">
        <v>39</v>
      </c>
      <c r="D4772">
        <v>5049009</v>
      </c>
      <c r="E4772" t="s">
        <v>330</v>
      </c>
    </row>
    <row r="4773" spans="1:5" x14ac:dyDescent="0.25">
      <c r="A4773">
        <v>1877</v>
      </c>
      <c r="B4773" s="16">
        <v>43525</v>
      </c>
      <c r="C4773" t="s">
        <v>39</v>
      </c>
      <c r="D4773">
        <v>5049009</v>
      </c>
      <c r="E4773" t="s">
        <v>330</v>
      </c>
    </row>
    <row r="4774" spans="1:5" x14ac:dyDescent="0.25">
      <c r="A4774">
        <v>1877</v>
      </c>
      <c r="B4774" s="16">
        <v>43556</v>
      </c>
      <c r="C4774" t="s">
        <v>39</v>
      </c>
      <c r="D4774">
        <v>5049009</v>
      </c>
      <c r="E4774" t="s">
        <v>330</v>
      </c>
    </row>
    <row r="4775" spans="1:5" x14ac:dyDescent="0.25">
      <c r="A4775">
        <v>1877</v>
      </c>
      <c r="B4775" s="16">
        <v>43586</v>
      </c>
      <c r="C4775" t="s">
        <v>39</v>
      </c>
      <c r="D4775">
        <v>5049009</v>
      </c>
      <c r="E4775" t="s">
        <v>330</v>
      </c>
    </row>
    <row r="4776" spans="1:5" x14ac:dyDescent="0.25">
      <c r="A4776">
        <v>1877</v>
      </c>
      <c r="B4776" s="16">
        <v>43617</v>
      </c>
      <c r="C4776" t="s">
        <v>39</v>
      </c>
      <c r="D4776">
        <v>5049009</v>
      </c>
      <c r="E4776" t="s">
        <v>330</v>
      </c>
    </row>
    <row r="4777" spans="1:5" x14ac:dyDescent="0.25">
      <c r="A4777">
        <v>1877</v>
      </c>
      <c r="B4777" s="16">
        <v>43647</v>
      </c>
      <c r="C4777" t="s">
        <v>39</v>
      </c>
      <c r="D4777">
        <v>5049009</v>
      </c>
      <c r="E4777" t="s">
        <v>330</v>
      </c>
    </row>
    <row r="4778" spans="1:5" x14ac:dyDescent="0.25">
      <c r="A4778">
        <v>1877</v>
      </c>
      <c r="B4778" s="16">
        <v>43678</v>
      </c>
      <c r="C4778" t="s">
        <v>39</v>
      </c>
      <c r="D4778">
        <v>5049009</v>
      </c>
      <c r="E4778" t="s">
        <v>330</v>
      </c>
    </row>
    <row r="4779" spans="1:5" x14ac:dyDescent="0.25">
      <c r="A4779">
        <v>1877</v>
      </c>
      <c r="B4779" s="16">
        <v>43709</v>
      </c>
      <c r="C4779" t="s">
        <v>39</v>
      </c>
      <c r="D4779">
        <v>5049009</v>
      </c>
      <c r="E4779" t="s">
        <v>330</v>
      </c>
    </row>
    <row r="4780" spans="1:5" x14ac:dyDescent="0.25">
      <c r="A4780">
        <v>1877</v>
      </c>
      <c r="B4780" s="16">
        <v>43739</v>
      </c>
      <c r="C4780" t="s">
        <v>39</v>
      </c>
      <c r="D4780">
        <v>5049009</v>
      </c>
      <c r="E4780" t="s">
        <v>330</v>
      </c>
    </row>
    <row r="4781" spans="1:5" x14ac:dyDescent="0.25">
      <c r="A4781">
        <v>1877</v>
      </c>
      <c r="B4781" s="16">
        <v>43770</v>
      </c>
      <c r="C4781" t="s">
        <v>39</v>
      </c>
      <c r="D4781">
        <v>5049009</v>
      </c>
      <c r="E4781" t="s">
        <v>330</v>
      </c>
    </row>
    <row r="4782" spans="1:5" x14ac:dyDescent="0.25">
      <c r="A4782">
        <v>1877</v>
      </c>
      <c r="B4782" s="16">
        <v>43800</v>
      </c>
      <c r="C4782" t="s">
        <v>39</v>
      </c>
      <c r="D4782">
        <v>5049009</v>
      </c>
      <c r="E4782" t="s">
        <v>330</v>
      </c>
    </row>
    <row r="4783" spans="1:5" x14ac:dyDescent="0.25">
      <c r="A4783">
        <v>1877</v>
      </c>
      <c r="B4783" s="16">
        <v>43831</v>
      </c>
      <c r="C4783" t="s">
        <v>39</v>
      </c>
      <c r="D4783">
        <v>5049009</v>
      </c>
      <c r="E4783" t="s">
        <v>330</v>
      </c>
    </row>
    <row r="4784" spans="1:5" x14ac:dyDescent="0.25">
      <c r="A4784">
        <v>1877</v>
      </c>
      <c r="B4784" s="16">
        <v>43862</v>
      </c>
      <c r="C4784" t="s">
        <v>39</v>
      </c>
      <c r="D4784">
        <v>5049009</v>
      </c>
      <c r="E4784" t="s">
        <v>330</v>
      </c>
    </row>
    <row r="4785" spans="1:5" x14ac:dyDescent="0.25">
      <c r="A4785">
        <v>1877</v>
      </c>
      <c r="B4785" s="16">
        <v>43891</v>
      </c>
      <c r="C4785" t="s">
        <v>39</v>
      </c>
      <c r="D4785">
        <v>5049009</v>
      </c>
      <c r="E4785" t="s">
        <v>330</v>
      </c>
    </row>
    <row r="4786" spans="1:5" x14ac:dyDescent="0.25">
      <c r="A4786">
        <v>1877</v>
      </c>
      <c r="B4786" s="16">
        <v>43466</v>
      </c>
      <c r="C4786" t="s">
        <v>178</v>
      </c>
      <c r="D4786">
        <v>4550175</v>
      </c>
      <c r="E4786" t="s">
        <v>330</v>
      </c>
    </row>
    <row r="4787" spans="1:5" x14ac:dyDescent="0.25">
      <c r="A4787">
        <v>1877</v>
      </c>
      <c r="B4787" s="16">
        <v>43497</v>
      </c>
      <c r="C4787" t="s">
        <v>178</v>
      </c>
      <c r="D4787">
        <v>4550175</v>
      </c>
      <c r="E4787" t="s">
        <v>330</v>
      </c>
    </row>
    <row r="4788" spans="1:5" x14ac:dyDescent="0.25">
      <c r="A4788">
        <v>1877</v>
      </c>
      <c r="B4788" s="16">
        <v>43525</v>
      </c>
      <c r="C4788" t="s">
        <v>178</v>
      </c>
      <c r="D4788">
        <v>4550175</v>
      </c>
      <c r="E4788" t="s">
        <v>330</v>
      </c>
    </row>
    <row r="4789" spans="1:5" x14ac:dyDescent="0.25">
      <c r="A4789">
        <v>1877</v>
      </c>
      <c r="B4789" s="16">
        <v>43556</v>
      </c>
      <c r="C4789" t="s">
        <v>178</v>
      </c>
      <c r="D4789">
        <v>4550175</v>
      </c>
      <c r="E4789" t="s">
        <v>330</v>
      </c>
    </row>
    <row r="4790" spans="1:5" x14ac:dyDescent="0.25">
      <c r="A4790">
        <v>1877</v>
      </c>
      <c r="B4790" s="16">
        <v>43586</v>
      </c>
      <c r="C4790" t="s">
        <v>178</v>
      </c>
      <c r="D4790">
        <v>4550175</v>
      </c>
      <c r="E4790" t="s">
        <v>330</v>
      </c>
    </row>
    <row r="4791" spans="1:5" x14ac:dyDescent="0.25">
      <c r="A4791">
        <v>1877</v>
      </c>
      <c r="B4791" s="16">
        <v>43617</v>
      </c>
      <c r="C4791" t="s">
        <v>178</v>
      </c>
      <c r="D4791">
        <v>4550175</v>
      </c>
      <c r="E4791" t="s">
        <v>330</v>
      </c>
    </row>
    <row r="4792" spans="1:5" x14ac:dyDescent="0.25">
      <c r="A4792">
        <v>1877</v>
      </c>
      <c r="B4792" s="16">
        <v>43647</v>
      </c>
      <c r="C4792" t="s">
        <v>178</v>
      </c>
      <c r="D4792">
        <v>4550175</v>
      </c>
      <c r="E4792" t="s">
        <v>330</v>
      </c>
    </row>
    <row r="4793" spans="1:5" x14ac:dyDescent="0.25">
      <c r="A4793">
        <v>1877</v>
      </c>
      <c r="B4793" s="16">
        <v>43678</v>
      </c>
      <c r="C4793" t="s">
        <v>178</v>
      </c>
      <c r="D4793">
        <v>4550175</v>
      </c>
      <c r="E4793" t="s">
        <v>330</v>
      </c>
    </row>
    <row r="4794" spans="1:5" x14ac:dyDescent="0.25">
      <c r="A4794">
        <v>1877</v>
      </c>
      <c r="B4794" s="16">
        <v>43709</v>
      </c>
      <c r="C4794" t="s">
        <v>178</v>
      </c>
      <c r="D4794">
        <v>4550175</v>
      </c>
      <c r="E4794" t="s">
        <v>330</v>
      </c>
    </row>
    <row r="4795" spans="1:5" x14ac:dyDescent="0.25">
      <c r="A4795">
        <v>1877</v>
      </c>
      <c r="B4795" s="16">
        <v>43739</v>
      </c>
      <c r="C4795" t="s">
        <v>178</v>
      </c>
      <c r="D4795">
        <v>4550175</v>
      </c>
      <c r="E4795" t="s">
        <v>330</v>
      </c>
    </row>
    <row r="4796" spans="1:5" x14ac:dyDescent="0.25">
      <c r="A4796">
        <v>1877</v>
      </c>
      <c r="B4796" s="16">
        <v>43770</v>
      </c>
      <c r="C4796" t="s">
        <v>178</v>
      </c>
      <c r="D4796">
        <v>4550175</v>
      </c>
      <c r="E4796" t="s">
        <v>330</v>
      </c>
    </row>
    <row r="4797" spans="1:5" x14ac:dyDescent="0.25">
      <c r="A4797">
        <v>1877</v>
      </c>
      <c r="B4797" s="16">
        <v>43800</v>
      </c>
      <c r="C4797" t="s">
        <v>178</v>
      </c>
      <c r="D4797">
        <v>4550175</v>
      </c>
      <c r="E4797" t="s">
        <v>330</v>
      </c>
    </row>
    <row r="4798" spans="1:5" x14ac:dyDescent="0.25">
      <c r="A4798">
        <v>1877</v>
      </c>
      <c r="B4798" s="16">
        <v>43831</v>
      </c>
      <c r="C4798" t="s">
        <v>178</v>
      </c>
      <c r="D4798">
        <v>4550175</v>
      </c>
      <c r="E4798" t="s">
        <v>330</v>
      </c>
    </row>
    <row r="4799" spans="1:5" x14ac:dyDescent="0.25">
      <c r="A4799">
        <v>1877</v>
      </c>
      <c r="B4799" s="16">
        <v>43862</v>
      </c>
      <c r="C4799" t="s">
        <v>178</v>
      </c>
      <c r="D4799">
        <v>4550175</v>
      </c>
      <c r="E4799" t="s">
        <v>330</v>
      </c>
    </row>
    <row r="4800" spans="1:5" x14ac:dyDescent="0.25">
      <c r="A4800">
        <v>1877</v>
      </c>
      <c r="B4800" s="16">
        <v>43891</v>
      </c>
      <c r="C4800" t="s">
        <v>178</v>
      </c>
      <c r="D4800">
        <v>4550175</v>
      </c>
      <c r="E4800" t="s">
        <v>330</v>
      </c>
    </row>
    <row r="4801" spans="1:5" x14ac:dyDescent="0.25">
      <c r="A4801">
        <v>1877</v>
      </c>
      <c r="B4801" s="16">
        <v>43466</v>
      </c>
      <c r="C4801" t="s">
        <v>41</v>
      </c>
      <c r="D4801">
        <v>9327858.75</v>
      </c>
      <c r="E4801" t="s">
        <v>330</v>
      </c>
    </row>
    <row r="4802" spans="1:5" x14ac:dyDescent="0.25">
      <c r="A4802">
        <v>1877</v>
      </c>
      <c r="B4802" s="16">
        <v>43497</v>
      </c>
      <c r="C4802" t="s">
        <v>41</v>
      </c>
      <c r="D4802">
        <v>9327858.75</v>
      </c>
      <c r="E4802" t="s">
        <v>330</v>
      </c>
    </row>
    <row r="4803" spans="1:5" x14ac:dyDescent="0.25">
      <c r="A4803">
        <v>1877</v>
      </c>
      <c r="B4803" s="16">
        <v>43525</v>
      </c>
      <c r="C4803" t="s">
        <v>41</v>
      </c>
      <c r="D4803">
        <v>9327858.75</v>
      </c>
      <c r="E4803" t="s">
        <v>330</v>
      </c>
    </row>
    <row r="4804" spans="1:5" x14ac:dyDescent="0.25">
      <c r="A4804">
        <v>1877</v>
      </c>
      <c r="B4804" s="16">
        <v>43556</v>
      </c>
      <c r="C4804" t="s">
        <v>41</v>
      </c>
      <c r="D4804">
        <v>9327858.75</v>
      </c>
      <c r="E4804" t="s">
        <v>330</v>
      </c>
    </row>
    <row r="4805" spans="1:5" x14ac:dyDescent="0.25">
      <c r="A4805">
        <v>1877</v>
      </c>
      <c r="B4805" s="16">
        <v>43586</v>
      </c>
      <c r="C4805" t="s">
        <v>41</v>
      </c>
      <c r="D4805">
        <v>9327858.75</v>
      </c>
      <c r="E4805" t="s">
        <v>330</v>
      </c>
    </row>
    <row r="4806" spans="1:5" x14ac:dyDescent="0.25">
      <c r="A4806">
        <v>1877</v>
      </c>
      <c r="B4806" s="16">
        <v>43617</v>
      </c>
      <c r="C4806" t="s">
        <v>41</v>
      </c>
      <c r="D4806">
        <v>9327858.75</v>
      </c>
      <c r="E4806" t="s">
        <v>330</v>
      </c>
    </row>
    <row r="4807" spans="1:5" x14ac:dyDescent="0.25">
      <c r="A4807">
        <v>1877</v>
      </c>
      <c r="B4807" s="16">
        <v>43647</v>
      </c>
      <c r="C4807" t="s">
        <v>41</v>
      </c>
      <c r="D4807">
        <v>9327858.75</v>
      </c>
      <c r="E4807" t="s">
        <v>330</v>
      </c>
    </row>
    <row r="4808" spans="1:5" x14ac:dyDescent="0.25">
      <c r="A4808">
        <v>1877</v>
      </c>
      <c r="B4808" s="16">
        <v>43678</v>
      </c>
      <c r="C4808" t="s">
        <v>41</v>
      </c>
      <c r="D4808">
        <v>9327858.75</v>
      </c>
      <c r="E4808" t="s">
        <v>330</v>
      </c>
    </row>
    <row r="4809" spans="1:5" x14ac:dyDescent="0.25">
      <c r="A4809">
        <v>1877</v>
      </c>
      <c r="B4809" s="16">
        <v>43466</v>
      </c>
      <c r="C4809" t="s">
        <v>179</v>
      </c>
      <c r="D4809">
        <v>9327858.75</v>
      </c>
      <c r="E4809" t="s">
        <v>330</v>
      </c>
    </row>
    <row r="4810" spans="1:5" x14ac:dyDescent="0.25">
      <c r="A4810">
        <v>1877</v>
      </c>
      <c r="B4810" s="16">
        <v>43497</v>
      </c>
      <c r="C4810" t="s">
        <v>179</v>
      </c>
      <c r="D4810">
        <v>9327858.75</v>
      </c>
      <c r="E4810" t="s">
        <v>330</v>
      </c>
    </row>
    <row r="4811" spans="1:5" x14ac:dyDescent="0.25">
      <c r="A4811">
        <v>1877</v>
      </c>
      <c r="B4811" s="16">
        <v>43466</v>
      </c>
      <c r="C4811" t="s">
        <v>180</v>
      </c>
      <c r="D4811">
        <v>4899387.3232500004</v>
      </c>
      <c r="E4811" t="s">
        <v>330</v>
      </c>
    </row>
    <row r="4812" spans="1:5" x14ac:dyDescent="0.25">
      <c r="A4812">
        <v>1877</v>
      </c>
      <c r="B4812" s="16">
        <v>43497</v>
      </c>
      <c r="C4812" t="s">
        <v>180</v>
      </c>
      <c r="D4812">
        <v>4899387.3232500004</v>
      </c>
      <c r="E4812" t="s">
        <v>330</v>
      </c>
    </row>
    <row r="4813" spans="1:5" x14ac:dyDescent="0.25">
      <c r="A4813">
        <v>1877</v>
      </c>
      <c r="B4813" s="16">
        <v>43525</v>
      </c>
      <c r="C4813" t="s">
        <v>180</v>
      </c>
      <c r="D4813">
        <v>4899387.3232500004</v>
      </c>
      <c r="E4813" t="s">
        <v>330</v>
      </c>
    </row>
    <row r="4814" spans="1:5" x14ac:dyDescent="0.25">
      <c r="A4814">
        <v>1877</v>
      </c>
      <c r="B4814" s="16">
        <v>43556</v>
      </c>
      <c r="C4814" t="s">
        <v>180</v>
      </c>
      <c r="D4814">
        <v>4899387.3232500004</v>
      </c>
      <c r="E4814" t="s">
        <v>330</v>
      </c>
    </row>
    <row r="4815" spans="1:5" x14ac:dyDescent="0.25">
      <c r="A4815">
        <v>1877</v>
      </c>
      <c r="B4815" s="16">
        <v>43586</v>
      </c>
      <c r="C4815" t="s">
        <v>180</v>
      </c>
      <c r="D4815">
        <v>4899387.3232500004</v>
      </c>
      <c r="E4815" t="s">
        <v>330</v>
      </c>
    </row>
    <row r="4816" spans="1:5" x14ac:dyDescent="0.25">
      <c r="A4816">
        <v>1877</v>
      </c>
      <c r="B4816" s="16">
        <v>43617</v>
      </c>
      <c r="C4816" t="s">
        <v>180</v>
      </c>
      <c r="D4816">
        <v>4899387.3232500004</v>
      </c>
      <c r="E4816" t="s">
        <v>330</v>
      </c>
    </row>
    <row r="4817" spans="1:5" x14ac:dyDescent="0.25">
      <c r="A4817">
        <v>1877</v>
      </c>
      <c r="B4817" s="16">
        <v>43647</v>
      </c>
      <c r="C4817" t="s">
        <v>180</v>
      </c>
      <c r="D4817">
        <v>4899387.3232500004</v>
      </c>
      <c r="E4817" t="s">
        <v>330</v>
      </c>
    </row>
    <row r="4818" spans="1:5" x14ac:dyDescent="0.25">
      <c r="A4818">
        <v>1877</v>
      </c>
      <c r="B4818" s="16">
        <v>43678</v>
      </c>
      <c r="C4818" t="s">
        <v>180</v>
      </c>
      <c r="D4818">
        <v>4899387.3232500004</v>
      </c>
      <c r="E4818" t="s">
        <v>330</v>
      </c>
    </row>
    <row r="4819" spans="1:5" x14ac:dyDescent="0.25">
      <c r="A4819">
        <v>1877</v>
      </c>
      <c r="B4819" s="16">
        <v>43709</v>
      </c>
      <c r="C4819" t="s">
        <v>180</v>
      </c>
      <c r="D4819">
        <v>4899387.3232500004</v>
      </c>
      <c r="E4819" t="s">
        <v>330</v>
      </c>
    </row>
    <row r="4820" spans="1:5" x14ac:dyDescent="0.25">
      <c r="A4820">
        <v>1877</v>
      </c>
      <c r="B4820" s="16">
        <v>43739</v>
      </c>
      <c r="C4820" t="s">
        <v>180</v>
      </c>
      <c r="D4820">
        <v>4899387.3232500004</v>
      </c>
      <c r="E4820" t="s">
        <v>330</v>
      </c>
    </row>
    <row r="4821" spans="1:5" x14ac:dyDescent="0.25">
      <c r="A4821">
        <v>1877</v>
      </c>
      <c r="B4821" s="16">
        <v>43770</v>
      </c>
      <c r="C4821" t="s">
        <v>180</v>
      </c>
      <c r="D4821">
        <v>4899387.3232500004</v>
      </c>
      <c r="E4821" t="s">
        <v>330</v>
      </c>
    </row>
    <row r="4822" spans="1:5" x14ac:dyDescent="0.25">
      <c r="A4822">
        <v>1877</v>
      </c>
      <c r="B4822" s="16">
        <v>43800</v>
      </c>
      <c r="C4822" t="s">
        <v>180</v>
      </c>
      <c r="D4822">
        <v>4899387.3232500004</v>
      </c>
      <c r="E4822" t="s">
        <v>330</v>
      </c>
    </row>
    <row r="4823" spans="1:5" x14ac:dyDescent="0.25">
      <c r="A4823">
        <v>1877</v>
      </c>
      <c r="B4823" s="16">
        <v>43466</v>
      </c>
      <c r="C4823" t="s">
        <v>181</v>
      </c>
      <c r="D4823">
        <v>4899387.3232500004</v>
      </c>
      <c r="E4823" t="s">
        <v>330</v>
      </c>
    </row>
    <row r="4824" spans="1:5" x14ac:dyDescent="0.25">
      <c r="A4824">
        <v>1877</v>
      </c>
      <c r="B4824" s="16">
        <v>43497</v>
      </c>
      <c r="C4824" t="s">
        <v>181</v>
      </c>
      <c r="D4824">
        <v>4899387.3232500004</v>
      </c>
      <c r="E4824" t="s">
        <v>330</v>
      </c>
    </row>
    <row r="4825" spans="1:5" x14ac:dyDescent="0.25">
      <c r="A4825">
        <v>1877</v>
      </c>
      <c r="B4825" s="16">
        <v>43525</v>
      </c>
      <c r="C4825" t="s">
        <v>181</v>
      </c>
      <c r="D4825">
        <v>4899387.3232500004</v>
      </c>
      <c r="E4825" t="s">
        <v>330</v>
      </c>
    </row>
    <row r="4826" spans="1:5" x14ac:dyDescent="0.25">
      <c r="A4826">
        <v>1877</v>
      </c>
      <c r="B4826" s="16">
        <v>43556</v>
      </c>
      <c r="C4826" t="s">
        <v>181</v>
      </c>
      <c r="D4826">
        <v>4899387.3232500004</v>
      </c>
      <c r="E4826" t="s">
        <v>330</v>
      </c>
    </row>
    <row r="4827" spans="1:5" x14ac:dyDescent="0.25">
      <c r="A4827">
        <v>1877</v>
      </c>
      <c r="B4827" s="16">
        <v>43586</v>
      </c>
      <c r="C4827" t="s">
        <v>181</v>
      </c>
      <c r="D4827">
        <v>4899387.3232500004</v>
      </c>
      <c r="E4827" t="s">
        <v>330</v>
      </c>
    </row>
    <row r="4828" spans="1:5" x14ac:dyDescent="0.25">
      <c r="A4828">
        <v>1877</v>
      </c>
      <c r="B4828" s="16">
        <v>43617</v>
      </c>
      <c r="C4828" t="s">
        <v>181</v>
      </c>
      <c r="D4828">
        <v>4899387.3232500004</v>
      </c>
      <c r="E4828" t="s">
        <v>330</v>
      </c>
    </row>
    <row r="4829" spans="1:5" x14ac:dyDescent="0.25">
      <c r="A4829">
        <v>1877</v>
      </c>
      <c r="B4829" s="16">
        <v>43647</v>
      </c>
      <c r="C4829" t="s">
        <v>181</v>
      </c>
      <c r="D4829">
        <v>4899387.3232500004</v>
      </c>
      <c r="E4829" t="s">
        <v>330</v>
      </c>
    </row>
    <row r="4830" spans="1:5" x14ac:dyDescent="0.25">
      <c r="A4830">
        <v>1877</v>
      </c>
      <c r="B4830" s="16">
        <v>43466</v>
      </c>
      <c r="C4830" t="s">
        <v>135</v>
      </c>
      <c r="D4830">
        <v>3629175.7949999999</v>
      </c>
      <c r="E4830" t="s">
        <v>330</v>
      </c>
    </row>
    <row r="4831" spans="1:5" x14ac:dyDescent="0.25">
      <c r="A4831">
        <v>1877</v>
      </c>
      <c r="B4831" s="16">
        <v>43497</v>
      </c>
      <c r="C4831" t="s">
        <v>135</v>
      </c>
      <c r="D4831">
        <v>3629175.7949999999</v>
      </c>
      <c r="E4831" t="s">
        <v>330</v>
      </c>
    </row>
    <row r="4832" spans="1:5" x14ac:dyDescent="0.25">
      <c r="A4832">
        <v>1877</v>
      </c>
      <c r="B4832" s="16">
        <v>43525</v>
      </c>
      <c r="C4832" t="s">
        <v>135</v>
      </c>
      <c r="D4832">
        <v>3629175.7949999999</v>
      </c>
      <c r="E4832" t="s">
        <v>330</v>
      </c>
    </row>
    <row r="4833" spans="1:5" x14ac:dyDescent="0.25">
      <c r="A4833">
        <v>1877</v>
      </c>
      <c r="B4833" s="16">
        <v>43556</v>
      </c>
      <c r="C4833" t="s">
        <v>135</v>
      </c>
      <c r="D4833">
        <v>3629175.7949999999</v>
      </c>
      <c r="E4833" t="s">
        <v>330</v>
      </c>
    </row>
    <row r="4834" spans="1:5" x14ac:dyDescent="0.25">
      <c r="A4834">
        <v>1877</v>
      </c>
      <c r="B4834" s="16">
        <v>43586</v>
      </c>
      <c r="C4834" t="s">
        <v>135</v>
      </c>
      <c r="D4834">
        <v>3629175.7949999999</v>
      </c>
      <c r="E4834" t="s">
        <v>330</v>
      </c>
    </row>
    <row r="4835" spans="1:5" x14ac:dyDescent="0.25">
      <c r="A4835">
        <v>1877</v>
      </c>
      <c r="B4835" s="16">
        <v>43617</v>
      </c>
      <c r="C4835" t="s">
        <v>135</v>
      </c>
      <c r="D4835">
        <v>3629175.7949999999</v>
      </c>
      <c r="E4835" t="s">
        <v>330</v>
      </c>
    </row>
    <row r="4836" spans="1:5" x14ac:dyDescent="0.25">
      <c r="A4836">
        <v>1877</v>
      </c>
      <c r="B4836" s="16">
        <v>43647</v>
      </c>
      <c r="C4836" t="s">
        <v>135</v>
      </c>
      <c r="D4836">
        <v>3629175.7949999999</v>
      </c>
      <c r="E4836" t="s">
        <v>330</v>
      </c>
    </row>
    <row r="4837" spans="1:5" x14ac:dyDescent="0.25">
      <c r="A4837">
        <v>1877</v>
      </c>
      <c r="B4837" s="16">
        <v>43678</v>
      </c>
      <c r="C4837" t="s">
        <v>135</v>
      </c>
      <c r="D4837">
        <v>3629175.7949999999</v>
      </c>
      <c r="E4837" t="s">
        <v>330</v>
      </c>
    </row>
    <row r="4838" spans="1:5" x14ac:dyDescent="0.25">
      <c r="A4838">
        <v>1877</v>
      </c>
      <c r="B4838" s="16">
        <v>43466</v>
      </c>
      <c r="C4838" t="s">
        <v>182</v>
      </c>
      <c r="D4838">
        <v>3690632.1209625001</v>
      </c>
      <c r="E4838" t="s">
        <v>330</v>
      </c>
    </row>
    <row r="4839" spans="1:5" x14ac:dyDescent="0.25">
      <c r="A4839">
        <v>1877</v>
      </c>
      <c r="B4839" s="16">
        <v>43497</v>
      </c>
      <c r="C4839" t="s">
        <v>182</v>
      </c>
      <c r="D4839">
        <v>3690632.1209625001</v>
      </c>
      <c r="E4839" t="s">
        <v>330</v>
      </c>
    </row>
    <row r="4840" spans="1:5" x14ac:dyDescent="0.25">
      <c r="A4840">
        <v>1877</v>
      </c>
      <c r="B4840" s="16">
        <v>43525</v>
      </c>
      <c r="C4840" t="s">
        <v>182</v>
      </c>
      <c r="D4840">
        <v>3690632.1209625001</v>
      </c>
      <c r="E4840" t="s">
        <v>330</v>
      </c>
    </row>
    <row r="4841" spans="1:5" x14ac:dyDescent="0.25">
      <c r="A4841">
        <v>1877</v>
      </c>
      <c r="B4841" s="16">
        <v>43556</v>
      </c>
      <c r="C4841" t="s">
        <v>182</v>
      </c>
      <c r="D4841">
        <v>3690632.1209625001</v>
      </c>
      <c r="E4841" t="s">
        <v>330</v>
      </c>
    </row>
    <row r="4842" spans="1:5" x14ac:dyDescent="0.25">
      <c r="A4842">
        <v>1877</v>
      </c>
      <c r="B4842" s="16">
        <v>43586</v>
      </c>
      <c r="C4842" t="s">
        <v>182</v>
      </c>
      <c r="D4842">
        <v>3690632.1209625001</v>
      </c>
      <c r="E4842" t="s">
        <v>330</v>
      </c>
    </row>
    <row r="4843" spans="1:5" x14ac:dyDescent="0.25">
      <c r="A4843">
        <v>1877</v>
      </c>
      <c r="B4843" s="16">
        <v>43617</v>
      </c>
      <c r="C4843" t="s">
        <v>182</v>
      </c>
      <c r="D4843">
        <v>3690632.1209625001</v>
      </c>
      <c r="E4843" t="s">
        <v>330</v>
      </c>
    </row>
    <row r="4844" spans="1:5" x14ac:dyDescent="0.25">
      <c r="A4844">
        <v>1877</v>
      </c>
      <c r="B4844" s="16">
        <v>43647</v>
      </c>
      <c r="C4844" t="s">
        <v>182</v>
      </c>
      <c r="D4844">
        <v>3690632.1209625001</v>
      </c>
      <c r="E4844" t="s">
        <v>330</v>
      </c>
    </row>
    <row r="4845" spans="1:5" x14ac:dyDescent="0.25">
      <c r="A4845">
        <v>1877</v>
      </c>
      <c r="B4845" s="16">
        <v>43678</v>
      </c>
      <c r="C4845" t="s">
        <v>182</v>
      </c>
      <c r="D4845">
        <v>3690632.1209625001</v>
      </c>
      <c r="E4845" t="s">
        <v>330</v>
      </c>
    </row>
    <row r="4846" spans="1:5" x14ac:dyDescent="0.25">
      <c r="A4846">
        <v>1877</v>
      </c>
      <c r="B4846" s="16">
        <v>43709</v>
      </c>
      <c r="C4846" t="s">
        <v>182</v>
      </c>
      <c r="D4846">
        <v>3690632.1209625001</v>
      </c>
      <c r="E4846" t="s">
        <v>330</v>
      </c>
    </row>
    <row r="4847" spans="1:5" x14ac:dyDescent="0.25">
      <c r="A4847">
        <v>1877</v>
      </c>
      <c r="B4847" s="16">
        <v>43739</v>
      </c>
      <c r="C4847" t="s">
        <v>182</v>
      </c>
      <c r="D4847">
        <v>3690632.1209625001</v>
      </c>
      <c r="E4847" t="s">
        <v>330</v>
      </c>
    </row>
    <row r="4848" spans="1:5" x14ac:dyDescent="0.25">
      <c r="A4848">
        <v>1877</v>
      </c>
      <c r="B4848" s="16">
        <v>43466</v>
      </c>
      <c r="C4848" t="s">
        <v>24</v>
      </c>
      <c r="D4848">
        <v>4935876.75</v>
      </c>
      <c r="E4848" t="s">
        <v>330</v>
      </c>
    </row>
    <row r="4849" spans="1:5" x14ac:dyDescent="0.25">
      <c r="A4849">
        <v>1877</v>
      </c>
      <c r="B4849" s="16">
        <v>43497</v>
      </c>
      <c r="C4849" t="s">
        <v>24</v>
      </c>
      <c r="D4849">
        <v>4935876.75</v>
      </c>
      <c r="E4849" t="s">
        <v>330</v>
      </c>
    </row>
    <row r="4850" spans="1:5" x14ac:dyDescent="0.25">
      <c r="A4850">
        <v>1877</v>
      </c>
      <c r="B4850" s="16">
        <v>43525</v>
      </c>
      <c r="C4850" t="s">
        <v>24</v>
      </c>
      <c r="D4850">
        <v>4935876.75</v>
      </c>
      <c r="E4850" t="s">
        <v>330</v>
      </c>
    </row>
    <row r="4851" spans="1:5" x14ac:dyDescent="0.25">
      <c r="A4851">
        <v>1877</v>
      </c>
      <c r="B4851" s="16">
        <v>43556</v>
      </c>
      <c r="C4851" t="s">
        <v>24</v>
      </c>
      <c r="D4851">
        <v>4935876.75</v>
      </c>
      <c r="E4851" t="s">
        <v>330</v>
      </c>
    </row>
    <row r="4852" spans="1:5" x14ac:dyDescent="0.25">
      <c r="A4852">
        <v>1877</v>
      </c>
      <c r="B4852" s="16">
        <v>43586</v>
      </c>
      <c r="C4852" t="s">
        <v>24</v>
      </c>
      <c r="D4852">
        <v>4935876.75</v>
      </c>
      <c r="E4852" t="s">
        <v>330</v>
      </c>
    </row>
    <row r="4853" spans="1:5" x14ac:dyDescent="0.25">
      <c r="A4853">
        <v>1877</v>
      </c>
      <c r="B4853" s="16">
        <v>43617</v>
      </c>
      <c r="C4853" t="s">
        <v>24</v>
      </c>
      <c r="D4853">
        <v>4935876.75</v>
      </c>
      <c r="E4853" t="s">
        <v>330</v>
      </c>
    </row>
    <row r="4854" spans="1:5" x14ac:dyDescent="0.25">
      <c r="A4854">
        <v>1877</v>
      </c>
      <c r="B4854" s="16">
        <v>43647</v>
      </c>
      <c r="C4854" t="s">
        <v>24</v>
      </c>
      <c r="D4854">
        <v>4935876.75</v>
      </c>
      <c r="E4854" t="s">
        <v>330</v>
      </c>
    </row>
    <row r="4855" spans="1:5" x14ac:dyDescent="0.25">
      <c r="A4855">
        <v>1877</v>
      </c>
      <c r="B4855" s="16">
        <v>43678</v>
      </c>
      <c r="C4855" t="s">
        <v>24</v>
      </c>
      <c r="D4855">
        <v>4935876.75</v>
      </c>
      <c r="E4855" t="s">
        <v>330</v>
      </c>
    </row>
    <row r="4856" spans="1:5" x14ac:dyDescent="0.25">
      <c r="A4856">
        <v>1856</v>
      </c>
      <c r="B4856" s="16">
        <v>43466</v>
      </c>
      <c r="C4856" t="s">
        <v>24</v>
      </c>
      <c r="D4856">
        <v>3771772.7985</v>
      </c>
      <c r="E4856" t="s">
        <v>330</v>
      </c>
    </row>
    <row r="4857" spans="1:5" x14ac:dyDescent="0.25">
      <c r="A4857">
        <v>1856</v>
      </c>
      <c r="B4857" s="16">
        <v>43497</v>
      </c>
      <c r="C4857" t="s">
        <v>24</v>
      </c>
      <c r="D4857">
        <v>3771772.7985</v>
      </c>
      <c r="E4857" t="s">
        <v>330</v>
      </c>
    </row>
    <row r="4858" spans="1:5" x14ac:dyDescent="0.25">
      <c r="A4858">
        <v>1856</v>
      </c>
      <c r="B4858" s="16">
        <v>43525</v>
      </c>
      <c r="C4858" t="s">
        <v>24</v>
      </c>
      <c r="D4858">
        <v>3771772.7985</v>
      </c>
      <c r="E4858" t="s">
        <v>330</v>
      </c>
    </row>
    <row r="4859" spans="1:5" x14ac:dyDescent="0.25">
      <c r="A4859">
        <v>1856</v>
      </c>
      <c r="B4859" s="16">
        <v>43556</v>
      </c>
      <c r="C4859" t="s">
        <v>24</v>
      </c>
      <c r="D4859">
        <v>3771772.7985</v>
      </c>
      <c r="E4859" t="s">
        <v>330</v>
      </c>
    </row>
    <row r="4860" spans="1:5" x14ac:dyDescent="0.25">
      <c r="A4860">
        <v>1856</v>
      </c>
      <c r="B4860" s="16">
        <v>43586</v>
      </c>
      <c r="C4860" t="s">
        <v>24</v>
      </c>
      <c r="D4860">
        <v>3771772.7985</v>
      </c>
      <c r="E4860" t="s">
        <v>330</v>
      </c>
    </row>
    <row r="4861" spans="1:5" x14ac:dyDescent="0.25">
      <c r="A4861">
        <v>1856</v>
      </c>
      <c r="B4861" s="16">
        <v>43617</v>
      </c>
      <c r="C4861" t="s">
        <v>24</v>
      </c>
      <c r="D4861">
        <v>3771772.7985</v>
      </c>
      <c r="E4861" t="s">
        <v>330</v>
      </c>
    </row>
    <row r="4862" spans="1:5" x14ac:dyDescent="0.25">
      <c r="A4862">
        <v>1856</v>
      </c>
      <c r="B4862" s="16">
        <v>43647</v>
      </c>
      <c r="C4862" t="s">
        <v>24</v>
      </c>
      <c r="D4862">
        <v>3771772.7985</v>
      </c>
      <c r="E4862" t="s">
        <v>330</v>
      </c>
    </row>
    <row r="4863" spans="1:5" x14ac:dyDescent="0.25">
      <c r="A4863">
        <v>1856</v>
      </c>
      <c r="B4863" s="16">
        <v>43678</v>
      </c>
      <c r="C4863" t="s">
        <v>24</v>
      </c>
      <c r="D4863">
        <v>3771772.7985</v>
      </c>
      <c r="E4863" t="s">
        <v>330</v>
      </c>
    </row>
    <row r="4864" spans="1:5" x14ac:dyDescent="0.25">
      <c r="A4864">
        <v>1856</v>
      </c>
      <c r="B4864" s="16">
        <v>43709</v>
      </c>
      <c r="C4864" t="s">
        <v>24</v>
      </c>
      <c r="D4864">
        <v>3771772.7985</v>
      </c>
      <c r="E4864" t="s">
        <v>330</v>
      </c>
    </row>
    <row r="4865" spans="1:5" x14ac:dyDescent="0.25">
      <c r="A4865">
        <v>1856</v>
      </c>
      <c r="B4865" s="16">
        <v>43739</v>
      </c>
      <c r="C4865" t="s">
        <v>24</v>
      </c>
      <c r="D4865">
        <v>3771772.7985</v>
      </c>
      <c r="E4865" t="s">
        <v>330</v>
      </c>
    </row>
    <row r="4866" spans="1:5" x14ac:dyDescent="0.25">
      <c r="A4866">
        <v>1856</v>
      </c>
      <c r="B4866" s="16">
        <v>43770</v>
      </c>
      <c r="C4866" t="s">
        <v>24</v>
      </c>
      <c r="D4866">
        <v>3771772.7985</v>
      </c>
      <c r="E4866" t="s">
        <v>330</v>
      </c>
    </row>
    <row r="4867" spans="1:5" x14ac:dyDescent="0.25">
      <c r="A4867">
        <v>1856</v>
      </c>
      <c r="B4867" s="16">
        <v>43800</v>
      </c>
      <c r="C4867" t="s">
        <v>24</v>
      </c>
      <c r="D4867">
        <v>3771772.7985</v>
      </c>
      <c r="E4867" t="s">
        <v>330</v>
      </c>
    </row>
    <row r="4868" spans="1:5" x14ac:dyDescent="0.25">
      <c r="A4868">
        <v>1856</v>
      </c>
      <c r="B4868" s="16">
        <v>43831</v>
      </c>
      <c r="C4868" t="s">
        <v>24</v>
      </c>
      <c r="D4868">
        <v>3771772.7985</v>
      </c>
      <c r="E4868" t="s">
        <v>330</v>
      </c>
    </row>
    <row r="4869" spans="1:5" x14ac:dyDescent="0.25">
      <c r="A4869">
        <v>1856</v>
      </c>
      <c r="B4869" s="16">
        <v>43862</v>
      </c>
      <c r="C4869" t="s">
        <v>24</v>
      </c>
      <c r="D4869">
        <v>3771772.7985</v>
      </c>
      <c r="E4869" t="s">
        <v>330</v>
      </c>
    </row>
    <row r="4870" spans="1:5" x14ac:dyDescent="0.25">
      <c r="A4870">
        <v>1856</v>
      </c>
      <c r="B4870" s="16">
        <v>43891</v>
      </c>
      <c r="C4870" t="s">
        <v>24</v>
      </c>
      <c r="D4870">
        <v>3771772.7985</v>
      </c>
      <c r="E4870" t="s">
        <v>330</v>
      </c>
    </row>
    <row r="4871" spans="1:5" x14ac:dyDescent="0.25">
      <c r="A4871">
        <v>1856</v>
      </c>
      <c r="B4871" s="16">
        <v>43922</v>
      </c>
      <c r="C4871" t="s">
        <v>24</v>
      </c>
      <c r="D4871">
        <v>3771772.7985</v>
      </c>
      <c r="E4871" t="s">
        <v>330</v>
      </c>
    </row>
    <row r="4872" spans="1:5" x14ac:dyDescent="0.25">
      <c r="A4872">
        <v>1856</v>
      </c>
      <c r="B4872" s="16">
        <v>43952</v>
      </c>
      <c r="C4872" t="s">
        <v>24</v>
      </c>
      <c r="D4872">
        <v>3771772.7985</v>
      </c>
      <c r="E4872" t="s">
        <v>330</v>
      </c>
    </row>
    <row r="4873" spans="1:5" x14ac:dyDescent="0.25">
      <c r="A4873">
        <v>1856</v>
      </c>
      <c r="B4873" s="16">
        <v>43983</v>
      </c>
      <c r="C4873" t="s">
        <v>24</v>
      </c>
      <c r="D4873">
        <v>3771772.7985</v>
      </c>
      <c r="E4873" t="s">
        <v>330</v>
      </c>
    </row>
    <row r="4874" spans="1:5" x14ac:dyDescent="0.25">
      <c r="A4874">
        <v>1856</v>
      </c>
      <c r="B4874" s="16">
        <v>44013</v>
      </c>
      <c r="C4874" t="s">
        <v>24</v>
      </c>
      <c r="D4874">
        <v>3771772.7985</v>
      </c>
      <c r="E4874" t="s">
        <v>330</v>
      </c>
    </row>
    <row r="4875" spans="1:5" x14ac:dyDescent="0.25">
      <c r="A4875">
        <v>1856</v>
      </c>
      <c r="B4875" s="16">
        <v>44044</v>
      </c>
      <c r="C4875" t="s">
        <v>24</v>
      </c>
      <c r="D4875">
        <v>3771772.7985</v>
      </c>
      <c r="E4875" t="s">
        <v>330</v>
      </c>
    </row>
    <row r="4876" spans="1:5" x14ac:dyDescent="0.25">
      <c r="A4876">
        <v>1856</v>
      </c>
      <c r="B4876" s="16">
        <v>44075</v>
      </c>
      <c r="C4876" t="s">
        <v>24</v>
      </c>
      <c r="D4876">
        <v>3771772.7985</v>
      </c>
      <c r="E4876" t="s">
        <v>330</v>
      </c>
    </row>
    <row r="4877" spans="1:5" x14ac:dyDescent="0.25">
      <c r="A4877">
        <v>1856</v>
      </c>
      <c r="B4877" s="16">
        <v>44105</v>
      </c>
      <c r="C4877" t="s">
        <v>24</v>
      </c>
      <c r="D4877">
        <v>3771772.7985</v>
      </c>
      <c r="E4877" t="s">
        <v>330</v>
      </c>
    </row>
    <row r="4878" spans="1:5" x14ac:dyDescent="0.25">
      <c r="A4878">
        <v>1856</v>
      </c>
      <c r="B4878" s="16">
        <v>44136</v>
      </c>
      <c r="C4878" t="s">
        <v>24</v>
      </c>
      <c r="D4878">
        <v>3771772.7985</v>
      </c>
      <c r="E4878" t="s">
        <v>330</v>
      </c>
    </row>
    <row r="4879" spans="1:5" x14ac:dyDescent="0.25">
      <c r="A4879">
        <v>1856</v>
      </c>
      <c r="B4879" s="16">
        <v>44166</v>
      </c>
      <c r="C4879" t="s">
        <v>24</v>
      </c>
      <c r="D4879">
        <v>3771772.7985</v>
      </c>
      <c r="E4879" t="s">
        <v>330</v>
      </c>
    </row>
    <row r="4880" spans="1:5" x14ac:dyDescent="0.25">
      <c r="A4880">
        <v>1856</v>
      </c>
      <c r="B4880" s="16">
        <v>44197</v>
      </c>
      <c r="C4880" t="s">
        <v>24</v>
      </c>
      <c r="D4880">
        <v>3771772.7985</v>
      </c>
      <c r="E4880" t="s">
        <v>330</v>
      </c>
    </row>
    <row r="4881" spans="1:5" x14ac:dyDescent="0.25">
      <c r="A4881">
        <v>1829</v>
      </c>
      <c r="B4881" s="16">
        <v>43466</v>
      </c>
      <c r="C4881" t="s">
        <v>143</v>
      </c>
      <c r="D4881">
        <v>6004530</v>
      </c>
      <c r="E4881" t="s">
        <v>330</v>
      </c>
    </row>
    <row r="4882" spans="1:5" x14ac:dyDescent="0.25">
      <c r="A4882">
        <v>1829</v>
      </c>
      <c r="B4882" s="16">
        <v>43497</v>
      </c>
      <c r="C4882" t="s">
        <v>143</v>
      </c>
      <c r="D4882">
        <v>6004530</v>
      </c>
      <c r="E4882" t="s">
        <v>330</v>
      </c>
    </row>
    <row r="4883" spans="1:5" x14ac:dyDescent="0.25">
      <c r="A4883">
        <v>1829</v>
      </c>
      <c r="B4883" s="16">
        <v>43525</v>
      </c>
      <c r="C4883" t="s">
        <v>143</v>
      </c>
      <c r="D4883">
        <v>6004530</v>
      </c>
      <c r="E4883" t="s">
        <v>330</v>
      </c>
    </row>
    <row r="4884" spans="1:5" x14ac:dyDescent="0.25">
      <c r="A4884">
        <v>1829</v>
      </c>
      <c r="B4884" s="16">
        <v>43556</v>
      </c>
      <c r="C4884" t="s">
        <v>143</v>
      </c>
      <c r="D4884">
        <v>6004530</v>
      </c>
      <c r="E4884" t="s">
        <v>330</v>
      </c>
    </row>
    <row r="4885" spans="1:5" x14ac:dyDescent="0.25">
      <c r="A4885">
        <v>1829</v>
      </c>
      <c r="B4885" s="16">
        <v>43586</v>
      </c>
      <c r="C4885" t="s">
        <v>143</v>
      </c>
      <c r="D4885">
        <v>6004530</v>
      </c>
      <c r="E4885" t="s">
        <v>330</v>
      </c>
    </row>
    <row r="4886" spans="1:5" x14ac:dyDescent="0.25">
      <c r="A4886">
        <v>1829</v>
      </c>
      <c r="B4886" s="16">
        <v>43617</v>
      </c>
      <c r="C4886" t="s">
        <v>143</v>
      </c>
      <c r="D4886">
        <v>6004530</v>
      </c>
      <c r="E4886" t="s">
        <v>330</v>
      </c>
    </row>
    <row r="4887" spans="1:5" x14ac:dyDescent="0.25">
      <c r="A4887">
        <v>1829</v>
      </c>
      <c r="B4887" s="16">
        <v>43647</v>
      </c>
      <c r="C4887" t="s">
        <v>143</v>
      </c>
      <c r="D4887">
        <v>6004530</v>
      </c>
      <c r="E4887" t="s">
        <v>330</v>
      </c>
    </row>
    <row r="4888" spans="1:5" x14ac:dyDescent="0.25">
      <c r="A4888">
        <v>1829</v>
      </c>
      <c r="B4888" s="16">
        <v>43678</v>
      </c>
      <c r="C4888" t="s">
        <v>143</v>
      </c>
      <c r="D4888">
        <v>6004530</v>
      </c>
      <c r="E4888" t="s">
        <v>330</v>
      </c>
    </row>
    <row r="4889" spans="1:5" x14ac:dyDescent="0.25">
      <c r="A4889">
        <v>1829</v>
      </c>
      <c r="B4889" s="16">
        <v>43709</v>
      </c>
      <c r="C4889" t="s">
        <v>143</v>
      </c>
      <c r="D4889">
        <v>6004530</v>
      </c>
      <c r="E4889" t="s">
        <v>330</v>
      </c>
    </row>
    <row r="4890" spans="1:5" x14ac:dyDescent="0.25">
      <c r="A4890">
        <v>1829</v>
      </c>
      <c r="B4890" s="16">
        <v>43739</v>
      </c>
      <c r="C4890" t="s">
        <v>143</v>
      </c>
      <c r="D4890">
        <v>6004530</v>
      </c>
      <c r="E4890" t="s">
        <v>330</v>
      </c>
    </row>
    <row r="4891" spans="1:5" x14ac:dyDescent="0.25">
      <c r="A4891">
        <v>1829</v>
      </c>
      <c r="B4891" s="16">
        <v>43770</v>
      </c>
      <c r="C4891" t="s">
        <v>143</v>
      </c>
      <c r="D4891">
        <v>6004530</v>
      </c>
      <c r="E4891" t="s">
        <v>330</v>
      </c>
    </row>
    <row r="4892" spans="1:5" x14ac:dyDescent="0.25">
      <c r="A4892">
        <v>1829</v>
      </c>
      <c r="B4892" s="16">
        <v>43800</v>
      </c>
      <c r="C4892" t="s">
        <v>143</v>
      </c>
      <c r="D4892">
        <v>6004530</v>
      </c>
      <c r="E4892" t="s">
        <v>330</v>
      </c>
    </row>
    <row r="4893" spans="1:5" x14ac:dyDescent="0.25">
      <c r="A4893">
        <v>1829</v>
      </c>
      <c r="B4893" s="16">
        <v>43831</v>
      </c>
      <c r="C4893" t="s">
        <v>143</v>
      </c>
      <c r="D4893">
        <v>6004530</v>
      </c>
      <c r="E4893" t="s">
        <v>330</v>
      </c>
    </row>
    <row r="4894" spans="1:5" x14ac:dyDescent="0.25">
      <c r="A4894">
        <v>1829</v>
      </c>
      <c r="B4894" s="16">
        <v>43862</v>
      </c>
      <c r="C4894" t="s">
        <v>143</v>
      </c>
      <c r="D4894">
        <v>6004530</v>
      </c>
      <c r="E4894" t="s">
        <v>330</v>
      </c>
    </row>
    <row r="4895" spans="1:5" x14ac:dyDescent="0.25">
      <c r="A4895">
        <v>1829</v>
      </c>
      <c r="B4895" s="16">
        <v>43891</v>
      </c>
      <c r="C4895" t="s">
        <v>143</v>
      </c>
      <c r="D4895">
        <v>6004530</v>
      </c>
      <c r="E4895" t="s">
        <v>330</v>
      </c>
    </row>
    <row r="4896" spans="1:5" x14ac:dyDescent="0.25">
      <c r="A4896">
        <v>1818</v>
      </c>
      <c r="B4896" s="16">
        <v>43466</v>
      </c>
      <c r="C4896" t="s">
        <v>16</v>
      </c>
      <c r="D4896">
        <v>380362.5</v>
      </c>
      <c r="E4896" t="s">
        <v>330</v>
      </c>
    </row>
    <row r="4897" spans="1:5" x14ac:dyDescent="0.25">
      <c r="A4897">
        <v>1818</v>
      </c>
      <c r="B4897" s="16">
        <v>43497</v>
      </c>
      <c r="C4897" t="s">
        <v>16</v>
      </c>
      <c r="D4897">
        <v>380362.5</v>
      </c>
      <c r="E4897" t="s">
        <v>330</v>
      </c>
    </row>
    <row r="4898" spans="1:5" x14ac:dyDescent="0.25">
      <c r="A4898">
        <v>1818</v>
      </c>
      <c r="B4898" s="16">
        <v>43525</v>
      </c>
      <c r="C4898" t="s">
        <v>16</v>
      </c>
      <c r="D4898">
        <v>380362.5</v>
      </c>
      <c r="E4898" t="s">
        <v>330</v>
      </c>
    </row>
    <row r="4899" spans="1:5" x14ac:dyDescent="0.25">
      <c r="A4899">
        <v>1818</v>
      </c>
      <c r="B4899" s="16">
        <v>43556</v>
      </c>
      <c r="C4899" t="s">
        <v>16</v>
      </c>
      <c r="D4899">
        <v>380362.5</v>
      </c>
      <c r="E4899" t="s">
        <v>330</v>
      </c>
    </row>
    <row r="4900" spans="1:5" x14ac:dyDescent="0.25">
      <c r="A4900">
        <v>1818</v>
      </c>
      <c r="B4900" s="16">
        <v>43586</v>
      </c>
      <c r="C4900" t="s">
        <v>16</v>
      </c>
      <c r="D4900">
        <v>380362.5</v>
      </c>
      <c r="E4900" t="s">
        <v>330</v>
      </c>
    </row>
    <row r="4901" spans="1:5" x14ac:dyDescent="0.25">
      <c r="A4901">
        <v>1818</v>
      </c>
      <c r="B4901" s="16">
        <v>43617</v>
      </c>
      <c r="C4901" t="s">
        <v>16</v>
      </c>
      <c r="D4901">
        <v>380362.5</v>
      </c>
      <c r="E4901" t="s">
        <v>330</v>
      </c>
    </row>
    <row r="4902" spans="1:5" x14ac:dyDescent="0.25">
      <c r="A4902">
        <v>1818</v>
      </c>
      <c r="B4902" s="16">
        <v>43647</v>
      </c>
      <c r="C4902" t="s">
        <v>16</v>
      </c>
      <c r="D4902">
        <v>380362.5</v>
      </c>
      <c r="E4902" t="s">
        <v>330</v>
      </c>
    </row>
    <row r="4903" spans="1:5" x14ac:dyDescent="0.25">
      <c r="A4903">
        <v>1818</v>
      </c>
      <c r="B4903" s="16">
        <v>43678</v>
      </c>
      <c r="C4903" t="s">
        <v>16</v>
      </c>
      <c r="D4903">
        <v>380362.5</v>
      </c>
      <c r="E4903" t="s">
        <v>330</v>
      </c>
    </row>
    <row r="4904" spans="1:5" x14ac:dyDescent="0.25">
      <c r="A4904">
        <v>1753</v>
      </c>
      <c r="B4904" s="16">
        <v>43466</v>
      </c>
      <c r="C4904" t="s">
        <v>122</v>
      </c>
      <c r="D4904">
        <v>7324096.5</v>
      </c>
      <c r="E4904" t="s">
        <v>330</v>
      </c>
    </row>
    <row r="4905" spans="1:5" x14ac:dyDescent="0.25">
      <c r="A4905">
        <v>1753</v>
      </c>
      <c r="B4905" s="16">
        <v>43466</v>
      </c>
      <c r="C4905" t="s">
        <v>59</v>
      </c>
      <c r="D4905">
        <v>2504250</v>
      </c>
      <c r="E4905" t="s">
        <v>330</v>
      </c>
    </row>
    <row r="4906" spans="1:5" x14ac:dyDescent="0.25">
      <c r="A4906">
        <v>1753</v>
      </c>
      <c r="B4906" s="16">
        <v>43466</v>
      </c>
      <c r="C4906" t="s">
        <v>24</v>
      </c>
      <c r="D4906">
        <v>4165803.1799999997</v>
      </c>
      <c r="E4906" t="s">
        <v>330</v>
      </c>
    </row>
    <row r="4907" spans="1:5" x14ac:dyDescent="0.25">
      <c r="A4907">
        <v>1753</v>
      </c>
      <c r="B4907" s="16">
        <v>43466</v>
      </c>
      <c r="C4907" t="s">
        <v>38</v>
      </c>
      <c r="D4907">
        <v>4165803.1799999997</v>
      </c>
      <c r="E4907" t="s">
        <v>330</v>
      </c>
    </row>
    <row r="4908" spans="1:5" x14ac:dyDescent="0.25">
      <c r="A4908">
        <v>1723</v>
      </c>
      <c r="B4908" s="16">
        <v>43466</v>
      </c>
      <c r="C4908" t="s">
        <v>19</v>
      </c>
      <c r="D4908">
        <v>6085367.1464827517</v>
      </c>
      <c r="E4908" t="s">
        <v>330</v>
      </c>
    </row>
    <row r="4909" spans="1:5" x14ac:dyDescent="0.25">
      <c r="A4909">
        <v>1723</v>
      </c>
      <c r="B4909" s="16">
        <v>43497</v>
      </c>
      <c r="C4909" t="s">
        <v>19</v>
      </c>
      <c r="D4909">
        <v>6085367.1464827517</v>
      </c>
      <c r="E4909" t="s">
        <v>330</v>
      </c>
    </row>
    <row r="4910" spans="1:5" x14ac:dyDescent="0.25">
      <c r="A4910">
        <v>1723</v>
      </c>
      <c r="B4910" s="16">
        <v>43525</v>
      </c>
      <c r="C4910" t="s">
        <v>19</v>
      </c>
      <c r="D4910">
        <v>6085367.1464827517</v>
      </c>
      <c r="E4910" t="s">
        <v>330</v>
      </c>
    </row>
    <row r="4911" spans="1:5" x14ac:dyDescent="0.25">
      <c r="A4911">
        <v>1723</v>
      </c>
      <c r="B4911" s="16">
        <v>43556</v>
      </c>
      <c r="C4911" t="s">
        <v>19</v>
      </c>
      <c r="D4911">
        <v>6085367.1464827517</v>
      </c>
      <c r="E4911" t="s">
        <v>330</v>
      </c>
    </row>
    <row r="4912" spans="1:5" x14ac:dyDescent="0.25">
      <c r="A4912">
        <v>1723</v>
      </c>
      <c r="B4912" s="16">
        <v>43586</v>
      </c>
      <c r="C4912" t="s">
        <v>19</v>
      </c>
      <c r="D4912">
        <v>6085367.1464827517</v>
      </c>
      <c r="E4912" t="s">
        <v>330</v>
      </c>
    </row>
    <row r="4913" spans="1:5" x14ac:dyDescent="0.25">
      <c r="A4913">
        <v>1723</v>
      </c>
      <c r="B4913" s="16">
        <v>43617</v>
      </c>
      <c r="C4913" t="s">
        <v>19</v>
      </c>
      <c r="D4913">
        <v>6085367.1464827517</v>
      </c>
      <c r="E4913" t="s">
        <v>330</v>
      </c>
    </row>
    <row r="4914" spans="1:5" x14ac:dyDescent="0.25">
      <c r="A4914">
        <v>1723</v>
      </c>
      <c r="B4914" s="16">
        <v>43466</v>
      </c>
      <c r="C4914" t="s">
        <v>12</v>
      </c>
      <c r="D4914">
        <v>11269198.072125001</v>
      </c>
      <c r="E4914" t="s">
        <v>330</v>
      </c>
    </row>
    <row r="4915" spans="1:5" x14ac:dyDescent="0.25">
      <c r="A4915">
        <v>1723</v>
      </c>
      <c r="B4915" s="16">
        <v>43497</v>
      </c>
      <c r="C4915" t="s">
        <v>12</v>
      </c>
      <c r="D4915">
        <v>11269198.072125001</v>
      </c>
      <c r="E4915" t="s">
        <v>330</v>
      </c>
    </row>
    <row r="4916" spans="1:5" x14ac:dyDescent="0.25">
      <c r="A4916">
        <v>1723</v>
      </c>
      <c r="B4916" s="16">
        <v>43525</v>
      </c>
      <c r="C4916" t="s">
        <v>12</v>
      </c>
      <c r="D4916">
        <v>11269198.072125001</v>
      </c>
      <c r="E4916" t="s">
        <v>330</v>
      </c>
    </row>
    <row r="4917" spans="1:5" x14ac:dyDescent="0.25">
      <c r="A4917">
        <v>1723</v>
      </c>
      <c r="B4917" s="16">
        <v>43556</v>
      </c>
      <c r="C4917" t="s">
        <v>12</v>
      </c>
      <c r="D4917">
        <v>11269198.072125001</v>
      </c>
      <c r="E4917" t="s">
        <v>330</v>
      </c>
    </row>
    <row r="4918" spans="1:5" x14ac:dyDescent="0.25">
      <c r="A4918">
        <v>1723</v>
      </c>
      <c r="B4918" s="16">
        <v>43586</v>
      </c>
      <c r="C4918" t="s">
        <v>12</v>
      </c>
      <c r="D4918">
        <v>11269198.072125001</v>
      </c>
      <c r="E4918" t="s">
        <v>330</v>
      </c>
    </row>
    <row r="4919" spans="1:5" x14ac:dyDescent="0.25">
      <c r="A4919">
        <v>1723</v>
      </c>
      <c r="B4919" s="16">
        <v>43617</v>
      </c>
      <c r="C4919" t="s">
        <v>12</v>
      </c>
      <c r="D4919">
        <v>11269198.072125001</v>
      </c>
      <c r="E4919" t="s">
        <v>330</v>
      </c>
    </row>
    <row r="4920" spans="1:5" x14ac:dyDescent="0.25">
      <c r="A4920">
        <v>1723</v>
      </c>
      <c r="B4920" s="16">
        <v>43466</v>
      </c>
      <c r="C4920" t="s">
        <v>93</v>
      </c>
      <c r="D4920">
        <v>960135.74937000009</v>
      </c>
      <c r="E4920" t="s">
        <v>330</v>
      </c>
    </row>
    <row r="4921" spans="1:5" x14ac:dyDescent="0.25">
      <c r="A4921">
        <v>1723</v>
      </c>
      <c r="B4921" s="16">
        <v>43497</v>
      </c>
      <c r="C4921" t="s">
        <v>93</v>
      </c>
      <c r="D4921">
        <v>960135.74937000009</v>
      </c>
      <c r="E4921" t="s">
        <v>330</v>
      </c>
    </row>
    <row r="4922" spans="1:5" x14ac:dyDescent="0.25">
      <c r="A4922">
        <v>1723</v>
      </c>
      <c r="B4922" s="16">
        <v>43525</v>
      </c>
      <c r="C4922" t="s">
        <v>93</v>
      </c>
      <c r="D4922">
        <v>960135.74937000009</v>
      </c>
      <c r="E4922" t="s">
        <v>330</v>
      </c>
    </row>
    <row r="4923" spans="1:5" x14ac:dyDescent="0.25">
      <c r="A4923">
        <v>1723</v>
      </c>
      <c r="B4923" s="16">
        <v>43556</v>
      </c>
      <c r="C4923" t="s">
        <v>93</v>
      </c>
      <c r="D4923">
        <v>960135.74937000009</v>
      </c>
      <c r="E4923" t="s">
        <v>330</v>
      </c>
    </row>
    <row r="4924" spans="1:5" x14ac:dyDescent="0.25">
      <c r="A4924">
        <v>1723</v>
      </c>
      <c r="B4924" s="16">
        <v>43586</v>
      </c>
      <c r="C4924" t="s">
        <v>93</v>
      </c>
      <c r="D4924">
        <v>960135.74937000009</v>
      </c>
      <c r="E4924" t="s">
        <v>330</v>
      </c>
    </row>
    <row r="4925" spans="1:5" x14ac:dyDescent="0.25">
      <c r="A4925">
        <v>1723</v>
      </c>
      <c r="B4925" s="16">
        <v>43617</v>
      </c>
      <c r="C4925" t="s">
        <v>93</v>
      </c>
      <c r="D4925">
        <v>960135.74937000009</v>
      </c>
      <c r="E4925" t="s">
        <v>330</v>
      </c>
    </row>
    <row r="4926" spans="1:5" x14ac:dyDescent="0.25">
      <c r="A4926">
        <v>1577</v>
      </c>
      <c r="B4926" s="16">
        <v>43466</v>
      </c>
      <c r="C4926" t="s">
        <v>19</v>
      </c>
      <c r="D4926">
        <v>3685661.2115662512</v>
      </c>
      <c r="E4926" t="s">
        <v>330</v>
      </c>
    </row>
    <row r="4927" spans="1:5" x14ac:dyDescent="0.25">
      <c r="A4927">
        <v>1577</v>
      </c>
      <c r="B4927" s="16">
        <v>43497</v>
      </c>
      <c r="C4927" t="s">
        <v>19</v>
      </c>
      <c r="D4927">
        <v>3685661.2115662512</v>
      </c>
      <c r="E4927" t="s">
        <v>330</v>
      </c>
    </row>
    <row r="4928" spans="1:5" x14ac:dyDescent="0.25">
      <c r="A4928">
        <v>1577</v>
      </c>
      <c r="B4928" s="16">
        <v>43525</v>
      </c>
      <c r="C4928" t="s">
        <v>19</v>
      </c>
      <c r="D4928">
        <v>3685661.2115662512</v>
      </c>
      <c r="E4928" t="s">
        <v>330</v>
      </c>
    </row>
    <row r="4929" spans="1:5" x14ac:dyDescent="0.25">
      <c r="A4929">
        <v>1577</v>
      </c>
      <c r="B4929" s="16">
        <v>43556</v>
      </c>
      <c r="C4929" t="s">
        <v>19</v>
      </c>
      <c r="D4929">
        <v>3685661.2115662512</v>
      </c>
      <c r="E4929" t="s">
        <v>330</v>
      </c>
    </row>
    <row r="4930" spans="1:5" x14ac:dyDescent="0.25">
      <c r="A4930">
        <v>1577</v>
      </c>
      <c r="B4930" s="16">
        <v>43586</v>
      </c>
      <c r="C4930" t="s">
        <v>19</v>
      </c>
      <c r="D4930">
        <v>3685661.2115662512</v>
      </c>
      <c r="E4930" t="s">
        <v>330</v>
      </c>
    </row>
    <row r="4931" spans="1:5" x14ac:dyDescent="0.25">
      <c r="A4931">
        <v>1577</v>
      </c>
      <c r="B4931" s="16">
        <v>43617</v>
      </c>
      <c r="C4931" t="s">
        <v>19</v>
      </c>
      <c r="D4931">
        <v>3685661.2115662512</v>
      </c>
      <c r="E4931" t="s">
        <v>330</v>
      </c>
    </row>
    <row r="4932" spans="1:5" x14ac:dyDescent="0.25">
      <c r="A4932">
        <v>1577</v>
      </c>
      <c r="B4932" s="16">
        <v>43647</v>
      </c>
      <c r="C4932" t="s">
        <v>19</v>
      </c>
      <c r="D4932">
        <v>3685661.2115662512</v>
      </c>
      <c r="E4932" t="s">
        <v>330</v>
      </c>
    </row>
    <row r="4933" spans="1:5" x14ac:dyDescent="0.25">
      <c r="A4933">
        <v>1577</v>
      </c>
      <c r="B4933" s="16">
        <v>43466</v>
      </c>
      <c r="C4933" t="s">
        <v>12</v>
      </c>
      <c r="D4933">
        <v>11787098.370468752</v>
      </c>
      <c r="E4933" t="s">
        <v>330</v>
      </c>
    </row>
    <row r="4934" spans="1:5" x14ac:dyDescent="0.25">
      <c r="A4934">
        <v>1577</v>
      </c>
      <c r="B4934" s="16">
        <v>43497</v>
      </c>
      <c r="C4934" t="s">
        <v>12</v>
      </c>
      <c r="D4934">
        <v>11787098.370468752</v>
      </c>
      <c r="E4934" t="s">
        <v>330</v>
      </c>
    </row>
    <row r="4935" spans="1:5" x14ac:dyDescent="0.25">
      <c r="A4935">
        <v>1577</v>
      </c>
      <c r="B4935" s="16">
        <v>43525</v>
      </c>
      <c r="C4935" t="s">
        <v>12</v>
      </c>
      <c r="D4935">
        <v>11787098.370468752</v>
      </c>
      <c r="E4935" t="s">
        <v>330</v>
      </c>
    </row>
    <row r="4936" spans="1:5" x14ac:dyDescent="0.25">
      <c r="A4936">
        <v>1577</v>
      </c>
      <c r="B4936" s="16">
        <v>43556</v>
      </c>
      <c r="C4936" t="s">
        <v>12</v>
      </c>
      <c r="D4936">
        <v>11787098.370468752</v>
      </c>
      <c r="E4936" t="s">
        <v>330</v>
      </c>
    </row>
    <row r="4937" spans="1:5" x14ac:dyDescent="0.25">
      <c r="A4937">
        <v>1577</v>
      </c>
      <c r="B4937" s="16">
        <v>43586</v>
      </c>
      <c r="C4937" t="s">
        <v>12</v>
      </c>
      <c r="D4937">
        <v>11787098.370468752</v>
      </c>
      <c r="E4937" t="s">
        <v>330</v>
      </c>
    </row>
    <row r="4938" spans="1:5" x14ac:dyDescent="0.25">
      <c r="A4938">
        <v>1577</v>
      </c>
      <c r="B4938" s="16">
        <v>43617</v>
      </c>
      <c r="C4938" t="s">
        <v>12</v>
      </c>
      <c r="D4938">
        <v>11787098.370468752</v>
      </c>
      <c r="E4938" t="s">
        <v>330</v>
      </c>
    </row>
    <row r="4939" spans="1:5" x14ac:dyDescent="0.25">
      <c r="A4939">
        <v>1577</v>
      </c>
      <c r="B4939" s="16">
        <v>43647</v>
      </c>
      <c r="C4939" t="s">
        <v>12</v>
      </c>
      <c r="D4939">
        <v>11787098.370468752</v>
      </c>
      <c r="E4939" t="s">
        <v>330</v>
      </c>
    </row>
    <row r="4940" spans="1:5" x14ac:dyDescent="0.25">
      <c r="A4940">
        <v>1577</v>
      </c>
      <c r="B4940" s="16">
        <v>43466</v>
      </c>
      <c r="C4940" t="s">
        <v>14</v>
      </c>
      <c r="D4940">
        <v>9796099.1329687536</v>
      </c>
      <c r="E4940" t="s">
        <v>330</v>
      </c>
    </row>
    <row r="4941" spans="1:5" x14ac:dyDescent="0.25">
      <c r="A4941">
        <v>1577</v>
      </c>
      <c r="B4941" s="16">
        <v>43497</v>
      </c>
      <c r="C4941" t="s">
        <v>14</v>
      </c>
      <c r="D4941">
        <v>9796099.1329687536</v>
      </c>
      <c r="E4941" t="s">
        <v>330</v>
      </c>
    </row>
    <row r="4942" spans="1:5" x14ac:dyDescent="0.25">
      <c r="A4942">
        <v>1577</v>
      </c>
      <c r="B4942" s="16">
        <v>43525</v>
      </c>
      <c r="C4942" t="s">
        <v>14</v>
      </c>
      <c r="D4942">
        <v>9796099.1329687536</v>
      </c>
      <c r="E4942" t="s">
        <v>330</v>
      </c>
    </row>
    <row r="4943" spans="1:5" x14ac:dyDescent="0.25">
      <c r="A4943">
        <v>1577</v>
      </c>
      <c r="B4943" s="16">
        <v>43556</v>
      </c>
      <c r="C4943" t="s">
        <v>14</v>
      </c>
      <c r="D4943">
        <v>9796099.1329687536</v>
      </c>
      <c r="E4943" t="s">
        <v>330</v>
      </c>
    </row>
    <row r="4944" spans="1:5" x14ac:dyDescent="0.25">
      <c r="A4944">
        <v>1577</v>
      </c>
      <c r="B4944" s="16">
        <v>43586</v>
      </c>
      <c r="C4944" t="s">
        <v>14</v>
      </c>
      <c r="D4944">
        <v>9796099.1329687536</v>
      </c>
      <c r="E4944" t="s">
        <v>330</v>
      </c>
    </row>
    <row r="4945" spans="1:5" x14ac:dyDescent="0.25">
      <c r="A4945">
        <v>1577</v>
      </c>
      <c r="B4945" s="16">
        <v>43466</v>
      </c>
      <c r="C4945" t="s">
        <v>237</v>
      </c>
      <c r="D4945">
        <v>8143952.6503125019</v>
      </c>
      <c r="E4945" t="s">
        <v>330</v>
      </c>
    </row>
    <row r="4946" spans="1:5" x14ac:dyDescent="0.25">
      <c r="A4946">
        <v>1577</v>
      </c>
      <c r="B4946" s="16">
        <v>43466</v>
      </c>
      <c r="C4946" t="s">
        <v>230</v>
      </c>
      <c r="D4946">
        <v>8143952.6503125019</v>
      </c>
      <c r="E4946" t="s">
        <v>330</v>
      </c>
    </row>
    <row r="4947" spans="1:5" x14ac:dyDescent="0.25">
      <c r="A4947">
        <v>1577</v>
      </c>
      <c r="B4947" s="16">
        <v>43497</v>
      </c>
      <c r="C4947" t="s">
        <v>230</v>
      </c>
      <c r="D4947">
        <v>8143952.6503125019</v>
      </c>
      <c r="E4947" t="s">
        <v>330</v>
      </c>
    </row>
    <row r="4948" spans="1:5" x14ac:dyDescent="0.25">
      <c r="A4948">
        <v>1577</v>
      </c>
      <c r="B4948" s="16">
        <v>43525</v>
      </c>
      <c r="C4948" t="s">
        <v>230</v>
      </c>
      <c r="D4948">
        <v>8143952.6503125019</v>
      </c>
      <c r="E4948" t="s">
        <v>330</v>
      </c>
    </row>
    <row r="4949" spans="1:5" x14ac:dyDescent="0.25">
      <c r="A4949">
        <v>1577</v>
      </c>
      <c r="B4949" s="16">
        <v>43556</v>
      </c>
      <c r="C4949" t="s">
        <v>230</v>
      </c>
      <c r="D4949">
        <v>8143952.6503125019</v>
      </c>
      <c r="E4949" t="s">
        <v>330</v>
      </c>
    </row>
    <row r="4950" spans="1:5" x14ac:dyDescent="0.25">
      <c r="A4950">
        <v>1577</v>
      </c>
      <c r="B4950" s="16">
        <v>43586</v>
      </c>
      <c r="C4950" t="s">
        <v>230</v>
      </c>
      <c r="D4950">
        <v>8143952.6503125019</v>
      </c>
      <c r="E4950" t="s">
        <v>330</v>
      </c>
    </row>
    <row r="4951" spans="1:5" x14ac:dyDescent="0.25">
      <c r="A4951">
        <v>1577</v>
      </c>
      <c r="B4951" s="16">
        <v>43466</v>
      </c>
      <c r="C4951" t="s">
        <v>239</v>
      </c>
      <c r="D4951">
        <v>6891920.4375000019</v>
      </c>
      <c r="E4951" t="s">
        <v>330</v>
      </c>
    </row>
    <row r="4952" spans="1:5" x14ac:dyDescent="0.25">
      <c r="A4952">
        <v>1577</v>
      </c>
      <c r="B4952" s="16">
        <v>43497</v>
      </c>
      <c r="C4952" t="s">
        <v>239</v>
      </c>
      <c r="D4952">
        <v>6891920.4375000019</v>
      </c>
      <c r="E4952" t="s">
        <v>330</v>
      </c>
    </row>
    <row r="4953" spans="1:5" x14ac:dyDescent="0.25">
      <c r="A4953">
        <v>1577</v>
      </c>
      <c r="B4953" s="16">
        <v>43525</v>
      </c>
      <c r="C4953" t="s">
        <v>239</v>
      </c>
      <c r="D4953">
        <v>6891920.4375000019</v>
      </c>
      <c r="E4953" t="s">
        <v>330</v>
      </c>
    </row>
    <row r="4954" spans="1:5" x14ac:dyDescent="0.25">
      <c r="A4954">
        <v>1577</v>
      </c>
      <c r="B4954" s="16">
        <v>43556</v>
      </c>
      <c r="C4954" t="s">
        <v>239</v>
      </c>
      <c r="D4954">
        <v>6891920.4375000019</v>
      </c>
      <c r="E4954" t="s">
        <v>330</v>
      </c>
    </row>
    <row r="4955" spans="1:5" x14ac:dyDescent="0.25">
      <c r="A4955">
        <v>1577</v>
      </c>
      <c r="B4955" s="16">
        <v>43586</v>
      </c>
      <c r="C4955" t="s">
        <v>239</v>
      </c>
      <c r="D4955">
        <v>6891920.4375000019</v>
      </c>
      <c r="E4955" t="s">
        <v>330</v>
      </c>
    </row>
    <row r="4956" spans="1:5" x14ac:dyDescent="0.25">
      <c r="A4956">
        <v>1577</v>
      </c>
      <c r="B4956" s="16">
        <v>43466</v>
      </c>
      <c r="C4956" t="s">
        <v>59</v>
      </c>
      <c r="D4956">
        <v>3882448.513125001</v>
      </c>
      <c r="E4956" t="s">
        <v>330</v>
      </c>
    </row>
    <row r="4957" spans="1:5" x14ac:dyDescent="0.25">
      <c r="A4957">
        <v>1577</v>
      </c>
      <c r="B4957" s="16">
        <v>43497</v>
      </c>
      <c r="C4957" t="s">
        <v>59</v>
      </c>
      <c r="D4957">
        <v>3882448.513125001</v>
      </c>
      <c r="E4957" t="s">
        <v>330</v>
      </c>
    </row>
    <row r="4958" spans="1:5" x14ac:dyDescent="0.25">
      <c r="A4958">
        <v>1577</v>
      </c>
      <c r="B4958" s="16">
        <v>43525</v>
      </c>
      <c r="C4958" t="s">
        <v>59</v>
      </c>
      <c r="D4958">
        <v>3882448.513125001</v>
      </c>
      <c r="E4958" t="s">
        <v>330</v>
      </c>
    </row>
    <row r="4959" spans="1:5" x14ac:dyDescent="0.25">
      <c r="A4959">
        <v>1577</v>
      </c>
      <c r="B4959" s="16">
        <v>43556</v>
      </c>
      <c r="C4959" t="s">
        <v>59</v>
      </c>
      <c r="D4959">
        <v>3882448.513125001</v>
      </c>
      <c r="E4959" t="s">
        <v>330</v>
      </c>
    </row>
    <row r="4960" spans="1:5" x14ac:dyDescent="0.25">
      <c r="A4960">
        <v>1577</v>
      </c>
      <c r="B4960" s="16">
        <v>43586</v>
      </c>
      <c r="C4960" t="s">
        <v>59</v>
      </c>
      <c r="D4960">
        <v>3882448.513125001</v>
      </c>
      <c r="E4960" t="s">
        <v>330</v>
      </c>
    </row>
    <row r="4961" spans="1:5" x14ac:dyDescent="0.25">
      <c r="A4961">
        <v>1577</v>
      </c>
      <c r="B4961" s="16">
        <v>43617</v>
      </c>
      <c r="C4961" t="s">
        <v>59</v>
      </c>
      <c r="D4961">
        <v>3882448.513125001</v>
      </c>
      <c r="E4961" t="s">
        <v>330</v>
      </c>
    </row>
    <row r="4962" spans="1:5" x14ac:dyDescent="0.25">
      <c r="A4962">
        <v>1577</v>
      </c>
      <c r="B4962" s="16">
        <v>43647</v>
      </c>
      <c r="C4962" t="s">
        <v>59</v>
      </c>
      <c r="D4962">
        <v>3882448.513125001</v>
      </c>
      <c r="E4962" t="s">
        <v>330</v>
      </c>
    </row>
    <row r="4963" spans="1:5" x14ac:dyDescent="0.25">
      <c r="A4963">
        <v>1577</v>
      </c>
      <c r="B4963" s="16">
        <v>43466</v>
      </c>
      <c r="C4963" t="s">
        <v>59</v>
      </c>
      <c r="D4963">
        <v>3882448.513125001</v>
      </c>
      <c r="E4963" t="s">
        <v>330</v>
      </c>
    </row>
    <row r="4964" spans="1:5" x14ac:dyDescent="0.25">
      <c r="A4964">
        <v>1577</v>
      </c>
      <c r="B4964" s="16">
        <v>43497</v>
      </c>
      <c r="C4964" t="s">
        <v>59</v>
      </c>
      <c r="D4964">
        <v>3882448.513125001</v>
      </c>
      <c r="E4964" t="s">
        <v>330</v>
      </c>
    </row>
    <row r="4965" spans="1:5" x14ac:dyDescent="0.25">
      <c r="A4965">
        <v>1577</v>
      </c>
      <c r="B4965" s="16">
        <v>43525</v>
      </c>
      <c r="C4965" t="s">
        <v>59</v>
      </c>
      <c r="D4965">
        <v>3882448.513125001</v>
      </c>
      <c r="E4965" t="s">
        <v>330</v>
      </c>
    </row>
    <row r="4966" spans="1:5" x14ac:dyDescent="0.25">
      <c r="A4966">
        <v>1577</v>
      </c>
      <c r="B4966" s="16">
        <v>43556</v>
      </c>
      <c r="C4966" t="s">
        <v>59</v>
      </c>
      <c r="D4966">
        <v>3882448.513125001</v>
      </c>
      <c r="E4966" t="s">
        <v>330</v>
      </c>
    </row>
    <row r="4967" spans="1:5" x14ac:dyDescent="0.25">
      <c r="A4967">
        <v>1577</v>
      </c>
      <c r="B4967" s="16">
        <v>43586</v>
      </c>
      <c r="C4967" t="s">
        <v>59</v>
      </c>
      <c r="D4967">
        <v>3882448.513125001</v>
      </c>
      <c r="E4967" t="s">
        <v>330</v>
      </c>
    </row>
    <row r="4968" spans="1:5" x14ac:dyDescent="0.25">
      <c r="A4968">
        <v>1577</v>
      </c>
      <c r="B4968" s="16">
        <v>43617</v>
      </c>
      <c r="C4968" t="s">
        <v>59</v>
      </c>
      <c r="D4968">
        <v>3882448.513125001</v>
      </c>
      <c r="E4968" t="s">
        <v>330</v>
      </c>
    </row>
    <row r="4969" spans="1:5" x14ac:dyDescent="0.25">
      <c r="A4969">
        <v>1577</v>
      </c>
      <c r="B4969" s="16">
        <v>43647</v>
      </c>
      <c r="C4969" t="s">
        <v>59</v>
      </c>
      <c r="D4969">
        <v>3882448.513125001</v>
      </c>
      <c r="E4969" t="s">
        <v>330</v>
      </c>
    </row>
    <row r="4970" spans="1:5" x14ac:dyDescent="0.25">
      <c r="A4970">
        <v>1577</v>
      </c>
      <c r="B4970" s="16">
        <v>43466</v>
      </c>
      <c r="C4970" t="s">
        <v>242</v>
      </c>
      <c r="D4970">
        <v>3802042.7746875011</v>
      </c>
      <c r="E4970" t="s">
        <v>330</v>
      </c>
    </row>
    <row r="4971" spans="1:5" x14ac:dyDescent="0.25">
      <c r="A4971">
        <v>1577</v>
      </c>
      <c r="B4971" s="16">
        <v>43466</v>
      </c>
      <c r="C4971" t="s">
        <v>244</v>
      </c>
      <c r="D4971">
        <v>3802042.7746875011</v>
      </c>
      <c r="E4971" t="s">
        <v>330</v>
      </c>
    </row>
    <row r="4972" spans="1:5" x14ac:dyDescent="0.25">
      <c r="A4972">
        <v>1577</v>
      </c>
      <c r="B4972" s="16">
        <v>43466</v>
      </c>
      <c r="C4972" t="s">
        <v>245</v>
      </c>
      <c r="D4972">
        <v>6769397.4075000016</v>
      </c>
      <c r="E4972" t="s">
        <v>330</v>
      </c>
    </row>
    <row r="4973" spans="1:5" x14ac:dyDescent="0.25">
      <c r="A4973">
        <v>1577</v>
      </c>
      <c r="B4973" s="16">
        <v>43497</v>
      </c>
      <c r="C4973" t="s">
        <v>245</v>
      </c>
      <c r="D4973">
        <v>6769397.4075000016</v>
      </c>
      <c r="E4973" t="s">
        <v>330</v>
      </c>
    </row>
    <row r="4974" spans="1:5" x14ac:dyDescent="0.25">
      <c r="A4974">
        <v>1577</v>
      </c>
      <c r="B4974" s="16">
        <v>43525</v>
      </c>
      <c r="C4974" t="s">
        <v>245</v>
      </c>
      <c r="D4974">
        <v>6769397.4075000016</v>
      </c>
      <c r="E4974" t="s">
        <v>330</v>
      </c>
    </row>
    <row r="4975" spans="1:5" x14ac:dyDescent="0.25">
      <c r="A4975">
        <v>1577</v>
      </c>
      <c r="B4975" s="16">
        <v>43466</v>
      </c>
      <c r="C4975" t="s">
        <v>246</v>
      </c>
      <c r="D4975">
        <v>3802042.7746875011</v>
      </c>
      <c r="E4975" t="s">
        <v>330</v>
      </c>
    </row>
    <row r="4976" spans="1:5" x14ac:dyDescent="0.25">
      <c r="A4976">
        <v>1577</v>
      </c>
      <c r="B4976" s="16">
        <v>43497</v>
      </c>
      <c r="C4976" t="s">
        <v>246</v>
      </c>
      <c r="D4976">
        <v>3802042.7746875011</v>
      </c>
      <c r="E4976" t="s">
        <v>330</v>
      </c>
    </row>
    <row r="4977" spans="1:5" x14ac:dyDescent="0.25">
      <c r="A4977">
        <v>1577</v>
      </c>
      <c r="B4977" s="16">
        <v>43525</v>
      </c>
      <c r="C4977" t="s">
        <v>246</v>
      </c>
      <c r="D4977">
        <v>3802042.7746875011</v>
      </c>
      <c r="E4977" t="s">
        <v>330</v>
      </c>
    </row>
    <row r="4978" spans="1:5" x14ac:dyDescent="0.25">
      <c r="A4978">
        <v>1577</v>
      </c>
      <c r="B4978" s="16">
        <v>43556</v>
      </c>
      <c r="C4978" t="s">
        <v>246</v>
      </c>
      <c r="D4978">
        <v>3802042.7746875011</v>
      </c>
      <c r="E4978" t="s">
        <v>330</v>
      </c>
    </row>
    <row r="4979" spans="1:5" x14ac:dyDescent="0.25">
      <c r="A4979">
        <v>1577</v>
      </c>
      <c r="B4979" s="16">
        <v>43586</v>
      </c>
      <c r="C4979" t="s">
        <v>246</v>
      </c>
      <c r="D4979">
        <v>3802042.7746875011</v>
      </c>
      <c r="E4979" t="s">
        <v>330</v>
      </c>
    </row>
    <row r="4980" spans="1:5" x14ac:dyDescent="0.25">
      <c r="A4980">
        <v>1577</v>
      </c>
      <c r="B4980" s="16">
        <v>43466</v>
      </c>
      <c r="C4980" t="s">
        <v>248</v>
      </c>
      <c r="D4980">
        <v>3802042.7746875011</v>
      </c>
      <c r="E4980" t="s">
        <v>330</v>
      </c>
    </row>
    <row r="4981" spans="1:5" x14ac:dyDescent="0.25">
      <c r="A4981">
        <v>1577</v>
      </c>
      <c r="B4981" s="16">
        <v>43497</v>
      </c>
      <c r="C4981" t="s">
        <v>248</v>
      </c>
      <c r="D4981">
        <v>3802042.7746875011</v>
      </c>
      <c r="E4981" t="s">
        <v>330</v>
      </c>
    </row>
    <row r="4982" spans="1:5" x14ac:dyDescent="0.25">
      <c r="A4982">
        <v>1577</v>
      </c>
      <c r="B4982" s="16">
        <v>43525</v>
      </c>
      <c r="C4982" t="s">
        <v>248</v>
      </c>
      <c r="D4982">
        <v>3802042.7746875011</v>
      </c>
      <c r="E4982" t="s">
        <v>330</v>
      </c>
    </row>
    <row r="4983" spans="1:5" x14ac:dyDescent="0.25">
      <c r="A4983">
        <v>1577</v>
      </c>
      <c r="B4983" s="16">
        <v>43556</v>
      </c>
      <c r="C4983" t="s">
        <v>248</v>
      </c>
      <c r="D4983">
        <v>3802042.7746875011</v>
      </c>
      <c r="E4983" t="s">
        <v>330</v>
      </c>
    </row>
    <row r="4984" spans="1:5" x14ac:dyDescent="0.25">
      <c r="A4984">
        <v>1577</v>
      </c>
      <c r="B4984" s="16">
        <v>43586</v>
      </c>
      <c r="C4984" t="s">
        <v>248</v>
      </c>
      <c r="D4984">
        <v>3802042.7746875011</v>
      </c>
      <c r="E4984" t="s">
        <v>330</v>
      </c>
    </row>
    <row r="4985" spans="1:5" x14ac:dyDescent="0.25">
      <c r="A4985">
        <v>1577</v>
      </c>
      <c r="B4985" s="16">
        <v>43466</v>
      </c>
      <c r="C4985" t="s">
        <v>231</v>
      </c>
      <c r="D4985">
        <v>6891920.4375000019</v>
      </c>
      <c r="E4985" t="s">
        <v>330</v>
      </c>
    </row>
    <row r="4986" spans="1:5" x14ac:dyDescent="0.25">
      <c r="A4986">
        <v>1577</v>
      </c>
      <c r="B4986" s="16">
        <v>43497</v>
      </c>
      <c r="C4986" t="s">
        <v>231</v>
      </c>
      <c r="D4986">
        <v>6891920.4375000019</v>
      </c>
      <c r="E4986" t="s">
        <v>330</v>
      </c>
    </row>
    <row r="4987" spans="1:5" x14ac:dyDescent="0.25">
      <c r="A4987">
        <v>1577</v>
      </c>
      <c r="B4987" s="16">
        <v>43525</v>
      </c>
      <c r="C4987" t="s">
        <v>231</v>
      </c>
      <c r="D4987">
        <v>6891920.4375000019</v>
      </c>
      <c r="E4987" t="s">
        <v>330</v>
      </c>
    </row>
    <row r="4988" spans="1:5" x14ac:dyDescent="0.25">
      <c r="A4988">
        <v>1577</v>
      </c>
      <c r="B4988" s="16">
        <v>43556</v>
      </c>
      <c r="C4988" t="s">
        <v>231</v>
      </c>
      <c r="D4988">
        <v>6891920.4375000019</v>
      </c>
      <c r="E4988" t="s">
        <v>330</v>
      </c>
    </row>
    <row r="4989" spans="1:5" x14ac:dyDescent="0.25">
      <c r="A4989">
        <v>1577</v>
      </c>
      <c r="B4989" s="16">
        <v>43586</v>
      </c>
      <c r="C4989" t="s">
        <v>231</v>
      </c>
      <c r="D4989">
        <v>6891920.4375000019</v>
      </c>
      <c r="E4989" t="s">
        <v>330</v>
      </c>
    </row>
    <row r="4990" spans="1:5" x14ac:dyDescent="0.25">
      <c r="A4990">
        <v>1577</v>
      </c>
      <c r="B4990" s="16">
        <v>43466</v>
      </c>
      <c r="C4990" t="s">
        <v>106</v>
      </c>
      <c r="D4990">
        <v>3802042.7746875011</v>
      </c>
      <c r="E4990" t="s">
        <v>330</v>
      </c>
    </row>
    <row r="4991" spans="1:5" x14ac:dyDescent="0.25">
      <c r="A4991">
        <v>1577</v>
      </c>
      <c r="B4991" s="16">
        <v>43497</v>
      </c>
      <c r="C4991" t="s">
        <v>106</v>
      </c>
      <c r="D4991">
        <v>3802042.7746875011</v>
      </c>
      <c r="E4991" t="s">
        <v>330</v>
      </c>
    </row>
    <row r="4992" spans="1:5" x14ac:dyDescent="0.25">
      <c r="A4992">
        <v>1577</v>
      </c>
      <c r="B4992" s="16">
        <v>43525</v>
      </c>
      <c r="C4992" t="s">
        <v>106</v>
      </c>
      <c r="D4992">
        <v>3802042.7746875011</v>
      </c>
      <c r="E4992" t="s">
        <v>330</v>
      </c>
    </row>
    <row r="4993" spans="1:5" x14ac:dyDescent="0.25">
      <c r="A4993">
        <v>1577</v>
      </c>
      <c r="B4993" s="16">
        <v>43556</v>
      </c>
      <c r="C4993" t="s">
        <v>106</v>
      </c>
      <c r="D4993">
        <v>3802042.7746875011</v>
      </c>
      <c r="E4993" t="s">
        <v>330</v>
      </c>
    </row>
    <row r="4994" spans="1:5" x14ac:dyDescent="0.25">
      <c r="A4994">
        <v>1577</v>
      </c>
      <c r="B4994" s="16">
        <v>43586</v>
      </c>
      <c r="C4994" t="s">
        <v>106</v>
      </c>
      <c r="D4994">
        <v>3802042.7746875011</v>
      </c>
      <c r="E4994" t="s">
        <v>330</v>
      </c>
    </row>
    <row r="4995" spans="1:5" x14ac:dyDescent="0.25">
      <c r="A4995">
        <v>1622</v>
      </c>
      <c r="B4995" s="16">
        <v>43466</v>
      </c>
      <c r="C4995" t="s">
        <v>49</v>
      </c>
      <c r="D4995">
        <v>26786251</v>
      </c>
      <c r="E4995" t="s">
        <v>330</v>
      </c>
    </row>
    <row r="4996" spans="1:5" x14ac:dyDescent="0.25">
      <c r="A4996">
        <v>1622</v>
      </c>
      <c r="B4996" s="16">
        <v>43497</v>
      </c>
      <c r="C4996" t="s">
        <v>49</v>
      </c>
      <c r="D4996">
        <v>26786251</v>
      </c>
      <c r="E4996" t="s">
        <v>330</v>
      </c>
    </row>
    <row r="4997" spans="1:5" x14ac:dyDescent="0.25">
      <c r="A4997">
        <v>1622</v>
      </c>
      <c r="B4997" s="16">
        <v>43525</v>
      </c>
      <c r="C4997" t="s">
        <v>49</v>
      </c>
      <c r="D4997">
        <v>26786251</v>
      </c>
      <c r="E4997" t="s">
        <v>330</v>
      </c>
    </row>
    <row r="4998" spans="1:5" x14ac:dyDescent="0.25">
      <c r="A4998">
        <v>1622</v>
      </c>
      <c r="B4998" s="16">
        <v>43466</v>
      </c>
      <c r="C4998" t="s">
        <v>50</v>
      </c>
      <c r="D4998">
        <v>15218233.5</v>
      </c>
      <c r="E4998" t="s">
        <v>330</v>
      </c>
    </row>
    <row r="4999" spans="1:5" x14ac:dyDescent="0.25">
      <c r="A4999">
        <v>1622</v>
      </c>
      <c r="B4999" s="16">
        <v>43466</v>
      </c>
      <c r="C4999" t="s">
        <v>51</v>
      </c>
      <c r="D4999">
        <v>6015462</v>
      </c>
      <c r="E4999" t="s">
        <v>330</v>
      </c>
    </row>
    <row r="5000" spans="1:5" x14ac:dyDescent="0.25">
      <c r="A5000">
        <v>1622</v>
      </c>
      <c r="B5000" s="16">
        <v>43466</v>
      </c>
      <c r="C5000" t="s">
        <v>53</v>
      </c>
      <c r="D5000">
        <v>4757001</v>
      </c>
      <c r="E5000" t="s">
        <v>330</v>
      </c>
    </row>
    <row r="5001" spans="1:5" x14ac:dyDescent="0.25">
      <c r="A5001">
        <v>1622</v>
      </c>
      <c r="B5001" s="16">
        <v>43497</v>
      </c>
      <c r="C5001" t="s">
        <v>53</v>
      </c>
      <c r="D5001">
        <v>4757001</v>
      </c>
      <c r="E5001" t="s">
        <v>330</v>
      </c>
    </row>
    <row r="5002" spans="1:5" x14ac:dyDescent="0.25">
      <c r="A5002">
        <v>1622</v>
      </c>
      <c r="B5002" s="16">
        <v>43525</v>
      </c>
      <c r="C5002" t="s">
        <v>53</v>
      </c>
      <c r="D5002">
        <v>4757001</v>
      </c>
      <c r="E5002" t="s">
        <v>330</v>
      </c>
    </row>
    <row r="5003" spans="1:5" x14ac:dyDescent="0.25">
      <c r="A5003">
        <v>1622</v>
      </c>
      <c r="B5003" s="16">
        <v>43556</v>
      </c>
      <c r="C5003" t="s">
        <v>53</v>
      </c>
      <c r="D5003">
        <v>4757001</v>
      </c>
      <c r="E5003" t="s">
        <v>330</v>
      </c>
    </row>
    <row r="5004" spans="1:5" x14ac:dyDescent="0.25">
      <c r="A5004">
        <v>1622</v>
      </c>
      <c r="B5004" s="16">
        <v>43586</v>
      </c>
      <c r="C5004" t="s">
        <v>53</v>
      </c>
      <c r="D5004">
        <v>4757001</v>
      </c>
      <c r="E5004" t="s">
        <v>330</v>
      </c>
    </row>
    <row r="5005" spans="1:5" x14ac:dyDescent="0.25">
      <c r="A5005">
        <v>1622</v>
      </c>
      <c r="B5005" s="16">
        <v>43617</v>
      </c>
      <c r="C5005" t="s">
        <v>53</v>
      </c>
      <c r="D5005">
        <v>4757001</v>
      </c>
      <c r="E5005" t="s">
        <v>330</v>
      </c>
    </row>
    <row r="5006" spans="1:5" x14ac:dyDescent="0.25">
      <c r="A5006">
        <v>1622</v>
      </c>
      <c r="B5006" s="16">
        <v>43647</v>
      </c>
      <c r="C5006" t="s">
        <v>53</v>
      </c>
      <c r="D5006">
        <v>4757001</v>
      </c>
      <c r="E5006" t="s">
        <v>330</v>
      </c>
    </row>
    <row r="5007" spans="1:5" x14ac:dyDescent="0.25">
      <c r="A5007">
        <v>1622</v>
      </c>
      <c r="B5007" s="16">
        <v>43678</v>
      </c>
      <c r="C5007" t="s">
        <v>53</v>
      </c>
      <c r="D5007">
        <v>4757001</v>
      </c>
      <c r="E5007" t="s">
        <v>330</v>
      </c>
    </row>
    <row r="5008" spans="1:5" x14ac:dyDescent="0.25">
      <c r="A5008">
        <v>1622</v>
      </c>
      <c r="B5008" s="16">
        <v>43709</v>
      </c>
      <c r="C5008" t="s">
        <v>53</v>
      </c>
      <c r="D5008">
        <v>4757001</v>
      </c>
      <c r="E5008" t="s">
        <v>330</v>
      </c>
    </row>
    <row r="5009" spans="1:5" x14ac:dyDescent="0.25">
      <c r="A5009">
        <v>1622</v>
      </c>
      <c r="B5009" s="16">
        <v>43739</v>
      </c>
      <c r="C5009" t="s">
        <v>53</v>
      </c>
      <c r="D5009">
        <v>4757001</v>
      </c>
      <c r="E5009" t="s">
        <v>330</v>
      </c>
    </row>
    <row r="5010" spans="1:5" x14ac:dyDescent="0.25">
      <c r="A5010">
        <v>1622</v>
      </c>
      <c r="B5010" s="16">
        <v>43770</v>
      </c>
      <c r="C5010" t="s">
        <v>53</v>
      </c>
      <c r="D5010">
        <v>4757001</v>
      </c>
      <c r="E5010" t="s">
        <v>330</v>
      </c>
    </row>
    <row r="5011" spans="1:5" x14ac:dyDescent="0.25">
      <c r="A5011">
        <v>1622</v>
      </c>
      <c r="B5011" s="16">
        <v>43800</v>
      </c>
      <c r="C5011" t="s">
        <v>53</v>
      </c>
      <c r="D5011">
        <v>4757001</v>
      </c>
      <c r="E5011" t="s">
        <v>330</v>
      </c>
    </row>
    <row r="5012" spans="1:5" x14ac:dyDescent="0.25">
      <c r="A5012">
        <v>1622</v>
      </c>
      <c r="B5012" s="16">
        <v>43831</v>
      </c>
      <c r="C5012" t="s">
        <v>53</v>
      </c>
      <c r="D5012">
        <v>4757001</v>
      </c>
      <c r="E5012" t="s">
        <v>330</v>
      </c>
    </row>
    <row r="5013" spans="1:5" x14ac:dyDescent="0.25">
      <c r="A5013">
        <v>1622</v>
      </c>
      <c r="B5013" s="16">
        <v>43862</v>
      </c>
      <c r="C5013" t="s">
        <v>53</v>
      </c>
      <c r="D5013">
        <v>4757001</v>
      </c>
      <c r="E5013" t="s">
        <v>330</v>
      </c>
    </row>
    <row r="5014" spans="1:5" x14ac:dyDescent="0.25">
      <c r="A5014">
        <v>1622</v>
      </c>
      <c r="B5014" s="16">
        <v>43891</v>
      </c>
      <c r="C5014" t="s">
        <v>53</v>
      </c>
      <c r="D5014">
        <v>4757001</v>
      </c>
      <c r="E5014" t="s">
        <v>330</v>
      </c>
    </row>
    <row r="5015" spans="1:5" x14ac:dyDescent="0.25">
      <c r="A5015">
        <v>1622</v>
      </c>
      <c r="B5015" s="16">
        <v>43922</v>
      </c>
      <c r="C5015" t="s">
        <v>53</v>
      </c>
      <c r="D5015">
        <v>4757001</v>
      </c>
      <c r="E5015" t="s">
        <v>330</v>
      </c>
    </row>
    <row r="5016" spans="1:5" x14ac:dyDescent="0.25">
      <c r="A5016">
        <v>1622</v>
      </c>
      <c r="B5016" s="16">
        <v>43952</v>
      </c>
      <c r="C5016" t="s">
        <v>53</v>
      </c>
      <c r="D5016">
        <v>4757001</v>
      </c>
      <c r="E5016" t="s">
        <v>330</v>
      </c>
    </row>
    <row r="5017" spans="1:5" x14ac:dyDescent="0.25">
      <c r="A5017">
        <v>1622</v>
      </c>
      <c r="B5017" s="16">
        <v>43983</v>
      </c>
      <c r="C5017" t="s">
        <v>53</v>
      </c>
      <c r="D5017">
        <v>4757001</v>
      </c>
      <c r="E5017" t="s">
        <v>330</v>
      </c>
    </row>
    <row r="5018" spans="1:5" x14ac:dyDescent="0.25">
      <c r="A5018">
        <v>1622</v>
      </c>
      <c r="B5018" s="16">
        <v>44013</v>
      </c>
      <c r="C5018" t="s">
        <v>53</v>
      </c>
      <c r="D5018">
        <v>4757001</v>
      </c>
      <c r="E5018" t="s">
        <v>330</v>
      </c>
    </row>
    <row r="5019" spans="1:5" x14ac:dyDescent="0.25">
      <c r="A5019">
        <v>1622</v>
      </c>
      <c r="B5019" s="16">
        <v>44044</v>
      </c>
      <c r="C5019" t="s">
        <v>53</v>
      </c>
      <c r="D5019">
        <v>4757001</v>
      </c>
      <c r="E5019" t="s">
        <v>330</v>
      </c>
    </row>
    <row r="5020" spans="1:5" x14ac:dyDescent="0.25">
      <c r="A5020">
        <v>1622</v>
      </c>
      <c r="B5020" s="16">
        <v>44075</v>
      </c>
      <c r="C5020" t="s">
        <v>53</v>
      </c>
      <c r="D5020">
        <v>4757001</v>
      </c>
      <c r="E5020" t="s">
        <v>330</v>
      </c>
    </row>
    <row r="5021" spans="1:5" x14ac:dyDescent="0.25">
      <c r="A5021">
        <v>1622</v>
      </c>
      <c r="B5021" s="16">
        <v>44105</v>
      </c>
      <c r="C5021" t="s">
        <v>53</v>
      </c>
      <c r="D5021">
        <v>4757001</v>
      </c>
      <c r="E5021" t="s">
        <v>330</v>
      </c>
    </row>
    <row r="5022" spans="1:5" x14ac:dyDescent="0.25">
      <c r="A5022">
        <v>1622</v>
      </c>
      <c r="B5022" s="16">
        <v>44136</v>
      </c>
      <c r="C5022" t="s">
        <v>53</v>
      </c>
      <c r="D5022">
        <v>4757001</v>
      </c>
      <c r="E5022" t="s">
        <v>330</v>
      </c>
    </row>
    <row r="5023" spans="1:5" x14ac:dyDescent="0.25">
      <c r="A5023">
        <v>1622</v>
      </c>
      <c r="B5023" s="16">
        <v>44166</v>
      </c>
      <c r="C5023" t="s">
        <v>53</v>
      </c>
      <c r="D5023">
        <v>4757001</v>
      </c>
      <c r="E5023" t="s">
        <v>330</v>
      </c>
    </row>
    <row r="5024" spans="1:5" x14ac:dyDescent="0.25">
      <c r="A5024">
        <v>1622</v>
      </c>
      <c r="B5024" s="16">
        <v>44197</v>
      </c>
      <c r="C5024" t="s">
        <v>53</v>
      </c>
      <c r="D5024">
        <v>4757001</v>
      </c>
      <c r="E5024" t="s">
        <v>330</v>
      </c>
    </row>
    <row r="5025" spans="1:5" x14ac:dyDescent="0.25">
      <c r="A5025">
        <v>1622</v>
      </c>
      <c r="B5025" s="16">
        <v>44228</v>
      </c>
      <c r="C5025" t="s">
        <v>53</v>
      </c>
      <c r="D5025">
        <v>4757001</v>
      </c>
      <c r="E5025" t="s">
        <v>330</v>
      </c>
    </row>
    <row r="5026" spans="1:5" x14ac:dyDescent="0.25">
      <c r="A5026">
        <v>1622</v>
      </c>
      <c r="B5026" s="16">
        <v>44256</v>
      </c>
      <c r="C5026" t="s">
        <v>53</v>
      </c>
      <c r="D5026">
        <v>4757001</v>
      </c>
      <c r="E5026" t="s">
        <v>330</v>
      </c>
    </row>
    <row r="5027" spans="1:5" x14ac:dyDescent="0.25">
      <c r="A5027">
        <v>1622</v>
      </c>
      <c r="B5027" s="16">
        <v>44287</v>
      </c>
      <c r="C5027" t="s">
        <v>53</v>
      </c>
      <c r="D5027">
        <v>4757001</v>
      </c>
      <c r="E5027" t="s">
        <v>330</v>
      </c>
    </row>
    <row r="5028" spans="1:5" x14ac:dyDescent="0.25">
      <c r="A5028">
        <v>1622</v>
      </c>
      <c r="B5028" s="16">
        <v>44317</v>
      </c>
      <c r="C5028" t="s">
        <v>53</v>
      </c>
      <c r="D5028">
        <v>4757001</v>
      </c>
      <c r="E5028" t="s">
        <v>330</v>
      </c>
    </row>
    <row r="5029" spans="1:5" x14ac:dyDescent="0.25">
      <c r="A5029">
        <v>1622</v>
      </c>
      <c r="B5029" s="16">
        <v>44348</v>
      </c>
      <c r="C5029" t="s">
        <v>53</v>
      </c>
      <c r="D5029">
        <v>4757001</v>
      </c>
      <c r="E5029" t="s">
        <v>330</v>
      </c>
    </row>
    <row r="5030" spans="1:5" x14ac:dyDescent="0.25">
      <c r="A5030">
        <v>1622</v>
      </c>
      <c r="B5030" s="16">
        <v>44378</v>
      </c>
      <c r="C5030" t="s">
        <v>53</v>
      </c>
      <c r="D5030">
        <v>4757001</v>
      </c>
      <c r="E5030" t="s">
        <v>330</v>
      </c>
    </row>
    <row r="5031" spans="1:5" x14ac:dyDescent="0.25">
      <c r="A5031">
        <v>1622</v>
      </c>
      <c r="B5031" s="16">
        <v>44409</v>
      </c>
      <c r="C5031" t="s">
        <v>53</v>
      </c>
      <c r="D5031">
        <v>4757001</v>
      </c>
      <c r="E5031" t="s">
        <v>330</v>
      </c>
    </row>
    <row r="5032" spans="1:5" x14ac:dyDescent="0.25">
      <c r="A5032">
        <v>1622</v>
      </c>
      <c r="B5032" s="16">
        <v>44440</v>
      </c>
      <c r="C5032" t="s">
        <v>53</v>
      </c>
      <c r="D5032">
        <v>4757001</v>
      </c>
      <c r="E5032" t="s">
        <v>330</v>
      </c>
    </row>
    <row r="5033" spans="1:5" x14ac:dyDescent="0.25">
      <c r="A5033">
        <v>1622</v>
      </c>
      <c r="B5033" s="16">
        <v>44470</v>
      </c>
      <c r="C5033" t="s">
        <v>53</v>
      </c>
      <c r="D5033">
        <v>4757001</v>
      </c>
      <c r="E5033" t="s">
        <v>330</v>
      </c>
    </row>
    <row r="5034" spans="1:5" x14ac:dyDescent="0.25">
      <c r="A5034">
        <v>1622</v>
      </c>
      <c r="B5034" s="16">
        <v>43466</v>
      </c>
      <c r="C5034" t="s">
        <v>54</v>
      </c>
      <c r="D5034">
        <v>6199545</v>
      </c>
      <c r="E5034" t="s">
        <v>330</v>
      </c>
    </row>
    <row r="5035" spans="1:5" x14ac:dyDescent="0.25">
      <c r="A5035">
        <v>1622</v>
      </c>
      <c r="B5035" s="16">
        <v>43497</v>
      </c>
      <c r="C5035" t="s">
        <v>54</v>
      </c>
      <c r="D5035">
        <v>6199545</v>
      </c>
      <c r="E5035" t="s">
        <v>330</v>
      </c>
    </row>
    <row r="5036" spans="1:5" x14ac:dyDescent="0.25">
      <c r="A5036">
        <v>1622</v>
      </c>
      <c r="B5036" s="16">
        <v>43525</v>
      </c>
      <c r="C5036" t="s">
        <v>54</v>
      </c>
      <c r="D5036">
        <v>6199545</v>
      </c>
      <c r="E5036" t="s">
        <v>330</v>
      </c>
    </row>
    <row r="5037" spans="1:5" x14ac:dyDescent="0.25">
      <c r="A5037">
        <v>1622</v>
      </c>
      <c r="B5037" s="16">
        <v>43556</v>
      </c>
      <c r="C5037" t="s">
        <v>54</v>
      </c>
      <c r="D5037">
        <v>6199545</v>
      </c>
      <c r="E5037" t="s">
        <v>330</v>
      </c>
    </row>
    <row r="5038" spans="1:5" x14ac:dyDescent="0.25">
      <c r="A5038">
        <v>1622</v>
      </c>
      <c r="B5038" s="16">
        <v>43586</v>
      </c>
      <c r="C5038" t="s">
        <v>54</v>
      </c>
      <c r="D5038">
        <v>6199545</v>
      </c>
      <c r="E5038" t="s">
        <v>330</v>
      </c>
    </row>
    <row r="5039" spans="1:5" x14ac:dyDescent="0.25">
      <c r="A5039">
        <v>1622</v>
      </c>
      <c r="B5039" s="16">
        <v>43617</v>
      </c>
      <c r="C5039" t="s">
        <v>54</v>
      </c>
      <c r="D5039">
        <v>6199545</v>
      </c>
      <c r="E5039" t="s">
        <v>330</v>
      </c>
    </row>
    <row r="5040" spans="1:5" x14ac:dyDescent="0.25">
      <c r="A5040">
        <v>1622</v>
      </c>
      <c r="B5040" s="16">
        <v>43647</v>
      </c>
      <c r="C5040" t="s">
        <v>54</v>
      </c>
      <c r="D5040">
        <v>6199545</v>
      </c>
      <c r="E5040" t="s">
        <v>330</v>
      </c>
    </row>
    <row r="5041" spans="1:5" x14ac:dyDescent="0.25">
      <c r="A5041">
        <v>1622</v>
      </c>
      <c r="B5041" s="16">
        <v>43678</v>
      </c>
      <c r="C5041" t="s">
        <v>54</v>
      </c>
      <c r="D5041">
        <v>6199545</v>
      </c>
      <c r="E5041" t="s">
        <v>330</v>
      </c>
    </row>
    <row r="5042" spans="1:5" x14ac:dyDescent="0.25">
      <c r="A5042">
        <v>1622</v>
      </c>
      <c r="B5042" s="16">
        <v>43709</v>
      </c>
      <c r="C5042" t="s">
        <v>54</v>
      </c>
      <c r="D5042">
        <v>6199545</v>
      </c>
      <c r="E5042" t="s">
        <v>330</v>
      </c>
    </row>
    <row r="5043" spans="1:5" x14ac:dyDescent="0.25">
      <c r="A5043">
        <v>1622</v>
      </c>
      <c r="B5043" s="16">
        <v>43739</v>
      </c>
      <c r="C5043" t="s">
        <v>54</v>
      </c>
      <c r="D5043">
        <v>6199545</v>
      </c>
      <c r="E5043" t="s">
        <v>330</v>
      </c>
    </row>
    <row r="5044" spans="1:5" x14ac:dyDescent="0.25">
      <c r="A5044">
        <v>1622</v>
      </c>
      <c r="B5044" s="16">
        <v>43770</v>
      </c>
      <c r="C5044" t="s">
        <v>54</v>
      </c>
      <c r="D5044">
        <v>6199545</v>
      </c>
      <c r="E5044" t="s">
        <v>330</v>
      </c>
    </row>
    <row r="5045" spans="1:5" x14ac:dyDescent="0.25">
      <c r="A5045">
        <v>1622</v>
      </c>
      <c r="B5045" s="16">
        <v>43800</v>
      </c>
      <c r="C5045" t="s">
        <v>54</v>
      </c>
      <c r="D5045">
        <v>6199545</v>
      </c>
      <c r="E5045" t="s">
        <v>330</v>
      </c>
    </row>
    <row r="5046" spans="1:5" x14ac:dyDescent="0.25">
      <c r="A5046">
        <v>1622</v>
      </c>
      <c r="B5046" s="16">
        <v>43831</v>
      </c>
      <c r="C5046" t="s">
        <v>54</v>
      </c>
      <c r="D5046">
        <v>6199545</v>
      </c>
      <c r="E5046" t="s">
        <v>330</v>
      </c>
    </row>
    <row r="5047" spans="1:5" x14ac:dyDescent="0.25">
      <c r="A5047">
        <v>1622</v>
      </c>
      <c r="B5047" s="16">
        <v>43862</v>
      </c>
      <c r="C5047" t="s">
        <v>54</v>
      </c>
      <c r="D5047">
        <v>6199545</v>
      </c>
      <c r="E5047" t="s">
        <v>330</v>
      </c>
    </row>
    <row r="5048" spans="1:5" x14ac:dyDescent="0.25">
      <c r="A5048">
        <v>1622</v>
      </c>
      <c r="B5048" s="16">
        <v>43891</v>
      </c>
      <c r="C5048" t="s">
        <v>54</v>
      </c>
      <c r="D5048">
        <v>6199545</v>
      </c>
      <c r="E5048" t="s">
        <v>330</v>
      </c>
    </row>
    <row r="5049" spans="1:5" x14ac:dyDescent="0.25">
      <c r="A5049">
        <v>1622</v>
      </c>
      <c r="B5049" s="16">
        <v>43922</v>
      </c>
      <c r="C5049" t="s">
        <v>54</v>
      </c>
      <c r="D5049">
        <v>6199545</v>
      </c>
      <c r="E5049" t="s">
        <v>330</v>
      </c>
    </row>
    <row r="5050" spans="1:5" x14ac:dyDescent="0.25">
      <c r="A5050">
        <v>1622</v>
      </c>
      <c r="B5050" s="16">
        <v>43952</v>
      </c>
      <c r="C5050" t="s">
        <v>54</v>
      </c>
      <c r="D5050">
        <v>6199545</v>
      </c>
      <c r="E5050" t="s">
        <v>330</v>
      </c>
    </row>
    <row r="5051" spans="1:5" x14ac:dyDescent="0.25">
      <c r="A5051">
        <v>1622</v>
      </c>
      <c r="B5051" s="16">
        <v>43983</v>
      </c>
      <c r="C5051" t="s">
        <v>54</v>
      </c>
      <c r="D5051">
        <v>6199545</v>
      </c>
      <c r="E5051" t="s">
        <v>330</v>
      </c>
    </row>
    <row r="5052" spans="1:5" x14ac:dyDescent="0.25">
      <c r="A5052">
        <v>1622</v>
      </c>
      <c r="B5052" s="16">
        <v>44013</v>
      </c>
      <c r="C5052" t="s">
        <v>54</v>
      </c>
      <c r="D5052">
        <v>6199545</v>
      </c>
      <c r="E5052" t="s">
        <v>330</v>
      </c>
    </row>
    <row r="5053" spans="1:5" x14ac:dyDescent="0.25">
      <c r="A5053">
        <v>1622</v>
      </c>
      <c r="B5053" s="16">
        <v>44044</v>
      </c>
      <c r="C5053" t="s">
        <v>54</v>
      </c>
      <c r="D5053">
        <v>6199545</v>
      </c>
      <c r="E5053" t="s">
        <v>330</v>
      </c>
    </row>
    <row r="5054" spans="1:5" x14ac:dyDescent="0.25">
      <c r="A5054">
        <v>1622</v>
      </c>
      <c r="B5054" s="16">
        <v>44075</v>
      </c>
      <c r="C5054" t="s">
        <v>54</v>
      </c>
      <c r="D5054">
        <v>6199545</v>
      </c>
      <c r="E5054" t="s">
        <v>330</v>
      </c>
    </row>
    <row r="5055" spans="1:5" x14ac:dyDescent="0.25">
      <c r="A5055">
        <v>1622</v>
      </c>
      <c r="B5055" s="16">
        <v>44105</v>
      </c>
      <c r="C5055" t="s">
        <v>54</v>
      </c>
      <c r="D5055">
        <v>6199545</v>
      </c>
      <c r="E5055" t="s">
        <v>330</v>
      </c>
    </row>
    <row r="5056" spans="1:5" x14ac:dyDescent="0.25">
      <c r="A5056">
        <v>1622</v>
      </c>
      <c r="B5056" s="16">
        <v>44136</v>
      </c>
      <c r="C5056" t="s">
        <v>54</v>
      </c>
      <c r="D5056">
        <v>6199545</v>
      </c>
      <c r="E5056" t="s">
        <v>330</v>
      </c>
    </row>
    <row r="5057" spans="1:5" x14ac:dyDescent="0.25">
      <c r="A5057">
        <v>1622</v>
      </c>
      <c r="B5057" s="16">
        <v>44166</v>
      </c>
      <c r="C5057" t="s">
        <v>54</v>
      </c>
      <c r="D5057">
        <v>6199545</v>
      </c>
      <c r="E5057" t="s">
        <v>330</v>
      </c>
    </row>
    <row r="5058" spans="1:5" x14ac:dyDescent="0.25">
      <c r="A5058">
        <v>1622</v>
      </c>
      <c r="B5058" s="16">
        <v>44197</v>
      </c>
      <c r="C5058" t="s">
        <v>54</v>
      </c>
      <c r="D5058">
        <v>6199545</v>
      </c>
      <c r="E5058" t="s">
        <v>330</v>
      </c>
    </row>
    <row r="5059" spans="1:5" x14ac:dyDescent="0.25">
      <c r="A5059">
        <v>1622</v>
      </c>
      <c r="B5059" s="16">
        <v>44228</v>
      </c>
      <c r="C5059" t="s">
        <v>54</v>
      </c>
      <c r="D5059">
        <v>6199545</v>
      </c>
      <c r="E5059" t="s">
        <v>330</v>
      </c>
    </row>
    <row r="5060" spans="1:5" x14ac:dyDescent="0.25">
      <c r="A5060">
        <v>1622</v>
      </c>
      <c r="B5060" s="16">
        <v>44256</v>
      </c>
      <c r="C5060" t="s">
        <v>54</v>
      </c>
      <c r="D5060">
        <v>6199545</v>
      </c>
      <c r="E5060" t="s">
        <v>330</v>
      </c>
    </row>
    <row r="5061" spans="1:5" x14ac:dyDescent="0.25">
      <c r="A5061">
        <v>1622</v>
      </c>
      <c r="B5061" s="16">
        <v>44287</v>
      </c>
      <c r="C5061" t="s">
        <v>54</v>
      </c>
      <c r="D5061">
        <v>6199545</v>
      </c>
      <c r="E5061" t="s">
        <v>330</v>
      </c>
    </row>
    <row r="5062" spans="1:5" x14ac:dyDescent="0.25">
      <c r="A5062">
        <v>1622</v>
      </c>
      <c r="B5062" s="16">
        <v>44317</v>
      </c>
      <c r="C5062" t="s">
        <v>54</v>
      </c>
      <c r="D5062">
        <v>6199545</v>
      </c>
      <c r="E5062" t="s">
        <v>330</v>
      </c>
    </row>
    <row r="5063" spans="1:5" x14ac:dyDescent="0.25">
      <c r="A5063">
        <v>1622</v>
      </c>
      <c r="B5063" s="16">
        <v>44348</v>
      </c>
      <c r="C5063" t="s">
        <v>54</v>
      </c>
      <c r="D5063">
        <v>6199545</v>
      </c>
      <c r="E5063" t="s">
        <v>330</v>
      </c>
    </row>
    <row r="5064" spans="1:5" x14ac:dyDescent="0.25">
      <c r="A5064">
        <v>1622</v>
      </c>
      <c r="B5064" s="16">
        <v>44378</v>
      </c>
      <c r="C5064" t="s">
        <v>54</v>
      </c>
      <c r="D5064">
        <v>6199545</v>
      </c>
      <c r="E5064" t="s">
        <v>330</v>
      </c>
    </row>
    <row r="5065" spans="1:5" x14ac:dyDescent="0.25">
      <c r="A5065">
        <v>1622</v>
      </c>
      <c r="B5065" s="16">
        <v>44409</v>
      </c>
      <c r="C5065" t="s">
        <v>54</v>
      </c>
      <c r="D5065">
        <v>6199545</v>
      </c>
      <c r="E5065" t="s">
        <v>330</v>
      </c>
    </row>
    <row r="5066" spans="1:5" x14ac:dyDescent="0.25">
      <c r="A5066">
        <v>1622</v>
      </c>
      <c r="B5066" s="16">
        <v>44440</v>
      </c>
      <c r="C5066" t="s">
        <v>54</v>
      </c>
      <c r="D5066">
        <v>6199545</v>
      </c>
      <c r="E5066" t="s">
        <v>330</v>
      </c>
    </row>
    <row r="5067" spans="1:5" x14ac:dyDescent="0.25">
      <c r="A5067">
        <v>1622</v>
      </c>
      <c r="B5067" s="16">
        <v>44470</v>
      </c>
      <c r="C5067" t="s">
        <v>54</v>
      </c>
      <c r="D5067">
        <v>6199545</v>
      </c>
      <c r="E5067" t="s">
        <v>330</v>
      </c>
    </row>
    <row r="5068" spans="1:5" x14ac:dyDescent="0.25">
      <c r="A5068">
        <v>1622</v>
      </c>
      <c r="B5068" s="16">
        <v>43466</v>
      </c>
      <c r="C5068" t="s">
        <v>55</v>
      </c>
      <c r="D5068">
        <v>6239898</v>
      </c>
      <c r="E5068" t="s">
        <v>330</v>
      </c>
    </row>
    <row r="5069" spans="1:5" x14ac:dyDescent="0.25">
      <c r="A5069">
        <v>1622</v>
      </c>
      <c r="B5069" s="16">
        <v>43497</v>
      </c>
      <c r="C5069" t="s">
        <v>55</v>
      </c>
      <c r="D5069">
        <v>6239898</v>
      </c>
      <c r="E5069" t="s">
        <v>330</v>
      </c>
    </row>
    <row r="5070" spans="1:5" x14ac:dyDescent="0.25">
      <c r="A5070">
        <v>1622</v>
      </c>
      <c r="B5070" s="16">
        <v>43525</v>
      </c>
      <c r="C5070" t="s">
        <v>55</v>
      </c>
      <c r="D5070">
        <v>6239898</v>
      </c>
      <c r="E5070" t="s">
        <v>330</v>
      </c>
    </row>
    <row r="5071" spans="1:5" x14ac:dyDescent="0.25">
      <c r="A5071">
        <v>1622</v>
      </c>
      <c r="B5071" s="16">
        <v>43556</v>
      </c>
      <c r="C5071" t="s">
        <v>55</v>
      </c>
      <c r="D5071">
        <v>6239898</v>
      </c>
      <c r="E5071" t="s">
        <v>330</v>
      </c>
    </row>
    <row r="5072" spans="1:5" x14ac:dyDescent="0.25">
      <c r="A5072">
        <v>1622</v>
      </c>
      <c r="B5072" s="16">
        <v>43586</v>
      </c>
      <c r="C5072" t="s">
        <v>55</v>
      </c>
      <c r="D5072">
        <v>6239898</v>
      </c>
      <c r="E5072" t="s">
        <v>330</v>
      </c>
    </row>
    <row r="5073" spans="1:5" x14ac:dyDescent="0.25">
      <c r="A5073">
        <v>1622</v>
      </c>
      <c r="B5073" s="16">
        <v>43617</v>
      </c>
      <c r="C5073" t="s">
        <v>55</v>
      </c>
      <c r="D5073">
        <v>6239898</v>
      </c>
      <c r="E5073" t="s">
        <v>330</v>
      </c>
    </row>
    <row r="5074" spans="1:5" x14ac:dyDescent="0.25">
      <c r="A5074">
        <v>1622</v>
      </c>
      <c r="B5074" s="16">
        <v>43647</v>
      </c>
      <c r="C5074" t="s">
        <v>55</v>
      </c>
      <c r="D5074">
        <v>6239898</v>
      </c>
      <c r="E5074" t="s">
        <v>330</v>
      </c>
    </row>
    <row r="5075" spans="1:5" x14ac:dyDescent="0.25">
      <c r="A5075">
        <v>1622</v>
      </c>
      <c r="B5075" s="16">
        <v>43678</v>
      </c>
      <c r="C5075" t="s">
        <v>55</v>
      </c>
      <c r="D5075">
        <v>6239898</v>
      </c>
      <c r="E5075" t="s">
        <v>330</v>
      </c>
    </row>
    <row r="5076" spans="1:5" x14ac:dyDescent="0.25">
      <c r="A5076">
        <v>1622</v>
      </c>
      <c r="B5076" s="16">
        <v>43466</v>
      </c>
      <c r="C5076" t="s">
        <v>56</v>
      </c>
      <c r="D5076">
        <v>7453077</v>
      </c>
      <c r="E5076" t="s">
        <v>330</v>
      </c>
    </row>
    <row r="5077" spans="1:5" x14ac:dyDescent="0.25">
      <c r="A5077">
        <v>1622</v>
      </c>
      <c r="B5077" s="16">
        <v>43497</v>
      </c>
      <c r="C5077" t="s">
        <v>56</v>
      </c>
      <c r="D5077">
        <v>7453077</v>
      </c>
      <c r="E5077" t="s">
        <v>330</v>
      </c>
    </row>
    <row r="5078" spans="1:5" x14ac:dyDescent="0.25">
      <c r="A5078">
        <v>1622</v>
      </c>
      <c r="B5078" s="16">
        <v>43525</v>
      </c>
      <c r="C5078" t="s">
        <v>56</v>
      </c>
      <c r="D5078">
        <v>7453077</v>
      </c>
      <c r="E5078" t="s">
        <v>330</v>
      </c>
    </row>
    <row r="5079" spans="1:5" x14ac:dyDescent="0.25">
      <c r="A5079">
        <v>1622</v>
      </c>
      <c r="B5079" s="16">
        <v>43556</v>
      </c>
      <c r="C5079" t="s">
        <v>56</v>
      </c>
      <c r="D5079">
        <v>7453077</v>
      </c>
      <c r="E5079" t="s">
        <v>330</v>
      </c>
    </row>
    <row r="5080" spans="1:5" x14ac:dyDescent="0.25">
      <c r="A5080">
        <v>1622</v>
      </c>
      <c r="B5080" s="16">
        <v>43586</v>
      </c>
      <c r="C5080" t="s">
        <v>56</v>
      </c>
      <c r="D5080">
        <v>7453077</v>
      </c>
      <c r="E5080" t="s">
        <v>330</v>
      </c>
    </row>
    <row r="5081" spans="1:5" x14ac:dyDescent="0.25">
      <c r="A5081">
        <v>1622</v>
      </c>
      <c r="B5081" s="16">
        <v>43617</v>
      </c>
      <c r="C5081" t="s">
        <v>56</v>
      </c>
      <c r="D5081">
        <v>7453077</v>
      </c>
      <c r="E5081" t="s">
        <v>330</v>
      </c>
    </row>
    <row r="5082" spans="1:5" x14ac:dyDescent="0.25">
      <c r="A5082">
        <v>1622</v>
      </c>
      <c r="B5082" s="16">
        <v>43647</v>
      </c>
      <c r="C5082" t="s">
        <v>56</v>
      </c>
      <c r="D5082">
        <v>7453077</v>
      </c>
      <c r="E5082" t="s">
        <v>330</v>
      </c>
    </row>
    <row r="5083" spans="1:5" x14ac:dyDescent="0.25">
      <c r="A5083">
        <v>1622</v>
      </c>
      <c r="B5083" s="16">
        <v>43678</v>
      </c>
      <c r="C5083" t="s">
        <v>56</v>
      </c>
      <c r="D5083">
        <v>7453077</v>
      </c>
      <c r="E5083" t="s">
        <v>330</v>
      </c>
    </row>
    <row r="5084" spans="1:5" x14ac:dyDescent="0.25">
      <c r="A5084">
        <v>1622</v>
      </c>
      <c r="B5084" s="16">
        <v>43709</v>
      </c>
      <c r="C5084" t="s">
        <v>56</v>
      </c>
      <c r="D5084">
        <v>7453077</v>
      </c>
      <c r="E5084" t="s">
        <v>330</v>
      </c>
    </row>
    <row r="5085" spans="1:5" x14ac:dyDescent="0.25">
      <c r="A5085">
        <v>1622</v>
      </c>
      <c r="B5085" s="16">
        <v>43739</v>
      </c>
      <c r="C5085" t="s">
        <v>56</v>
      </c>
      <c r="D5085">
        <v>7453077</v>
      </c>
      <c r="E5085" t="s">
        <v>330</v>
      </c>
    </row>
    <row r="5086" spans="1:5" x14ac:dyDescent="0.25">
      <c r="A5086">
        <v>1622</v>
      </c>
      <c r="B5086" s="16">
        <v>43770</v>
      </c>
      <c r="C5086" t="s">
        <v>56</v>
      </c>
      <c r="D5086">
        <v>7453077</v>
      </c>
      <c r="E5086" t="s">
        <v>330</v>
      </c>
    </row>
    <row r="5087" spans="1:5" x14ac:dyDescent="0.25">
      <c r="A5087">
        <v>1622</v>
      </c>
      <c r="B5087" s="16">
        <v>43800</v>
      </c>
      <c r="C5087" t="s">
        <v>56</v>
      </c>
      <c r="D5087">
        <v>7453077</v>
      </c>
      <c r="E5087" t="s">
        <v>330</v>
      </c>
    </row>
    <row r="5088" spans="1:5" x14ac:dyDescent="0.25">
      <c r="A5088">
        <v>1622</v>
      </c>
      <c r="B5088" s="16">
        <v>43831</v>
      </c>
      <c r="C5088" t="s">
        <v>56</v>
      </c>
      <c r="D5088">
        <v>7453077</v>
      </c>
      <c r="E5088" t="s">
        <v>330</v>
      </c>
    </row>
    <row r="5089" spans="1:5" x14ac:dyDescent="0.25">
      <c r="A5089">
        <v>1622</v>
      </c>
      <c r="B5089" s="16">
        <v>43466</v>
      </c>
      <c r="C5089" t="s">
        <v>35</v>
      </c>
      <c r="D5089">
        <v>3580481.2499999995</v>
      </c>
      <c r="E5089" t="s">
        <v>330</v>
      </c>
    </row>
    <row r="5090" spans="1:5" x14ac:dyDescent="0.25">
      <c r="A5090">
        <v>1622</v>
      </c>
      <c r="B5090" s="16">
        <v>43497</v>
      </c>
      <c r="C5090" t="s">
        <v>35</v>
      </c>
      <c r="D5090">
        <v>3580481.2499999995</v>
      </c>
      <c r="E5090" t="s">
        <v>330</v>
      </c>
    </row>
    <row r="5091" spans="1:5" x14ac:dyDescent="0.25">
      <c r="A5091">
        <v>1622</v>
      </c>
      <c r="B5091" s="16">
        <v>43466</v>
      </c>
      <c r="C5091" t="s">
        <v>61</v>
      </c>
      <c r="D5091">
        <v>3687130.4999999995</v>
      </c>
      <c r="E5091" t="s">
        <v>330</v>
      </c>
    </row>
    <row r="5092" spans="1:5" x14ac:dyDescent="0.25">
      <c r="A5092">
        <v>1622</v>
      </c>
      <c r="B5092" s="16">
        <v>43497</v>
      </c>
      <c r="C5092" t="s">
        <v>61</v>
      </c>
      <c r="D5092">
        <v>3687130.4999999995</v>
      </c>
      <c r="E5092" t="s">
        <v>330</v>
      </c>
    </row>
    <row r="5093" spans="1:5" x14ac:dyDescent="0.25">
      <c r="A5093">
        <v>1622</v>
      </c>
      <c r="B5093" s="16">
        <v>43525</v>
      </c>
      <c r="C5093" t="s">
        <v>61</v>
      </c>
      <c r="D5093">
        <v>3687130.4999999995</v>
      </c>
      <c r="E5093" t="s">
        <v>330</v>
      </c>
    </row>
    <row r="5094" spans="1:5" x14ac:dyDescent="0.25">
      <c r="A5094">
        <v>1622</v>
      </c>
      <c r="B5094" s="16">
        <v>43556</v>
      </c>
      <c r="C5094" t="s">
        <v>61</v>
      </c>
      <c r="D5094">
        <v>3687130.4999999995</v>
      </c>
      <c r="E5094" t="s">
        <v>330</v>
      </c>
    </row>
    <row r="5095" spans="1:5" x14ac:dyDescent="0.25">
      <c r="A5095">
        <v>1622</v>
      </c>
      <c r="B5095" s="16">
        <v>43466</v>
      </c>
      <c r="C5095" t="s">
        <v>62</v>
      </c>
      <c r="D5095">
        <v>4479713.6999999993</v>
      </c>
      <c r="E5095" t="s">
        <v>330</v>
      </c>
    </row>
    <row r="5096" spans="1:5" x14ac:dyDescent="0.25">
      <c r="A5096">
        <v>1622</v>
      </c>
      <c r="B5096" s="16">
        <v>43497</v>
      </c>
      <c r="C5096" t="s">
        <v>62</v>
      </c>
      <c r="D5096">
        <v>4479713.6999999993</v>
      </c>
      <c r="E5096" t="s">
        <v>330</v>
      </c>
    </row>
    <row r="5097" spans="1:5" x14ac:dyDescent="0.25">
      <c r="A5097">
        <v>1622</v>
      </c>
      <c r="B5097" s="16">
        <v>43525</v>
      </c>
      <c r="C5097" t="s">
        <v>62</v>
      </c>
      <c r="D5097">
        <v>4479713.6999999993</v>
      </c>
      <c r="E5097" t="s">
        <v>330</v>
      </c>
    </row>
    <row r="5098" spans="1:5" x14ac:dyDescent="0.25">
      <c r="A5098">
        <v>1622</v>
      </c>
      <c r="B5098" s="16">
        <v>43556</v>
      </c>
      <c r="C5098" t="s">
        <v>62</v>
      </c>
      <c r="D5098">
        <v>4479713.6999999993</v>
      </c>
      <c r="E5098" t="s">
        <v>330</v>
      </c>
    </row>
    <row r="5099" spans="1:5" x14ac:dyDescent="0.25">
      <c r="A5099">
        <v>1622</v>
      </c>
      <c r="B5099" s="16">
        <v>43586</v>
      </c>
      <c r="C5099" t="s">
        <v>62</v>
      </c>
      <c r="D5099">
        <v>4479713.6999999993</v>
      </c>
      <c r="E5099" t="s">
        <v>330</v>
      </c>
    </row>
    <row r="5100" spans="1:5" x14ac:dyDescent="0.25">
      <c r="A5100">
        <v>1622</v>
      </c>
      <c r="B5100" s="16">
        <v>43617</v>
      </c>
      <c r="C5100" t="s">
        <v>62</v>
      </c>
      <c r="D5100">
        <v>4479713.6999999993</v>
      </c>
      <c r="E5100" t="s">
        <v>330</v>
      </c>
    </row>
    <row r="5101" spans="1:5" x14ac:dyDescent="0.25">
      <c r="A5101">
        <v>1622</v>
      </c>
      <c r="B5101" s="16">
        <v>43647</v>
      </c>
      <c r="C5101" t="s">
        <v>62</v>
      </c>
      <c r="D5101">
        <v>4479713.6999999993</v>
      </c>
      <c r="E5101" t="s">
        <v>330</v>
      </c>
    </row>
    <row r="5102" spans="1:5" x14ac:dyDescent="0.25">
      <c r="A5102">
        <v>1622</v>
      </c>
      <c r="B5102" s="16">
        <v>43678</v>
      </c>
      <c r="C5102" t="s">
        <v>62</v>
      </c>
      <c r="D5102">
        <v>4479713.6999999993</v>
      </c>
      <c r="E5102" t="s">
        <v>330</v>
      </c>
    </row>
    <row r="5103" spans="1:5" x14ac:dyDescent="0.25">
      <c r="A5103">
        <v>1622</v>
      </c>
      <c r="B5103" s="16">
        <v>43709</v>
      </c>
      <c r="C5103" t="s">
        <v>62</v>
      </c>
      <c r="D5103">
        <v>4479713.6999999993</v>
      </c>
      <c r="E5103" t="s">
        <v>330</v>
      </c>
    </row>
    <row r="5104" spans="1:5" x14ac:dyDescent="0.25">
      <c r="A5104">
        <v>1622</v>
      </c>
      <c r="B5104" s="16">
        <v>43739</v>
      </c>
      <c r="C5104" t="s">
        <v>62</v>
      </c>
      <c r="D5104">
        <v>4479713.6999999993</v>
      </c>
      <c r="E5104" t="s">
        <v>330</v>
      </c>
    </row>
    <row r="5105" spans="1:5" x14ac:dyDescent="0.25">
      <c r="A5105">
        <v>1622</v>
      </c>
      <c r="B5105" s="16">
        <v>43466</v>
      </c>
      <c r="C5105" t="s">
        <v>63</v>
      </c>
      <c r="D5105">
        <v>4487334.5699999994</v>
      </c>
      <c r="E5105" t="s">
        <v>330</v>
      </c>
    </row>
    <row r="5106" spans="1:5" x14ac:dyDescent="0.25">
      <c r="A5106">
        <v>1622</v>
      </c>
      <c r="B5106" s="16">
        <v>43497</v>
      </c>
      <c r="C5106" t="s">
        <v>63</v>
      </c>
      <c r="D5106">
        <v>4487334.5699999994</v>
      </c>
      <c r="E5106" t="s">
        <v>330</v>
      </c>
    </row>
    <row r="5107" spans="1:5" x14ac:dyDescent="0.25">
      <c r="A5107">
        <v>1622</v>
      </c>
      <c r="B5107" s="16">
        <v>43466</v>
      </c>
      <c r="C5107" t="s">
        <v>21</v>
      </c>
      <c r="D5107">
        <v>3611462.4</v>
      </c>
      <c r="E5107" t="s">
        <v>330</v>
      </c>
    </row>
    <row r="5108" spans="1:5" x14ac:dyDescent="0.25">
      <c r="A5108">
        <v>1622</v>
      </c>
      <c r="B5108" s="16">
        <v>43497</v>
      </c>
      <c r="C5108" t="s">
        <v>21</v>
      </c>
      <c r="D5108">
        <v>3611462.4</v>
      </c>
      <c r="E5108" t="s">
        <v>330</v>
      </c>
    </row>
    <row r="5109" spans="1:5" x14ac:dyDescent="0.25">
      <c r="A5109">
        <v>1622</v>
      </c>
      <c r="B5109" s="16">
        <v>43525</v>
      </c>
      <c r="C5109" t="s">
        <v>21</v>
      </c>
      <c r="D5109">
        <v>3611462.4</v>
      </c>
      <c r="E5109" t="s">
        <v>330</v>
      </c>
    </row>
    <row r="5110" spans="1:5" x14ac:dyDescent="0.25">
      <c r="A5110">
        <v>1622</v>
      </c>
      <c r="B5110" s="16">
        <v>43556</v>
      </c>
      <c r="C5110" t="s">
        <v>21</v>
      </c>
      <c r="D5110">
        <v>3611462.4</v>
      </c>
      <c r="E5110" t="s">
        <v>330</v>
      </c>
    </row>
    <row r="5111" spans="1:5" x14ac:dyDescent="0.25">
      <c r="A5111">
        <v>1622</v>
      </c>
      <c r="B5111" s="16">
        <v>43466</v>
      </c>
      <c r="C5111" t="s">
        <v>64</v>
      </c>
      <c r="D5111">
        <v>3767611.53</v>
      </c>
      <c r="E5111" t="s">
        <v>330</v>
      </c>
    </row>
    <row r="5112" spans="1:5" x14ac:dyDescent="0.25">
      <c r="A5112">
        <v>1622</v>
      </c>
      <c r="B5112" s="16">
        <v>43497</v>
      </c>
      <c r="C5112" t="s">
        <v>64</v>
      </c>
      <c r="D5112">
        <v>3767611.53</v>
      </c>
      <c r="E5112" t="s">
        <v>330</v>
      </c>
    </row>
    <row r="5113" spans="1:5" x14ac:dyDescent="0.25">
      <c r="A5113">
        <v>1622</v>
      </c>
      <c r="B5113" s="16">
        <v>43466</v>
      </c>
      <c r="C5113" t="s">
        <v>22</v>
      </c>
      <c r="D5113">
        <v>3767611.53</v>
      </c>
      <c r="E5113" t="s">
        <v>330</v>
      </c>
    </row>
    <row r="5114" spans="1:5" x14ac:dyDescent="0.25">
      <c r="A5114">
        <v>1622</v>
      </c>
      <c r="B5114" s="16">
        <v>43497</v>
      </c>
      <c r="C5114" t="s">
        <v>22</v>
      </c>
      <c r="D5114">
        <v>3767611.53</v>
      </c>
      <c r="E5114" t="s">
        <v>330</v>
      </c>
    </row>
    <row r="5115" spans="1:5" x14ac:dyDescent="0.25">
      <c r="A5115">
        <v>1622</v>
      </c>
      <c r="B5115" s="16">
        <v>43525</v>
      </c>
      <c r="C5115" t="s">
        <v>22</v>
      </c>
      <c r="D5115">
        <v>3767611.53</v>
      </c>
      <c r="E5115" t="s">
        <v>330</v>
      </c>
    </row>
    <row r="5116" spans="1:5" x14ac:dyDescent="0.25">
      <c r="A5116">
        <v>1622</v>
      </c>
      <c r="B5116" s="16">
        <v>43556</v>
      </c>
      <c r="C5116" t="s">
        <v>22</v>
      </c>
      <c r="D5116">
        <v>3767611.53</v>
      </c>
      <c r="E5116" t="s">
        <v>330</v>
      </c>
    </row>
    <row r="5117" spans="1:5" x14ac:dyDescent="0.25">
      <c r="A5117">
        <v>1622</v>
      </c>
      <c r="B5117" s="16">
        <v>43556</v>
      </c>
      <c r="C5117" t="s">
        <v>45</v>
      </c>
      <c r="D5117">
        <v>4477341.0150000006</v>
      </c>
      <c r="E5117" t="s">
        <v>330</v>
      </c>
    </row>
    <row r="5118" spans="1:5" x14ac:dyDescent="0.25">
      <c r="A5118">
        <v>1622</v>
      </c>
      <c r="B5118" s="16">
        <v>43586</v>
      </c>
      <c r="C5118" t="s">
        <v>45</v>
      </c>
      <c r="D5118">
        <v>4477341.0150000006</v>
      </c>
      <c r="E5118" t="s">
        <v>330</v>
      </c>
    </row>
    <row r="5119" spans="1:5" x14ac:dyDescent="0.25">
      <c r="A5119">
        <v>1622</v>
      </c>
      <c r="B5119" s="16">
        <v>43617</v>
      </c>
      <c r="C5119" t="s">
        <v>45</v>
      </c>
      <c r="D5119">
        <v>4477341.0150000006</v>
      </c>
      <c r="E5119" t="s">
        <v>330</v>
      </c>
    </row>
    <row r="5120" spans="1:5" x14ac:dyDescent="0.25">
      <c r="A5120">
        <v>1622</v>
      </c>
      <c r="B5120" s="16">
        <v>43647</v>
      </c>
      <c r="C5120" t="s">
        <v>45</v>
      </c>
      <c r="D5120">
        <v>4477341.0150000006</v>
      </c>
      <c r="E5120" t="s">
        <v>330</v>
      </c>
    </row>
    <row r="5121" spans="1:5" x14ac:dyDescent="0.25">
      <c r="A5121">
        <v>1622</v>
      </c>
      <c r="B5121" s="16">
        <v>43678</v>
      </c>
      <c r="C5121" t="s">
        <v>45</v>
      </c>
      <c r="D5121">
        <v>4477341.0150000006</v>
      </c>
      <c r="E5121" t="s">
        <v>330</v>
      </c>
    </row>
    <row r="5122" spans="1:5" x14ac:dyDescent="0.25">
      <c r="A5122">
        <v>1622</v>
      </c>
      <c r="B5122" s="16">
        <v>43709</v>
      </c>
      <c r="C5122" t="s">
        <v>45</v>
      </c>
      <c r="D5122">
        <v>4477341.0150000006</v>
      </c>
      <c r="E5122" t="s">
        <v>330</v>
      </c>
    </row>
    <row r="5123" spans="1:5" x14ac:dyDescent="0.25">
      <c r="A5123">
        <v>1622</v>
      </c>
      <c r="B5123" s="16">
        <v>43739</v>
      </c>
      <c r="C5123" t="s">
        <v>45</v>
      </c>
      <c r="D5123">
        <v>4477341.0150000006</v>
      </c>
      <c r="E5123" t="s">
        <v>330</v>
      </c>
    </row>
    <row r="5124" spans="1:5" x14ac:dyDescent="0.25">
      <c r="A5124">
        <v>1622</v>
      </c>
      <c r="B5124" s="16">
        <v>43556</v>
      </c>
      <c r="C5124" t="s">
        <v>46</v>
      </c>
      <c r="D5124">
        <v>3062689.7</v>
      </c>
      <c r="E5124" t="s">
        <v>330</v>
      </c>
    </row>
    <row r="5125" spans="1:5" x14ac:dyDescent="0.25">
      <c r="A5125">
        <v>1622</v>
      </c>
      <c r="B5125" s="16">
        <v>43586</v>
      </c>
      <c r="C5125" t="s">
        <v>46</v>
      </c>
      <c r="D5125">
        <v>3062689.7</v>
      </c>
      <c r="E5125" t="s">
        <v>330</v>
      </c>
    </row>
    <row r="5126" spans="1:5" x14ac:dyDescent="0.25">
      <c r="A5126">
        <v>1622</v>
      </c>
      <c r="B5126" s="16">
        <v>43617</v>
      </c>
      <c r="C5126" t="s">
        <v>46</v>
      </c>
      <c r="D5126">
        <v>3062689.7</v>
      </c>
      <c r="E5126" t="s">
        <v>330</v>
      </c>
    </row>
    <row r="5127" spans="1:5" x14ac:dyDescent="0.25">
      <c r="A5127">
        <v>1622</v>
      </c>
      <c r="B5127" s="16">
        <v>43647</v>
      </c>
      <c r="C5127" t="s">
        <v>46</v>
      </c>
      <c r="D5127">
        <v>3062689.7</v>
      </c>
      <c r="E5127" t="s">
        <v>330</v>
      </c>
    </row>
    <row r="5128" spans="1:5" x14ac:dyDescent="0.25">
      <c r="A5128">
        <v>1622</v>
      </c>
      <c r="B5128" s="16">
        <v>43678</v>
      </c>
      <c r="C5128" t="s">
        <v>46</v>
      </c>
      <c r="D5128">
        <v>3062689.7</v>
      </c>
      <c r="E5128" t="s">
        <v>330</v>
      </c>
    </row>
    <row r="5129" spans="1:5" x14ac:dyDescent="0.25">
      <c r="A5129">
        <v>1622</v>
      </c>
      <c r="B5129" s="16">
        <v>43709</v>
      </c>
      <c r="C5129" t="s">
        <v>46</v>
      </c>
      <c r="D5129">
        <v>3062689.7</v>
      </c>
      <c r="E5129" t="s">
        <v>330</v>
      </c>
    </row>
    <row r="5130" spans="1:5" x14ac:dyDescent="0.25">
      <c r="A5130">
        <v>1622</v>
      </c>
      <c r="B5130" s="16">
        <v>43739</v>
      </c>
      <c r="C5130" t="s">
        <v>46</v>
      </c>
      <c r="D5130">
        <v>3062689.7</v>
      </c>
      <c r="E5130" t="s">
        <v>330</v>
      </c>
    </row>
    <row r="5131" spans="1:5" x14ac:dyDescent="0.25">
      <c r="A5131">
        <v>1622</v>
      </c>
      <c r="B5131" s="16">
        <v>43556</v>
      </c>
      <c r="C5131" t="s">
        <v>48</v>
      </c>
      <c r="D5131">
        <v>4854913</v>
      </c>
      <c r="E5131" t="s">
        <v>330</v>
      </c>
    </row>
    <row r="5132" spans="1:5" x14ac:dyDescent="0.25">
      <c r="A5132">
        <v>1622</v>
      </c>
      <c r="B5132" s="16">
        <v>43586</v>
      </c>
      <c r="C5132" t="s">
        <v>48</v>
      </c>
      <c r="D5132">
        <v>4854913</v>
      </c>
      <c r="E5132" t="s">
        <v>330</v>
      </c>
    </row>
    <row r="5133" spans="1:5" x14ac:dyDescent="0.25">
      <c r="A5133">
        <v>1622</v>
      </c>
      <c r="B5133" s="16">
        <v>43617</v>
      </c>
      <c r="C5133" t="s">
        <v>48</v>
      </c>
      <c r="D5133">
        <v>4854913</v>
      </c>
      <c r="E5133" t="s">
        <v>330</v>
      </c>
    </row>
    <row r="5134" spans="1:5" x14ac:dyDescent="0.25">
      <c r="A5134">
        <v>1622</v>
      </c>
      <c r="B5134" s="16">
        <v>43647</v>
      </c>
      <c r="C5134" t="s">
        <v>48</v>
      </c>
      <c r="D5134">
        <v>4854913</v>
      </c>
      <c r="E5134" t="s">
        <v>330</v>
      </c>
    </row>
    <row r="5135" spans="1:5" x14ac:dyDescent="0.25">
      <c r="A5135">
        <v>1622</v>
      </c>
      <c r="B5135" s="16">
        <v>43678</v>
      </c>
      <c r="C5135" t="s">
        <v>48</v>
      </c>
      <c r="D5135">
        <v>4854913</v>
      </c>
      <c r="E5135" t="s">
        <v>330</v>
      </c>
    </row>
    <row r="5136" spans="1:5" x14ac:dyDescent="0.25">
      <c r="A5136">
        <v>1622</v>
      </c>
      <c r="B5136" s="16">
        <v>43709</v>
      </c>
      <c r="C5136" t="s">
        <v>48</v>
      </c>
      <c r="D5136">
        <v>4854913</v>
      </c>
      <c r="E5136" t="s">
        <v>330</v>
      </c>
    </row>
    <row r="5137" spans="1:5" x14ac:dyDescent="0.25">
      <c r="A5137">
        <v>1622</v>
      </c>
      <c r="B5137" s="16">
        <v>43739</v>
      </c>
      <c r="C5137" t="s">
        <v>48</v>
      </c>
      <c r="D5137">
        <v>4854913</v>
      </c>
      <c r="E5137" t="s">
        <v>330</v>
      </c>
    </row>
    <row r="5138" spans="1:5" x14ac:dyDescent="0.25">
      <c r="A5138">
        <v>1622</v>
      </c>
      <c r="B5138" s="16">
        <v>43556</v>
      </c>
      <c r="C5138" t="s">
        <v>49</v>
      </c>
      <c r="D5138">
        <v>29161467</v>
      </c>
      <c r="E5138" t="s">
        <v>330</v>
      </c>
    </row>
    <row r="5139" spans="1:5" x14ac:dyDescent="0.25">
      <c r="A5139">
        <v>1622</v>
      </c>
      <c r="B5139" s="16">
        <v>43586</v>
      </c>
      <c r="C5139" t="s">
        <v>49</v>
      </c>
      <c r="D5139">
        <v>29161467</v>
      </c>
      <c r="E5139" t="s">
        <v>330</v>
      </c>
    </row>
    <row r="5140" spans="1:5" x14ac:dyDescent="0.25">
      <c r="A5140">
        <v>1622</v>
      </c>
      <c r="B5140" s="16">
        <v>43617</v>
      </c>
      <c r="C5140" t="s">
        <v>49</v>
      </c>
      <c r="D5140">
        <v>29161467</v>
      </c>
      <c r="E5140" t="s">
        <v>330</v>
      </c>
    </row>
    <row r="5141" spans="1:5" x14ac:dyDescent="0.25">
      <c r="A5141">
        <v>1622</v>
      </c>
      <c r="B5141" s="16">
        <v>43647</v>
      </c>
      <c r="C5141" t="s">
        <v>49</v>
      </c>
      <c r="D5141">
        <v>29161467</v>
      </c>
      <c r="E5141" t="s">
        <v>330</v>
      </c>
    </row>
    <row r="5142" spans="1:5" x14ac:dyDescent="0.25">
      <c r="A5142">
        <v>1622</v>
      </c>
      <c r="B5142" s="16">
        <v>43678</v>
      </c>
      <c r="C5142" t="s">
        <v>49</v>
      </c>
      <c r="D5142">
        <v>29161467</v>
      </c>
      <c r="E5142" t="s">
        <v>330</v>
      </c>
    </row>
    <row r="5143" spans="1:5" x14ac:dyDescent="0.25">
      <c r="A5143">
        <v>1622</v>
      </c>
      <c r="B5143" s="16">
        <v>43709</v>
      </c>
      <c r="C5143" t="s">
        <v>49</v>
      </c>
      <c r="D5143">
        <v>29161467</v>
      </c>
      <c r="E5143" t="s">
        <v>330</v>
      </c>
    </row>
    <row r="5144" spans="1:5" x14ac:dyDescent="0.25">
      <c r="A5144">
        <v>1622</v>
      </c>
      <c r="B5144" s="16">
        <v>43739</v>
      </c>
      <c r="C5144" t="s">
        <v>49</v>
      </c>
      <c r="D5144">
        <v>29161467</v>
      </c>
      <c r="E5144" t="s">
        <v>330</v>
      </c>
    </row>
    <row r="5145" spans="1:5" x14ac:dyDescent="0.25">
      <c r="A5145">
        <v>1622</v>
      </c>
      <c r="B5145" s="16">
        <v>43556</v>
      </c>
      <c r="C5145" t="s">
        <v>50</v>
      </c>
      <c r="D5145">
        <v>16582744.5</v>
      </c>
      <c r="E5145" t="s">
        <v>330</v>
      </c>
    </row>
    <row r="5146" spans="1:5" x14ac:dyDescent="0.25">
      <c r="A5146">
        <v>1622</v>
      </c>
      <c r="B5146" s="16">
        <v>43586</v>
      </c>
      <c r="C5146" t="s">
        <v>50</v>
      </c>
      <c r="D5146">
        <v>16582744.5</v>
      </c>
      <c r="E5146" t="s">
        <v>330</v>
      </c>
    </row>
    <row r="5147" spans="1:5" x14ac:dyDescent="0.25">
      <c r="A5147">
        <v>1622</v>
      </c>
      <c r="B5147" s="16">
        <v>43617</v>
      </c>
      <c r="C5147" t="s">
        <v>50</v>
      </c>
      <c r="D5147">
        <v>16582744.5</v>
      </c>
      <c r="E5147" t="s">
        <v>330</v>
      </c>
    </row>
    <row r="5148" spans="1:5" x14ac:dyDescent="0.25">
      <c r="A5148">
        <v>1622</v>
      </c>
      <c r="B5148" s="16">
        <v>43647</v>
      </c>
      <c r="C5148" t="s">
        <v>50</v>
      </c>
      <c r="D5148">
        <v>16582744.5</v>
      </c>
      <c r="E5148" t="s">
        <v>330</v>
      </c>
    </row>
    <row r="5149" spans="1:5" x14ac:dyDescent="0.25">
      <c r="A5149">
        <v>1622</v>
      </c>
      <c r="B5149" s="16">
        <v>43678</v>
      </c>
      <c r="C5149" t="s">
        <v>50</v>
      </c>
      <c r="D5149">
        <v>16582744.5</v>
      </c>
      <c r="E5149" t="s">
        <v>330</v>
      </c>
    </row>
    <row r="5150" spans="1:5" x14ac:dyDescent="0.25">
      <c r="A5150">
        <v>1622</v>
      </c>
      <c r="B5150" s="16">
        <v>43709</v>
      </c>
      <c r="C5150" t="s">
        <v>50</v>
      </c>
      <c r="D5150">
        <v>16582744.5</v>
      </c>
      <c r="E5150" t="s">
        <v>330</v>
      </c>
    </row>
    <row r="5151" spans="1:5" x14ac:dyDescent="0.25">
      <c r="A5151">
        <v>1622</v>
      </c>
      <c r="B5151" s="16">
        <v>43739</v>
      </c>
      <c r="C5151" t="s">
        <v>50</v>
      </c>
      <c r="D5151">
        <v>16582744.5</v>
      </c>
      <c r="E5151" t="s">
        <v>330</v>
      </c>
    </row>
    <row r="5152" spans="1:5" x14ac:dyDescent="0.25">
      <c r="A5152">
        <v>1622</v>
      </c>
      <c r="B5152" s="16">
        <v>43556</v>
      </c>
      <c r="C5152" t="s">
        <v>52</v>
      </c>
      <c r="D5152">
        <v>6633097.5</v>
      </c>
      <c r="E5152" t="s">
        <v>330</v>
      </c>
    </row>
    <row r="5153" spans="1:5" x14ac:dyDescent="0.25">
      <c r="A5153">
        <v>1622</v>
      </c>
      <c r="B5153" s="16">
        <v>43586</v>
      </c>
      <c r="C5153" t="s">
        <v>52</v>
      </c>
      <c r="D5153">
        <v>6633097.5</v>
      </c>
      <c r="E5153" t="s">
        <v>330</v>
      </c>
    </row>
    <row r="5154" spans="1:5" x14ac:dyDescent="0.25">
      <c r="A5154">
        <v>1622</v>
      </c>
      <c r="B5154" s="16">
        <v>43617</v>
      </c>
      <c r="C5154" t="s">
        <v>52</v>
      </c>
      <c r="D5154">
        <v>6633097.5</v>
      </c>
      <c r="E5154" t="s">
        <v>330</v>
      </c>
    </row>
    <row r="5155" spans="1:5" x14ac:dyDescent="0.25">
      <c r="A5155">
        <v>1622</v>
      </c>
      <c r="B5155" s="16">
        <v>43647</v>
      </c>
      <c r="C5155" t="s">
        <v>52</v>
      </c>
      <c r="D5155">
        <v>6633097.5</v>
      </c>
      <c r="E5155" t="s">
        <v>330</v>
      </c>
    </row>
    <row r="5156" spans="1:5" x14ac:dyDescent="0.25">
      <c r="A5156">
        <v>1622</v>
      </c>
      <c r="B5156" s="16">
        <v>43678</v>
      </c>
      <c r="C5156" t="s">
        <v>52</v>
      </c>
      <c r="D5156">
        <v>6633097.5</v>
      </c>
      <c r="E5156" t="s">
        <v>330</v>
      </c>
    </row>
    <row r="5157" spans="1:5" x14ac:dyDescent="0.25">
      <c r="A5157">
        <v>1622</v>
      </c>
      <c r="B5157" s="16">
        <v>43556</v>
      </c>
      <c r="C5157" t="s">
        <v>53</v>
      </c>
      <c r="D5157">
        <v>5088885</v>
      </c>
      <c r="E5157" t="s">
        <v>330</v>
      </c>
    </row>
    <row r="5158" spans="1:5" x14ac:dyDescent="0.25">
      <c r="A5158">
        <v>1622</v>
      </c>
      <c r="B5158" s="16">
        <v>43586</v>
      </c>
      <c r="C5158" t="s">
        <v>53</v>
      </c>
      <c r="D5158">
        <v>5088885</v>
      </c>
      <c r="E5158" t="s">
        <v>330</v>
      </c>
    </row>
    <row r="5159" spans="1:5" x14ac:dyDescent="0.25">
      <c r="A5159">
        <v>1622</v>
      </c>
      <c r="B5159" s="16">
        <v>43617</v>
      </c>
      <c r="C5159" t="s">
        <v>53</v>
      </c>
      <c r="D5159">
        <v>5088885</v>
      </c>
      <c r="E5159" t="s">
        <v>330</v>
      </c>
    </row>
    <row r="5160" spans="1:5" x14ac:dyDescent="0.25">
      <c r="A5160">
        <v>1622</v>
      </c>
      <c r="B5160" s="16">
        <v>43647</v>
      </c>
      <c r="C5160" t="s">
        <v>53</v>
      </c>
      <c r="D5160">
        <v>5088885</v>
      </c>
      <c r="E5160" t="s">
        <v>330</v>
      </c>
    </row>
    <row r="5161" spans="1:5" x14ac:dyDescent="0.25">
      <c r="A5161">
        <v>1622</v>
      </c>
      <c r="B5161" s="16">
        <v>43678</v>
      </c>
      <c r="C5161" t="s">
        <v>53</v>
      </c>
      <c r="D5161">
        <v>5088885</v>
      </c>
      <c r="E5161" t="s">
        <v>330</v>
      </c>
    </row>
    <row r="5162" spans="1:5" x14ac:dyDescent="0.25">
      <c r="A5162">
        <v>1622</v>
      </c>
      <c r="B5162" s="16">
        <v>43709</v>
      </c>
      <c r="C5162" t="s">
        <v>53</v>
      </c>
      <c r="D5162">
        <v>5088885</v>
      </c>
      <c r="E5162" t="s">
        <v>330</v>
      </c>
    </row>
    <row r="5163" spans="1:5" x14ac:dyDescent="0.25">
      <c r="A5163">
        <v>1622</v>
      </c>
      <c r="B5163" s="16">
        <v>43739</v>
      </c>
      <c r="C5163" t="s">
        <v>53</v>
      </c>
      <c r="D5163">
        <v>5088885</v>
      </c>
      <c r="E5163" t="s">
        <v>330</v>
      </c>
    </row>
    <row r="5164" spans="1:5" x14ac:dyDescent="0.25">
      <c r="A5164">
        <v>1622</v>
      </c>
      <c r="B5164" s="16">
        <v>43556</v>
      </c>
      <c r="C5164" t="s">
        <v>54</v>
      </c>
      <c r="D5164">
        <v>6663097.5</v>
      </c>
      <c r="E5164" t="s">
        <v>330</v>
      </c>
    </row>
    <row r="5165" spans="1:5" x14ac:dyDescent="0.25">
      <c r="A5165">
        <v>1622</v>
      </c>
      <c r="B5165" s="16">
        <v>43586</v>
      </c>
      <c r="C5165" t="s">
        <v>54</v>
      </c>
      <c r="D5165">
        <v>6663097.5</v>
      </c>
      <c r="E5165" t="s">
        <v>330</v>
      </c>
    </row>
    <row r="5166" spans="1:5" x14ac:dyDescent="0.25">
      <c r="A5166">
        <v>1622</v>
      </c>
      <c r="B5166" s="16">
        <v>43617</v>
      </c>
      <c r="C5166" t="s">
        <v>54</v>
      </c>
      <c r="D5166">
        <v>6663097.5</v>
      </c>
      <c r="E5166" t="s">
        <v>330</v>
      </c>
    </row>
    <row r="5167" spans="1:5" x14ac:dyDescent="0.25">
      <c r="A5167">
        <v>1622</v>
      </c>
      <c r="B5167" s="16">
        <v>43647</v>
      </c>
      <c r="C5167" t="s">
        <v>54</v>
      </c>
      <c r="D5167">
        <v>6663097.5</v>
      </c>
      <c r="E5167" t="s">
        <v>330</v>
      </c>
    </row>
    <row r="5168" spans="1:5" x14ac:dyDescent="0.25">
      <c r="A5168">
        <v>1622</v>
      </c>
      <c r="B5168" s="16">
        <v>43678</v>
      </c>
      <c r="C5168" t="s">
        <v>54</v>
      </c>
      <c r="D5168">
        <v>6663097.5</v>
      </c>
      <c r="E5168" t="s">
        <v>330</v>
      </c>
    </row>
    <row r="5169" spans="1:5" x14ac:dyDescent="0.25">
      <c r="A5169">
        <v>1622</v>
      </c>
      <c r="B5169" s="16">
        <v>43709</v>
      </c>
      <c r="C5169" t="s">
        <v>54</v>
      </c>
      <c r="D5169">
        <v>6663097.5</v>
      </c>
      <c r="E5169" t="s">
        <v>330</v>
      </c>
    </row>
    <row r="5170" spans="1:5" x14ac:dyDescent="0.25">
      <c r="A5170">
        <v>1622</v>
      </c>
      <c r="B5170" s="16">
        <v>43739</v>
      </c>
      <c r="C5170" t="s">
        <v>54</v>
      </c>
      <c r="D5170">
        <v>6663097.5</v>
      </c>
      <c r="E5170" t="s">
        <v>330</v>
      </c>
    </row>
    <row r="5171" spans="1:5" x14ac:dyDescent="0.25">
      <c r="A5171">
        <v>1622</v>
      </c>
      <c r="B5171" s="16">
        <v>43556</v>
      </c>
      <c r="C5171" t="s">
        <v>55</v>
      </c>
      <c r="D5171">
        <v>6663097.5</v>
      </c>
      <c r="E5171" t="s">
        <v>330</v>
      </c>
    </row>
    <row r="5172" spans="1:5" x14ac:dyDescent="0.25">
      <c r="A5172">
        <v>1622</v>
      </c>
      <c r="B5172" s="16">
        <v>43586</v>
      </c>
      <c r="C5172" t="s">
        <v>55</v>
      </c>
      <c r="D5172">
        <v>6663097.5</v>
      </c>
      <c r="E5172" t="s">
        <v>330</v>
      </c>
    </row>
    <row r="5173" spans="1:5" x14ac:dyDescent="0.25">
      <c r="A5173">
        <v>1622</v>
      </c>
      <c r="B5173" s="16">
        <v>43617</v>
      </c>
      <c r="C5173" t="s">
        <v>55</v>
      </c>
      <c r="D5173">
        <v>6663097.5</v>
      </c>
      <c r="E5173" t="s">
        <v>330</v>
      </c>
    </row>
    <row r="5174" spans="1:5" x14ac:dyDescent="0.25">
      <c r="A5174">
        <v>1622</v>
      </c>
      <c r="B5174" s="16">
        <v>43647</v>
      </c>
      <c r="C5174" t="s">
        <v>55</v>
      </c>
      <c r="D5174">
        <v>6663097.5</v>
      </c>
      <c r="E5174" t="s">
        <v>330</v>
      </c>
    </row>
    <row r="5175" spans="1:5" x14ac:dyDescent="0.25">
      <c r="A5175">
        <v>1622</v>
      </c>
      <c r="B5175" s="16">
        <v>43678</v>
      </c>
      <c r="C5175" t="s">
        <v>55</v>
      </c>
      <c r="D5175">
        <v>6663097.5</v>
      </c>
      <c r="E5175" t="s">
        <v>330</v>
      </c>
    </row>
    <row r="5176" spans="1:5" x14ac:dyDescent="0.25">
      <c r="A5176">
        <v>1622</v>
      </c>
      <c r="B5176" s="16">
        <v>43709</v>
      </c>
      <c r="C5176" t="s">
        <v>55</v>
      </c>
      <c r="D5176">
        <v>6663097.5</v>
      </c>
      <c r="E5176" t="s">
        <v>330</v>
      </c>
    </row>
    <row r="5177" spans="1:5" x14ac:dyDescent="0.25">
      <c r="A5177">
        <v>1622</v>
      </c>
      <c r="B5177" s="16">
        <v>43739</v>
      </c>
      <c r="C5177" t="s">
        <v>55</v>
      </c>
      <c r="D5177">
        <v>6663097.5</v>
      </c>
      <c r="E5177" t="s">
        <v>330</v>
      </c>
    </row>
    <row r="5178" spans="1:5" x14ac:dyDescent="0.25">
      <c r="A5178">
        <v>1622</v>
      </c>
      <c r="B5178" s="16">
        <v>43556</v>
      </c>
      <c r="C5178" t="s">
        <v>56</v>
      </c>
      <c r="D5178">
        <v>7922866.5</v>
      </c>
      <c r="E5178" t="s">
        <v>330</v>
      </c>
    </row>
    <row r="5179" spans="1:5" x14ac:dyDescent="0.25">
      <c r="A5179">
        <v>1622</v>
      </c>
      <c r="B5179" s="16">
        <v>43586</v>
      </c>
      <c r="C5179" t="s">
        <v>56</v>
      </c>
      <c r="D5179">
        <v>7922866.5</v>
      </c>
      <c r="E5179" t="s">
        <v>330</v>
      </c>
    </row>
    <row r="5180" spans="1:5" x14ac:dyDescent="0.25">
      <c r="A5180">
        <v>1622</v>
      </c>
      <c r="B5180" s="16">
        <v>43617</v>
      </c>
      <c r="C5180" t="s">
        <v>56</v>
      </c>
      <c r="D5180">
        <v>7922866.5</v>
      </c>
      <c r="E5180" t="s">
        <v>330</v>
      </c>
    </row>
    <row r="5181" spans="1:5" x14ac:dyDescent="0.25">
      <c r="A5181">
        <v>1622</v>
      </c>
      <c r="B5181" s="16">
        <v>43647</v>
      </c>
      <c r="C5181" t="s">
        <v>56</v>
      </c>
      <c r="D5181">
        <v>7922866.5</v>
      </c>
      <c r="E5181" t="s">
        <v>330</v>
      </c>
    </row>
    <row r="5182" spans="1:5" x14ac:dyDescent="0.25">
      <c r="A5182">
        <v>1622</v>
      </c>
      <c r="B5182" s="16">
        <v>43678</v>
      </c>
      <c r="C5182" t="s">
        <v>56</v>
      </c>
      <c r="D5182">
        <v>7922866.5</v>
      </c>
      <c r="E5182" t="s">
        <v>330</v>
      </c>
    </row>
    <row r="5183" spans="1:5" x14ac:dyDescent="0.25">
      <c r="A5183">
        <v>1622</v>
      </c>
      <c r="B5183" s="16">
        <v>43709</v>
      </c>
      <c r="C5183" t="s">
        <v>56</v>
      </c>
      <c r="D5183">
        <v>7922866.5</v>
      </c>
      <c r="E5183" t="s">
        <v>330</v>
      </c>
    </row>
    <row r="5184" spans="1:5" x14ac:dyDescent="0.25">
      <c r="A5184">
        <v>1622</v>
      </c>
      <c r="B5184" s="16">
        <v>43739</v>
      </c>
      <c r="C5184" t="s">
        <v>56</v>
      </c>
      <c r="D5184">
        <v>7922866.5</v>
      </c>
      <c r="E5184" t="s">
        <v>330</v>
      </c>
    </row>
    <row r="5185" spans="1:5" x14ac:dyDescent="0.25">
      <c r="A5185">
        <v>1622</v>
      </c>
      <c r="B5185" s="16">
        <v>43556</v>
      </c>
      <c r="C5185" t="s">
        <v>57</v>
      </c>
      <c r="D5185">
        <v>7896546</v>
      </c>
      <c r="E5185" t="s">
        <v>330</v>
      </c>
    </row>
    <row r="5186" spans="1:5" x14ac:dyDescent="0.25">
      <c r="A5186">
        <v>1622</v>
      </c>
      <c r="B5186" s="16">
        <v>43586</v>
      </c>
      <c r="C5186" t="s">
        <v>57</v>
      </c>
      <c r="D5186">
        <v>7896546</v>
      </c>
      <c r="E5186" t="s">
        <v>330</v>
      </c>
    </row>
    <row r="5187" spans="1:5" x14ac:dyDescent="0.25">
      <c r="A5187">
        <v>1622</v>
      </c>
      <c r="B5187" s="16">
        <v>43617</v>
      </c>
      <c r="C5187" t="s">
        <v>57</v>
      </c>
      <c r="D5187">
        <v>7896546</v>
      </c>
      <c r="E5187" t="s">
        <v>330</v>
      </c>
    </row>
    <row r="5188" spans="1:5" x14ac:dyDescent="0.25">
      <c r="A5188">
        <v>1622</v>
      </c>
      <c r="B5188" s="16">
        <v>43647</v>
      </c>
      <c r="C5188" t="s">
        <v>57</v>
      </c>
      <c r="D5188">
        <v>7896546</v>
      </c>
      <c r="E5188" t="s">
        <v>330</v>
      </c>
    </row>
    <row r="5189" spans="1:5" x14ac:dyDescent="0.25">
      <c r="A5189">
        <v>1622</v>
      </c>
      <c r="B5189" s="16">
        <v>43678</v>
      </c>
      <c r="C5189" t="s">
        <v>57</v>
      </c>
      <c r="D5189">
        <v>7896546</v>
      </c>
      <c r="E5189" t="s">
        <v>330</v>
      </c>
    </row>
    <row r="5190" spans="1:5" x14ac:dyDescent="0.25">
      <c r="A5190">
        <v>1622</v>
      </c>
      <c r="B5190" s="16">
        <v>43709</v>
      </c>
      <c r="C5190" t="s">
        <v>57</v>
      </c>
      <c r="D5190">
        <v>7896546</v>
      </c>
      <c r="E5190" t="s">
        <v>330</v>
      </c>
    </row>
    <row r="5191" spans="1:5" x14ac:dyDescent="0.25">
      <c r="A5191">
        <v>1622</v>
      </c>
      <c r="B5191" s="16">
        <v>43739</v>
      </c>
      <c r="C5191" t="s">
        <v>57</v>
      </c>
      <c r="D5191">
        <v>7896546</v>
      </c>
      <c r="E5191" t="s">
        <v>330</v>
      </c>
    </row>
    <row r="5192" spans="1:5" x14ac:dyDescent="0.25">
      <c r="A5192">
        <v>1622</v>
      </c>
      <c r="B5192" s="16">
        <v>43556</v>
      </c>
      <c r="C5192" t="s">
        <v>58</v>
      </c>
      <c r="D5192">
        <v>5159076</v>
      </c>
      <c r="E5192" t="s">
        <v>330</v>
      </c>
    </row>
    <row r="5193" spans="1:5" x14ac:dyDescent="0.25">
      <c r="A5193">
        <v>1622</v>
      </c>
      <c r="B5193" s="16">
        <v>43586</v>
      </c>
      <c r="C5193" t="s">
        <v>58</v>
      </c>
      <c r="D5193">
        <v>5159076</v>
      </c>
      <c r="E5193" t="s">
        <v>330</v>
      </c>
    </row>
    <row r="5194" spans="1:5" x14ac:dyDescent="0.25">
      <c r="A5194">
        <v>1622</v>
      </c>
      <c r="B5194" s="16">
        <v>43617</v>
      </c>
      <c r="C5194" t="s">
        <v>58</v>
      </c>
      <c r="D5194">
        <v>5159076</v>
      </c>
      <c r="E5194" t="s">
        <v>330</v>
      </c>
    </row>
    <row r="5195" spans="1:5" x14ac:dyDescent="0.25">
      <c r="A5195">
        <v>1622</v>
      </c>
      <c r="B5195" s="16">
        <v>43647</v>
      </c>
      <c r="C5195" t="s">
        <v>58</v>
      </c>
      <c r="D5195">
        <v>5159076</v>
      </c>
      <c r="E5195" t="s">
        <v>330</v>
      </c>
    </row>
    <row r="5196" spans="1:5" x14ac:dyDescent="0.25">
      <c r="A5196">
        <v>1622</v>
      </c>
      <c r="B5196" s="16">
        <v>43678</v>
      </c>
      <c r="C5196" t="s">
        <v>58</v>
      </c>
      <c r="D5196">
        <v>5159076</v>
      </c>
      <c r="E5196" t="s">
        <v>330</v>
      </c>
    </row>
    <row r="5197" spans="1:5" x14ac:dyDescent="0.25">
      <c r="A5197">
        <v>1622</v>
      </c>
      <c r="B5197" s="16">
        <v>43709</v>
      </c>
      <c r="C5197" t="s">
        <v>58</v>
      </c>
      <c r="D5197">
        <v>5159076</v>
      </c>
      <c r="E5197" t="s">
        <v>330</v>
      </c>
    </row>
    <row r="5198" spans="1:5" x14ac:dyDescent="0.25">
      <c r="A5198">
        <v>1622</v>
      </c>
      <c r="B5198" s="16">
        <v>43739</v>
      </c>
      <c r="C5198" t="s">
        <v>58</v>
      </c>
      <c r="D5198">
        <v>5159076</v>
      </c>
      <c r="E5198" t="s">
        <v>330</v>
      </c>
    </row>
    <row r="5199" spans="1:5" x14ac:dyDescent="0.25">
      <c r="A5199">
        <v>1622</v>
      </c>
      <c r="B5199" s="16">
        <v>43556</v>
      </c>
      <c r="C5199" t="s">
        <v>59</v>
      </c>
      <c r="D5199">
        <v>1658274</v>
      </c>
      <c r="E5199" t="s">
        <v>330</v>
      </c>
    </row>
    <row r="5200" spans="1:5" x14ac:dyDescent="0.25">
      <c r="A5200">
        <v>1622</v>
      </c>
      <c r="B5200" s="16">
        <v>43586</v>
      </c>
      <c r="C5200" t="s">
        <v>59</v>
      </c>
      <c r="D5200">
        <v>1658274</v>
      </c>
      <c r="E5200" t="s">
        <v>330</v>
      </c>
    </row>
    <row r="5201" spans="1:5" x14ac:dyDescent="0.25">
      <c r="A5201">
        <v>1622</v>
      </c>
      <c r="B5201" s="16">
        <v>43617</v>
      </c>
      <c r="C5201" t="s">
        <v>59</v>
      </c>
      <c r="D5201">
        <v>1658274</v>
      </c>
      <c r="E5201" t="s">
        <v>330</v>
      </c>
    </row>
    <row r="5202" spans="1:5" x14ac:dyDescent="0.25">
      <c r="A5202">
        <v>1622</v>
      </c>
      <c r="B5202" s="16">
        <v>43647</v>
      </c>
      <c r="C5202" t="s">
        <v>59</v>
      </c>
      <c r="D5202">
        <v>1658274</v>
      </c>
      <c r="E5202" t="s">
        <v>330</v>
      </c>
    </row>
    <row r="5203" spans="1:5" x14ac:dyDescent="0.25">
      <c r="A5203">
        <v>1622</v>
      </c>
      <c r="B5203" s="16">
        <v>43678</v>
      </c>
      <c r="C5203" t="s">
        <v>59</v>
      </c>
      <c r="D5203">
        <v>1658274</v>
      </c>
      <c r="E5203" t="s">
        <v>330</v>
      </c>
    </row>
    <row r="5204" spans="1:5" x14ac:dyDescent="0.25">
      <c r="A5204">
        <v>1622</v>
      </c>
      <c r="B5204" s="16">
        <v>43709</v>
      </c>
      <c r="C5204" t="s">
        <v>59</v>
      </c>
      <c r="D5204">
        <v>1658274</v>
      </c>
      <c r="E5204" t="s">
        <v>330</v>
      </c>
    </row>
    <row r="5205" spans="1:5" x14ac:dyDescent="0.25">
      <c r="A5205">
        <v>1622</v>
      </c>
      <c r="B5205" s="16">
        <v>43739</v>
      </c>
      <c r="C5205" t="s">
        <v>59</v>
      </c>
      <c r="D5205">
        <v>1658274</v>
      </c>
      <c r="E5205" t="s">
        <v>330</v>
      </c>
    </row>
    <row r="5206" spans="1:5" x14ac:dyDescent="0.25">
      <c r="A5206">
        <v>1622</v>
      </c>
      <c r="B5206" s="16">
        <v>43556</v>
      </c>
      <c r="C5206" t="s">
        <v>35</v>
      </c>
      <c r="D5206">
        <v>3906157.7699999996</v>
      </c>
      <c r="E5206" t="s">
        <v>330</v>
      </c>
    </row>
    <row r="5207" spans="1:5" x14ac:dyDescent="0.25">
      <c r="A5207">
        <v>1622</v>
      </c>
      <c r="B5207" s="16">
        <v>43586</v>
      </c>
      <c r="C5207" t="s">
        <v>35</v>
      </c>
      <c r="D5207">
        <v>3906157.7699999996</v>
      </c>
      <c r="E5207" t="s">
        <v>330</v>
      </c>
    </row>
    <row r="5208" spans="1:5" x14ac:dyDescent="0.25">
      <c r="A5208">
        <v>1622</v>
      </c>
      <c r="B5208" s="16">
        <v>43617</v>
      </c>
      <c r="C5208" t="s">
        <v>35</v>
      </c>
      <c r="D5208">
        <v>3906157.7699999996</v>
      </c>
      <c r="E5208" t="s">
        <v>330</v>
      </c>
    </row>
    <row r="5209" spans="1:5" x14ac:dyDescent="0.25">
      <c r="A5209">
        <v>1622</v>
      </c>
      <c r="B5209" s="16">
        <v>43556</v>
      </c>
      <c r="C5209" t="s">
        <v>62</v>
      </c>
      <c r="D5209">
        <v>4687389.96</v>
      </c>
      <c r="E5209" t="s">
        <v>330</v>
      </c>
    </row>
    <row r="5210" spans="1:5" x14ac:dyDescent="0.25">
      <c r="A5210">
        <v>1622</v>
      </c>
      <c r="B5210" s="16">
        <v>43556</v>
      </c>
      <c r="C5210" t="s">
        <v>64</v>
      </c>
      <c r="D5210">
        <v>3906157.7699999996</v>
      </c>
      <c r="E5210" t="s">
        <v>330</v>
      </c>
    </row>
    <row r="5211" spans="1:5" x14ac:dyDescent="0.25">
      <c r="A5211">
        <v>1622</v>
      </c>
      <c r="B5211" s="16">
        <v>43556</v>
      </c>
      <c r="C5211" t="s">
        <v>22</v>
      </c>
      <c r="D5211">
        <v>3906157.7699999996</v>
      </c>
      <c r="E5211" t="s">
        <v>330</v>
      </c>
    </row>
    <row r="5212" spans="1:5" x14ac:dyDescent="0.25">
      <c r="A5212">
        <v>1622</v>
      </c>
      <c r="B5212" s="16">
        <v>43586</v>
      </c>
      <c r="C5212" t="s">
        <v>22</v>
      </c>
      <c r="D5212">
        <v>3906157.7699999996</v>
      </c>
      <c r="E5212" t="s">
        <v>330</v>
      </c>
    </row>
    <row r="5213" spans="1:5" x14ac:dyDescent="0.25">
      <c r="A5213">
        <v>1622</v>
      </c>
      <c r="B5213" s="16">
        <v>43617</v>
      </c>
      <c r="C5213" t="s">
        <v>22</v>
      </c>
      <c r="D5213">
        <v>3906157.7699999996</v>
      </c>
      <c r="E5213" t="s">
        <v>330</v>
      </c>
    </row>
    <row r="5214" spans="1:5" x14ac:dyDescent="0.25">
      <c r="A5214">
        <v>1622</v>
      </c>
      <c r="B5214" s="16">
        <v>43647</v>
      </c>
      <c r="C5214" t="s">
        <v>22</v>
      </c>
      <c r="D5214">
        <v>3906157.7699999996</v>
      </c>
      <c r="E5214" t="s">
        <v>330</v>
      </c>
    </row>
    <row r="5215" spans="1:5" x14ac:dyDescent="0.25">
      <c r="A5215">
        <v>1622</v>
      </c>
      <c r="B5215" s="16">
        <v>43678</v>
      </c>
      <c r="C5215" t="s">
        <v>22</v>
      </c>
      <c r="D5215">
        <v>3906157.7699999996</v>
      </c>
      <c r="E5215" t="s">
        <v>330</v>
      </c>
    </row>
    <row r="5216" spans="1:5" x14ac:dyDescent="0.25">
      <c r="A5216">
        <v>1622</v>
      </c>
      <c r="B5216" s="16">
        <v>43709</v>
      </c>
      <c r="C5216" t="s">
        <v>22</v>
      </c>
      <c r="D5216">
        <v>3906157.7699999996</v>
      </c>
      <c r="E5216" t="s">
        <v>330</v>
      </c>
    </row>
    <row r="5217" spans="1:5" x14ac:dyDescent="0.25">
      <c r="A5217">
        <v>1622</v>
      </c>
      <c r="B5217" s="16">
        <v>43739</v>
      </c>
      <c r="C5217" t="s">
        <v>22</v>
      </c>
      <c r="D5217">
        <v>3906157.7699999996</v>
      </c>
      <c r="E5217" t="s">
        <v>330</v>
      </c>
    </row>
    <row r="5218" spans="1:5" x14ac:dyDescent="0.25">
      <c r="A5218">
        <v>1588</v>
      </c>
      <c r="B5218" s="16">
        <v>43466</v>
      </c>
      <c r="C5218" t="s">
        <v>19</v>
      </c>
      <c r="D5218">
        <v>3071827.3950000005</v>
      </c>
      <c r="E5218" t="s">
        <v>330</v>
      </c>
    </row>
    <row r="5219" spans="1:5" x14ac:dyDescent="0.25">
      <c r="A5219">
        <v>1588</v>
      </c>
      <c r="B5219" s="16">
        <v>43497</v>
      </c>
      <c r="C5219" t="s">
        <v>19</v>
      </c>
      <c r="D5219">
        <v>3071827.3950000005</v>
      </c>
      <c r="E5219" t="s">
        <v>330</v>
      </c>
    </row>
    <row r="5220" spans="1:5" x14ac:dyDescent="0.25">
      <c r="A5220">
        <v>1588</v>
      </c>
      <c r="B5220" s="16">
        <v>43525</v>
      </c>
      <c r="C5220" t="s">
        <v>19</v>
      </c>
      <c r="D5220">
        <v>3071827.3950000005</v>
      </c>
      <c r="E5220" t="s">
        <v>330</v>
      </c>
    </row>
    <row r="5221" spans="1:5" x14ac:dyDescent="0.25">
      <c r="A5221">
        <v>1723</v>
      </c>
      <c r="B5221" s="16">
        <v>43466</v>
      </c>
      <c r="C5221" t="s">
        <v>19</v>
      </c>
      <c r="D5221">
        <v>5626057.5000000009</v>
      </c>
      <c r="E5221" t="s">
        <v>330</v>
      </c>
    </row>
    <row r="5222" spans="1:5" x14ac:dyDescent="0.25">
      <c r="A5222">
        <v>1723</v>
      </c>
      <c r="B5222" s="16">
        <v>43497</v>
      </c>
      <c r="C5222" t="s">
        <v>19</v>
      </c>
      <c r="D5222">
        <v>5626057.5000000009</v>
      </c>
      <c r="E5222" t="s">
        <v>330</v>
      </c>
    </row>
    <row r="5223" spans="1:5" x14ac:dyDescent="0.25">
      <c r="A5223">
        <v>1723</v>
      </c>
      <c r="B5223" s="16">
        <v>43525</v>
      </c>
      <c r="C5223" t="s">
        <v>19</v>
      </c>
      <c r="D5223">
        <v>5626057.5000000009</v>
      </c>
      <c r="E5223" t="s">
        <v>330</v>
      </c>
    </row>
    <row r="5224" spans="1:5" x14ac:dyDescent="0.25">
      <c r="A5224">
        <v>1723</v>
      </c>
      <c r="B5224" s="16">
        <v>43556</v>
      </c>
      <c r="C5224" t="s">
        <v>19</v>
      </c>
      <c r="D5224">
        <v>5626057.5000000009</v>
      </c>
      <c r="E5224" t="s">
        <v>330</v>
      </c>
    </row>
    <row r="5225" spans="1:5" x14ac:dyDescent="0.25">
      <c r="A5225">
        <v>1723</v>
      </c>
      <c r="B5225" s="16">
        <v>43586</v>
      </c>
      <c r="C5225" t="s">
        <v>19</v>
      </c>
      <c r="D5225">
        <v>5626057.5000000009</v>
      </c>
      <c r="E5225" t="s">
        <v>330</v>
      </c>
    </row>
    <row r="5226" spans="1:5" x14ac:dyDescent="0.25">
      <c r="A5226">
        <v>1723</v>
      </c>
      <c r="B5226" s="16">
        <v>43617</v>
      </c>
      <c r="C5226" t="s">
        <v>19</v>
      </c>
      <c r="D5226">
        <v>5626057.5000000009</v>
      </c>
      <c r="E5226" t="s">
        <v>330</v>
      </c>
    </row>
    <row r="5227" spans="1:5" x14ac:dyDescent="0.25">
      <c r="A5227">
        <v>1723</v>
      </c>
      <c r="B5227" s="16">
        <v>43466</v>
      </c>
      <c r="C5227" t="s">
        <v>94</v>
      </c>
      <c r="D5227">
        <v>10418625.000000002</v>
      </c>
      <c r="E5227" t="s">
        <v>330</v>
      </c>
    </row>
    <row r="5228" spans="1:5" x14ac:dyDescent="0.25">
      <c r="A5228">
        <v>1723</v>
      </c>
      <c r="B5228" s="16">
        <v>43497</v>
      </c>
      <c r="C5228" t="s">
        <v>94</v>
      </c>
      <c r="D5228">
        <v>10418625.000000002</v>
      </c>
      <c r="E5228" t="s">
        <v>330</v>
      </c>
    </row>
    <row r="5229" spans="1:5" x14ac:dyDescent="0.25">
      <c r="A5229">
        <v>1723</v>
      </c>
      <c r="B5229" s="16">
        <v>43525</v>
      </c>
      <c r="C5229" t="s">
        <v>94</v>
      </c>
      <c r="D5229">
        <v>10418625.000000002</v>
      </c>
      <c r="E5229" t="s">
        <v>330</v>
      </c>
    </row>
    <row r="5230" spans="1:5" x14ac:dyDescent="0.25">
      <c r="A5230">
        <v>1723</v>
      </c>
      <c r="B5230" s="16">
        <v>43556</v>
      </c>
      <c r="C5230" t="s">
        <v>94</v>
      </c>
      <c r="D5230">
        <v>10418625.000000002</v>
      </c>
      <c r="E5230" t="s">
        <v>330</v>
      </c>
    </row>
    <row r="5231" spans="1:5" x14ac:dyDescent="0.25">
      <c r="A5231">
        <v>1723</v>
      </c>
      <c r="B5231" s="16">
        <v>43586</v>
      </c>
      <c r="C5231" t="s">
        <v>94</v>
      </c>
      <c r="D5231">
        <v>10418625.000000002</v>
      </c>
      <c r="E5231" t="s">
        <v>330</v>
      </c>
    </row>
    <row r="5232" spans="1:5" x14ac:dyDescent="0.25">
      <c r="A5232">
        <v>1723</v>
      </c>
      <c r="B5232" s="16">
        <v>43617</v>
      </c>
      <c r="C5232" t="s">
        <v>94</v>
      </c>
      <c r="D5232">
        <v>10418625.000000002</v>
      </c>
      <c r="E5232" t="s">
        <v>330</v>
      </c>
    </row>
    <row r="5233" spans="1:5" x14ac:dyDescent="0.25">
      <c r="A5233">
        <v>1723</v>
      </c>
      <c r="B5233" s="16">
        <v>43466</v>
      </c>
      <c r="C5233" t="s">
        <v>90</v>
      </c>
      <c r="D5233">
        <v>887666.85000000009</v>
      </c>
      <c r="E5233" t="s">
        <v>330</v>
      </c>
    </row>
    <row r="5234" spans="1:5" x14ac:dyDescent="0.25">
      <c r="A5234">
        <v>1723</v>
      </c>
      <c r="B5234" s="16">
        <v>43497</v>
      </c>
      <c r="C5234" t="s">
        <v>90</v>
      </c>
      <c r="D5234">
        <v>887666.85000000009</v>
      </c>
      <c r="E5234" t="s">
        <v>330</v>
      </c>
    </row>
    <row r="5235" spans="1:5" x14ac:dyDescent="0.25">
      <c r="A5235">
        <v>1723</v>
      </c>
      <c r="B5235" s="16">
        <v>43525</v>
      </c>
      <c r="C5235" t="s">
        <v>90</v>
      </c>
      <c r="D5235">
        <v>887666.85000000009</v>
      </c>
      <c r="E5235" t="s">
        <v>330</v>
      </c>
    </row>
    <row r="5236" spans="1:5" x14ac:dyDescent="0.25">
      <c r="A5236">
        <v>1723</v>
      </c>
      <c r="B5236" s="16">
        <v>43556</v>
      </c>
      <c r="C5236" t="s">
        <v>90</v>
      </c>
      <c r="D5236">
        <v>887666.85000000009</v>
      </c>
      <c r="E5236" t="s">
        <v>330</v>
      </c>
    </row>
    <row r="5237" spans="1:5" x14ac:dyDescent="0.25">
      <c r="A5237">
        <v>1723</v>
      </c>
      <c r="B5237" s="16">
        <v>43586</v>
      </c>
      <c r="C5237" t="s">
        <v>90</v>
      </c>
      <c r="D5237">
        <v>887666.85000000009</v>
      </c>
      <c r="E5237" t="s">
        <v>330</v>
      </c>
    </row>
    <row r="5238" spans="1:5" x14ac:dyDescent="0.25">
      <c r="A5238">
        <v>1723</v>
      </c>
      <c r="B5238" s="16">
        <v>43617</v>
      </c>
      <c r="C5238" t="s">
        <v>90</v>
      </c>
      <c r="D5238">
        <v>887666.85000000009</v>
      </c>
      <c r="E5238" t="s">
        <v>330</v>
      </c>
    </row>
    <row r="5239" spans="1:5" x14ac:dyDescent="0.25">
      <c r="A5239">
        <v>1723</v>
      </c>
      <c r="B5239" s="16">
        <v>43466</v>
      </c>
      <c r="C5239" t="s">
        <v>29</v>
      </c>
      <c r="D5239">
        <v>4514737.5000000009</v>
      </c>
      <c r="E5239" t="s">
        <v>330</v>
      </c>
    </row>
    <row r="5240" spans="1:5" x14ac:dyDescent="0.25">
      <c r="A5240">
        <v>1723</v>
      </c>
      <c r="B5240" s="16">
        <v>43497</v>
      </c>
      <c r="C5240" t="s">
        <v>29</v>
      </c>
      <c r="D5240">
        <v>4514737.5000000009</v>
      </c>
      <c r="E5240" t="s">
        <v>330</v>
      </c>
    </row>
    <row r="5241" spans="1:5" x14ac:dyDescent="0.25">
      <c r="A5241">
        <v>1723</v>
      </c>
      <c r="B5241" s="16">
        <v>43525</v>
      </c>
      <c r="C5241" t="s">
        <v>29</v>
      </c>
      <c r="D5241">
        <v>4514737.5000000009</v>
      </c>
      <c r="E5241" t="s">
        <v>330</v>
      </c>
    </row>
    <row r="5242" spans="1:5" x14ac:dyDescent="0.25">
      <c r="A5242">
        <v>1723</v>
      </c>
      <c r="B5242" s="16">
        <v>43556</v>
      </c>
      <c r="C5242" t="s">
        <v>29</v>
      </c>
      <c r="D5242">
        <v>4514737.5000000009</v>
      </c>
      <c r="E5242" t="s">
        <v>330</v>
      </c>
    </row>
    <row r="5243" spans="1:5" x14ac:dyDescent="0.25">
      <c r="A5243">
        <v>1723</v>
      </c>
      <c r="B5243" s="16">
        <v>43586</v>
      </c>
      <c r="C5243" t="s">
        <v>29</v>
      </c>
      <c r="D5243">
        <v>4514737.5000000009</v>
      </c>
      <c r="E5243" t="s">
        <v>330</v>
      </c>
    </row>
    <row r="5244" spans="1:5" x14ac:dyDescent="0.25">
      <c r="A5244">
        <v>1723</v>
      </c>
      <c r="B5244" s="16">
        <v>43617</v>
      </c>
      <c r="C5244" t="s">
        <v>29</v>
      </c>
      <c r="D5244">
        <v>4514737.5000000009</v>
      </c>
      <c r="E5244" t="s">
        <v>330</v>
      </c>
    </row>
    <row r="5245" spans="1:5" x14ac:dyDescent="0.25">
      <c r="A5245">
        <v>1723</v>
      </c>
      <c r="B5245" s="16">
        <v>43466</v>
      </c>
      <c r="C5245" t="s">
        <v>14</v>
      </c>
      <c r="D5245">
        <v>2448376.8750000005</v>
      </c>
      <c r="E5245" t="s">
        <v>330</v>
      </c>
    </row>
    <row r="5246" spans="1:5" x14ac:dyDescent="0.25">
      <c r="A5246">
        <v>1723</v>
      </c>
      <c r="B5246" s="16">
        <v>43497</v>
      </c>
      <c r="C5246" t="s">
        <v>14</v>
      </c>
      <c r="D5246">
        <v>2448376.8750000005</v>
      </c>
      <c r="E5246" t="s">
        <v>330</v>
      </c>
    </row>
    <row r="5247" spans="1:5" x14ac:dyDescent="0.25">
      <c r="A5247">
        <v>1723</v>
      </c>
      <c r="B5247" s="16">
        <v>43525</v>
      </c>
      <c r="C5247" t="s">
        <v>14</v>
      </c>
      <c r="D5247">
        <v>2448376.8750000005</v>
      </c>
      <c r="E5247" t="s">
        <v>330</v>
      </c>
    </row>
    <row r="5248" spans="1:5" x14ac:dyDescent="0.25">
      <c r="A5248">
        <v>1723</v>
      </c>
      <c r="B5248" s="16">
        <v>43556</v>
      </c>
      <c r="C5248" t="s">
        <v>14</v>
      </c>
      <c r="D5248">
        <v>2448376.8750000005</v>
      </c>
      <c r="E5248" t="s">
        <v>330</v>
      </c>
    </row>
    <row r="5249" spans="1:5" x14ac:dyDescent="0.25">
      <c r="A5249">
        <v>1723</v>
      </c>
      <c r="B5249" s="16">
        <v>43586</v>
      </c>
      <c r="C5249" t="s">
        <v>14</v>
      </c>
      <c r="D5249">
        <v>2448376.8750000005</v>
      </c>
      <c r="E5249" t="s">
        <v>330</v>
      </c>
    </row>
    <row r="5250" spans="1:5" x14ac:dyDescent="0.25">
      <c r="A5250">
        <v>1723</v>
      </c>
      <c r="B5250" s="16">
        <v>43617</v>
      </c>
      <c r="C5250" t="s">
        <v>14</v>
      </c>
      <c r="D5250">
        <v>2448376.8750000005</v>
      </c>
      <c r="E5250" t="s">
        <v>330</v>
      </c>
    </row>
    <row r="5251" spans="1:5" x14ac:dyDescent="0.25">
      <c r="A5251">
        <v>1723</v>
      </c>
      <c r="B5251" s="16">
        <v>43466</v>
      </c>
      <c r="C5251" t="s">
        <v>39</v>
      </c>
      <c r="D5251">
        <v>5903887.5000000009</v>
      </c>
      <c r="E5251" t="s">
        <v>330</v>
      </c>
    </row>
    <row r="5252" spans="1:5" x14ac:dyDescent="0.25">
      <c r="A5252">
        <v>1723</v>
      </c>
      <c r="B5252" s="16">
        <v>43497</v>
      </c>
      <c r="C5252" t="s">
        <v>39</v>
      </c>
      <c r="D5252">
        <v>5903887.5000000009</v>
      </c>
      <c r="E5252" t="s">
        <v>330</v>
      </c>
    </row>
    <row r="5253" spans="1:5" x14ac:dyDescent="0.25">
      <c r="A5253">
        <v>1723</v>
      </c>
      <c r="B5253" s="16">
        <v>43525</v>
      </c>
      <c r="C5253" t="s">
        <v>39</v>
      </c>
      <c r="D5253">
        <v>5903887.5000000009</v>
      </c>
      <c r="E5253" t="s">
        <v>330</v>
      </c>
    </row>
    <row r="5254" spans="1:5" x14ac:dyDescent="0.25">
      <c r="A5254">
        <v>1723</v>
      </c>
      <c r="B5254" s="16">
        <v>43556</v>
      </c>
      <c r="C5254" t="s">
        <v>39</v>
      </c>
      <c r="D5254">
        <v>5903887.5000000009</v>
      </c>
      <c r="E5254" t="s">
        <v>330</v>
      </c>
    </row>
    <row r="5255" spans="1:5" x14ac:dyDescent="0.25">
      <c r="A5255">
        <v>1723</v>
      </c>
      <c r="B5255" s="16">
        <v>43586</v>
      </c>
      <c r="C5255" t="s">
        <v>39</v>
      </c>
      <c r="D5255">
        <v>5903887.5000000009</v>
      </c>
      <c r="E5255" t="s">
        <v>330</v>
      </c>
    </row>
    <row r="5256" spans="1:5" x14ac:dyDescent="0.25">
      <c r="A5256">
        <v>1723</v>
      </c>
      <c r="B5256" s="16">
        <v>43617</v>
      </c>
      <c r="C5256" t="s">
        <v>39</v>
      </c>
      <c r="D5256">
        <v>5903887.5000000009</v>
      </c>
      <c r="E5256" t="s">
        <v>330</v>
      </c>
    </row>
    <row r="5257" spans="1:5" x14ac:dyDescent="0.25">
      <c r="A5257">
        <v>1723</v>
      </c>
      <c r="B5257" s="16">
        <v>43466</v>
      </c>
      <c r="C5257" t="s">
        <v>96</v>
      </c>
      <c r="D5257">
        <v>2604656.2500000005</v>
      </c>
      <c r="E5257" t="s">
        <v>330</v>
      </c>
    </row>
    <row r="5258" spans="1:5" x14ac:dyDescent="0.25">
      <c r="A5258">
        <v>1723</v>
      </c>
      <c r="B5258" s="16">
        <v>43497</v>
      </c>
      <c r="C5258" t="s">
        <v>96</v>
      </c>
      <c r="D5258">
        <v>2604656.2500000005</v>
      </c>
      <c r="E5258" t="s">
        <v>330</v>
      </c>
    </row>
    <row r="5259" spans="1:5" x14ac:dyDescent="0.25">
      <c r="A5259">
        <v>1723</v>
      </c>
      <c r="B5259" s="16">
        <v>43525</v>
      </c>
      <c r="C5259" t="s">
        <v>96</v>
      </c>
      <c r="D5259">
        <v>2604656.2500000005</v>
      </c>
      <c r="E5259" t="s">
        <v>330</v>
      </c>
    </row>
    <row r="5260" spans="1:5" x14ac:dyDescent="0.25">
      <c r="A5260">
        <v>1723</v>
      </c>
      <c r="B5260" s="16">
        <v>43556</v>
      </c>
      <c r="C5260" t="s">
        <v>96</v>
      </c>
      <c r="D5260">
        <v>2604656.2500000005</v>
      </c>
      <c r="E5260" t="s">
        <v>330</v>
      </c>
    </row>
    <row r="5261" spans="1:5" x14ac:dyDescent="0.25">
      <c r="A5261">
        <v>1723</v>
      </c>
      <c r="B5261" s="16">
        <v>43586</v>
      </c>
      <c r="C5261" t="s">
        <v>96</v>
      </c>
      <c r="D5261">
        <v>2604656.2500000005</v>
      </c>
      <c r="E5261" t="s">
        <v>330</v>
      </c>
    </row>
    <row r="5262" spans="1:5" x14ac:dyDescent="0.25">
      <c r="A5262">
        <v>1723</v>
      </c>
      <c r="B5262" s="16">
        <v>43617</v>
      </c>
      <c r="C5262" t="s">
        <v>96</v>
      </c>
      <c r="D5262">
        <v>2604656.2500000005</v>
      </c>
      <c r="E5262" t="s">
        <v>330</v>
      </c>
    </row>
    <row r="5263" spans="1:5" x14ac:dyDescent="0.25">
      <c r="A5263">
        <v>1723</v>
      </c>
      <c r="B5263" s="16">
        <v>43466</v>
      </c>
      <c r="C5263" t="s">
        <v>35</v>
      </c>
      <c r="D5263">
        <v>4049372.25</v>
      </c>
      <c r="E5263" t="s">
        <v>330</v>
      </c>
    </row>
    <row r="5264" spans="1:5" x14ac:dyDescent="0.25">
      <c r="A5264">
        <v>1723</v>
      </c>
      <c r="B5264" s="16">
        <v>43497</v>
      </c>
      <c r="C5264" t="s">
        <v>35</v>
      </c>
      <c r="D5264">
        <v>4049372.25</v>
      </c>
      <c r="E5264" t="s">
        <v>330</v>
      </c>
    </row>
    <row r="5265" spans="1:5" x14ac:dyDescent="0.25">
      <c r="A5265">
        <v>1723</v>
      </c>
      <c r="B5265" s="16">
        <v>43525</v>
      </c>
      <c r="C5265" t="s">
        <v>35</v>
      </c>
      <c r="D5265">
        <v>4049372.25</v>
      </c>
      <c r="E5265" t="s">
        <v>330</v>
      </c>
    </row>
    <row r="5266" spans="1:5" x14ac:dyDescent="0.25">
      <c r="A5266">
        <v>1723</v>
      </c>
      <c r="B5266" s="16">
        <v>43556</v>
      </c>
      <c r="C5266" t="s">
        <v>35</v>
      </c>
      <c r="D5266">
        <v>4049372.25</v>
      </c>
      <c r="E5266" t="s">
        <v>330</v>
      </c>
    </row>
    <row r="5267" spans="1:5" x14ac:dyDescent="0.25">
      <c r="A5267">
        <v>1723</v>
      </c>
      <c r="B5267" s="16">
        <v>43586</v>
      </c>
      <c r="C5267" t="s">
        <v>35</v>
      </c>
      <c r="D5267">
        <v>4049372.25</v>
      </c>
      <c r="E5267" t="s">
        <v>330</v>
      </c>
    </row>
    <row r="5268" spans="1:5" x14ac:dyDescent="0.25">
      <c r="A5268">
        <v>1723</v>
      </c>
      <c r="B5268" s="16">
        <v>43617</v>
      </c>
      <c r="C5268" t="s">
        <v>35</v>
      </c>
      <c r="D5268">
        <v>4049372.25</v>
      </c>
      <c r="E5268" t="s">
        <v>330</v>
      </c>
    </row>
    <row r="5269" spans="1:5" x14ac:dyDescent="0.25">
      <c r="A5269">
        <v>1723</v>
      </c>
      <c r="B5269" s="16">
        <v>43466</v>
      </c>
      <c r="C5269" t="s">
        <v>97</v>
      </c>
      <c r="D5269">
        <v>3718059.9750000001</v>
      </c>
      <c r="E5269" t="s">
        <v>330</v>
      </c>
    </row>
    <row r="5270" spans="1:5" x14ac:dyDescent="0.25">
      <c r="A5270">
        <v>1723</v>
      </c>
      <c r="B5270" s="16">
        <v>43497</v>
      </c>
      <c r="C5270" t="s">
        <v>97</v>
      </c>
      <c r="D5270">
        <v>3718059.9750000001</v>
      </c>
      <c r="E5270" t="s">
        <v>330</v>
      </c>
    </row>
    <row r="5271" spans="1:5" x14ac:dyDescent="0.25">
      <c r="A5271">
        <v>1723</v>
      </c>
      <c r="B5271" s="16">
        <v>43525</v>
      </c>
      <c r="C5271" t="s">
        <v>97</v>
      </c>
      <c r="D5271">
        <v>3718059.9750000001</v>
      </c>
      <c r="E5271" t="s">
        <v>330</v>
      </c>
    </row>
    <row r="5272" spans="1:5" x14ac:dyDescent="0.25">
      <c r="A5272">
        <v>1723</v>
      </c>
      <c r="B5272" s="16">
        <v>43556</v>
      </c>
      <c r="C5272" t="s">
        <v>97</v>
      </c>
      <c r="D5272">
        <v>3718059.9750000001</v>
      </c>
      <c r="E5272" t="s">
        <v>330</v>
      </c>
    </row>
    <row r="5273" spans="1:5" x14ac:dyDescent="0.25">
      <c r="A5273">
        <v>1723</v>
      </c>
      <c r="B5273" s="16">
        <v>43586</v>
      </c>
      <c r="C5273" t="s">
        <v>97</v>
      </c>
      <c r="D5273">
        <v>3718059.9750000001</v>
      </c>
      <c r="E5273" t="s">
        <v>330</v>
      </c>
    </row>
    <row r="5274" spans="1:5" x14ac:dyDescent="0.25">
      <c r="A5274">
        <v>1723</v>
      </c>
      <c r="B5274" s="16">
        <v>43617</v>
      </c>
      <c r="C5274" t="s">
        <v>97</v>
      </c>
      <c r="D5274">
        <v>3718059.9750000001</v>
      </c>
      <c r="E5274" t="s">
        <v>330</v>
      </c>
    </row>
    <row r="5275" spans="1:5" x14ac:dyDescent="0.25">
      <c r="A5275">
        <v>1723</v>
      </c>
      <c r="B5275" s="16">
        <v>43466</v>
      </c>
      <c r="C5275" t="s">
        <v>79</v>
      </c>
      <c r="D5275">
        <v>3718059.9750000001</v>
      </c>
      <c r="E5275" t="s">
        <v>330</v>
      </c>
    </row>
    <row r="5276" spans="1:5" x14ac:dyDescent="0.25">
      <c r="A5276">
        <v>1723</v>
      </c>
      <c r="B5276" s="16">
        <v>43497</v>
      </c>
      <c r="C5276" t="s">
        <v>79</v>
      </c>
      <c r="D5276">
        <v>3718059.9750000001</v>
      </c>
      <c r="E5276" t="s">
        <v>330</v>
      </c>
    </row>
    <row r="5277" spans="1:5" x14ac:dyDescent="0.25">
      <c r="A5277">
        <v>1723</v>
      </c>
      <c r="B5277" s="16">
        <v>43525</v>
      </c>
      <c r="C5277" t="s">
        <v>79</v>
      </c>
      <c r="D5277">
        <v>3718059.9750000001</v>
      </c>
      <c r="E5277" t="s">
        <v>330</v>
      </c>
    </row>
    <row r="5278" spans="1:5" x14ac:dyDescent="0.25">
      <c r="A5278">
        <v>1723</v>
      </c>
      <c r="B5278" s="16">
        <v>43556</v>
      </c>
      <c r="C5278" t="s">
        <v>79</v>
      </c>
      <c r="D5278">
        <v>3718059.9750000001</v>
      </c>
      <c r="E5278" t="s">
        <v>330</v>
      </c>
    </row>
    <row r="5279" spans="1:5" x14ac:dyDescent="0.25">
      <c r="A5279">
        <v>1723</v>
      </c>
      <c r="B5279" s="16">
        <v>43586</v>
      </c>
      <c r="C5279" t="s">
        <v>79</v>
      </c>
      <c r="D5279">
        <v>3718059.9750000001</v>
      </c>
      <c r="E5279" t="s">
        <v>330</v>
      </c>
    </row>
    <row r="5280" spans="1:5" x14ac:dyDescent="0.25">
      <c r="A5280">
        <v>1723</v>
      </c>
      <c r="B5280" s="16">
        <v>43617</v>
      </c>
      <c r="C5280" t="s">
        <v>79</v>
      </c>
      <c r="D5280">
        <v>3718059.9750000001</v>
      </c>
      <c r="E5280" t="s">
        <v>330</v>
      </c>
    </row>
    <row r="5281" spans="1:5" x14ac:dyDescent="0.25">
      <c r="A5281">
        <v>1723</v>
      </c>
      <c r="B5281" s="16">
        <v>43466</v>
      </c>
      <c r="C5281" t="s">
        <v>23</v>
      </c>
      <c r="D5281">
        <v>4049372.25</v>
      </c>
      <c r="E5281" t="s">
        <v>330</v>
      </c>
    </row>
    <row r="5282" spans="1:5" x14ac:dyDescent="0.25">
      <c r="A5282">
        <v>1723</v>
      </c>
      <c r="B5282" s="16">
        <v>43497</v>
      </c>
      <c r="C5282" t="s">
        <v>23</v>
      </c>
      <c r="D5282">
        <v>4049372.25</v>
      </c>
      <c r="E5282" t="s">
        <v>330</v>
      </c>
    </row>
    <row r="5283" spans="1:5" x14ac:dyDescent="0.25">
      <c r="A5283">
        <v>1723</v>
      </c>
      <c r="B5283" s="16">
        <v>43525</v>
      </c>
      <c r="C5283" t="s">
        <v>23</v>
      </c>
      <c r="D5283">
        <v>4049372.25</v>
      </c>
      <c r="E5283" t="s">
        <v>330</v>
      </c>
    </row>
    <row r="5284" spans="1:5" x14ac:dyDescent="0.25">
      <c r="A5284">
        <v>1723</v>
      </c>
      <c r="B5284" s="16">
        <v>43556</v>
      </c>
      <c r="C5284" t="s">
        <v>23</v>
      </c>
      <c r="D5284">
        <v>4049372.25</v>
      </c>
      <c r="E5284" t="s">
        <v>330</v>
      </c>
    </row>
    <row r="5285" spans="1:5" x14ac:dyDescent="0.25">
      <c r="A5285">
        <v>1723</v>
      </c>
      <c r="B5285" s="16">
        <v>43586</v>
      </c>
      <c r="C5285" t="s">
        <v>23</v>
      </c>
      <c r="D5285">
        <v>4049372.25</v>
      </c>
      <c r="E5285" t="s">
        <v>330</v>
      </c>
    </row>
    <row r="5286" spans="1:5" x14ac:dyDescent="0.25">
      <c r="A5286">
        <v>1723</v>
      </c>
      <c r="B5286" s="16">
        <v>43617</v>
      </c>
      <c r="C5286" t="s">
        <v>23</v>
      </c>
      <c r="D5286">
        <v>4049372.25</v>
      </c>
      <c r="E5286" t="s">
        <v>330</v>
      </c>
    </row>
    <row r="5287" spans="1:5" x14ac:dyDescent="0.25">
      <c r="A5287">
        <v>1723</v>
      </c>
      <c r="B5287" s="16">
        <v>43466</v>
      </c>
      <c r="C5287" t="s">
        <v>108</v>
      </c>
      <c r="D5287">
        <v>6221250</v>
      </c>
      <c r="E5287" t="s">
        <v>330</v>
      </c>
    </row>
    <row r="5288" spans="1:5" x14ac:dyDescent="0.25">
      <c r="A5288">
        <v>1723</v>
      </c>
      <c r="B5288" s="16">
        <v>43497</v>
      </c>
      <c r="C5288" t="s">
        <v>108</v>
      </c>
      <c r="D5288">
        <v>6221250</v>
      </c>
      <c r="E5288" t="s">
        <v>330</v>
      </c>
    </row>
    <row r="5289" spans="1:5" x14ac:dyDescent="0.25">
      <c r="A5289">
        <v>1723</v>
      </c>
      <c r="B5289" s="16">
        <v>43466</v>
      </c>
      <c r="C5289" t="s">
        <v>110</v>
      </c>
      <c r="D5289">
        <v>6221250</v>
      </c>
      <c r="E5289" t="s">
        <v>330</v>
      </c>
    </row>
    <row r="5290" spans="1:5" x14ac:dyDescent="0.25">
      <c r="A5290">
        <v>1723</v>
      </c>
      <c r="B5290" s="16">
        <v>43497</v>
      </c>
      <c r="C5290" t="s">
        <v>110</v>
      </c>
      <c r="D5290">
        <v>6221250</v>
      </c>
      <c r="E5290" t="s">
        <v>330</v>
      </c>
    </row>
    <row r="5291" spans="1:5" x14ac:dyDescent="0.25">
      <c r="A5291">
        <v>1723</v>
      </c>
      <c r="B5291" s="16">
        <v>43525</v>
      </c>
      <c r="C5291" t="s">
        <v>110</v>
      </c>
      <c r="D5291">
        <v>6221250</v>
      </c>
      <c r="E5291" t="s">
        <v>330</v>
      </c>
    </row>
    <row r="5292" spans="1:5" x14ac:dyDescent="0.25">
      <c r="A5292">
        <v>1723</v>
      </c>
      <c r="B5292" s="16">
        <v>43556</v>
      </c>
      <c r="C5292" t="s">
        <v>110</v>
      </c>
      <c r="D5292">
        <v>6221250</v>
      </c>
      <c r="E5292" t="s">
        <v>330</v>
      </c>
    </row>
    <row r="5293" spans="1:5" x14ac:dyDescent="0.25">
      <c r="A5293">
        <v>1723</v>
      </c>
      <c r="B5293" s="16">
        <v>43466</v>
      </c>
      <c r="C5293" t="s">
        <v>111</v>
      </c>
      <c r="D5293">
        <v>6221250</v>
      </c>
      <c r="E5293" t="s">
        <v>330</v>
      </c>
    </row>
    <row r="5294" spans="1:5" x14ac:dyDescent="0.25">
      <c r="A5294">
        <v>1723</v>
      </c>
      <c r="B5294" s="16">
        <v>43466</v>
      </c>
      <c r="C5294" t="s">
        <v>113</v>
      </c>
      <c r="D5294">
        <v>4123664.9999999995</v>
      </c>
      <c r="E5294" t="s">
        <v>330</v>
      </c>
    </row>
    <row r="5295" spans="1:5" x14ac:dyDescent="0.25">
      <c r="A5295">
        <v>1723</v>
      </c>
      <c r="B5295" s="16">
        <v>43497</v>
      </c>
      <c r="C5295" t="s">
        <v>113</v>
      </c>
      <c r="D5295">
        <v>4123664.9999999995</v>
      </c>
      <c r="E5295" t="s">
        <v>330</v>
      </c>
    </row>
    <row r="5296" spans="1:5" x14ac:dyDescent="0.25">
      <c r="A5296">
        <v>1723</v>
      </c>
      <c r="B5296" s="16">
        <v>43525</v>
      </c>
      <c r="C5296" t="s">
        <v>113</v>
      </c>
      <c r="D5296">
        <v>4123664.9999999995</v>
      </c>
      <c r="E5296" t="s">
        <v>330</v>
      </c>
    </row>
    <row r="5297" spans="1:5" x14ac:dyDescent="0.25">
      <c r="A5297">
        <v>1723</v>
      </c>
      <c r="B5297" s="16">
        <v>43466</v>
      </c>
      <c r="C5297" t="s">
        <v>23</v>
      </c>
      <c r="D5297">
        <v>4123664.9999999995</v>
      </c>
      <c r="E5297" t="s">
        <v>330</v>
      </c>
    </row>
    <row r="5298" spans="1:5" x14ac:dyDescent="0.25">
      <c r="A5298">
        <v>1723</v>
      </c>
      <c r="B5298" s="16">
        <v>43497</v>
      </c>
      <c r="C5298" t="s">
        <v>23</v>
      </c>
      <c r="D5298">
        <v>4123664.9999999995</v>
      </c>
      <c r="E5298" t="s">
        <v>330</v>
      </c>
    </row>
    <row r="5299" spans="1:5" x14ac:dyDescent="0.25">
      <c r="A5299">
        <v>1723</v>
      </c>
      <c r="B5299" s="16">
        <v>43525</v>
      </c>
      <c r="C5299" t="s">
        <v>23</v>
      </c>
      <c r="D5299">
        <v>4123664.9999999995</v>
      </c>
      <c r="E5299" t="s">
        <v>330</v>
      </c>
    </row>
    <row r="5300" spans="1:5" x14ac:dyDescent="0.25">
      <c r="A5300">
        <v>1723</v>
      </c>
      <c r="B5300" s="16">
        <v>43556</v>
      </c>
      <c r="C5300" t="s">
        <v>23</v>
      </c>
      <c r="D5300">
        <v>4123664.9999999995</v>
      </c>
      <c r="E5300" t="s">
        <v>330</v>
      </c>
    </row>
    <row r="5301" spans="1:5" x14ac:dyDescent="0.25">
      <c r="A5301">
        <v>1734</v>
      </c>
      <c r="B5301" s="16">
        <v>43466</v>
      </c>
      <c r="C5301" t="s">
        <v>19</v>
      </c>
      <c r="D5301">
        <v>3572100</v>
      </c>
      <c r="E5301" t="s">
        <v>330</v>
      </c>
    </row>
    <row r="5302" spans="1:5" x14ac:dyDescent="0.25">
      <c r="A5302">
        <v>1734</v>
      </c>
      <c r="B5302" s="16">
        <v>43497</v>
      </c>
      <c r="C5302" t="s">
        <v>19</v>
      </c>
      <c r="D5302">
        <v>3572100</v>
      </c>
      <c r="E5302" t="s">
        <v>330</v>
      </c>
    </row>
    <row r="5303" spans="1:5" x14ac:dyDescent="0.25">
      <c r="A5303">
        <v>1734</v>
      </c>
      <c r="B5303" s="16">
        <v>43525</v>
      </c>
      <c r="C5303" t="s">
        <v>19</v>
      </c>
      <c r="D5303">
        <v>3572100</v>
      </c>
      <c r="E5303" t="s">
        <v>330</v>
      </c>
    </row>
    <row r="5304" spans="1:5" x14ac:dyDescent="0.25">
      <c r="A5304">
        <v>1734</v>
      </c>
      <c r="B5304" s="16">
        <v>43556</v>
      </c>
      <c r="C5304" t="s">
        <v>19</v>
      </c>
      <c r="D5304">
        <v>3572100</v>
      </c>
      <c r="E5304" t="s">
        <v>330</v>
      </c>
    </row>
    <row r="5305" spans="1:5" x14ac:dyDescent="0.25">
      <c r="A5305">
        <v>1734</v>
      </c>
      <c r="B5305" s="16">
        <v>43586</v>
      </c>
      <c r="C5305" t="s">
        <v>19</v>
      </c>
      <c r="D5305">
        <v>3572100</v>
      </c>
      <c r="E5305" t="s">
        <v>330</v>
      </c>
    </row>
    <row r="5306" spans="1:5" x14ac:dyDescent="0.25">
      <c r="A5306">
        <v>1734</v>
      </c>
      <c r="B5306" s="16">
        <v>43617</v>
      </c>
      <c r="C5306" t="s">
        <v>19</v>
      </c>
      <c r="D5306">
        <v>3572100</v>
      </c>
      <c r="E5306" t="s">
        <v>330</v>
      </c>
    </row>
    <row r="5307" spans="1:5" x14ac:dyDescent="0.25">
      <c r="A5307">
        <v>1734</v>
      </c>
      <c r="B5307" s="16">
        <v>43647</v>
      </c>
      <c r="C5307" t="s">
        <v>19</v>
      </c>
      <c r="D5307">
        <v>3572100</v>
      </c>
      <c r="E5307" t="s">
        <v>330</v>
      </c>
    </row>
    <row r="5308" spans="1:5" x14ac:dyDescent="0.25">
      <c r="A5308">
        <v>1734</v>
      </c>
      <c r="B5308" s="16">
        <v>43678</v>
      </c>
      <c r="C5308" t="s">
        <v>19</v>
      </c>
      <c r="D5308">
        <v>3572100</v>
      </c>
      <c r="E5308" t="s">
        <v>330</v>
      </c>
    </row>
    <row r="5309" spans="1:5" x14ac:dyDescent="0.25">
      <c r="A5309">
        <v>1734</v>
      </c>
      <c r="B5309" s="16">
        <v>43709</v>
      </c>
      <c r="C5309" t="s">
        <v>19</v>
      </c>
      <c r="D5309">
        <v>3572100</v>
      </c>
      <c r="E5309" t="s">
        <v>330</v>
      </c>
    </row>
    <row r="5310" spans="1:5" x14ac:dyDescent="0.25">
      <c r="A5310">
        <v>1734</v>
      </c>
      <c r="B5310" s="16">
        <v>43739</v>
      </c>
      <c r="C5310" t="s">
        <v>19</v>
      </c>
      <c r="D5310">
        <v>3572100</v>
      </c>
      <c r="E5310" t="s">
        <v>330</v>
      </c>
    </row>
    <row r="5311" spans="1:5" x14ac:dyDescent="0.25">
      <c r="A5311">
        <v>1734</v>
      </c>
      <c r="B5311" s="16">
        <v>43770</v>
      </c>
      <c r="C5311" t="s">
        <v>19</v>
      </c>
      <c r="D5311">
        <v>3572100</v>
      </c>
      <c r="E5311" t="s">
        <v>330</v>
      </c>
    </row>
    <row r="5312" spans="1:5" x14ac:dyDescent="0.25">
      <c r="A5312">
        <v>1734</v>
      </c>
      <c r="B5312" s="16">
        <v>43800</v>
      </c>
      <c r="C5312" t="s">
        <v>19</v>
      </c>
      <c r="D5312">
        <v>3572100</v>
      </c>
      <c r="E5312" t="s">
        <v>330</v>
      </c>
    </row>
    <row r="5313" spans="1:5" x14ac:dyDescent="0.25">
      <c r="A5313">
        <v>1734</v>
      </c>
      <c r="B5313" s="16">
        <v>43831</v>
      </c>
      <c r="C5313" t="s">
        <v>19</v>
      </c>
      <c r="D5313">
        <v>3572100</v>
      </c>
      <c r="E5313" t="s">
        <v>330</v>
      </c>
    </row>
    <row r="5314" spans="1:5" x14ac:dyDescent="0.25">
      <c r="A5314">
        <v>1734</v>
      </c>
      <c r="B5314" s="16">
        <v>43862</v>
      </c>
      <c r="C5314" t="s">
        <v>19</v>
      </c>
      <c r="D5314">
        <v>3572100</v>
      </c>
      <c r="E5314" t="s">
        <v>330</v>
      </c>
    </row>
    <row r="5315" spans="1:5" x14ac:dyDescent="0.25">
      <c r="A5315">
        <v>1734</v>
      </c>
      <c r="B5315" s="16">
        <v>43891</v>
      </c>
      <c r="C5315" t="s">
        <v>19</v>
      </c>
      <c r="D5315">
        <v>3572100</v>
      </c>
      <c r="E5315" t="s">
        <v>330</v>
      </c>
    </row>
    <row r="5316" spans="1:5" x14ac:dyDescent="0.25">
      <c r="A5316">
        <v>1734</v>
      </c>
      <c r="B5316" s="16">
        <v>43922</v>
      </c>
      <c r="C5316" t="s">
        <v>19</v>
      </c>
      <c r="D5316">
        <v>3572100</v>
      </c>
      <c r="E5316" t="s">
        <v>330</v>
      </c>
    </row>
    <row r="5317" spans="1:5" x14ac:dyDescent="0.25">
      <c r="A5317">
        <v>1734</v>
      </c>
      <c r="B5317" s="16">
        <v>43952</v>
      </c>
      <c r="C5317" t="s">
        <v>19</v>
      </c>
      <c r="D5317">
        <v>3572100</v>
      </c>
      <c r="E5317" t="s">
        <v>330</v>
      </c>
    </row>
    <row r="5318" spans="1:5" x14ac:dyDescent="0.25">
      <c r="A5318">
        <v>1734</v>
      </c>
      <c r="B5318" s="16">
        <v>43983</v>
      </c>
      <c r="C5318" t="s">
        <v>19</v>
      </c>
      <c r="D5318">
        <v>3572100</v>
      </c>
      <c r="E5318" t="s">
        <v>330</v>
      </c>
    </row>
    <row r="5319" spans="1:5" x14ac:dyDescent="0.25">
      <c r="A5319">
        <v>1734</v>
      </c>
      <c r="B5319" s="16">
        <v>44013</v>
      </c>
      <c r="C5319" t="s">
        <v>19</v>
      </c>
      <c r="D5319">
        <v>3572100</v>
      </c>
      <c r="E5319" t="s">
        <v>330</v>
      </c>
    </row>
    <row r="5320" spans="1:5" x14ac:dyDescent="0.25">
      <c r="A5320">
        <v>1734</v>
      </c>
      <c r="B5320" s="16">
        <v>44044</v>
      </c>
      <c r="C5320" t="s">
        <v>19</v>
      </c>
      <c r="D5320">
        <v>3572100</v>
      </c>
      <c r="E5320" t="s">
        <v>330</v>
      </c>
    </row>
    <row r="5321" spans="1:5" x14ac:dyDescent="0.25">
      <c r="A5321">
        <v>1734</v>
      </c>
      <c r="B5321" s="16">
        <v>44075</v>
      </c>
      <c r="C5321" t="s">
        <v>19</v>
      </c>
      <c r="D5321">
        <v>3572100</v>
      </c>
      <c r="E5321" t="s">
        <v>330</v>
      </c>
    </row>
    <row r="5322" spans="1:5" x14ac:dyDescent="0.25">
      <c r="A5322">
        <v>1734</v>
      </c>
      <c r="B5322" s="16">
        <v>43466</v>
      </c>
      <c r="C5322" t="s">
        <v>12</v>
      </c>
      <c r="D5322">
        <v>10087875</v>
      </c>
      <c r="E5322" t="s">
        <v>330</v>
      </c>
    </row>
    <row r="5323" spans="1:5" x14ac:dyDescent="0.25">
      <c r="A5323">
        <v>1734</v>
      </c>
      <c r="B5323" s="16">
        <v>43497</v>
      </c>
      <c r="C5323" t="s">
        <v>12</v>
      </c>
      <c r="D5323">
        <v>10087875</v>
      </c>
      <c r="E5323" t="s">
        <v>330</v>
      </c>
    </row>
    <row r="5324" spans="1:5" x14ac:dyDescent="0.25">
      <c r="A5324">
        <v>1734</v>
      </c>
      <c r="B5324" s="16">
        <v>43525</v>
      </c>
      <c r="C5324" t="s">
        <v>12</v>
      </c>
      <c r="D5324">
        <v>10087875</v>
      </c>
      <c r="E5324" t="s">
        <v>330</v>
      </c>
    </row>
    <row r="5325" spans="1:5" x14ac:dyDescent="0.25">
      <c r="A5325">
        <v>1734</v>
      </c>
      <c r="B5325" s="16">
        <v>43556</v>
      </c>
      <c r="C5325" t="s">
        <v>12</v>
      </c>
      <c r="D5325">
        <v>10087875</v>
      </c>
      <c r="E5325" t="s">
        <v>330</v>
      </c>
    </row>
    <row r="5326" spans="1:5" x14ac:dyDescent="0.25">
      <c r="A5326">
        <v>1734</v>
      </c>
      <c r="B5326" s="16">
        <v>43586</v>
      </c>
      <c r="C5326" t="s">
        <v>12</v>
      </c>
      <c r="D5326">
        <v>10087875</v>
      </c>
      <c r="E5326" t="s">
        <v>330</v>
      </c>
    </row>
    <row r="5327" spans="1:5" x14ac:dyDescent="0.25">
      <c r="A5327">
        <v>1734</v>
      </c>
      <c r="B5327" s="16">
        <v>43617</v>
      </c>
      <c r="C5327" t="s">
        <v>12</v>
      </c>
      <c r="D5327">
        <v>10087875</v>
      </c>
      <c r="E5327" t="s">
        <v>330</v>
      </c>
    </row>
    <row r="5328" spans="1:5" x14ac:dyDescent="0.25">
      <c r="A5328">
        <v>1734</v>
      </c>
      <c r="B5328" s="16">
        <v>43647</v>
      </c>
      <c r="C5328" t="s">
        <v>12</v>
      </c>
      <c r="D5328">
        <v>10087875</v>
      </c>
      <c r="E5328" t="s">
        <v>330</v>
      </c>
    </row>
    <row r="5329" spans="1:5" x14ac:dyDescent="0.25">
      <c r="A5329">
        <v>1734</v>
      </c>
      <c r="B5329" s="16">
        <v>43678</v>
      </c>
      <c r="C5329" t="s">
        <v>12</v>
      </c>
      <c r="D5329">
        <v>10087875</v>
      </c>
      <c r="E5329" t="s">
        <v>330</v>
      </c>
    </row>
    <row r="5330" spans="1:5" x14ac:dyDescent="0.25">
      <c r="A5330">
        <v>1734</v>
      </c>
      <c r="B5330" s="16">
        <v>43709</v>
      </c>
      <c r="C5330" t="s">
        <v>12</v>
      </c>
      <c r="D5330">
        <v>10087875</v>
      </c>
      <c r="E5330" t="s">
        <v>330</v>
      </c>
    </row>
    <row r="5331" spans="1:5" x14ac:dyDescent="0.25">
      <c r="A5331">
        <v>1734</v>
      </c>
      <c r="B5331" s="16">
        <v>43739</v>
      </c>
      <c r="C5331" t="s">
        <v>12</v>
      </c>
      <c r="D5331">
        <v>10087875</v>
      </c>
      <c r="E5331" t="s">
        <v>330</v>
      </c>
    </row>
    <row r="5332" spans="1:5" x14ac:dyDescent="0.25">
      <c r="A5332">
        <v>1734</v>
      </c>
      <c r="B5332" s="16">
        <v>43770</v>
      </c>
      <c r="C5332" t="s">
        <v>12</v>
      </c>
      <c r="D5332">
        <v>10087875</v>
      </c>
      <c r="E5332" t="s">
        <v>330</v>
      </c>
    </row>
    <row r="5333" spans="1:5" x14ac:dyDescent="0.25">
      <c r="A5333">
        <v>1734</v>
      </c>
      <c r="B5333" s="16">
        <v>43800</v>
      </c>
      <c r="C5333" t="s">
        <v>12</v>
      </c>
      <c r="D5333">
        <v>10087875</v>
      </c>
      <c r="E5333" t="s">
        <v>330</v>
      </c>
    </row>
    <row r="5334" spans="1:5" x14ac:dyDescent="0.25">
      <c r="A5334">
        <v>1734</v>
      </c>
      <c r="B5334" s="16">
        <v>43831</v>
      </c>
      <c r="C5334" t="s">
        <v>12</v>
      </c>
      <c r="D5334">
        <v>10087875</v>
      </c>
      <c r="E5334" t="s">
        <v>330</v>
      </c>
    </row>
    <row r="5335" spans="1:5" x14ac:dyDescent="0.25">
      <c r="A5335">
        <v>1734</v>
      </c>
      <c r="B5335" s="16">
        <v>43862</v>
      </c>
      <c r="C5335" t="s">
        <v>12</v>
      </c>
      <c r="D5335">
        <v>10087875</v>
      </c>
      <c r="E5335" t="s">
        <v>330</v>
      </c>
    </row>
    <row r="5336" spans="1:5" x14ac:dyDescent="0.25">
      <c r="A5336">
        <v>1734</v>
      </c>
      <c r="B5336" s="16">
        <v>43891</v>
      </c>
      <c r="C5336" t="s">
        <v>12</v>
      </c>
      <c r="D5336">
        <v>10087875</v>
      </c>
      <c r="E5336" t="s">
        <v>330</v>
      </c>
    </row>
    <row r="5337" spans="1:5" x14ac:dyDescent="0.25">
      <c r="A5337">
        <v>1734</v>
      </c>
      <c r="B5337" s="16">
        <v>43922</v>
      </c>
      <c r="C5337" t="s">
        <v>12</v>
      </c>
      <c r="D5337">
        <v>10087875</v>
      </c>
      <c r="E5337" t="s">
        <v>330</v>
      </c>
    </row>
    <row r="5338" spans="1:5" x14ac:dyDescent="0.25">
      <c r="A5338">
        <v>1734</v>
      </c>
      <c r="B5338" s="16">
        <v>43952</v>
      </c>
      <c r="C5338" t="s">
        <v>12</v>
      </c>
      <c r="D5338">
        <v>10087875</v>
      </c>
      <c r="E5338" t="s">
        <v>330</v>
      </c>
    </row>
    <row r="5339" spans="1:5" x14ac:dyDescent="0.25">
      <c r="A5339">
        <v>1734</v>
      </c>
      <c r="B5339" s="16">
        <v>43983</v>
      </c>
      <c r="C5339" t="s">
        <v>12</v>
      </c>
      <c r="D5339">
        <v>10087875</v>
      </c>
      <c r="E5339" t="s">
        <v>330</v>
      </c>
    </row>
    <row r="5340" spans="1:5" x14ac:dyDescent="0.25">
      <c r="A5340">
        <v>1734</v>
      </c>
      <c r="B5340" s="16">
        <v>44013</v>
      </c>
      <c r="C5340" t="s">
        <v>12</v>
      </c>
      <c r="D5340">
        <v>10087875</v>
      </c>
      <c r="E5340" t="s">
        <v>330</v>
      </c>
    </row>
    <row r="5341" spans="1:5" x14ac:dyDescent="0.25">
      <c r="A5341">
        <v>1734</v>
      </c>
      <c r="B5341" s="16">
        <v>44044</v>
      </c>
      <c r="C5341" t="s">
        <v>12</v>
      </c>
      <c r="D5341">
        <v>10087875</v>
      </c>
      <c r="E5341" t="s">
        <v>330</v>
      </c>
    </row>
    <row r="5342" spans="1:5" x14ac:dyDescent="0.25">
      <c r="A5342">
        <v>1734</v>
      </c>
      <c r="B5342" s="16">
        <v>44075</v>
      </c>
      <c r="C5342" t="s">
        <v>12</v>
      </c>
      <c r="D5342">
        <v>10087875</v>
      </c>
      <c r="E5342" t="s">
        <v>330</v>
      </c>
    </row>
    <row r="5343" spans="1:5" x14ac:dyDescent="0.25">
      <c r="A5343">
        <v>1734</v>
      </c>
      <c r="B5343" s="16">
        <v>43466</v>
      </c>
      <c r="C5343" t="s">
        <v>30</v>
      </c>
      <c r="D5343">
        <v>7594316.1000000006</v>
      </c>
      <c r="E5343" t="s">
        <v>330</v>
      </c>
    </row>
    <row r="5344" spans="1:5" x14ac:dyDescent="0.25">
      <c r="A5344">
        <v>1734</v>
      </c>
      <c r="B5344" s="16">
        <v>43497</v>
      </c>
      <c r="C5344" t="s">
        <v>30</v>
      </c>
      <c r="D5344">
        <v>7594316.1000000006</v>
      </c>
      <c r="E5344" t="s">
        <v>330</v>
      </c>
    </row>
    <row r="5345" spans="1:5" x14ac:dyDescent="0.25">
      <c r="A5345">
        <v>1734</v>
      </c>
      <c r="B5345" s="16">
        <v>43525</v>
      </c>
      <c r="C5345" t="s">
        <v>30</v>
      </c>
      <c r="D5345">
        <v>7594316.1000000006</v>
      </c>
      <c r="E5345" t="s">
        <v>330</v>
      </c>
    </row>
    <row r="5346" spans="1:5" x14ac:dyDescent="0.25">
      <c r="A5346">
        <v>1734</v>
      </c>
      <c r="B5346" s="16">
        <v>43556</v>
      </c>
      <c r="C5346" t="s">
        <v>30</v>
      </c>
      <c r="D5346">
        <v>7594316.1000000006</v>
      </c>
      <c r="E5346" t="s">
        <v>330</v>
      </c>
    </row>
    <row r="5347" spans="1:5" x14ac:dyDescent="0.25">
      <c r="A5347">
        <v>1734</v>
      </c>
      <c r="B5347" s="16">
        <v>43586</v>
      </c>
      <c r="C5347" t="s">
        <v>30</v>
      </c>
      <c r="D5347">
        <v>7594316.1000000006</v>
      </c>
      <c r="E5347" t="s">
        <v>330</v>
      </c>
    </row>
    <row r="5348" spans="1:5" x14ac:dyDescent="0.25">
      <c r="A5348">
        <v>1734</v>
      </c>
      <c r="B5348" s="16">
        <v>43617</v>
      </c>
      <c r="C5348" t="s">
        <v>30</v>
      </c>
      <c r="D5348">
        <v>7594316.1000000006</v>
      </c>
      <c r="E5348" t="s">
        <v>330</v>
      </c>
    </row>
    <row r="5349" spans="1:5" x14ac:dyDescent="0.25">
      <c r="A5349">
        <v>1734</v>
      </c>
      <c r="B5349" s="16">
        <v>43647</v>
      </c>
      <c r="C5349" t="s">
        <v>30</v>
      </c>
      <c r="D5349">
        <v>7594316.1000000006</v>
      </c>
      <c r="E5349" t="s">
        <v>330</v>
      </c>
    </row>
    <row r="5350" spans="1:5" x14ac:dyDescent="0.25">
      <c r="A5350">
        <v>1734</v>
      </c>
      <c r="B5350" s="16">
        <v>43678</v>
      </c>
      <c r="C5350" t="s">
        <v>30</v>
      </c>
      <c r="D5350">
        <v>7594316.1000000006</v>
      </c>
      <c r="E5350" t="s">
        <v>330</v>
      </c>
    </row>
    <row r="5351" spans="1:5" x14ac:dyDescent="0.25">
      <c r="A5351">
        <v>1734</v>
      </c>
      <c r="B5351" s="16">
        <v>43709</v>
      </c>
      <c r="C5351" t="s">
        <v>30</v>
      </c>
      <c r="D5351">
        <v>7594316.1000000006</v>
      </c>
      <c r="E5351" t="s">
        <v>330</v>
      </c>
    </row>
    <row r="5352" spans="1:5" x14ac:dyDescent="0.25">
      <c r="A5352">
        <v>1734</v>
      </c>
      <c r="B5352" s="16">
        <v>43739</v>
      </c>
      <c r="C5352" t="s">
        <v>30</v>
      </c>
      <c r="D5352">
        <v>7594316.1000000006</v>
      </c>
      <c r="E5352" t="s">
        <v>330</v>
      </c>
    </row>
    <row r="5353" spans="1:5" x14ac:dyDescent="0.25">
      <c r="A5353">
        <v>1734</v>
      </c>
      <c r="B5353" s="16">
        <v>43770</v>
      </c>
      <c r="C5353" t="s">
        <v>30</v>
      </c>
      <c r="D5353">
        <v>7594316.1000000006</v>
      </c>
      <c r="E5353" t="s">
        <v>330</v>
      </c>
    </row>
    <row r="5354" spans="1:5" x14ac:dyDescent="0.25">
      <c r="A5354">
        <v>1734</v>
      </c>
      <c r="B5354" s="16">
        <v>43800</v>
      </c>
      <c r="C5354" t="s">
        <v>30</v>
      </c>
      <c r="D5354">
        <v>7594316.1000000006</v>
      </c>
      <c r="E5354" t="s">
        <v>330</v>
      </c>
    </row>
    <row r="5355" spans="1:5" x14ac:dyDescent="0.25">
      <c r="A5355">
        <v>1734</v>
      </c>
      <c r="B5355" s="16">
        <v>43831</v>
      </c>
      <c r="C5355" t="s">
        <v>30</v>
      </c>
      <c r="D5355">
        <v>7594316.1000000006</v>
      </c>
      <c r="E5355" t="s">
        <v>330</v>
      </c>
    </row>
    <row r="5356" spans="1:5" x14ac:dyDescent="0.25">
      <c r="A5356">
        <v>1734</v>
      </c>
      <c r="B5356" s="16">
        <v>43862</v>
      </c>
      <c r="C5356" t="s">
        <v>30</v>
      </c>
      <c r="D5356">
        <v>7594316.1000000006</v>
      </c>
      <c r="E5356" t="s">
        <v>330</v>
      </c>
    </row>
    <row r="5357" spans="1:5" x14ac:dyDescent="0.25">
      <c r="A5357">
        <v>1734</v>
      </c>
      <c r="B5357" s="16">
        <v>43891</v>
      </c>
      <c r="C5357" t="s">
        <v>30</v>
      </c>
      <c r="D5357">
        <v>7594316.1000000006</v>
      </c>
      <c r="E5357" t="s">
        <v>330</v>
      </c>
    </row>
    <row r="5358" spans="1:5" x14ac:dyDescent="0.25">
      <c r="A5358">
        <v>1734</v>
      </c>
      <c r="B5358" s="16">
        <v>43922</v>
      </c>
      <c r="C5358" t="s">
        <v>30</v>
      </c>
      <c r="D5358">
        <v>7594316.1000000006</v>
      </c>
      <c r="E5358" t="s">
        <v>330</v>
      </c>
    </row>
    <row r="5359" spans="1:5" x14ac:dyDescent="0.25">
      <c r="A5359">
        <v>1734</v>
      </c>
      <c r="B5359" s="16">
        <v>43952</v>
      </c>
      <c r="C5359" t="s">
        <v>30</v>
      </c>
      <c r="D5359">
        <v>7594316.1000000006</v>
      </c>
      <c r="E5359" t="s">
        <v>330</v>
      </c>
    </row>
    <row r="5360" spans="1:5" x14ac:dyDescent="0.25">
      <c r="A5360">
        <v>1734</v>
      </c>
      <c r="B5360" s="16">
        <v>43983</v>
      </c>
      <c r="C5360" t="s">
        <v>30</v>
      </c>
      <c r="D5360">
        <v>7594316.1000000006</v>
      </c>
      <c r="E5360" t="s">
        <v>330</v>
      </c>
    </row>
    <row r="5361" spans="1:5" x14ac:dyDescent="0.25">
      <c r="A5361">
        <v>1734</v>
      </c>
      <c r="B5361" s="16">
        <v>44013</v>
      </c>
      <c r="C5361" t="s">
        <v>30</v>
      </c>
      <c r="D5361">
        <v>7594316.1000000006</v>
      </c>
      <c r="E5361" t="s">
        <v>330</v>
      </c>
    </row>
    <row r="5362" spans="1:5" x14ac:dyDescent="0.25">
      <c r="A5362">
        <v>1734</v>
      </c>
      <c r="B5362" s="16">
        <v>44044</v>
      </c>
      <c r="C5362" t="s">
        <v>30</v>
      </c>
      <c r="D5362">
        <v>7594316.1000000006</v>
      </c>
      <c r="E5362" t="s">
        <v>330</v>
      </c>
    </row>
    <row r="5363" spans="1:5" x14ac:dyDescent="0.25">
      <c r="A5363">
        <v>1734</v>
      </c>
      <c r="B5363" s="16">
        <v>44075</v>
      </c>
      <c r="C5363" t="s">
        <v>30</v>
      </c>
      <c r="D5363">
        <v>7594316.1000000006</v>
      </c>
      <c r="E5363" t="s">
        <v>330</v>
      </c>
    </row>
    <row r="5364" spans="1:5" x14ac:dyDescent="0.25">
      <c r="A5364">
        <v>1734</v>
      </c>
      <c r="B5364" s="16">
        <v>43466</v>
      </c>
      <c r="C5364" t="s">
        <v>39</v>
      </c>
      <c r="D5364">
        <v>7594316.1000000006</v>
      </c>
      <c r="E5364" t="s">
        <v>330</v>
      </c>
    </row>
    <row r="5365" spans="1:5" x14ac:dyDescent="0.25">
      <c r="A5365">
        <v>1734</v>
      </c>
      <c r="B5365" s="16">
        <v>43497</v>
      </c>
      <c r="C5365" t="s">
        <v>39</v>
      </c>
      <c r="D5365">
        <v>7594316.1000000006</v>
      </c>
      <c r="E5365" t="s">
        <v>330</v>
      </c>
    </row>
    <row r="5366" spans="1:5" x14ac:dyDescent="0.25">
      <c r="A5366">
        <v>1734</v>
      </c>
      <c r="B5366" s="16">
        <v>43525</v>
      </c>
      <c r="C5366" t="s">
        <v>39</v>
      </c>
      <c r="D5366">
        <v>7594316.1000000006</v>
      </c>
      <c r="E5366" t="s">
        <v>330</v>
      </c>
    </row>
    <row r="5367" spans="1:5" x14ac:dyDescent="0.25">
      <c r="A5367">
        <v>1734</v>
      </c>
      <c r="B5367" s="16">
        <v>43556</v>
      </c>
      <c r="C5367" t="s">
        <v>39</v>
      </c>
      <c r="D5367">
        <v>7594316.1000000006</v>
      </c>
      <c r="E5367" t="s">
        <v>330</v>
      </c>
    </row>
    <row r="5368" spans="1:5" x14ac:dyDescent="0.25">
      <c r="A5368">
        <v>1734</v>
      </c>
      <c r="B5368" s="16">
        <v>43586</v>
      </c>
      <c r="C5368" t="s">
        <v>39</v>
      </c>
      <c r="D5368">
        <v>7594316.1000000006</v>
      </c>
      <c r="E5368" t="s">
        <v>330</v>
      </c>
    </row>
    <row r="5369" spans="1:5" x14ac:dyDescent="0.25">
      <c r="A5369">
        <v>1734</v>
      </c>
      <c r="B5369" s="16">
        <v>43617</v>
      </c>
      <c r="C5369" t="s">
        <v>39</v>
      </c>
      <c r="D5369">
        <v>7594316.1000000006</v>
      </c>
      <c r="E5369" t="s">
        <v>330</v>
      </c>
    </row>
    <row r="5370" spans="1:5" x14ac:dyDescent="0.25">
      <c r="A5370">
        <v>1734</v>
      </c>
      <c r="B5370" s="16">
        <v>43647</v>
      </c>
      <c r="C5370" t="s">
        <v>39</v>
      </c>
      <c r="D5370">
        <v>7594316.1000000006</v>
      </c>
      <c r="E5370" t="s">
        <v>330</v>
      </c>
    </row>
    <row r="5371" spans="1:5" x14ac:dyDescent="0.25">
      <c r="A5371">
        <v>1734</v>
      </c>
      <c r="B5371" s="16">
        <v>43678</v>
      </c>
      <c r="C5371" t="s">
        <v>39</v>
      </c>
      <c r="D5371">
        <v>7594316.1000000006</v>
      </c>
      <c r="E5371" t="s">
        <v>330</v>
      </c>
    </row>
    <row r="5372" spans="1:5" x14ac:dyDescent="0.25">
      <c r="A5372">
        <v>1734</v>
      </c>
      <c r="B5372" s="16">
        <v>43709</v>
      </c>
      <c r="C5372" t="s">
        <v>39</v>
      </c>
      <c r="D5372">
        <v>7594316.1000000006</v>
      </c>
      <c r="E5372" t="s">
        <v>330</v>
      </c>
    </row>
    <row r="5373" spans="1:5" x14ac:dyDescent="0.25">
      <c r="A5373">
        <v>1734</v>
      </c>
      <c r="B5373" s="16">
        <v>43739</v>
      </c>
      <c r="C5373" t="s">
        <v>39</v>
      </c>
      <c r="D5373">
        <v>7594316.1000000006</v>
      </c>
      <c r="E5373" t="s">
        <v>330</v>
      </c>
    </row>
    <row r="5374" spans="1:5" x14ac:dyDescent="0.25">
      <c r="A5374">
        <v>1734</v>
      </c>
      <c r="B5374" s="16">
        <v>43770</v>
      </c>
      <c r="C5374" t="s">
        <v>39</v>
      </c>
      <c r="D5374">
        <v>7594316.1000000006</v>
      </c>
      <c r="E5374" t="s">
        <v>330</v>
      </c>
    </row>
    <row r="5375" spans="1:5" x14ac:dyDescent="0.25">
      <c r="A5375">
        <v>1734</v>
      </c>
      <c r="B5375" s="16">
        <v>43800</v>
      </c>
      <c r="C5375" t="s">
        <v>39</v>
      </c>
      <c r="D5375">
        <v>7594316.1000000006</v>
      </c>
      <c r="E5375" t="s">
        <v>330</v>
      </c>
    </row>
    <row r="5376" spans="1:5" x14ac:dyDescent="0.25">
      <c r="A5376">
        <v>1734</v>
      </c>
      <c r="B5376" s="16">
        <v>43831</v>
      </c>
      <c r="C5376" t="s">
        <v>39</v>
      </c>
      <c r="D5376">
        <v>7594316.1000000006</v>
      </c>
      <c r="E5376" t="s">
        <v>330</v>
      </c>
    </row>
    <row r="5377" spans="1:5" x14ac:dyDescent="0.25">
      <c r="A5377">
        <v>1734</v>
      </c>
      <c r="B5377" s="16">
        <v>43862</v>
      </c>
      <c r="C5377" t="s">
        <v>39</v>
      </c>
      <c r="D5377">
        <v>7594316.1000000006</v>
      </c>
      <c r="E5377" t="s">
        <v>330</v>
      </c>
    </row>
    <row r="5378" spans="1:5" x14ac:dyDescent="0.25">
      <c r="A5378">
        <v>1734</v>
      </c>
      <c r="B5378" s="16">
        <v>43891</v>
      </c>
      <c r="C5378" t="s">
        <v>39</v>
      </c>
      <c r="D5378">
        <v>7594316.1000000006</v>
      </c>
      <c r="E5378" t="s">
        <v>330</v>
      </c>
    </row>
    <row r="5379" spans="1:5" x14ac:dyDescent="0.25">
      <c r="A5379">
        <v>1734</v>
      </c>
      <c r="B5379" s="16">
        <v>43922</v>
      </c>
      <c r="C5379" t="s">
        <v>39</v>
      </c>
      <c r="D5379">
        <v>7594316.1000000006</v>
      </c>
      <c r="E5379" t="s">
        <v>330</v>
      </c>
    </row>
    <row r="5380" spans="1:5" x14ac:dyDescent="0.25">
      <c r="A5380">
        <v>1734</v>
      </c>
      <c r="B5380" s="16">
        <v>43952</v>
      </c>
      <c r="C5380" t="s">
        <v>39</v>
      </c>
      <c r="D5380">
        <v>7594316.1000000006</v>
      </c>
      <c r="E5380" t="s">
        <v>330</v>
      </c>
    </row>
    <row r="5381" spans="1:5" x14ac:dyDescent="0.25">
      <c r="A5381">
        <v>1734</v>
      </c>
      <c r="B5381" s="16">
        <v>43983</v>
      </c>
      <c r="C5381" t="s">
        <v>39</v>
      </c>
      <c r="D5381">
        <v>7594316.1000000006</v>
      </c>
      <c r="E5381" t="s">
        <v>330</v>
      </c>
    </row>
    <row r="5382" spans="1:5" x14ac:dyDescent="0.25">
      <c r="A5382">
        <v>1734</v>
      </c>
      <c r="B5382" s="16">
        <v>44013</v>
      </c>
      <c r="C5382" t="s">
        <v>39</v>
      </c>
      <c r="D5382">
        <v>7594316.1000000006</v>
      </c>
      <c r="E5382" t="s">
        <v>330</v>
      </c>
    </row>
    <row r="5383" spans="1:5" x14ac:dyDescent="0.25">
      <c r="A5383">
        <v>1734</v>
      </c>
      <c r="B5383" s="16">
        <v>44044</v>
      </c>
      <c r="C5383" t="s">
        <v>39</v>
      </c>
      <c r="D5383">
        <v>7594316.1000000006</v>
      </c>
      <c r="E5383" t="s">
        <v>330</v>
      </c>
    </row>
    <row r="5384" spans="1:5" x14ac:dyDescent="0.25">
      <c r="A5384">
        <v>1734</v>
      </c>
      <c r="B5384" s="16">
        <v>44075</v>
      </c>
      <c r="C5384" t="s">
        <v>39</v>
      </c>
      <c r="D5384">
        <v>7594316.1000000006</v>
      </c>
      <c r="E5384" t="s">
        <v>330</v>
      </c>
    </row>
    <row r="5385" spans="1:5" x14ac:dyDescent="0.25">
      <c r="A5385">
        <v>1734</v>
      </c>
      <c r="B5385" s="16">
        <v>43647</v>
      </c>
      <c r="C5385" t="s">
        <v>34</v>
      </c>
      <c r="D5385">
        <v>7594316.1000000006</v>
      </c>
      <c r="E5385" t="s">
        <v>330</v>
      </c>
    </row>
    <row r="5386" spans="1:5" x14ac:dyDescent="0.25">
      <c r="A5386">
        <v>1734</v>
      </c>
      <c r="B5386" s="16">
        <v>43678</v>
      </c>
      <c r="C5386" t="s">
        <v>34</v>
      </c>
      <c r="D5386">
        <v>7594316.1000000006</v>
      </c>
      <c r="E5386" t="s">
        <v>330</v>
      </c>
    </row>
    <row r="5387" spans="1:5" x14ac:dyDescent="0.25">
      <c r="A5387">
        <v>1734</v>
      </c>
      <c r="B5387" s="16">
        <v>43709</v>
      </c>
      <c r="C5387" t="s">
        <v>34</v>
      </c>
      <c r="D5387">
        <v>7594316.1000000006</v>
      </c>
      <c r="E5387" t="s">
        <v>330</v>
      </c>
    </row>
    <row r="5388" spans="1:5" x14ac:dyDescent="0.25">
      <c r="A5388">
        <v>1734</v>
      </c>
      <c r="B5388" s="16">
        <v>43739</v>
      </c>
      <c r="C5388" t="s">
        <v>34</v>
      </c>
      <c r="D5388">
        <v>7594316.1000000006</v>
      </c>
      <c r="E5388" t="s">
        <v>330</v>
      </c>
    </row>
    <row r="5389" spans="1:5" x14ac:dyDescent="0.25">
      <c r="A5389">
        <v>1734</v>
      </c>
      <c r="B5389" s="16">
        <v>43770</v>
      </c>
      <c r="C5389" t="s">
        <v>34</v>
      </c>
      <c r="D5389">
        <v>7594316.1000000006</v>
      </c>
      <c r="E5389" t="s">
        <v>330</v>
      </c>
    </row>
    <row r="5390" spans="1:5" x14ac:dyDescent="0.25">
      <c r="A5390">
        <v>1734</v>
      </c>
      <c r="B5390" s="16">
        <v>43800</v>
      </c>
      <c r="C5390" t="s">
        <v>34</v>
      </c>
      <c r="D5390">
        <v>7594316.1000000006</v>
      </c>
      <c r="E5390" t="s">
        <v>330</v>
      </c>
    </row>
    <row r="5391" spans="1:5" x14ac:dyDescent="0.25">
      <c r="A5391">
        <v>1734</v>
      </c>
      <c r="B5391" s="16">
        <v>43831</v>
      </c>
      <c r="C5391" t="s">
        <v>34</v>
      </c>
      <c r="D5391">
        <v>7594316.1000000006</v>
      </c>
      <c r="E5391" t="s">
        <v>330</v>
      </c>
    </row>
    <row r="5392" spans="1:5" x14ac:dyDescent="0.25">
      <c r="A5392">
        <v>1734</v>
      </c>
      <c r="B5392" s="16">
        <v>43862</v>
      </c>
      <c r="C5392" t="s">
        <v>34</v>
      </c>
      <c r="D5392">
        <v>7594316.1000000006</v>
      </c>
      <c r="E5392" t="s">
        <v>330</v>
      </c>
    </row>
    <row r="5393" spans="1:5" x14ac:dyDescent="0.25">
      <c r="A5393">
        <v>1734</v>
      </c>
      <c r="B5393" s="16">
        <v>43891</v>
      </c>
      <c r="C5393" t="s">
        <v>34</v>
      </c>
      <c r="D5393">
        <v>7594316.1000000006</v>
      </c>
      <c r="E5393" t="s">
        <v>330</v>
      </c>
    </row>
    <row r="5394" spans="1:5" x14ac:dyDescent="0.25">
      <c r="A5394">
        <v>1734</v>
      </c>
      <c r="B5394" s="16">
        <v>43922</v>
      </c>
      <c r="C5394" t="s">
        <v>34</v>
      </c>
      <c r="D5394">
        <v>7594316.1000000006</v>
      </c>
      <c r="E5394" t="s">
        <v>330</v>
      </c>
    </row>
    <row r="5395" spans="1:5" x14ac:dyDescent="0.25">
      <c r="A5395">
        <v>1734</v>
      </c>
      <c r="B5395" s="16">
        <v>43952</v>
      </c>
      <c r="C5395" t="s">
        <v>34</v>
      </c>
      <c r="D5395">
        <v>7594316.1000000006</v>
      </c>
      <c r="E5395" t="s">
        <v>330</v>
      </c>
    </row>
    <row r="5396" spans="1:5" x14ac:dyDescent="0.25">
      <c r="A5396">
        <v>1734</v>
      </c>
      <c r="B5396" s="16">
        <v>43983</v>
      </c>
      <c r="C5396" t="s">
        <v>34</v>
      </c>
      <c r="D5396">
        <v>7594316.1000000006</v>
      </c>
      <c r="E5396" t="s">
        <v>330</v>
      </c>
    </row>
    <row r="5397" spans="1:5" x14ac:dyDescent="0.25">
      <c r="A5397">
        <v>1734</v>
      </c>
      <c r="B5397" s="16">
        <v>44013</v>
      </c>
      <c r="C5397" t="s">
        <v>34</v>
      </c>
      <c r="D5397">
        <v>7594316.1000000006</v>
      </c>
      <c r="E5397" t="s">
        <v>330</v>
      </c>
    </row>
    <row r="5398" spans="1:5" x14ac:dyDescent="0.25">
      <c r="A5398">
        <v>1734</v>
      </c>
      <c r="B5398" s="16">
        <v>44044</v>
      </c>
      <c r="C5398" t="s">
        <v>34</v>
      </c>
      <c r="D5398">
        <v>7594316.1000000006</v>
      </c>
      <c r="E5398" t="s">
        <v>330</v>
      </c>
    </row>
    <row r="5399" spans="1:5" x14ac:dyDescent="0.25">
      <c r="A5399">
        <v>1734</v>
      </c>
      <c r="B5399" s="16">
        <v>44075</v>
      </c>
      <c r="C5399" t="s">
        <v>34</v>
      </c>
      <c r="D5399">
        <v>7594316.1000000006</v>
      </c>
      <c r="E5399" t="s">
        <v>330</v>
      </c>
    </row>
    <row r="5400" spans="1:5" x14ac:dyDescent="0.25">
      <c r="A5400">
        <v>1734</v>
      </c>
      <c r="B5400" s="16">
        <v>43647</v>
      </c>
      <c r="C5400" t="s">
        <v>14</v>
      </c>
      <c r="D5400">
        <v>7008008.1750000007</v>
      </c>
      <c r="E5400" t="s">
        <v>330</v>
      </c>
    </row>
    <row r="5401" spans="1:5" x14ac:dyDescent="0.25">
      <c r="A5401">
        <v>1734</v>
      </c>
      <c r="B5401" s="16">
        <v>43678</v>
      </c>
      <c r="C5401" t="s">
        <v>14</v>
      </c>
      <c r="D5401">
        <v>7008008.1750000007</v>
      </c>
      <c r="E5401" t="s">
        <v>330</v>
      </c>
    </row>
    <row r="5402" spans="1:5" x14ac:dyDescent="0.25">
      <c r="A5402">
        <v>1734</v>
      </c>
      <c r="B5402" s="16">
        <v>43709</v>
      </c>
      <c r="C5402" t="s">
        <v>14</v>
      </c>
      <c r="D5402">
        <v>7008008.1750000007</v>
      </c>
      <c r="E5402" t="s">
        <v>330</v>
      </c>
    </row>
    <row r="5403" spans="1:5" x14ac:dyDescent="0.25">
      <c r="A5403">
        <v>1734</v>
      </c>
      <c r="B5403" s="16">
        <v>43739</v>
      </c>
      <c r="C5403" t="s">
        <v>14</v>
      </c>
      <c r="D5403">
        <v>7008008.1750000007</v>
      </c>
      <c r="E5403" t="s">
        <v>330</v>
      </c>
    </row>
    <row r="5404" spans="1:5" x14ac:dyDescent="0.25">
      <c r="A5404">
        <v>1734</v>
      </c>
      <c r="B5404" s="16">
        <v>43770</v>
      </c>
      <c r="C5404" t="s">
        <v>14</v>
      </c>
      <c r="D5404">
        <v>7008008.1750000007</v>
      </c>
      <c r="E5404" t="s">
        <v>330</v>
      </c>
    </row>
    <row r="5405" spans="1:5" x14ac:dyDescent="0.25">
      <c r="A5405">
        <v>1734</v>
      </c>
      <c r="B5405" s="16">
        <v>43800</v>
      </c>
      <c r="C5405" t="s">
        <v>14</v>
      </c>
      <c r="D5405">
        <v>7008008.1750000007</v>
      </c>
      <c r="E5405" t="s">
        <v>330</v>
      </c>
    </row>
    <row r="5406" spans="1:5" x14ac:dyDescent="0.25">
      <c r="A5406">
        <v>1734</v>
      </c>
      <c r="B5406" s="16">
        <v>43831</v>
      </c>
      <c r="C5406" t="s">
        <v>14</v>
      </c>
      <c r="D5406">
        <v>7008008.1750000007</v>
      </c>
      <c r="E5406" t="s">
        <v>330</v>
      </c>
    </row>
    <row r="5407" spans="1:5" x14ac:dyDescent="0.25">
      <c r="A5407">
        <v>1734</v>
      </c>
      <c r="B5407" s="16">
        <v>43862</v>
      </c>
      <c r="C5407" t="s">
        <v>14</v>
      </c>
      <c r="D5407">
        <v>7008008.1750000007</v>
      </c>
      <c r="E5407" t="s">
        <v>330</v>
      </c>
    </row>
    <row r="5408" spans="1:5" x14ac:dyDescent="0.25">
      <c r="A5408">
        <v>1734</v>
      </c>
      <c r="B5408" s="16">
        <v>43891</v>
      </c>
      <c r="C5408" t="s">
        <v>14</v>
      </c>
      <c r="D5408">
        <v>7008008.1750000007</v>
      </c>
      <c r="E5408" t="s">
        <v>330</v>
      </c>
    </row>
    <row r="5409" spans="1:5" x14ac:dyDescent="0.25">
      <c r="A5409">
        <v>1734</v>
      </c>
      <c r="B5409" s="16">
        <v>43922</v>
      </c>
      <c r="C5409" t="s">
        <v>14</v>
      </c>
      <c r="D5409">
        <v>7008008.1750000007</v>
      </c>
      <c r="E5409" t="s">
        <v>330</v>
      </c>
    </row>
    <row r="5410" spans="1:5" x14ac:dyDescent="0.25">
      <c r="A5410">
        <v>1734</v>
      </c>
      <c r="B5410" s="16">
        <v>43952</v>
      </c>
      <c r="C5410" t="s">
        <v>14</v>
      </c>
      <c r="D5410">
        <v>7008008.1750000007</v>
      </c>
      <c r="E5410" t="s">
        <v>330</v>
      </c>
    </row>
    <row r="5411" spans="1:5" x14ac:dyDescent="0.25">
      <c r="A5411">
        <v>1734</v>
      </c>
      <c r="B5411" s="16">
        <v>43983</v>
      </c>
      <c r="C5411" t="s">
        <v>14</v>
      </c>
      <c r="D5411">
        <v>7008008.1750000007</v>
      </c>
      <c r="E5411" t="s">
        <v>330</v>
      </c>
    </row>
    <row r="5412" spans="1:5" x14ac:dyDescent="0.25">
      <c r="A5412">
        <v>1734</v>
      </c>
      <c r="B5412" s="16">
        <v>44013</v>
      </c>
      <c r="C5412" t="s">
        <v>14</v>
      </c>
      <c r="D5412">
        <v>7008008.1750000007</v>
      </c>
      <c r="E5412" t="s">
        <v>330</v>
      </c>
    </row>
    <row r="5413" spans="1:5" x14ac:dyDescent="0.25">
      <c r="A5413">
        <v>1734</v>
      </c>
      <c r="B5413" s="16">
        <v>44044</v>
      </c>
      <c r="C5413" t="s">
        <v>14</v>
      </c>
      <c r="D5413">
        <v>7008008.1750000007</v>
      </c>
      <c r="E5413" t="s">
        <v>330</v>
      </c>
    </row>
    <row r="5414" spans="1:5" x14ac:dyDescent="0.25">
      <c r="A5414">
        <v>1734</v>
      </c>
      <c r="B5414" s="16">
        <v>44075</v>
      </c>
      <c r="C5414" t="s">
        <v>14</v>
      </c>
      <c r="D5414">
        <v>7008008.1750000007</v>
      </c>
      <c r="E5414" t="s">
        <v>330</v>
      </c>
    </row>
    <row r="5415" spans="1:5" x14ac:dyDescent="0.25">
      <c r="A5415">
        <v>1734</v>
      </c>
      <c r="B5415" s="16">
        <v>43466</v>
      </c>
      <c r="C5415" t="s">
        <v>117</v>
      </c>
      <c r="D5415">
        <v>3731425.4250000003</v>
      </c>
      <c r="E5415" t="s">
        <v>330</v>
      </c>
    </row>
    <row r="5416" spans="1:5" x14ac:dyDescent="0.25">
      <c r="A5416">
        <v>1734</v>
      </c>
      <c r="B5416" s="16">
        <v>43497</v>
      </c>
      <c r="C5416" t="s">
        <v>117</v>
      </c>
      <c r="D5416">
        <v>3731425.4250000003</v>
      </c>
      <c r="E5416" t="s">
        <v>330</v>
      </c>
    </row>
    <row r="5417" spans="1:5" x14ac:dyDescent="0.25">
      <c r="A5417">
        <v>1734</v>
      </c>
      <c r="B5417" s="16">
        <v>43525</v>
      </c>
      <c r="C5417" t="s">
        <v>117</v>
      </c>
      <c r="D5417">
        <v>3731425.4250000003</v>
      </c>
      <c r="E5417" t="s">
        <v>330</v>
      </c>
    </row>
    <row r="5418" spans="1:5" x14ac:dyDescent="0.25">
      <c r="A5418">
        <v>1734</v>
      </c>
      <c r="B5418" s="16">
        <v>43556</v>
      </c>
      <c r="C5418" t="s">
        <v>117</v>
      </c>
      <c r="D5418">
        <v>3731425.4250000003</v>
      </c>
      <c r="E5418" t="s">
        <v>330</v>
      </c>
    </row>
    <row r="5419" spans="1:5" x14ac:dyDescent="0.25">
      <c r="A5419">
        <v>1734</v>
      </c>
      <c r="B5419" s="16">
        <v>43586</v>
      </c>
      <c r="C5419" t="s">
        <v>117</v>
      </c>
      <c r="D5419">
        <v>3731425.4250000003</v>
      </c>
      <c r="E5419" t="s">
        <v>330</v>
      </c>
    </row>
    <row r="5420" spans="1:5" x14ac:dyDescent="0.25">
      <c r="A5420">
        <v>1734</v>
      </c>
      <c r="B5420" s="16">
        <v>43617</v>
      </c>
      <c r="C5420" t="s">
        <v>117</v>
      </c>
      <c r="D5420">
        <v>3731425.4250000003</v>
      </c>
      <c r="E5420" t="s">
        <v>330</v>
      </c>
    </row>
    <row r="5421" spans="1:5" x14ac:dyDescent="0.25">
      <c r="A5421">
        <v>1734</v>
      </c>
      <c r="B5421" s="16">
        <v>43647</v>
      </c>
      <c r="C5421" t="s">
        <v>117</v>
      </c>
      <c r="D5421">
        <v>3731425.4250000003</v>
      </c>
      <c r="E5421" t="s">
        <v>330</v>
      </c>
    </row>
    <row r="5422" spans="1:5" x14ac:dyDescent="0.25">
      <c r="A5422">
        <v>1734</v>
      </c>
      <c r="B5422" s="16">
        <v>43678</v>
      </c>
      <c r="C5422" t="s">
        <v>117</v>
      </c>
      <c r="D5422">
        <v>3731425.4250000003</v>
      </c>
      <c r="E5422" t="s">
        <v>330</v>
      </c>
    </row>
    <row r="5423" spans="1:5" x14ac:dyDescent="0.25">
      <c r="A5423">
        <v>1734</v>
      </c>
      <c r="B5423" s="16">
        <v>43709</v>
      </c>
      <c r="C5423" t="s">
        <v>117</v>
      </c>
      <c r="D5423">
        <v>3731425.4250000003</v>
      </c>
      <c r="E5423" t="s">
        <v>330</v>
      </c>
    </row>
    <row r="5424" spans="1:5" x14ac:dyDescent="0.25">
      <c r="A5424">
        <v>1734</v>
      </c>
      <c r="B5424" s="16">
        <v>43739</v>
      </c>
      <c r="C5424" t="s">
        <v>117</v>
      </c>
      <c r="D5424">
        <v>3731425.4250000003</v>
      </c>
      <c r="E5424" t="s">
        <v>330</v>
      </c>
    </row>
    <row r="5425" spans="1:5" x14ac:dyDescent="0.25">
      <c r="A5425">
        <v>1734</v>
      </c>
      <c r="B5425" s="16">
        <v>43770</v>
      </c>
      <c r="C5425" t="s">
        <v>117</v>
      </c>
      <c r="D5425">
        <v>3731425.4250000003</v>
      </c>
      <c r="E5425" t="s">
        <v>330</v>
      </c>
    </row>
    <row r="5426" spans="1:5" x14ac:dyDescent="0.25">
      <c r="A5426">
        <v>1734</v>
      </c>
      <c r="B5426" s="16">
        <v>43800</v>
      </c>
      <c r="C5426" t="s">
        <v>117</v>
      </c>
      <c r="D5426">
        <v>3731425.4250000003</v>
      </c>
      <c r="E5426" t="s">
        <v>330</v>
      </c>
    </row>
    <row r="5427" spans="1:5" x14ac:dyDescent="0.25">
      <c r="A5427">
        <v>1734</v>
      </c>
      <c r="B5427" s="16">
        <v>43831</v>
      </c>
      <c r="C5427" t="s">
        <v>117</v>
      </c>
      <c r="D5427">
        <v>3731425.4250000003</v>
      </c>
      <c r="E5427" t="s">
        <v>330</v>
      </c>
    </row>
    <row r="5428" spans="1:5" x14ac:dyDescent="0.25">
      <c r="A5428">
        <v>1734</v>
      </c>
      <c r="B5428" s="16">
        <v>43862</v>
      </c>
      <c r="C5428" t="s">
        <v>117</v>
      </c>
      <c r="D5428">
        <v>3731425.4250000003</v>
      </c>
      <c r="E5428" t="s">
        <v>330</v>
      </c>
    </row>
    <row r="5429" spans="1:5" x14ac:dyDescent="0.25">
      <c r="A5429">
        <v>1734</v>
      </c>
      <c r="B5429" s="16">
        <v>43891</v>
      </c>
      <c r="C5429" t="s">
        <v>117</v>
      </c>
      <c r="D5429">
        <v>3731425.4250000003</v>
      </c>
      <c r="E5429" t="s">
        <v>330</v>
      </c>
    </row>
    <row r="5430" spans="1:5" x14ac:dyDescent="0.25">
      <c r="A5430">
        <v>1734</v>
      </c>
      <c r="B5430" s="16">
        <v>43922</v>
      </c>
      <c r="C5430" t="s">
        <v>117</v>
      </c>
      <c r="D5430">
        <v>3731425.4250000003</v>
      </c>
      <c r="E5430" t="s">
        <v>330</v>
      </c>
    </row>
    <row r="5431" spans="1:5" x14ac:dyDescent="0.25">
      <c r="A5431">
        <v>1734</v>
      </c>
      <c r="B5431" s="16">
        <v>43952</v>
      </c>
      <c r="C5431" t="s">
        <v>117</v>
      </c>
      <c r="D5431">
        <v>3731425.4250000003</v>
      </c>
      <c r="E5431" t="s">
        <v>330</v>
      </c>
    </row>
    <row r="5432" spans="1:5" x14ac:dyDescent="0.25">
      <c r="A5432">
        <v>1734</v>
      </c>
      <c r="B5432" s="16">
        <v>43983</v>
      </c>
      <c r="C5432" t="s">
        <v>117</v>
      </c>
      <c r="D5432">
        <v>3731425.4250000003</v>
      </c>
      <c r="E5432" t="s">
        <v>330</v>
      </c>
    </row>
    <row r="5433" spans="1:5" x14ac:dyDescent="0.25">
      <c r="A5433">
        <v>1734</v>
      </c>
      <c r="B5433" s="16">
        <v>44013</v>
      </c>
      <c r="C5433" t="s">
        <v>117</v>
      </c>
      <c r="D5433">
        <v>3731425.4250000003</v>
      </c>
      <c r="E5433" t="s">
        <v>330</v>
      </c>
    </row>
    <row r="5434" spans="1:5" x14ac:dyDescent="0.25">
      <c r="A5434">
        <v>1734</v>
      </c>
      <c r="B5434" s="16">
        <v>44044</v>
      </c>
      <c r="C5434" t="s">
        <v>117</v>
      </c>
      <c r="D5434">
        <v>3731425.4250000003</v>
      </c>
      <c r="E5434" t="s">
        <v>330</v>
      </c>
    </row>
    <row r="5435" spans="1:5" x14ac:dyDescent="0.25">
      <c r="A5435">
        <v>1734</v>
      </c>
      <c r="B5435" s="16">
        <v>44075</v>
      </c>
      <c r="C5435" t="s">
        <v>117</v>
      </c>
      <c r="D5435">
        <v>3731425.4250000003</v>
      </c>
      <c r="E5435" t="s">
        <v>330</v>
      </c>
    </row>
    <row r="5436" spans="1:5" x14ac:dyDescent="0.25">
      <c r="A5436">
        <v>1734</v>
      </c>
      <c r="B5436" s="16">
        <v>43466</v>
      </c>
      <c r="C5436" t="s">
        <v>118</v>
      </c>
      <c r="D5436">
        <v>3544014.6</v>
      </c>
      <c r="E5436" t="s">
        <v>330</v>
      </c>
    </row>
    <row r="5437" spans="1:5" x14ac:dyDescent="0.25">
      <c r="A5437">
        <v>1734</v>
      </c>
      <c r="B5437" s="16">
        <v>43497</v>
      </c>
      <c r="C5437" t="s">
        <v>118</v>
      </c>
      <c r="D5437">
        <v>3544014.6</v>
      </c>
      <c r="E5437" t="s">
        <v>330</v>
      </c>
    </row>
    <row r="5438" spans="1:5" x14ac:dyDescent="0.25">
      <c r="A5438">
        <v>1734</v>
      </c>
      <c r="B5438" s="16">
        <v>43525</v>
      </c>
      <c r="C5438" t="s">
        <v>118</v>
      </c>
      <c r="D5438">
        <v>3544014.6</v>
      </c>
      <c r="E5438" t="s">
        <v>330</v>
      </c>
    </row>
    <row r="5439" spans="1:5" x14ac:dyDescent="0.25">
      <c r="A5439">
        <v>1734</v>
      </c>
      <c r="B5439" s="16">
        <v>43556</v>
      </c>
      <c r="C5439" t="s">
        <v>118</v>
      </c>
      <c r="D5439">
        <v>3544014.6</v>
      </c>
      <c r="E5439" t="s">
        <v>330</v>
      </c>
    </row>
    <row r="5440" spans="1:5" x14ac:dyDescent="0.25">
      <c r="A5440">
        <v>1734</v>
      </c>
      <c r="B5440" s="16">
        <v>43586</v>
      </c>
      <c r="C5440" t="s">
        <v>118</v>
      </c>
      <c r="D5440">
        <v>3544014.6</v>
      </c>
      <c r="E5440" t="s">
        <v>330</v>
      </c>
    </row>
    <row r="5441" spans="1:5" x14ac:dyDescent="0.25">
      <c r="A5441">
        <v>1734</v>
      </c>
      <c r="B5441" s="16">
        <v>43617</v>
      </c>
      <c r="C5441" t="s">
        <v>118</v>
      </c>
      <c r="D5441">
        <v>3544014.6</v>
      </c>
      <c r="E5441" t="s">
        <v>330</v>
      </c>
    </row>
    <row r="5442" spans="1:5" x14ac:dyDescent="0.25">
      <c r="A5442">
        <v>1734</v>
      </c>
      <c r="B5442" s="16">
        <v>43647</v>
      </c>
      <c r="C5442" t="s">
        <v>118</v>
      </c>
      <c r="D5442">
        <v>3544014.6</v>
      </c>
      <c r="E5442" t="s">
        <v>330</v>
      </c>
    </row>
    <row r="5443" spans="1:5" x14ac:dyDescent="0.25">
      <c r="A5443">
        <v>1734</v>
      </c>
      <c r="B5443" s="16">
        <v>43678</v>
      </c>
      <c r="C5443" t="s">
        <v>118</v>
      </c>
      <c r="D5443">
        <v>3544014.6</v>
      </c>
      <c r="E5443" t="s">
        <v>330</v>
      </c>
    </row>
    <row r="5444" spans="1:5" x14ac:dyDescent="0.25">
      <c r="A5444">
        <v>1734</v>
      </c>
      <c r="B5444" s="16">
        <v>43709</v>
      </c>
      <c r="C5444" t="s">
        <v>118</v>
      </c>
      <c r="D5444">
        <v>3544014.6</v>
      </c>
      <c r="E5444" t="s">
        <v>330</v>
      </c>
    </row>
    <row r="5445" spans="1:5" x14ac:dyDescent="0.25">
      <c r="A5445">
        <v>1734</v>
      </c>
      <c r="B5445" s="16">
        <v>43739</v>
      </c>
      <c r="C5445" t="s">
        <v>118</v>
      </c>
      <c r="D5445">
        <v>3544014.6</v>
      </c>
      <c r="E5445" t="s">
        <v>330</v>
      </c>
    </row>
    <row r="5446" spans="1:5" x14ac:dyDescent="0.25">
      <c r="A5446">
        <v>1734</v>
      </c>
      <c r="B5446" s="16">
        <v>43770</v>
      </c>
      <c r="C5446" t="s">
        <v>118</v>
      </c>
      <c r="D5446">
        <v>3544014.6</v>
      </c>
      <c r="E5446" t="s">
        <v>330</v>
      </c>
    </row>
    <row r="5447" spans="1:5" x14ac:dyDescent="0.25">
      <c r="A5447">
        <v>1734</v>
      </c>
      <c r="B5447" s="16">
        <v>43800</v>
      </c>
      <c r="C5447" t="s">
        <v>118</v>
      </c>
      <c r="D5447">
        <v>3544014.6</v>
      </c>
      <c r="E5447" t="s">
        <v>330</v>
      </c>
    </row>
    <row r="5448" spans="1:5" x14ac:dyDescent="0.25">
      <c r="A5448">
        <v>1734</v>
      </c>
      <c r="B5448" s="16">
        <v>43831</v>
      </c>
      <c r="C5448" t="s">
        <v>118</v>
      </c>
      <c r="D5448">
        <v>3544014.6</v>
      </c>
      <c r="E5448" t="s">
        <v>330</v>
      </c>
    </row>
    <row r="5449" spans="1:5" x14ac:dyDescent="0.25">
      <c r="A5449">
        <v>1734</v>
      </c>
      <c r="B5449" s="16">
        <v>43862</v>
      </c>
      <c r="C5449" t="s">
        <v>118</v>
      </c>
      <c r="D5449">
        <v>3544014.6</v>
      </c>
      <c r="E5449" t="s">
        <v>330</v>
      </c>
    </row>
    <row r="5450" spans="1:5" x14ac:dyDescent="0.25">
      <c r="A5450">
        <v>1734</v>
      </c>
      <c r="B5450" s="16">
        <v>43891</v>
      </c>
      <c r="C5450" t="s">
        <v>118</v>
      </c>
      <c r="D5450">
        <v>3544014.6</v>
      </c>
      <c r="E5450" t="s">
        <v>330</v>
      </c>
    </row>
    <row r="5451" spans="1:5" x14ac:dyDescent="0.25">
      <c r="A5451">
        <v>1734</v>
      </c>
      <c r="B5451" s="16">
        <v>43922</v>
      </c>
      <c r="C5451" t="s">
        <v>118</v>
      </c>
      <c r="D5451">
        <v>3544014.6</v>
      </c>
      <c r="E5451" t="s">
        <v>330</v>
      </c>
    </row>
    <row r="5452" spans="1:5" x14ac:dyDescent="0.25">
      <c r="A5452">
        <v>1734</v>
      </c>
      <c r="B5452" s="16">
        <v>43952</v>
      </c>
      <c r="C5452" t="s">
        <v>118</v>
      </c>
      <c r="D5452">
        <v>3544014.6</v>
      </c>
      <c r="E5452" t="s">
        <v>330</v>
      </c>
    </row>
    <row r="5453" spans="1:5" x14ac:dyDescent="0.25">
      <c r="A5453">
        <v>1734</v>
      </c>
      <c r="B5453" s="16">
        <v>43983</v>
      </c>
      <c r="C5453" t="s">
        <v>118</v>
      </c>
      <c r="D5453">
        <v>3544014.6</v>
      </c>
      <c r="E5453" t="s">
        <v>330</v>
      </c>
    </row>
    <row r="5454" spans="1:5" x14ac:dyDescent="0.25">
      <c r="A5454">
        <v>1734</v>
      </c>
      <c r="B5454" s="16">
        <v>44013</v>
      </c>
      <c r="C5454" t="s">
        <v>118</v>
      </c>
      <c r="D5454">
        <v>3544014.6</v>
      </c>
      <c r="E5454" t="s">
        <v>330</v>
      </c>
    </row>
    <row r="5455" spans="1:5" x14ac:dyDescent="0.25">
      <c r="A5455">
        <v>1734</v>
      </c>
      <c r="B5455" s="16">
        <v>44044</v>
      </c>
      <c r="C5455" t="s">
        <v>118</v>
      </c>
      <c r="D5455">
        <v>3544014.6</v>
      </c>
      <c r="E5455" t="s">
        <v>330</v>
      </c>
    </row>
    <row r="5456" spans="1:5" x14ac:dyDescent="0.25">
      <c r="A5456">
        <v>1734</v>
      </c>
      <c r="B5456" s="16">
        <v>44075</v>
      </c>
      <c r="C5456" t="s">
        <v>118</v>
      </c>
      <c r="D5456">
        <v>3544014.6</v>
      </c>
      <c r="E5456" t="s">
        <v>330</v>
      </c>
    </row>
    <row r="5457" spans="1:5" x14ac:dyDescent="0.25">
      <c r="A5457">
        <v>1734</v>
      </c>
      <c r="B5457" s="16">
        <v>43466</v>
      </c>
      <c r="C5457" t="s">
        <v>38</v>
      </c>
      <c r="D5457">
        <v>4829985.3734999998</v>
      </c>
      <c r="E5457" t="s">
        <v>330</v>
      </c>
    </row>
    <row r="5458" spans="1:5" x14ac:dyDescent="0.25">
      <c r="A5458">
        <v>1734</v>
      </c>
      <c r="B5458" s="16">
        <v>43497</v>
      </c>
      <c r="C5458" t="s">
        <v>38</v>
      </c>
      <c r="D5458">
        <v>4829985.3734999998</v>
      </c>
      <c r="E5458" t="s">
        <v>330</v>
      </c>
    </row>
    <row r="5459" spans="1:5" x14ac:dyDescent="0.25">
      <c r="A5459">
        <v>1734</v>
      </c>
      <c r="B5459" s="16">
        <v>43525</v>
      </c>
      <c r="C5459" t="s">
        <v>38</v>
      </c>
      <c r="D5459">
        <v>4829985.3734999998</v>
      </c>
      <c r="E5459" t="s">
        <v>330</v>
      </c>
    </row>
    <row r="5460" spans="1:5" x14ac:dyDescent="0.25">
      <c r="A5460">
        <v>1734</v>
      </c>
      <c r="B5460" s="16">
        <v>43556</v>
      </c>
      <c r="C5460" t="s">
        <v>38</v>
      </c>
      <c r="D5460">
        <v>4829985.3734999998</v>
      </c>
      <c r="E5460" t="s">
        <v>330</v>
      </c>
    </row>
    <row r="5461" spans="1:5" x14ac:dyDescent="0.25">
      <c r="A5461">
        <v>1734</v>
      </c>
      <c r="B5461" s="16">
        <v>43586</v>
      </c>
      <c r="C5461" t="s">
        <v>38</v>
      </c>
      <c r="D5461">
        <v>4829985.3734999998</v>
      </c>
      <c r="E5461" t="s">
        <v>330</v>
      </c>
    </row>
    <row r="5462" spans="1:5" x14ac:dyDescent="0.25">
      <c r="A5462">
        <v>1734</v>
      </c>
      <c r="B5462" s="16">
        <v>43617</v>
      </c>
      <c r="C5462" t="s">
        <v>38</v>
      </c>
      <c r="D5462">
        <v>4829985.3734999998</v>
      </c>
      <c r="E5462" t="s">
        <v>330</v>
      </c>
    </row>
    <row r="5463" spans="1:5" x14ac:dyDescent="0.25">
      <c r="A5463">
        <v>1734</v>
      </c>
      <c r="B5463" s="16">
        <v>43647</v>
      </c>
      <c r="C5463" t="s">
        <v>38</v>
      </c>
      <c r="D5463">
        <v>4829985.3734999998</v>
      </c>
      <c r="E5463" t="s">
        <v>330</v>
      </c>
    </row>
    <row r="5464" spans="1:5" x14ac:dyDescent="0.25">
      <c r="A5464">
        <v>1734</v>
      </c>
      <c r="B5464" s="16">
        <v>43678</v>
      </c>
      <c r="C5464" t="s">
        <v>38</v>
      </c>
      <c r="D5464">
        <v>4829985.3734999998</v>
      </c>
      <c r="E5464" t="s">
        <v>330</v>
      </c>
    </row>
    <row r="5465" spans="1:5" x14ac:dyDescent="0.25">
      <c r="A5465">
        <v>1734</v>
      </c>
      <c r="B5465" s="16">
        <v>43709</v>
      </c>
      <c r="C5465" t="s">
        <v>38</v>
      </c>
      <c r="D5465">
        <v>4829985.3734999998</v>
      </c>
      <c r="E5465" t="s">
        <v>330</v>
      </c>
    </row>
    <row r="5466" spans="1:5" x14ac:dyDescent="0.25">
      <c r="A5466">
        <v>1734</v>
      </c>
      <c r="B5466" s="16">
        <v>43739</v>
      </c>
      <c r="C5466" t="s">
        <v>38</v>
      </c>
      <c r="D5466">
        <v>4829985.3734999998</v>
      </c>
      <c r="E5466" t="s">
        <v>330</v>
      </c>
    </row>
    <row r="5467" spans="1:5" x14ac:dyDescent="0.25">
      <c r="A5467">
        <v>1734</v>
      </c>
      <c r="B5467" s="16">
        <v>43770</v>
      </c>
      <c r="C5467" t="s">
        <v>38</v>
      </c>
      <c r="D5467">
        <v>4829985.3734999998</v>
      </c>
      <c r="E5467" t="s">
        <v>330</v>
      </c>
    </row>
    <row r="5468" spans="1:5" x14ac:dyDescent="0.25">
      <c r="A5468">
        <v>1734</v>
      </c>
      <c r="B5468" s="16">
        <v>43800</v>
      </c>
      <c r="C5468" t="s">
        <v>38</v>
      </c>
      <c r="D5468">
        <v>4829985.3734999998</v>
      </c>
      <c r="E5468" t="s">
        <v>330</v>
      </c>
    </row>
    <row r="5469" spans="1:5" x14ac:dyDescent="0.25">
      <c r="A5469">
        <v>1734</v>
      </c>
      <c r="B5469" s="16">
        <v>43831</v>
      </c>
      <c r="C5469" t="s">
        <v>38</v>
      </c>
      <c r="D5469">
        <v>4829985.3734999998</v>
      </c>
      <c r="E5469" t="s">
        <v>330</v>
      </c>
    </row>
    <row r="5470" spans="1:5" x14ac:dyDescent="0.25">
      <c r="A5470">
        <v>1734</v>
      </c>
      <c r="B5470" s="16">
        <v>43862</v>
      </c>
      <c r="C5470" t="s">
        <v>38</v>
      </c>
      <c r="D5470">
        <v>4829985.3734999998</v>
      </c>
      <c r="E5470" t="s">
        <v>330</v>
      </c>
    </row>
    <row r="5471" spans="1:5" x14ac:dyDescent="0.25">
      <c r="A5471">
        <v>1734</v>
      </c>
      <c r="B5471" s="16">
        <v>43891</v>
      </c>
      <c r="C5471" t="s">
        <v>38</v>
      </c>
      <c r="D5471">
        <v>4829985.3734999998</v>
      </c>
      <c r="E5471" t="s">
        <v>330</v>
      </c>
    </row>
    <row r="5472" spans="1:5" x14ac:dyDescent="0.25">
      <c r="A5472">
        <v>1734</v>
      </c>
      <c r="B5472" s="16">
        <v>43922</v>
      </c>
      <c r="C5472" t="s">
        <v>38</v>
      </c>
      <c r="D5472">
        <v>4829985.3734999998</v>
      </c>
      <c r="E5472" t="s">
        <v>330</v>
      </c>
    </row>
    <row r="5473" spans="1:5" x14ac:dyDescent="0.25">
      <c r="A5473">
        <v>1734</v>
      </c>
      <c r="B5473" s="16">
        <v>43952</v>
      </c>
      <c r="C5473" t="s">
        <v>38</v>
      </c>
      <c r="D5473">
        <v>4829985.3734999998</v>
      </c>
      <c r="E5473" t="s">
        <v>330</v>
      </c>
    </row>
    <row r="5474" spans="1:5" x14ac:dyDescent="0.25">
      <c r="A5474">
        <v>1734</v>
      </c>
      <c r="B5474" s="16">
        <v>43983</v>
      </c>
      <c r="C5474" t="s">
        <v>38</v>
      </c>
      <c r="D5474">
        <v>4829985.3734999998</v>
      </c>
      <c r="E5474" t="s">
        <v>330</v>
      </c>
    </row>
    <row r="5475" spans="1:5" x14ac:dyDescent="0.25">
      <c r="A5475">
        <v>1734</v>
      </c>
      <c r="B5475" s="16">
        <v>44013</v>
      </c>
      <c r="C5475" t="s">
        <v>38</v>
      </c>
      <c r="D5475">
        <v>4829985.3734999998</v>
      </c>
      <c r="E5475" t="s">
        <v>330</v>
      </c>
    </row>
    <row r="5476" spans="1:5" x14ac:dyDescent="0.25">
      <c r="A5476">
        <v>1734</v>
      </c>
      <c r="B5476" s="16">
        <v>44044</v>
      </c>
      <c r="C5476" t="s">
        <v>38</v>
      </c>
      <c r="D5476">
        <v>4829985.3734999998</v>
      </c>
      <c r="E5476" t="s">
        <v>330</v>
      </c>
    </row>
    <row r="5477" spans="1:5" x14ac:dyDescent="0.25">
      <c r="A5477">
        <v>1734</v>
      </c>
      <c r="B5477" s="16">
        <v>44075</v>
      </c>
      <c r="C5477" t="s">
        <v>38</v>
      </c>
      <c r="D5477">
        <v>4829985.3734999998</v>
      </c>
      <c r="E5477" t="s">
        <v>330</v>
      </c>
    </row>
    <row r="5478" spans="1:5" x14ac:dyDescent="0.25">
      <c r="A5478">
        <v>1734</v>
      </c>
      <c r="B5478" s="16">
        <v>43497</v>
      </c>
      <c r="C5478" t="s">
        <v>79</v>
      </c>
      <c r="D5478">
        <v>4829985.3734999998</v>
      </c>
      <c r="E5478" t="s">
        <v>330</v>
      </c>
    </row>
    <row r="5479" spans="1:5" x14ac:dyDescent="0.25">
      <c r="A5479">
        <v>1734</v>
      </c>
      <c r="B5479" s="16">
        <v>43525</v>
      </c>
      <c r="C5479" t="s">
        <v>79</v>
      </c>
      <c r="D5479">
        <v>4829985.3734999998</v>
      </c>
      <c r="E5479" t="s">
        <v>330</v>
      </c>
    </row>
    <row r="5480" spans="1:5" x14ac:dyDescent="0.25">
      <c r="A5480">
        <v>1734</v>
      </c>
      <c r="B5480" s="16">
        <v>43556</v>
      </c>
      <c r="C5480" t="s">
        <v>79</v>
      </c>
      <c r="D5480">
        <v>4829985.3734999998</v>
      </c>
      <c r="E5480" t="s">
        <v>330</v>
      </c>
    </row>
    <row r="5481" spans="1:5" x14ac:dyDescent="0.25">
      <c r="A5481">
        <v>1734</v>
      </c>
      <c r="B5481" s="16">
        <v>43586</v>
      </c>
      <c r="C5481" t="s">
        <v>79</v>
      </c>
      <c r="D5481">
        <v>4829985.3734999998</v>
      </c>
      <c r="E5481" t="s">
        <v>330</v>
      </c>
    </row>
    <row r="5482" spans="1:5" x14ac:dyDescent="0.25">
      <c r="A5482">
        <v>1734</v>
      </c>
      <c r="B5482" s="16">
        <v>43617</v>
      </c>
      <c r="C5482" t="s">
        <v>79</v>
      </c>
      <c r="D5482">
        <v>4829985.3734999998</v>
      </c>
      <c r="E5482" t="s">
        <v>330</v>
      </c>
    </row>
    <row r="5483" spans="1:5" x14ac:dyDescent="0.25">
      <c r="A5483">
        <v>1734</v>
      </c>
      <c r="B5483" s="16">
        <v>43647</v>
      </c>
      <c r="C5483" t="s">
        <v>79</v>
      </c>
      <c r="D5483">
        <v>4829985.3734999998</v>
      </c>
      <c r="E5483" t="s">
        <v>330</v>
      </c>
    </row>
    <row r="5484" spans="1:5" x14ac:dyDescent="0.25">
      <c r="A5484">
        <v>1734</v>
      </c>
      <c r="B5484" s="16">
        <v>43678</v>
      </c>
      <c r="C5484" t="s">
        <v>79</v>
      </c>
      <c r="D5484">
        <v>4829985.3734999998</v>
      </c>
      <c r="E5484" t="s">
        <v>330</v>
      </c>
    </row>
    <row r="5485" spans="1:5" x14ac:dyDescent="0.25">
      <c r="A5485">
        <v>1734</v>
      </c>
      <c r="B5485" s="16">
        <v>43709</v>
      </c>
      <c r="C5485" t="s">
        <v>79</v>
      </c>
      <c r="D5485">
        <v>4829985.3734999998</v>
      </c>
      <c r="E5485" t="s">
        <v>330</v>
      </c>
    </row>
    <row r="5486" spans="1:5" x14ac:dyDescent="0.25">
      <c r="A5486">
        <v>1734</v>
      </c>
      <c r="B5486" s="16">
        <v>43739</v>
      </c>
      <c r="C5486" t="s">
        <v>79</v>
      </c>
      <c r="D5486">
        <v>4829985.3734999998</v>
      </c>
      <c r="E5486" t="s">
        <v>330</v>
      </c>
    </row>
    <row r="5487" spans="1:5" x14ac:dyDescent="0.25">
      <c r="A5487">
        <v>1734</v>
      </c>
      <c r="B5487" s="16">
        <v>43770</v>
      </c>
      <c r="C5487" t="s">
        <v>79</v>
      </c>
      <c r="D5487">
        <v>4829985.3734999998</v>
      </c>
      <c r="E5487" t="s">
        <v>330</v>
      </c>
    </row>
    <row r="5488" spans="1:5" x14ac:dyDescent="0.25">
      <c r="A5488">
        <v>1734</v>
      </c>
      <c r="B5488" s="16">
        <v>43800</v>
      </c>
      <c r="C5488" t="s">
        <v>79</v>
      </c>
      <c r="D5488">
        <v>4829985.3734999998</v>
      </c>
      <c r="E5488" t="s">
        <v>330</v>
      </c>
    </row>
    <row r="5489" spans="1:5" x14ac:dyDescent="0.25">
      <c r="A5489">
        <v>1734</v>
      </c>
      <c r="B5489" s="16">
        <v>43831</v>
      </c>
      <c r="C5489" t="s">
        <v>79</v>
      </c>
      <c r="D5489">
        <v>4829985.3734999998</v>
      </c>
      <c r="E5489" t="s">
        <v>330</v>
      </c>
    </row>
    <row r="5490" spans="1:5" x14ac:dyDescent="0.25">
      <c r="A5490">
        <v>1734</v>
      </c>
      <c r="B5490" s="16">
        <v>43862</v>
      </c>
      <c r="C5490" t="s">
        <v>79</v>
      </c>
      <c r="D5490">
        <v>4829985.3734999998</v>
      </c>
      <c r="E5490" t="s">
        <v>330</v>
      </c>
    </row>
    <row r="5491" spans="1:5" x14ac:dyDescent="0.25">
      <c r="A5491">
        <v>1734</v>
      </c>
      <c r="B5491" s="16">
        <v>43891</v>
      </c>
      <c r="C5491" t="s">
        <v>79</v>
      </c>
      <c r="D5491">
        <v>4829985.3734999998</v>
      </c>
      <c r="E5491" t="s">
        <v>330</v>
      </c>
    </row>
    <row r="5492" spans="1:5" x14ac:dyDescent="0.25">
      <c r="A5492">
        <v>1734</v>
      </c>
      <c r="B5492" s="16">
        <v>43922</v>
      </c>
      <c r="C5492" t="s">
        <v>79</v>
      </c>
      <c r="D5492">
        <v>4829985.3734999998</v>
      </c>
      <c r="E5492" t="s">
        <v>330</v>
      </c>
    </row>
    <row r="5493" spans="1:5" x14ac:dyDescent="0.25">
      <c r="A5493">
        <v>1734</v>
      </c>
      <c r="B5493" s="16">
        <v>43952</v>
      </c>
      <c r="C5493" t="s">
        <v>79</v>
      </c>
      <c r="D5493">
        <v>4829985.3734999998</v>
      </c>
      <c r="E5493" t="s">
        <v>330</v>
      </c>
    </row>
    <row r="5494" spans="1:5" x14ac:dyDescent="0.25">
      <c r="A5494">
        <v>1734</v>
      </c>
      <c r="B5494" s="16">
        <v>43983</v>
      </c>
      <c r="C5494" t="s">
        <v>79</v>
      </c>
      <c r="D5494">
        <v>4829985.3734999998</v>
      </c>
      <c r="E5494" t="s">
        <v>330</v>
      </c>
    </row>
    <row r="5495" spans="1:5" x14ac:dyDescent="0.25">
      <c r="A5495">
        <v>1734</v>
      </c>
      <c r="B5495" s="16">
        <v>44013</v>
      </c>
      <c r="C5495" t="s">
        <v>79</v>
      </c>
      <c r="D5495">
        <v>4829985.3734999998</v>
      </c>
      <c r="E5495" t="s">
        <v>330</v>
      </c>
    </row>
    <row r="5496" spans="1:5" x14ac:dyDescent="0.25">
      <c r="A5496">
        <v>1734</v>
      </c>
      <c r="B5496" s="16">
        <v>44044</v>
      </c>
      <c r="C5496" t="s">
        <v>79</v>
      </c>
      <c r="D5496">
        <v>4829985.3734999998</v>
      </c>
      <c r="E5496" t="s">
        <v>330</v>
      </c>
    </row>
    <row r="5497" spans="1:5" x14ac:dyDescent="0.25">
      <c r="A5497">
        <v>1734</v>
      </c>
      <c r="B5497" s="16">
        <v>44075</v>
      </c>
      <c r="C5497" t="s">
        <v>79</v>
      </c>
      <c r="D5497">
        <v>4829985.3734999998</v>
      </c>
      <c r="E5497" t="s">
        <v>330</v>
      </c>
    </row>
    <row r="5498" spans="1:5" x14ac:dyDescent="0.25">
      <c r="A5498">
        <v>1734</v>
      </c>
      <c r="B5498" s="16">
        <v>43647</v>
      </c>
      <c r="C5498" t="s">
        <v>23</v>
      </c>
      <c r="D5498">
        <v>3613544.2664999994</v>
      </c>
      <c r="E5498" t="s">
        <v>330</v>
      </c>
    </row>
    <row r="5499" spans="1:5" x14ac:dyDescent="0.25">
      <c r="A5499">
        <v>1734</v>
      </c>
      <c r="B5499" s="16">
        <v>43678</v>
      </c>
      <c r="C5499" t="s">
        <v>23</v>
      </c>
      <c r="D5499">
        <v>3613544.2664999994</v>
      </c>
      <c r="E5499" t="s">
        <v>330</v>
      </c>
    </row>
    <row r="5500" spans="1:5" x14ac:dyDescent="0.25">
      <c r="A5500">
        <v>1734</v>
      </c>
      <c r="B5500" s="16">
        <v>43709</v>
      </c>
      <c r="C5500" t="s">
        <v>23</v>
      </c>
      <c r="D5500">
        <v>3613544.2664999994</v>
      </c>
      <c r="E5500" t="s">
        <v>330</v>
      </c>
    </row>
    <row r="5501" spans="1:5" x14ac:dyDescent="0.25">
      <c r="A5501">
        <v>1734</v>
      </c>
      <c r="B5501" s="16">
        <v>43739</v>
      </c>
      <c r="C5501" t="s">
        <v>23</v>
      </c>
      <c r="D5501">
        <v>3613544.2664999994</v>
      </c>
      <c r="E5501" t="s">
        <v>330</v>
      </c>
    </row>
    <row r="5502" spans="1:5" x14ac:dyDescent="0.25">
      <c r="A5502">
        <v>1734</v>
      </c>
      <c r="B5502" s="16">
        <v>43770</v>
      </c>
      <c r="C5502" t="s">
        <v>23</v>
      </c>
      <c r="D5502">
        <v>3613544.2664999994</v>
      </c>
      <c r="E5502" t="s">
        <v>330</v>
      </c>
    </row>
    <row r="5503" spans="1:5" x14ac:dyDescent="0.25">
      <c r="A5503">
        <v>1734</v>
      </c>
      <c r="B5503" s="16">
        <v>43800</v>
      </c>
      <c r="C5503" t="s">
        <v>23</v>
      </c>
      <c r="D5503">
        <v>3613544.2664999994</v>
      </c>
      <c r="E5503" t="s">
        <v>330</v>
      </c>
    </row>
    <row r="5504" spans="1:5" x14ac:dyDescent="0.25">
      <c r="A5504">
        <v>1734</v>
      </c>
      <c r="B5504" s="16">
        <v>43831</v>
      </c>
      <c r="C5504" t="s">
        <v>23</v>
      </c>
      <c r="D5504">
        <v>3613544.2664999994</v>
      </c>
      <c r="E5504" t="s">
        <v>330</v>
      </c>
    </row>
    <row r="5505" spans="1:5" x14ac:dyDescent="0.25">
      <c r="A5505">
        <v>1734</v>
      </c>
      <c r="B5505" s="16">
        <v>43862</v>
      </c>
      <c r="C5505" t="s">
        <v>23</v>
      </c>
      <c r="D5505">
        <v>3613544.2664999994</v>
      </c>
      <c r="E5505" t="s">
        <v>330</v>
      </c>
    </row>
    <row r="5506" spans="1:5" x14ac:dyDescent="0.25">
      <c r="A5506">
        <v>1734</v>
      </c>
      <c r="B5506" s="16">
        <v>43891</v>
      </c>
      <c r="C5506" t="s">
        <v>23</v>
      </c>
      <c r="D5506">
        <v>3613544.2664999994</v>
      </c>
      <c r="E5506" t="s">
        <v>330</v>
      </c>
    </row>
    <row r="5507" spans="1:5" x14ac:dyDescent="0.25">
      <c r="A5507">
        <v>1734</v>
      </c>
      <c r="B5507" s="16">
        <v>43922</v>
      </c>
      <c r="C5507" t="s">
        <v>23</v>
      </c>
      <c r="D5507">
        <v>3613544.2664999994</v>
      </c>
      <c r="E5507" t="s">
        <v>330</v>
      </c>
    </row>
    <row r="5508" spans="1:5" x14ac:dyDescent="0.25">
      <c r="A5508">
        <v>1734</v>
      </c>
      <c r="B5508" s="16">
        <v>43952</v>
      </c>
      <c r="C5508" t="s">
        <v>23</v>
      </c>
      <c r="D5508">
        <v>3613544.2664999994</v>
      </c>
      <c r="E5508" t="s">
        <v>330</v>
      </c>
    </row>
    <row r="5509" spans="1:5" x14ac:dyDescent="0.25">
      <c r="A5509">
        <v>1734</v>
      </c>
      <c r="B5509" s="16">
        <v>43983</v>
      </c>
      <c r="C5509" t="s">
        <v>23</v>
      </c>
      <c r="D5509">
        <v>3613544.2664999994</v>
      </c>
      <c r="E5509" t="s">
        <v>330</v>
      </c>
    </row>
    <row r="5510" spans="1:5" x14ac:dyDescent="0.25">
      <c r="A5510">
        <v>1734</v>
      </c>
      <c r="B5510" s="16">
        <v>44013</v>
      </c>
      <c r="C5510" t="s">
        <v>23</v>
      </c>
      <c r="D5510">
        <v>3613544.2664999994</v>
      </c>
      <c r="E5510" t="s">
        <v>330</v>
      </c>
    </row>
    <row r="5511" spans="1:5" x14ac:dyDescent="0.25">
      <c r="A5511">
        <v>1734</v>
      </c>
      <c r="B5511" s="16">
        <v>44044</v>
      </c>
      <c r="C5511" t="s">
        <v>23</v>
      </c>
      <c r="D5511">
        <v>3613544.2664999994</v>
      </c>
      <c r="E5511" t="s">
        <v>330</v>
      </c>
    </row>
    <row r="5512" spans="1:5" x14ac:dyDescent="0.25">
      <c r="A5512">
        <v>1734</v>
      </c>
      <c r="B5512" s="16">
        <v>44075</v>
      </c>
      <c r="C5512" t="s">
        <v>23</v>
      </c>
      <c r="D5512">
        <v>3613544.2664999994</v>
      </c>
      <c r="E5512" t="s">
        <v>330</v>
      </c>
    </row>
    <row r="5513" spans="1:5" x14ac:dyDescent="0.25">
      <c r="A5513">
        <v>1888</v>
      </c>
      <c r="B5513" s="16">
        <v>43525</v>
      </c>
      <c r="C5513" t="s">
        <v>19</v>
      </c>
      <c r="D5513">
        <v>3170664</v>
      </c>
      <c r="E5513" t="s">
        <v>330</v>
      </c>
    </row>
    <row r="5514" spans="1:5" x14ac:dyDescent="0.25">
      <c r="A5514">
        <v>1888</v>
      </c>
      <c r="B5514" s="16">
        <v>43556</v>
      </c>
      <c r="C5514" t="s">
        <v>19</v>
      </c>
      <c r="D5514">
        <v>3170664</v>
      </c>
      <c r="E5514" t="s">
        <v>330</v>
      </c>
    </row>
    <row r="5515" spans="1:5" x14ac:dyDescent="0.25">
      <c r="A5515">
        <v>1888</v>
      </c>
      <c r="B5515" s="16">
        <v>43586</v>
      </c>
      <c r="C5515" t="s">
        <v>19</v>
      </c>
      <c r="D5515">
        <v>3170664</v>
      </c>
      <c r="E5515" t="s">
        <v>330</v>
      </c>
    </row>
    <row r="5516" spans="1:5" x14ac:dyDescent="0.25">
      <c r="A5516">
        <v>1888</v>
      </c>
      <c r="B5516" s="16">
        <v>43617</v>
      </c>
      <c r="C5516" t="s">
        <v>19</v>
      </c>
      <c r="D5516">
        <v>3170664</v>
      </c>
      <c r="E5516" t="s">
        <v>330</v>
      </c>
    </row>
    <row r="5517" spans="1:5" x14ac:dyDescent="0.25">
      <c r="A5517">
        <v>1888</v>
      </c>
      <c r="B5517" s="16">
        <v>43647</v>
      </c>
      <c r="C5517" t="s">
        <v>19</v>
      </c>
      <c r="D5517">
        <v>3170664</v>
      </c>
      <c r="E5517" t="s">
        <v>330</v>
      </c>
    </row>
    <row r="5518" spans="1:5" x14ac:dyDescent="0.25">
      <c r="A5518">
        <v>1888</v>
      </c>
      <c r="B5518" s="16">
        <v>43678</v>
      </c>
      <c r="C5518" t="s">
        <v>19</v>
      </c>
      <c r="D5518">
        <v>3170664</v>
      </c>
      <c r="E5518" t="s">
        <v>330</v>
      </c>
    </row>
    <row r="5519" spans="1:5" x14ac:dyDescent="0.25">
      <c r="A5519">
        <v>1888</v>
      </c>
      <c r="B5519" s="16">
        <v>43709</v>
      </c>
      <c r="C5519" t="s">
        <v>19</v>
      </c>
      <c r="D5519">
        <v>3170664</v>
      </c>
      <c r="E5519" t="s">
        <v>330</v>
      </c>
    </row>
    <row r="5520" spans="1:5" x14ac:dyDescent="0.25">
      <c r="A5520">
        <v>1888</v>
      </c>
      <c r="B5520" s="16">
        <v>43739</v>
      </c>
      <c r="C5520" t="s">
        <v>19</v>
      </c>
      <c r="D5520">
        <v>3170664</v>
      </c>
      <c r="E5520" t="s">
        <v>330</v>
      </c>
    </row>
    <row r="5521" spans="1:5" x14ac:dyDescent="0.25">
      <c r="A5521">
        <v>1888</v>
      </c>
      <c r="B5521" s="16">
        <v>43770</v>
      </c>
      <c r="C5521" t="s">
        <v>19</v>
      </c>
      <c r="D5521">
        <v>3170664</v>
      </c>
      <c r="E5521" t="s">
        <v>330</v>
      </c>
    </row>
    <row r="5522" spans="1:5" x14ac:dyDescent="0.25">
      <c r="A5522">
        <v>1888</v>
      </c>
      <c r="B5522" s="16">
        <v>43800</v>
      </c>
      <c r="C5522" t="s">
        <v>19</v>
      </c>
      <c r="D5522">
        <v>3170664</v>
      </c>
      <c r="E5522" t="s">
        <v>330</v>
      </c>
    </row>
    <row r="5523" spans="1:5" x14ac:dyDescent="0.25">
      <c r="A5523">
        <v>1888</v>
      </c>
      <c r="B5523" s="16">
        <v>43831</v>
      </c>
      <c r="C5523" t="s">
        <v>19</v>
      </c>
      <c r="D5523">
        <v>3170664</v>
      </c>
      <c r="E5523" t="s">
        <v>330</v>
      </c>
    </row>
    <row r="5524" spans="1:5" x14ac:dyDescent="0.25">
      <c r="A5524">
        <v>1888</v>
      </c>
      <c r="B5524" s="16">
        <v>43862</v>
      </c>
      <c r="C5524" t="s">
        <v>19</v>
      </c>
      <c r="D5524">
        <v>3170664</v>
      </c>
      <c r="E5524" t="s">
        <v>330</v>
      </c>
    </row>
    <row r="5525" spans="1:5" x14ac:dyDescent="0.25">
      <c r="A5525">
        <v>1888</v>
      </c>
      <c r="B5525" s="16">
        <v>43891</v>
      </c>
      <c r="C5525" t="s">
        <v>19</v>
      </c>
      <c r="D5525">
        <v>3170664</v>
      </c>
      <c r="E5525" t="s">
        <v>330</v>
      </c>
    </row>
    <row r="5526" spans="1:5" x14ac:dyDescent="0.25">
      <c r="A5526">
        <v>1888</v>
      </c>
      <c r="B5526" s="16">
        <v>43922</v>
      </c>
      <c r="C5526" t="s">
        <v>19</v>
      </c>
      <c r="D5526">
        <v>3170664</v>
      </c>
      <c r="E5526" t="s">
        <v>330</v>
      </c>
    </row>
    <row r="5527" spans="1:5" x14ac:dyDescent="0.25">
      <c r="A5527">
        <v>1888</v>
      </c>
      <c r="B5527" s="16">
        <v>43952</v>
      </c>
      <c r="C5527" t="s">
        <v>19</v>
      </c>
      <c r="D5527">
        <v>3170664</v>
      </c>
      <c r="E5527" t="s">
        <v>330</v>
      </c>
    </row>
    <row r="5528" spans="1:5" x14ac:dyDescent="0.25">
      <c r="A5528">
        <v>1888</v>
      </c>
      <c r="B5528" s="16">
        <v>43525</v>
      </c>
      <c r="C5528" t="s">
        <v>12</v>
      </c>
      <c r="D5528">
        <v>8741250</v>
      </c>
      <c r="E5528" t="s">
        <v>330</v>
      </c>
    </row>
    <row r="5529" spans="1:5" x14ac:dyDescent="0.25">
      <c r="A5529">
        <v>1888</v>
      </c>
      <c r="B5529" s="16">
        <v>43556</v>
      </c>
      <c r="C5529" t="s">
        <v>12</v>
      </c>
      <c r="D5529">
        <v>8741250</v>
      </c>
      <c r="E5529" t="s">
        <v>330</v>
      </c>
    </row>
    <row r="5530" spans="1:5" x14ac:dyDescent="0.25">
      <c r="A5530">
        <v>1888</v>
      </c>
      <c r="B5530" s="16">
        <v>43586</v>
      </c>
      <c r="C5530" t="s">
        <v>12</v>
      </c>
      <c r="D5530">
        <v>8741250</v>
      </c>
      <c r="E5530" t="s">
        <v>330</v>
      </c>
    </row>
    <row r="5531" spans="1:5" x14ac:dyDescent="0.25">
      <c r="A5531">
        <v>1888</v>
      </c>
      <c r="B5531" s="16">
        <v>43617</v>
      </c>
      <c r="C5531" t="s">
        <v>12</v>
      </c>
      <c r="D5531">
        <v>8741250</v>
      </c>
      <c r="E5531" t="s">
        <v>330</v>
      </c>
    </row>
    <row r="5532" spans="1:5" x14ac:dyDescent="0.25">
      <c r="A5532">
        <v>1888</v>
      </c>
      <c r="B5532" s="16">
        <v>43647</v>
      </c>
      <c r="C5532" t="s">
        <v>12</v>
      </c>
      <c r="D5532">
        <v>8741250</v>
      </c>
      <c r="E5532" t="s">
        <v>330</v>
      </c>
    </row>
    <row r="5533" spans="1:5" x14ac:dyDescent="0.25">
      <c r="A5533">
        <v>1888</v>
      </c>
      <c r="B5533" s="16">
        <v>43678</v>
      </c>
      <c r="C5533" t="s">
        <v>12</v>
      </c>
      <c r="D5533">
        <v>8741250</v>
      </c>
      <c r="E5533" t="s">
        <v>330</v>
      </c>
    </row>
    <row r="5534" spans="1:5" x14ac:dyDescent="0.25">
      <c r="A5534">
        <v>1888</v>
      </c>
      <c r="B5534" s="16">
        <v>43709</v>
      </c>
      <c r="C5534" t="s">
        <v>12</v>
      </c>
      <c r="D5534">
        <v>8741250</v>
      </c>
      <c r="E5534" t="s">
        <v>330</v>
      </c>
    </row>
    <row r="5535" spans="1:5" x14ac:dyDescent="0.25">
      <c r="A5535">
        <v>1888</v>
      </c>
      <c r="B5535" s="16">
        <v>43739</v>
      </c>
      <c r="C5535" t="s">
        <v>12</v>
      </c>
      <c r="D5535">
        <v>8741250</v>
      </c>
      <c r="E5535" t="s">
        <v>330</v>
      </c>
    </row>
    <row r="5536" spans="1:5" x14ac:dyDescent="0.25">
      <c r="A5536">
        <v>1888</v>
      </c>
      <c r="B5536" s="16">
        <v>43770</v>
      </c>
      <c r="C5536" t="s">
        <v>12</v>
      </c>
      <c r="D5536">
        <v>8741250</v>
      </c>
      <c r="E5536" t="s">
        <v>330</v>
      </c>
    </row>
    <row r="5537" spans="1:5" x14ac:dyDescent="0.25">
      <c r="A5537">
        <v>1888</v>
      </c>
      <c r="B5537" s="16">
        <v>43800</v>
      </c>
      <c r="C5537" t="s">
        <v>12</v>
      </c>
      <c r="D5537">
        <v>8741250</v>
      </c>
      <c r="E5537" t="s">
        <v>330</v>
      </c>
    </row>
    <row r="5538" spans="1:5" x14ac:dyDescent="0.25">
      <c r="A5538">
        <v>1888</v>
      </c>
      <c r="B5538" s="16">
        <v>43831</v>
      </c>
      <c r="C5538" t="s">
        <v>12</v>
      </c>
      <c r="D5538">
        <v>8741250</v>
      </c>
      <c r="E5538" t="s">
        <v>330</v>
      </c>
    </row>
    <row r="5539" spans="1:5" x14ac:dyDescent="0.25">
      <c r="A5539">
        <v>1888</v>
      </c>
      <c r="B5539" s="16">
        <v>43862</v>
      </c>
      <c r="C5539" t="s">
        <v>12</v>
      </c>
      <c r="D5539">
        <v>8741250</v>
      </c>
      <c r="E5539" t="s">
        <v>330</v>
      </c>
    </row>
    <row r="5540" spans="1:5" x14ac:dyDescent="0.25">
      <c r="A5540">
        <v>1888</v>
      </c>
      <c r="B5540" s="16">
        <v>43525</v>
      </c>
      <c r="C5540" t="s">
        <v>39</v>
      </c>
      <c r="D5540">
        <v>4725000</v>
      </c>
      <c r="E5540" t="s">
        <v>330</v>
      </c>
    </row>
    <row r="5541" spans="1:5" x14ac:dyDescent="0.25">
      <c r="A5541">
        <v>1888</v>
      </c>
      <c r="B5541" s="16">
        <v>43556</v>
      </c>
      <c r="C5541" t="s">
        <v>39</v>
      </c>
      <c r="D5541">
        <v>4725000</v>
      </c>
      <c r="E5541" t="s">
        <v>330</v>
      </c>
    </row>
    <row r="5542" spans="1:5" x14ac:dyDescent="0.25">
      <c r="A5542">
        <v>1888</v>
      </c>
      <c r="B5542" s="16">
        <v>43586</v>
      </c>
      <c r="C5542" t="s">
        <v>39</v>
      </c>
      <c r="D5542">
        <v>4725000</v>
      </c>
      <c r="E5542" t="s">
        <v>330</v>
      </c>
    </row>
    <row r="5543" spans="1:5" x14ac:dyDescent="0.25">
      <c r="A5543">
        <v>1888</v>
      </c>
      <c r="B5543" s="16">
        <v>43617</v>
      </c>
      <c r="C5543" t="s">
        <v>39</v>
      </c>
      <c r="D5543">
        <v>4725000</v>
      </c>
      <c r="E5543" t="s">
        <v>330</v>
      </c>
    </row>
    <row r="5544" spans="1:5" x14ac:dyDescent="0.25">
      <c r="A5544">
        <v>1888</v>
      </c>
      <c r="B5544" s="16">
        <v>43647</v>
      </c>
      <c r="C5544" t="s">
        <v>39</v>
      </c>
      <c r="D5544">
        <v>4725000</v>
      </c>
      <c r="E5544" t="s">
        <v>330</v>
      </c>
    </row>
    <row r="5545" spans="1:5" x14ac:dyDescent="0.25">
      <c r="A5545">
        <v>1888</v>
      </c>
      <c r="B5545" s="16">
        <v>43678</v>
      </c>
      <c r="C5545" t="s">
        <v>39</v>
      </c>
      <c r="D5545">
        <v>4725000</v>
      </c>
      <c r="E5545" t="s">
        <v>330</v>
      </c>
    </row>
    <row r="5546" spans="1:5" x14ac:dyDescent="0.25">
      <c r="A5546">
        <v>1888</v>
      </c>
      <c r="B5546" s="16">
        <v>43709</v>
      </c>
      <c r="C5546" t="s">
        <v>39</v>
      </c>
      <c r="D5546">
        <v>4725000</v>
      </c>
      <c r="E5546" t="s">
        <v>330</v>
      </c>
    </row>
    <row r="5547" spans="1:5" x14ac:dyDescent="0.25">
      <c r="A5547">
        <v>1888</v>
      </c>
      <c r="B5547" s="16">
        <v>43739</v>
      </c>
      <c r="C5547" t="s">
        <v>39</v>
      </c>
      <c r="D5547">
        <v>4725000</v>
      </c>
      <c r="E5547" t="s">
        <v>330</v>
      </c>
    </row>
    <row r="5548" spans="1:5" x14ac:dyDescent="0.25">
      <c r="A5548">
        <v>1888</v>
      </c>
      <c r="B5548" s="16">
        <v>43770</v>
      </c>
      <c r="C5548" t="s">
        <v>39</v>
      </c>
      <c r="D5548">
        <v>4725000</v>
      </c>
      <c r="E5548" t="s">
        <v>330</v>
      </c>
    </row>
    <row r="5549" spans="1:5" x14ac:dyDescent="0.25">
      <c r="A5549">
        <v>1888</v>
      </c>
      <c r="B5549" s="16">
        <v>43800</v>
      </c>
      <c r="C5549" t="s">
        <v>39</v>
      </c>
      <c r="D5549">
        <v>4725000</v>
      </c>
      <c r="E5549" t="s">
        <v>330</v>
      </c>
    </row>
    <row r="5550" spans="1:5" x14ac:dyDescent="0.25">
      <c r="A5550">
        <v>1888</v>
      </c>
      <c r="B5550" s="16">
        <v>43831</v>
      </c>
      <c r="C5550" t="s">
        <v>39</v>
      </c>
      <c r="D5550">
        <v>4725000</v>
      </c>
      <c r="E5550" t="s">
        <v>330</v>
      </c>
    </row>
    <row r="5551" spans="1:5" x14ac:dyDescent="0.25">
      <c r="A5551">
        <v>1888</v>
      </c>
      <c r="B5551" s="16">
        <v>43862</v>
      </c>
      <c r="C5551" t="s">
        <v>39</v>
      </c>
      <c r="D5551">
        <v>4725000</v>
      </c>
      <c r="E5551" t="s">
        <v>330</v>
      </c>
    </row>
    <row r="5552" spans="1:5" x14ac:dyDescent="0.25">
      <c r="A5552">
        <v>1888</v>
      </c>
      <c r="B5552" s="16">
        <v>43525</v>
      </c>
      <c r="C5552" t="s">
        <v>38</v>
      </c>
      <c r="D5552">
        <v>4006799.9999999995</v>
      </c>
      <c r="E5552" t="s">
        <v>330</v>
      </c>
    </row>
    <row r="5553" spans="1:5" x14ac:dyDescent="0.25">
      <c r="A5553">
        <v>1888</v>
      </c>
      <c r="B5553" s="16">
        <v>43556</v>
      </c>
      <c r="C5553" t="s">
        <v>38</v>
      </c>
      <c r="D5553">
        <v>4006799.9999999995</v>
      </c>
      <c r="E5553" t="s">
        <v>330</v>
      </c>
    </row>
    <row r="5554" spans="1:5" x14ac:dyDescent="0.25">
      <c r="A5554">
        <v>1888</v>
      </c>
      <c r="B5554" s="16">
        <v>43586</v>
      </c>
      <c r="C5554" t="s">
        <v>38</v>
      </c>
      <c r="D5554">
        <v>4006799.9999999995</v>
      </c>
      <c r="E5554" t="s">
        <v>330</v>
      </c>
    </row>
    <row r="5555" spans="1:5" x14ac:dyDescent="0.25">
      <c r="A5555">
        <v>1888</v>
      </c>
      <c r="B5555" s="16">
        <v>43617</v>
      </c>
      <c r="C5555" t="s">
        <v>38</v>
      </c>
      <c r="D5555">
        <v>4006799.9999999995</v>
      </c>
      <c r="E5555" t="s">
        <v>330</v>
      </c>
    </row>
    <row r="5556" spans="1:5" x14ac:dyDescent="0.25">
      <c r="A5556">
        <v>1888</v>
      </c>
      <c r="B5556" s="16">
        <v>43647</v>
      </c>
      <c r="C5556" t="s">
        <v>38</v>
      </c>
      <c r="D5556">
        <v>4006799.9999999995</v>
      </c>
      <c r="E5556" t="s">
        <v>330</v>
      </c>
    </row>
    <row r="5557" spans="1:5" x14ac:dyDescent="0.25">
      <c r="A5557">
        <v>1888</v>
      </c>
      <c r="B5557" s="16">
        <v>43678</v>
      </c>
      <c r="C5557" t="s">
        <v>38</v>
      </c>
      <c r="D5557">
        <v>4006799.9999999995</v>
      </c>
      <c r="E5557" t="s">
        <v>330</v>
      </c>
    </row>
    <row r="5558" spans="1:5" x14ac:dyDescent="0.25">
      <c r="A5558">
        <v>1888</v>
      </c>
      <c r="B5558" s="16">
        <v>43709</v>
      </c>
      <c r="C5558" t="s">
        <v>38</v>
      </c>
      <c r="D5558">
        <v>4006799.9999999995</v>
      </c>
      <c r="E5558" t="s">
        <v>330</v>
      </c>
    </row>
    <row r="5559" spans="1:5" x14ac:dyDescent="0.25">
      <c r="A5559">
        <v>1888</v>
      </c>
      <c r="B5559" s="16">
        <v>43739</v>
      </c>
      <c r="C5559" t="s">
        <v>38</v>
      </c>
      <c r="D5559">
        <v>4006799.9999999995</v>
      </c>
      <c r="E5559" t="s">
        <v>330</v>
      </c>
    </row>
    <row r="5560" spans="1:5" x14ac:dyDescent="0.25">
      <c r="A5560">
        <v>1888</v>
      </c>
      <c r="B5560" s="16">
        <v>43770</v>
      </c>
      <c r="C5560" t="s">
        <v>38</v>
      </c>
      <c r="D5560">
        <v>4006799.9999999995</v>
      </c>
      <c r="E5560" t="s">
        <v>330</v>
      </c>
    </row>
    <row r="5561" spans="1:5" x14ac:dyDescent="0.25">
      <c r="A5561">
        <v>1888</v>
      </c>
      <c r="B5561" s="16">
        <v>43800</v>
      </c>
      <c r="C5561" t="s">
        <v>38</v>
      </c>
      <c r="D5561">
        <v>4006799.9999999995</v>
      </c>
      <c r="E5561" t="s">
        <v>330</v>
      </c>
    </row>
    <row r="5562" spans="1:5" x14ac:dyDescent="0.25">
      <c r="A5562">
        <v>1888</v>
      </c>
      <c r="B5562" s="16">
        <v>43831</v>
      </c>
      <c r="C5562" t="s">
        <v>38</v>
      </c>
      <c r="D5562">
        <v>4006799.9999999995</v>
      </c>
      <c r="E5562" t="s">
        <v>330</v>
      </c>
    </row>
    <row r="5563" spans="1:5" x14ac:dyDescent="0.25">
      <c r="A5563">
        <v>1888</v>
      </c>
      <c r="B5563" s="16">
        <v>43525</v>
      </c>
      <c r="C5563" t="s">
        <v>29</v>
      </c>
      <c r="D5563">
        <v>1850625</v>
      </c>
      <c r="E5563" t="s">
        <v>330</v>
      </c>
    </row>
    <row r="5564" spans="1:5" x14ac:dyDescent="0.25">
      <c r="A5564">
        <v>1888</v>
      </c>
      <c r="B5564" s="16">
        <v>43556</v>
      </c>
      <c r="C5564" t="s">
        <v>29</v>
      </c>
      <c r="D5564">
        <v>1850625</v>
      </c>
      <c r="E5564" t="s">
        <v>330</v>
      </c>
    </row>
    <row r="5565" spans="1:5" x14ac:dyDescent="0.25">
      <c r="A5565">
        <v>1888</v>
      </c>
      <c r="B5565" s="16">
        <v>43586</v>
      </c>
      <c r="C5565" t="s">
        <v>29</v>
      </c>
      <c r="D5565">
        <v>1850625</v>
      </c>
      <c r="E5565" t="s">
        <v>330</v>
      </c>
    </row>
    <row r="5566" spans="1:5" x14ac:dyDescent="0.25">
      <c r="A5566">
        <v>1888</v>
      </c>
      <c r="B5566" s="16">
        <v>43617</v>
      </c>
      <c r="C5566" t="s">
        <v>29</v>
      </c>
      <c r="D5566">
        <v>1850625</v>
      </c>
      <c r="E5566" t="s">
        <v>330</v>
      </c>
    </row>
    <row r="5567" spans="1:5" x14ac:dyDescent="0.25">
      <c r="A5567">
        <v>1888</v>
      </c>
      <c r="B5567" s="16">
        <v>43525</v>
      </c>
      <c r="C5567" t="s">
        <v>169</v>
      </c>
      <c r="D5567">
        <v>2583000</v>
      </c>
      <c r="E5567" t="s">
        <v>330</v>
      </c>
    </row>
    <row r="5568" spans="1:5" x14ac:dyDescent="0.25">
      <c r="A5568">
        <v>1888</v>
      </c>
      <c r="B5568" s="16">
        <v>43556</v>
      </c>
      <c r="C5568" t="s">
        <v>169</v>
      </c>
      <c r="D5568">
        <v>2583000</v>
      </c>
      <c r="E5568" t="s">
        <v>330</v>
      </c>
    </row>
    <row r="5569" spans="1:5" x14ac:dyDescent="0.25">
      <c r="A5569">
        <v>1888</v>
      </c>
      <c r="B5569" s="16">
        <v>43586</v>
      </c>
      <c r="C5569" t="s">
        <v>169</v>
      </c>
      <c r="D5569">
        <v>2583000</v>
      </c>
      <c r="E5569" t="s">
        <v>330</v>
      </c>
    </row>
    <row r="5570" spans="1:5" x14ac:dyDescent="0.25">
      <c r="A5570">
        <v>1888</v>
      </c>
      <c r="B5570" s="16">
        <v>43617</v>
      </c>
      <c r="C5570" t="s">
        <v>169</v>
      </c>
      <c r="D5570">
        <v>2583000</v>
      </c>
      <c r="E5570" t="s">
        <v>330</v>
      </c>
    </row>
    <row r="5571" spans="1:5" x14ac:dyDescent="0.25">
      <c r="A5571">
        <v>1891</v>
      </c>
      <c r="B5571" s="16">
        <v>43497</v>
      </c>
      <c r="C5571" t="s">
        <v>12</v>
      </c>
      <c r="D5571">
        <v>12134941.875</v>
      </c>
      <c r="E5571" t="s">
        <v>330</v>
      </c>
    </row>
    <row r="5572" spans="1:5" x14ac:dyDescent="0.25">
      <c r="A5572">
        <v>1891</v>
      </c>
      <c r="B5572" s="16">
        <v>43525</v>
      </c>
      <c r="C5572" t="s">
        <v>12</v>
      </c>
      <c r="D5572">
        <v>12134941.875</v>
      </c>
      <c r="E5572" t="s">
        <v>330</v>
      </c>
    </row>
    <row r="5573" spans="1:5" x14ac:dyDescent="0.25">
      <c r="A5573">
        <v>1891</v>
      </c>
      <c r="B5573" s="16">
        <v>43556</v>
      </c>
      <c r="C5573" t="s">
        <v>12</v>
      </c>
      <c r="D5573">
        <v>12134941.875</v>
      </c>
      <c r="E5573" t="s">
        <v>330</v>
      </c>
    </row>
    <row r="5574" spans="1:5" x14ac:dyDescent="0.25">
      <c r="A5574">
        <v>1891</v>
      </c>
      <c r="B5574" s="16">
        <v>43586</v>
      </c>
      <c r="C5574" t="s">
        <v>12</v>
      </c>
      <c r="D5574">
        <v>12134941.875</v>
      </c>
      <c r="E5574" t="s">
        <v>330</v>
      </c>
    </row>
    <row r="5575" spans="1:5" x14ac:dyDescent="0.25">
      <c r="A5575">
        <v>1891</v>
      </c>
      <c r="B5575" s="16">
        <v>43617</v>
      </c>
      <c r="C5575" t="s">
        <v>12</v>
      </c>
      <c r="D5575">
        <v>12134941.875</v>
      </c>
      <c r="E5575" t="s">
        <v>330</v>
      </c>
    </row>
    <row r="5576" spans="1:5" x14ac:dyDescent="0.25">
      <c r="A5576">
        <v>1891</v>
      </c>
      <c r="B5576" s="16">
        <v>43647</v>
      </c>
      <c r="C5576" t="s">
        <v>12</v>
      </c>
      <c r="D5576">
        <v>12134941.875</v>
      </c>
      <c r="E5576" t="s">
        <v>330</v>
      </c>
    </row>
    <row r="5577" spans="1:5" x14ac:dyDescent="0.25">
      <c r="A5577">
        <v>1891</v>
      </c>
      <c r="B5577" s="16">
        <v>43678</v>
      </c>
      <c r="C5577" t="s">
        <v>12</v>
      </c>
      <c r="D5577">
        <v>12134941.875</v>
      </c>
      <c r="E5577" t="s">
        <v>330</v>
      </c>
    </row>
    <row r="5578" spans="1:5" x14ac:dyDescent="0.25">
      <c r="A5578">
        <v>1891</v>
      </c>
      <c r="B5578" s="16">
        <v>43709</v>
      </c>
      <c r="C5578" t="s">
        <v>12</v>
      </c>
      <c r="D5578">
        <v>12134941.875</v>
      </c>
      <c r="E5578" t="s">
        <v>330</v>
      </c>
    </row>
    <row r="5579" spans="1:5" x14ac:dyDescent="0.25">
      <c r="A5579">
        <v>1891</v>
      </c>
      <c r="B5579" s="16">
        <v>43739</v>
      </c>
      <c r="C5579" t="s">
        <v>12</v>
      </c>
      <c r="D5579">
        <v>12134941.875</v>
      </c>
      <c r="E5579" t="s">
        <v>330</v>
      </c>
    </row>
    <row r="5580" spans="1:5" x14ac:dyDescent="0.25">
      <c r="A5580">
        <v>1891</v>
      </c>
      <c r="B5580" s="16">
        <v>43770</v>
      </c>
      <c r="C5580" t="s">
        <v>12</v>
      </c>
      <c r="D5580">
        <v>12134941.875</v>
      </c>
      <c r="E5580" t="s">
        <v>330</v>
      </c>
    </row>
    <row r="5581" spans="1:5" x14ac:dyDescent="0.25">
      <c r="A5581">
        <v>1891</v>
      </c>
      <c r="B5581" s="16">
        <v>43800</v>
      </c>
      <c r="C5581" t="s">
        <v>12</v>
      </c>
      <c r="D5581">
        <v>12134941.875</v>
      </c>
      <c r="E5581" t="s">
        <v>330</v>
      </c>
    </row>
    <row r="5582" spans="1:5" x14ac:dyDescent="0.25">
      <c r="A5582">
        <v>1891</v>
      </c>
      <c r="B5582" s="16">
        <v>43831</v>
      </c>
      <c r="C5582" t="s">
        <v>12</v>
      </c>
      <c r="D5582">
        <v>12134941.875</v>
      </c>
      <c r="E5582" t="s">
        <v>330</v>
      </c>
    </row>
    <row r="5583" spans="1:5" x14ac:dyDescent="0.25">
      <c r="A5583">
        <v>1891</v>
      </c>
      <c r="B5583" s="16">
        <v>43862</v>
      </c>
      <c r="C5583" t="s">
        <v>12</v>
      </c>
      <c r="D5583">
        <v>12134941.875</v>
      </c>
      <c r="E5583" t="s">
        <v>330</v>
      </c>
    </row>
    <row r="5584" spans="1:5" x14ac:dyDescent="0.25">
      <c r="A5584">
        <v>1891</v>
      </c>
      <c r="B5584" s="16">
        <v>43891</v>
      </c>
      <c r="C5584" t="s">
        <v>12</v>
      </c>
      <c r="D5584">
        <v>12134941.875</v>
      </c>
      <c r="E5584" t="s">
        <v>330</v>
      </c>
    </row>
    <row r="5585" spans="1:5" x14ac:dyDescent="0.25">
      <c r="A5585">
        <v>1891</v>
      </c>
      <c r="B5585" s="16">
        <v>43922</v>
      </c>
      <c r="C5585" t="s">
        <v>12</v>
      </c>
      <c r="D5585">
        <v>12134941.875</v>
      </c>
      <c r="E5585" t="s">
        <v>330</v>
      </c>
    </row>
    <row r="5586" spans="1:5" x14ac:dyDescent="0.25">
      <c r="A5586">
        <v>1891</v>
      </c>
      <c r="B5586" s="16">
        <v>43952</v>
      </c>
      <c r="C5586" t="s">
        <v>12</v>
      </c>
      <c r="D5586">
        <v>12134941.875</v>
      </c>
      <c r="E5586" t="s">
        <v>330</v>
      </c>
    </row>
    <row r="5587" spans="1:5" x14ac:dyDescent="0.25">
      <c r="A5587">
        <v>1891</v>
      </c>
      <c r="B5587" s="16">
        <v>43983</v>
      </c>
      <c r="C5587" t="s">
        <v>12</v>
      </c>
      <c r="D5587">
        <v>12134941.875</v>
      </c>
      <c r="E5587" t="s">
        <v>330</v>
      </c>
    </row>
    <row r="5588" spans="1:5" x14ac:dyDescent="0.25">
      <c r="A5588">
        <v>1891</v>
      </c>
      <c r="B5588" s="16">
        <v>43497</v>
      </c>
      <c r="C5588" t="s">
        <v>26</v>
      </c>
      <c r="D5588">
        <v>7406867.4750000006</v>
      </c>
      <c r="E5588" t="s">
        <v>330</v>
      </c>
    </row>
    <row r="5589" spans="1:5" x14ac:dyDescent="0.25">
      <c r="A5589">
        <v>1891</v>
      </c>
      <c r="B5589" s="16">
        <v>43525</v>
      </c>
      <c r="C5589" t="s">
        <v>26</v>
      </c>
      <c r="D5589">
        <v>7406867.4750000006</v>
      </c>
      <c r="E5589" t="s">
        <v>330</v>
      </c>
    </row>
    <row r="5590" spans="1:5" x14ac:dyDescent="0.25">
      <c r="A5590">
        <v>1891</v>
      </c>
      <c r="B5590" s="16">
        <v>43556</v>
      </c>
      <c r="C5590" t="s">
        <v>26</v>
      </c>
      <c r="D5590">
        <v>7406867.4750000006</v>
      </c>
      <c r="E5590" t="s">
        <v>330</v>
      </c>
    </row>
    <row r="5591" spans="1:5" x14ac:dyDescent="0.25">
      <c r="A5591">
        <v>1891</v>
      </c>
      <c r="B5591" s="16">
        <v>43586</v>
      </c>
      <c r="C5591" t="s">
        <v>26</v>
      </c>
      <c r="D5591">
        <v>7406867.4750000006</v>
      </c>
      <c r="E5591" t="s">
        <v>330</v>
      </c>
    </row>
    <row r="5592" spans="1:5" x14ac:dyDescent="0.25">
      <c r="A5592">
        <v>1891</v>
      </c>
      <c r="B5592" s="16">
        <v>43617</v>
      </c>
      <c r="C5592" t="s">
        <v>26</v>
      </c>
      <c r="D5592">
        <v>7406867.4750000006</v>
      </c>
      <c r="E5592" t="s">
        <v>330</v>
      </c>
    </row>
    <row r="5593" spans="1:5" x14ac:dyDescent="0.25">
      <c r="A5593">
        <v>1891</v>
      </c>
      <c r="B5593" s="16">
        <v>43647</v>
      </c>
      <c r="C5593" t="s">
        <v>26</v>
      </c>
      <c r="D5593">
        <v>7406867.4750000006</v>
      </c>
      <c r="E5593" t="s">
        <v>330</v>
      </c>
    </row>
    <row r="5594" spans="1:5" x14ac:dyDescent="0.25">
      <c r="A5594">
        <v>1891</v>
      </c>
      <c r="B5594" s="16">
        <v>43678</v>
      </c>
      <c r="C5594" t="s">
        <v>26</v>
      </c>
      <c r="D5594">
        <v>7406867.4750000006</v>
      </c>
      <c r="E5594" t="s">
        <v>330</v>
      </c>
    </row>
    <row r="5595" spans="1:5" x14ac:dyDescent="0.25">
      <c r="A5595">
        <v>1891</v>
      </c>
      <c r="B5595" s="16">
        <v>43709</v>
      </c>
      <c r="C5595" t="s">
        <v>26</v>
      </c>
      <c r="D5595">
        <v>7406867.4750000006</v>
      </c>
      <c r="E5595" t="s">
        <v>330</v>
      </c>
    </row>
    <row r="5596" spans="1:5" x14ac:dyDescent="0.25">
      <c r="A5596">
        <v>1891</v>
      </c>
      <c r="B5596" s="16">
        <v>43739</v>
      </c>
      <c r="C5596" t="s">
        <v>26</v>
      </c>
      <c r="D5596">
        <v>7406867.4750000006</v>
      </c>
      <c r="E5596" t="s">
        <v>330</v>
      </c>
    </row>
    <row r="5597" spans="1:5" x14ac:dyDescent="0.25">
      <c r="A5597">
        <v>1891</v>
      </c>
      <c r="B5597" s="16">
        <v>43770</v>
      </c>
      <c r="C5597" t="s">
        <v>26</v>
      </c>
      <c r="D5597">
        <v>7406867.4750000006</v>
      </c>
      <c r="E5597" t="s">
        <v>330</v>
      </c>
    </row>
    <row r="5598" spans="1:5" x14ac:dyDescent="0.25">
      <c r="A5598">
        <v>1891</v>
      </c>
      <c r="B5598" s="16">
        <v>43800</v>
      </c>
      <c r="C5598" t="s">
        <v>26</v>
      </c>
      <c r="D5598">
        <v>7406867.4750000006</v>
      </c>
      <c r="E5598" t="s">
        <v>330</v>
      </c>
    </row>
    <row r="5599" spans="1:5" x14ac:dyDescent="0.25">
      <c r="A5599">
        <v>1891</v>
      </c>
      <c r="B5599" s="16">
        <v>43831</v>
      </c>
      <c r="C5599" t="s">
        <v>26</v>
      </c>
      <c r="D5599">
        <v>7406867.4750000006</v>
      </c>
      <c r="E5599" t="s">
        <v>330</v>
      </c>
    </row>
    <row r="5600" spans="1:5" x14ac:dyDescent="0.25">
      <c r="A5600">
        <v>1891</v>
      </c>
      <c r="B5600" s="16">
        <v>43862</v>
      </c>
      <c r="C5600" t="s">
        <v>26</v>
      </c>
      <c r="D5600">
        <v>7406867.4750000006</v>
      </c>
      <c r="E5600" t="s">
        <v>330</v>
      </c>
    </row>
    <row r="5601" spans="1:5" x14ac:dyDescent="0.25">
      <c r="A5601">
        <v>1891</v>
      </c>
      <c r="B5601" s="16">
        <v>43891</v>
      </c>
      <c r="C5601" t="s">
        <v>26</v>
      </c>
      <c r="D5601">
        <v>7406867.4750000006</v>
      </c>
      <c r="E5601" t="s">
        <v>330</v>
      </c>
    </row>
    <row r="5602" spans="1:5" x14ac:dyDescent="0.25">
      <c r="A5602">
        <v>1891</v>
      </c>
      <c r="B5602" s="16">
        <v>43922</v>
      </c>
      <c r="C5602" t="s">
        <v>26</v>
      </c>
      <c r="D5602">
        <v>7406867.4750000006</v>
      </c>
      <c r="E5602" t="s">
        <v>330</v>
      </c>
    </row>
    <row r="5603" spans="1:5" x14ac:dyDescent="0.25">
      <c r="A5603">
        <v>1891</v>
      </c>
      <c r="B5603" s="16">
        <v>43952</v>
      </c>
      <c r="C5603" t="s">
        <v>26</v>
      </c>
      <c r="D5603">
        <v>7406867.4750000006</v>
      </c>
      <c r="E5603" t="s">
        <v>330</v>
      </c>
    </row>
    <row r="5604" spans="1:5" x14ac:dyDescent="0.25">
      <c r="A5604">
        <v>1891</v>
      </c>
      <c r="B5604" s="16">
        <v>43983</v>
      </c>
      <c r="C5604" t="s">
        <v>26</v>
      </c>
      <c r="D5604">
        <v>7406867.4750000006</v>
      </c>
      <c r="E5604" t="s">
        <v>330</v>
      </c>
    </row>
    <row r="5605" spans="1:5" x14ac:dyDescent="0.25">
      <c r="A5605">
        <v>1891</v>
      </c>
      <c r="B5605" s="16">
        <v>44013</v>
      </c>
      <c r="C5605" t="s">
        <v>26</v>
      </c>
      <c r="D5605">
        <v>7406867.4750000006</v>
      </c>
      <c r="E5605" t="s">
        <v>330</v>
      </c>
    </row>
    <row r="5606" spans="1:5" x14ac:dyDescent="0.25">
      <c r="A5606">
        <v>1891</v>
      </c>
      <c r="B5606" s="16">
        <v>44044</v>
      </c>
      <c r="C5606" t="s">
        <v>26</v>
      </c>
      <c r="D5606">
        <v>7406867.4750000006</v>
      </c>
      <c r="E5606" t="s">
        <v>330</v>
      </c>
    </row>
    <row r="5607" spans="1:5" x14ac:dyDescent="0.25">
      <c r="A5607">
        <v>1891</v>
      </c>
      <c r="B5607" s="16">
        <v>44075</v>
      </c>
      <c r="C5607" t="s">
        <v>26</v>
      </c>
      <c r="D5607">
        <v>7406867.4750000006</v>
      </c>
      <c r="E5607" t="s">
        <v>330</v>
      </c>
    </row>
    <row r="5608" spans="1:5" x14ac:dyDescent="0.25">
      <c r="A5608">
        <v>1891</v>
      </c>
      <c r="B5608" s="16">
        <v>44105</v>
      </c>
      <c r="C5608" t="s">
        <v>26</v>
      </c>
      <c r="D5608">
        <v>7406867.4750000006</v>
      </c>
      <c r="E5608" t="s">
        <v>330</v>
      </c>
    </row>
    <row r="5609" spans="1:5" x14ac:dyDescent="0.25">
      <c r="A5609">
        <v>1891</v>
      </c>
      <c r="B5609" s="16">
        <v>44136</v>
      </c>
      <c r="C5609" t="s">
        <v>26</v>
      </c>
      <c r="D5609">
        <v>7406867.4750000006</v>
      </c>
      <c r="E5609" t="s">
        <v>330</v>
      </c>
    </row>
    <row r="5610" spans="1:5" x14ac:dyDescent="0.25">
      <c r="A5610">
        <v>1891</v>
      </c>
      <c r="B5610" s="16">
        <v>44166</v>
      </c>
      <c r="C5610" t="s">
        <v>26</v>
      </c>
      <c r="D5610">
        <v>7406867.4750000006</v>
      </c>
      <c r="E5610" t="s">
        <v>330</v>
      </c>
    </row>
    <row r="5611" spans="1:5" x14ac:dyDescent="0.25">
      <c r="A5611">
        <v>1891</v>
      </c>
      <c r="B5611" s="16">
        <v>43497</v>
      </c>
      <c r="C5611" t="s">
        <v>123</v>
      </c>
      <c r="D5611">
        <v>7540019.5500000007</v>
      </c>
      <c r="E5611" t="s">
        <v>330</v>
      </c>
    </row>
    <row r="5612" spans="1:5" x14ac:dyDescent="0.25">
      <c r="A5612">
        <v>1891</v>
      </c>
      <c r="B5612" s="16">
        <v>43525</v>
      </c>
      <c r="C5612" t="s">
        <v>123</v>
      </c>
      <c r="D5612">
        <v>7540019.5500000007</v>
      </c>
      <c r="E5612" t="s">
        <v>330</v>
      </c>
    </row>
    <row r="5613" spans="1:5" x14ac:dyDescent="0.25">
      <c r="A5613">
        <v>1891</v>
      </c>
      <c r="B5613" s="16">
        <v>43556</v>
      </c>
      <c r="C5613" t="s">
        <v>123</v>
      </c>
      <c r="D5613">
        <v>7540019.5500000007</v>
      </c>
      <c r="E5613" t="s">
        <v>330</v>
      </c>
    </row>
    <row r="5614" spans="1:5" x14ac:dyDescent="0.25">
      <c r="A5614">
        <v>1891</v>
      </c>
      <c r="B5614" s="16">
        <v>43586</v>
      </c>
      <c r="C5614" t="s">
        <v>123</v>
      </c>
      <c r="D5614">
        <v>7540019.5500000007</v>
      </c>
      <c r="E5614" t="s">
        <v>330</v>
      </c>
    </row>
    <row r="5615" spans="1:5" x14ac:dyDescent="0.25">
      <c r="A5615">
        <v>1891</v>
      </c>
      <c r="B5615" s="16">
        <v>43617</v>
      </c>
      <c r="C5615" t="s">
        <v>123</v>
      </c>
      <c r="D5615">
        <v>7540019.5500000007</v>
      </c>
      <c r="E5615" t="s">
        <v>330</v>
      </c>
    </row>
    <row r="5616" spans="1:5" x14ac:dyDescent="0.25">
      <c r="A5616">
        <v>1891</v>
      </c>
      <c r="B5616" s="16">
        <v>43647</v>
      </c>
      <c r="C5616" t="s">
        <v>123</v>
      </c>
      <c r="D5616">
        <v>7540019.5500000007</v>
      </c>
      <c r="E5616" t="s">
        <v>330</v>
      </c>
    </row>
    <row r="5617" spans="1:5" x14ac:dyDescent="0.25">
      <c r="A5617">
        <v>1891</v>
      </c>
      <c r="B5617" s="16">
        <v>43678</v>
      </c>
      <c r="C5617" t="s">
        <v>123</v>
      </c>
      <c r="D5617">
        <v>7540019.5500000007</v>
      </c>
      <c r="E5617" t="s">
        <v>330</v>
      </c>
    </row>
    <row r="5618" spans="1:5" x14ac:dyDescent="0.25">
      <c r="A5618">
        <v>1891</v>
      </c>
      <c r="B5618" s="16">
        <v>43709</v>
      </c>
      <c r="C5618" t="s">
        <v>123</v>
      </c>
      <c r="D5618">
        <v>7540019.5500000007</v>
      </c>
      <c r="E5618" t="s">
        <v>330</v>
      </c>
    </row>
    <row r="5619" spans="1:5" x14ac:dyDescent="0.25">
      <c r="A5619">
        <v>1891</v>
      </c>
      <c r="B5619" s="16">
        <v>43739</v>
      </c>
      <c r="C5619" t="s">
        <v>123</v>
      </c>
      <c r="D5619">
        <v>7540019.5500000007</v>
      </c>
      <c r="E5619" t="s">
        <v>330</v>
      </c>
    </row>
    <row r="5620" spans="1:5" x14ac:dyDescent="0.25">
      <c r="A5620">
        <v>1891</v>
      </c>
      <c r="B5620" s="16">
        <v>43770</v>
      </c>
      <c r="C5620" t="s">
        <v>123</v>
      </c>
      <c r="D5620">
        <v>7540019.5500000007</v>
      </c>
      <c r="E5620" t="s">
        <v>330</v>
      </c>
    </row>
    <row r="5621" spans="1:5" x14ac:dyDescent="0.25">
      <c r="A5621">
        <v>1891</v>
      </c>
      <c r="B5621" s="16">
        <v>43800</v>
      </c>
      <c r="C5621" t="s">
        <v>123</v>
      </c>
      <c r="D5621">
        <v>7540019.5500000007</v>
      </c>
      <c r="E5621" t="s">
        <v>330</v>
      </c>
    </row>
    <row r="5622" spans="1:5" x14ac:dyDescent="0.25">
      <c r="A5622">
        <v>1891</v>
      </c>
      <c r="B5622" s="16">
        <v>43831</v>
      </c>
      <c r="C5622" t="s">
        <v>123</v>
      </c>
      <c r="D5622">
        <v>7540019.5500000007</v>
      </c>
      <c r="E5622" t="s">
        <v>330</v>
      </c>
    </row>
    <row r="5623" spans="1:5" x14ac:dyDescent="0.25">
      <c r="A5623">
        <v>1891</v>
      </c>
      <c r="B5623" s="16">
        <v>43862</v>
      </c>
      <c r="C5623" t="s">
        <v>123</v>
      </c>
      <c r="D5623">
        <v>7540019.5500000007</v>
      </c>
      <c r="E5623" t="s">
        <v>330</v>
      </c>
    </row>
    <row r="5624" spans="1:5" x14ac:dyDescent="0.25">
      <c r="A5624">
        <v>1891</v>
      </c>
      <c r="B5624" s="16">
        <v>43891</v>
      </c>
      <c r="C5624" t="s">
        <v>123</v>
      </c>
      <c r="D5624">
        <v>7540019.5500000007</v>
      </c>
      <c r="E5624" t="s">
        <v>330</v>
      </c>
    </row>
    <row r="5625" spans="1:5" x14ac:dyDescent="0.25">
      <c r="A5625">
        <v>1891</v>
      </c>
      <c r="B5625" s="16">
        <v>43497</v>
      </c>
      <c r="C5625" t="s">
        <v>39</v>
      </c>
      <c r="D5625">
        <v>5488569.4500000002</v>
      </c>
      <c r="E5625" t="s">
        <v>330</v>
      </c>
    </row>
    <row r="5626" spans="1:5" x14ac:dyDescent="0.25">
      <c r="A5626">
        <v>1891</v>
      </c>
      <c r="B5626" s="16">
        <v>43525</v>
      </c>
      <c r="C5626" t="s">
        <v>39</v>
      </c>
      <c r="D5626">
        <v>5488569.4500000002</v>
      </c>
      <c r="E5626" t="s">
        <v>330</v>
      </c>
    </row>
    <row r="5627" spans="1:5" x14ac:dyDescent="0.25">
      <c r="A5627">
        <v>1891</v>
      </c>
      <c r="B5627" s="16">
        <v>43556</v>
      </c>
      <c r="C5627" t="s">
        <v>39</v>
      </c>
      <c r="D5627">
        <v>5488569.4500000002</v>
      </c>
      <c r="E5627" t="s">
        <v>330</v>
      </c>
    </row>
    <row r="5628" spans="1:5" x14ac:dyDescent="0.25">
      <c r="A5628">
        <v>1891</v>
      </c>
      <c r="B5628" s="16">
        <v>43586</v>
      </c>
      <c r="C5628" t="s">
        <v>39</v>
      </c>
      <c r="D5628">
        <v>5488569.4500000002</v>
      </c>
      <c r="E5628" t="s">
        <v>330</v>
      </c>
    </row>
    <row r="5629" spans="1:5" x14ac:dyDescent="0.25">
      <c r="A5629">
        <v>1891</v>
      </c>
      <c r="B5629" s="16">
        <v>43617</v>
      </c>
      <c r="C5629" t="s">
        <v>39</v>
      </c>
      <c r="D5629">
        <v>5488569.4500000002</v>
      </c>
      <c r="E5629" t="s">
        <v>330</v>
      </c>
    </row>
    <row r="5630" spans="1:5" x14ac:dyDescent="0.25">
      <c r="A5630">
        <v>1891</v>
      </c>
      <c r="B5630" s="16">
        <v>43647</v>
      </c>
      <c r="C5630" t="s">
        <v>39</v>
      </c>
      <c r="D5630">
        <v>5488569.4500000002</v>
      </c>
      <c r="E5630" t="s">
        <v>330</v>
      </c>
    </row>
    <row r="5631" spans="1:5" x14ac:dyDescent="0.25">
      <c r="A5631">
        <v>1891</v>
      </c>
      <c r="B5631" s="16">
        <v>43678</v>
      </c>
      <c r="C5631" t="s">
        <v>39</v>
      </c>
      <c r="D5631">
        <v>5488569.4500000002</v>
      </c>
      <c r="E5631" t="s">
        <v>330</v>
      </c>
    </row>
    <row r="5632" spans="1:5" x14ac:dyDescent="0.25">
      <c r="A5632">
        <v>1891</v>
      </c>
      <c r="B5632" s="16">
        <v>43709</v>
      </c>
      <c r="C5632" t="s">
        <v>39</v>
      </c>
      <c r="D5632">
        <v>5488569.4500000002</v>
      </c>
      <c r="E5632" t="s">
        <v>330</v>
      </c>
    </row>
    <row r="5633" spans="1:5" x14ac:dyDescent="0.25">
      <c r="A5633">
        <v>1891</v>
      </c>
      <c r="B5633" s="16">
        <v>43739</v>
      </c>
      <c r="C5633" t="s">
        <v>39</v>
      </c>
      <c r="D5633">
        <v>5488569.4500000002</v>
      </c>
      <c r="E5633" t="s">
        <v>330</v>
      </c>
    </row>
    <row r="5634" spans="1:5" x14ac:dyDescent="0.25">
      <c r="A5634">
        <v>1891</v>
      </c>
      <c r="B5634" s="16">
        <v>43770</v>
      </c>
      <c r="C5634" t="s">
        <v>39</v>
      </c>
      <c r="D5634">
        <v>5488569.4500000002</v>
      </c>
      <c r="E5634" t="s">
        <v>330</v>
      </c>
    </row>
    <row r="5635" spans="1:5" x14ac:dyDescent="0.25">
      <c r="A5635">
        <v>1891</v>
      </c>
      <c r="B5635" s="16">
        <v>43800</v>
      </c>
      <c r="C5635" t="s">
        <v>39</v>
      </c>
      <c r="D5635">
        <v>5488569.4500000002</v>
      </c>
      <c r="E5635" t="s">
        <v>330</v>
      </c>
    </row>
    <row r="5636" spans="1:5" x14ac:dyDescent="0.25">
      <c r="A5636">
        <v>1891</v>
      </c>
      <c r="B5636" s="16">
        <v>43831</v>
      </c>
      <c r="C5636" t="s">
        <v>39</v>
      </c>
      <c r="D5636">
        <v>5488569.4500000002</v>
      </c>
      <c r="E5636" t="s">
        <v>330</v>
      </c>
    </row>
    <row r="5637" spans="1:5" x14ac:dyDescent="0.25">
      <c r="A5637">
        <v>1891</v>
      </c>
      <c r="B5637" s="16">
        <v>43862</v>
      </c>
      <c r="C5637" t="s">
        <v>39</v>
      </c>
      <c r="D5637">
        <v>5488569.4500000002</v>
      </c>
      <c r="E5637" t="s">
        <v>330</v>
      </c>
    </row>
    <row r="5638" spans="1:5" x14ac:dyDescent="0.25">
      <c r="A5638">
        <v>1891</v>
      </c>
      <c r="B5638" s="16">
        <v>43891</v>
      </c>
      <c r="C5638" t="s">
        <v>39</v>
      </c>
      <c r="D5638">
        <v>5488569.4500000002</v>
      </c>
      <c r="E5638" t="s">
        <v>330</v>
      </c>
    </row>
    <row r="5639" spans="1:5" x14ac:dyDescent="0.25">
      <c r="A5639">
        <v>1891</v>
      </c>
      <c r="B5639" s="16">
        <v>43922</v>
      </c>
      <c r="C5639" t="s">
        <v>39</v>
      </c>
      <c r="D5639">
        <v>5488569.4500000002</v>
      </c>
      <c r="E5639" t="s">
        <v>330</v>
      </c>
    </row>
    <row r="5640" spans="1:5" x14ac:dyDescent="0.25">
      <c r="A5640">
        <v>1891</v>
      </c>
      <c r="B5640" s="16">
        <v>43952</v>
      </c>
      <c r="C5640" t="s">
        <v>39</v>
      </c>
      <c r="D5640">
        <v>5488569.4500000002</v>
      </c>
      <c r="E5640" t="s">
        <v>330</v>
      </c>
    </row>
    <row r="5641" spans="1:5" x14ac:dyDescent="0.25">
      <c r="A5641">
        <v>1891</v>
      </c>
      <c r="B5641" s="16">
        <v>43983</v>
      </c>
      <c r="C5641" t="s">
        <v>39</v>
      </c>
      <c r="D5641">
        <v>5488569.4500000002</v>
      </c>
      <c r="E5641" t="s">
        <v>330</v>
      </c>
    </row>
    <row r="5642" spans="1:5" x14ac:dyDescent="0.25">
      <c r="A5642">
        <v>1891</v>
      </c>
      <c r="B5642" s="16">
        <v>43497</v>
      </c>
      <c r="C5642" t="s">
        <v>178</v>
      </c>
      <c r="D5642">
        <v>4923668.9249999998</v>
      </c>
      <c r="E5642" t="s">
        <v>330</v>
      </c>
    </row>
    <row r="5643" spans="1:5" x14ac:dyDescent="0.25">
      <c r="A5643">
        <v>1891</v>
      </c>
      <c r="B5643" s="16">
        <v>43525</v>
      </c>
      <c r="C5643" t="s">
        <v>178</v>
      </c>
      <c r="D5643">
        <v>4923668.9249999998</v>
      </c>
      <c r="E5643" t="s">
        <v>330</v>
      </c>
    </row>
    <row r="5644" spans="1:5" x14ac:dyDescent="0.25">
      <c r="A5644">
        <v>1891</v>
      </c>
      <c r="B5644" s="16">
        <v>43556</v>
      </c>
      <c r="C5644" t="s">
        <v>178</v>
      </c>
      <c r="D5644">
        <v>4923668.9249999998</v>
      </c>
      <c r="E5644" t="s">
        <v>330</v>
      </c>
    </row>
    <row r="5645" spans="1:5" x14ac:dyDescent="0.25">
      <c r="A5645">
        <v>1891</v>
      </c>
      <c r="B5645" s="16">
        <v>43586</v>
      </c>
      <c r="C5645" t="s">
        <v>178</v>
      </c>
      <c r="D5645">
        <v>4923668.9249999998</v>
      </c>
      <c r="E5645" t="s">
        <v>330</v>
      </c>
    </row>
    <row r="5646" spans="1:5" x14ac:dyDescent="0.25">
      <c r="A5646">
        <v>1891</v>
      </c>
      <c r="B5646" s="16">
        <v>43617</v>
      </c>
      <c r="C5646" t="s">
        <v>178</v>
      </c>
      <c r="D5646">
        <v>4923668.9249999998</v>
      </c>
      <c r="E5646" t="s">
        <v>330</v>
      </c>
    </row>
    <row r="5647" spans="1:5" x14ac:dyDescent="0.25">
      <c r="A5647">
        <v>1891</v>
      </c>
      <c r="B5647" s="16">
        <v>43647</v>
      </c>
      <c r="C5647" t="s">
        <v>178</v>
      </c>
      <c r="D5647">
        <v>4923668.9249999998</v>
      </c>
      <c r="E5647" t="s">
        <v>330</v>
      </c>
    </row>
    <row r="5648" spans="1:5" x14ac:dyDescent="0.25">
      <c r="A5648">
        <v>1891</v>
      </c>
      <c r="B5648" s="16">
        <v>43678</v>
      </c>
      <c r="C5648" t="s">
        <v>178</v>
      </c>
      <c r="D5648">
        <v>4923668.9249999998</v>
      </c>
      <c r="E5648" t="s">
        <v>330</v>
      </c>
    </row>
    <row r="5649" spans="1:5" x14ac:dyDescent="0.25">
      <c r="A5649">
        <v>1891</v>
      </c>
      <c r="B5649" s="16">
        <v>43709</v>
      </c>
      <c r="C5649" t="s">
        <v>178</v>
      </c>
      <c r="D5649">
        <v>4923668.9249999998</v>
      </c>
      <c r="E5649" t="s">
        <v>330</v>
      </c>
    </row>
    <row r="5650" spans="1:5" x14ac:dyDescent="0.25">
      <c r="A5650">
        <v>1891</v>
      </c>
      <c r="B5650" s="16">
        <v>43739</v>
      </c>
      <c r="C5650" t="s">
        <v>178</v>
      </c>
      <c r="D5650">
        <v>4923668.9249999998</v>
      </c>
      <c r="E5650" t="s">
        <v>330</v>
      </c>
    </row>
    <row r="5651" spans="1:5" x14ac:dyDescent="0.25">
      <c r="A5651">
        <v>1891</v>
      </c>
      <c r="B5651" s="16">
        <v>43770</v>
      </c>
      <c r="C5651" t="s">
        <v>178</v>
      </c>
      <c r="D5651">
        <v>4923668.9249999998</v>
      </c>
      <c r="E5651" t="s">
        <v>330</v>
      </c>
    </row>
    <row r="5652" spans="1:5" x14ac:dyDescent="0.25">
      <c r="A5652">
        <v>1891</v>
      </c>
      <c r="B5652" s="16">
        <v>43800</v>
      </c>
      <c r="C5652" t="s">
        <v>178</v>
      </c>
      <c r="D5652">
        <v>4923668.9249999998</v>
      </c>
      <c r="E5652" t="s">
        <v>330</v>
      </c>
    </row>
    <row r="5653" spans="1:5" x14ac:dyDescent="0.25">
      <c r="A5653">
        <v>1891</v>
      </c>
      <c r="B5653" s="16">
        <v>43831</v>
      </c>
      <c r="C5653" t="s">
        <v>178</v>
      </c>
      <c r="D5653">
        <v>4923668.9249999998</v>
      </c>
      <c r="E5653" t="s">
        <v>330</v>
      </c>
    </row>
    <row r="5654" spans="1:5" x14ac:dyDescent="0.25">
      <c r="A5654">
        <v>1891</v>
      </c>
      <c r="B5654" s="16">
        <v>43862</v>
      </c>
      <c r="C5654" t="s">
        <v>178</v>
      </c>
      <c r="D5654">
        <v>4923668.9249999998</v>
      </c>
      <c r="E5654" t="s">
        <v>330</v>
      </c>
    </row>
    <row r="5655" spans="1:5" x14ac:dyDescent="0.25">
      <c r="A5655">
        <v>1891</v>
      </c>
      <c r="B5655" s="16">
        <v>43891</v>
      </c>
      <c r="C5655" t="s">
        <v>178</v>
      </c>
      <c r="D5655">
        <v>4923668.9249999998</v>
      </c>
      <c r="E5655" t="s">
        <v>330</v>
      </c>
    </row>
    <row r="5656" spans="1:5" x14ac:dyDescent="0.25">
      <c r="A5656">
        <v>1891</v>
      </c>
      <c r="B5656" s="16">
        <v>43922</v>
      </c>
      <c r="C5656" t="s">
        <v>178</v>
      </c>
      <c r="D5656">
        <v>4923668.9249999998</v>
      </c>
      <c r="E5656" t="s">
        <v>330</v>
      </c>
    </row>
    <row r="5657" spans="1:5" x14ac:dyDescent="0.25">
      <c r="A5657">
        <v>1891</v>
      </c>
      <c r="B5657" s="16">
        <v>43952</v>
      </c>
      <c r="C5657" t="s">
        <v>178</v>
      </c>
      <c r="D5657">
        <v>4923668.9249999998</v>
      </c>
      <c r="E5657" t="s">
        <v>330</v>
      </c>
    </row>
    <row r="5658" spans="1:5" x14ac:dyDescent="0.25">
      <c r="A5658">
        <v>1891</v>
      </c>
      <c r="B5658" s="16">
        <v>43983</v>
      </c>
      <c r="C5658" t="s">
        <v>178</v>
      </c>
      <c r="D5658">
        <v>4923668.9249999998</v>
      </c>
      <c r="E5658" t="s">
        <v>330</v>
      </c>
    </row>
    <row r="5659" spans="1:5" x14ac:dyDescent="0.25">
      <c r="A5659">
        <v>1891</v>
      </c>
      <c r="B5659" s="16">
        <v>44013</v>
      </c>
      <c r="C5659" t="s">
        <v>178</v>
      </c>
      <c r="D5659">
        <v>4923668.9249999998</v>
      </c>
      <c r="E5659" t="s">
        <v>330</v>
      </c>
    </row>
    <row r="5660" spans="1:5" x14ac:dyDescent="0.25">
      <c r="A5660">
        <v>1891</v>
      </c>
      <c r="B5660" s="16">
        <v>43497</v>
      </c>
      <c r="C5660" t="s">
        <v>59</v>
      </c>
      <c r="D5660">
        <v>3222031.0500000003</v>
      </c>
      <c r="E5660" t="s">
        <v>330</v>
      </c>
    </row>
    <row r="5661" spans="1:5" x14ac:dyDescent="0.25">
      <c r="A5661">
        <v>1891</v>
      </c>
      <c r="B5661" s="16">
        <v>43525</v>
      </c>
      <c r="C5661" t="s">
        <v>59</v>
      </c>
      <c r="D5661">
        <v>3222031.0500000003</v>
      </c>
      <c r="E5661" t="s">
        <v>330</v>
      </c>
    </row>
    <row r="5662" spans="1:5" x14ac:dyDescent="0.25">
      <c r="A5662">
        <v>1891</v>
      </c>
      <c r="B5662" s="16">
        <v>43556</v>
      </c>
      <c r="C5662" t="s">
        <v>59</v>
      </c>
      <c r="D5662">
        <v>3222031.0500000003</v>
      </c>
      <c r="E5662" t="s">
        <v>330</v>
      </c>
    </row>
    <row r="5663" spans="1:5" x14ac:dyDescent="0.25">
      <c r="A5663">
        <v>1891</v>
      </c>
      <c r="B5663" s="16">
        <v>43586</v>
      </c>
      <c r="C5663" t="s">
        <v>59</v>
      </c>
      <c r="D5663">
        <v>3222031.0500000003</v>
      </c>
      <c r="E5663" t="s">
        <v>330</v>
      </c>
    </row>
    <row r="5664" spans="1:5" x14ac:dyDescent="0.25">
      <c r="A5664">
        <v>1891</v>
      </c>
      <c r="B5664" s="16">
        <v>43617</v>
      </c>
      <c r="C5664" t="s">
        <v>59</v>
      </c>
      <c r="D5664">
        <v>3222031.0500000003</v>
      </c>
      <c r="E5664" t="s">
        <v>330</v>
      </c>
    </row>
    <row r="5665" spans="1:5" x14ac:dyDescent="0.25">
      <c r="A5665">
        <v>1891</v>
      </c>
      <c r="B5665" s="16">
        <v>43647</v>
      </c>
      <c r="C5665" t="s">
        <v>59</v>
      </c>
      <c r="D5665">
        <v>3222031.0500000003</v>
      </c>
      <c r="E5665" t="s">
        <v>330</v>
      </c>
    </row>
    <row r="5666" spans="1:5" x14ac:dyDescent="0.25">
      <c r="A5666">
        <v>1891</v>
      </c>
      <c r="B5666" s="16">
        <v>43678</v>
      </c>
      <c r="C5666" t="s">
        <v>59</v>
      </c>
      <c r="D5666">
        <v>3222031.0500000003</v>
      </c>
      <c r="E5666" t="s">
        <v>330</v>
      </c>
    </row>
    <row r="5667" spans="1:5" x14ac:dyDescent="0.25">
      <c r="A5667">
        <v>1891</v>
      </c>
      <c r="B5667" s="16">
        <v>43709</v>
      </c>
      <c r="C5667" t="s">
        <v>59</v>
      </c>
      <c r="D5667">
        <v>3222031.0500000003</v>
      </c>
      <c r="E5667" t="s">
        <v>330</v>
      </c>
    </row>
    <row r="5668" spans="1:5" x14ac:dyDescent="0.25">
      <c r="A5668">
        <v>1891</v>
      </c>
      <c r="B5668" s="16">
        <v>43739</v>
      </c>
      <c r="C5668" t="s">
        <v>59</v>
      </c>
      <c r="D5668">
        <v>3222031.0500000003</v>
      </c>
      <c r="E5668" t="s">
        <v>330</v>
      </c>
    </row>
    <row r="5669" spans="1:5" x14ac:dyDescent="0.25">
      <c r="A5669">
        <v>1891</v>
      </c>
      <c r="B5669" s="16">
        <v>43770</v>
      </c>
      <c r="C5669" t="s">
        <v>59</v>
      </c>
      <c r="D5669">
        <v>3222031.0500000003</v>
      </c>
      <c r="E5669" t="s">
        <v>330</v>
      </c>
    </row>
    <row r="5670" spans="1:5" x14ac:dyDescent="0.25">
      <c r="A5670">
        <v>1891</v>
      </c>
      <c r="B5670" s="16">
        <v>43800</v>
      </c>
      <c r="C5670" t="s">
        <v>59</v>
      </c>
      <c r="D5670">
        <v>3222031.0500000003</v>
      </c>
      <c r="E5670" t="s">
        <v>330</v>
      </c>
    </row>
    <row r="5671" spans="1:5" x14ac:dyDescent="0.25">
      <c r="A5671">
        <v>1891</v>
      </c>
      <c r="B5671" s="16">
        <v>43831</v>
      </c>
      <c r="C5671" t="s">
        <v>59</v>
      </c>
      <c r="D5671">
        <v>3222031.0500000003</v>
      </c>
      <c r="E5671" t="s">
        <v>330</v>
      </c>
    </row>
    <row r="5672" spans="1:5" x14ac:dyDescent="0.25">
      <c r="A5672">
        <v>1891</v>
      </c>
      <c r="B5672" s="16">
        <v>43862</v>
      </c>
      <c r="C5672" t="s">
        <v>59</v>
      </c>
      <c r="D5672">
        <v>3222031.0500000003</v>
      </c>
      <c r="E5672" t="s">
        <v>330</v>
      </c>
    </row>
    <row r="5673" spans="1:5" x14ac:dyDescent="0.25">
      <c r="A5673">
        <v>1891</v>
      </c>
      <c r="B5673" s="16">
        <v>43891</v>
      </c>
      <c r="C5673" t="s">
        <v>59</v>
      </c>
      <c r="D5673">
        <v>3222031.0500000003</v>
      </c>
      <c r="E5673" t="s">
        <v>330</v>
      </c>
    </row>
    <row r="5674" spans="1:5" x14ac:dyDescent="0.25">
      <c r="A5674">
        <v>1891</v>
      </c>
      <c r="B5674" s="16">
        <v>43922</v>
      </c>
      <c r="C5674" t="s">
        <v>59</v>
      </c>
      <c r="D5674">
        <v>3222031.0500000003</v>
      </c>
      <c r="E5674" t="s">
        <v>330</v>
      </c>
    </row>
    <row r="5675" spans="1:5" x14ac:dyDescent="0.25">
      <c r="A5675">
        <v>1891</v>
      </c>
      <c r="B5675" s="16">
        <v>43952</v>
      </c>
      <c r="C5675" t="s">
        <v>59</v>
      </c>
      <c r="D5675">
        <v>3222031.0500000003</v>
      </c>
      <c r="E5675" t="s">
        <v>330</v>
      </c>
    </row>
    <row r="5676" spans="1:5" x14ac:dyDescent="0.25">
      <c r="A5676">
        <v>1891</v>
      </c>
      <c r="B5676" s="16">
        <v>43983</v>
      </c>
      <c r="C5676" t="s">
        <v>59</v>
      </c>
      <c r="D5676">
        <v>3222031.0500000003</v>
      </c>
      <c r="E5676" t="s">
        <v>330</v>
      </c>
    </row>
    <row r="5677" spans="1:5" x14ac:dyDescent="0.25">
      <c r="A5677">
        <v>1891</v>
      </c>
      <c r="B5677" s="16">
        <v>44013</v>
      </c>
      <c r="C5677" t="s">
        <v>59</v>
      </c>
      <c r="D5677">
        <v>3222031.0500000003</v>
      </c>
      <c r="E5677" t="s">
        <v>330</v>
      </c>
    </row>
    <row r="5678" spans="1:5" x14ac:dyDescent="0.25">
      <c r="A5678">
        <v>1891</v>
      </c>
      <c r="B5678" s="16">
        <v>44044</v>
      </c>
      <c r="C5678" t="s">
        <v>59</v>
      </c>
      <c r="D5678">
        <v>3222031.0500000003</v>
      </c>
      <c r="E5678" t="s">
        <v>330</v>
      </c>
    </row>
    <row r="5679" spans="1:5" x14ac:dyDescent="0.25">
      <c r="A5679">
        <v>1891</v>
      </c>
      <c r="B5679" s="16">
        <v>44075</v>
      </c>
      <c r="C5679" t="s">
        <v>59</v>
      </c>
      <c r="D5679">
        <v>3222031.0500000003</v>
      </c>
      <c r="E5679" t="s">
        <v>330</v>
      </c>
    </row>
    <row r="5680" spans="1:5" x14ac:dyDescent="0.25">
      <c r="A5680">
        <v>1891</v>
      </c>
      <c r="B5680" s="16">
        <v>44105</v>
      </c>
      <c r="C5680" t="s">
        <v>59</v>
      </c>
      <c r="D5680">
        <v>3222031.0500000003</v>
      </c>
      <c r="E5680" t="s">
        <v>330</v>
      </c>
    </row>
    <row r="5681" spans="1:5" x14ac:dyDescent="0.25">
      <c r="A5681">
        <v>1891</v>
      </c>
      <c r="B5681" s="16">
        <v>44136</v>
      </c>
      <c r="C5681" t="s">
        <v>59</v>
      </c>
      <c r="D5681">
        <v>3222031.0500000003</v>
      </c>
      <c r="E5681" t="s">
        <v>330</v>
      </c>
    </row>
    <row r="5682" spans="1:5" x14ac:dyDescent="0.25">
      <c r="A5682">
        <v>1891</v>
      </c>
      <c r="B5682" s="16">
        <v>44166</v>
      </c>
      <c r="C5682" t="s">
        <v>59</v>
      </c>
      <c r="D5682">
        <v>3222031.0500000003</v>
      </c>
      <c r="E5682" t="s">
        <v>330</v>
      </c>
    </row>
    <row r="5683" spans="1:5" x14ac:dyDescent="0.25">
      <c r="A5683">
        <v>1891</v>
      </c>
      <c r="B5683" s="16">
        <v>43497</v>
      </c>
      <c r="C5683" t="s">
        <v>135</v>
      </c>
      <c r="D5683">
        <v>3868248.1949999994</v>
      </c>
      <c r="E5683" t="s">
        <v>330</v>
      </c>
    </row>
    <row r="5684" spans="1:5" x14ac:dyDescent="0.25">
      <c r="A5684">
        <v>1891</v>
      </c>
      <c r="B5684" s="16">
        <v>43525</v>
      </c>
      <c r="C5684" t="s">
        <v>135</v>
      </c>
      <c r="D5684">
        <v>3868248.1949999994</v>
      </c>
      <c r="E5684" t="s">
        <v>330</v>
      </c>
    </row>
    <row r="5685" spans="1:5" x14ac:dyDescent="0.25">
      <c r="A5685">
        <v>1891</v>
      </c>
      <c r="B5685" s="16">
        <v>43556</v>
      </c>
      <c r="C5685" t="s">
        <v>135</v>
      </c>
      <c r="D5685">
        <v>3868248.1949999994</v>
      </c>
      <c r="E5685" t="s">
        <v>330</v>
      </c>
    </row>
    <row r="5686" spans="1:5" x14ac:dyDescent="0.25">
      <c r="A5686">
        <v>1891</v>
      </c>
      <c r="B5686" s="16">
        <v>43586</v>
      </c>
      <c r="C5686" t="s">
        <v>135</v>
      </c>
      <c r="D5686">
        <v>3868248.1949999994</v>
      </c>
      <c r="E5686" t="s">
        <v>330</v>
      </c>
    </row>
    <row r="5687" spans="1:5" x14ac:dyDescent="0.25">
      <c r="A5687">
        <v>1891</v>
      </c>
      <c r="B5687" s="16">
        <v>43617</v>
      </c>
      <c r="C5687" t="s">
        <v>135</v>
      </c>
      <c r="D5687">
        <v>3868248.1949999994</v>
      </c>
      <c r="E5687" t="s">
        <v>330</v>
      </c>
    </row>
    <row r="5688" spans="1:5" x14ac:dyDescent="0.25">
      <c r="A5688">
        <v>1891</v>
      </c>
      <c r="B5688" s="16">
        <v>43647</v>
      </c>
      <c r="C5688" t="s">
        <v>135</v>
      </c>
      <c r="D5688">
        <v>3868248.1949999994</v>
      </c>
      <c r="E5688" t="s">
        <v>330</v>
      </c>
    </row>
    <row r="5689" spans="1:5" x14ac:dyDescent="0.25">
      <c r="A5689">
        <v>1891</v>
      </c>
      <c r="B5689" s="16">
        <v>43678</v>
      </c>
      <c r="C5689" t="s">
        <v>135</v>
      </c>
      <c r="D5689">
        <v>3868248.1949999994</v>
      </c>
      <c r="E5689" t="s">
        <v>330</v>
      </c>
    </row>
    <row r="5690" spans="1:5" x14ac:dyDescent="0.25">
      <c r="A5690">
        <v>1891</v>
      </c>
      <c r="B5690" s="16">
        <v>43709</v>
      </c>
      <c r="C5690" t="s">
        <v>135</v>
      </c>
      <c r="D5690">
        <v>3868248.1949999994</v>
      </c>
      <c r="E5690" t="s">
        <v>330</v>
      </c>
    </row>
    <row r="5691" spans="1:5" x14ac:dyDescent="0.25">
      <c r="A5691">
        <v>1891</v>
      </c>
      <c r="B5691" s="16">
        <v>43739</v>
      </c>
      <c r="C5691" t="s">
        <v>135</v>
      </c>
      <c r="D5691">
        <v>3868248.1949999994</v>
      </c>
      <c r="E5691" t="s">
        <v>330</v>
      </c>
    </row>
    <row r="5692" spans="1:5" x14ac:dyDescent="0.25">
      <c r="A5692">
        <v>1891</v>
      </c>
      <c r="B5692" s="16">
        <v>43770</v>
      </c>
      <c r="C5692" t="s">
        <v>135</v>
      </c>
      <c r="D5692">
        <v>3868248.1949999994</v>
      </c>
      <c r="E5692" t="s">
        <v>330</v>
      </c>
    </row>
    <row r="5693" spans="1:5" x14ac:dyDescent="0.25">
      <c r="A5693">
        <v>1891</v>
      </c>
      <c r="B5693" s="16">
        <v>43800</v>
      </c>
      <c r="C5693" t="s">
        <v>135</v>
      </c>
      <c r="D5693">
        <v>3868248.1949999994</v>
      </c>
      <c r="E5693" t="s">
        <v>330</v>
      </c>
    </row>
    <row r="5694" spans="1:5" x14ac:dyDescent="0.25">
      <c r="A5694">
        <v>1891</v>
      </c>
      <c r="B5694" s="16">
        <v>43831</v>
      </c>
      <c r="C5694" t="s">
        <v>135</v>
      </c>
      <c r="D5694">
        <v>3868248.1949999994</v>
      </c>
      <c r="E5694" t="s">
        <v>330</v>
      </c>
    </row>
    <row r="5695" spans="1:5" x14ac:dyDescent="0.25">
      <c r="A5695">
        <v>1891</v>
      </c>
      <c r="B5695" s="16">
        <v>43862</v>
      </c>
      <c r="C5695" t="s">
        <v>135</v>
      </c>
      <c r="D5695">
        <v>3868248.1949999994</v>
      </c>
      <c r="E5695" t="s">
        <v>330</v>
      </c>
    </row>
    <row r="5696" spans="1:5" x14ac:dyDescent="0.25">
      <c r="A5696">
        <v>1891</v>
      </c>
      <c r="B5696" s="16">
        <v>43891</v>
      </c>
      <c r="C5696" t="s">
        <v>135</v>
      </c>
      <c r="D5696">
        <v>3868248.1949999994</v>
      </c>
      <c r="E5696" t="s">
        <v>330</v>
      </c>
    </row>
    <row r="5697" spans="1:5" x14ac:dyDescent="0.25">
      <c r="A5697">
        <v>1891</v>
      </c>
      <c r="B5697" s="16">
        <v>43922</v>
      </c>
      <c r="C5697" t="s">
        <v>135</v>
      </c>
      <c r="D5697">
        <v>3868248.1949999994</v>
      </c>
      <c r="E5697" t="s">
        <v>330</v>
      </c>
    </row>
    <row r="5698" spans="1:5" x14ac:dyDescent="0.25">
      <c r="A5698">
        <v>1891</v>
      </c>
      <c r="B5698" s="16">
        <v>43952</v>
      </c>
      <c r="C5698" t="s">
        <v>135</v>
      </c>
      <c r="D5698">
        <v>3868248.1949999994</v>
      </c>
      <c r="E5698" t="s">
        <v>330</v>
      </c>
    </row>
    <row r="5699" spans="1:5" x14ac:dyDescent="0.25">
      <c r="A5699">
        <v>1891</v>
      </c>
      <c r="B5699" s="16">
        <v>43983</v>
      </c>
      <c r="C5699" t="s">
        <v>135</v>
      </c>
      <c r="D5699">
        <v>3868248.1949999994</v>
      </c>
      <c r="E5699" t="s">
        <v>330</v>
      </c>
    </row>
    <row r="5700" spans="1:5" x14ac:dyDescent="0.25">
      <c r="A5700">
        <v>1891</v>
      </c>
      <c r="B5700" s="16">
        <v>44013</v>
      </c>
      <c r="C5700" t="s">
        <v>135</v>
      </c>
      <c r="D5700">
        <v>3868248.1949999994</v>
      </c>
      <c r="E5700" t="s">
        <v>330</v>
      </c>
    </row>
    <row r="5701" spans="1:5" x14ac:dyDescent="0.25">
      <c r="A5701">
        <v>1891</v>
      </c>
      <c r="B5701" s="16">
        <v>44044</v>
      </c>
      <c r="C5701" t="s">
        <v>135</v>
      </c>
      <c r="D5701">
        <v>3868248.1949999994</v>
      </c>
      <c r="E5701" t="s">
        <v>330</v>
      </c>
    </row>
    <row r="5702" spans="1:5" x14ac:dyDescent="0.25">
      <c r="A5702">
        <v>1891</v>
      </c>
      <c r="B5702" s="16">
        <v>44075</v>
      </c>
      <c r="C5702" t="s">
        <v>135</v>
      </c>
      <c r="D5702">
        <v>3868248.1949999994</v>
      </c>
      <c r="E5702" t="s">
        <v>330</v>
      </c>
    </row>
    <row r="5703" spans="1:5" x14ac:dyDescent="0.25">
      <c r="A5703">
        <v>1891</v>
      </c>
      <c r="B5703" s="16">
        <v>43497</v>
      </c>
      <c r="C5703" t="s">
        <v>76</v>
      </c>
      <c r="D5703">
        <v>4001167.1069999998</v>
      </c>
      <c r="E5703" t="s">
        <v>330</v>
      </c>
    </row>
    <row r="5704" spans="1:5" x14ac:dyDescent="0.25">
      <c r="A5704">
        <v>1891</v>
      </c>
      <c r="B5704" s="16">
        <v>43525</v>
      </c>
      <c r="C5704" t="s">
        <v>76</v>
      </c>
      <c r="D5704">
        <v>4001167.1069999998</v>
      </c>
      <c r="E5704" t="s">
        <v>330</v>
      </c>
    </row>
    <row r="5705" spans="1:5" x14ac:dyDescent="0.25">
      <c r="A5705">
        <v>1891</v>
      </c>
      <c r="B5705" s="16">
        <v>43556</v>
      </c>
      <c r="C5705" t="s">
        <v>76</v>
      </c>
      <c r="D5705">
        <v>4001167.1069999998</v>
      </c>
      <c r="E5705" t="s">
        <v>330</v>
      </c>
    </row>
    <row r="5706" spans="1:5" x14ac:dyDescent="0.25">
      <c r="A5706">
        <v>1891</v>
      </c>
      <c r="B5706" s="16">
        <v>43586</v>
      </c>
      <c r="C5706" t="s">
        <v>76</v>
      </c>
      <c r="D5706">
        <v>4001167.1069999998</v>
      </c>
      <c r="E5706" t="s">
        <v>330</v>
      </c>
    </row>
    <row r="5707" spans="1:5" x14ac:dyDescent="0.25">
      <c r="A5707">
        <v>1891</v>
      </c>
      <c r="B5707" s="16">
        <v>43617</v>
      </c>
      <c r="C5707" t="s">
        <v>76</v>
      </c>
      <c r="D5707">
        <v>4001167.1069999998</v>
      </c>
      <c r="E5707" t="s">
        <v>330</v>
      </c>
    </row>
    <row r="5708" spans="1:5" x14ac:dyDescent="0.25">
      <c r="A5708">
        <v>1891</v>
      </c>
      <c r="B5708" s="16">
        <v>43647</v>
      </c>
      <c r="C5708" t="s">
        <v>76</v>
      </c>
      <c r="D5708">
        <v>4001167.1069999998</v>
      </c>
      <c r="E5708" t="s">
        <v>330</v>
      </c>
    </row>
    <row r="5709" spans="1:5" x14ac:dyDescent="0.25">
      <c r="A5709">
        <v>1891</v>
      </c>
      <c r="B5709" s="16">
        <v>43678</v>
      </c>
      <c r="C5709" t="s">
        <v>76</v>
      </c>
      <c r="D5709">
        <v>4001167.1069999998</v>
      </c>
      <c r="E5709" t="s">
        <v>330</v>
      </c>
    </row>
    <row r="5710" spans="1:5" x14ac:dyDescent="0.25">
      <c r="A5710">
        <v>1891</v>
      </c>
      <c r="B5710" s="16">
        <v>43709</v>
      </c>
      <c r="C5710" t="s">
        <v>76</v>
      </c>
      <c r="D5710">
        <v>4001167.1069999998</v>
      </c>
      <c r="E5710" t="s">
        <v>330</v>
      </c>
    </row>
    <row r="5711" spans="1:5" x14ac:dyDescent="0.25">
      <c r="A5711">
        <v>1891</v>
      </c>
      <c r="B5711" s="16">
        <v>43739</v>
      </c>
      <c r="C5711" t="s">
        <v>76</v>
      </c>
      <c r="D5711">
        <v>4001167.1069999998</v>
      </c>
      <c r="E5711" t="s">
        <v>330</v>
      </c>
    </row>
    <row r="5712" spans="1:5" x14ac:dyDescent="0.25">
      <c r="A5712">
        <v>1891</v>
      </c>
      <c r="B5712" s="16">
        <v>43770</v>
      </c>
      <c r="C5712" t="s">
        <v>76</v>
      </c>
      <c r="D5712">
        <v>4001167.1069999998</v>
      </c>
      <c r="E5712" t="s">
        <v>330</v>
      </c>
    </row>
    <row r="5713" spans="1:5" x14ac:dyDescent="0.25">
      <c r="A5713">
        <v>1895</v>
      </c>
      <c r="B5713" s="16">
        <v>43466</v>
      </c>
      <c r="C5713" t="s">
        <v>19</v>
      </c>
      <c r="D5713">
        <v>3230392.9140000003</v>
      </c>
      <c r="E5713" t="s">
        <v>330</v>
      </c>
    </row>
    <row r="5714" spans="1:5" x14ac:dyDescent="0.25">
      <c r="A5714">
        <v>1895</v>
      </c>
      <c r="B5714" s="16">
        <v>43466</v>
      </c>
      <c r="C5714" t="s">
        <v>26</v>
      </c>
      <c r="D5714">
        <v>6132105</v>
      </c>
      <c r="E5714" t="s">
        <v>330</v>
      </c>
    </row>
    <row r="5715" spans="1:5" x14ac:dyDescent="0.25">
      <c r="A5715">
        <v>1895</v>
      </c>
      <c r="B5715" s="16">
        <v>43466</v>
      </c>
      <c r="C5715" t="s">
        <v>59</v>
      </c>
      <c r="D5715">
        <v>2367673.875</v>
      </c>
      <c r="E5715" t="s">
        <v>330</v>
      </c>
    </row>
    <row r="5716" spans="1:5" x14ac:dyDescent="0.25">
      <c r="A5716">
        <v>1846</v>
      </c>
      <c r="B5716" s="16">
        <v>43466</v>
      </c>
      <c r="C5716" t="s">
        <v>12</v>
      </c>
      <c r="D5716">
        <v>19561500</v>
      </c>
      <c r="E5716" t="s">
        <v>330</v>
      </c>
    </row>
    <row r="5717" spans="1:5" x14ac:dyDescent="0.25">
      <c r="A5717">
        <v>1846</v>
      </c>
      <c r="B5717" s="16">
        <v>43497</v>
      </c>
      <c r="C5717" t="s">
        <v>12</v>
      </c>
      <c r="D5717">
        <v>19561500</v>
      </c>
      <c r="E5717" t="s">
        <v>330</v>
      </c>
    </row>
    <row r="5718" spans="1:5" x14ac:dyDescent="0.25">
      <c r="A5718">
        <v>1846</v>
      </c>
      <c r="B5718" s="16">
        <v>43525</v>
      </c>
      <c r="C5718" t="s">
        <v>12</v>
      </c>
      <c r="D5718">
        <v>19561500</v>
      </c>
      <c r="E5718" t="s">
        <v>330</v>
      </c>
    </row>
    <row r="5719" spans="1:5" x14ac:dyDescent="0.25">
      <c r="A5719">
        <v>1846</v>
      </c>
      <c r="B5719" s="16">
        <v>43556</v>
      </c>
      <c r="C5719" t="s">
        <v>12</v>
      </c>
      <c r="D5719">
        <v>19561500</v>
      </c>
      <c r="E5719" t="s">
        <v>330</v>
      </c>
    </row>
    <row r="5720" spans="1:5" x14ac:dyDescent="0.25">
      <c r="A5720">
        <v>1846</v>
      </c>
      <c r="B5720" s="16">
        <v>43466</v>
      </c>
      <c r="C5720" t="s">
        <v>271</v>
      </c>
      <c r="D5720">
        <v>1449000</v>
      </c>
      <c r="E5720" t="s">
        <v>330</v>
      </c>
    </row>
    <row r="5721" spans="1:5" x14ac:dyDescent="0.25">
      <c r="A5721">
        <v>1846</v>
      </c>
      <c r="B5721" s="16">
        <v>43466</v>
      </c>
      <c r="C5721" t="s">
        <v>273</v>
      </c>
      <c r="D5721">
        <v>8437922.3250000011</v>
      </c>
      <c r="E5721" t="s">
        <v>330</v>
      </c>
    </row>
    <row r="5722" spans="1:5" x14ac:dyDescent="0.25">
      <c r="A5722">
        <v>1846</v>
      </c>
      <c r="B5722" s="16">
        <v>43497</v>
      </c>
      <c r="C5722" t="s">
        <v>273</v>
      </c>
      <c r="D5722">
        <v>8437922.3250000011</v>
      </c>
      <c r="E5722" t="s">
        <v>330</v>
      </c>
    </row>
    <row r="5723" spans="1:5" x14ac:dyDescent="0.25">
      <c r="A5723">
        <v>1846</v>
      </c>
      <c r="B5723" s="16">
        <v>43466</v>
      </c>
      <c r="C5723" t="s">
        <v>140</v>
      </c>
      <c r="D5723">
        <v>6177149.9999999991</v>
      </c>
      <c r="E5723" t="s">
        <v>330</v>
      </c>
    </row>
    <row r="5724" spans="1:5" x14ac:dyDescent="0.25">
      <c r="A5724">
        <v>1846</v>
      </c>
      <c r="B5724" s="16">
        <v>43497</v>
      </c>
      <c r="C5724" t="s">
        <v>140</v>
      </c>
      <c r="D5724">
        <v>6177149.9999999991</v>
      </c>
      <c r="E5724" t="s">
        <v>330</v>
      </c>
    </row>
    <row r="5725" spans="1:5" x14ac:dyDescent="0.25">
      <c r="A5725">
        <v>1893</v>
      </c>
      <c r="B5725" s="16">
        <v>43466</v>
      </c>
      <c r="C5725" t="s">
        <v>19</v>
      </c>
      <c r="D5725">
        <v>1956490.2000000004</v>
      </c>
      <c r="E5725" t="s">
        <v>330</v>
      </c>
    </row>
    <row r="5726" spans="1:5" x14ac:dyDescent="0.25">
      <c r="A5726">
        <v>1893</v>
      </c>
      <c r="B5726" s="16">
        <v>43497</v>
      </c>
      <c r="C5726" t="s">
        <v>19</v>
      </c>
      <c r="D5726">
        <v>1956490.2000000004</v>
      </c>
      <c r="E5726" t="s">
        <v>330</v>
      </c>
    </row>
    <row r="5727" spans="1:5" x14ac:dyDescent="0.25">
      <c r="A5727">
        <v>1893</v>
      </c>
      <c r="B5727" s="16">
        <v>43525</v>
      </c>
      <c r="C5727" t="s">
        <v>19</v>
      </c>
      <c r="D5727">
        <v>1956490.2000000004</v>
      </c>
      <c r="E5727" t="s">
        <v>330</v>
      </c>
    </row>
    <row r="5728" spans="1:5" x14ac:dyDescent="0.25">
      <c r="A5728">
        <v>1893</v>
      </c>
      <c r="B5728" s="16">
        <v>43556</v>
      </c>
      <c r="C5728" t="s">
        <v>19</v>
      </c>
      <c r="D5728">
        <v>1956490.2000000004</v>
      </c>
      <c r="E5728" t="s">
        <v>330</v>
      </c>
    </row>
    <row r="5729" spans="1:5" x14ac:dyDescent="0.25">
      <c r="A5729">
        <v>1893</v>
      </c>
      <c r="B5729" s="16">
        <v>43586</v>
      </c>
      <c r="C5729" t="s">
        <v>19</v>
      </c>
      <c r="D5729">
        <v>1956490.2000000004</v>
      </c>
      <c r="E5729" t="s">
        <v>330</v>
      </c>
    </row>
    <row r="5730" spans="1:5" x14ac:dyDescent="0.25">
      <c r="A5730">
        <v>1893</v>
      </c>
      <c r="B5730" s="16">
        <v>43617</v>
      </c>
      <c r="C5730" t="s">
        <v>19</v>
      </c>
      <c r="D5730">
        <v>1956490.2000000004</v>
      </c>
      <c r="E5730" t="s">
        <v>330</v>
      </c>
    </row>
    <row r="5731" spans="1:5" x14ac:dyDescent="0.25">
      <c r="A5731">
        <v>1893</v>
      </c>
      <c r="B5731" s="16">
        <v>43647</v>
      </c>
      <c r="C5731" t="s">
        <v>19</v>
      </c>
      <c r="D5731">
        <v>1956490.2000000004</v>
      </c>
      <c r="E5731" t="s">
        <v>330</v>
      </c>
    </row>
    <row r="5732" spans="1:5" x14ac:dyDescent="0.25">
      <c r="A5732">
        <v>1893</v>
      </c>
      <c r="B5732" s="16">
        <v>43678</v>
      </c>
      <c r="C5732" t="s">
        <v>19</v>
      </c>
      <c r="D5732">
        <v>1956490.2000000004</v>
      </c>
      <c r="E5732" t="s">
        <v>330</v>
      </c>
    </row>
    <row r="5733" spans="1:5" x14ac:dyDescent="0.25">
      <c r="A5733">
        <v>1893</v>
      </c>
      <c r="B5733" s="16">
        <v>43709</v>
      </c>
      <c r="C5733" t="s">
        <v>19</v>
      </c>
      <c r="D5733">
        <v>1956490.2000000004</v>
      </c>
      <c r="E5733" t="s">
        <v>330</v>
      </c>
    </row>
    <row r="5734" spans="1:5" x14ac:dyDescent="0.25">
      <c r="A5734">
        <v>1893</v>
      </c>
      <c r="B5734" s="16">
        <v>43739</v>
      </c>
      <c r="C5734" t="s">
        <v>19</v>
      </c>
      <c r="D5734">
        <v>1956490.2000000004</v>
      </c>
      <c r="E5734" t="s">
        <v>330</v>
      </c>
    </row>
    <row r="5735" spans="1:5" x14ac:dyDescent="0.25">
      <c r="A5735">
        <v>1893</v>
      </c>
      <c r="B5735" s="16">
        <v>43770</v>
      </c>
      <c r="C5735" t="s">
        <v>19</v>
      </c>
      <c r="D5735">
        <v>1956490.2000000004</v>
      </c>
      <c r="E5735" t="s">
        <v>330</v>
      </c>
    </row>
    <row r="5736" spans="1:5" x14ac:dyDescent="0.25">
      <c r="A5736">
        <v>1893</v>
      </c>
      <c r="B5736" s="16">
        <v>43800</v>
      </c>
      <c r="C5736" t="s">
        <v>19</v>
      </c>
      <c r="D5736">
        <v>1956490.2000000004</v>
      </c>
      <c r="E5736" t="s">
        <v>330</v>
      </c>
    </row>
    <row r="5737" spans="1:5" x14ac:dyDescent="0.25">
      <c r="A5737">
        <v>1893</v>
      </c>
      <c r="B5737" s="16">
        <v>43831</v>
      </c>
      <c r="C5737" t="s">
        <v>19</v>
      </c>
      <c r="D5737">
        <v>1956490.2000000004</v>
      </c>
      <c r="E5737" t="s">
        <v>330</v>
      </c>
    </row>
    <row r="5738" spans="1:5" x14ac:dyDescent="0.25">
      <c r="A5738">
        <v>1893</v>
      </c>
      <c r="B5738" s="16">
        <v>43862</v>
      </c>
      <c r="C5738" t="s">
        <v>19</v>
      </c>
      <c r="D5738">
        <v>1956490.2000000004</v>
      </c>
      <c r="E5738" t="s">
        <v>330</v>
      </c>
    </row>
    <row r="5739" spans="1:5" x14ac:dyDescent="0.25">
      <c r="A5739">
        <v>1893</v>
      </c>
      <c r="B5739" s="16">
        <v>43891</v>
      </c>
      <c r="C5739" t="s">
        <v>19</v>
      </c>
      <c r="D5739">
        <v>1956490.2000000004</v>
      </c>
      <c r="E5739" t="s">
        <v>330</v>
      </c>
    </row>
    <row r="5740" spans="1:5" x14ac:dyDescent="0.25">
      <c r="A5740">
        <v>1893</v>
      </c>
      <c r="B5740" s="16">
        <v>43466</v>
      </c>
      <c r="C5740" t="s">
        <v>12</v>
      </c>
      <c r="D5740">
        <v>8716050</v>
      </c>
      <c r="E5740" t="s">
        <v>330</v>
      </c>
    </row>
    <row r="5741" spans="1:5" x14ac:dyDescent="0.25">
      <c r="A5741">
        <v>1893</v>
      </c>
      <c r="B5741" s="16">
        <v>43497</v>
      </c>
      <c r="C5741" t="s">
        <v>12</v>
      </c>
      <c r="D5741">
        <v>8716050</v>
      </c>
      <c r="E5741" t="s">
        <v>330</v>
      </c>
    </row>
    <row r="5742" spans="1:5" x14ac:dyDescent="0.25">
      <c r="A5742">
        <v>1893</v>
      </c>
      <c r="B5742" s="16">
        <v>43525</v>
      </c>
      <c r="C5742" t="s">
        <v>12</v>
      </c>
      <c r="D5742">
        <v>8716050</v>
      </c>
      <c r="E5742" t="s">
        <v>330</v>
      </c>
    </row>
    <row r="5743" spans="1:5" x14ac:dyDescent="0.25">
      <c r="A5743">
        <v>1893</v>
      </c>
      <c r="B5743" s="16">
        <v>43556</v>
      </c>
      <c r="C5743" t="s">
        <v>12</v>
      </c>
      <c r="D5743">
        <v>8716050</v>
      </c>
      <c r="E5743" t="s">
        <v>330</v>
      </c>
    </row>
    <row r="5744" spans="1:5" x14ac:dyDescent="0.25">
      <c r="A5744">
        <v>1893</v>
      </c>
      <c r="B5744" s="16">
        <v>43586</v>
      </c>
      <c r="C5744" t="s">
        <v>12</v>
      </c>
      <c r="D5744">
        <v>8716050</v>
      </c>
      <c r="E5744" t="s">
        <v>330</v>
      </c>
    </row>
    <row r="5745" spans="1:5" x14ac:dyDescent="0.25">
      <c r="A5745">
        <v>1893</v>
      </c>
      <c r="B5745" s="16">
        <v>43617</v>
      </c>
      <c r="C5745" t="s">
        <v>12</v>
      </c>
      <c r="D5745">
        <v>8716050</v>
      </c>
      <c r="E5745" t="s">
        <v>330</v>
      </c>
    </row>
    <row r="5746" spans="1:5" x14ac:dyDescent="0.25">
      <c r="A5746">
        <v>1893</v>
      </c>
      <c r="B5746" s="16">
        <v>43647</v>
      </c>
      <c r="C5746" t="s">
        <v>12</v>
      </c>
      <c r="D5746">
        <v>8716050</v>
      </c>
      <c r="E5746" t="s">
        <v>330</v>
      </c>
    </row>
    <row r="5747" spans="1:5" x14ac:dyDescent="0.25">
      <c r="A5747">
        <v>1893</v>
      </c>
      <c r="B5747" s="16">
        <v>43678</v>
      </c>
      <c r="C5747" t="s">
        <v>12</v>
      </c>
      <c r="D5747">
        <v>8716050</v>
      </c>
      <c r="E5747" t="s">
        <v>330</v>
      </c>
    </row>
    <row r="5748" spans="1:5" x14ac:dyDescent="0.25">
      <c r="A5748">
        <v>1893</v>
      </c>
      <c r="B5748" s="16">
        <v>43709</v>
      </c>
      <c r="C5748" t="s">
        <v>12</v>
      </c>
      <c r="D5748">
        <v>8716050</v>
      </c>
      <c r="E5748" t="s">
        <v>330</v>
      </c>
    </row>
    <row r="5749" spans="1:5" x14ac:dyDescent="0.25">
      <c r="A5749">
        <v>1893</v>
      </c>
      <c r="B5749" s="16">
        <v>43739</v>
      </c>
      <c r="C5749" t="s">
        <v>12</v>
      </c>
      <c r="D5749">
        <v>8716050</v>
      </c>
      <c r="E5749" t="s">
        <v>330</v>
      </c>
    </row>
    <row r="5750" spans="1:5" x14ac:dyDescent="0.25">
      <c r="A5750">
        <v>1893</v>
      </c>
      <c r="B5750" s="16">
        <v>43770</v>
      </c>
      <c r="C5750" t="s">
        <v>12</v>
      </c>
      <c r="D5750">
        <v>8716050</v>
      </c>
      <c r="E5750" t="s">
        <v>330</v>
      </c>
    </row>
    <row r="5751" spans="1:5" x14ac:dyDescent="0.25">
      <c r="A5751">
        <v>1893</v>
      </c>
      <c r="B5751" s="16">
        <v>43800</v>
      </c>
      <c r="C5751" t="s">
        <v>12</v>
      </c>
      <c r="D5751">
        <v>8716050</v>
      </c>
      <c r="E5751" t="s">
        <v>330</v>
      </c>
    </row>
    <row r="5752" spans="1:5" x14ac:dyDescent="0.25">
      <c r="A5752">
        <v>1893</v>
      </c>
      <c r="B5752" s="16">
        <v>43831</v>
      </c>
      <c r="C5752" t="s">
        <v>12</v>
      </c>
      <c r="D5752">
        <v>8716050</v>
      </c>
      <c r="E5752" t="s">
        <v>330</v>
      </c>
    </row>
    <row r="5753" spans="1:5" x14ac:dyDescent="0.25">
      <c r="A5753">
        <v>1893</v>
      </c>
      <c r="B5753" s="16">
        <v>43862</v>
      </c>
      <c r="C5753" t="s">
        <v>12</v>
      </c>
      <c r="D5753">
        <v>8716050</v>
      </c>
      <c r="E5753" t="s">
        <v>330</v>
      </c>
    </row>
    <row r="5754" spans="1:5" x14ac:dyDescent="0.25">
      <c r="A5754">
        <v>1893</v>
      </c>
      <c r="B5754" s="16">
        <v>43891</v>
      </c>
      <c r="C5754" t="s">
        <v>12</v>
      </c>
      <c r="D5754">
        <v>8716050</v>
      </c>
      <c r="E5754" t="s">
        <v>330</v>
      </c>
    </row>
    <row r="5755" spans="1:5" x14ac:dyDescent="0.25">
      <c r="A5755">
        <v>1893</v>
      </c>
      <c r="B5755" s="16">
        <v>43466</v>
      </c>
      <c r="C5755" t="s">
        <v>275</v>
      </c>
      <c r="D5755">
        <v>6150375</v>
      </c>
      <c r="E5755" t="s">
        <v>330</v>
      </c>
    </row>
    <row r="5756" spans="1:5" x14ac:dyDescent="0.25">
      <c r="A5756">
        <v>1893</v>
      </c>
      <c r="B5756" s="16">
        <v>43497</v>
      </c>
      <c r="C5756" t="s">
        <v>275</v>
      </c>
      <c r="D5756">
        <v>6150375</v>
      </c>
      <c r="E5756" t="s">
        <v>330</v>
      </c>
    </row>
    <row r="5757" spans="1:5" x14ac:dyDescent="0.25">
      <c r="A5757">
        <v>1893</v>
      </c>
      <c r="B5757" s="16">
        <v>43525</v>
      </c>
      <c r="C5757" t="s">
        <v>275</v>
      </c>
      <c r="D5757">
        <v>6150375</v>
      </c>
      <c r="E5757" t="s">
        <v>330</v>
      </c>
    </row>
    <row r="5758" spans="1:5" x14ac:dyDescent="0.25">
      <c r="A5758">
        <v>1893</v>
      </c>
      <c r="B5758" s="16">
        <v>43556</v>
      </c>
      <c r="C5758" t="s">
        <v>275</v>
      </c>
      <c r="D5758">
        <v>6150375</v>
      </c>
      <c r="E5758" t="s">
        <v>330</v>
      </c>
    </row>
    <row r="5759" spans="1:5" x14ac:dyDescent="0.25">
      <c r="A5759">
        <v>1893</v>
      </c>
      <c r="B5759" s="16">
        <v>43586</v>
      </c>
      <c r="C5759" t="s">
        <v>275</v>
      </c>
      <c r="D5759">
        <v>6150375</v>
      </c>
      <c r="E5759" t="s">
        <v>330</v>
      </c>
    </row>
    <row r="5760" spans="1:5" x14ac:dyDescent="0.25">
      <c r="A5760">
        <v>1893</v>
      </c>
      <c r="B5760" s="16">
        <v>43617</v>
      </c>
      <c r="C5760" t="s">
        <v>275</v>
      </c>
      <c r="D5760">
        <v>6150375</v>
      </c>
      <c r="E5760" t="s">
        <v>330</v>
      </c>
    </row>
    <row r="5761" spans="1:5" x14ac:dyDescent="0.25">
      <c r="A5761">
        <v>1893</v>
      </c>
      <c r="B5761" s="16">
        <v>43647</v>
      </c>
      <c r="C5761" t="s">
        <v>275</v>
      </c>
      <c r="D5761">
        <v>6150375</v>
      </c>
      <c r="E5761" t="s">
        <v>330</v>
      </c>
    </row>
    <row r="5762" spans="1:5" x14ac:dyDescent="0.25">
      <c r="A5762">
        <v>1893</v>
      </c>
      <c r="B5762" s="16">
        <v>43678</v>
      </c>
      <c r="C5762" t="s">
        <v>275</v>
      </c>
      <c r="D5762">
        <v>6150375</v>
      </c>
      <c r="E5762" t="s">
        <v>330</v>
      </c>
    </row>
    <row r="5763" spans="1:5" x14ac:dyDescent="0.25">
      <c r="A5763">
        <v>1893</v>
      </c>
      <c r="B5763" s="16">
        <v>43709</v>
      </c>
      <c r="C5763" t="s">
        <v>275</v>
      </c>
      <c r="D5763">
        <v>6150375</v>
      </c>
      <c r="E5763" t="s">
        <v>330</v>
      </c>
    </row>
    <row r="5764" spans="1:5" x14ac:dyDescent="0.25">
      <c r="A5764">
        <v>1893</v>
      </c>
      <c r="B5764" s="16">
        <v>43739</v>
      </c>
      <c r="C5764" t="s">
        <v>275</v>
      </c>
      <c r="D5764">
        <v>6150375</v>
      </c>
      <c r="E5764" t="s">
        <v>330</v>
      </c>
    </row>
    <row r="5765" spans="1:5" x14ac:dyDescent="0.25">
      <c r="A5765">
        <v>1893</v>
      </c>
      <c r="B5765" s="16">
        <v>43770</v>
      </c>
      <c r="C5765" t="s">
        <v>275</v>
      </c>
      <c r="D5765">
        <v>6150375</v>
      </c>
      <c r="E5765" t="s">
        <v>330</v>
      </c>
    </row>
    <row r="5766" spans="1:5" x14ac:dyDescent="0.25">
      <c r="A5766">
        <v>1893</v>
      </c>
      <c r="B5766" s="16">
        <v>43800</v>
      </c>
      <c r="C5766" t="s">
        <v>275</v>
      </c>
      <c r="D5766">
        <v>6150375</v>
      </c>
      <c r="E5766" t="s">
        <v>330</v>
      </c>
    </row>
    <row r="5767" spans="1:5" x14ac:dyDescent="0.25">
      <c r="A5767">
        <v>1893</v>
      </c>
      <c r="B5767" s="16">
        <v>43831</v>
      </c>
      <c r="C5767" t="s">
        <v>275</v>
      </c>
      <c r="D5767">
        <v>6150375</v>
      </c>
      <c r="E5767" t="s">
        <v>330</v>
      </c>
    </row>
    <row r="5768" spans="1:5" x14ac:dyDescent="0.25">
      <c r="A5768">
        <v>1893</v>
      </c>
      <c r="B5768" s="16">
        <v>43862</v>
      </c>
      <c r="C5768" t="s">
        <v>275</v>
      </c>
      <c r="D5768">
        <v>6150375</v>
      </c>
      <c r="E5768" t="s">
        <v>330</v>
      </c>
    </row>
    <row r="5769" spans="1:5" x14ac:dyDescent="0.25">
      <c r="A5769">
        <v>1893</v>
      </c>
      <c r="B5769" s="16">
        <v>43891</v>
      </c>
      <c r="C5769" t="s">
        <v>275</v>
      </c>
      <c r="D5769">
        <v>6150375</v>
      </c>
      <c r="E5769" t="s">
        <v>330</v>
      </c>
    </row>
    <row r="5770" spans="1:5" x14ac:dyDescent="0.25">
      <c r="A5770">
        <v>1893</v>
      </c>
      <c r="B5770" s="16">
        <v>43466</v>
      </c>
      <c r="C5770" t="s">
        <v>229</v>
      </c>
      <c r="D5770">
        <v>3369208.5</v>
      </c>
      <c r="E5770" t="s">
        <v>330</v>
      </c>
    </row>
    <row r="5771" spans="1:5" x14ac:dyDescent="0.25">
      <c r="A5771">
        <v>1893</v>
      </c>
      <c r="B5771" s="16">
        <v>43497</v>
      </c>
      <c r="C5771" t="s">
        <v>229</v>
      </c>
      <c r="D5771">
        <v>3369208.5</v>
      </c>
      <c r="E5771" t="s">
        <v>330</v>
      </c>
    </row>
    <row r="5772" spans="1:5" x14ac:dyDescent="0.25">
      <c r="A5772">
        <v>1893</v>
      </c>
      <c r="B5772" s="16">
        <v>43525</v>
      </c>
      <c r="C5772" t="s">
        <v>229</v>
      </c>
      <c r="D5772">
        <v>3369208.5</v>
      </c>
      <c r="E5772" t="s">
        <v>330</v>
      </c>
    </row>
    <row r="5773" spans="1:5" x14ac:dyDescent="0.25">
      <c r="A5773">
        <v>1893</v>
      </c>
      <c r="B5773" s="16">
        <v>43556</v>
      </c>
      <c r="C5773" t="s">
        <v>229</v>
      </c>
      <c r="D5773">
        <v>3369208.5</v>
      </c>
      <c r="E5773" t="s">
        <v>330</v>
      </c>
    </row>
    <row r="5774" spans="1:5" x14ac:dyDescent="0.25">
      <c r="A5774">
        <v>1893</v>
      </c>
      <c r="B5774" s="16">
        <v>43586</v>
      </c>
      <c r="C5774" t="s">
        <v>229</v>
      </c>
      <c r="D5774">
        <v>3369208.5</v>
      </c>
      <c r="E5774" t="s">
        <v>330</v>
      </c>
    </row>
    <row r="5775" spans="1:5" x14ac:dyDescent="0.25">
      <c r="A5775">
        <v>1893</v>
      </c>
      <c r="B5775" s="16">
        <v>43617</v>
      </c>
      <c r="C5775" t="s">
        <v>229</v>
      </c>
      <c r="D5775">
        <v>3369208.5</v>
      </c>
      <c r="E5775" t="s">
        <v>330</v>
      </c>
    </row>
    <row r="5776" spans="1:5" x14ac:dyDescent="0.25">
      <c r="A5776">
        <v>1893</v>
      </c>
      <c r="B5776" s="16">
        <v>43647</v>
      </c>
      <c r="C5776" t="s">
        <v>229</v>
      </c>
      <c r="D5776">
        <v>3369208.5</v>
      </c>
      <c r="E5776" t="s">
        <v>330</v>
      </c>
    </row>
    <row r="5777" spans="1:5" x14ac:dyDescent="0.25">
      <c r="A5777">
        <v>1893</v>
      </c>
      <c r="B5777" s="16">
        <v>43678</v>
      </c>
      <c r="C5777" t="s">
        <v>229</v>
      </c>
      <c r="D5777">
        <v>3369208.5</v>
      </c>
      <c r="E5777" t="s">
        <v>330</v>
      </c>
    </row>
    <row r="5778" spans="1:5" x14ac:dyDescent="0.25">
      <c r="A5778">
        <v>1893</v>
      </c>
      <c r="B5778" s="16">
        <v>43709</v>
      </c>
      <c r="C5778" t="s">
        <v>229</v>
      </c>
      <c r="D5778">
        <v>3369208.5</v>
      </c>
      <c r="E5778" t="s">
        <v>330</v>
      </c>
    </row>
    <row r="5779" spans="1:5" x14ac:dyDescent="0.25">
      <c r="A5779">
        <v>1893</v>
      </c>
      <c r="B5779" s="16">
        <v>43739</v>
      </c>
      <c r="C5779" t="s">
        <v>229</v>
      </c>
      <c r="D5779">
        <v>3369208.5</v>
      </c>
      <c r="E5779" t="s">
        <v>330</v>
      </c>
    </row>
    <row r="5780" spans="1:5" x14ac:dyDescent="0.25">
      <c r="A5780">
        <v>1893</v>
      </c>
      <c r="B5780" s="16">
        <v>43770</v>
      </c>
      <c r="C5780" t="s">
        <v>229</v>
      </c>
      <c r="D5780">
        <v>3369208.5</v>
      </c>
      <c r="E5780" t="s">
        <v>330</v>
      </c>
    </row>
    <row r="5781" spans="1:5" x14ac:dyDescent="0.25">
      <c r="A5781">
        <v>1893</v>
      </c>
      <c r="B5781" s="16">
        <v>43800</v>
      </c>
      <c r="C5781" t="s">
        <v>229</v>
      </c>
      <c r="D5781">
        <v>3369208.5</v>
      </c>
      <c r="E5781" t="s">
        <v>330</v>
      </c>
    </row>
    <row r="5782" spans="1:5" x14ac:dyDescent="0.25">
      <c r="A5782">
        <v>1893</v>
      </c>
      <c r="B5782" s="16">
        <v>43831</v>
      </c>
      <c r="C5782" t="s">
        <v>229</v>
      </c>
      <c r="D5782">
        <v>3369208.5</v>
      </c>
      <c r="E5782" t="s">
        <v>330</v>
      </c>
    </row>
    <row r="5783" spans="1:5" x14ac:dyDescent="0.25">
      <c r="A5783">
        <v>1893</v>
      </c>
      <c r="B5783" s="16">
        <v>43862</v>
      </c>
      <c r="C5783" t="s">
        <v>229</v>
      </c>
      <c r="D5783">
        <v>3369208.5</v>
      </c>
      <c r="E5783" t="s">
        <v>330</v>
      </c>
    </row>
    <row r="5784" spans="1:5" x14ac:dyDescent="0.25">
      <c r="A5784">
        <v>1893</v>
      </c>
      <c r="B5784" s="16">
        <v>43891</v>
      </c>
      <c r="C5784" t="s">
        <v>229</v>
      </c>
      <c r="D5784">
        <v>3369208.5</v>
      </c>
      <c r="E5784" t="s">
        <v>330</v>
      </c>
    </row>
    <row r="5785" spans="1:5" x14ac:dyDescent="0.25">
      <c r="A5785">
        <v>1893</v>
      </c>
      <c r="B5785" s="16">
        <v>43466</v>
      </c>
      <c r="C5785" t="s">
        <v>38</v>
      </c>
      <c r="D5785">
        <v>3571361.01</v>
      </c>
      <c r="E5785" t="s">
        <v>330</v>
      </c>
    </row>
    <row r="5786" spans="1:5" x14ac:dyDescent="0.25">
      <c r="A5786">
        <v>1893</v>
      </c>
      <c r="B5786" s="16">
        <v>43497</v>
      </c>
      <c r="C5786" t="s">
        <v>38</v>
      </c>
      <c r="D5786">
        <v>3571361.01</v>
      </c>
      <c r="E5786" t="s">
        <v>330</v>
      </c>
    </row>
    <row r="5787" spans="1:5" x14ac:dyDescent="0.25">
      <c r="A5787">
        <v>1893</v>
      </c>
      <c r="B5787" s="16">
        <v>43525</v>
      </c>
      <c r="C5787" t="s">
        <v>38</v>
      </c>
      <c r="D5787">
        <v>3571361.01</v>
      </c>
      <c r="E5787" t="s">
        <v>330</v>
      </c>
    </row>
    <row r="5788" spans="1:5" x14ac:dyDescent="0.25">
      <c r="A5788">
        <v>1893</v>
      </c>
      <c r="B5788" s="16">
        <v>43556</v>
      </c>
      <c r="C5788" t="s">
        <v>38</v>
      </c>
      <c r="D5788">
        <v>3571361.01</v>
      </c>
      <c r="E5788" t="s">
        <v>330</v>
      </c>
    </row>
    <row r="5789" spans="1:5" x14ac:dyDescent="0.25">
      <c r="A5789">
        <v>1893</v>
      </c>
      <c r="B5789" s="16">
        <v>43586</v>
      </c>
      <c r="C5789" t="s">
        <v>38</v>
      </c>
      <c r="D5789">
        <v>3571361.01</v>
      </c>
      <c r="E5789" t="s">
        <v>330</v>
      </c>
    </row>
    <row r="5790" spans="1:5" x14ac:dyDescent="0.25">
      <c r="A5790">
        <v>1893</v>
      </c>
      <c r="B5790" s="16">
        <v>43617</v>
      </c>
      <c r="C5790" t="s">
        <v>38</v>
      </c>
      <c r="D5790">
        <v>3571361.01</v>
      </c>
      <c r="E5790" t="s">
        <v>330</v>
      </c>
    </row>
    <row r="5791" spans="1:5" x14ac:dyDescent="0.25">
      <c r="A5791">
        <v>1893</v>
      </c>
      <c r="B5791" s="16">
        <v>43647</v>
      </c>
      <c r="C5791" t="s">
        <v>38</v>
      </c>
      <c r="D5791">
        <v>3571361.01</v>
      </c>
      <c r="E5791" t="s">
        <v>330</v>
      </c>
    </row>
    <row r="5792" spans="1:5" x14ac:dyDescent="0.25">
      <c r="A5792">
        <v>1893</v>
      </c>
      <c r="B5792" s="16">
        <v>43678</v>
      </c>
      <c r="C5792" t="s">
        <v>38</v>
      </c>
      <c r="D5792">
        <v>3571361.01</v>
      </c>
      <c r="E5792" t="s">
        <v>330</v>
      </c>
    </row>
    <row r="5793" spans="1:5" x14ac:dyDescent="0.25">
      <c r="A5793">
        <v>1893</v>
      </c>
      <c r="B5793" s="16">
        <v>43709</v>
      </c>
      <c r="C5793" t="s">
        <v>38</v>
      </c>
      <c r="D5793">
        <v>3571361.01</v>
      </c>
      <c r="E5793" t="s">
        <v>330</v>
      </c>
    </row>
    <row r="5794" spans="1:5" x14ac:dyDescent="0.25">
      <c r="A5794">
        <v>1893</v>
      </c>
      <c r="B5794" s="16">
        <v>43739</v>
      </c>
      <c r="C5794" t="s">
        <v>38</v>
      </c>
      <c r="D5794">
        <v>3571361.01</v>
      </c>
      <c r="E5794" t="s">
        <v>330</v>
      </c>
    </row>
    <row r="5795" spans="1:5" x14ac:dyDescent="0.25">
      <c r="A5795">
        <v>1893</v>
      </c>
      <c r="B5795" s="16">
        <v>43770</v>
      </c>
      <c r="C5795" t="s">
        <v>38</v>
      </c>
      <c r="D5795">
        <v>3571361.01</v>
      </c>
      <c r="E5795" t="s">
        <v>330</v>
      </c>
    </row>
    <row r="5796" spans="1:5" x14ac:dyDescent="0.25">
      <c r="A5796">
        <v>1893</v>
      </c>
      <c r="B5796" s="16">
        <v>43800</v>
      </c>
      <c r="C5796" t="s">
        <v>38</v>
      </c>
      <c r="D5796">
        <v>3571361.01</v>
      </c>
      <c r="E5796" t="s">
        <v>330</v>
      </c>
    </row>
    <row r="5797" spans="1:5" x14ac:dyDescent="0.25">
      <c r="A5797">
        <v>1893</v>
      </c>
      <c r="B5797" s="16">
        <v>43831</v>
      </c>
      <c r="C5797" t="s">
        <v>38</v>
      </c>
      <c r="D5797">
        <v>3571361.01</v>
      </c>
      <c r="E5797" t="s">
        <v>330</v>
      </c>
    </row>
    <row r="5798" spans="1:5" x14ac:dyDescent="0.25">
      <c r="A5798">
        <v>1893</v>
      </c>
      <c r="B5798" s="16">
        <v>43862</v>
      </c>
      <c r="C5798" t="s">
        <v>38</v>
      </c>
      <c r="D5798">
        <v>3571361.01</v>
      </c>
      <c r="E5798" t="s">
        <v>330</v>
      </c>
    </row>
    <row r="5799" spans="1:5" x14ac:dyDescent="0.25">
      <c r="A5799">
        <v>1893</v>
      </c>
      <c r="B5799" s="16">
        <v>43891</v>
      </c>
      <c r="C5799" t="s">
        <v>38</v>
      </c>
      <c r="D5799">
        <v>3571361.01</v>
      </c>
      <c r="E5799" t="s">
        <v>330</v>
      </c>
    </row>
    <row r="5800" spans="1:5" x14ac:dyDescent="0.25">
      <c r="A5800">
        <v>1890</v>
      </c>
      <c r="B5800" s="16">
        <v>43466</v>
      </c>
      <c r="C5800" t="s">
        <v>19</v>
      </c>
      <c r="D5800">
        <v>3868074.0000000005</v>
      </c>
      <c r="E5800" t="s">
        <v>330</v>
      </c>
    </row>
    <row r="5801" spans="1:5" x14ac:dyDescent="0.25">
      <c r="A5801">
        <v>1890</v>
      </c>
      <c r="B5801" s="16">
        <v>43497</v>
      </c>
      <c r="C5801" t="s">
        <v>19</v>
      </c>
      <c r="D5801">
        <v>3868074.0000000005</v>
      </c>
      <c r="E5801" t="s">
        <v>330</v>
      </c>
    </row>
    <row r="5802" spans="1:5" x14ac:dyDescent="0.25">
      <c r="A5802">
        <v>1890</v>
      </c>
      <c r="B5802" s="16">
        <v>43525</v>
      </c>
      <c r="C5802" t="s">
        <v>19</v>
      </c>
      <c r="D5802">
        <v>3868074.0000000005</v>
      </c>
      <c r="E5802" t="s">
        <v>330</v>
      </c>
    </row>
    <row r="5803" spans="1:5" x14ac:dyDescent="0.25">
      <c r="A5803">
        <v>1890</v>
      </c>
      <c r="B5803" s="16">
        <v>43556</v>
      </c>
      <c r="C5803" t="s">
        <v>19</v>
      </c>
      <c r="D5803">
        <v>3868074.0000000005</v>
      </c>
      <c r="E5803" t="s">
        <v>330</v>
      </c>
    </row>
    <row r="5804" spans="1:5" x14ac:dyDescent="0.25">
      <c r="A5804">
        <v>1890</v>
      </c>
      <c r="B5804" s="16">
        <v>43586</v>
      </c>
      <c r="C5804" t="s">
        <v>19</v>
      </c>
      <c r="D5804">
        <v>3868074.0000000005</v>
      </c>
      <c r="E5804" t="s">
        <v>330</v>
      </c>
    </row>
    <row r="5805" spans="1:5" x14ac:dyDescent="0.25">
      <c r="A5805">
        <v>1890</v>
      </c>
      <c r="B5805" s="16">
        <v>43617</v>
      </c>
      <c r="C5805" t="s">
        <v>19</v>
      </c>
      <c r="D5805">
        <v>3868074.0000000005</v>
      </c>
      <c r="E5805" t="s">
        <v>330</v>
      </c>
    </row>
    <row r="5806" spans="1:5" x14ac:dyDescent="0.25">
      <c r="A5806">
        <v>1890</v>
      </c>
      <c r="B5806" s="16">
        <v>43647</v>
      </c>
      <c r="C5806" t="s">
        <v>19</v>
      </c>
      <c r="D5806">
        <v>3868074.0000000005</v>
      </c>
      <c r="E5806" t="s">
        <v>330</v>
      </c>
    </row>
    <row r="5807" spans="1:5" x14ac:dyDescent="0.25">
      <c r="A5807">
        <v>1890</v>
      </c>
      <c r="B5807" s="16">
        <v>43678</v>
      </c>
      <c r="C5807" t="s">
        <v>19</v>
      </c>
      <c r="D5807">
        <v>3868074.0000000005</v>
      </c>
      <c r="E5807" t="s">
        <v>330</v>
      </c>
    </row>
    <row r="5808" spans="1:5" x14ac:dyDescent="0.25">
      <c r="A5808">
        <v>1890</v>
      </c>
      <c r="B5808" s="16">
        <v>43709</v>
      </c>
      <c r="C5808" t="s">
        <v>19</v>
      </c>
      <c r="D5808">
        <v>3868074.0000000005</v>
      </c>
      <c r="E5808" t="s">
        <v>330</v>
      </c>
    </row>
    <row r="5809" spans="1:5" x14ac:dyDescent="0.25">
      <c r="A5809">
        <v>1890</v>
      </c>
      <c r="B5809" s="16">
        <v>43739</v>
      </c>
      <c r="C5809" t="s">
        <v>19</v>
      </c>
      <c r="D5809">
        <v>3868074.0000000005</v>
      </c>
      <c r="E5809" t="s">
        <v>330</v>
      </c>
    </row>
    <row r="5810" spans="1:5" x14ac:dyDescent="0.25">
      <c r="A5810">
        <v>1890</v>
      </c>
      <c r="B5810" s="16">
        <v>43770</v>
      </c>
      <c r="C5810" t="s">
        <v>19</v>
      </c>
      <c r="D5810">
        <v>3868074.0000000005</v>
      </c>
      <c r="E5810" t="s">
        <v>330</v>
      </c>
    </row>
    <row r="5811" spans="1:5" x14ac:dyDescent="0.25">
      <c r="A5811">
        <v>1890</v>
      </c>
      <c r="B5811" s="16">
        <v>43800</v>
      </c>
      <c r="C5811" t="s">
        <v>19</v>
      </c>
      <c r="D5811">
        <v>3868074.0000000005</v>
      </c>
      <c r="E5811" t="s">
        <v>330</v>
      </c>
    </row>
    <row r="5812" spans="1:5" x14ac:dyDescent="0.25">
      <c r="A5812">
        <v>1890</v>
      </c>
      <c r="B5812" s="16">
        <v>43831</v>
      </c>
      <c r="C5812" t="s">
        <v>19</v>
      </c>
      <c r="D5812">
        <v>3868074.0000000005</v>
      </c>
      <c r="E5812" t="s">
        <v>330</v>
      </c>
    </row>
    <row r="5813" spans="1:5" x14ac:dyDescent="0.25">
      <c r="A5813">
        <v>1890</v>
      </c>
      <c r="B5813" s="16">
        <v>43862</v>
      </c>
      <c r="C5813" t="s">
        <v>19</v>
      </c>
      <c r="D5813">
        <v>3868074.0000000005</v>
      </c>
      <c r="E5813" t="s">
        <v>330</v>
      </c>
    </row>
    <row r="5814" spans="1:5" x14ac:dyDescent="0.25">
      <c r="A5814">
        <v>1890</v>
      </c>
      <c r="B5814" s="16">
        <v>43891</v>
      </c>
      <c r="C5814" t="s">
        <v>19</v>
      </c>
      <c r="D5814">
        <v>3868074.0000000005</v>
      </c>
      <c r="E5814" t="s">
        <v>330</v>
      </c>
    </row>
    <row r="5815" spans="1:5" x14ac:dyDescent="0.25">
      <c r="A5815">
        <v>1890</v>
      </c>
      <c r="B5815" s="16">
        <v>43922</v>
      </c>
      <c r="C5815" t="s">
        <v>19</v>
      </c>
      <c r="D5815">
        <v>3868074.0000000005</v>
      </c>
      <c r="E5815" t="s">
        <v>330</v>
      </c>
    </row>
    <row r="5816" spans="1:5" x14ac:dyDescent="0.25">
      <c r="A5816">
        <v>1890</v>
      </c>
      <c r="B5816" s="16">
        <v>43952</v>
      </c>
      <c r="C5816" t="s">
        <v>19</v>
      </c>
      <c r="D5816">
        <v>3868074.0000000005</v>
      </c>
      <c r="E5816" t="s">
        <v>330</v>
      </c>
    </row>
    <row r="5817" spans="1:5" x14ac:dyDescent="0.25">
      <c r="A5817">
        <v>1890</v>
      </c>
      <c r="B5817" s="16">
        <v>43983</v>
      </c>
      <c r="C5817" t="s">
        <v>19</v>
      </c>
      <c r="D5817">
        <v>3868074.0000000005</v>
      </c>
      <c r="E5817" t="s">
        <v>330</v>
      </c>
    </row>
    <row r="5818" spans="1:5" x14ac:dyDescent="0.25">
      <c r="A5818">
        <v>1890</v>
      </c>
      <c r="B5818" s="16">
        <v>44013</v>
      </c>
      <c r="C5818" t="s">
        <v>19</v>
      </c>
      <c r="D5818">
        <v>3868074.0000000005</v>
      </c>
      <c r="E5818" t="s">
        <v>330</v>
      </c>
    </row>
    <row r="5819" spans="1:5" x14ac:dyDescent="0.25">
      <c r="A5819">
        <v>1890</v>
      </c>
      <c r="B5819" s="16">
        <v>44044</v>
      </c>
      <c r="C5819" t="s">
        <v>19</v>
      </c>
      <c r="D5819">
        <v>3868074.0000000005</v>
      </c>
      <c r="E5819" t="s">
        <v>330</v>
      </c>
    </row>
    <row r="5820" spans="1:5" x14ac:dyDescent="0.25">
      <c r="A5820">
        <v>1890</v>
      </c>
      <c r="B5820" s="16">
        <v>44075</v>
      </c>
      <c r="C5820" t="s">
        <v>19</v>
      </c>
      <c r="D5820">
        <v>3868074.0000000005</v>
      </c>
      <c r="E5820" t="s">
        <v>330</v>
      </c>
    </row>
    <row r="5821" spans="1:5" x14ac:dyDescent="0.25">
      <c r="A5821">
        <v>1890</v>
      </c>
      <c r="B5821" s="16">
        <v>44105</v>
      </c>
      <c r="C5821" t="s">
        <v>19</v>
      </c>
      <c r="D5821">
        <v>3868074.0000000005</v>
      </c>
      <c r="E5821" t="s">
        <v>330</v>
      </c>
    </row>
    <row r="5822" spans="1:5" x14ac:dyDescent="0.25">
      <c r="A5822">
        <v>1890</v>
      </c>
      <c r="B5822" s="16">
        <v>44136</v>
      </c>
      <c r="C5822" t="s">
        <v>19</v>
      </c>
      <c r="D5822">
        <v>3868074.0000000005</v>
      </c>
      <c r="E5822" t="s">
        <v>330</v>
      </c>
    </row>
    <row r="5823" spans="1:5" x14ac:dyDescent="0.25">
      <c r="A5823">
        <v>1890</v>
      </c>
      <c r="B5823" s="16">
        <v>44166</v>
      </c>
      <c r="C5823" t="s">
        <v>19</v>
      </c>
      <c r="D5823">
        <v>3868074.0000000005</v>
      </c>
      <c r="E5823" t="s">
        <v>330</v>
      </c>
    </row>
    <row r="5824" spans="1:5" x14ac:dyDescent="0.25">
      <c r="A5824">
        <v>1890</v>
      </c>
      <c r="B5824" s="16">
        <v>43466</v>
      </c>
      <c r="C5824" t="s">
        <v>12</v>
      </c>
      <c r="D5824">
        <v>9450000</v>
      </c>
      <c r="E5824" t="s">
        <v>330</v>
      </c>
    </row>
    <row r="5825" spans="1:5" x14ac:dyDescent="0.25">
      <c r="A5825">
        <v>1890</v>
      </c>
      <c r="B5825" s="16">
        <v>43497</v>
      </c>
      <c r="C5825" t="s">
        <v>12</v>
      </c>
      <c r="D5825">
        <v>9450000</v>
      </c>
      <c r="E5825" t="s">
        <v>330</v>
      </c>
    </row>
    <row r="5826" spans="1:5" x14ac:dyDescent="0.25">
      <c r="A5826">
        <v>1890</v>
      </c>
      <c r="B5826" s="16">
        <v>43525</v>
      </c>
      <c r="C5826" t="s">
        <v>12</v>
      </c>
      <c r="D5826">
        <v>9450000</v>
      </c>
      <c r="E5826" t="s">
        <v>330</v>
      </c>
    </row>
    <row r="5827" spans="1:5" x14ac:dyDescent="0.25">
      <c r="A5827">
        <v>1890</v>
      </c>
      <c r="B5827" s="16">
        <v>43556</v>
      </c>
      <c r="C5827" t="s">
        <v>12</v>
      </c>
      <c r="D5827">
        <v>9450000</v>
      </c>
      <c r="E5827" t="s">
        <v>330</v>
      </c>
    </row>
    <row r="5828" spans="1:5" x14ac:dyDescent="0.25">
      <c r="A5828">
        <v>1890</v>
      </c>
      <c r="B5828" s="16">
        <v>43586</v>
      </c>
      <c r="C5828" t="s">
        <v>12</v>
      </c>
      <c r="D5828">
        <v>9450000</v>
      </c>
      <c r="E5828" t="s">
        <v>330</v>
      </c>
    </row>
    <row r="5829" spans="1:5" x14ac:dyDescent="0.25">
      <c r="A5829">
        <v>1890</v>
      </c>
      <c r="B5829" s="16">
        <v>43617</v>
      </c>
      <c r="C5829" t="s">
        <v>12</v>
      </c>
      <c r="D5829">
        <v>9450000</v>
      </c>
      <c r="E5829" t="s">
        <v>330</v>
      </c>
    </row>
    <row r="5830" spans="1:5" x14ac:dyDescent="0.25">
      <c r="A5830">
        <v>1890</v>
      </c>
      <c r="B5830" s="16">
        <v>43647</v>
      </c>
      <c r="C5830" t="s">
        <v>12</v>
      </c>
      <c r="D5830">
        <v>9450000</v>
      </c>
      <c r="E5830" t="s">
        <v>330</v>
      </c>
    </row>
    <row r="5831" spans="1:5" x14ac:dyDescent="0.25">
      <c r="A5831">
        <v>1890</v>
      </c>
      <c r="B5831" s="16">
        <v>43678</v>
      </c>
      <c r="C5831" t="s">
        <v>12</v>
      </c>
      <c r="D5831">
        <v>9450000</v>
      </c>
      <c r="E5831" t="s">
        <v>330</v>
      </c>
    </row>
    <row r="5832" spans="1:5" x14ac:dyDescent="0.25">
      <c r="A5832">
        <v>1890</v>
      </c>
      <c r="B5832" s="16">
        <v>43709</v>
      </c>
      <c r="C5832" t="s">
        <v>12</v>
      </c>
      <c r="D5832">
        <v>9450000</v>
      </c>
      <c r="E5832" t="s">
        <v>330</v>
      </c>
    </row>
    <row r="5833" spans="1:5" x14ac:dyDescent="0.25">
      <c r="A5833">
        <v>1890</v>
      </c>
      <c r="B5833" s="16">
        <v>43739</v>
      </c>
      <c r="C5833" t="s">
        <v>12</v>
      </c>
      <c r="D5833">
        <v>9450000</v>
      </c>
      <c r="E5833" t="s">
        <v>330</v>
      </c>
    </row>
    <row r="5834" spans="1:5" x14ac:dyDescent="0.25">
      <c r="A5834">
        <v>1890</v>
      </c>
      <c r="B5834" s="16">
        <v>43770</v>
      </c>
      <c r="C5834" t="s">
        <v>12</v>
      </c>
      <c r="D5834">
        <v>9450000</v>
      </c>
      <c r="E5834" t="s">
        <v>330</v>
      </c>
    </row>
    <row r="5835" spans="1:5" x14ac:dyDescent="0.25">
      <c r="A5835">
        <v>1890</v>
      </c>
      <c r="B5835" s="16">
        <v>43800</v>
      </c>
      <c r="C5835" t="s">
        <v>12</v>
      </c>
      <c r="D5835">
        <v>9450000</v>
      </c>
      <c r="E5835" t="s">
        <v>330</v>
      </c>
    </row>
    <row r="5836" spans="1:5" x14ac:dyDescent="0.25">
      <c r="A5836">
        <v>1890</v>
      </c>
      <c r="B5836" s="16">
        <v>43831</v>
      </c>
      <c r="C5836" t="s">
        <v>12</v>
      </c>
      <c r="D5836">
        <v>9450000</v>
      </c>
      <c r="E5836" t="s">
        <v>330</v>
      </c>
    </row>
    <row r="5837" spans="1:5" x14ac:dyDescent="0.25">
      <c r="A5837">
        <v>1890</v>
      </c>
      <c r="B5837" s="16">
        <v>43862</v>
      </c>
      <c r="C5837" t="s">
        <v>12</v>
      </c>
      <c r="D5837">
        <v>9450000</v>
      </c>
      <c r="E5837" t="s">
        <v>330</v>
      </c>
    </row>
    <row r="5838" spans="1:5" x14ac:dyDescent="0.25">
      <c r="A5838">
        <v>1890</v>
      </c>
      <c r="B5838" s="16">
        <v>43891</v>
      </c>
      <c r="C5838" t="s">
        <v>12</v>
      </c>
      <c r="D5838">
        <v>9450000</v>
      </c>
      <c r="E5838" t="s">
        <v>330</v>
      </c>
    </row>
    <row r="5839" spans="1:5" x14ac:dyDescent="0.25">
      <c r="A5839">
        <v>1890</v>
      </c>
      <c r="B5839" s="16">
        <v>43922</v>
      </c>
      <c r="C5839" t="s">
        <v>12</v>
      </c>
      <c r="D5839">
        <v>9450000</v>
      </c>
      <c r="E5839" t="s">
        <v>330</v>
      </c>
    </row>
    <row r="5840" spans="1:5" x14ac:dyDescent="0.25">
      <c r="A5840">
        <v>1890</v>
      </c>
      <c r="B5840" s="16">
        <v>43952</v>
      </c>
      <c r="C5840" t="s">
        <v>12</v>
      </c>
      <c r="D5840">
        <v>9450000</v>
      </c>
      <c r="E5840" t="s">
        <v>330</v>
      </c>
    </row>
    <row r="5841" spans="1:5" x14ac:dyDescent="0.25">
      <c r="A5841">
        <v>1890</v>
      </c>
      <c r="B5841" s="16">
        <v>43983</v>
      </c>
      <c r="C5841" t="s">
        <v>12</v>
      </c>
      <c r="D5841">
        <v>9450000</v>
      </c>
      <c r="E5841" t="s">
        <v>330</v>
      </c>
    </row>
    <row r="5842" spans="1:5" x14ac:dyDescent="0.25">
      <c r="A5842">
        <v>1890</v>
      </c>
      <c r="B5842" s="16">
        <v>44013</v>
      </c>
      <c r="C5842" t="s">
        <v>12</v>
      </c>
      <c r="D5842">
        <v>9450000</v>
      </c>
      <c r="E5842" t="s">
        <v>330</v>
      </c>
    </row>
    <row r="5843" spans="1:5" x14ac:dyDescent="0.25">
      <c r="A5843">
        <v>1890</v>
      </c>
      <c r="B5843" s="16">
        <v>44044</v>
      </c>
      <c r="C5843" t="s">
        <v>12</v>
      </c>
      <c r="D5843">
        <v>9450000</v>
      </c>
      <c r="E5843" t="s">
        <v>330</v>
      </c>
    </row>
    <row r="5844" spans="1:5" x14ac:dyDescent="0.25">
      <c r="A5844">
        <v>1890</v>
      </c>
      <c r="B5844" s="16">
        <v>44075</v>
      </c>
      <c r="C5844" t="s">
        <v>12</v>
      </c>
      <c r="D5844">
        <v>9450000</v>
      </c>
      <c r="E5844" t="s">
        <v>330</v>
      </c>
    </row>
    <row r="5845" spans="1:5" x14ac:dyDescent="0.25">
      <c r="A5845">
        <v>1890</v>
      </c>
      <c r="B5845" s="16">
        <v>44105</v>
      </c>
      <c r="C5845" t="s">
        <v>12</v>
      </c>
      <c r="D5845">
        <v>9450000</v>
      </c>
      <c r="E5845" t="s">
        <v>330</v>
      </c>
    </row>
    <row r="5846" spans="1:5" x14ac:dyDescent="0.25">
      <c r="A5846">
        <v>1890</v>
      </c>
      <c r="B5846" s="16">
        <v>44136</v>
      </c>
      <c r="C5846" t="s">
        <v>12</v>
      </c>
      <c r="D5846">
        <v>9450000</v>
      </c>
      <c r="E5846" t="s">
        <v>330</v>
      </c>
    </row>
    <row r="5847" spans="1:5" x14ac:dyDescent="0.25">
      <c r="A5847">
        <v>1890</v>
      </c>
      <c r="B5847" s="16">
        <v>44166</v>
      </c>
      <c r="C5847" t="s">
        <v>12</v>
      </c>
      <c r="D5847">
        <v>9450000</v>
      </c>
      <c r="E5847" t="s">
        <v>330</v>
      </c>
    </row>
    <row r="5848" spans="1:5" x14ac:dyDescent="0.25">
      <c r="A5848">
        <v>1890</v>
      </c>
      <c r="B5848" s="16">
        <v>43831</v>
      </c>
      <c r="C5848" t="s">
        <v>26</v>
      </c>
      <c r="D5848">
        <v>6221250</v>
      </c>
      <c r="E5848" t="s">
        <v>330</v>
      </c>
    </row>
    <row r="5849" spans="1:5" x14ac:dyDescent="0.25">
      <c r="A5849">
        <v>1890</v>
      </c>
      <c r="B5849" s="16">
        <v>43862</v>
      </c>
      <c r="C5849" t="s">
        <v>26</v>
      </c>
      <c r="D5849">
        <v>6221250</v>
      </c>
      <c r="E5849" t="s">
        <v>330</v>
      </c>
    </row>
    <row r="5850" spans="1:5" x14ac:dyDescent="0.25">
      <c r="A5850">
        <v>1890</v>
      </c>
      <c r="B5850" s="16">
        <v>43891</v>
      </c>
      <c r="C5850" t="s">
        <v>26</v>
      </c>
      <c r="D5850">
        <v>6221250</v>
      </c>
      <c r="E5850" t="s">
        <v>330</v>
      </c>
    </row>
    <row r="5851" spans="1:5" x14ac:dyDescent="0.25">
      <c r="A5851">
        <v>1890</v>
      </c>
      <c r="B5851" s="16">
        <v>43922</v>
      </c>
      <c r="C5851" t="s">
        <v>26</v>
      </c>
      <c r="D5851">
        <v>6221250</v>
      </c>
      <c r="E5851" t="s">
        <v>330</v>
      </c>
    </row>
    <row r="5852" spans="1:5" x14ac:dyDescent="0.25">
      <c r="A5852">
        <v>1890</v>
      </c>
      <c r="B5852" s="16">
        <v>43952</v>
      </c>
      <c r="C5852" t="s">
        <v>26</v>
      </c>
      <c r="D5852">
        <v>6221250</v>
      </c>
      <c r="E5852" t="s">
        <v>330</v>
      </c>
    </row>
    <row r="5853" spans="1:5" x14ac:dyDescent="0.25">
      <c r="A5853">
        <v>1890</v>
      </c>
      <c r="B5853" s="16">
        <v>43983</v>
      </c>
      <c r="C5853" t="s">
        <v>26</v>
      </c>
      <c r="D5853">
        <v>6221250</v>
      </c>
      <c r="E5853" t="s">
        <v>330</v>
      </c>
    </row>
    <row r="5854" spans="1:5" x14ac:dyDescent="0.25">
      <c r="A5854">
        <v>1890</v>
      </c>
      <c r="B5854" s="16">
        <v>44013</v>
      </c>
      <c r="C5854" t="s">
        <v>26</v>
      </c>
      <c r="D5854">
        <v>6221250</v>
      </c>
      <c r="E5854" t="s">
        <v>330</v>
      </c>
    </row>
    <row r="5855" spans="1:5" x14ac:dyDescent="0.25">
      <c r="A5855">
        <v>1890</v>
      </c>
      <c r="B5855" s="16">
        <v>44044</v>
      </c>
      <c r="C5855" t="s">
        <v>26</v>
      </c>
      <c r="D5855">
        <v>6221250</v>
      </c>
      <c r="E5855" t="s">
        <v>330</v>
      </c>
    </row>
    <row r="5856" spans="1:5" x14ac:dyDescent="0.25">
      <c r="A5856">
        <v>1890</v>
      </c>
      <c r="B5856" s="16">
        <v>44075</v>
      </c>
      <c r="C5856" t="s">
        <v>26</v>
      </c>
      <c r="D5856">
        <v>6221250</v>
      </c>
      <c r="E5856" t="s">
        <v>330</v>
      </c>
    </row>
    <row r="5857" spans="1:5" x14ac:dyDescent="0.25">
      <c r="A5857">
        <v>1890</v>
      </c>
      <c r="B5857" s="16">
        <v>44105</v>
      </c>
      <c r="C5857" t="s">
        <v>26</v>
      </c>
      <c r="D5857">
        <v>6221250</v>
      </c>
      <c r="E5857" t="s">
        <v>330</v>
      </c>
    </row>
    <row r="5858" spans="1:5" x14ac:dyDescent="0.25">
      <c r="A5858">
        <v>1890</v>
      </c>
      <c r="B5858" s="16">
        <v>43831</v>
      </c>
      <c r="C5858" t="s">
        <v>39</v>
      </c>
      <c r="D5858">
        <v>4095000</v>
      </c>
      <c r="E5858" t="s">
        <v>330</v>
      </c>
    </row>
    <row r="5859" spans="1:5" x14ac:dyDescent="0.25">
      <c r="A5859">
        <v>1890</v>
      </c>
      <c r="B5859" s="16">
        <v>43862</v>
      </c>
      <c r="C5859" t="s">
        <v>39</v>
      </c>
      <c r="D5859">
        <v>4095000</v>
      </c>
      <c r="E5859" t="s">
        <v>330</v>
      </c>
    </row>
    <row r="5860" spans="1:5" x14ac:dyDescent="0.25">
      <c r="A5860">
        <v>1890</v>
      </c>
      <c r="B5860" s="16">
        <v>43891</v>
      </c>
      <c r="C5860" t="s">
        <v>39</v>
      </c>
      <c r="D5860">
        <v>4095000</v>
      </c>
      <c r="E5860" t="s">
        <v>330</v>
      </c>
    </row>
    <row r="5861" spans="1:5" x14ac:dyDescent="0.25">
      <c r="A5861">
        <v>1890</v>
      </c>
      <c r="B5861" s="16">
        <v>43922</v>
      </c>
      <c r="C5861" t="s">
        <v>39</v>
      </c>
      <c r="D5861">
        <v>4095000</v>
      </c>
      <c r="E5861" t="s">
        <v>330</v>
      </c>
    </row>
    <row r="5862" spans="1:5" x14ac:dyDescent="0.25">
      <c r="A5862">
        <v>1890</v>
      </c>
      <c r="B5862" s="16">
        <v>43952</v>
      </c>
      <c r="C5862" t="s">
        <v>39</v>
      </c>
      <c r="D5862">
        <v>4095000</v>
      </c>
      <c r="E5862" t="s">
        <v>330</v>
      </c>
    </row>
    <row r="5863" spans="1:5" x14ac:dyDescent="0.25">
      <c r="A5863">
        <v>1890</v>
      </c>
      <c r="B5863" s="16">
        <v>43983</v>
      </c>
      <c r="C5863" t="s">
        <v>39</v>
      </c>
      <c r="D5863">
        <v>4095000</v>
      </c>
      <c r="E5863" t="s">
        <v>330</v>
      </c>
    </row>
    <row r="5864" spans="1:5" x14ac:dyDescent="0.25">
      <c r="A5864">
        <v>1890</v>
      </c>
      <c r="B5864" s="16">
        <v>44013</v>
      </c>
      <c r="C5864" t="s">
        <v>39</v>
      </c>
      <c r="D5864">
        <v>4095000</v>
      </c>
      <c r="E5864" t="s">
        <v>330</v>
      </c>
    </row>
    <row r="5865" spans="1:5" x14ac:dyDescent="0.25">
      <c r="A5865">
        <v>1890</v>
      </c>
      <c r="B5865" s="16">
        <v>44044</v>
      </c>
      <c r="C5865" t="s">
        <v>39</v>
      </c>
      <c r="D5865">
        <v>4095000</v>
      </c>
      <c r="E5865" t="s">
        <v>330</v>
      </c>
    </row>
    <row r="5866" spans="1:5" x14ac:dyDescent="0.25">
      <c r="A5866">
        <v>1890</v>
      </c>
      <c r="B5866" s="16">
        <v>44075</v>
      </c>
      <c r="C5866" t="s">
        <v>39</v>
      </c>
      <c r="D5866">
        <v>4095000</v>
      </c>
      <c r="E5866" t="s">
        <v>330</v>
      </c>
    </row>
    <row r="5867" spans="1:5" x14ac:dyDescent="0.25">
      <c r="A5867">
        <v>1890</v>
      </c>
      <c r="B5867" s="16">
        <v>44105</v>
      </c>
      <c r="C5867" t="s">
        <v>39</v>
      </c>
      <c r="D5867">
        <v>4095000</v>
      </c>
      <c r="E5867" t="s">
        <v>330</v>
      </c>
    </row>
    <row r="5868" spans="1:5" x14ac:dyDescent="0.25">
      <c r="A5868">
        <v>1890</v>
      </c>
      <c r="B5868" s="16">
        <v>44136</v>
      </c>
      <c r="C5868" t="s">
        <v>39</v>
      </c>
      <c r="D5868">
        <v>4095000</v>
      </c>
      <c r="E5868" t="s">
        <v>330</v>
      </c>
    </row>
    <row r="5869" spans="1:5" x14ac:dyDescent="0.25">
      <c r="A5869">
        <v>1890</v>
      </c>
      <c r="B5869" s="16">
        <v>44166</v>
      </c>
      <c r="C5869" t="s">
        <v>39</v>
      </c>
      <c r="D5869">
        <v>4095000</v>
      </c>
      <c r="E5869" t="s">
        <v>330</v>
      </c>
    </row>
    <row r="5870" spans="1:5" x14ac:dyDescent="0.25">
      <c r="A5870">
        <v>1890</v>
      </c>
      <c r="B5870" s="16">
        <v>43497</v>
      </c>
      <c r="C5870" t="s">
        <v>97</v>
      </c>
      <c r="D5870">
        <v>4006799.9999999995</v>
      </c>
      <c r="E5870" t="s">
        <v>330</v>
      </c>
    </row>
    <row r="5871" spans="1:5" x14ac:dyDescent="0.25">
      <c r="A5871">
        <v>1890</v>
      </c>
      <c r="B5871" s="16">
        <v>43525</v>
      </c>
      <c r="C5871" t="s">
        <v>97</v>
      </c>
      <c r="D5871">
        <v>4006799.9999999995</v>
      </c>
      <c r="E5871" t="s">
        <v>330</v>
      </c>
    </row>
    <row r="5872" spans="1:5" x14ac:dyDescent="0.25">
      <c r="A5872">
        <v>1890</v>
      </c>
      <c r="B5872" s="16">
        <v>43556</v>
      </c>
      <c r="C5872" t="s">
        <v>97</v>
      </c>
      <c r="D5872">
        <v>4006799.9999999995</v>
      </c>
      <c r="E5872" t="s">
        <v>330</v>
      </c>
    </row>
    <row r="5873" spans="1:5" x14ac:dyDescent="0.25">
      <c r="A5873">
        <v>1890</v>
      </c>
      <c r="B5873" s="16">
        <v>43586</v>
      </c>
      <c r="C5873" t="s">
        <v>97</v>
      </c>
      <c r="D5873">
        <v>4006799.9999999995</v>
      </c>
      <c r="E5873" t="s">
        <v>330</v>
      </c>
    </row>
    <row r="5874" spans="1:5" x14ac:dyDescent="0.25">
      <c r="A5874">
        <v>1890</v>
      </c>
      <c r="B5874" s="16">
        <v>43617</v>
      </c>
      <c r="C5874" t="s">
        <v>97</v>
      </c>
      <c r="D5874">
        <v>4006799.9999999995</v>
      </c>
      <c r="E5874" t="s">
        <v>330</v>
      </c>
    </row>
    <row r="5875" spans="1:5" x14ac:dyDescent="0.25">
      <c r="A5875">
        <v>1890</v>
      </c>
      <c r="B5875" s="16">
        <v>43647</v>
      </c>
      <c r="C5875" t="s">
        <v>97</v>
      </c>
      <c r="D5875">
        <v>4006799.9999999995</v>
      </c>
      <c r="E5875" t="s">
        <v>330</v>
      </c>
    </row>
    <row r="5876" spans="1:5" x14ac:dyDescent="0.25">
      <c r="A5876">
        <v>1890</v>
      </c>
      <c r="B5876" s="16">
        <v>43678</v>
      </c>
      <c r="C5876" t="s">
        <v>97</v>
      </c>
      <c r="D5876">
        <v>4006799.9999999995</v>
      </c>
      <c r="E5876" t="s">
        <v>330</v>
      </c>
    </row>
    <row r="5877" spans="1:5" x14ac:dyDescent="0.25">
      <c r="A5877">
        <v>1890</v>
      </c>
      <c r="B5877" s="16">
        <v>43709</v>
      </c>
      <c r="C5877" t="s">
        <v>97</v>
      </c>
      <c r="D5877">
        <v>4006799.9999999995</v>
      </c>
      <c r="E5877" t="s">
        <v>330</v>
      </c>
    </row>
    <row r="5878" spans="1:5" x14ac:dyDescent="0.25">
      <c r="A5878">
        <v>1890</v>
      </c>
      <c r="B5878" s="16">
        <v>43739</v>
      </c>
      <c r="C5878" t="s">
        <v>97</v>
      </c>
      <c r="D5878">
        <v>4006799.9999999995</v>
      </c>
      <c r="E5878" t="s">
        <v>330</v>
      </c>
    </row>
    <row r="5879" spans="1:5" x14ac:dyDescent="0.25">
      <c r="A5879">
        <v>1890</v>
      </c>
      <c r="B5879" s="16">
        <v>43770</v>
      </c>
      <c r="C5879" t="s">
        <v>97</v>
      </c>
      <c r="D5879">
        <v>4006799.9999999995</v>
      </c>
      <c r="E5879" t="s">
        <v>330</v>
      </c>
    </row>
    <row r="5880" spans="1:5" x14ac:dyDescent="0.25">
      <c r="A5880">
        <v>1890</v>
      </c>
      <c r="B5880" s="16">
        <v>43800</v>
      </c>
      <c r="C5880" t="s">
        <v>97</v>
      </c>
      <c r="D5880">
        <v>4006799.9999999995</v>
      </c>
      <c r="E5880" t="s">
        <v>330</v>
      </c>
    </row>
    <row r="5881" spans="1:5" x14ac:dyDescent="0.25">
      <c r="A5881">
        <v>1890</v>
      </c>
      <c r="B5881" s="16">
        <v>43831</v>
      </c>
      <c r="C5881" t="s">
        <v>97</v>
      </c>
      <c r="D5881">
        <v>4006799.9999999995</v>
      </c>
      <c r="E5881" t="s">
        <v>330</v>
      </c>
    </row>
    <row r="5882" spans="1:5" x14ac:dyDescent="0.25">
      <c r="A5882">
        <v>1890</v>
      </c>
      <c r="B5882" s="16">
        <v>43862</v>
      </c>
      <c r="C5882" t="s">
        <v>97</v>
      </c>
      <c r="D5882">
        <v>4006799.9999999995</v>
      </c>
      <c r="E5882" t="s">
        <v>330</v>
      </c>
    </row>
    <row r="5883" spans="1:5" x14ac:dyDescent="0.25">
      <c r="A5883">
        <v>1890</v>
      </c>
      <c r="B5883" s="16">
        <v>43891</v>
      </c>
      <c r="C5883" t="s">
        <v>97</v>
      </c>
      <c r="D5883">
        <v>4006799.9999999995</v>
      </c>
      <c r="E5883" t="s">
        <v>330</v>
      </c>
    </row>
    <row r="5884" spans="1:5" x14ac:dyDescent="0.25">
      <c r="A5884">
        <v>1890</v>
      </c>
      <c r="B5884" s="16">
        <v>43922</v>
      </c>
      <c r="C5884" t="s">
        <v>97</v>
      </c>
      <c r="D5884">
        <v>4006799.9999999995</v>
      </c>
      <c r="E5884" t="s">
        <v>330</v>
      </c>
    </row>
    <row r="5885" spans="1:5" x14ac:dyDescent="0.25">
      <c r="A5885">
        <v>1890</v>
      </c>
      <c r="B5885" s="16">
        <v>43952</v>
      </c>
      <c r="C5885" t="s">
        <v>97</v>
      </c>
      <c r="D5885">
        <v>4006799.9999999995</v>
      </c>
      <c r="E5885" t="s">
        <v>330</v>
      </c>
    </row>
    <row r="5886" spans="1:5" x14ac:dyDescent="0.25">
      <c r="A5886">
        <v>1890</v>
      </c>
      <c r="B5886" s="16">
        <v>43983</v>
      </c>
      <c r="C5886" t="s">
        <v>97</v>
      </c>
      <c r="D5886">
        <v>4006799.9999999995</v>
      </c>
      <c r="E5886" t="s">
        <v>330</v>
      </c>
    </row>
    <row r="5887" spans="1:5" x14ac:dyDescent="0.25">
      <c r="A5887">
        <v>1890</v>
      </c>
      <c r="B5887" s="16">
        <v>44013</v>
      </c>
      <c r="C5887" t="s">
        <v>97</v>
      </c>
      <c r="D5887">
        <v>4006799.9999999995</v>
      </c>
      <c r="E5887" t="s">
        <v>330</v>
      </c>
    </row>
    <row r="5888" spans="1:5" x14ac:dyDescent="0.25">
      <c r="A5888">
        <v>1890</v>
      </c>
      <c r="B5888" s="16">
        <v>44044</v>
      </c>
      <c r="C5888" t="s">
        <v>97</v>
      </c>
      <c r="D5888">
        <v>4006799.9999999995</v>
      </c>
      <c r="E5888" t="s">
        <v>330</v>
      </c>
    </row>
    <row r="5889" spans="1:5" x14ac:dyDescent="0.25">
      <c r="A5889">
        <v>1890</v>
      </c>
      <c r="B5889" s="16">
        <v>44075</v>
      </c>
      <c r="C5889" t="s">
        <v>97</v>
      </c>
      <c r="D5889">
        <v>4006799.9999999995</v>
      </c>
      <c r="E5889" t="s">
        <v>330</v>
      </c>
    </row>
    <row r="5890" spans="1:5" x14ac:dyDescent="0.25">
      <c r="A5890">
        <v>1890</v>
      </c>
      <c r="B5890" s="16">
        <v>44105</v>
      </c>
      <c r="C5890" t="s">
        <v>97</v>
      </c>
      <c r="D5890">
        <v>4006799.9999999995</v>
      </c>
      <c r="E5890" t="s">
        <v>330</v>
      </c>
    </row>
    <row r="5891" spans="1:5" x14ac:dyDescent="0.25">
      <c r="A5891">
        <v>1890</v>
      </c>
      <c r="B5891" s="16">
        <v>43831</v>
      </c>
      <c r="C5891" t="s">
        <v>23</v>
      </c>
      <c r="D5891">
        <v>4006799.9999999995</v>
      </c>
      <c r="E5891" t="s">
        <v>330</v>
      </c>
    </row>
    <row r="5892" spans="1:5" x14ac:dyDescent="0.25">
      <c r="A5892">
        <v>1890</v>
      </c>
      <c r="B5892" s="16">
        <v>43862</v>
      </c>
      <c r="C5892" t="s">
        <v>23</v>
      </c>
      <c r="D5892">
        <v>4006799.9999999995</v>
      </c>
      <c r="E5892" t="s">
        <v>330</v>
      </c>
    </row>
    <row r="5893" spans="1:5" x14ac:dyDescent="0.25">
      <c r="A5893">
        <v>1890</v>
      </c>
      <c r="B5893" s="16">
        <v>43891</v>
      </c>
      <c r="C5893" t="s">
        <v>23</v>
      </c>
      <c r="D5893">
        <v>4006799.9999999995</v>
      </c>
      <c r="E5893" t="s">
        <v>330</v>
      </c>
    </row>
    <row r="5894" spans="1:5" x14ac:dyDescent="0.25">
      <c r="A5894">
        <v>1890</v>
      </c>
      <c r="B5894" s="16">
        <v>43922</v>
      </c>
      <c r="C5894" t="s">
        <v>23</v>
      </c>
      <c r="D5894">
        <v>4006799.9999999995</v>
      </c>
      <c r="E5894" t="s">
        <v>330</v>
      </c>
    </row>
    <row r="5895" spans="1:5" x14ac:dyDescent="0.25">
      <c r="A5895">
        <v>1890</v>
      </c>
      <c r="B5895" s="16">
        <v>43952</v>
      </c>
      <c r="C5895" t="s">
        <v>23</v>
      </c>
      <c r="D5895">
        <v>4006799.9999999995</v>
      </c>
      <c r="E5895" t="s">
        <v>330</v>
      </c>
    </row>
    <row r="5896" spans="1:5" x14ac:dyDescent="0.25">
      <c r="A5896">
        <v>1890</v>
      </c>
      <c r="B5896" s="16">
        <v>43983</v>
      </c>
      <c r="C5896" t="s">
        <v>23</v>
      </c>
      <c r="D5896">
        <v>4006799.9999999995</v>
      </c>
      <c r="E5896" t="s">
        <v>330</v>
      </c>
    </row>
    <row r="5897" spans="1:5" x14ac:dyDescent="0.25">
      <c r="A5897">
        <v>1890</v>
      </c>
      <c r="B5897" s="16">
        <v>44013</v>
      </c>
      <c r="C5897" t="s">
        <v>23</v>
      </c>
      <c r="D5897">
        <v>4006799.9999999995</v>
      </c>
      <c r="E5897" t="s">
        <v>330</v>
      </c>
    </row>
    <row r="5898" spans="1:5" x14ac:dyDescent="0.25">
      <c r="A5898">
        <v>1890</v>
      </c>
      <c r="B5898" s="16">
        <v>44044</v>
      </c>
      <c r="C5898" t="s">
        <v>23</v>
      </c>
      <c r="D5898">
        <v>4006799.9999999995</v>
      </c>
      <c r="E5898" t="s">
        <v>330</v>
      </c>
    </row>
    <row r="5899" spans="1:5" x14ac:dyDescent="0.25">
      <c r="A5899">
        <v>1890</v>
      </c>
      <c r="B5899" s="16">
        <v>44075</v>
      </c>
      <c r="C5899" t="s">
        <v>23</v>
      </c>
      <c r="D5899">
        <v>4006799.9999999995</v>
      </c>
      <c r="E5899" t="s">
        <v>330</v>
      </c>
    </row>
    <row r="5900" spans="1:5" x14ac:dyDescent="0.25">
      <c r="A5900">
        <v>1890</v>
      </c>
      <c r="B5900" s="16">
        <v>44105</v>
      </c>
      <c r="C5900" t="s">
        <v>23</v>
      </c>
      <c r="D5900">
        <v>4006799.9999999995</v>
      </c>
      <c r="E5900" t="s">
        <v>330</v>
      </c>
    </row>
    <row r="5901" spans="1:5" x14ac:dyDescent="0.25">
      <c r="A5901">
        <v>1618</v>
      </c>
      <c r="B5901" s="16">
        <v>43466</v>
      </c>
      <c r="C5901" t="s">
        <v>19</v>
      </c>
      <c r="D5901">
        <v>5898109.7507954882</v>
      </c>
      <c r="E5901" t="s">
        <v>330</v>
      </c>
    </row>
    <row r="5902" spans="1:5" x14ac:dyDescent="0.25">
      <c r="A5902">
        <v>1618</v>
      </c>
      <c r="B5902" s="16">
        <v>43466</v>
      </c>
      <c r="C5902" t="s">
        <v>12</v>
      </c>
      <c r="D5902">
        <v>10573456.644736286</v>
      </c>
      <c r="E5902" t="s">
        <v>330</v>
      </c>
    </row>
    <row r="5903" spans="1:5" x14ac:dyDescent="0.25">
      <c r="A5903">
        <v>1618</v>
      </c>
      <c r="B5903" s="16">
        <v>43497</v>
      </c>
      <c r="C5903" t="s">
        <v>12</v>
      </c>
      <c r="D5903">
        <v>10573456.644736286</v>
      </c>
      <c r="E5903" t="s">
        <v>330</v>
      </c>
    </row>
    <row r="5904" spans="1:5" x14ac:dyDescent="0.25">
      <c r="A5904">
        <v>1618</v>
      </c>
      <c r="B5904" s="16">
        <v>43525</v>
      </c>
      <c r="C5904" t="s">
        <v>12</v>
      </c>
      <c r="D5904">
        <v>10573456.644736286</v>
      </c>
      <c r="E5904" t="s">
        <v>330</v>
      </c>
    </row>
    <row r="5905" spans="1:5" x14ac:dyDescent="0.25">
      <c r="A5905">
        <v>1618</v>
      </c>
      <c r="B5905" s="16">
        <v>43556</v>
      </c>
      <c r="C5905" t="s">
        <v>12</v>
      </c>
      <c r="D5905">
        <v>10573456.644736286</v>
      </c>
      <c r="E5905" t="s">
        <v>330</v>
      </c>
    </row>
    <row r="5906" spans="1:5" x14ac:dyDescent="0.25">
      <c r="A5906">
        <v>1618</v>
      </c>
      <c r="B5906" s="16">
        <v>43466</v>
      </c>
      <c r="C5906" t="s">
        <v>41</v>
      </c>
      <c r="D5906">
        <v>8420426.5965553131</v>
      </c>
      <c r="E5906" t="s">
        <v>330</v>
      </c>
    </row>
    <row r="5907" spans="1:5" x14ac:dyDescent="0.25">
      <c r="A5907">
        <v>1618</v>
      </c>
      <c r="B5907" s="16">
        <v>43466</v>
      </c>
      <c r="C5907" t="s">
        <v>26</v>
      </c>
      <c r="D5907">
        <v>5968758.5524032004</v>
      </c>
      <c r="E5907" t="s">
        <v>330</v>
      </c>
    </row>
    <row r="5908" spans="1:5" x14ac:dyDescent="0.25">
      <c r="A5908">
        <v>1618</v>
      </c>
      <c r="B5908" s="16">
        <v>43466</v>
      </c>
      <c r="C5908" t="s">
        <v>29</v>
      </c>
      <c r="D5908">
        <v>2694198.4714365834</v>
      </c>
      <c r="E5908" t="s">
        <v>330</v>
      </c>
    </row>
    <row r="5909" spans="1:5" x14ac:dyDescent="0.25">
      <c r="A5909">
        <v>1618</v>
      </c>
      <c r="B5909" s="16">
        <v>43497</v>
      </c>
      <c r="C5909" t="s">
        <v>29</v>
      </c>
      <c r="D5909">
        <v>2694198.4714365834</v>
      </c>
      <c r="E5909" t="s">
        <v>330</v>
      </c>
    </row>
    <row r="5910" spans="1:5" x14ac:dyDescent="0.25">
      <c r="A5910">
        <v>1618</v>
      </c>
      <c r="B5910" s="16">
        <v>43525</v>
      </c>
      <c r="C5910" t="s">
        <v>29</v>
      </c>
      <c r="D5910">
        <v>2694198.4714365834</v>
      </c>
      <c r="E5910" t="s">
        <v>330</v>
      </c>
    </row>
    <row r="5911" spans="1:5" x14ac:dyDescent="0.25">
      <c r="A5911">
        <v>1618</v>
      </c>
      <c r="B5911" s="16">
        <v>43556</v>
      </c>
      <c r="C5911" t="s">
        <v>29</v>
      </c>
      <c r="D5911">
        <v>2694198.4714365834</v>
      </c>
      <c r="E5911" t="s">
        <v>330</v>
      </c>
    </row>
    <row r="5912" spans="1:5" x14ac:dyDescent="0.25">
      <c r="A5912">
        <v>1715</v>
      </c>
      <c r="B5912" s="16">
        <v>43466</v>
      </c>
      <c r="C5912" t="s">
        <v>19</v>
      </c>
      <c r="D5912">
        <v>2992909.5</v>
      </c>
      <c r="E5912" t="s">
        <v>330</v>
      </c>
    </row>
    <row r="5913" spans="1:5" x14ac:dyDescent="0.25">
      <c r="A5913">
        <v>1715</v>
      </c>
      <c r="B5913" s="16">
        <v>43497</v>
      </c>
      <c r="C5913" t="s">
        <v>19</v>
      </c>
      <c r="D5913">
        <v>2992909.5</v>
      </c>
      <c r="E5913" t="s">
        <v>330</v>
      </c>
    </row>
    <row r="5914" spans="1:5" x14ac:dyDescent="0.25">
      <c r="A5914">
        <v>1715</v>
      </c>
      <c r="B5914" s="16">
        <v>43525</v>
      </c>
      <c r="C5914" t="s">
        <v>19</v>
      </c>
      <c r="D5914">
        <v>2992909.5</v>
      </c>
      <c r="E5914" t="s">
        <v>330</v>
      </c>
    </row>
    <row r="5915" spans="1:5" x14ac:dyDescent="0.25">
      <c r="A5915">
        <v>1715</v>
      </c>
      <c r="B5915" s="16">
        <v>43556</v>
      </c>
      <c r="C5915" t="s">
        <v>19</v>
      </c>
      <c r="D5915">
        <v>2992909.5</v>
      </c>
      <c r="E5915" t="s">
        <v>330</v>
      </c>
    </row>
    <row r="5916" spans="1:5" x14ac:dyDescent="0.25">
      <c r="A5916">
        <v>1715</v>
      </c>
      <c r="B5916" s="16">
        <v>43466</v>
      </c>
      <c r="C5916" t="s">
        <v>12</v>
      </c>
      <c r="D5916">
        <v>2835000</v>
      </c>
      <c r="E5916" t="s">
        <v>330</v>
      </c>
    </row>
    <row r="5917" spans="1:5" x14ac:dyDescent="0.25">
      <c r="A5917">
        <v>1715</v>
      </c>
      <c r="B5917" s="16">
        <v>43497</v>
      </c>
      <c r="C5917" t="s">
        <v>12</v>
      </c>
      <c r="D5917">
        <v>2835000</v>
      </c>
      <c r="E5917" t="s">
        <v>330</v>
      </c>
    </row>
    <row r="5918" spans="1:5" x14ac:dyDescent="0.25">
      <c r="A5918">
        <v>1715</v>
      </c>
      <c r="B5918" s="16">
        <v>43525</v>
      </c>
      <c r="C5918" t="s">
        <v>12</v>
      </c>
      <c r="D5918">
        <v>2835000</v>
      </c>
      <c r="E5918" t="s">
        <v>330</v>
      </c>
    </row>
    <row r="5919" spans="1:5" x14ac:dyDescent="0.25">
      <c r="A5919">
        <v>1715</v>
      </c>
      <c r="B5919" s="16">
        <v>43556</v>
      </c>
      <c r="C5919" t="s">
        <v>12</v>
      </c>
      <c r="D5919">
        <v>2835000</v>
      </c>
      <c r="E5919" t="s">
        <v>330</v>
      </c>
    </row>
    <row r="5920" spans="1:5" x14ac:dyDescent="0.25">
      <c r="A5920">
        <v>1715</v>
      </c>
      <c r="B5920" s="16">
        <v>43466</v>
      </c>
      <c r="C5920" t="s">
        <v>39</v>
      </c>
      <c r="D5920">
        <v>1228500</v>
      </c>
      <c r="E5920" t="s">
        <v>330</v>
      </c>
    </row>
    <row r="5921" spans="1:5" x14ac:dyDescent="0.25">
      <c r="A5921">
        <v>1715</v>
      </c>
      <c r="B5921" s="16">
        <v>43497</v>
      </c>
      <c r="C5921" t="s">
        <v>39</v>
      </c>
      <c r="D5921">
        <v>1228500</v>
      </c>
      <c r="E5921" t="s">
        <v>330</v>
      </c>
    </row>
    <row r="5922" spans="1:5" x14ac:dyDescent="0.25">
      <c r="A5922">
        <v>1715</v>
      </c>
      <c r="B5922" s="16">
        <v>43525</v>
      </c>
      <c r="C5922" t="s">
        <v>39</v>
      </c>
      <c r="D5922">
        <v>1228500</v>
      </c>
      <c r="E5922" t="s">
        <v>330</v>
      </c>
    </row>
    <row r="5923" spans="1:5" x14ac:dyDescent="0.25">
      <c r="A5923">
        <v>1715</v>
      </c>
      <c r="B5923" s="16">
        <v>43556</v>
      </c>
      <c r="C5923" t="s">
        <v>39</v>
      </c>
      <c r="D5923">
        <v>1228500</v>
      </c>
      <c r="E5923" t="s">
        <v>330</v>
      </c>
    </row>
    <row r="5924" spans="1:5" x14ac:dyDescent="0.25">
      <c r="A5924">
        <v>1715</v>
      </c>
      <c r="B5924" s="16">
        <v>43466</v>
      </c>
      <c r="C5924" t="s">
        <v>16</v>
      </c>
      <c r="D5924">
        <v>1181250</v>
      </c>
      <c r="E5924" t="s">
        <v>330</v>
      </c>
    </row>
    <row r="5925" spans="1:5" x14ac:dyDescent="0.25">
      <c r="A5925">
        <v>1715</v>
      </c>
      <c r="B5925" s="16">
        <v>43497</v>
      </c>
      <c r="C5925" t="s">
        <v>16</v>
      </c>
      <c r="D5925">
        <v>1181250</v>
      </c>
      <c r="E5925" t="s">
        <v>330</v>
      </c>
    </row>
    <row r="5926" spans="1:5" x14ac:dyDescent="0.25">
      <c r="A5926">
        <v>1715</v>
      </c>
      <c r="B5926" s="16">
        <v>43525</v>
      </c>
      <c r="C5926" t="s">
        <v>16</v>
      </c>
      <c r="D5926">
        <v>1181250</v>
      </c>
      <c r="E5926" t="s">
        <v>330</v>
      </c>
    </row>
    <row r="5927" spans="1:5" x14ac:dyDescent="0.25">
      <c r="A5927">
        <v>1715</v>
      </c>
      <c r="B5927" s="16">
        <v>43556</v>
      </c>
      <c r="C5927" t="s">
        <v>16</v>
      </c>
      <c r="D5927">
        <v>1181250</v>
      </c>
      <c r="E5927" t="s">
        <v>330</v>
      </c>
    </row>
    <row r="5928" spans="1:5" x14ac:dyDescent="0.25">
      <c r="A5928">
        <v>1715</v>
      </c>
      <c r="B5928" s="16">
        <v>43466</v>
      </c>
      <c r="C5928" t="s">
        <v>19</v>
      </c>
      <c r="D5928">
        <v>2494091.25</v>
      </c>
      <c r="E5928" t="s">
        <v>330</v>
      </c>
    </row>
    <row r="5929" spans="1:5" x14ac:dyDescent="0.25">
      <c r="A5929">
        <v>1715</v>
      </c>
      <c r="B5929" s="16">
        <v>43497</v>
      </c>
      <c r="C5929" t="s">
        <v>19</v>
      </c>
      <c r="D5929">
        <v>2494091.25</v>
      </c>
      <c r="E5929" t="s">
        <v>330</v>
      </c>
    </row>
    <row r="5930" spans="1:5" x14ac:dyDescent="0.25">
      <c r="A5930">
        <v>1715</v>
      </c>
      <c r="B5930" s="16">
        <v>43525</v>
      </c>
      <c r="C5930" t="s">
        <v>19</v>
      </c>
      <c r="D5930">
        <v>2494091.25</v>
      </c>
      <c r="E5930" t="s">
        <v>330</v>
      </c>
    </row>
    <row r="5931" spans="1:5" x14ac:dyDescent="0.25">
      <c r="A5931">
        <v>1715</v>
      </c>
      <c r="B5931" s="16">
        <v>43556</v>
      </c>
      <c r="C5931" t="s">
        <v>19</v>
      </c>
      <c r="D5931">
        <v>2494091.25</v>
      </c>
      <c r="E5931" t="s">
        <v>330</v>
      </c>
    </row>
    <row r="5932" spans="1:5" x14ac:dyDescent="0.25">
      <c r="A5932">
        <v>1715</v>
      </c>
      <c r="B5932" s="16">
        <v>43466</v>
      </c>
      <c r="C5932" t="s">
        <v>12</v>
      </c>
      <c r="D5932">
        <v>2362500</v>
      </c>
      <c r="E5932" t="s">
        <v>330</v>
      </c>
    </row>
    <row r="5933" spans="1:5" x14ac:dyDescent="0.25">
      <c r="A5933">
        <v>1715</v>
      </c>
      <c r="B5933" s="16">
        <v>43497</v>
      </c>
      <c r="C5933" t="s">
        <v>12</v>
      </c>
      <c r="D5933">
        <v>2362500</v>
      </c>
      <c r="E5933" t="s">
        <v>330</v>
      </c>
    </row>
    <row r="5934" spans="1:5" x14ac:dyDescent="0.25">
      <c r="A5934">
        <v>1715</v>
      </c>
      <c r="B5934" s="16">
        <v>43525</v>
      </c>
      <c r="C5934" t="s">
        <v>12</v>
      </c>
      <c r="D5934">
        <v>2362500</v>
      </c>
      <c r="E5934" t="s">
        <v>330</v>
      </c>
    </row>
    <row r="5935" spans="1:5" x14ac:dyDescent="0.25">
      <c r="A5935">
        <v>1715</v>
      </c>
      <c r="B5935" s="16">
        <v>43556</v>
      </c>
      <c r="C5935" t="s">
        <v>12</v>
      </c>
      <c r="D5935">
        <v>2362500</v>
      </c>
      <c r="E5935" t="s">
        <v>330</v>
      </c>
    </row>
    <row r="5936" spans="1:5" x14ac:dyDescent="0.25">
      <c r="A5936">
        <v>1715</v>
      </c>
      <c r="B5936" s="16">
        <v>43466</v>
      </c>
      <c r="C5936" t="s">
        <v>39</v>
      </c>
      <c r="D5936">
        <v>1023750</v>
      </c>
      <c r="E5936" t="s">
        <v>330</v>
      </c>
    </row>
    <row r="5937" spans="1:5" x14ac:dyDescent="0.25">
      <c r="A5937">
        <v>1715</v>
      </c>
      <c r="B5937" s="16">
        <v>43497</v>
      </c>
      <c r="C5937" t="s">
        <v>39</v>
      </c>
      <c r="D5937">
        <v>1023750</v>
      </c>
      <c r="E5937" t="s">
        <v>330</v>
      </c>
    </row>
    <row r="5938" spans="1:5" x14ac:dyDescent="0.25">
      <c r="A5938">
        <v>1715</v>
      </c>
      <c r="B5938" s="16">
        <v>43525</v>
      </c>
      <c r="C5938" t="s">
        <v>39</v>
      </c>
      <c r="D5938">
        <v>1023750</v>
      </c>
      <c r="E5938" t="s">
        <v>330</v>
      </c>
    </row>
    <row r="5939" spans="1:5" x14ac:dyDescent="0.25">
      <c r="A5939">
        <v>1715</v>
      </c>
      <c r="B5939" s="16">
        <v>43556</v>
      </c>
      <c r="C5939" t="s">
        <v>39</v>
      </c>
      <c r="D5939">
        <v>1023750</v>
      </c>
      <c r="E5939" t="s">
        <v>330</v>
      </c>
    </row>
    <row r="5940" spans="1:5" x14ac:dyDescent="0.25">
      <c r="A5940">
        <v>1715</v>
      </c>
      <c r="B5940" s="16">
        <v>43466</v>
      </c>
      <c r="C5940" t="s">
        <v>29</v>
      </c>
      <c r="D5940">
        <v>708750</v>
      </c>
      <c r="E5940" t="s">
        <v>330</v>
      </c>
    </row>
    <row r="5941" spans="1:5" x14ac:dyDescent="0.25">
      <c r="A5941">
        <v>1715</v>
      </c>
      <c r="B5941" s="16">
        <v>43497</v>
      </c>
      <c r="C5941" t="s">
        <v>29</v>
      </c>
      <c r="D5941">
        <v>708750</v>
      </c>
      <c r="E5941" t="s">
        <v>330</v>
      </c>
    </row>
    <row r="5942" spans="1:5" x14ac:dyDescent="0.25">
      <c r="A5942">
        <v>1715</v>
      </c>
      <c r="B5942" s="16">
        <v>43525</v>
      </c>
      <c r="C5942" t="s">
        <v>29</v>
      </c>
      <c r="D5942">
        <v>708750</v>
      </c>
      <c r="E5942" t="s">
        <v>330</v>
      </c>
    </row>
    <row r="5943" spans="1:5" x14ac:dyDescent="0.25">
      <c r="A5943">
        <v>1715</v>
      </c>
      <c r="B5943" s="16">
        <v>43556</v>
      </c>
      <c r="C5943" t="s">
        <v>29</v>
      </c>
      <c r="D5943">
        <v>708750</v>
      </c>
      <c r="E5943" t="s">
        <v>330</v>
      </c>
    </row>
    <row r="5944" spans="1:5" x14ac:dyDescent="0.25">
      <c r="A5944">
        <v>1715</v>
      </c>
      <c r="B5944" s="16">
        <v>43466</v>
      </c>
      <c r="C5944" t="s">
        <v>19</v>
      </c>
      <c r="D5944">
        <v>1496454.75</v>
      </c>
      <c r="E5944" t="s">
        <v>330</v>
      </c>
    </row>
    <row r="5945" spans="1:5" x14ac:dyDescent="0.25">
      <c r="A5945">
        <v>1715</v>
      </c>
      <c r="B5945" s="16">
        <v>43497</v>
      </c>
      <c r="C5945" t="s">
        <v>19</v>
      </c>
      <c r="D5945">
        <v>1496454.75</v>
      </c>
      <c r="E5945" t="s">
        <v>330</v>
      </c>
    </row>
    <row r="5946" spans="1:5" x14ac:dyDescent="0.25">
      <c r="A5946">
        <v>1715</v>
      </c>
      <c r="B5946" s="16">
        <v>43525</v>
      </c>
      <c r="C5946" t="s">
        <v>19</v>
      </c>
      <c r="D5946">
        <v>1496454.75</v>
      </c>
      <c r="E5946" t="s">
        <v>330</v>
      </c>
    </row>
    <row r="5947" spans="1:5" x14ac:dyDescent="0.25">
      <c r="A5947">
        <v>1715</v>
      </c>
      <c r="B5947" s="16">
        <v>43556</v>
      </c>
      <c r="C5947" t="s">
        <v>19</v>
      </c>
      <c r="D5947">
        <v>1496454.75</v>
      </c>
      <c r="E5947" t="s">
        <v>330</v>
      </c>
    </row>
    <row r="5948" spans="1:5" x14ac:dyDescent="0.25">
      <c r="A5948">
        <v>1715</v>
      </c>
      <c r="B5948" s="16">
        <v>43466</v>
      </c>
      <c r="C5948" t="s">
        <v>12</v>
      </c>
      <c r="D5948">
        <v>945000</v>
      </c>
      <c r="E5948" t="s">
        <v>330</v>
      </c>
    </row>
    <row r="5949" spans="1:5" x14ac:dyDescent="0.25">
      <c r="A5949">
        <v>1715</v>
      </c>
      <c r="B5949" s="16">
        <v>43497</v>
      </c>
      <c r="C5949" t="s">
        <v>12</v>
      </c>
      <c r="D5949">
        <v>945000</v>
      </c>
      <c r="E5949" t="s">
        <v>330</v>
      </c>
    </row>
    <row r="5950" spans="1:5" x14ac:dyDescent="0.25">
      <c r="A5950">
        <v>1715</v>
      </c>
      <c r="B5950" s="16">
        <v>43525</v>
      </c>
      <c r="C5950" t="s">
        <v>12</v>
      </c>
      <c r="D5950">
        <v>945000</v>
      </c>
      <c r="E5950" t="s">
        <v>330</v>
      </c>
    </row>
    <row r="5951" spans="1:5" x14ac:dyDescent="0.25">
      <c r="A5951">
        <v>1715</v>
      </c>
      <c r="B5951" s="16">
        <v>43556</v>
      </c>
      <c r="C5951" t="s">
        <v>12</v>
      </c>
      <c r="D5951">
        <v>945000</v>
      </c>
      <c r="E5951" t="s">
        <v>330</v>
      </c>
    </row>
    <row r="5952" spans="1:5" x14ac:dyDescent="0.25">
      <c r="A5952">
        <v>1715</v>
      </c>
      <c r="B5952" s="16">
        <v>43466</v>
      </c>
      <c r="C5952" t="s">
        <v>39</v>
      </c>
      <c r="D5952">
        <v>409500</v>
      </c>
      <c r="E5952" t="s">
        <v>330</v>
      </c>
    </row>
    <row r="5953" spans="1:5" x14ac:dyDescent="0.25">
      <c r="A5953">
        <v>1715</v>
      </c>
      <c r="B5953" s="16">
        <v>43497</v>
      </c>
      <c r="C5953" t="s">
        <v>39</v>
      </c>
      <c r="D5953">
        <v>409500</v>
      </c>
      <c r="E5953" t="s">
        <v>330</v>
      </c>
    </row>
    <row r="5954" spans="1:5" x14ac:dyDescent="0.25">
      <c r="A5954">
        <v>1715</v>
      </c>
      <c r="B5954" s="16">
        <v>43525</v>
      </c>
      <c r="C5954" t="s">
        <v>39</v>
      </c>
      <c r="D5954">
        <v>409500</v>
      </c>
      <c r="E5954" t="s">
        <v>330</v>
      </c>
    </row>
    <row r="5955" spans="1:5" x14ac:dyDescent="0.25">
      <c r="A5955">
        <v>1715</v>
      </c>
      <c r="B5955" s="16">
        <v>43556</v>
      </c>
      <c r="C5955" t="s">
        <v>39</v>
      </c>
      <c r="D5955">
        <v>409500</v>
      </c>
      <c r="E5955" t="s">
        <v>330</v>
      </c>
    </row>
    <row r="5956" spans="1:5" x14ac:dyDescent="0.25">
      <c r="A5956">
        <v>1715</v>
      </c>
      <c r="B5956" s="16">
        <v>43466</v>
      </c>
      <c r="C5956" t="s">
        <v>277</v>
      </c>
      <c r="D5956">
        <v>236250</v>
      </c>
      <c r="E5956" t="s">
        <v>330</v>
      </c>
    </row>
    <row r="5957" spans="1:5" x14ac:dyDescent="0.25">
      <c r="A5957">
        <v>1715</v>
      </c>
      <c r="B5957" s="16">
        <v>43497</v>
      </c>
      <c r="C5957" t="s">
        <v>277</v>
      </c>
      <c r="D5957">
        <v>236250</v>
      </c>
      <c r="E5957" t="s">
        <v>330</v>
      </c>
    </row>
    <row r="5958" spans="1:5" x14ac:dyDescent="0.25">
      <c r="A5958">
        <v>1715</v>
      </c>
      <c r="B5958" s="16">
        <v>43525</v>
      </c>
      <c r="C5958" t="s">
        <v>277</v>
      </c>
      <c r="D5958">
        <v>236250</v>
      </c>
      <c r="E5958" t="s">
        <v>330</v>
      </c>
    </row>
    <row r="5959" spans="1:5" x14ac:dyDescent="0.25">
      <c r="A5959">
        <v>1715</v>
      </c>
      <c r="B5959" s="16">
        <v>43556</v>
      </c>
      <c r="C5959" t="s">
        <v>277</v>
      </c>
      <c r="D5959">
        <v>236250</v>
      </c>
      <c r="E5959" t="s">
        <v>330</v>
      </c>
    </row>
    <row r="5960" spans="1:5" x14ac:dyDescent="0.25">
      <c r="A5960">
        <v>1715</v>
      </c>
      <c r="B5960" s="16">
        <v>43466</v>
      </c>
      <c r="C5960" t="s">
        <v>19</v>
      </c>
      <c r="D5960">
        <v>1496454.75</v>
      </c>
      <c r="E5960" t="s">
        <v>330</v>
      </c>
    </row>
    <row r="5961" spans="1:5" x14ac:dyDescent="0.25">
      <c r="A5961">
        <v>1715</v>
      </c>
      <c r="B5961" s="16">
        <v>43497</v>
      </c>
      <c r="C5961" t="s">
        <v>19</v>
      </c>
      <c r="D5961">
        <v>1496454.75</v>
      </c>
      <c r="E5961" t="s">
        <v>330</v>
      </c>
    </row>
    <row r="5962" spans="1:5" x14ac:dyDescent="0.25">
      <c r="A5962">
        <v>1715</v>
      </c>
      <c r="B5962" s="16">
        <v>43525</v>
      </c>
      <c r="C5962" t="s">
        <v>19</v>
      </c>
      <c r="D5962">
        <v>1496454.75</v>
      </c>
      <c r="E5962" t="s">
        <v>330</v>
      </c>
    </row>
    <row r="5963" spans="1:5" x14ac:dyDescent="0.25">
      <c r="A5963">
        <v>1715</v>
      </c>
      <c r="B5963" s="16">
        <v>43556</v>
      </c>
      <c r="C5963" t="s">
        <v>19</v>
      </c>
      <c r="D5963">
        <v>1496454.75</v>
      </c>
      <c r="E5963" t="s">
        <v>330</v>
      </c>
    </row>
    <row r="5964" spans="1:5" x14ac:dyDescent="0.25">
      <c r="A5964">
        <v>1715</v>
      </c>
      <c r="B5964" s="16">
        <v>43466</v>
      </c>
      <c r="C5964" t="s">
        <v>12</v>
      </c>
      <c r="D5964">
        <v>1890000</v>
      </c>
      <c r="E5964" t="s">
        <v>330</v>
      </c>
    </row>
    <row r="5965" spans="1:5" x14ac:dyDescent="0.25">
      <c r="A5965">
        <v>1715</v>
      </c>
      <c r="B5965" s="16">
        <v>43497</v>
      </c>
      <c r="C5965" t="s">
        <v>12</v>
      </c>
      <c r="D5965">
        <v>1890000</v>
      </c>
      <c r="E5965" t="s">
        <v>330</v>
      </c>
    </row>
    <row r="5966" spans="1:5" x14ac:dyDescent="0.25">
      <c r="A5966">
        <v>1715</v>
      </c>
      <c r="B5966" s="16">
        <v>43525</v>
      </c>
      <c r="C5966" t="s">
        <v>12</v>
      </c>
      <c r="D5966">
        <v>1890000</v>
      </c>
      <c r="E5966" t="s">
        <v>330</v>
      </c>
    </row>
    <row r="5967" spans="1:5" x14ac:dyDescent="0.25">
      <c r="A5967">
        <v>1715</v>
      </c>
      <c r="B5967" s="16">
        <v>43556</v>
      </c>
      <c r="C5967" t="s">
        <v>12</v>
      </c>
      <c r="D5967">
        <v>1890000</v>
      </c>
      <c r="E5967" t="s">
        <v>330</v>
      </c>
    </row>
    <row r="5968" spans="1:5" x14ac:dyDescent="0.25">
      <c r="A5968">
        <v>1715</v>
      </c>
      <c r="B5968" s="16">
        <v>43466</v>
      </c>
      <c r="C5968" t="s">
        <v>39</v>
      </c>
      <c r="D5968">
        <v>819000</v>
      </c>
      <c r="E5968" t="s">
        <v>330</v>
      </c>
    </row>
    <row r="5969" spans="1:5" x14ac:dyDescent="0.25">
      <c r="A5969">
        <v>1715</v>
      </c>
      <c r="B5969" s="16">
        <v>43497</v>
      </c>
      <c r="C5969" t="s">
        <v>39</v>
      </c>
      <c r="D5969">
        <v>819000</v>
      </c>
      <c r="E5969" t="s">
        <v>330</v>
      </c>
    </row>
    <row r="5970" spans="1:5" x14ac:dyDescent="0.25">
      <c r="A5970">
        <v>1715</v>
      </c>
      <c r="B5970" s="16">
        <v>43525</v>
      </c>
      <c r="C5970" t="s">
        <v>39</v>
      </c>
      <c r="D5970">
        <v>819000</v>
      </c>
      <c r="E5970" t="s">
        <v>330</v>
      </c>
    </row>
    <row r="5971" spans="1:5" x14ac:dyDescent="0.25">
      <c r="A5971">
        <v>1715</v>
      </c>
      <c r="B5971" s="16">
        <v>43556</v>
      </c>
      <c r="C5971" t="s">
        <v>39</v>
      </c>
      <c r="D5971">
        <v>819000</v>
      </c>
      <c r="E5971" t="s">
        <v>330</v>
      </c>
    </row>
    <row r="5972" spans="1:5" x14ac:dyDescent="0.25">
      <c r="A5972">
        <v>1715</v>
      </c>
      <c r="B5972" s="16">
        <v>43466</v>
      </c>
      <c r="C5972" t="s">
        <v>91</v>
      </c>
      <c r="D5972">
        <v>441000</v>
      </c>
      <c r="E5972" t="s">
        <v>330</v>
      </c>
    </row>
    <row r="5973" spans="1:5" x14ac:dyDescent="0.25">
      <c r="A5973">
        <v>1715</v>
      </c>
      <c r="B5973" s="16">
        <v>43497</v>
      </c>
      <c r="C5973" t="s">
        <v>91</v>
      </c>
      <c r="D5973">
        <v>441000</v>
      </c>
      <c r="E5973" t="s">
        <v>330</v>
      </c>
    </row>
    <row r="5974" spans="1:5" x14ac:dyDescent="0.25">
      <c r="A5974">
        <v>1715</v>
      </c>
      <c r="B5974" s="16">
        <v>43525</v>
      </c>
      <c r="C5974" t="s">
        <v>91</v>
      </c>
      <c r="D5974">
        <v>441000</v>
      </c>
      <c r="E5974" t="s">
        <v>330</v>
      </c>
    </row>
    <row r="5975" spans="1:5" x14ac:dyDescent="0.25">
      <c r="A5975">
        <v>1715</v>
      </c>
      <c r="B5975" s="16">
        <v>43556</v>
      </c>
      <c r="C5975" t="s">
        <v>91</v>
      </c>
      <c r="D5975">
        <v>441000</v>
      </c>
      <c r="E5975" t="s">
        <v>330</v>
      </c>
    </row>
    <row r="5976" spans="1:5" x14ac:dyDescent="0.25">
      <c r="A5976">
        <v>1715</v>
      </c>
      <c r="B5976" s="16">
        <v>43466</v>
      </c>
      <c r="C5976" t="s">
        <v>29</v>
      </c>
      <c r="D5976">
        <v>354375</v>
      </c>
      <c r="E5976" t="s">
        <v>330</v>
      </c>
    </row>
    <row r="5977" spans="1:5" x14ac:dyDescent="0.25">
      <c r="A5977">
        <v>1715</v>
      </c>
      <c r="B5977" s="16">
        <v>43497</v>
      </c>
      <c r="C5977" t="s">
        <v>29</v>
      </c>
      <c r="D5977">
        <v>354375</v>
      </c>
      <c r="E5977" t="s">
        <v>330</v>
      </c>
    </row>
    <row r="5978" spans="1:5" x14ac:dyDescent="0.25">
      <c r="A5978">
        <v>1715</v>
      </c>
      <c r="B5978" s="16">
        <v>43525</v>
      </c>
      <c r="C5978" t="s">
        <v>29</v>
      </c>
      <c r="D5978">
        <v>354375</v>
      </c>
      <c r="E5978" t="s">
        <v>330</v>
      </c>
    </row>
    <row r="5979" spans="1:5" x14ac:dyDescent="0.25">
      <c r="A5979">
        <v>1715</v>
      </c>
      <c r="B5979" s="16">
        <v>43556</v>
      </c>
      <c r="C5979" t="s">
        <v>29</v>
      </c>
      <c r="D5979">
        <v>354375</v>
      </c>
      <c r="E5979" t="s">
        <v>330</v>
      </c>
    </row>
    <row r="5980" spans="1:5" x14ac:dyDescent="0.25">
      <c r="A5980">
        <v>1715</v>
      </c>
      <c r="B5980" s="16">
        <v>43466</v>
      </c>
      <c r="C5980" t="s">
        <v>19</v>
      </c>
      <c r="D5980">
        <v>1496454.75</v>
      </c>
      <c r="E5980" t="s">
        <v>330</v>
      </c>
    </row>
    <row r="5981" spans="1:5" x14ac:dyDescent="0.25">
      <c r="A5981">
        <v>1715</v>
      </c>
      <c r="B5981" s="16">
        <v>43497</v>
      </c>
      <c r="C5981" t="s">
        <v>19</v>
      </c>
      <c r="D5981">
        <v>1496454.75</v>
      </c>
      <c r="E5981" t="s">
        <v>330</v>
      </c>
    </row>
    <row r="5982" spans="1:5" x14ac:dyDescent="0.25">
      <c r="A5982">
        <v>1715</v>
      </c>
      <c r="B5982" s="16">
        <v>43525</v>
      </c>
      <c r="C5982" t="s">
        <v>19</v>
      </c>
      <c r="D5982">
        <v>1496454.75</v>
      </c>
      <c r="E5982" t="s">
        <v>330</v>
      </c>
    </row>
    <row r="5983" spans="1:5" x14ac:dyDescent="0.25">
      <c r="A5983">
        <v>1715</v>
      </c>
      <c r="B5983" s="16">
        <v>43556</v>
      </c>
      <c r="C5983" t="s">
        <v>19</v>
      </c>
      <c r="D5983">
        <v>1496454.75</v>
      </c>
      <c r="E5983" t="s">
        <v>330</v>
      </c>
    </row>
    <row r="5984" spans="1:5" x14ac:dyDescent="0.25">
      <c r="A5984">
        <v>1715</v>
      </c>
      <c r="B5984" s="16">
        <v>43466</v>
      </c>
      <c r="C5984" t="s">
        <v>12</v>
      </c>
      <c r="D5984">
        <v>1417500</v>
      </c>
      <c r="E5984" t="s">
        <v>330</v>
      </c>
    </row>
    <row r="5985" spans="1:5" x14ac:dyDescent="0.25">
      <c r="A5985">
        <v>1715</v>
      </c>
      <c r="B5985" s="16">
        <v>43497</v>
      </c>
      <c r="C5985" t="s">
        <v>12</v>
      </c>
      <c r="D5985">
        <v>1417500</v>
      </c>
      <c r="E5985" t="s">
        <v>330</v>
      </c>
    </row>
    <row r="5986" spans="1:5" x14ac:dyDescent="0.25">
      <c r="A5986">
        <v>1715</v>
      </c>
      <c r="B5986" s="16">
        <v>43525</v>
      </c>
      <c r="C5986" t="s">
        <v>12</v>
      </c>
      <c r="D5986">
        <v>1417500</v>
      </c>
      <c r="E5986" t="s">
        <v>330</v>
      </c>
    </row>
    <row r="5987" spans="1:5" x14ac:dyDescent="0.25">
      <c r="A5987">
        <v>1715</v>
      </c>
      <c r="B5987" s="16">
        <v>43556</v>
      </c>
      <c r="C5987" t="s">
        <v>12</v>
      </c>
      <c r="D5987">
        <v>1417500</v>
      </c>
      <c r="E5987" t="s">
        <v>330</v>
      </c>
    </row>
    <row r="5988" spans="1:5" x14ac:dyDescent="0.25">
      <c r="A5988">
        <v>1715</v>
      </c>
      <c r="B5988" s="16">
        <v>43466</v>
      </c>
      <c r="C5988" t="s">
        <v>39</v>
      </c>
      <c r="D5988">
        <v>614250</v>
      </c>
      <c r="E5988" t="s">
        <v>330</v>
      </c>
    </row>
    <row r="5989" spans="1:5" x14ac:dyDescent="0.25">
      <c r="A5989">
        <v>1715</v>
      </c>
      <c r="B5989" s="16">
        <v>43497</v>
      </c>
      <c r="C5989" t="s">
        <v>39</v>
      </c>
      <c r="D5989">
        <v>614250</v>
      </c>
      <c r="E5989" t="s">
        <v>330</v>
      </c>
    </row>
    <row r="5990" spans="1:5" x14ac:dyDescent="0.25">
      <c r="A5990">
        <v>1715</v>
      </c>
      <c r="B5990" s="16">
        <v>43525</v>
      </c>
      <c r="C5990" t="s">
        <v>39</v>
      </c>
      <c r="D5990">
        <v>614250</v>
      </c>
      <c r="E5990" t="s">
        <v>330</v>
      </c>
    </row>
    <row r="5991" spans="1:5" x14ac:dyDescent="0.25">
      <c r="A5991">
        <v>1715</v>
      </c>
      <c r="B5991" s="16">
        <v>43556</v>
      </c>
      <c r="C5991" t="s">
        <v>39</v>
      </c>
      <c r="D5991">
        <v>614250</v>
      </c>
      <c r="E5991" t="s">
        <v>330</v>
      </c>
    </row>
    <row r="5992" spans="1:5" x14ac:dyDescent="0.25">
      <c r="A5992">
        <v>1837</v>
      </c>
      <c r="B5992" s="16">
        <v>43466</v>
      </c>
      <c r="C5992" t="s">
        <v>290</v>
      </c>
      <c r="D5992">
        <v>1778395.5</v>
      </c>
      <c r="E5992" t="s">
        <v>330</v>
      </c>
    </row>
    <row r="5993" spans="1:5" x14ac:dyDescent="0.25">
      <c r="A5993">
        <v>1837</v>
      </c>
      <c r="B5993" s="16">
        <v>43497</v>
      </c>
      <c r="C5993" t="s">
        <v>290</v>
      </c>
      <c r="D5993">
        <v>1778395.5</v>
      </c>
      <c r="E5993" t="s">
        <v>330</v>
      </c>
    </row>
    <row r="5994" spans="1:5" x14ac:dyDescent="0.25">
      <c r="A5994">
        <v>1837</v>
      </c>
      <c r="B5994" s="16">
        <v>43466</v>
      </c>
      <c r="C5994" t="s">
        <v>122</v>
      </c>
      <c r="D5994">
        <v>7426125</v>
      </c>
      <c r="E5994" t="s">
        <v>330</v>
      </c>
    </row>
    <row r="5995" spans="1:5" x14ac:dyDescent="0.25">
      <c r="A5995">
        <v>1837</v>
      </c>
      <c r="B5995" s="16">
        <v>43497</v>
      </c>
      <c r="C5995" t="s">
        <v>122</v>
      </c>
      <c r="D5995">
        <v>7426125</v>
      </c>
      <c r="E5995" t="s">
        <v>330</v>
      </c>
    </row>
    <row r="5996" spans="1:5" x14ac:dyDescent="0.25">
      <c r="A5996">
        <v>1837</v>
      </c>
      <c r="B5996" s="16">
        <v>43466</v>
      </c>
      <c r="C5996" t="s">
        <v>164</v>
      </c>
      <c r="D5996">
        <v>964096.875</v>
      </c>
      <c r="E5996" t="s">
        <v>330</v>
      </c>
    </row>
    <row r="5997" spans="1:5" x14ac:dyDescent="0.25">
      <c r="A5997">
        <v>1837</v>
      </c>
      <c r="B5997" s="16">
        <v>43497</v>
      </c>
      <c r="C5997" t="s">
        <v>164</v>
      </c>
      <c r="D5997">
        <v>964096.875</v>
      </c>
      <c r="E5997" t="s">
        <v>330</v>
      </c>
    </row>
    <row r="5998" spans="1:5" x14ac:dyDescent="0.25">
      <c r="A5998">
        <v>1837</v>
      </c>
      <c r="B5998" s="16">
        <v>43466</v>
      </c>
      <c r="C5998" t="s">
        <v>135</v>
      </c>
      <c r="D5998">
        <v>3764722.4999999995</v>
      </c>
      <c r="E5998" t="s">
        <v>330</v>
      </c>
    </row>
    <row r="5999" spans="1:5" x14ac:dyDescent="0.25">
      <c r="A5999">
        <v>1837</v>
      </c>
      <c r="B5999" s="16">
        <v>43497</v>
      </c>
      <c r="C5999" t="s">
        <v>135</v>
      </c>
      <c r="D5999">
        <v>3764722.4999999995</v>
      </c>
      <c r="E5999" t="s">
        <v>330</v>
      </c>
    </row>
    <row r="6000" spans="1:5" x14ac:dyDescent="0.25">
      <c r="A6000">
        <v>1845</v>
      </c>
      <c r="B6000" s="16">
        <v>43497</v>
      </c>
      <c r="C6000" t="s">
        <v>19</v>
      </c>
      <c r="D6000">
        <v>3818881.08</v>
      </c>
      <c r="E6000" t="s">
        <v>330</v>
      </c>
    </row>
    <row r="6001" spans="1:5" x14ac:dyDescent="0.25">
      <c r="A6001">
        <v>1845</v>
      </c>
      <c r="B6001" s="16">
        <v>43525</v>
      </c>
      <c r="C6001" t="s">
        <v>19</v>
      </c>
      <c r="D6001">
        <v>3818881.08</v>
      </c>
      <c r="E6001" t="s">
        <v>330</v>
      </c>
    </row>
    <row r="6002" spans="1:5" x14ac:dyDescent="0.25">
      <c r="A6002">
        <v>1845</v>
      </c>
      <c r="B6002" s="16">
        <v>43556</v>
      </c>
      <c r="C6002" t="s">
        <v>19</v>
      </c>
      <c r="D6002">
        <v>3818881.08</v>
      </c>
      <c r="E6002" t="s">
        <v>330</v>
      </c>
    </row>
    <row r="6003" spans="1:5" x14ac:dyDescent="0.25">
      <c r="A6003">
        <v>1845</v>
      </c>
      <c r="B6003" s="16">
        <v>43586</v>
      </c>
      <c r="C6003" t="s">
        <v>19</v>
      </c>
      <c r="D6003">
        <v>3818881.08</v>
      </c>
      <c r="E6003" t="s">
        <v>330</v>
      </c>
    </row>
    <row r="6004" spans="1:5" x14ac:dyDescent="0.25">
      <c r="A6004">
        <v>1845</v>
      </c>
      <c r="B6004" s="16">
        <v>43617</v>
      </c>
      <c r="C6004" t="s">
        <v>19</v>
      </c>
      <c r="D6004">
        <v>3818881.08</v>
      </c>
      <c r="E6004" t="s">
        <v>330</v>
      </c>
    </row>
    <row r="6005" spans="1:5" x14ac:dyDescent="0.25">
      <c r="A6005">
        <v>1845</v>
      </c>
      <c r="B6005" s="16">
        <v>43647</v>
      </c>
      <c r="C6005" t="s">
        <v>19</v>
      </c>
      <c r="D6005">
        <v>3818881.08</v>
      </c>
      <c r="E6005" t="s">
        <v>330</v>
      </c>
    </row>
    <row r="6006" spans="1:5" x14ac:dyDescent="0.25">
      <c r="A6006">
        <v>1845</v>
      </c>
      <c r="B6006" s="16">
        <v>43678</v>
      </c>
      <c r="C6006" t="s">
        <v>19</v>
      </c>
      <c r="D6006">
        <v>3818881.08</v>
      </c>
      <c r="E6006" t="s">
        <v>330</v>
      </c>
    </row>
    <row r="6007" spans="1:5" x14ac:dyDescent="0.25">
      <c r="A6007">
        <v>1845</v>
      </c>
      <c r="B6007" s="16">
        <v>43497</v>
      </c>
      <c r="C6007" t="s">
        <v>122</v>
      </c>
      <c r="D6007">
        <v>6750000</v>
      </c>
      <c r="E6007" t="s">
        <v>330</v>
      </c>
    </row>
    <row r="6008" spans="1:5" x14ac:dyDescent="0.25">
      <c r="A6008">
        <v>1845</v>
      </c>
      <c r="B6008" s="16">
        <v>43525</v>
      </c>
      <c r="C6008" t="s">
        <v>122</v>
      </c>
      <c r="D6008">
        <v>6750000</v>
      </c>
      <c r="E6008" t="s">
        <v>330</v>
      </c>
    </row>
    <row r="6009" spans="1:5" x14ac:dyDescent="0.25">
      <c r="A6009">
        <v>1845</v>
      </c>
      <c r="B6009" s="16">
        <v>43556</v>
      </c>
      <c r="C6009" t="s">
        <v>122</v>
      </c>
      <c r="D6009">
        <v>6750000</v>
      </c>
      <c r="E6009" t="s">
        <v>330</v>
      </c>
    </row>
    <row r="6010" spans="1:5" x14ac:dyDescent="0.25">
      <c r="A6010">
        <v>1845</v>
      </c>
      <c r="B6010" s="16">
        <v>43586</v>
      </c>
      <c r="C6010" t="s">
        <v>122</v>
      </c>
      <c r="D6010">
        <v>6750000</v>
      </c>
      <c r="E6010" t="s">
        <v>330</v>
      </c>
    </row>
    <row r="6011" spans="1:5" x14ac:dyDescent="0.25">
      <c r="A6011">
        <v>1845</v>
      </c>
      <c r="B6011" s="16">
        <v>43617</v>
      </c>
      <c r="C6011" t="s">
        <v>122</v>
      </c>
      <c r="D6011">
        <v>6750000</v>
      </c>
      <c r="E6011" t="s">
        <v>330</v>
      </c>
    </row>
    <row r="6012" spans="1:5" x14ac:dyDescent="0.25">
      <c r="A6012">
        <v>1845</v>
      </c>
      <c r="B6012" s="16">
        <v>43647</v>
      </c>
      <c r="C6012" t="s">
        <v>122</v>
      </c>
      <c r="D6012">
        <v>6750000</v>
      </c>
      <c r="E6012" t="s">
        <v>330</v>
      </c>
    </row>
    <row r="6013" spans="1:5" x14ac:dyDescent="0.25">
      <c r="A6013">
        <v>1845</v>
      </c>
      <c r="B6013" s="16">
        <v>43678</v>
      </c>
      <c r="C6013" t="s">
        <v>122</v>
      </c>
      <c r="D6013">
        <v>6750000</v>
      </c>
      <c r="E6013" t="s">
        <v>330</v>
      </c>
    </row>
    <row r="6014" spans="1:5" x14ac:dyDescent="0.25">
      <c r="A6014">
        <v>1845</v>
      </c>
      <c r="B6014" s="16">
        <v>43497</v>
      </c>
      <c r="C6014" t="s">
        <v>29</v>
      </c>
      <c r="D6014">
        <v>1961638.6500000001</v>
      </c>
      <c r="E6014" t="s">
        <v>330</v>
      </c>
    </row>
    <row r="6015" spans="1:5" x14ac:dyDescent="0.25">
      <c r="A6015">
        <v>1845</v>
      </c>
      <c r="B6015" s="16">
        <v>43525</v>
      </c>
      <c r="C6015" t="s">
        <v>29</v>
      </c>
      <c r="D6015">
        <v>1961638.6500000001</v>
      </c>
      <c r="E6015" t="s">
        <v>330</v>
      </c>
    </row>
    <row r="6016" spans="1:5" x14ac:dyDescent="0.25">
      <c r="A6016">
        <v>1845</v>
      </c>
      <c r="B6016" s="16">
        <v>43556</v>
      </c>
      <c r="C6016" t="s">
        <v>29</v>
      </c>
      <c r="D6016">
        <v>1961638.6500000001</v>
      </c>
      <c r="E6016" t="s">
        <v>330</v>
      </c>
    </row>
    <row r="6017" spans="1:5" x14ac:dyDescent="0.25">
      <c r="A6017">
        <v>1845</v>
      </c>
      <c r="B6017" s="16">
        <v>43586</v>
      </c>
      <c r="C6017" t="s">
        <v>29</v>
      </c>
      <c r="D6017">
        <v>1961638.6500000001</v>
      </c>
      <c r="E6017" t="s">
        <v>330</v>
      </c>
    </row>
    <row r="6018" spans="1:5" x14ac:dyDescent="0.25">
      <c r="A6018">
        <v>1845</v>
      </c>
      <c r="B6018" s="16">
        <v>43617</v>
      </c>
      <c r="C6018" t="s">
        <v>29</v>
      </c>
      <c r="D6018">
        <v>1961638.6500000001</v>
      </c>
      <c r="E6018" t="s">
        <v>330</v>
      </c>
    </row>
    <row r="6019" spans="1:5" x14ac:dyDescent="0.25">
      <c r="A6019">
        <v>1845</v>
      </c>
      <c r="B6019" s="16">
        <v>43647</v>
      </c>
      <c r="C6019" t="s">
        <v>29</v>
      </c>
      <c r="D6019">
        <v>1961638.6500000001</v>
      </c>
      <c r="E6019" t="s">
        <v>330</v>
      </c>
    </row>
    <row r="6020" spans="1:5" x14ac:dyDescent="0.25">
      <c r="A6020">
        <v>1845</v>
      </c>
      <c r="B6020" s="16">
        <v>43678</v>
      </c>
      <c r="C6020" t="s">
        <v>29</v>
      </c>
      <c r="D6020">
        <v>1961638.6500000001</v>
      </c>
      <c r="E6020" t="s">
        <v>330</v>
      </c>
    </row>
    <row r="6021" spans="1:5" x14ac:dyDescent="0.25">
      <c r="A6021">
        <v>1845</v>
      </c>
      <c r="B6021" s="16">
        <v>43497</v>
      </c>
      <c r="C6021" t="s">
        <v>39</v>
      </c>
      <c r="D6021">
        <v>5271741.5887850448</v>
      </c>
      <c r="E6021" t="s">
        <v>330</v>
      </c>
    </row>
    <row r="6022" spans="1:5" x14ac:dyDescent="0.25">
      <c r="A6022">
        <v>1845</v>
      </c>
      <c r="B6022" s="16">
        <v>43525</v>
      </c>
      <c r="C6022" t="s">
        <v>39</v>
      </c>
      <c r="D6022">
        <v>5271741.5887850448</v>
      </c>
      <c r="E6022" t="s">
        <v>330</v>
      </c>
    </row>
    <row r="6023" spans="1:5" x14ac:dyDescent="0.25">
      <c r="A6023">
        <v>1845</v>
      </c>
      <c r="B6023" s="16">
        <v>43556</v>
      </c>
      <c r="C6023" t="s">
        <v>39</v>
      </c>
      <c r="D6023">
        <v>5271741.5887850448</v>
      </c>
      <c r="E6023" t="s">
        <v>330</v>
      </c>
    </row>
    <row r="6024" spans="1:5" x14ac:dyDescent="0.25">
      <c r="A6024">
        <v>1845</v>
      </c>
      <c r="B6024" s="16">
        <v>43586</v>
      </c>
      <c r="C6024" t="s">
        <v>39</v>
      </c>
      <c r="D6024">
        <v>5271741.5887850448</v>
      </c>
      <c r="E6024" t="s">
        <v>330</v>
      </c>
    </row>
    <row r="6025" spans="1:5" x14ac:dyDescent="0.25">
      <c r="A6025">
        <v>1845</v>
      </c>
      <c r="B6025" s="16">
        <v>43617</v>
      </c>
      <c r="C6025" t="s">
        <v>39</v>
      </c>
      <c r="D6025">
        <v>5271741.5887850448</v>
      </c>
      <c r="E6025" t="s">
        <v>330</v>
      </c>
    </row>
    <row r="6026" spans="1:5" x14ac:dyDescent="0.25">
      <c r="A6026">
        <v>1845</v>
      </c>
      <c r="B6026" s="16">
        <v>43647</v>
      </c>
      <c r="C6026" t="s">
        <v>39</v>
      </c>
      <c r="D6026">
        <v>5271741.5887850448</v>
      </c>
      <c r="E6026" t="s">
        <v>330</v>
      </c>
    </row>
    <row r="6027" spans="1:5" x14ac:dyDescent="0.25">
      <c r="A6027">
        <v>1845</v>
      </c>
      <c r="B6027" s="16">
        <v>43678</v>
      </c>
      <c r="C6027" t="s">
        <v>39</v>
      </c>
      <c r="D6027">
        <v>5271741.5887850448</v>
      </c>
      <c r="E6027" t="s">
        <v>330</v>
      </c>
    </row>
    <row r="6028" spans="1:5" x14ac:dyDescent="0.25">
      <c r="A6028">
        <v>1845</v>
      </c>
      <c r="B6028" s="16">
        <v>43497</v>
      </c>
      <c r="C6028" t="s">
        <v>38</v>
      </c>
      <c r="D6028">
        <v>3855251.3759999997</v>
      </c>
      <c r="E6028" t="s">
        <v>330</v>
      </c>
    </row>
    <row r="6029" spans="1:5" x14ac:dyDescent="0.25">
      <c r="A6029">
        <v>1845</v>
      </c>
      <c r="B6029" s="16">
        <v>43525</v>
      </c>
      <c r="C6029" t="s">
        <v>38</v>
      </c>
      <c r="D6029">
        <v>3855251.3759999997</v>
      </c>
      <c r="E6029" t="s">
        <v>330</v>
      </c>
    </row>
    <row r="6030" spans="1:5" x14ac:dyDescent="0.25">
      <c r="A6030">
        <v>1845</v>
      </c>
      <c r="B6030" s="16">
        <v>43556</v>
      </c>
      <c r="C6030" t="s">
        <v>38</v>
      </c>
      <c r="D6030">
        <v>3855251.3759999997</v>
      </c>
      <c r="E6030" t="s">
        <v>330</v>
      </c>
    </row>
    <row r="6031" spans="1:5" x14ac:dyDescent="0.25">
      <c r="A6031">
        <v>1845</v>
      </c>
      <c r="B6031" s="16">
        <v>43586</v>
      </c>
      <c r="C6031" t="s">
        <v>38</v>
      </c>
      <c r="D6031">
        <v>3855251.3759999997</v>
      </c>
      <c r="E6031" t="s">
        <v>330</v>
      </c>
    </row>
    <row r="6032" spans="1:5" x14ac:dyDescent="0.25">
      <c r="A6032">
        <v>1845</v>
      </c>
      <c r="B6032" s="16">
        <v>43617</v>
      </c>
      <c r="C6032" t="s">
        <v>38</v>
      </c>
      <c r="D6032">
        <v>3855251.3759999997</v>
      </c>
      <c r="E6032" t="s">
        <v>330</v>
      </c>
    </row>
    <row r="6033" spans="1:5" x14ac:dyDescent="0.25">
      <c r="A6033">
        <v>1845</v>
      </c>
      <c r="B6033" s="16">
        <v>43647</v>
      </c>
      <c r="C6033" t="s">
        <v>38</v>
      </c>
      <c r="D6033">
        <v>3855251.3759999997</v>
      </c>
      <c r="E6033" t="s">
        <v>330</v>
      </c>
    </row>
    <row r="6034" spans="1:5" x14ac:dyDescent="0.25">
      <c r="A6034">
        <v>1845</v>
      </c>
      <c r="B6034" s="16">
        <v>43678</v>
      </c>
      <c r="C6034" t="s">
        <v>38</v>
      </c>
      <c r="D6034">
        <v>3855251.3759999997</v>
      </c>
      <c r="E6034" t="s">
        <v>330</v>
      </c>
    </row>
    <row r="6035" spans="1:5" x14ac:dyDescent="0.25">
      <c r="A6035">
        <v>1385</v>
      </c>
      <c r="B6035" s="16">
        <v>43466</v>
      </c>
      <c r="C6035" t="s">
        <v>301</v>
      </c>
      <c r="D6035">
        <v>12913846.050000001</v>
      </c>
      <c r="E6035" t="s">
        <v>330</v>
      </c>
    </row>
    <row r="6036" spans="1:5" x14ac:dyDescent="0.25">
      <c r="A6036">
        <v>1385</v>
      </c>
      <c r="B6036" s="16">
        <v>43497</v>
      </c>
      <c r="C6036" t="s">
        <v>301</v>
      </c>
      <c r="D6036">
        <v>12913846.050000001</v>
      </c>
      <c r="E6036" t="s">
        <v>330</v>
      </c>
    </row>
    <row r="6037" spans="1:5" x14ac:dyDescent="0.25">
      <c r="A6037">
        <v>1385</v>
      </c>
      <c r="B6037" s="16">
        <v>43525</v>
      </c>
      <c r="C6037" t="s">
        <v>301</v>
      </c>
      <c r="D6037">
        <v>12913846.050000001</v>
      </c>
      <c r="E6037" t="s">
        <v>330</v>
      </c>
    </row>
    <row r="6038" spans="1:5" x14ac:dyDescent="0.25">
      <c r="A6038">
        <v>1385</v>
      </c>
      <c r="B6038" s="16">
        <v>43556</v>
      </c>
      <c r="C6038" t="s">
        <v>301</v>
      </c>
      <c r="D6038">
        <v>12913846.050000001</v>
      </c>
      <c r="E6038" t="s">
        <v>330</v>
      </c>
    </row>
    <row r="6039" spans="1:5" x14ac:dyDescent="0.25">
      <c r="A6039">
        <v>1385</v>
      </c>
      <c r="B6039" s="16">
        <v>43586</v>
      </c>
      <c r="C6039" t="s">
        <v>301</v>
      </c>
      <c r="D6039">
        <v>12913846.050000001</v>
      </c>
      <c r="E6039" t="s">
        <v>330</v>
      </c>
    </row>
    <row r="6040" spans="1:5" x14ac:dyDescent="0.25">
      <c r="A6040">
        <v>1385</v>
      </c>
      <c r="B6040" s="16">
        <v>43466</v>
      </c>
      <c r="C6040" t="s">
        <v>26</v>
      </c>
      <c r="D6040">
        <v>7300574.4000000004</v>
      </c>
      <c r="E6040" t="s">
        <v>330</v>
      </c>
    </row>
    <row r="6041" spans="1:5" x14ac:dyDescent="0.25">
      <c r="A6041">
        <v>1385</v>
      </c>
      <c r="B6041" s="16">
        <v>43497</v>
      </c>
      <c r="C6041" t="s">
        <v>26</v>
      </c>
      <c r="D6041">
        <v>7300574.4000000004</v>
      </c>
      <c r="E6041" t="s">
        <v>330</v>
      </c>
    </row>
    <row r="6042" spans="1:5" x14ac:dyDescent="0.25">
      <c r="A6042">
        <v>1385</v>
      </c>
      <c r="B6042" s="16">
        <v>43525</v>
      </c>
      <c r="C6042" t="s">
        <v>26</v>
      </c>
      <c r="D6042">
        <v>7300574.4000000004</v>
      </c>
      <c r="E6042" t="s">
        <v>330</v>
      </c>
    </row>
    <row r="6043" spans="1:5" x14ac:dyDescent="0.25">
      <c r="A6043">
        <v>1385</v>
      </c>
      <c r="B6043" s="16">
        <v>43556</v>
      </c>
      <c r="C6043" t="s">
        <v>26</v>
      </c>
      <c r="D6043">
        <v>7300574.4000000004</v>
      </c>
      <c r="E6043" t="s">
        <v>330</v>
      </c>
    </row>
    <row r="6044" spans="1:5" x14ac:dyDescent="0.25">
      <c r="A6044">
        <v>1385</v>
      </c>
      <c r="B6044" s="16">
        <v>43586</v>
      </c>
      <c r="C6044" t="s">
        <v>26</v>
      </c>
      <c r="D6044">
        <v>7300574.4000000004</v>
      </c>
      <c r="E6044" t="s">
        <v>330</v>
      </c>
    </row>
    <row r="6045" spans="1:5" x14ac:dyDescent="0.25">
      <c r="A6045">
        <v>1385</v>
      </c>
      <c r="B6045" s="16">
        <v>43466</v>
      </c>
      <c r="C6045" t="s">
        <v>26</v>
      </c>
      <c r="D6045">
        <v>7300574.4000000004</v>
      </c>
      <c r="E6045" t="s">
        <v>330</v>
      </c>
    </row>
    <row r="6046" spans="1:5" x14ac:dyDescent="0.25">
      <c r="A6046">
        <v>1385</v>
      </c>
      <c r="B6046" s="16">
        <v>43497</v>
      </c>
      <c r="C6046" t="s">
        <v>26</v>
      </c>
      <c r="D6046">
        <v>7300574.4000000004</v>
      </c>
      <c r="E6046" t="s">
        <v>330</v>
      </c>
    </row>
    <row r="6047" spans="1:5" x14ac:dyDescent="0.25">
      <c r="A6047">
        <v>1385</v>
      </c>
      <c r="B6047" s="16">
        <v>43525</v>
      </c>
      <c r="C6047" t="s">
        <v>26</v>
      </c>
      <c r="D6047">
        <v>7300574.4000000004</v>
      </c>
      <c r="E6047" t="s">
        <v>330</v>
      </c>
    </row>
    <row r="6048" spans="1:5" x14ac:dyDescent="0.25">
      <c r="A6048">
        <v>1385</v>
      </c>
      <c r="B6048" s="16">
        <v>43556</v>
      </c>
      <c r="C6048" t="s">
        <v>26</v>
      </c>
      <c r="D6048">
        <v>7300574.4000000004</v>
      </c>
      <c r="E6048" t="s">
        <v>330</v>
      </c>
    </row>
    <row r="6049" spans="1:5" x14ac:dyDescent="0.25">
      <c r="A6049">
        <v>1385</v>
      </c>
      <c r="B6049" s="16">
        <v>43586</v>
      </c>
      <c r="C6049" t="s">
        <v>26</v>
      </c>
      <c r="D6049">
        <v>7300574.4000000004</v>
      </c>
      <c r="E6049" t="s">
        <v>330</v>
      </c>
    </row>
    <row r="6050" spans="1:5" x14ac:dyDescent="0.25">
      <c r="A6050">
        <v>1385</v>
      </c>
      <c r="B6050" s="16">
        <v>43466</v>
      </c>
      <c r="C6050" t="s">
        <v>26</v>
      </c>
      <c r="D6050">
        <v>7300574.4000000004</v>
      </c>
      <c r="E6050" t="s">
        <v>330</v>
      </c>
    </row>
    <row r="6051" spans="1:5" x14ac:dyDescent="0.25">
      <c r="A6051">
        <v>1385</v>
      </c>
      <c r="B6051" s="16">
        <v>43497</v>
      </c>
      <c r="C6051" t="s">
        <v>26</v>
      </c>
      <c r="D6051">
        <v>7300574.4000000004</v>
      </c>
      <c r="E6051" t="s">
        <v>330</v>
      </c>
    </row>
    <row r="6052" spans="1:5" x14ac:dyDescent="0.25">
      <c r="A6052">
        <v>1385</v>
      </c>
      <c r="B6052" s="16">
        <v>43525</v>
      </c>
      <c r="C6052" t="s">
        <v>26</v>
      </c>
      <c r="D6052">
        <v>7300574.4000000004</v>
      </c>
      <c r="E6052" t="s">
        <v>330</v>
      </c>
    </row>
    <row r="6053" spans="1:5" x14ac:dyDescent="0.25">
      <c r="A6053">
        <v>1385</v>
      </c>
      <c r="B6053" s="16">
        <v>43556</v>
      </c>
      <c r="C6053" t="s">
        <v>26</v>
      </c>
      <c r="D6053">
        <v>7300574.4000000004</v>
      </c>
      <c r="E6053" t="s">
        <v>330</v>
      </c>
    </row>
    <row r="6054" spans="1:5" x14ac:dyDescent="0.25">
      <c r="A6054">
        <v>1385</v>
      </c>
      <c r="B6054" s="16">
        <v>43586</v>
      </c>
      <c r="C6054" t="s">
        <v>26</v>
      </c>
      <c r="D6054">
        <v>7300574.4000000004</v>
      </c>
      <c r="E6054" t="s">
        <v>330</v>
      </c>
    </row>
    <row r="6055" spans="1:5" x14ac:dyDescent="0.25">
      <c r="A6055">
        <v>1385</v>
      </c>
      <c r="B6055" s="16">
        <v>43466</v>
      </c>
      <c r="C6055" t="s">
        <v>39</v>
      </c>
      <c r="D6055">
        <v>5214695.8500000006</v>
      </c>
      <c r="E6055" t="s">
        <v>330</v>
      </c>
    </row>
    <row r="6056" spans="1:5" x14ac:dyDescent="0.25">
      <c r="A6056">
        <v>1385</v>
      </c>
      <c r="B6056" s="16">
        <v>43497</v>
      </c>
      <c r="C6056" t="s">
        <v>39</v>
      </c>
      <c r="D6056">
        <v>5214695.8500000006</v>
      </c>
      <c r="E6056" t="s">
        <v>330</v>
      </c>
    </row>
    <row r="6057" spans="1:5" x14ac:dyDescent="0.25">
      <c r="A6057">
        <v>1385</v>
      </c>
      <c r="B6057" s="16">
        <v>43525</v>
      </c>
      <c r="C6057" t="s">
        <v>39</v>
      </c>
      <c r="D6057">
        <v>5214695.8500000006</v>
      </c>
      <c r="E6057" t="s">
        <v>330</v>
      </c>
    </row>
    <row r="6058" spans="1:5" x14ac:dyDescent="0.25">
      <c r="A6058">
        <v>1385</v>
      </c>
      <c r="B6058" s="16">
        <v>43556</v>
      </c>
      <c r="C6058" t="s">
        <v>39</v>
      </c>
      <c r="D6058">
        <v>5214695.8500000006</v>
      </c>
      <c r="E6058" t="s">
        <v>330</v>
      </c>
    </row>
    <row r="6059" spans="1:5" x14ac:dyDescent="0.25">
      <c r="A6059">
        <v>1385</v>
      </c>
      <c r="B6059" s="16">
        <v>43586</v>
      </c>
      <c r="C6059" t="s">
        <v>39</v>
      </c>
      <c r="D6059">
        <v>5214695.8500000006</v>
      </c>
      <c r="E6059" t="s">
        <v>330</v>
      </c>
    </row>
    <row r="6060" spans="1:5" x14ac:dyDescent="0.25">
      <c r="A6060">
        <v>1385</v>
      </c>
      <c r="B6060" s="16">
        <v>43466</v>
      </c>
      <c r="C6060" t="s">
        <v>57</v>
      </c>
      <c r="D6060">
        <v>5214695.8500000006</v>
      </c>
      <c r="E6060" t="s">
        <v>330</v>
      </c>
    </row>
    <row r="6061" spans="1:5" x14ac:dyDescent="0.25">
      <c r="A6061">
        <v>1385</v>
      </c>
      <c r="B6061" s="16">
        <v>43497</v>
      </c>
      <c r="C6061" t="s">
        <v>57</v>
      </c>
      <c r="D6061">
        <v>5214695.8500000006</v>
      </c>
      <c r="E6061" t="s">
        <v>330</v>
      </c>
    </row>
    <row r="6062" spans="1:5" x14ac:dyDescent="0.25">
      <c r="A6062">
        <v>1385</v>
      </c>
      <c r="B6062" s="16">
        <v>43525</v>
      </c>
      <c r="C6062" t="s">
        <v>57</v>
      </c>
      <c r="D6062">
        <v>5214695.8500000006</v>
      </c>
      <c r="E6062" t="s">
        <v>330</v>
      </c>
    </row>
    <row r="6063" spans="1:5" x14ac:dyDescent="0.25">
      <c r="A6063">
        <v>1385</v>
      </c>
      <c r="B6063" s="16">
        <v>43556</v>
      </c>
      <c r="C6063" t="s">
        <v>57</v>
      </c>
      <c r="D6063">
        <v>5214695.8500000006</v>
      </c>
      <c r="E6063" t="s">
        <v>330</v>
      </c>
    </row>
    <row r="6064" spans="1:5" x14ac:dyDescent="0.25">
      <c r="A6064">
        <v>1385</v>
      </c>
      <c r="B6064" s="16">
        <v>43586</v>
      </c>
      <c r="C6064" t="s">
        <v>57</v>
      </c>
      <c r="D6064">
        <v>5214695.8500000006</v>
      </c>
      <c r="E6064" t="s">
        <v>330</v>
      </c>
    </row>
    <row r="6065" spans="1:5" x14ac:dyDescent="0.25">
      <c r="A6065">
        <v>1385</v>
      </c>
      <c r="B6065" s="16">
        <v>43466</v>
      </c>
      <c r="C6065" t="s">
        <v>58</v>
      </c>
      <c r="D6065">
        <v>5142002.25</v>
      </c>
      <c r="E6065" t="s">
        <v>330</v>
      </c>
    </row>
    <row r="6066" spans="1:5" x14ac:dyDescent="0.25">
      <c r="A6066">
        <v>1385</v>
      </c>
      <c r="B6066" s="16">
        <v>43497</v>
      </c>
      <c r="C6066" t="s">
        <v>58</v>
      </c>
      <c r="D6066">
        <v>5142002.25</v>
      </c>
      <c r="E6066" t="s">
        <v>330</v>
      </c>
    </row>
    <row r="6067" spans="1:5" x14ac:dyDescent="0.25">
      <c r="A6067">
        <v>1385</v>
      </c>
      <c r="B6067" s="16">
        <v>43525</v>
      </c>
      <c r="C6067" t="s">
        <v>58</v>
      </c>
      <c r="D6067">
        <v>5142002.25</v>
      </c>
      <c r="E6067" t="s">
        <v>330</v>
      </c>
    </row>
    <row r="6068" spans="1:5" x14ac:dyDescent="0.25">
      <c r="A6068">
        <v>1385</v>
      </c>
      <c r="B6068" s="16">
        <v>43556</v>
      </c>
      <c r="C6068" t="s">
        <v>58</v>
      </c>
      <c r="D6068">
        <v>5142002.25</v>
      </c>
      <c r="E6068" t="s">
        <v>330</v>
      </c>
    </row>
    <row r="6069" spans="1:5" x14ac:dyDescent="0.25">
      <c r="A6069">
        <v>1385</v>
      </c>
      <c r="B6069" s="16">
        <v>43586</v>
      </c>
      <c r="C6069" t="s">
        <v>58</v>
      </c>
      <c r="D6069">
        <v>5142002.25</v>
      </c>
      <c r="E6069" t="s">
        <v>330</v>
      </c>
    </row>
    <row r="6070" spans="1:5" x14ac:dyDescent="0.25">
      <c r="A6070">
        <v>1385</v>
      </c>
      <c r="B6070" s="16">
        <v>43466</v>
      </c>
      <c r="C6070" t="s">
        <v>14</v>
      </c>
      <c r="D6070">
        <v>9867809.7000000011</v>
      </c>
      <c r="E6070" t="s">
        <v>330</v>
      </c>
    </row>
    <row r="6071" spans="1:5" x14ac:dyDescent="0.25">
      <c r="A6071">
        <v>1385</v>
      </c>
      <c r="B6071" s="16">
        <v>43497</v>
      </c>
      <c r="C6071" t="s">
        <v>14</v>
      </c>
      <c r="D6071">
        <v>9867809.7000000011</v>
      </c>
      <c r="E6071" t="s">
        <v>330</v>
      </c>
    </row>
    <row r="6072" spans="1:5" x14ac:dyDescent="0.25">
      <c r="A6072">
        <v>1385</v>
      </c>
      <c r="B6072" s="16">
        <v>43525</v>
      </c>
      <c r="C6072" t="s">
        <v>14</v>
      </c>
      <c r="D6072">
        <v>9867809.7000000011</v>
      </c>
      <c r="E6072" t="s">
        <v>330</v>
      </c>
    </row>
    <row r="6073" spans="1:5" x14ac:dyDescent="0.25">
      <c r="A6073">
        <v>1385</v>
      </c>
      <c r="B6073" s="16">
        <v>43556</v>
      </c>
      <c r="C6073" t="s">
        <v>14</v>
      </c>
      <c r="D6073">
        <v>9867809.7000000011</v>
      </c>
      <c r="E6073" t="s">
        <v>330</v>
      </c>
    </row>
    <row r="6074" spans="1:5" x14ac:dyDescent="0.25">
      <c r="A6074">
        <v>1385</v>
      </c>
      <c r="B6074" s="16">
        <v>43586</v>
      </c>
      <c r="C6074" t="s">
        <v>14</v>
      </c>
      <c r="D6074">
        <v>9867809.7000000011</v>
      </c>
      <c r="E6074" t="s">
        <v>330</v>
      </c>
    </row>
    <row r="6075" spans="1:5" x14ac:dyDescent="0.25">
      <c r="A6075">
        <v>1385</v>
      </c>
      <c r="B6075" s="16">
        <v>43466</v>
      </c>
      <c r="C6075" t="s">
        <v>117</v>
      </c>
      <c r="D6075">
        <v>3569121.1500000004</v>
      </c>
      <c r="E6075" t="s">
        <v>330</v>
      </c>
    </row>
    <row r="6076" spans="1:5" x14ac:dyDescent="0.25">
      <c r="A6076">
        <v>1385</v>
      </c>
      <c r="B6076" s="16">
        <v>43497</v>
      </c>
      <c r="C6076" t="s">
        <v>117</v>
      </c>
      <c r="D6076">
        <v>3569121.1500000004</v>
      </c>
      <c r="E6076" t="s">
        <v>330</v>
      </c>
    </row>
    <row r="6077" spans="1:5" x14ac:dyDescent="0.25">
      <c r="A6077">
        <v>1385</v>
      </c>
      <c r="B6077" s="16">
        <v>43525</v>
      </c>
      <c r="C6077" t="s">
        <v>117</v>
      </c>
      <c r="D6077">
        <v>3569121.1500000004</v>
      </c>
      <c r="E6077" t="s">
        <v>330</v>
      </c>
    </row>
    <row r="6078" spans="1:5" x14ac:dyDescent="0.25">
      <c r="A6078">
        <v>1385</v>
      </c>
      <c r="B6078" s="16">
        <v>43556</v>
      </c>
      <c r="C6078" t="s">
        <v>117</v>
      </c>
      <c r="D6078">
        <v>3569121.1500000004</v>
      </c>
      <c r="E6078" t="s">
        <v>330</v>
      </c>
    </row>
    <row r="6079" spans="1:5" x14ac:dyDescent="0.25">
      <c r="A6079">
        <v>1385</v>
      </c>
      <c r="B6079" s="16">
        <v>43586</v>
      </c>
      <c r="C6079" t="s">
        <v>117</v>
      </c>
      <c r="D6079">
        <v>3569121.1500000004</v>
      </c>
      <c r="E6079" t="s">
        <v>330</v>
      </c>
    </row>
    <row r="6080" spans="1:5" x14ac:dyDescent="0.25">
      <c r="A6080">
        <v>1385</v>
      </c>
      <c r="B6080" s="16">
        <v>43466</v>
      </c>
      <c r="C6080" t="s">
        <v>135</v>
      </c>
      <c r="D6080">
        <v>4240842.9000000004</v>
      </c>
      <c r="E6080" t="s">
        <v>330</v>
      </c>
    </row>
    <row r="6081" spans="1:5" x14ac:dyDescent="0.25">
      <c r="A6081">
        <v>1385</v>
      </c>
      <c r="B6081" s="16">
        <v>43497</v>
      </c>
      <c r="C6081" t="s">
        <v>135</v>
      </c>
      <c r="D6081">
        <v>4240842.9000000004</v>
      </c>
      <c r="E6081" t="s">
        <v>330</v>
      </c>
    </row>
    <row r="6082" spans="1:5" x14ac:dyDescent="0.25">
      <c r="A6082">
        <v>1385</v>
      </c>
      <c r="B6082" s="16">
        <v>43525</v>
      </c>
      <c r="C6082" t="s">
        <v>135</v>
      </c>
      <c r="D6082">
        <v>4240842.9000000004</v>
      </c>
      <c r="E6082" t="s">
        <v>330</v>
      </c>
    </row>
    <row r="6083" spans="1:5" x14ac:dyDescent="0.25">
      <c r="A6083">
        <v>1385</v>
      </c>
      <c r="B6083" s="16">
        <v>43556</v>
      </c>
      <c r="C6083" t="s">
        <v>135</v>
      </c>
      <c r="D6083">
        <v>4240842.9000000004</v>
      </c>
      <c r="E6083" t="s">
        <v>330</v>
      </c>
    </row>
    <row r="6084" spans="1:5" x14ac:dyDescent="0.25">
      <c r="A6084">
        <v>1385</v>
      </c>
      <c r="B6084" s="16">
        <v>43586</v>
      </c>
      <c r="C6084" t="s">
        <v>135</v>
      </c>
      <c r="D6084">
        <v>4240842.9000000004</v>
      </c>
      <c r="E6084" t="s">
        <v>330</v>
      </c>
    </row>
    <row r="6085" spans="1:5" x14ac:dyDescent="0.25">
      <c r="A6085">
        <v>1385</v>
      </c>
      <c r="B6085" s="16">
        <v>43466</v>
      </c>
      <c r="C6085" t="s">
        <v>97</v>
      </c>
      <c r="D6085">
        <v>3348034.2</v>
      </c>
      <c r="E6085" t="s">
        <v>330</v>
      </c>
    </row>
    <row r="6086" spans="1:5" x14ac:dyDescent="0.25">
      <c r="A6086">
        <v>1385</v>
      </c>
      <c r="B6086" s="16">
        <v>43497</v>
      </c>
      <c r="C6086" t="s">
        <v>97</v>
      </c>
      <c r="D6086">
        <v>3348034.2</v>
      </c>
      <c r="E6086" t="s">
        <v>330</v>
      </c>
    </row>
    <row r="6087" spans="1:5" x14ac:dyDescent="0.25">
      <c r="A6087">
        <v>1385</v>
      </c>
      <c r="B6087" s="16">
        <v>43525</v>
      </c>
      <c r="C6087" t="s">
        <v>97</v>
      </c>
      <c r="D6087">
        <v>3348034.2</v>
      </c>
      <c r="E6087" t="s">
        <v>330</v>
      </c>
    </row>
    <row r="6088" spans="1:5" x14ac:dyDescent="0.25">
      <c r="A6088">
        <v>1385</v>
      </c>
      <c r="B6088" s="16">
        <v>43556</v>
      </c>
      <c r="C6088" t="s">
        <v>97</v>
      </c>
      <c r="D6088">
        <v>3348034.2</v>
      </c>
      <c r="E6088" t="s">
        <v>330</v>
      </c>
    </row>
    <row r="6089" spans="1:5" x14ac:dyDescent="0.25">
      <c r="A6089">
        <v>1385</v>
      </c>
      <c r="B6089" s="16">
        <v>43586</v>
      </c>
      <c r="C6089" t="s">
        <v>97</v>
      </c>
      <c r="D6089">
        <v>3348034.2</v>
      </c>
      <c r="E6089" t="s">
        <v>330</v>
      </c>
    </row>
    <row r="6090" spans="1:5" x14ac:dyDescent="0.25">
      <c r="A6090">
        <v>1385</v>
      </c>
      <c r="B6090" s="16">
        <v>43466</v>
      </c>
      <c r="C6090" t="s">
        <v>303</v>
      </c>
      <c r="D6090">
        <v>3348034.2</v>
      </c>
      <c r="E6090" t="s">
        <v>330</v>
      </c>
    </row>
    <row r="6091" spans="1:5" x14ac:dyDescent="0.25">
      <c r="A6091">
        <v>1385</v>
      </c>
      <c r="B6091" s="16">
        <v>43497</v>
      </c>
      <c r="C6091" t="s">
        <v>303</v>
      </c>
      <c r="D6091">
        <v>3348034.2</v>
      </c>
      <c r="E6091" t="s">
        <v>330</v>
      </c>
    </row>
    <row r="6092" spans="1:5" x14ac:dyDescent="0.25">
      <c r="A6092">
        <v>1385</v>
      </c>
      <c r="B6092" s="16">
        <v>43525</v>
      </c>
      <c r="C6092" t="s">
        <v>303</v>
      </c>
      <c r="D6092">
        <v>3348034.2</v>
      </c>
      <c r="E6092" t="s">
        <v>330</v>
      </c>
    </row>
    <row r="6093" spans="1:5" x14ac:dyDescent="0.25">
      <c r="A6093">
        <v>1385</v>
      </c>
      <c r="B6093" s="16">
        <v>43556</v>
      </c>
      <c r="C6093" t="s">
        <v>303</v>
      </c>
      <c r="D6093">
        <v>3348034.2</v>
      </c>
      <c r="E6093" t="s">
        <v>330</v>
      </c>
    </row>
    <row r="6094" spans="1:5" x14ac:dyDescent="0.25">
      <c r="A6094">
        <v>1385</v>
      </c>
      <c r="B6094" s="16">
        <v>43586</v>
      </c>
      <c r="C6094" t="s">
        <v>303</v>
      </c>
      <c r="D6094">
        <v>3348034.2</v>
      </c>
      <c r="E6094" t="s">
        <v>330</v>
      </c>
    </row>
    <row r="6095" spans="1:5" x14ac:dyDescent="0.25">
      <c r="A6095">
        <v>1385</v>
      </c>
      <c r="B6095" s="16">
        <v>43466</v>
      </c>
      <c r="C6095" t="s">
        <v>304</v>
      </c>
      <c r="D6095">
        <v>3348034.2</v>
      </c>
      <c r="E6095" t="s">
        <v>330</v>
      </c>
    </row>
    <row r="6096" spans="1:5" x14ac:dyDescent="0.25">
      <c r="A6096">
        <v>1385</v>
      </c>
      <c r="B6096" s="16">
        <v>43497</v>
      </c>
      <c r="C6096" t="s">
        <v>304</v>
      </c>
      <c r="D6096">
        <v>3348034.2</v>
      </c>
      <c r="E6096" t="s">
        <v>330</v>
      </c>
    </row>
    <row r="6097" spans="1:5" x14ac:dyDescent="0.25">
      <c r="A6097">
        <v>1385</v>
      </c>
      <c r="B6097" s="16">
        <v>43525</v>
      </c>
      <c r="C6097" t="s">
        <v>304</v>
      </c>
      <c r="D6097">
        <v>3348034.2</v>
      </c>
      <c r="E6097" t="s">
        <v>330</v>
      </c>
    </row>
    <row r="6098" spans="1:5" x14ac:dyDescent="0.25">
      <c r="A6098">
        <v>1385</v>
      </c>
      <c r="B6098" s="16">
        <v>43556</v>
      </c>
      <c r="C6098" t="s">
        <v>304</v>
      </c>
      <c r="D6098">
        <v>3348034.2</v>
      </c>
      <c r="E6098" t="s">
        <v>330</v>
      </c>
    </row>
    <row r="6099" spans="1:5" x14ac:dyDescent="0.25">
      <c r="A6099">
        <v>1385</v>
      </c>
      <c r="B6099" s="16">
        <v>43586</v>
      </c>
      <c r="C6099" t="s">
        <v>304</v>
      </c>
      <c r="D6099">
        <v>3348034.2</v>
      </c>
      <c r="E6099" t="s">
        <v>330</v>
      </c>
    </row>
    <row r="6100" spans="1:5" x14ac:dyDescent="0.25">
      <c r="A6100">
        <v>1385</v>
      </c>
      <c r="B6100" s="16">
        <v>43466</v>
      </c>
      <c r="C6100" t="s">
        <v>36</v>
      </c>
      <c r="D6100">
        <v>3348034.2</v>
      </c>
      <c r="E6100" t="s">
        <v>330</v>
      </c>
    </row>
    <row r="6101" spans="1:5" x14ac:dyDescent="0.25">
      <c r="A6101">
        <v>1385</v>
      </c>
      <c r="B6101" s="16">
        <v>43497</v>
      </c>
      <c r="C6101" t="s">
        <v>36</v>
      </c>
      <c r="D6101">
        <v>3348034.2</v>
      </c>
      <c r="E6101" t="s">
        <v>330</v>
      </c>
    </row>
    <row r="6102" spans="1:5" x14ac:dyDescent="0.25">
      <c r="A6102">
        <v>1385</v>
      </c>
      <c r="B6102" s="16">
        <v>43525</v>
      </c>
      <c r="C6102" t="s">
        <v>36</v>
      </c>
      <c r="D6102">
        <v>3348034.2</v>
      </c>
      <c r="E6102" t="s">
        <v>330</v>
      </c>
    </row>
    <row r="6103" spans="1:5" x14ac:dyDescent="0.25">
      <c r="A6103">
        <v>1385</v>
      </c>
      <c r="B6103" s="16">
        <v>43556</v>
      </c>
      <c r="C6103" t="s">
        <v>36</v>
      </c>
      <c r="D6103">
        <v>3348034.2</v>
      </c>
      <c r="E6103" t="s">
        <v>330</v>
      </c>
    </row>
    <row r="6104" spans="1:5" x14ac:dyDescent="0.25">
      <c r="A6104">
        <v>1385</v>
      </c>
      <c r="B6104" s="16">
        <v>43586</v>
      </c>
      <c r="C6104" t="s">
        <v>36</v>
      </c>
      <c r="D6104">
        <v>3348034.2</v>
      </c>
      <c r="E6104" t="s">
        <v>330</v>
      </c>
    </row>
    <row r="6105" spans="1:5" x14ac:dyDescent="0.25">
      <c r="A6105">
        <v>1385</v>
      </c>
      <c r="B6105" s="16">
        <v>43466</v>
      </c>
      <c r="C6105" t="s">
        <v>305</v>
      </c>
      <c r="D6105">
        <v>3348034.2</v>
      </c>
      <c r="E6105" t="s">
        <v>330</v>
      </c>
    </row>
    <row r="6106" spans="1:5" x14ac:dyDescent="0.25">
      <c r="A6106">
        <v>1385</v>
      </c>
      <c r="B6106" s="16">
        <v>43497</v>
      </c>
      <c r="C6106" t="s">
        <v>305</v>
      </c>
      <c r="D6106">
        <v>3348034.2</v>
      </c>
      <c r="E6106" t="s">
        <v>330</v>
      </c>
    </row>
    <row r="6107" spans="1:5" x14ac:dyDescent="0.25">
      <c r="A6107">
        <v>1385</v>
      </c>
      <c r="B6107" s="16">
        <v>43525</v>
      </c>
      <c r="C6107" t="s">
        <v>305</v>
      </c>
      <c r="D6107">
        <v>3348034.2</v>
      </c>
      <c r="E6107" t="s">
        <v>330</v>
      </c>
    </row>
    <row r="6108" spans="1:5" x14ac:dyDescent="0.25">
      <c r="A6108">
        <v>1385</v>
      </c>
      <c r="B6108" s="16">
        <v>43556</v>
      </c>
      <c r="C6108" t="s">
        <v>305</v>
      </c>
      <c r="D6108">
        <v>3348034.2</v>
      </c>
      <c r="E6108" t="s">
        <v>330</v>
      </c>
    </row>
    <row r="6109" spans="1:5" x14ac:dyDescent="0.25">
      <c r="A6109">
        <v>1385</v>
      </c>
      <c r="B6109" s="16">
        <v>43586</v>
      </c>
      <c r="C6109" t="s">
        <v>305</v>
      </c>
      <c r="D6109">
        <v>3348034.2</v>
      </c>
      <c r="E6109" t="s">
        <v>330</v>
      </c>
    </row>
    <row r="6110" spans="1:5" x14ac:dyDescent="0.25">
      <c r="A6110">
        <v>1385</v>
      </c>
      <c r="B6110" s="16">
        <v>43466</v>
      </c>
      <c r="C6110" t="s">
        <v>306</v>
      </c>
      <c r="D6110">
        <v>3348034.2</v>
      </c>
      <c r="E6110" t="s">
        <v>330</v>
      </c>
    </row>
    <row r="6111" spans="1:5" x14ac:dyDescent="0.25">
      <c r="A6111">
        <v>1385</v>
      </c>
      <c r="B6111" s="16">
        <v>43497</v>
      </c>
      <c r="C6111" t="s">
        <v>306</v>
      </c>
      <c r="D6111">
        <v>3348034.2</v>
      </c>
      <c r="E6111" t="s">
        <v>330</v>
      </c>
    </row>
    <row r="6112" spans="1:5" x14ac:dyDescent="0.25">
      <c r="A6112">
        <v>1385</v>
      </c>
      <c r="B6112" s="16">
        <v>43525</v>
      </c>
      <c r="C6112" t="s">
        <v>306</v>
      </c>
      <c r="D6112">
        <v>3348034.2</v>
      </c>
      <c r="E6112" t="s">
        <v>330</v>
      </c>
    </row>
    <row r="6113" spans="1:5" x14ac:dyDescent="0.25">
      <c r="A6113">
        <v>1385</v>
      </c>
      <c r="B6113" s="16">
        <v>43556</v>
      </c>
      <c r="C6113" t="s">
        <v>306</v>
      </c>
      <c r="D6113">
        <v>3348034.2</v>
      </c>
      <c r="E6113" t="s">
        <v>330</v>
      </c>
    </row>
    <row r="6114" spans="1:5" x14ac:dyDescent="0.25">
      <c r="A6114">
        <v>1385</v>
      </c>
      <c r="B6114" s="16">
        <v>43586</v>
      </c>
      <c r="C6114" t="s">
        <v>306</v>
      </c>
      <c r="D6114">
        <v>3348034.2</v>
      </c>
      <c r="E6114" t="s">
        <v>330</v>
      </c>
    </row>
    <row r="6115" spans="1:5" x14ac:dyDescent="0.25">
      <c r="A6115">
        <v>1385</v>
      </c>
      <c r="B6115" s="16">
        <v>43466</v>
      </c>
      <c r="C6115" t="s">
        <v>83</v>
      </c>
      <c r="D6115">
        <v>1989931.6500000001</v>
      </c>
      <c r="E6115" t="s">
        <v>330</v>
      </c>
    </row>
    <row r="6116" spans="1:5" x14ac:dyDescent="0.25">
      <c r="A6116">
        <v>1385</v>
      </c>
      <c r="B6116" s="16">
        <v>43497</v>
      </c>
      <c r="C6116" t="s">
        <v>83</v>
      </c>
      <c r="D6116">
        <v>1989931.6500000001</v>
      </c>
      <c r="E6116" t="s">
        <v>330</v>
      </c>
    </row>
    <row r="6117" spans="1:5" x14ac:dyDescent="0.25">
      <c r="A6117">
        <v>1385</v>
      </c>
      <c r="B6117" s="16">
        <v>43525</v>
      </c>
      <c r="C6117" t="s">
        <v>83</v>
      </c>
      <c r="D6117">
        <v>1989931.6500000001</v>
      </c>
      <c r="E6117" t="s">
        <v>330</v>
      </c>
    </row>
    <row r="6118" spans="1:5" x14ac:dyDescent="0.25">
      <c r="A6118">
        <v>1385</v>
      </c>
      <c r="B6118" s="16">
        <v>43556</v>
      </c>
      <c r="C6118" t="s">
        <v>83</v>
      </c>
      <c r="D6118">
        <v>1989931.6500000001</v>
      </c>
      <c r="E6118" t="s">
        <v>330</v>
      </c>
    </row>
    <row r="6119" spans="1:5" x14ac:dyDescent="0.25">
      <c r="A6119">
        <v>1385</v>
      </c>
      <c r="B6119" s="16">
        <v>43586</v>
      </c>
      <c r="C6119" t="s">
        <v>83</v>
      </c>
      <c r="D6119">
        <v>1989931.6500000001</v>
      </c>
      <c r="E6119" t="s">
        <v>330</v>
      </c>
    </row>
    <row r="6120" spans="1:5" x14ac:dyDescent="0.25">
      <c r="A6120">
        <v>1385</v>
      </c>
      <c r="B6120" s="16">
        <v>43466</v>
      </c>
      <c r="C6120" t="s">
        <v>29</v>
      </c>
      <c r="D6120">
        <v>6819217.6500000004</v>
      </c>
      <c r="E6120" t="s">
        <v>330</v>
      </c>
    </row>
    <row r="6121" spans="1:5" x14ac:dyDescent="0.25">
      <c r="A6121">
        <v>1385</v>
      </c>
      <c r="B6121" s="16">
        <v>43497</v>
      </c>
      <c r="C6121" t="s">
        <v>29</v>
      </c>
      <c r="D6121">
        <v>6819217.6500000004</v>
      </c>
      <c r="E6121" t="s">
        <v>330</v>
      </c>
    </row>
    <row r="6122" spans="1:5" x14ac:dyDescent="0.25">
      <c r="A6122">
        <v>1385</v>
      </c>
      <c r="B6122" s="16">
        <v>43525</v>
      </c>
      <c r="C6122" t="s">
        <v>29</v>
      </c>
      <c r="D6122">
        <v>6819217.6500000004</v>
      </c>
      <c r="E6122" t="s">
        <v>330</v>
      </c>
    </row>
    <row r="6123" spans="1:5" x14ac:dyDescent="0.25">
      <c r="A6123">
        <v>1385</v>
      </c>
      <c r="B6123" s="16">
        <v>43556</v>
      </c>
      <c r="C6123" t="s">
        <v>29</v>
      </c>
      <c r="D6123">
        <v>6819217.6500000004</v>
      </c>
      <c r="E6123" t="s">
        <v>330</v>
      </c>
    </row>
    <row r="6124" spans="1:5" x14ac:dyDescent="0.25">
      <c r="A6124">
        <v>1385</v>
      </c>
      <c r="B6124" s="16">
        <v>43586</v>
      </c>
      <c r="C6124" t="s">
        <v>29</v>
      </c>
      <c r="D6124">
        <v>6819217.6500000004</v>
      </c>
      <c r="E6124" t="s">
        <v>330</v>
      </c>
    </row>
    <row r="6125" spans="1:5" x14ac:dyDescent="0.25">
      <c r="A6125">
        <v>1385</v>
      </c>
      <c r="B6125" s="16">
        <v>43466</v>
      </c>
      <c r="C6125" t="s">
        <v>26</v>
      </c>
      <c r="D6125">
        <v>9827696.5500000007</v>
      </c>
      <c r="E6125" t="s">
        <v>330</v>
      </c>
    </row>
    <row r="6126" spans="1:5" x14ac:dyDescent="0.25">
      <c r="A6126">
        <v>1385</v>
      </c>
      <c r="B6126" s="16">
        <v>43497</v>
      </c>
      <c r="C6126" t="s">
        <v>26</v>
      </c>
      <c r="D6126">
        <v>9827696.5500000007</v>
      </c>
      <c r="E6126" t="s">
        <v>330</v>
      </c>
    </row>
    <row r="6127" spans="1:5" x14ac:dyDescent="0.25">
      <c r="A6127">
        <v>1385</v>
      </c>
      <c r="B6127" s="16">
        <v>43525</v>
      </c>
      <c r="C6127" t="s">
        <v>26</v>
      </c>
      <c r="D6127">
        <v>9827696.5500000007</v>
      </c>
      <c r="E6127" t="s">
        <v>330</v>
      </c>
    </row>
    <row r="6128" spans="1:5" x14ac:dyDescent="0.25">
      <c r="A6128">
        <v>1385</v>
      </c>
      <c r="B6128" s="16">
        <v>43556</v>
      </c>
      <c r="C6128" t="s">
        <v>26</v>
      </c>
      <c r="D6128">
        <v>9827696.5500000007</v>
      </c>
      <c r="E6128" t="s">
        <v>330</v>
      </c>
    </row>
    <row r="6129" spans="1:5" x14ac:dyDescent="0.25">
      <c r="A6129">
        <v>1385</v>
      </c>
      <c r="B6129" s="16">
        <v>43586</v>
      </c>
      <c r="C6129" t="s">
        <v>26</v>
      </c>
      <c r="D6129">
        <v>9827696.5500000007</v>
      </c>
      <c r="E6129" t="s">
        <v>330</v>
      </c>
    </row>
    <row r="6130" spans="1:5" x14ac:dyDescent="0.25">
      <c r="A6130">
        <v>1385</v>
      </c>
      <c r="B6130" s="16">
        <v>43466</v>
      </c>
      <c r="C6130" t="s">
        <v>307</v>
      </c>
      <c r="D6130">
        <v>9827696.5500000007</v>
      </c>
      <c r="E6130" t="s">
        <v>330</v>
      </c>
    </row>
    <row r="6131" spans="1:5" x14ac:dyDescent="0.25">
      <c r="A6131">
        <v>1385</v>
      </c>
      <c r="B6131" s="16">
        <v>43497</v>
      </c>
      <c r="C6131" t="s">
        <v>307</v>
      </c>
      <c r="D6131">
        <v>9827696.5500000007</v>
      </c>
      <c r="E6131" t="s">
        <v>330</v>
      </c>
    </row>
    <row r="6132" spans="1:5" x14ac:dyDescent="0.25">
      <c r="A6132">
        <v>1385</v>
      </c>
      <c r="B6132" s="16">
        <v>43525</v>
      </c>
      <c r="C6132" t="s">
        <v>307</v>
      </c>
      <c r="D6132">
        <v>9827696.5500000007</v>
      </c>
      <c r="E6132" t="s">
        <v>330</v>
      </c>
    </row>
    <row r="6133" spans="1:5" x14ac:dyDescent="0.25">
      <c r="A6133">
        <v>1385</v>
      </c>
      <c r="B6133" s="16">
        <v>43556</v>
      </c>
      <c r="C6133" t="s">
        <v>307</v>
      </c>
      <c r="D6133">
        <v>9827696.5500000007</v>
      </c>
      <c r="E6133" t="s">
        <v>330</v>
      </c>
    </row>
    <row r="6134" spans="1:5" x14ac:dyDescent="0.25">
      <c r="A6134">
        <v>1385</v>
      </c>
      <c r="B6134" s="16">
        <v>43586</v>
      </c>
      <c r="C6134" t="s">
        <v>307</v>
      </c>
      <c r="D6134">
        <v>9827696.5500000007</v>
      </c>
      <c r="E6134" t="s">
        <v>330</v>
      </c>
    </row>
    <row r="6135" spans="1:5" x14ac:dyDescent="0.25">
      <c r="A6135">
        <v>1385</v>
      </c>
      <c r="B6135" s="16">
        <v>43466</v>
      </c>
      <c r="C6135" t="s">
        <v>307</v>
      </c>
      <c r="D6135">
        <v>9827696.5500000007</v>
      </c>
      <c r="E6135" t="s">
        <v>330</v>
      </c>
    </row>
    <row r="6136" spans="1:5" x14ac:dyDescent="0.25">
      <c r="A6136">
        <v>1385</v>
      </c>
      <c r="B6136" s="16">
        <v>43497</v>
      </c>
      <c r="C6136" t="s">
        <v>307</v>
      </c>
      <c r="D6136">
        <v>9827696.5500000007</v>
      </c>
      <c r="E6136" t="s">
        <v>330</v>
      </c>
    </row>
    <row r="6137" spans="1:5" x14ac:dyDescent="0.25">
      <c r="A6137">
        <v>1385</v>
      </c>
      <c r="B6137" s="16">
        <v>43525</v>
      </c>
      <c r="C6137" t="s">
        <v>307</v>
      </c>
      <c r="D6137">
        <v>9827696.5500000007</v>
      </c>
      <c r="E6137" t="s">
        <v>330</v>
      </c>
    </row>
    <row r="6138" spans="1:5" x14ac:dyDescent="0.25">
      <c r="A6138">
        <v>1385</v>
      </c>
      <c r="B6138" s="16">
        <v>43556</v>
      </c>
      <c r="C6138" t="s">
        <v>307</v>
      </c>
      <c r="D6138">
        <v>9827696.5500000007</v>
      </c>
      <c r="E6138" t="s">
        <v>330</v>
      </c>
    </row>
    <row r="6139" spans="1:5" x14ac:dyDescent="0.25">
      <c r="A6139">
        <v>1385</v>
      </c>
      <c r="B6139" s="16">
        <v>43586</v>
      </c>
      <c r="C6139" t="s">
        <v>307</v>
      </c>
      <c r="D6139">
        <v>9827696.5500000007</v>
      </c>
      <c r="E6139" t="s">
        <v>330</v>
      </c>
    </row>
    <row r="6140" spans="1:5" x14ac:dyDescent="0.25">
      <c r="A6140">
        <v>1385</v>
      </c>
      <c r="B6140" s="16">
        <v>43466</v>
      </c>
      <c r="C6140" t="s">
        <v>308</v>
      </c>
      <c r="D6140">
        <v>7822044.3000000007</v>
      </c>
      <c r="E6140" t="s">
        <v>330</v>
      </c>
    </row>
    <row r="6141" spans="1:5" x14ac:dyDescent="0.25">
      <c r="A6141">
        <v>1385</v>
      </c>
      <c r="B6141" s="16">
        <v>43497</v>
      </c>
      <c r="C6141" t="s">
        <v>308</v>
      </c>
      <c r="D6141">
        <v>7822044.3000000007</v>
      </c>
      <c r="E6141" t="s">
        <v>330</v>
      </c>
    </row>
    <row r="6142" spans="1:5" x14ac:dyDescent="0.25">
      <c r="A6142">
        <v>1385</v>
      </c>
      <c r="B6142" s="16">
        <v>43525</v>
      </c>
      <c r="C6142" t="s">
        <v>308</v>
      </c>
      <c r="D6142">
        <v>7822044.3000000007</v>
      </c>
      <c r="E6142" t="s">
        <v>330</v>
      </c>
    </row>
    <row r="6143" spans="1:5" x14ac:dyDescent="0.25">
      <c r="A6143">
        <v>1385</v>
      </c>
      <c r="B6143" s="16">
        <v>43556</v>
      </c>
      <c r="C6143" t="s">
        <v>308</v>
      </c>
      <c r="D6143">
        <v>7822044.3000000007</v>
      </c>
      <c r="E6143" t="s">
        <v>330</v>
      </c>
    </row>
    <row r="6144" spans="1:5" x14ac:dyDescent="0.25">
      <c r="A6144">
        <v>1385</v>
      </c>
      <c r="B6144" s="16">
        <v>43586</v>
      </c>
      <c r="C6144" t="s">
        <v>308</v>
      </c>
      <c r="D6144">
        <v>7822044.3000000007</v>
      </c>
      <c r="E6144" t="s">
        <v>330</v>
      </c>
    </row>
    <row r="6145" spans="1:5" x14ac:dyDescent="0.25">
      <c r="A6145">
        <v>1899</v>
      </c>
      <c r="B6145" s="16">
        <v>43525</v>
      </c>
      <c r="C6145" t="s">
        <v>19</v>
      </c>
      <c r="D6145">
        <v>3184375.68</v>
      </c>
      <c r="E6145" t="s">
        <v>330</v>
      </c>
    </row>
    <row r="6146" spans="1:5" x14ac:dyDescent="0.25">
      <c r="A6146">
        <v>1899</v>
      </c>
      <c r="B6146" s="16">
        <v>43556</v>
      </c>
      <c r="C6146" t="s">
        <v>19</v>
      </c>
      <c r="D6146">
        <v>3184375.68</v>
      </c>
      <c r="E6146" t="s">
        <v>330</v>
      </c>
    </row>
    <row r="6147" spans="1:5" x14ac:dyDescent="0.25">
      <c r="A6147">
        <v>1899</v>
      </c>
      <c r="B6147" s="16">
        <v>43586</v>
      </c>
      <c r="C6147" t="s">
        <v>19</v>
      </c>
      <c r="D6147">
        <v>3184375.68</v>
      </c>
      <c r="E6147" t="s">
        <v>330</v>
      </c>
    </row>
    <row r="6148" spans="1:5" x14ac:dyDescent="0.25">
      <c r="A6148">
        <v>1899</v>
      </c>
      <c r="B6148" s="16">
        <v>43617</v>
      </c>
      <c r="C6148" t="s">
        <v>19</v>
      </c>
      <c r="D6148">
        <v>3184375.68</v>
      </c>
      <c r="E6148" t="s">
        <v>330</v>
      </c>
    </row>
    <row r="6149" spans="1:5" x14ac:dyDescent="0.25">
      <c r="A6149">
        <v>1899</v>
      </c>
      <c r="B6149" s="16">
        <v>43647</v>
      </c>
      <c r="C6149" t="s">
        <v>19</v>
      </c>
      <c r="D6149">
        <v>3184375.68</v>
      </c>
      <c r="E6149" t="s">
        <v>330</v>
      </c>
    </row>
    <row r="6150" spans="1:5" x14ac:dyDescent="0.25">
      <c r="A6150">
        <v>1899</v>
      </c>
      <c r="B6150" s="16">
        <v>43678</v>
      </c>
      <c r="C6150" t="s">
        <v>19</v>
      </c>
      <c r="D6150">
        <v>4776563.5200000005</v>
      </c>
      <c r="E6150" t="s">
        <v>330</v>
      </c>
    </row>
    <row r="6151" spans="1:5" x14ac:dyDescent="0.25">
      <c r="A6151">
        <v>1899</v>
      </c>
      <c r="B6151" s="16">
        <v>43709</v>
      </c>
      <c r="C6151" t="s">
        <v>19</v>
      </c>
      <c r="D6151">
        <v>4776563.5200000005</v>
      </c>
      <c r="E6151" t="s">
        <v>330</v>
      </c>
    </row>
    <row r="6152" spans="1:5" x14ac:dyDescent="0.25">
      <c r="A6152">
        <v>1899</v>
      </c>
      <c r="B6152" s="16">
        <v>43739</v>
      </c>
      <c r="C6152" t="s">
        <v>19</v>
      </c>
      <c r="D6152">
        <v>4776563.5200000005</v>
      </c>
      <c r="E6152" t="s">
        <v>330</v>
      </c>
    </row>
    <row r="6153" spans="1:5" x14ac:dyDescent="0.25">
      <c r="A6153">
        <v>1899</v>
      </c>
      <c r="B6153" s="16">
        <v>43770</v>
      </c>
      <c r="C6153" t="s">
        <v>19</v>
      </c>
      <c r="D6153">
        <v>4776563.5200000005</v>
      </c>
      <c r="E6153" t="s">
        <v>330</v>
      </c>
    </row>
    <row r="6154" spans="1:5" x14ac:dyDescent="0.25">
      <c r="A6154">
        <v>1899</v>
      </c>
      <c r="B6154" s="16">
        <v>43800</v>
      </c>
      <c r="C6154" t="s">
        <v>19</v>
      </c>
      <c r="D6154">
        <v>4776563.5200000005</v>
      </c>
      <c r="E6154" t="s">
        <v>330</v>
      </c>
    </row>
    <row r="6155" spans="1:5" x14ac:dyDescent="0.25">
      <c r="A6155">
        <v>1899</v>
      </c>
      <c r="B6155" s="16">
        <v>43831</v>
      </c>
      <c r="C6155" t="s">
        <v>19</v>
      </c>
      <c r="D6155">
        <v>4776563.5200000005</v>
      </c>
      <c r="E6155" t="s">
        <v>330</v>
      </c>
    </row>
    <row r="6156" spans="1:5" x14ac:dyDescent="0.25">
      <c r="A6156">
        <v>1899</v>
      </c>
      <c r="B6156" s="16">
        <v>43862</v>
      </c>
      <c r="C6156" t="s">
        <v>19</v>
      </c>
      <c r="D6156">
        <v>4776563.5200000005</v>
      </c>
      <c r="E6156" t="s">
        <v>330</v>
      </c>
    </row>
    <row r="6157" spans="1:5" x14ac:dyDescent="0.25">
      <c r="A6157">
        <v>1899</v>
      </c>
      <c r="B6157" s="16">
        <v>43891</v>
      </c>
      <c r="C6157" t="s">
        <v>19</v>
      </c>
      <c r="D6157">
        <v>4776563.5200000005</v>
      </c>
      <c r="E6157" t="s">
        <v>330</v>
      </c>
    </row>
    <row r="6158" spans="1:5" x14ac:dyDescent="0.25">
      <c r="A6158">
        <v>1899</v>
      </c>
      <c r="B6158" s="16">
        <v>43922</v>
      </c>
      <c r="C6158" t="s">
        <v>19</v>
      </c>
      <c r="D6158">
        <v>4776563.5200000005</v>
      </c>
      <c r="E6158" t="s">
        <v>330</v>
      </c>
    </row>
    <row r="6159" spans="1:5" x14ac:dyDescent="0.25">
      <c r="A6159">
        <v>1899</v>
      </c>
      <c r="B6159" s="16">
        <v>43952</v>
      </c>
      <c r="C6159" t="s">
        <v>19</v>
      </c>
      <c r="D6159">
        <v>4776563.5200000005</v>
      </c>
      <c r="E6159" t="s">
        <v>330</v>
      </c>
    </row>
    <row r="6160" spans="1:5" x14ac:dyDescent="0.25">
      <c r="A6160">
        <v>1899</v>
      </c>
      <c r="B6160" s="16">
        <v>43983</v>
      </c>
      <c r="C6160" t="s">
        <v>19</v>
      </c>
      <c r="D6160">
        <v>4776563.5200000005</v>
      </c>
      <c r="E6160" t="s">
        <v>330</v>
      </c>
    </row>
    <row r="6161" spans="1:5" x14ac:dyDescent="0.25">
      <c r="A6161">
        <v>1899</v>
      </c>
      <c r="B6161" s="16">
        <v>44013</v>
      </c>
      <c r="C6161" t="s">
        <v>19</v>
      </c>
      <c r="D6161">
        <v>4776563.5200000005</v>
      </c>
      <c r="E6161" t="s">
        <v>330</v>
      </c>
    </row>
    <row r="6162" spans="1:5" x14ac:dyDescent="0.25">
      <c r="A6162">
        <v>1899</v>
      </c>
      <c r="B6162" s="16">
        <v>44044</v>
      </c>
      <c r="C6162" t="s">
        <v>19</v>
      </c>
      <c r="D6162">
        <v>4776563.5200000005</v>
      </c>
      <c r="E6162" t="s">
        <v>330</v>
      </c>
    </row>
    <row r="6163" spans="1:5" x14ac:dyDescent="0.25">
      <c r="A6163">
        <v>1899</v>
      </c>
      <c r="B6163" s="16">
        <v>44075</v>
      </c>
      <c r="C6163" t="s">
        <v>19</v>
      </c>
      <c r="D6163">
        <v>4776563.5200000005</v>
      </c>
      <c r="E6163" t="s">
        <v>330</v>
      </c>
    </row>
    <row r="6164" spans="1:5" x14ac:dyDescent="0.25">
      <c r="A6164">
        <v>1899</v>
      </c>
      <c r="B6164" s="16">
        <v>44105</v>
      </c>
      <c r="C6164" t="s">
        <v>19</v>
      </c>
      <c r="D6164">
        <v>4776563.5200000005</v>
      </c>
      <c r="E6164" t="s">
        <v>330</v>
      </c>
    </row>
    <row r="6165" spans="1:5" x14ac:dyDescent="0.25">
      <c r="A6165">
        <v>1899</v>
      </c>
      <c r="B6165" s="16">
        <v>44136</v>
      </c>
      <c r="C6165" t="s">
        <v>19</v>
      </c>
      <c r="D6165">
        <v>4776563.5200000005</v>
      </c>
      <c r="E6165" t="s">
        <v>330</v>
      </c>
    </row>
    <row r="6166" spans="1:5" x14ac:dyDescent="0.25">
      <c r="A6166">
        <v>1899</v>
      </c>
      <c r="B6166" s="16">
        <v>44166</v>
      </c>
      <c r="C6166" t="s">
        <v>19</v>
      </c>
      <c r="D6166">
        <v>4776563.5200000005</v>
      </c>
      <c r="E6166" t="s">
        <v>330</v>
      </c>
    </row>
    <row r="6167" spans="1:5" x14ac:dyDescent="0.25">
      <c r="A6167">
        <v>1899</v>
      </c>
      <c r="B6167" s="16">
        <v>44197</v>
      </c>
      <c r="C6167" t="s">
        <v>19</v>
      </c>
      <c r="D6167">
        <v>4776563.5200000005</v>
      </c>
      <c r="E6167" t="s">
        <v>330</v>
      </c>
    </row>
    <row r="6168" spans="1:5" x14ac:dyDescent="0.25">
      <c r="A6168">
        <v>1899</v>
      </c>
      <c r="B6168" s="16">
        <v>44228</v>
      </c>
      <c r="C6168" t="s">
        <v>19</v>
      </c>
      <c r="D6168">
        <v>4776563.5200000005</v>
      </c>
      <c r="E6168" t="s">
        <v>330</v>
      </c>
    </row>
    <row r="6169" spans="1:5" x14ac:dyDescent="0.25">
      <c r="A6169">
        <v>1899</v>
      </c>
      <c r="B6169" s="16">
        <v>44256</v>
      </c>
      <c r="C6169" t="s">
        <v>19</v>
      </c>
      <c r="D6169">
        <v>4776563.5200000005</v>
      </c>
      <c r="E6169" t="s">
        <v>330</v>
      </c>
    </row>
    <row r="6170" spans="1:5" x14ac:dyDescent="0.25">
      <c r="A6170">
        <v>1899</v>
      </c>
      <c r="B6170" s="16">
        <v>43525</v>
      </c>
      <c r="C6170" t="s">
        <v>12</v>
      </c>
      <c r="D6170">
        <v>6862500</v>
      </c>
      <c r="E6170" t="s">
        <v>330</v>
      </c>
    </row>
    <row r="6171" spans="1:5" x14ac:dyDescent="0.25">
      <c r="A6171">
        <v>1899</v>
      </c>
      <c r="B6171" s="16">
        <v>43556</v>
      </c>
      <c r="C6171" t="s">
        <v>12</v>
      </c>
      <c r="D6171">
        <v>6862500</v>
      </c>
      <c r="E6171" t="s">
        <v>330</v>
      </c>
    </row>
    <row r="6172" spans="1:5" x14ac:dyDescent="0.25">
      <c r="A6172">
        <v>1899</v>
      </c>
      <c r="B6172" s="16">
        <v>43586</v>
      </c>
      <c r="C6172" t="s">
        <v>12</v>
      </c>
      <c r="D6172">
        <v>6862500</v>
      </c>
      <c r="E6172" t="s">
        <v>330</v>
      </c>
    </row>
    <row r="6173" spans="1:5" x14ac:dyDescent="0.25">
      <c r="A6173">
        <v>1899</v>
      </c>
      <c r="B6173" s="16">
        <v>43617</v>
      </c>
      <c r="C6173" t="s">
        <v>12</v>
      </c>
      <c r="D6173">
        <v>6862500</v>
      </c>
      <c r="E6173" t="s">
        <v>330</v>
      </c>
    </row>
    <row r="6174" spans="1:5" x14ac:dyDescent="0.25">
      <c r="A6174">
        <v>1899</v>
      </c>
      <c r="B6174" s="16">
        <v>43647</v>
      </c>
      <c r="C6174" t="s">
        <v>12</v>
      </c>
      <c r="D6174">
        <v>6862500</v>
      </c>
      <c r="E6174" t="s">
        <v>330</v>
      </c>
    </row>
    <row r="6175" spans="1:5" x14ac:dyDescent="0.25">
      <c r="A6175">
        <v>1899</v>
      </c>
      <c r="B6175" s="16">
        <v>43678</v>
      </c>
      <c r="C6175" t="s">
        <v>12</v>
      </c>
      <c r="D6175">
        <v>9150000</v>
      </c>
      <c r="E6175" t="s">
        <v>330</v>
      </c>
    </row>
    <row r="6176" spans="1:5" x14ac:dyDescent="0.25">
      <c r="A6176">
        <v>1899</v>
      </c>
      <c r="B6176" s="16">
        <v>43709</v>
      </c>
      <c r="C6176" t="s">
        <v>12</v>
      </c>
      <c r="D6176">
        <v>9150000</v>
      </c>
      <c r="E6176" t="s">
        <v>330</v>
      </c>
    </row>
    <row r="6177" spans="1:5" x14ac:dyDescent="0.25">
      <c r="A6177">
        <v>1899</v>
      </c>
      <c r="B6177" s="16">
        <v>43739</v>
      </c>
      <c r="C6177" t="s">
        <v>12</v>
      </c>
      <c r="D6177">
        <v>9150000</v>
      </c>
      <c r="E6177" t="s">
        <v>330</v>
      </c>
    </row>
    <row r="6178" spans="1:5" x14ac:dyDescent="0.25">
      <c r="A6178">
        <v>1899</v>
      </c>
      <c r="B6178" s="16">
        <v>43770</v>
      </c>
      <c r="C6178" t="s">
        <v>12</v>
      </c>
      <c r="D6178">
        <v>9150000</v>
      </c>
      <c r="E6178" t="s">
        <v>330</v>
      </c>
    </row>
    <row r="6179" spans="1:5" x14ac:dyDescent="0.25">
      <c r="A6179">
        <v>1899</v>
      </c>
      <c r="B6179" s="16">
        <v>43800</v>
      </c>
      <c r="C6179" t="s">
        <v>12</v>
      </c>
      <c r="D6179">
        <v>9150000</v>
      </c>
      <c r="E6179" t="s">
        <v>330</v>
      </c>
    </row>
    <row r="6180" spans="1:5" x14ac:dyDescent="0.25">
      <c r="A6180">
        <v>1899</v>
      </c>
      <c r="B6180" s="16">
        <v>43831</v>
      </c>
      <c r="C6180" t="s">
        <v>12</v>
      </c>
      <c r="D6180">
        <v>9150000</v>
      </c>
      <c r="E6180" t="s">
        <v>330</v>
      </c>
    </row>
    <row r="6181" spans="1:5" x14ac:dyDescent="0.25">
      <c r="A6181">
        <v>1899</v>
      </c>
      <c r="B6181" s="16">
        <v>43862</v>
      </c>
      <c r="C6181" t="s">
        <v>12</v>
      </c>
      <c r="D6181">
        <v>9150000</v>
      </c>
      <c r="E6181" t="s">
        <v>330</v>
      </c>
    </row>
    <row r="6182" spans="1:5" x14ac:dyDescent="0.25">
      <c r="A6182">
        <v>1899</v>
      </c>
      <c r="B6182" s="16">
        <v>43891</v>
      </c>
      <c r="C6182" t="s">
        <v>12</v>
      </c>
      <c r="D6182">
        <v>9150000</v>
      </c>
      <c r="E6182" t="s">
        <v>330</v>
      </c>
    </row>
    <row r="6183" spans="1:5" x14ac:dyDescent="0.25">
      <c r="A6183">
        <v>1899</v>
      </c>
      <c r="B6183" s="16">
        <v>43922</v>
      </c>
      <c r="C6183" t="s">
        <v>12</v>
      </c>
      <c r="D6183">
        <v>9150000</v>
      </c>
      <c r="E6183" t="s">
        <v>330</v>
      </c>
    </row>
    <row r="6184" spans="1:5" x14ac:dyDescent="0.25">
      <c r="A6184">
        <v>1899</v>
      </c>
      <c r="B6184" s="16">
        <v>43952</v>
      </c>
      <c r="C6184" t="s">
        <v>12</v>
      </c>
      <c r="D6184">
        <v>9150000</v>
      </c>
      <c r="E6184" t="s">
        <v>330</v>
      </c>
    </row>
    <row r="6185" spans="1:5" x14ac:dyDescent="0.25">
      <c r="A6185">
        <v>1899</v>
      </c>
      <c r="B6185" s="16">
        <v>43983</v>
      </c>
      <c r="C6185" t="s">
        <v>12</v>
      </c>
      <c r="D6185">
        <v>9150000</v>
      </c>
      <c r="E6185" t="s">
        <v>330</v>
      </c>
    </row>
    <row r="6186" spans="1:5" x14ac:dyDescent="0.25">
      <c r="A6186">
        <v>1899</v>
      </c>
      <c r="B6186" s="16">
        <v>44013</v>
      </c>
      <c r="C6186" t="s">
        <v>12</v>
      </c>
      <c r="D6186">
        <v>9150000</v>
      </c>
      <c r="E6186" t="s">
        <v>330</v>
      </c>
    </row>
    <row r="6187" spans="1:5" x14ac:dyDescent="0.25">
      <c r="A6187">
        <v>1899</v>
      </c>
      <c r="B6187" s="16">
        <v>44044</v>
      </c>
      <c r="C6187" t="s">
        <v>12</v>
      </c>
      <c r="D6187">
        <v>9150000</v>
      </c>
      <c r="E6187" t="s">
        <v>330</v>
      </c>
    </row>
    <row r="6188" spans="1:5" x14ac:dyDescent="0.25">
      <c r="A6188">
        <v>1899</v>
      </c>
      <c r="B6188" s="16">
        <v>44075</v>
      </c>
      <c r="C6188" t="s">
        <v>12</v>
      </c>
      <c r="D6188">
        <v>9150000</v>
      </c>
      <c r="E6188" t="s">
        <v>330</v>
      </c>
    </row>
    <row r="6189" spans="1:5" x14ac:dyDescent="0.25">
      <c r="A6189">
        <v>1899</v>
      </c>
      <c r="B6189" s="16">
        <v>44105</v>
      </c>
      <c r="C6189" t="s">
        <v>12</v>
      </c>
      <c r="D6189">
        <v>9150000</v>
      </c>
      <c r="E6189" t="s">
        <v>330</v>
      </c>
    </row>
    <row r="6190" spans="1:5" x14ac:dyDescent="0.25">
      <c r="A6190">
        <v>1899</v>
      </c>
      <c r="B6190" s="16">
        <v>44136</v>
      </c>
      <c r="C6190" t="s">
        <v>12</v>
      </c>
      <c r="D6190">
        <v>9150000</v>
      </c>
      <c r="E6190" t="s">
        <v>330</v>
      </c>
    </row>
    <row r="6191" spans="1:5" x14ac:dyDescent="0.25">
      <c r="A6191">
        <v>1899</v>
      </c>
      <c r="B6191" s="16">
        <v>44166</v>
      </c>
      <c r="C6191" t="s">
        <v>12</v>
      </c>
      <c r="D6191">
        <v>9150000</v>
      </c>
      <c r="E6191" t="s">
        <v>330</v>
      </c>
    </row>
    <row r="6192" spans="1:5" x14ac:dyDescent="0.25">
      <c r="A6192">
        <v>1899</v>
      </c>
      <c r="B6192" s="16">
        <v>44197</v>
      </c>
      <c r="C6192" t="s">
        <v>12</v>
      </c>
      <c r="D6192">
        <v>9150000</v>
      </c>
      <c r="E6192" t="s">
        <v>330</v>
      </c>
    </row>
    <row r="6193" spans="1:5" x14ac:dyDescent="0.25">
      <c r="A6193">
        <v>1899</v>
      </c>
      <c r="B6193" s="16">
        <v>44228</v>
      </c>
      <c r="C6193" t="s">
        <v>12</v>
      </c>
      <c r="D6193">
        <v>9150000</v>
      </c>
      <c r="E6193" t="s">
        <v>330</v>
      </c>
    </row>
    <row r="6194" spans="1:5" x14ac:dyDescent="0.25">
      <c r="A6194">
        <v>1899</v>
      </c>
      <c r="B6194" s="16">
        <v>44256</v>
      </c>
      <c r="C6194" t="s">
        <v>12</v>
      </c>
      <c r="D6194">
        <v>9150000</v>
      </c>
      <c r="E6194" t="s">
        <v>330</v>
      </c>
    </row>
    <row r="6195" spans="1:5" x14ac:dyDescent="0.25">
      <c r="A6195">
        <v>1899</v>
      </c>
      <c r="B6195" s="16">
        <v>43525</v>
      </c>
      <c r="C6195" t="s">
        <v>169</v>
      </c>
      <c r="D6195">
        <v>6000000</v>
      </c>
      <c r="E6195" t="s">
        <v>330</v>
      </c>
    </row>
    <row r="6196" spans="1:5" x14ac:dyDescent="0.25">
      <c r="A6196">
        <v>1899</v>
      </c>
      <c r="B6196" s="16">
        <v>43556</v>
      </c>
      <c r="C6196" t="s">
        <v>169</v>
      </c>
      <c r="D6196">
        <v>6000000</v>
      </c>
      <c r="E6196" t="s">
        <v>330</v>
      </c>
    </row>
    <row r="6197" spans="1:5" x14ac:dyDescent="0.25">
      <c r="A6197">
        <v>1899</v>
      </c>
      <c r="B6197" s="16">
        <v>43586</v>
      </c>
      <c r="C6197" t="s">
        <v>169</v>
      </c>
      <c r="D6197">
        <v>6000000</v>
      </c>
      <c r="E6197" t="s">
        <v>330</v>
      </c>
    </row>
    <row r="6198" spans="1:5" x14ac:dyDescent="0.25">
      <c r="A6198">
        <v>1899</v>
      </c>
      <c r="B6198" s="16">
        <v>43617</v>
      </c>
      <c r="C6198" t="s">
        <v>169</v>
      </c>
      <c r="D6198">
        <v>6000000</v>
      </c>
      <c r="E6198" t="s">
        <v>330</v>
      </c>
    </row>
    <row r="6199" spans="1:5" x14ac:dyDescent="0.25">
      <c r="A6199">
        <v>1899</v>
      </c>
      <c r="B6199" s="16">
        <v>43647</v>
      </c>
      <c r="C6199" t="s">
        <v>169</v>
      </c>
      <c r="D6199">
        <v>6000000</v>
      </c>
      <c r="E6199" t="s">
        <v>330</v>
      </c>
    </row>
    <row r="6200" spans="1:5" x14ac:dyDescent="0.25">
      <c r="A6200">
        <v>1899</v>
      </c>
      <c r="B6200" s="16">
        <v>43678</v>
      </c>
      <c r="C6200" t="s">
        <v>169</v>
      </c>
      <c r="D6200">
        <v>6000000</v>
      </c>
      <c r="E6200" t="s">
        <v>330</v>
      </c>
    </row>
    <row r="6201" spans="1:5" x14ac:dyDescent="0.25">
      <c r="A6201">
        <v>1899</v>
      </c>
      <c r="B6201" s="16">
        <v>43709</v>
      </c>
      <c r="C6201" t="s">
        <v>169</v>
      </c>
      <c r="D6201">
        <v>6000000</v>
      </c>
      <c r="E6201" t="s">
        <v>330</v>
      </c>
    </row>
    <row r="6202" spans="1:5" x14ac:dyDescent="0.25">
      <c r="A6202">
        <v>1899</v>
      </c>
      <c r="B6202" s="16">
        <v>43739</v>
      </c>
      <c r="C6202" t="s">
        <v>169</v>
      </c>
      <c r="D6202">
        <v>6000000</v>
      </c>
      <c r="E6202" t="s">
        <v>330</v>
      </c>
    </row>
    <row r="6203" spans="1:5" x14ac:dyDescent="0.25">
      <c r="A6203">
        <v>1899</v>
      </c>
      <c r="B6203" s="16">
        <v>43770</v>
      </c>
      <c r="C6203" t="s">
        <v>169</v>
      </c>
      <c r="D6203">
        <v>6000000</v>
      </c>
      <c r="E6203" t="s">
        <v>330</v>
      </c>
    </row>
    <row r="6204" spans="1:5" x14ac:dyDescent="0.25">
      <c r="A6204">
        <v>1899</v>
      </c>
      <c r="B6204" s="16">
        <v>43800</v>
      </c>
      <c r="C6204" t="s">
        <v>169</v>
      </c>
      <c r="D6204">
        <v>6000000</v>
      </c>
      <c r="E6204" t="s">
        <v>330</v>
      </c>
    </row>
    <row r="6205" spans="1:5" x14ac:dyDescent="0.25">
      <c r="A6205">
        <v>1899</v>
      </c>
      <c r="B6205" s="16">
        <v>43831</v>
      </c>
      <c r="C6205" t="s">
        <v>169</v>
      </c>
      <c r="D6205">
        <v>6000000</v>
      </c>
      <c r="E6205" t="s">
        <v>330</v>
      </c>
    </row>
    <row r="6206" spans="1:5" x14ac:dyDescent="0.25">
      <c r="A6206">
        <v>1899</v>
      </c>
      <c r="B6206" s="16">
        <v>43862</v>
      </c>
      <c r="C6206" t="s">
        <v>169</v>
      </c>
      <c r="D6206">
        <v>6000000</v>
      </c>
      <c r="E6206" t="s">
        <v>330</v>
      </c>
    </row>
    <row r="6207" spans="1:5" x14ac:dyDescent="0.25">
      <c r="A6207">
        <v>1899</v>
      </c>
      <c r="B6207" s="16">
        <v>43891</v>
      </c>
      <c r="C6207" t="s">
        <v>169</v>
      </c>
      <c r="D6207">
        <v>6000000</v>
      </c>
      <c r="E6207" t="s">
        <v>330</v>
      </c>
    </row>
    <row r="6208" spans="1:5" x14ac:dyDescent="0.25">
      <c r="A6208">
        <v>1899</v>
      </c>
      <c r="B6208" s="16">
        <v>43922</v>
      </c>
      <c r="C6208" t="s">
        <v>169</v>
      </c>
      <c r="D6208">
        <v>6000000</v>
      </c>
      <c r="E6208" t="s">
        <v>330</v>
      </c>
    </row>
    <row r="6209" spans="1:5" x14ac:dyDescent="0.25">
      <c r="A6209">
        <v>1899</v>
      </c>
      <c r="B6209" s="16">
        <v>43525</v>
      </c>
      <c r="C6209" t="s">
        <v>14</v>
      </c>
      <c r="D6209">
        <v>6000000</v>
      </c>
      <c r="E6209" t="s">
        <v>330</v>
      </c>
    </row>
    <row r="6210" spans="1:5" x14ac:dyDescent="0.25">
      <c r="A6210">
        <v>1899</v>
      </c>
      <c r="B6210" s="16">
        <v>43556</v>
      </c>
      <c r="C6210" t="s">
        <v>14</v>
      </c>
      <c r="D6210">
        <v>6000000</v>
      </c>
      <c r="E6210" t="s">
        <v>330</v>
      </c>
    </row>
    <row r="6211" spans="1:5" x14ac:dyDescent="0.25">
      <c r="A6211">
        <v>1899</v>
      </c>
      <c r="B6211" s="16">
        <v>43586</v>
      </c>
      <c r="C6211" t="s">
        <v>14</v>
      </c>
      <c r="D6211">
        <v>6000000</v>
      </c>
      <c r="E6211" t="s">
        <v>330</v>
      </c>
    </row>
    <row r="6212" spans="1:5" x14ac:dyDescent="0.25">
      <c r="A6212">
        <v>1899</v>
      </c>
      <c r="B6212" s="16">
        <v>43617</v>
      </c>
      <c r="C6212" t="s">
        <v>14</v>
      </c>
      <c r="D6212">
        <v>6000000</v>
      </c>
      <c r="E6212" t="s">
        <v>330</v>
      </c>
    </row>
    <row r="6213" spans="1:5" x14ac:dyDescent="0.25">
      <c r="A6213">
        <v>1899</v>
      </c>
      <c r="B6213" s="16">
        <v>43647</v>
      </c>
      <c r="C6213" t="s">
        <v>14</v>
      </c>
      <c r="D6213">
        <v>6000000</v>
      </c>
      <c r="E6213" t="s">
        <v>330</v>
      </c>
    </row>
    <row r="6214" spans="1:5" x14ac:dyDescent="0.25">
      <c r="A6214">
        <v>1899</v>
      </c>
      <c r="B6214" s="16">
        <v>43678</v>
      </c>
      <c r="C6214" t="s">
        <v>14</v>
      </c>
      <c r="D6214">
        <v>6000000</v>
      </c>
      <c r="E6214" t="s">
        <v>330</v>
      </c>
    </row>
    <row r="6215" spans="1:5" x14ac:dyDescent="0.25">
      <c r="A6215">
        <v>1899</v>
      </c>
      <c r="B6215" s="16">
        <v>43709</v>
      </c>
      <c r="C6215" t="s">
        <v>14</v>
      </c>
      <c r="D6215">
        <v>6000000</v>
      </c>
      <c r="E6215" t="s">
        <v>330</v>
      </c>
    </row>
    <row r="6216" spans="1:5" x14ac:dyDescent="0.25">
      <c r="A6216">
        <v>1899</v>
      </c>
      <c r="B6216" s="16">
        <v>43739</v>
      </c>
      <c r="C6216" t="s">
        <v>14</v>
      </c>
      <c r="D6216">
        <v>6000000</v>
      </c>
      <c r="E6216" t="s">
        <v>330</v>
      </c>
    </row>
    <row r="6217" spans="1:5" x14ac:dyDescent="0.25">
      <c r="A6217">
        <v>1899</v>
      </c>
      <c r="B6217" s="16">
        <v>43770</v>
      </c>
      <c r="C6217" t="s">
        <v>14</v>
      </c>
      <c r="D6217">
        <v>6000000</v>
      </c>
      <c r="E6217" t="s">
        <v>330</v>
      </c>
    </row>
    <row r="6218" spans="1:5" x14ac:dyDescent="0.25">
      <c r="A6218">
        <v>1899</v>
      </c>
      <c r="B6218" s="16">
        <v>43800</v>
      </c>
      <c r="C6218" t="s">
        <v>14</v>
      </c>
      <c r="D6218">
        <v>6000000</v>
      </c>
      <c r="E6218" t="s">
        <v>330</v>
      </c>
    </row>
    <row r="6219" spans="1:5" x14ac:dyDescent="0.25">
      <c r="A6219">
        <v>1899</v>
      </c>
      <c r="B6219" s="16">
        <v>43831</v>
      </c>
      <c r="C6219" t="s">
        <v>14</v>
      </c>
      <c r="D6219">
        <v>6000000</v>
      </c>
      <c r="E6219" t="s">
        <v>330</v>
      </c>
    </row>
    <row r="6220" spans="1:5" x14ac:dyDescent="0.25">
      <c r="A6220">
        <v>1899</v>
      </c>
      <c r="B6220" s="16">
        <v>43862</v>
      </c>
      <c r="C6220" t="s">
        <v>14</v>
      </c>
      <c r="D6220">
        <v>6000000</v>
      </c>
      <c r="E6220" t="s">
        <v>330</v>
      </c>
    </row>
    <row r="6221" spans="1:5" x14ac:dyDescent="0.25">
      <c r="A6221">
        <v>1899</v>
      </c>
      <c r="B6221" s="16">
        <v>43525</v>
      </c>
      <c r="C6221" t="s">
        <v>39</v>
      </c>
      <c r="D6221">
        <v>3058762.5</v>
      </c>
      <c r="E6221" t="s">
        <v>330</v>
      </c>
    </row>
    <row r="6222" spans="1:5" x14ac:dyDescent="0.25">
      <c r="A6222">
        <v>1899</v>
      </c>
      <c r="B6222" s="16">
        <v>43556</v>
      </c>
      <c r="C6222" t="s">
        <v>39</v>
      </c>
      <c r="D6222">
        <v>3058762.5</v>
      </c>
      <c r="E6222" t="s">
        <v>330</v>
      </c>
    </row>
    <row r="6223" spans="1:5" x14ac:dyDescent="0.25">
      <c r="A6223">
        <v>1899</v>
      </c>
      <c r="B6223" s="16">
        <v>43586</v>
      </c>
      <c r="C6223" t="s">
        <v>39</v>
      </c>
      <c r="D6223">
        <v>3058762.5</v>
      </c>
      <c r="E6223" t="s">
        <v>330</v>
      </c>
    </row>
    <row r="6224" spans="1:5" x14ac:dyDescent="0.25">
      <c r="A6224">
        <v>1899</v>
      </c>
      <c r="B6224" s="16">
        <v>43525</v>
      </c>
      <c r="C6224" t="s">
        <v>39</v>
      </c>
      <c r="D6224">
        <v>4078350</v>
      </c>
      <c r="E6224" t="s">
        <v>330</v>
      </c>
    </row>
    <row r="6225" spans="1:5" x14ac:dyDescent="0.25">
      <c r="A6225">
        <v>1899</v>
      </c>
      <c r="B6225" s="16">
        <v>43556</v>
      </c>
      <c r="C6225" t="s">
        <v>39</v>
      </c>
      <c r="D6225">
        <v>4078350</v>
      </c>
      <c r="E6225" t="s">
        <v>330</v>
      </c>
    </row>
    <row r="6226" spans="1:5" x14ac:dyDescent="0.25">
      <c r="A6226">
        <v>1899</v>
      </c>
      <c r="B6226" s="16">
        <v>43586</v>
      </c>
      <c r="C6226" t="s">
        <v>39</v>
      </c>
      <c r="D6226">
        <v>4078350</v>
      </c>
      <c r="E6226" t="s">
        <v>330</v>
      </c>
    </row>
    <row r="6227" spans="1:5" x14ac:dyDescent="0.25">
      <c r="A6227">
        <v>1899</v>
      </c>
      <c r="B6227" s="16">
        <v>43617</v>
      </c>
      <c r="C6227" t="s">
        <v>39</v>
      </c>
      <c r="D6227">
        <v>4078350</v>
      </c>
      <c r="E6227" t="s">
        <v>330</v>
      </c>
    </row>
    <row r="6228" spans="1:5" x14ac:dyDescent="0.25">
      <c r="A6228">
        <v>1899</v>
      </c>
      <c r="B6228" s="16">
        <v>43647</v>
      </c>
      <c r="C6228" t="s">
        <v>39</v>
      </c>
      <c r="D6228">
        <v>4078350</v>
      </c>
      <c r="E6228" t="s">
        <v>330</v>
      </c>
    </row>
    <row r="6229" spans="1:5" x14ac:dyDescent="0.25">
      <c r="A6229">
        <v>1899</v>
      </c>
      <c r="B6229" s="16">
        <v>43678</v>
      </c>
      <c r="C6229" t="s">
        <v>39</v>
      </c>
      <c r="D6229">
        <v>4078350</v>
      </c>
      <c r="E6229" t="s">
        <v>330</v>
      </c>
    </row>
    <row r="6230" spans="1:5" x14ac:dyDescent="0.25">
      <c r="A6230">
        <v>1899</v>
      </c>
      <c r="B6230" s="16">
        <v>43709</v>
      </c>
      <c r="C6230" t="s">
        <v>39</v>
      </c>
      <c r="D6230">
        <v>4078350</v>
      </c>
      <c r="E6230" t="s">
        <v>330</v>
      </c>
    </row>
    <row r="6231" spans="1:5" x14ac:dyDescent="0.25">
      <c r="A6231">
        <v>1899</v>
      </c>
      <c r="B6231" s="16">
        <v>43739</v>
      </c>
      <c r="C6231" t="s">
        <v>39</v>
      </c>
      <c r="D6231">
        <v>4078350</v>
      </c>
      <c r="E6231" t="s">
        <v>330</v>
      </c>
    </row>
    <row r="6232" spans="1:5" x14ac:dyDescent="0.25">
      <c r="A6232">
        <v>1899</v>
      </c>
      <c r="B6232" s="16">
        <v>43770</v>
      </c>
      <c r="C6232" t="s">
        <v>39</v>
      </c>
      <c r="D6232">
        <v>4078350</v>
      </c>
      <c r="E6232" t="s">
        <v>330</v>
      </c>
    </row>
    <row r="6233" spans="1:5" x14ac:dyDescent="0.25">
      <c r="A6233">
        <v>1899</v>
      </c>
      <c r="B6233" s="16">
        <v>43800</v>
      </c>
      <c r="C6233" t="s">
        <v>39</v>
      </c>
      <c r="D6233">
        <v>4078350</v>
      </c>
      <c r="E6233" t="s">
        <v>330</v>
      </c>
    </row>
    <row r="6234" spans="1:5" x14ac:dyDescent="0.25">
      <c r="A6234">
        <v>1899</v>
      </c>
      <c r="B6234" s="16">
        <v>43831</v>
      </c>
      <c r="C6234" t="s">
        <v>39</v>
      </c>
      <c r="D6234">
        <v>4078350</v>
      </c>
      <c r="E6234" t="s">
        <v>330</v>
      </c>
    </row>
    <row r="6235" spans="1:5" x14ac:dyDescent="0.25">
      <c r="A6235">
        <v>1899</v>
      </c>
      <c r="B6235" s="16">
        <v>43862</v>
      </c>
      <c r="C6235" t="s">
        <v>39</v>
      </c>
      <c r="D6235">
        <v>4078350</v>
      </c>
      <c r="E6235" t="s">
        <v>330</v>
      </c>
    </row>
    <row r="6236" spans="1:5" x14ac:dyDescent="0.25">
      <c r="A6236">
        <v>1899</v>
      </c>
      <c r="B6236" s="16">
        <v>43891</v>
      </c>
      <c r="C6236" t="s">
        <v>39</v>
      </c>
      <c r="D6236">
        <v>4078350</v>
      </c>
      <c r="E6236" t="s">
        <v>330</v>
      </c>
    </row>
    <row r="6237" spans="1:5" x14ac:dyDescent="0.25">
      <c r="A6237">
        <v>1899</v>
      </c>
      <c r="B6237" s="16">
        <v>43922</v>
      </c>
      <c r="C6237" t="s">
        <v>39</v>
      </c>
      <c r="D6237">
        <v>4078350</v>
      </c>
      <c r="E6237" t="s">
        <v>330</v>
      </c>
    </row>
    <row r="6238" spans="1:5" x14ac:dyDescent="0.25">
      <c r="A6238">
        <v>1899</v>
      </c>
      <c r="B6238" s="16">
        <v>43952</v>
      </c>
      <c r="C6238" t="s">
        <v>39</v>
      </c>
      <c r="D6238">
        <v>4078350</v>
      </c>
      <c r="E6238" t="s">
        <v>330</v>
      </c>
    </row>
    <row r="6239" spans="1:5" x14ac:dyDescent="0.25">
      <c r="A6239">
        <v>1899</v>
      </c>
      <c r="B6239" s="16">
        <v>43983</v>
      </c>
      <c r="C6239" t="s">
        <v>39</v>
      </c>
      <c r="D6239">
        <v>4078350</v>
      </c>
      <c r="E6239" t="s">
        <v>330</v>
      </c>
    </row>
    <row r="6240" spans="1:5" x14ac:dyDescent="0.25">
      <c r="A6240">
        <v>1899</v>
      </c>
      <c r="B6240" s="16">
        <v>44013</v>
      </c>
      <c r="C6240" t="s">
        <v>39</v>
      </c>
      <c r="D6240">
        <v>4078350</v>
      </c>
      <c r="E6240" t="s">
        <v>330</v>
      </c>
    </row>
    <row r="6241" spans="1:5" x14ac:dyDescent="0.25">
      <c r="A6241">
        <v>1899</v>
      </c>
      <c r="B6241" s="16">
        <v>44044</v>
      </c>
      <c r="C6241" t="s">
        <v>39</v>
      </c>
      <c r="D6241">
        <v>4078350</v>
      </c>
      <c r="E6241" t="s">
        <v>330</v>
      </c>
    </row>
    <row r="6242" spans="1:5" x14ac:dyDescent="0.25">
      <c r="A6242">
        <v>1899</v>
      </c>
      <c r="B6242" s="16">
        <v>44075</v>
      </c>
      <c r="C6242" t="s">
        <v>39</v>
      </c>
      <c r="D6242">
        <v>4078350</v>
      </c>
      <c r="E6242" t="s">
        <v>330</v>
      </c>
    </row>
    <row r="6243" spans="1:5" x14ac:dyDescent="0.25">
      <c r="A6243">
        <v>1899</v>
      </c>
      <c r="B6243" s="16">
        <v>44105</v>
      </c>
      <c r="C6243" t="s">
        <v>39</v>
      </c>
      <c r="D6243">
        <v>4078350</v>
      </c>
      <c r="E6243" t="s">
        <v>330</v>
      </c>
    </row>
    <row r="6244" spans="1:5" x14ac:dyDescent="0.25">
      <c r="A6244">
        <v>1899</v>
      </c>
      <c r="B6244" s="16">
        <v>43525</v>
      </c>
      <c r="C6244" t="s">
        <v>29</v>
      </c>
      <c r="D6244">
        <v>3923277</v>
      </c>
      <c r="E6244" t="s">
        <v>330</v>
      </c>
    </row>
    <row r="6245" spans="1:5" x14ac:dyDescent="0.25">
      <c r="A6245">
        <v>1899</v>
      </c>
      <c r="B6245" s="16">
        <v>43556</v>
      </c>
      <c r="C6245" t="s">
        <v>29</v>
      </c>
      <c r="D6245">
        <v>3923277</v>
      </c>
      <c r="E6245" t="s">
        <v>330</v>
      </c>
    </row>
    <row r="6246" spans="1:5" x14ac:dyDescent="0.25">
      <c r="A6246">
        <v>1899</v>
      </c>
      <c r="B6246" s="16">
        <v>43586</v>
      </c>
      <c r="C6246" t="s">
        <v>29</v>
      </c>
      <c r="D6246">
        <v>3923277</v>
      </c>
      <c r="E6246" t="s">
        <v>330</v>
      </c>
    </row>
    <row r="6247" spans="1:5" x14ac:dyDescent="0.25">
      <c r="A6247">
        <v>1899</v>
      </c>
      <c r="B6247" s="16">
        <v>43617</v>
      </c>
      <c r="C6247" t="s">
        <v>29</v>
      </c>
      <c r="D6247">
        <v>3923277</v>
      </c>
      <c r="E6247" t="s">
        <v>330</v>
      </c>
    </row>
    <row r="6248" spans="1:5" x14ac:dyDescent="0.25">
      <c r="A6248">
        <v>1899</v>
      </c>
      <c r="B6248" s="16">
        <v>43647</v>
      </c>
      <c r="C6248" t="s">
        <v>29</v>
      </c>
      <c r="D6248">
        <v>3923277</v>
      </c>
      <c r="E6248" t="s">
        <v>330</v>
      </c>
    </row>
    <row r="6249" spans="1:5" x14ac:dyDescent="0.25">
      <c r="A6249">
        <v>1899</v>
      </c>
      <c r="B6249" s="16">
        <v>43678</v>
      </c>
      <c r="C6249" t="s">
        <v>29</v>
      </c>
      <c r="D6249">
        <v>3923277</v>
      </c>
      <c r="E6249" t="s">
        <v>330</v>
      </c>
    </row>
    <row r="6250" spans="1:5" x14ac:dyDescent="0.25">
      <c r="A6250">
        <v>1899</v>
      </c>
      <c r="B6250" s="16">
        <v>43709</v>
      </c>
      <c r="C6250" t="s">
        <v>29</v>
      </c>
      <c r="D6250">
        <v>3923277</v>
      </c>
      <c r="E6250" t="s">
        <v>330</v>
      </c>
    </row>
    <row r="6251" spans="1:5" x14ac:dyDescent="0.25">
      <c r="A6251">
        <v>1899</v>
      </c>
      <c r="B6251" s="16">
        <v>43525</v>
      </c>
      <c r="C6251" t="s">
        <v>35</v>
      </c>
      <c r="D6251">
        <v>3815999.9999999995</v>
      </c>
      <c r="E6251" t="s">
        <v>330</v>
      </c>
    </row>
    <row r="6252" spans="1:5" x14ac:dyDescent="0.25">
      <c r="A6252">
        <v>1899</v>
      </c>
      <c r="B6252" s="16">
        <v>43556</v>
      </c>
      <c r="C6252" t="s">
        <v>35</v>
      </c>
      <c r="D6252">
        <v>3815999.9999999995</v>
      </c>
      <c r="E6252" t="s">
        <v>330</v>
      </c>
    </row>
    <row r="6253" spans="1:5" x14ac:dyDescent="0.25">
      <c r="A6253">
        <v>1899</v>
      </c>
      <c r="B6253" s="16">
        <v>43586</v>
      </c>
      <c r="C6253" t="s">
        <v>35</v>
      </c>
      <c r="D6253">
        <v>3815999.9999999995</v>
      </c>
      <c r="E6253" t="s">
        <v>330</v>
      </c>
    </row>
    <row r="6254" spans="1:5" x14ac:dyDescent="0.25">
      <c r="A6254">
        <v>1899</v>
      </c>
      <c r="B6254" s="16">
        <v>43617</v>
      </c>
      <c r="C6254" t="s">
        <v>35</v>
      </c>
      <c r="D6254">
        <v>3815999.9999999995</v>
      </c>
      <c r="E6254" t="s">
        <v>330</v>
      </c>
    </row>
    <row r="6255" spans="1:5" x14ac:dyDescent="0.25">
      <c r="A6255">
        <v>1899</v>
      </c>
      <c r="B6255" s="16">
        <v>43647</v>
      </c>
      <c r="C6255" t="s">
        <v>35</v>
      </c>
      <c r="D6255">
        <v>3815999.9999999995</v>
      </c>
      <c r="E6255" t="s">
        <v>330</v>
      </c>
    </row>
    <row r="6256" spans="1:5" x14ac:dyDescent="0.25">
      <c r="A6256">
        <v>1899</v>
      </c>
      <c r="B6256" s="16">
        <v>43678</v>
      </c>
      <c r="C6256" t="s">
        <v>35</v>
      </c>
      <c r="D6256">
        <v>3815999.9999999995</v>
      </c>
      <c r="E6256" t="s">
        <v>330</v>
      </c>
    </row>
    <row r="6257" spans="1:5" x14ac:dyDescent="0.25">
      <c r="A6257">
        <v>1899</v>
      </c>
      <c r="B6257" s="16">
        <v>43709</v>
      </c>
      <c r="C6257" t="s">
        <v>35</v>
      </c>
      <c r="D6257">
        <v>3815999.9999999995</v>
      </c>
      <c r="E6257" t="s">
        <v>330</v>
      </c>
    </row>
    <row r="6258" spans="1:5" x14ac:dyDescent="0.25">
      <c r="A6258">
        <v>1899</v>
      </c>
      <c r="B6258" s="16">
        <v>43739</v>
      </c>
      <c r="C6258" t="s">
        <v>35</v>
      </c>
      <c r="D6258">
        <v>3815999.9999999995</v>
      </c>
      <c r="E6258" t="s">
        <v>330</v>
      </c>
    </row>
    <row r="6259" spans="1:5" x14ac:dyDescent="0.25">
      <c r="A6259">
        <v>1899</v>
      </c>
      <c r="B6259" s="16">
        <v>43770</v>
      </c>
      <c r="C6259" t="s">
        <v>35</v>
      </c>
      <c r="D6259">
        <v>3815999.9999999995</v>
      </c>
      <c r="E6259" t="s">
        <v>330</v>
      </c>
    </row>
    <row r="6260" spans="1:5" x14ac:dyDescent="0.25">
      <c r="A6260">
        <v>1899</v>
      </c>
      <c r="B6260" s="16">
        <v>43800</v>
      </c>
      <c r="C6260" t="s">
        <v>35</v>
      </c>
      <c r="D6260">
        <v>3815999.9999999995</v>
      </c>
      <c r="E6260" t="s">
        <v>330</v>
      </c>
    </row>
    <row r="6261" spans="1:5" x14ac:dyDescent="0.25">
      <c r="A6261">
        <v>1899</v>
      </c>
      <c r="B6261" s="16">
        <v>43831</v>
      </c>
      <c r="C6261" t="s">
        <v>35</v>
      </c>
      <c r="D6261">
        <v>3815999.9999999995</v>
      </c>
      <c r="E6261" t="s">
        <v>330</v>
      </c>
    </row>
    <row r="6262" spans="1:5" x14ac:dyDescent="0.25">
      <c r="A6262">
        <v>1899</v>
      </c>
      <c r="B6262" s="16">
        <v>43862</v>
      </c>
      <c r="C6262" t="s">
        <v>35</v>
      </c>
      <c r="D6262">
        <v>3815999.9999999995</v>
      </c>
      <c r="E6262" t="s">
        <v>330</v>
      </c>
    </row>
    <row r="6263" spans="1:5" x14ac:dyDescent="0.25">
      <c r="A6263">
        <v>1899</v>
      </c>
      <c r="B6263" s="16">
        <v>43891</v>
      </c>
      <c r="C6263" t="s">
        <v>35</v>
      </c>
      <c r="D6263">
        <v>3815999.9999999995</v>
      </c>
      <c r="E6263" t="s">
        <v>330</v>
      </c>
    </row>
    <row r="6264" spans="1:5" x14ac:dyDescent="0.25">
      <c r="A6264">
        <v>1899</v>
      </c>
      <c r="B6264" s="16">
        <v>43922</v>
      </c>
      <c r="C6264" t="s">
        <v>35</v>
      </c>
      <c r="D6264">
        <v>3815999.9999999995</v>
      </c>
      <c r="E6264" t="s">
        <v>330</v>
      </c>
    </row>
    <row r="6265" spans="1:5" x14ac:dyDescent="0.25">
      <c r="A6265">
        <v>1899</v>
      </c>
      <c r="B6265" s="16">
        <v>43952</v>
      </c>
      <c r="C6265" t="s">
        <v>35</v>
      </c>
      <c r="D6265">
        <v>3815999.9999999995</v>
      </c>
      <c r="E6265" t="s">
        <v>330</v>
      </c>
    </row>
    <row r="6266" spans="1:5" x14ac:dyDescent="0.25">
      <c r="A6266">
        <v>1899</v>
      </c>
      <c r="B6266" s="16">
        <v>43983</v>
      </c>
      <c r="C6266" t="s">
        <v>35</v>
      </c>
      <c r="D6266">
        <v>3815999.9999999995</v>
      </c>
      <c r="E6266" t="s">
        <v>330</v>
      </c>
    </row>
    <row r="6267" spans="1:5" x14ac:dyDescent="0.25">
      <c r="A6267">
        <v>1899</v>
      </c>
      <c r="B6267" s="16">
        <v>44013</v>
      </c>
      <c r="C6267" t="s">
        <v>35</v>
      </c>
      <c r="D6267">
        <v>3815999.9999999995</v>
      </c>
      <c r="E6267" t="s">
        <v>330</v>
      </c>
    </row>
    <row r="6268" spans="1:5" x14ac:dyDescent="0.25">
      <c r="A6268">
        <v>1899</v>
      </c>
      <c r="B6268" s="16">
        <v>44044</v>
      </c>
      <c r="C6268" t="s">
        <v>35</v>
      </c>
      <c r="D6268">
        <v>3815999.9999999995</v>
      </c>
      <c r="E6268" t="s">
        <v>330</v>
      </c>
    </row>
    <row r="6269" spans="1:5" x14ac:dyDescent="0.25">
      <c r="A6269">
        <v>1899</v>
      </c>
      <c r="B6269" s="16">
        <v>44075</v>
      </c>
      <c r="C6269" t="s">
        <v>35</v>
      </c>
      <c r="D6269">
        <v>3815999.9999999995</v>
      </c>
      <c r="E6269" t="s">
        <v>330</v>
      </c>
    </row>
    <row r="6270" spans="1:5" x14ac:dyDescent="0.25">
      <c r="A6270">
        <v>1899</v>
      </c>
      <c r="B6270" s="16">
        <v>44105</v>
      </c>
      <c r="C6270" t="s">
        <v>35</v>
      </c>
      <c r="D6270">
        <v>3815999.9999999995</v>
      </c>
      <c r="E6270" t="s">
        <v>330</v>
      </c>
    </row>
    <row r="6271" spans="1:5" x14ac:dyDescent="0.25">
      <c r="A6271">
        <v>1899</v>
      </c>
      <c r="B6271" s="16">
        <v>44136</v>
      </c>
      <c r="C6271" t="s">
        <v>35</v>
      </c>
      <c r="D6271">
        <v>3815999.9999999995</v>
      </c>
      <c r="E6271" t="s">
        <v>330</v>
      </c>
    </row>
    <row r="6272" spans="1:5" x14ac:dyDescent="0.25">
      <c r="A6272">
        <v>1899</v>
      </c>
      <c r="B6272" s="16">
        <v>44166</v>
      </c>
      <c r="C6272" t="s">
        <v>35</v>
      </c>
      <c r="D6272">
        <v>3815999.9999999995</v>
      </c>
      <c r="E6272" t="s">
        <v>330</v>
      </c>
    </row>
    <row r="6273" spans="1:5" x14ac:dyDescent="0.25">
      <c r="A6273">
        <v>1899</v>
      </c>
      <c r="B6273" s="16">
        <v>44197</v>
      </c>
      <c r="C6273" t="s">
        <v>35</v>
      </c>
      <c r="D6273">
        <v>3815999.9999999995</v>
      </c>
      <c r="E6273" t="s">
        <v>330</v>
      </c>
    </row>
    <row r="6274" spans="1:5" x14ac:dyDescent="0.25">
      <c r="A6274">
        <v>1899</v>
      </c>
      <c r="B6274" s="16">
        <v>44228</v>
      </c>
      <c r="C6274" t="s">
        <v>35</v>
      </c>
      <c r="D6274">
        <v>3815999.9999999995</v>
      </c>
      <c r="E6274" t="s">
        <v>330</v>
      </c>
    </row>
    <row r="6275" spans="1:5" x14ac:dyDescent="0.25">
      <c r="A6275">
        <v>1900</v>
      </c>
      <c r="B6275" s="16">
        <v>43556</v>
      </c>
      <c r="C6275" t="s">
        <v>26</v>
      </c>
      <c r="D6275">
        <v>5724000</v>
      </c>
      <c r="E6275" t="s">
        <v>330</v>
      </c>
    </row>
    <row r="6276" spans="1:5" x14ac:dyDescent="0.25">
      <c r="A6276">
        <v>1900</v>
      </c>
      <c r="B6276" s="16">
        <v>43556</v>
      </c>
      <c r="C6276" t="s">
        <v>39</v>
      </c>
      <c r="D6276">
        <v>5271741</v>
      </c>
      <c r="E6276" t="s">
        <v>330</v>
      </c>
    </row>
    <row r="6277" spans="1:5" x14ac:dyDescent="0.25">
      <c r="A6277">
        <v>1900</v>
      </c>
      <c r="B6277" s="16">
        <v>43556</v>
      </c>
      <c r="C6277" t="s">
        <v>16</v>
      </c>
      <c r="D6277">
        <v>1963650</v>
      </c>
      <c r="E6277" t="s">
        <v>330</v>
      </c>
    </row>
    <row r="6278" spans="1:5" x14ac:dyDescent="0.25">
      <c r="A6278">
        <v>1900</v>
      </c>
      <c r="B6278" s="16">
        <v>43556</v>
      </c>
      <c r="C6278" t="s">
        <v>19</v>
      </c>
      <c r="D6278">
        <v>3183727.68</v>
      </c>
      <c r="E6278" t="s">
        <v>330</v>
      </c>
    </row>
    <row r="6279" spans="1:5" x14ac:dyDescent="0.25">
      <c r="A6279">
        <v>1900</v>
      </c>
      <c r="B6279" s="16">
        <v>43586</v>
      </c>
      <c r="C6279" t="s">
        <v>19</v>
      </c>
      <c r="D6279">
        <v>3183727.68</v>
      </c>
      <c r="E6279" t="s">
        <v>330</v>
      </c>
    </row>
    <row r="6280" spans="1:5" x14ac:dyDescent="0.25">
      <c r="A6280">
        <v>1900</v>
      </c>
      <c r="B6280" s="16">
        <v>43617</v>
      </c>
      <c r="C6280" t="s">
        <v>19</v>
      </c>
      <c r="D6280">
        <v>3183727.68</v>
      </c>
      <c r="E6280" t="s">
        <v>330</v>
      </c>
    </row>
    <row r="6281" spans="1:5" x14ac:dyDescent="0.25">
      <c r="A6281">
        <v>1900</v>
      </c>
      <c r="B6281" s="16">
        <v>43647</v>
      </c>
      <c r="C6281" t="s">
        <v>19</v>
      </c>
      <c r="D6281">
        <v>3183727.68</v>
      </c>
      <c r="E6281" t="s">
        <v>330</v>
      </c>
    </row>
    <row r="6282" spans="1:5" x14ac:dyDescent="0.25">
      <c r="A6282">
        <v>1900</v>
      </c>
      <c r="B6282" s="16">
        <v>43678</v>
      </c>
      <c r="C6282" t="s">
        <v>19</v>
      </c>
      <c r="D6282">
        <v>3183727.68</v>
      </c>
      <c r="E6282" t="s">
        <v>330</v>
      </c>
    </row>
    <row r="6283" spans="1:5" x14ac:dyDescent="0.25">
      <c r="A6283">
        <v>1900</v>
      </c>
      <c r="B6283" s="16">
        <v>43709</v>
      </c>
      <c r="C6283" t="s">
        <v>19</v>
      </c>
      <c r="D6283">
        <v>3183727.68</v>
      </c>
      <c r="E6283" t="s">
        <v>330</v>
      </c>
    </row>
    <row r="6284" spans="1:5" x14ac:dyDescent="0.25">
      <c r="A6284">
        <v>1900</v>
      </c>
      <c r="B6284" s="16">
        <v>43739</v>
      </c>
      <c r="C6284" t="s">
        <v>19</v>
      </c>
      <c r="D6284">
        <v>3183727.68</v>
      </c>
      <c r="E6284" t="s">
        <v>330</v>
      </c>
    </row>
    <row r="6285" spans="1:5" x14ac:dyDescent="0.25">
      <c r="A6285">
        <v>1900</v>
      </c>
      <c r="B6285" s="16">
        <v>43770</v>
      </c>
      <c r="C6285" t="s">
        <v>19</v>
      </c>
      <c r="D6285">
        <v>3183727.68</v>
      </c>
      <c r="E6285" t="s">
        <v>330</v>
      </c>
    </row>
    <row r="6286" spans="1:5" x14ac:dyDescent="0.25">
      <c r="A6286">
        <v>1900</v>
      </c>
      <c r="B6286" s="16">
        <v>43800</v>
      </c>
      <c r="C6286" t="s">
        <v>19</v>
      </c>
      <c r="D6286">
        <v>3183727.68</v>
      </c>
      <c r="E6286" t="s">
        <v>330</v>
      </c>
    </row>
    <row r="6287" spans="1:5" x14ac:dyDescent="0.25">
      <c r="A6287">
        <v>1900</v>
      </c>
      <c r="B6287" s="16">
        <v>43831</v>
      </c>
      <c r="C6287" t="s">
        <v>19</v>
      </c>
      <c r="D6287">
        <v>3183727.68</v>
      </c>
      <c r="E6287" t="s">
        <v>330</v>
      </c>
    </row>
    <row r="6288" spans="1:5" x14ac:dyDescent="0.25">
      <c r="A6288">
        <v>1900</v>
      </c>
      <c r="B6288" s="16">
        <v>43556</v>
      </c>
      <c r="C6288" t="s">
        <v>122</v>
      </c>
      <c r="D6288">
        <v>6750000</v>
      </c>
      <c r="E6288" t="s">
        <v>330</v>
      </c>
    </row>
    <row r="6289" spans="1:5" x14ac:dyDescent="0.25">
      <c r="A6289">
        <v>1900</v>
      </c>
      <c r="B6289" s="16">
        <v>43586</v>
      </c>
      <c r="C6289" t="s">
        <v>122</v>
      </c>
      <c r="D6289">
        <v>6750000</v>
      </c>
      <c r="E6289" t="s">
        <v>330</v>
      </c>
    </row>
    <row r="6290" spans="1:5" x14ac:dyDescent="0.25">
      <c r="A6290">
        <v>1900</v>
      </c>
      <c r="B6290" s="16">
        <v>43617</v>
      </c>
      <c r="C6290" t="s">
        <v>122</v>
      </c>
      <c r="D6290">
        <v>6750000</v>
      </c>
      <c r="E6290" t="s">
        <v>330</v>
      </c>
    </row>
    <row r="6291" spans="1:5" x14ac:dyDescent="0.25">
      <c r="A6291">
        <v>1900</v>
      </c>
      <c r="B6291" s="16">
        <v>43647</v>
      </c>
      <c r="C6291" t="s">
        <v>122</v>
      </c>
      <c r="D6291">
        <v>6750000</v>
      </c>
      <c r="E6291" t="s">
        <v>330</v>
      </c>
    </row>
    <row r="6292" spans="1:5" x14ac:dyDescent="0.25">
      <c r="A6292">
        <v>1900</v>
      </c>
      <c r="B6292" s="16">
        <v>43678</v>
      </c>
      <c r="C6292" t="s">
        <v>122</v>
      </c>
      <c r="D6292">
        <v>6750000</v>
      </c>
      <c r="E6292" t="s">
        <v>330</v>
      </c>
    </row>
    <row r="6293" spans="1:5" x14ac:dyDescent="0.25">
      <c r="A6293">
        <v>1900</v>
      </c>
      <c r="B6293" s="16">
        <v>43709</v>
      </c>
      <c r="C6293" t="s">
        <v>122</v>
      </c>
      <c r="D6293">
        <v>6750000</v>
      </c>
      <c r="E6293" t="s">
        <v>330</v>
      </c>
    </row>
    <row r="6294" spans="1:5" x14ac:dyDescent="0.25">
      <c r="A6294">
        <v>1900</v>
      </c>
      <c r="B6294" s="16">
        <v>43739</v>
      </c>
      <c r="C6294" t="s">
        <v>122</v>
      </c>
      <c r="D6294">
        <v>6750000</v>
      </c>
      <c r="E6294" t="s">
        <v>330</v>
      </c>
    </row>
    <row r="6295" spans="1:5" x14ac:dyDescent="0.25">
      <c r="A6295">
        <v>1900</v>
      </c>
      <c r="B6295" s="16">
        <v>43770</v>
      </c>
      <c r="C6295" t="s">
        <v>122</v>
      </c>
      <c r="D6295">
        <v>6750000</v>
      </c>
      <c r="E6295" t="s">
        <v>330</v>
      </c>
    </row>
    <row r="6296" spans="1:5" x14ac:dyDescent="0.25">
      <c r="A6296">
        <v>1900</v>
      </c>
      <c r="B6296" s="16">
        <v>43800</v>
      </c>
      <c r="C6296" t="s">
        <v>122</v>
      </c>
      <c r="D6296">
        <v>6750000</v>
      </c>
      <c r="E6296" t="s">
        <v>330</v>
      </c>
    </row>
    <row r="6297" spans="1:5" x14ac:dyDescent="0.25">
      <c r="A6297">
        <v>1900</v>
      </c>
      <c r="B6297" s="16">
        <v>43831</v>
      </c>
      <c r="C6297" t="s">
        <v>122</v>
      </c>
      <c r="D6297">
        <v>6750000</v>
      </c>
      <c r="E6297" t="s">
        <v>330</v>
      </c>
    </row>
    <row r="6298" spans="1:5" x14ac:dyDescent="0.25">
      <c r="A6298">
        <v>1900</v>
      </c>
      <c r="B6298" s="16">
        <v>43556</v>
      </c>
      <c r="C6298" t="s">
        <v>29</v>
      </c>
      <c r="D6298">
        <v>1961638.5</v>
      </c>
      <c r="E6298" t="s">
        <v>330</v>
      </c>
    </row>
    <row r="6299" spans="1:5" x14ac:dyDescent="0.25">
      <c r="A6299">
        <v>1900</v>
      </c>
      <c r="B6299" s="16">
        <v>43586</v>
      </c>
      <c r="C6299" t="s">
        <v>29</v>
      </c>
      <c r="D6299">
        <v>1961638.5</v>
      </c>
      <c r="E6299" t="s">
        <v>330</v>
      </c>
    </row>
    <row r="6300" spans="1:5" x14ac:dyDescent="0.25">
      <c r="A6300">
        <v>1900</v>
      </c>
      <c r="B6300" s="16">
        <v>43617</v>
      </c>
      <c r="C6300" t="s">
        <v>29</v>
      </c>
      <c r="D6300">
        <v>1961638.5</v>
      </c>
      <c r="E6300" t="s">
        <v>330</v>
      </c>
    </row>
    <row r="6301" spans="1:5" x14ac:dyDescent="0.25">
      <c r="A6301">
        <v>1900</v>
      </c>
      <c r="B6301" s="16">
        <v>43647</v>
      </c>
      <c r="C6301" t="s">
        <v>29</v>
      </c>
      <c r="D6301">
        <v>1961638.5</v>
      </c>
      <c r="E6301" t="s">
        <v>330</v>
      </c>
    </row>
    <row r="6302" spans="1:5" x14ac:dyDescent="0.25">
      <c r="A6302">
        <v>1900</v>
      </c>
      <c r="B6302" s="16">
        <v>43678</v>
      </c>
      <c r="C6302" t="s">
        <v>29</v>
      </c>
      <c r="D6302">
        <v>1961638.5</v>
      </c>
      <c r="E6302" t="s">
        <v>330</v>
      </c>
    </row>
    <row r="6303" spans="1:5" x14ac:dyDescent="0.25">
      <c r="A6303">
        <v>1900</v>
      </c>
      <c r="B6303" s="16">
        <v>43709</v>
      </c>
      <c r="C6303" t="s">
        <v>29</v>
      </c>
      <c r="D6303">
        <v>1961638.5</v>
      </c>
      <c r="E6303" t="s">
        <v>330</v>
      </c>
    </row>
    <row r="6304" spans="1:5" x14ac:dyDescent="0.25">
      <c r="A6304">
        <v>1900</v>
      </c>
      <c r="B6304" s="16">
        <v>43739</v>
      </c>
      <c r="C6304" t="s">
        <v>29</v>
      </c>
      <c r="D6304">
        <v>1961638.5</v>
      </c>
      <c r="E6304" t="s">
        <v>330</v>
      </c>
    </row>
    <row r="6305" spans="1:5" x14ac:dyDescent="0.25">
      <c r="A6305">
        <v>1900</v>
      </c>
      <c r="B6305" s="16">
        <v>43556</v>
      </c>
      <c r="C6305" t="s">
        <v>39</v>
      </c>
      <c r="D6305">
        <v>4078350</v>
      </c>
      <c r="E6305" t="s">
        <v>330</v>
      </c>
    </row>
    <row r="6306" spans="1:5" x14ac:dyDescent="0.25">
      <c r="A6306">
        <v>1900</v>
      </c>
      <c r="B6306" s="16">
        <v>43586</v>
      </c>
      <c r="C6306" t="s">
        <v>39</v>
      </c>
      <c r="D6306">
        <v>4078350</v>
      </c>
      <c r="E6306" t="s">
        <v>330</v>
      </c>
    </row>
    <row r="6307" spans="1:5" x14ac:dyDescent="0.25">
      <c r="A6307">
        <v>1900</v>
      </c>
      <c r="B6307" s="16">
        <v>43617</v>
      </c>
      <c r="C6307" t="s">
        <v>39</v>
      </c>
      <c r="D6307">
        <v>4078350</v>
      </c>
      <c r="E6307" t="s">
        <v>330</v>
      </c>
    </row>
    <row r="6308" spans="1:5" x14ac:dyDescent="0.25">
      <c r="A6308">
        <v>1900</v>
      </c>
      <c r="B6308" s="16">
        <v>43647</v>
      </c>
      <c r="C6308" t="s">
        <v>39</v>
      </c>
      <c r="D6308">
        <v>4078350</v>
      </c>
      <c r="E6308" t="s">
        <v>330</v>
      </c>
    </row>
    <row r="6309" spans="1:5" x14ac:dyDescent="0.25">
      <c r="A6309">
        <v>1900</v>
      </c>
      <c r="B6309" s="16">
        <v>43678</v>
      </c>
      <c r="C6309" t="s">
        <v>39</v>
      </c>
      <c r="D6309">
        <v>4078350</v>
      </c>
      <c r="E6309" t="s">
        <v>330</v>
      </c>
    </row>
    <row r="6310" spans="1:5" x14ac:dyDescent="0.25">
      <c r="A6310">
        <v>1900</v>
      </c>
      <c r="B6310" s="16">
        <v>43709</v>
      </c>
      <c r="C6310" t="s">
        <v>39</v>
      </c>
      <c r="D6310">
        <v>4078350</v>
      </c>
      <c r="E6310" t="s">
        <v>330</v>
      </c>
    </row>
    <row r="6311" spans="1:5" x14ac:dyDescent="0.25">
      <c r="A6311">
        <v>1900</v>
      </c>
      <c r="B6311" s="16">
        <v>43739</v>
      </c>
      <c r="C6311" t="s">
        <v>39</v>
      </c>
      <c r="D6311">
        <v>4078350</v>
      </c>
      <c r="E6311" t="s">
        <v>330</v>
      </c>
    </row>
    <row r="6312" spans="1:5" x14ac:dyDescent="0.25">
      <c r="A6312">
        <v>1900</v>
      </c>
      <c r="B6312" s="16">
        <v>43770</v>
      </c>
      <c r="C6312" t="s">
        <v>39</v>
      </c>
      <c r="D6312">
        <v>4078350</v>
      </c>
      <c r="E6312" t="s">
        <v>330</v>
      </c>
    </row>
    <row r="6313" spans="1:5" x14ac:dyDescent="0.25">
      <c r="A6313">
        <v>1900</v>
      </c>
      <c r="B6313" s="16">
        <v>43800</v>
      </c>
      <c r="C6313" t="s">
        <v>39</v>
      </c>
      <c r="D6313">
        <v>4078350</v>
      </c>
      <c r="E6313" t="s">
        <v>330</v>
      </c>
    </row>
    <row r="6314" spans="1:5" x14ac:dyDescent="0.25">
      <c r="A6314">
        <v>1900</v>
      </c>
      <c r="B6314" s="16">
        <v>43831</v>
      </c>
      <c r="C6314" t="s">
        <v>39</v>
      </c>
      <c r="D6314">
        <v>4078350</v>
      </c>
      <c r="E6314" t="s">
        <v>330</v>
      </c>
    </row>
    <row r="6315" spans="1:5" x14ac:dyDescent="0.25">
      <c r="A6315">
        <v>1900</v>
      </c>
      <c r="B6315" s="16">
        <v>43556</v>
      </c>
      <c r="C6315" t="s">
        <v>38</v>
      </c>
      <c r="D6315">
        <v>4626300.8879999993</v>
      </c>
      <c r="E6315" t="s">
        <v>330</v>
      </c>
    </row>
    <row r="6316" spans="1:5" x14ac:dyDescent="0.25">
      <c r="A6316">
        <v>1900</v>
      </c>
      <c r="B6316" s="16">
        <v>43586</v>
      </c>
      <c r="C6316" t="s">
        <v>38</v>
      </c>
      <c r="D6316">
        <v>4626300.8879999993</v>
      </c>
      <c r="E6316" t="s">
        <v>330</v>
      </c>
    </row>
    <row r="6317" spans="1:5" x14ac:dyDescent="0.25">
      <c r="A6317">
        <v>1900</v>
      </c>
      <c r="B6317" s="16">
        <v>43617</v>
      </c>
      <c r="C6317" t="s">
        <v>38</v>
      </c>
      <c r="D6317">
        <v>4626300.8879999993</v>
      </c>
      <c r="E6317" t="s">
        <v>330</v>
      </c>
    </row>
    <row r="6318" spans="1:5" x14ac:dyDescent="0.25">
      <c r="A6318">
        <v>1900</v>
      </c>
      <c r="B6318" s="16">
        <v>43647</v>
      </c>
      <c r="C6318" t="s">
        <v>38</v>
      </c>
      <c r="D6318">
        <v>4626300.8879999993</v>
      </c>
      <c r="E6318" t="s">
        <v>330</v>
      </c>
    </row>
    <row r="6319" spans="1:5" x14ac:dyDescent="0.25">
      <c r="A6319">
        <v>1900</v>
      </c>
      <c r="B6319" s="16">
        <v>43678</v>
      </c>
      <c r="C6319" t="s">
        <v>38</v>
      </c>
      <c r="D6319">
        <v>4626300.8879999993</v>
      </c>
      <c r="E6319" t="s">
        <v>330</v>
      </c>
    </row>
    <row r="6320" spans="1:5" x14ac:dyDescent="0.25">
      <c r="A6320">
        <v>1900</v>
      </c>
      <c r="B6320" s="16">
        <v>43709</v>
      </c>
      <c r="C6320" t="s">
        <v>38</v>
      </c>
      <c r="D6320">
        <v>4626300.8879999993</v>
      </c>
      <c r="E6320" t="s">
        <v>330</v>
      </c>
    </row>
    <row r="6321" spans="1:5" x14ac:dyDescent="0.25">
      <c r="A6321">
        <v>1900</v>
      </c>
      <c r="B6321" s="16">
        <v>43739</v>
      </c>
      <c r="C6321" t="s">
        <v>38</v>
      </c>
      <c r="D6321">
        <v>4626300.8879999993</v>
      </c>
      <c r="E6321" t="s">
        <v>330</v>
      </c>
    </row>
    <row r="6322" spans="1:5" x14ac:dyDescent="0.25">
      <c r="A6322">
        <v>1900</v>
      </c>
      <c r="B6322" s="16">
        <v>43770</v>
      </c>
      <c r="C6322" t="s">
        <v>38</v>
      </c>
      <c r="D6322">
        <v>4626300.8879999993</v>
      </c>
      <c r="E6322" t="s">
        <v>330</v>
      </c>
    </row>
    <row r="6323" spans="1:5" x14ac:dyDescent="0.25">
      <c r="A6323">
        <v>1900</v>
      </c>
      <c r="B6323" s="16">
        <v>43800</v>
      </c>
      <c r="C6323" t="s">
        <v>38</v>
      </c>
      <c r="D6323">
        <v>4626300.8879999993</v>
      </c>
      <c r="E6323" t="s">
        <v>330</v>
      </c>
    </row>
    <row r="6324" spans="1:5" x14ac:dyDescent="0.25">
      <c r="A6324">
        <v>1900</v>
      </c>
      <c r="B6324" s="16">
        <v>43556</v>
      </c>
      <c r="C6324" t="s">
        <v>26</v>
      </c>
      <c r="D6324">
        <v>7512750</v>
      </c>
      <c r="E6324" t="s">
        <v>330</v>
      </c>
    </row>
    <row r="6325" spans="1:5" x14ac:dyDescent="0.25">
      <c r="A6325">
        <v>1900</v>
      </c>
      <c r="B6325" s="16">
        <v>43586</v>
      </c>
      <c r="C6325" t="s">
        <v>26</v>
      </c>
      <c r="D6325">
        <v>7512750</v>
      </c>
      <c r="E6325" t="s">
        <v>330</v>
      </c>
    </row>
    <row r="6326" spans="1:5" x14ac:dyDescent="0.25">
      <c r="A6326">
        <v>1900</v>
      </c>
      <c r="B6326" s="16">
        <v>43617</v>
      </c>
      <c r="C6326" t="s">
        <v>26</v>
      </c>
      <c r="D6326">
        <v>7512750</v>
      </c>
      <c r="E6326" t="s">
        <v>330</v>
      </c>
    </row>
    <row r="6327" spans="1:5" x14ac:dyDescent="0.25">
      <c r="A6327">
        <v>1900</v>
      </c>
      <c r="B6327" s="16">
        <v>43647</v>
      </c>
      <c r="C6327" t="s">
        <v>26</v>
      </c>
      <c r="D6327">
        <v>7512750</v>
      </c>
      <c r="E6327" t="s">
        <v>330</v>
      </c>
    </row>
    <row r="6328" spans="1:5" x14ac:dyDescent="0.25">
      <c r="A6328">
        <v>1900</v>
      </c>
      <c r="B6328" s="16">
        <v>43556</v>
      </c>
      <c r="C6328" t="s">
        <v>38</v>
      </c>
      <c r="D6328">
        <v>5204588.4989999998</v>
      </c>
      <c r="E6328" t="s">
        <v>330</v>
      </c>
    </row>
    <row r="6329" spans="1:5" x14ac:dyDescent="0.25">
      <c r="A6329">
        <v>1900</v>
      </c>
      <c r="B6329" s="16">
        <v>43586</v>
      </c>
      <c r="C6329" t="s">
        <v>38</v>
      </c>
      <c r="D6329">
        <v>5204588.4989999998</v>
      </c>
      <c r="E6329" t="s">
        <v>330</v>
      </c>
    </row>
    <row r="6330" spans="1:5" x14ac:dyDescent="0.25">
      <c r="A6330">
        <v>1900</v>
      </c>
      <c r="B6330" s="16">
        <v>43617</v>
      </c>
      <c r="C6330" t="s">
        <v>38</v>
      </c>
      <c r="D6330">
        <v>5204588.4989999998</v>
      </c>
      <c r="E6330" t="s">
        <v>330</v>
      </c>
    </row>
    <row r="6331" spans="1:5" x14ac:dyDescent="0.25">
      <c r="A6331">
        <v>1790</v>
      </c>
      <c r="B6331" s="16">
        <v>43556</v>
      </c>
      <c r="C6331" t="s">
        <v>19</v>
      </c>
      <c r="D6331">
        <v>2323944</v>
      </c>
      <c r="E6331" t="s">
        <v>330</v>
      </c>
    </row>
    <row r="6332" spans="1:5" x14ac:dyDescent="0.25">
      <c r="A6332">
        <v>1790</v>
      </c>
      <c r="B6332" s="16">
        <v>43586</v>
      </c>
      <c r="C6332" t="s">
        <v>19</v>
      </c>
      <c r="D6332">
        <v>2323944</v>
      </c>
      <c r="E6332" t="s">
        <v>330</v>
      </c>
    </row>
    <row r="6333" spans="1:5" x14ac:dyDescent="0.25">
      <c r="A6333">
        <v>1790</v>
      </c>
      <c r="B6333" s="16">
        <v>43617</v>
      </c>
      <c r="C6333" t="s">
        <v>19</v>
      </c>
      <c r="D6333">
        <v>2323944</v>
      </c>
      <c r="E6333" t="s">
        <v>330</v>
      </c>
    </row>
    <row r="6334" spans="1:5" x14ac:dyDescent="0.25">
      <c r="A6334">
        <v>1790</v>
      </c>
      <c r="B6334" s="16">
        <v>43647</v>
      </c>
      <c r="C6334" t="s">
        <v>19</v>
      </c>
      <c r="D6334">
        <v>2323944</v>
      </c>
      <c r="E6334" t="s">
        <v>330</v>
      </c>
    </row>
    <row r="6335" spans="1:5" x14ac:dyDescent="0.25">
      <c r="A6335">
        <v>1790</v>
      </c>
      <c r="B6335" s="16">
        <v>43678</v>
      </c>
      <c r="C6335" t="s">
        <v>19</v>
      </c>
      <c r="D6335">
        <v>2323944</v>
      </c>
      <c r="E6335" t="s">
        <v>330</v>
      </c>
    </row>
    <row r="6336" spans="1:5" x14ac:dyDescent="0.25">
      <c r="A6336">
        <v>1790</v>
      </c>
      <c r="B6336" s="16">
        <v>43709</v>
      </c>
      <c r="C6336" t="s">
        <v>19</v>
      </c>
      <c r="D6336">
        <v>2323944</v>
      </c>
      <c r="E6336" t="s">
        <v>330</v>
      </c>
    </row>
    <row r="6337" spans="1:5" x14ac:dyDescent="0.25">
      <c r="A6337">
        <v>1790</v>
      </c>
      <c r="B6337" s="16">
        <v>43739</v>
      </c>
      <c r="C6337" t="s">
        <v>19</v>
      </c>
      <c r="D6337">
        <v>2323944</v>
      </c>
      <c r="E6337" t="s">
        <v>330</v>
      </c>
    </row>
    <row r="6338" spans="1:5" x14ac:dyDescent="0.25">
      <c r="A6338">
        <v>1790</v>
      </c>
      <c r="B6338" s="16">
        <v>43770</v>
      </c>
      <c r="C6338" t="s">
        <v>19</v>
      </c>
      <c r="D6338">
        <v>2323944</v>
      </c>
      <c r="E6338" t="s">
        <v>330</v>
      </c>
    </row>
    <row r="6339" spans="1:5" x14ac:dyDescent="0.25">
      <c r="A6339">
        <v>1790</v>
      </c>
      <c r="B6339" s="16">
        <v>43800</v>
      </c>
      <c r="C6339" t="s">
        <v>19</v>
      </c>
      <c r="D6339">
        <v>2323944</v>
      </c>
      <c r="E6339" t="s">
        <v>330</v>
      </c>
    </row>
    <row r="6340" spans="1:5" x14ac:dyDescent="0.25">
      <c r="A6340">
        <v>1790</v>
      </c>
      <c r="B6340" s="16">
        <v>43831</v>
      </c>
      <c r="C6340" t="s">
        <v>19</v>
      </c>
      <c r="D6340">
        <v>2323944</v>
      </c>
      <c r="E6340" t="s">
        <v>330</v>
      </c>
    </row>
    <row r="6341" spans="1:5" x14ac:dyDescent="0.25">
      <c r="A6341">
        <v>1790</v>
      </c>
      <c r="B6341" s="16">
        <v>43862</v>
      </c>
      <c r="C6341" t="s">
        <v>19</v>
      </c>
      <c r="D6341">
        <v>2323944</v>
      </c>
      <c r="E6341" t="s">
        <v>330</v>
      </c>
    </row>
    <row r="6342" spans="1:5" x14ac:dyDescent="0.25">
      <c r="A6342">
        <v>1790</v>
      </c>
      <c r="B6342" s="16">
        <v>43891</v>
      </c>
      <c r="C6342" t="s">
        <v>19</v>
      </c>
      <c r="D6342">
        <v>2323944</v>
      </c>
      <c r="E6342" t="s">
        <v>330</v>
      </c>
    </row>
    <row r="6343" spans="1:5" x14ac:dyDescent="0.25">
      <c r="A6343">
        <v>1790</v>
      </c>
      <c r="B6343" s="16">
        <v>43922</v>
      </c>
      <c r="C6343" t="s">
        <v>19</v>
      </c>
      <c r="D6343">
        <v>2323944</v>
      </c>
      <c r="E6343" t="s">
        <v>330</v>
      </c>
    </row>
    <row r="6344" spans="1:5" x14ac:dyDescent="0.25">
      <c r="A6344">
        <v>1790</v>
      </c>
      <c r="B6344" s="16">
        <v>43556</v>
      </c>
      <c r="C6344" t="s">
        <v>19</v>
      </c>
      <c r="D6344">
        <v>726232.5</v>
      </c>
      <c r="E6344" t="s">
        <v>330</v>
      </c>
    </row>
    <row r="6345" spans="1:5" x14ac:dyDescent="0.25">
      <c r="A6345">
        <v>1790</v>
      </c>
      <c r="B6345" s="16">
        <v>43586</v>
      </c>
      <c r="C6345" t="s">
        <v>19</v>
      </c>
      <c r="D6345">
        <v>726232.5</v>
      </c>
      <c r="E6345" t="s">
        <v>330</v>
      </c>
    </row>
    <row r="6346" spans="1:5" x14ac:dyDescent="0.25">
      <c r="A6346">
        <v>1790</v>
      </c>
      <c r="B6346" s="16">
        <v>43617</v>
      </c>
      <c r="C6346" t="s">
        <v>19</v>
      </c>
      <c r="D6346">
        <v>726232.5</v>
      </c>
      <c r="E6346" t="s">
        <v>330</v>
      </c>
    </row>
    <row r="6347" spans="1:5" x14ac:dyDescent="0.25">
      <c r="A6347">
        <v>1790</v>
      </c>
      <c r="B6347" s="16">
        <v>43647</v>
      </c>
      <c r="C6347" t="s">
        <v>19</v>
      </c>
      <c r="D6347">
        <v>726232.5</v>
      </c>
      <c r="E6347" t="s">
        <v>330</v>
      </c>
    </row>
    <row r="6348" spans="1:5" x14ac:dyDescent="0.25">
      <c r="A6348">
        <v>1790</v>
      </c>
      <c r="B6348" s="16">
        <v>43556</v>
      </c>
      <c r="C6348" t="s">
        <v>173</v>
      </c>
      <c r="D6348">
        <v>9883440</v>
      </c>
      <c r="E6348" t="s">
        <v>330</v>
      </c>
    </row>
    <row r="6349" spans="1:5" x14ac:dyDescent="0.25">
      <c r="A6349">
        <v>1790</v>
      </c>
      <c r="B6349" s="16">
        <v>43586</v>
      </c>
      <c r="C6349" t="s">
        <v>173</v>
      </c>
      <c r="D6349">
        <v>9883440</v>
      </c>
      <c r="E6349" t="s">
        <v>330</v>
      </c>
    </row>
    <row r="6350" spans="1:5" x14ac:dyDescent="0.25">
      <c r="A6350">
        <v>1790</v>
      </c>
      <c r="B6350" s="16">
        <v>43617</v>
      </c>
      <c r="C6350" t="s">
        <v>173</v>
      </c>
      <c r="D6350">
        <v>9883440</v>
      </c>
      <c r="E6350" t="s">
        <v>330</v>
      </c>
    </row>
    <row r="6351" spans="1:5" x14ac:dyDescent="0.25">
      <c r="A6351">
        <v>1790</v>
      </c>
      <c r="B6351" s="16">
        <v>43647</v>
      </c>
      <c r="C6351" t="s">
        <v>173</v>
      </c>
      <c r="D6351">
        <v>9883440</v>
      </c>
      <c r="E6351" t="s">
        <v>330</v>
      </c>
    </row>
    <row r="6352" spans="1:5" x14ac:dyDescent="0.25">
      <c r="A6352">
        <v>1790</v>
      </c>
      <c r="B6352" s="16">
        <v>43678</v>
      </c>
      <c r="C6352" t="s">
        <v>173</v>
      </c>
      <c r="D6352">
        <v>9883440</v>
      </c>
      <c r="E6352" t="s">
        <v>330</v>
      </c>
    </row>
    <row r="6353" spans="1:5" x14ac:dyDescent="0.25">
      <c r="A6353">
        <v>1790</v>
      </c>
      <c r="B6353" s="16">
        <v>43709</v>
      </c>
      <c r="C6353" t="s">
        <v>173</v>
      </c>
      <c r="D6353">
        <v>9883440</v>
      </c>
      <c r="E6353" t="s">
        <v>330</v>
      </c>
    </row>
    <row r="6354" spans="1:5" x14ac:dyDescent="0.25">
      <c r="A6354">
        <v>1790</v>
      </c>
      <c r="B6354" s="16">
        <v>43739</v>
      </c>
      <c r="C6354" t="s">
        <v>173</v>
      </c>
      <c r="D6354">
        <v>9883440</v>
      </c>
      <c r="E6354" t="s">
        <v>330</v>
      </c>
    </row>
    <row r="6355" spans="1:5" x14ac:dyDescent="0.25">
      <c r="A6355">
        <v>1790</v>
      </c>
      <c r="B6355" s="16">
        <v>43770</v>
      </c>
      <c r="C6355" t="s">
        <v>173</v>
      </c>
      <c r="D6355">
        <v>9883440</v>
      </c>
      <c r="E6355" t="s">
        <v>330</v>
      </c>
    </row>
    <row r="6356" spans="1:5" x14ac:dyDescent="0.25">
      <c r="A6356">
        <v>1790</v>
      </c>
      <c r="B6356" s="16">
        <v>43800</v>
      </c>
      <c r="C6356" t="s">
        <v>173</v>
      </c>
      <c r="D6356">
        <v>9883440</v>
      </c>
      <c r="E6356" t="s">
        <v>330</v>
      </c>
    </row>
    <row r="6357" spans="1:5" x14ac:dyDescent="0.25">
      <c r="A6357">
        <v>1790</v>
      </c>
      <c r="B6357" s="16">
        <v>43831</v>
      </c>
      <c r="C6357" t="s">
        <v>173</v>
      </c>
      <c r="D6357">
        <v>9883440</v>
      </c>
      <c r="E6357" t="s">
        <v>330</v>
      </c>
    </row>
    <row r="6358" spans="1:5" x14ac:dyDescent="0.25">
      <c r="A6358">
        <v>1790</v>
      </c>
      <c r="B6358" s="16">
        <v>43862</v>
      </c>
      <c r="C6358" t="s">
        <v>173</v>
      </c>
      <c r="D6358">
        <v>9883440</v>
      </c>
      <c r="E6358" t="s">
        <v>330</v>
      </c>
    </row>
    <row r="6359" spans="1:5" x14ac:dyDescent="0.25">
      <c r="A6359">
        <v>1790</v>
      </c>
      <c r="B6359" s="16">
        <v>43891</v>
      </c>
      <c r="C6359" t="s">
        <v>173</v>
      </c>
      <c r="D6359">
        <v>9883440</v>
      </c>
      <c r="E6359" t="s">
        <v>330</v>
      </c>
    </row>
    <row r="6360" spans="1:5" x14ac:dyDescent="0.25">
      <c r="A6360">
        <v>1790</v>
      </c>
      <c r="B6360" s="16">
        <v>43922</v>
      </c>
      <c r="C6360" t="s">
        <v>173</v>
      </c>
      <c r="D6360">
        <v>9883440</v>
      </c>
      <c r="E6360" t="s">
        <v>330</v>
      </c>
    </row>
    <row r="6361" spans="1:5" x14ac:dyDescent="0.25">
      <c r="A6361">
        <v>1790</v>
      </c>
      <c r="B6361" s="16">
        <v>43556</v>
      </c>
      <c r="C6361" t="s">
        <v>314</v>
      </c>
      <c r="D6361">
        <v>5930064</v>
      </c>
      <c r="E6361" t="s">
        <v>330</v>
      </c>
    </row>
    <row r="6362" spans="1:5" x14ac:dyDescent="0.25">
      <c r="A6362">
        <v>1790</v>
      </c>
      <c r="B6362" s="16">
        <v>43586</v>
      </c>
      <c r="C6362" t="s">
        <v>314</v>
      </c>
      <c r="D6362">
        <v>5930064</v>
      </c>
      <c r="E6362" t="s">
        <v>330</v>
      </c>
    </row>
    <row r="6363" spans="1:5" x14ac:dyDescent="0.25">
      <c r="A6363">
        <v>1790</v>
      </c>
      <c r="B6363" s="16">
        <v>43617</v>
      </c>
      <c r="C6363" t="s">
        <v>314</v>
      </c>
      <c r="D6363">
        <v>5930064</v>
      </c>
      <c r="E6363" t="s">
        <v>330</v>
      </c>
    </row>
    <row r="6364" spans="1:5" x14ac:dyDescent="0.25">
      <c r="A6364">
        <v>1790</v>
      </c>
      <c r="B6364" s="16">
        <v>43647</v>
      </c>
      <c r="C6364" t="s">
        <v>314</v>
      </c>
      <c r="D6364">
        <v>5930064</v>
      </c>
      <c r="E6364" t="s">
        <v>330</v>
      </c>
    </row>
    <row r="6365" spans="1:5" x14ac:dyDescent="0.25">
      <c r="A6365">
        <v>1790</v>
      </c>
      <c r="B6365" s="16">
        <v>43678</v>
      </c>
      <c r="C6365" t="s">
        <v>314</v>
      </c>
      <c r="D6365">
        <v>5930064</v>
      </c>
      <c r="E6365" t="s">
        <v>330</v>
      </c>
    </row>
    <row r="6366" spans="1:5" x14ac:dyDescent="0.25">
      <c r="A6366">
        <v>1790</v>
      </c>
      <c r="B6366" s="16">
        <v>43709</v>
      </c>
      <c r="C6366" t="s">
        <v>314</v>
      </c>
      <c r="D6366">
        <v>5930064</v>
      </c>
      <c r="E6366" t="s">
        <v>330</v>
      </c>
    </row>
    <row r="6367" spans="1:5" x14ac:dyDescent="0.25">
      <c r="A6367">
        <v>1790</v>
      </c>
      <c r="B6367" s="16">
        <v>43739</v>
      </c>
      <c r="C6367" t="s">
        <v>314</v>
      </c>
      <c r="D6367">
        <v>5930064</v>
      </c>
      <c r="E6367" t="s">
        <v>330</v>
      </c>
    </row>
    <row r="6368" spans="1:5" x14ac:dyDescent="0.25">
      <c r="A6368">
        <v>1790</v>
      </c>
      <c r="B6368" s="16">
        <v>43770</v>
      </c>
      <c r="C6368" t="s">
        <v>314</v>
      </c>
      <c r="D6368">
        <v>5930064</v>
      </c>
      <c r="E6368" t="s">
        <v>330</v>
      </c>
    </row>
    <row r="6369" spans="1:5" x14ac:dyDescent="0.25">
      <c r="A6369">
        <v>1790</v>
      </c>
      <c r="B6369" s="16">
        <v>43800</v>
      </c>
      <c r="C6369" t="s">
        <v>314</v>
      </c>
      <c r="D6369">
        <v>5930064</v>
      </c>
      <c r="E6369" t="s">
        <v>330</v>
      </c>
    </row>
    <row r="6370" spans="1:5" x14ac:dyDescent="0.25">
      <c r="A6370">
        <v>1790</v>
      </c>
      <c r="B6370" s="16">
        <v>43831</v>
      </c>
      <c r="C6370" t="s">
        <v>314</v>
      </c>
      <c r="D6370">
        <v>5930064</v>
      </c>
      <c r="E6370" t="s">
        <v>330</v>
      </c>
    </row>
    <row r="6371" spans="1:5" x14ac:dyDescent="0.25">
      <c r="A6371">
        <v>1790</v>
      </c>
      <c r="B6371" s="16">
        <v>43862</v>
      </c>
      <c r="C6371" t="s">
        <v>314</v>
      </c>
      <c r="D6371">
        <v>5930064</v>
      </c>
      <c r="E6371" t="s">
        <v>330</v>
      </c>
    </row>
    <row r="6372" spans="1:5" x14ac:dyDescent="0.25">
      <c r="A6372">
        <v>1790</v>
      </c>
      <c r="B6372" s="16">
        <v>43891</v>
      </c>
      <c r="C6372" t="s">
        <v>314</v>
      </c>
      <c r="D6372">
        <v>5930064</v>
      </c>
      <c r="E6372" t="s">
        <v>330</v>
      </c>
    </row>
    <row r="6373" spans="1:5" x14ac:dyDescent="0.25">
      <c r="A6373">
        <v>1790</v>
      </c>
      <c r="B6373" s="16">
        <v>43922</v>
      </c>
      <c r="C6373" t="s">
        <v>314</v>
      </c>
      <c r="D6373">
        <v>5930064</v>
      </c>
      <c r="E6373" t="s">
        <v>330</v>
      </c>
    </row>
    <row r="6374" spans="1:5" x14ac:dyDescent="0.25">
      <c r="A6374">
        <v>1790</v>
      </c>
      <c r="B6374" s="16">
        <v>43556</v>
      </c>
      <c r="C6374" t="s">
        <v>315</v>
      </c>
      <c r="D6374">
        <v>3916647</v>
      </c>
      <c r="E6374" t="s">
        <v>330</v>
      </c>
    </row>
    <row r="6375" spans="1:5" x14ac:dyDescent="0.25">
      <c r="A6375">
        <v>1790</v>
      </c>
      <c r="B6375" s="16">
        <v>43586</v>
      </c>
      <c r="C6375" t="s">
        <v>315</v>
      </c>
      <c r="D6375">
        <v>3916647</v>
      </c>
      <c r="E6375" t="s">
        <v>330</v>
      </c>
    </row>
    <row r="6376" spans="1:5" x14ac:dyDescent="0.25">
      <c r="A6376">
        <v>1790</v>
      </c>
      <c r="B6376" s="16">
        <v>43617</v>
      </c>
      <c r="C6376" t="s">
        <v>315</v>
      </c>
      <c r="D6376">
        <v>3916647</v>
      </c>
      <c r="E6376" t="s">
        <v>330</v>
      </c>
    </row>
    <row r="6377" spans="1:5" x14ac:dyDescent="0.25">
      <c r="A6377">
        <v>1790</v>
      </c>
      <c r="B6377" s="16">
        <v>43647</v>
      </c>
      <c r="C6377" t="s">
        <v>315</v>
      </c>
      <c r="D6377">
        <v>3916647</v>
      </c>
      <c r="E6377" t="s">
        <v>330</v>
      </c>
    </row>
    <row r="6378" spans="1:5" x14ac:dyDescent="0.25">
      <c r="A6378">
        <v>1790</v>
      </c>
      <c r="B6378" s="16">
        <v>43678</v>
      </c>
      <c r="C6378" t="s">
        <v>315</v>
      </c>
      <c r="D6378">
        <v>3916647</v>
      </c>
      <c r="E6378" t="s">
        <v>330</v>
      </c>
    </row>
    <row r="6379" spans="1:5" x14ac:dyDescent="0.25">
      <c r="A6379">
        <v>1790</v>
      </c>
      <c r="B6379" s="16">
        <v>43709</v>
      </c>
      <c r="C6379" t="s">
        <v>315</v>
      </c>
      <c r="D6379">
        <v>3916647</v>
      </c>
      <c r="E6379" t="s">
        <v>330</v>
      </c>
    </row>
    <row r="6380" spans="1:5" x14ac:dyDescent="0.25">
      <c r="A6380">
        <v>1790</v>
      </c>
      <c r="B6380" s="16">
        <v>43739</v>
      </c>
      <c r="C6380" t="s">
        <v>315</v>
      </c>
      <c r="D6380">
        <v>3916647</v>
      </c>
      <c r="E6380" t="s">
        <v>330</v>
      </c>
    </row>
    <row r="6381" spans="1:5" x14ac:dyDescent="0.25">
      <c r="A6381">
        <v>1790</v>
      </c>
      <c r="B6381" s="16">
        <v>43770</v>
      </c>
      <c r="C6381" t="s">
        <v>315</v>
      </c>
      <c r="D6381">
        <v>3916647</v>
      </c>
      <c r="E6381" t="s">
        <v>330</v>
      </c>
    </row>
    <row r="6382" spans="1:5" x14ac:dyDescent="0.25">
      <c r="A6382">
        <v>1790</v>
      </c>
      <c r="B6382" s="16">
        <v>43800</v>
      </c>
      <c r="C6382" t="s">
        <v>315</v>
      </c>
      <c r="D6382">
        <v>3916647</v>
      </c>
      <c r="E6382" t="s">
        <v>330</v>
      </c>
    </row>
    <row r="6383" spans="1:5" x14ac:dyDescent="0.25">
      <c r="A6383">
        <v>1790</v>
      </c>
      <c r="B6383" s="16">
        <v>43831</v>
      </c>
      <c r="C6383" t="s">
        <v>315</v>
      </c>
      <c r="D6383">
        <v>3916647</v>
      </c>
      <c r="E6383" t="s">
        <v>330</v>
      </c>
    </row>
    <row r="6384" spans="1:5" x14ac:dyDescent="0.25">
      <c r="A6384">
        <v>1790</v>
      </c>
      <c r="B6384" s="16">
        <v>43862</v>
      </c>
      <c r="C6384" t="s">
        <v>315</v>
      </c>
      <c r="D6384">
        <v>3916647</v>
      </c>
      <c r="E6384" t="s">
        <v>330</v>
      </c>
    </row>
    <row r="6385" spans="1:5" x14ac:dyDescent="0.25">
      <c r="A6385">
        <v>1790</v>
      </c>
      <c r="B6385" s="16">
        <v>43891</v>
      </c>
      <c r="C6385" t="s">
        <v>315</v>
      </c>
      <c r="D6385">
        <v>3916647</v>
      </c>
      <c r="E6385" t="s">
        <v>330</v>
      </c>
    </row>
    <row r="6386" spans="1:5" x14ac:dyDescent="0.25">
      <c r="A6386">
        <v>1790</v>
      </c>
      <c r="B6386" s="16">
        <v>43922</v>
      </c>
      <c r="C6386" t="s">
        <v>315</v>
      </c>
      <c r="D6386">
        <v>3916647</v>
      </c>
      <c r="E6386" t="s">
        <v>330</v>
      </c>
    </row>
    <row r="6387" spans="1:5" x14ac:dyDescent="0.25">
      <c r="A6387">
        <v>1790</v>
      </c>
      <c r="B6387" s="16">
        <v>43556</v>
      </c>
      <c r="C6387" t="s">
        <v>316</v>
      </c>
      <c r="D6387">
        <v>7103634.4399999995</v>
      </c>
      <c r="E6387" t="s">
        <v>330</v>
      </c>
    </row>
    <row r="6388" spans="1:5" x14ac:dyDescent="0.25">
      <c r="A6388">
        <v>1790</v>
      </c>
      <c r="B6388" s="16">
        <v>43586</v>
      </c>
      <c r="C6388" t="s">
        <v>316</v>
      </c>
      <c r="D6388">
        <v>7103634.4399999995</v>
      </c>
      <c r="E6388" t="s">
        <v>330</v>
      </c>
    </row>
    <row r="6389" spans="1:5" x14ac:dyDescent="0.25">
      <c r="A6389">
        <v>1790</v>
      </c>
      <c r="B6389" s="16">
        <v>43617</v>
      </c>
      <c r="C6389" t="s">
        <v>316</v>
      </c>
      <c r="D6389">
        <v>7103634.4399999995</v>
      </c>
      <c r="E6389" t="s">
        <v>330</v>
      </c>
    </row>
    <row r="6390" spans="1:5" x14ac:dyDescent="0.25">
      <c r="A6390">
        <v>1790</v>
      </c>
      <c r="B6390" s="16">
        <v>43647</v>
      </c>
      <c r="C6390" t="s">
        <v>316</v>
      </c>
      <c r="D6390">
        <v>7103634.4399999995</v>
      </c>
      <c r="E6390" t="s">
        <v>330</v>
      </c>
    </row>
    <row r="6391" spans="1:5" x14ac:dyDescent="0.25">
      <c r="A6391">
        <v>1790</v>
      </c>
      <c r="B6391" s="16">
        <v>43678</v>
      </c>
      <c r="C6391" t="s">
        <v>316</v>
      </c>
      <c r="D6391">
        <v>7103634.4399999995</v>
      </c>
      <c r="E6391" t="s">
        <v>330</v>
      </c>
    </row>
    <row r="6392" spans="1:5" x14ac:dyDescent="0.25">
      <c r="A6392">
        <v>1790</v>
      </c>
      <c r="B6392" s="16">
        <v>43709</v>
      </c>
      <c r="C6392" t="s">
        <v>316</v>
      </c>
      <c r="D6392">
        <v>7103634.4399999995</v>
      </c>
      <c r="E6392" t="s">
        <v>330</v>
      </c>
    </row>
    <row r="6393" spans="1:5" x14ac:dyDescent="0.25">
      <c r="A6393">
        <v>1790</v>
      </c>
      <c r="B6393" s="16">
        <v>43739</v>
      </c>
      <c r="C6393" t="s">
        <v>316</v>
      </c>
      <c r="D6393">
        <v>7103634.4399999995</v>
      </c>
      <c r="E6393" t="s">
        <v>330</v>
      </c>
    </row>
    <row r="6394" spans="1:5" x14ac:dyDescent="0.25">
      <c r="A6394">
        <v>1790</v>
      </c>
      <c r="B6394" s="16">
        <v>43770</v>
      </c>
      <c r="C6394" t="s">
        <v>316</v>
      </c>
      <c r="D6394">
        <v>7103634.4399999995</v>
      </c>
      <c r="E6394" t="s">
        <v>330</v>
      </c>
    </row>
    <row r="6395" spans="1:5" x14ac:dyDescent="0.25">
      <c r="A6395">
        <v>1790</v>
      </c>
      <c r="B6395" s="16">
        <v>43800</v>
      </c>
      <c r="C6395" t="s">
        <v>316</v>
      </c>
      <c r="D6395">
        <v>7103634.4399999995</v>
      </c>
      <c r="E6395" t="s">
        <v>330</v>
      </c>
    </row>
    <row r="6396" spans="1:5" x14ac:dyDescent="0.25">
      <c r="A6396">
        <v>1790</v>
      </c>
      <c r="B6396" s="16">
        <v>43831</v>
      </c>
      <c r="C6396" t="s">
        <v>316</v>
      </c>
      <c r="D6396">
        <v>7103634.4399999995</v>
      </c>
      <c r="E6396" t="s">
        <v>330</v>
      </c>
    </row>
    <row r="6397" spans="1:5" x14ac:dyDescent="0.25">
      <c r="A6397">
        <v>1790</v>
      </c>
      <c r="B6397" s="16">
        <v>43862</v>
      </c>
      <c r="C6397" t="s">
        <v>316</v>
      </c>
      <c r="D6397">
        <v>7103634.4399999995</v>
      </c>
      <c r="E6397" t="s">
        <v>330</v>
      </c>
    </row>
    <row r="6398" spans="1:5" x14ac:dyDescent="0.25">
      <c r="A6398">
        <v>1790</v>
      </c>
      <c r="B6398" s="16">
        <v>43891</v>
      </c>
      <c r="C6398" t="s">
        <v>316</v>
      </c>
      <c r="D6398">
        <v>7103634.4399999995</v>
      </c>
      <c r="E6398" t="s">
        <v>330</v>
      </c>
    </row>
    <row r="6399" spans="1:5" x14ac:dyDescent="0.25">
      <c r="A6399">
        <v>1790</v>
      </c>
      <c r="B6399" s="16">
        <v>43922</v>
      </c>
      <c r="C6399" t="s">
        <v>316</v>
      </c>
      <c r="D6399">
        <v>7103634.4399999995</v>
      </c>
      <c r="E6399" t="s">
        <v>330</v>
      </c>
    </row>
    <row r="6400" spans="1:5" x14ac:dyDescent="0.25">
      <c r="A6400">
        <v>1790</v>
      </c>
      <c r="B6400" s="16">
        <v>43556</v>
      </c>
      <c r="C6400" t="s">
        <v>314</v>
      </c>
      <c r="D6400">
        <v>5930064</v>
      </c>
      <c r="E6400" t="s">
        <v>330</v>
      </c>
    </row>
    <row r="6401" spans="1:5" x14ac:dyDescent="0.25">
      <c r="A6401">
        <v>1790</v>
      </c>
      <c r="B6401" s="16">
        <v>43586</v>
      </c>
      <c r="C6401" t="s">
        <v>314</v>
      </c>
      <c r="D6401">
        <v>5930064</v>
      </c>
      <c r="E6401" t="s">
        <v>330</v>
      </c>
    </row>
    <row r="6402" spans="1:5" x14ac:dyDescent="0.25">
      <c r="A6402">
        <v>1790</v>
      </c>
      <c r="B6402" s="16">
        <v>43617</v>
      </c>
      <c r="C6402" t="s">
        <v>314</v>
      </c>
      <c r="D6402">
        <v>5930064</v>
      </c>
      <c r="E6402" t="s">
        <v>330</v>
      </c>
    </row>
    <row r="6403" spans="1:5" x14ac:dyDescent="0.25">
      <c r="A6403">
        <v>1790</v>
      </c>
      <c r="B6403" s="16">
        <v>43647</v>
      </c>
      <c r="C6403" t="s">
        <v>314</v>
      </c>
      <c r="D6403">
        <v>5930064</v>
      </c>
      <c r="E6403" t="s">
        <v>330</v>
      </c>
    </row>
    <row r="6404" spans="1:5" x14ac:dyDescent="0.25">
      <c r="A6404">
        <v>1790</v>
      </c>
      <c r="B6404" s="16">
        <v>43678</v>
      </c>
      <c r="C6404" t="s">
        <v>314</v>
      </c>
      <c r="D6404">
        <v>5930064</v>
      </c>
      <c r="E6404" t="s">
        <v>330</v>
      </c>
    </row>
    <row r="6405" spans="1:5" x14ac:dyDescent="0.25">
      <c r="A6405">
        <v>1790</v>
      </c>
      <c r="B6405" s="16">
        <v>43709</v>
      </c>
      <c r="C6405" t="s">
        <v>314</v>
      </c>
      <c r="D6405">
        <v>5930064</v>
      </c>
      <c r="E6405" t="s">
        <v>330</v>
      </c>
    </row>
    <row r="6406" spans="1:5" x14ac:dyDescent="0.25">
      <c r="A6406">
        <v>1790</v>
      </c>
      <c r="B6406" s="16">
        <v>43739</v>
      </c>
      <c r="C6406" t="s">
        <v>314</v>
      </c>
      <c r="D6406">
        <v>5930064</v>
      </c>
      <c r="E6406" t="s">
        <v>330</v>
      </c>
    </row>
    <row r="6407" spans="1:5" x14ac:dyDescent="0.25">
      <c r="A6407">
        <v>1790</v>
      </c>
      <c r="B6407" s="16">
        <v>43770</v>
      </c>
      <c r="C6407" t="s">
        <v>314</v>
      </c>
      <c r="D6407">
        <v>5930064</v>
      </c>
      <c r="E6407" t="s">
        <v>330</v>
      </c>
    </row>
    <row r="6408" spans="1:5" x14ac:dyDescent="0.25">
      <c r="A6408">
        <v>1790</v>
      </c>
      <c r="B6408" s="16">
        <v>43800</v>
      </c>
      <c r="C6408" t="s">
        <v>314</v>
      </c>
      <c r="D6408">
        <v>5930064</v>
      </c>
      <c r="E6408" t="s">
        <v>330</v>
      </c>
    </row>
    <row r="6409" spans="1:5" x14ac:dyDescent="0.25">
      <c r="A6409">
        <v>1790</v>
      </c>
      <c r="B6409" s="16">
        <v>43831</v>
      </c>
      <c r="C6409" t="s">
        <v>314</v>
      </c>
      <c r="D6409">
        <v>5930064</v>
      </c>
      <c r="E6409" t="s">
        <v>330</v>
      </c>
    </row>
    <row r="6410" spans="1:5" x14ac:dyDescent="0.25">
      <c r="A6410">
        <v>1790</v>
      </c>
      <c r="B6410" s="16">
        <v>43862</v>
      </c>
      <c r="C6410" t="s">
        <v>314</v>
      </c>
      <c r="D6410">
        <v>5930064</v>
      </c>
      <c r="E6410" t="s">
        <v>330</v>
      </c>
    </row>
    <row r="6411" spans="1:5" x14ac:dyDescent="0.25">
      <c r="A6411">
        <v>1790</v>
      </c>
      <c r="B6411" s="16">
        <v>43891</v>
      </c>
      <c r="C6411" t="s">
        <v>314</v>
      </c>
      <c r="D6411">
        <v>5930064</v>
      </c>
      <c r="E6411" t="s">
        <v>330</v>
      </c>
    </row>
    <row r="6412" spans="1:5" x14ac:dyDescent="0.25">
      <c r="A6412">
        <v>1790</v>
      </c>
      <c r="B6412" s="16">
        <v>43922</v>
      </c>
      <c r="C6412" t="s">
        <v>314</v>
      </c>
      <c r="D6412">
        <v>5930064</v>
      </c>
      <c r="E6412" t="s">
        <v>330</v>
      </c>
    </row>
    <row r="6413" spans="1:5" x14ac:dyDescent="0.25">
      <c r="A6413">
        <v>1790</v>
      </c>
      <c r="B6413" s="16">
        <v>43556</v>
      </c>
      <c r="C6413" t="s">
        <v>59</v>
      </c>
      <c r="D6413">
        <v>3847852</v>
      </c>
      <c r="E6413" t="s">
        <v>330</v>
      </c>
    </row>
    <row r="6414" spans="1:5" x14ac:dyDescent="0.25">
      <c r="A6414">
        <v>1790</v>
      </c>
      <c r="B6414" s="16">
        <v>43586</v>
      </c>
      <c r="C6414" t="s">
        <v>59</v>
      </c>
      <c r="D6414">
        <v>3847852</v>
      </c>
      <c r="E6414" t="s">
        <v>330</v>
      </c>
    </row>
    <row r="6415" spans="1:5" x14ac:dyDescent="0.25">
      <c r="A6415">
        <v>1790</v>
      </c>
      <c r="B6415" s="16">
        <v>43617</v>
      </c>
      <c r="C6415" t="s">
        <v>59</v>
      </c>
      <c r="D6415">
        <v>3847852</v>
      </c>
      <c r="E6415" t="s">
        <v>330</v>
      </c>
    </row>
    <row r="6416" spans="1:5" x14ac:dyDescent="0.25">
      <c r="A6416">
        <v>1790</v>
      </c>
      <c r="B6416" s="16">
        <v>43647</v>
      </c>
      <c r="C6416" t="s">
        <v>59</v>
      </c>
      <c r="D6416">
        <v>3847852</v>
      </c>
      <c r="E6416" t="s">
        <v>330</v>
      </c>
    </row>
    <row r="6417" spans="1:5" x14ac:dyDescent="0.25">
      <c r="A6417">
        <v>1790</v>
      </c>
      <c r="B6417" s="16">
        <v>43678</v>
      </c>
      <c r="C6417" t="s">
        <v>59</v>
      </c>
      <c r="D6417">
        <v>3847852</v>
      </c>
      <c r="E6417" t="s">
        <v>330</v>
      </c>
    </row>
    <row r="6418" spans="1:5" x14ac:dyDescent="0.25">
      <c r="A6418">
        <v>1790</v>
      </c>
      <c r="B6418" s="16">
        <v>43709</v>
      </c>
      <c r="C6418" t="s">
        <v>59</v>
      </c>
      <c r="D6418">
        <v>3847852</v>
      </c>
      <c r="E6418" t="s">
        <v>330</v>
      </c>
    </row>
    <row r="6419" spans="1:5" x14ac:dyDescent="0.25">
      <c r="A6419">
        <v>1790</v>
      </c>
      <c r="B6419" s="16">
        <v>43739</v>
      </c>
      <c r="C6419" t="s">
        <v>59</v>
      </c>
      <c r="D6419">
        <v>3847852</v>
      </c>
      <c r="E6419" t="s">
        <v>330</v>
      </c>
    </row>
    <row r="6420" spans="1:5" x14ac:dyDescent="0.25">
      <c r="A6420">
        <v>1790</v>
      </c>
      <c r="B6420" s="16">
        <v>43770</v>
      </c>
      <c r="C6420" t="s">
        <v>59</v>
      </c>
      <c r="D6420">
        <v>3847852</v>
      </c>
      <c r="E6420" t="s">
        <v>330</v>
      </c>
    </row>
    <row r="6421" spans="1:5" x14ac:dyDescent="0.25">
      <c r="A6421">
        <v>1790</v>
      </c>
      <c r="B6421" s="16">
        <v>43800</v>
      </c>
      <c r="C6421" t="s">
        <v>59</v>
      </c>
      <c r="D6421">
        <v>3847852</v>
      </c>
      <c r="E6421" t="s">
        <v>330</v>
      </c>
    </row>
    <row r="6422" spans="1:5" x14ac:dyDescent="0.25">
      <c r="A6422">
        <v>1790</v>
      </c>
      <c r="B6422" s="16">
        <v>43831</v>
      </c>
      <c r="C6422" t="s">
        <v>59</v>
      </c>
      <c r="D6422">
        <v>3847852</v>
      </c>
      <c r="E6422" t="s">
        <v>330</v>
      </c>
    </row>
    <row r="6423" spans="1:5" x14ac:dyDescent="0.25">
      <c r="A6423">
        <v>1790</v>
      </c>
      <c r="B6423" s="16">
        <v>43862</v>
      </c>
      <c r="C6423" t="s">
        <v>59</v>
      </c>
      <c r="D6423">
        <v>3847852</v>
      </c>
      <c r="E6423" t="s">
        <v>330</v>
      </c>
    </row>
    <row r="6424" spans="1:5" x14ac:dyDescent="0.25">
      <c r="A6424">
        <v>1790</v>
      </c>
      <c r="B6424" s="16">
        <v>43891</v>
      </c>
      <c r="C6424" t="s">
        <v>59</v>
      </c>
      <c r="D6424">
        <v>3847852</v>
      </c>
      <c r="E6424" t="s">
        <v>330</v>
      </c>
    </row>
    <row r="6425" spans="1:5" x14ac:dyDescent="0.25">
      <c r="A6425">
        <v>1790</v>
      </c>
      <c r="B6425" s="16">
        <v>43922</v>
      </c>
      <c r="C6425" t="s">
        <v>59</v>
      </c>
      <c r="D6425">
        <v>3847852</v>
      </c>
      <c r="E6425" t="s">
        <v>330</v>
      </c>
    </row>
    <row r="6426" spans="1:5" x14ac:dyDescent="0.25">
      <c r="A6426">
        <v>1790</v>
      </c>
      <c r="B6426" s="16">
        <v>43556</v>
      </c>
      <c r="C6426" t="s">
        <v>139</v>
      </c>
      <c r="D6426">
        <v>6012426</v>
      </c>
      <c r="E6426" t="s">
        <v>330</v>
      </c>
    </row>
    <row r="6427" spans="1:5" x14ac:dyDescent="0.25">
      <c r="A6427">
        <v>1790</v>
      </c>
      <c r="B6427" s="16">
        <v>43586</v>
      </c>
      <c r="C6427" t="s">
        <v>139</v>
      </c>
      <c r="D6427">
        <v>6012426</v>
      </c>
      <c r="E6427" t="s">
        <v>330</v>
      </c>
    </row>
    <row r="6428" spans="1:5" x14ac:dyDescent="0.25">
      <c r="A6428">
        <v>1790</v>
      </c>
      <c r="B6428" s="16">
        <v>43617</v>
      </c>
      <c r="C6428" t="s">
        <v>139</v>
      </c>
      <c r="D6428">
        <v>6012426</v>
      </c>
      <c r="E6428" t="s">
        <v>330</v>
      </c>
    </row>
    <row r="6429" spans="1:5" x14ac:dyDescent="0.25">
      <c r="A6429">
        <v>1790</v>
      </c>
      <c r="B6429" s="16">
        <v>43647</v>
      </c>
      <c r="C6429" t="s">
        <v>139</v>
      </c>
      <c r="D6429">
        <v>6012426</v>
      </c>
      <c r="E6429" t="s">
        <v>330</v>
      </c>
    </row>
    <row r="6430" spans="1:5" x14ac:dyDescent="0.25">
      <c r="A6430">
        <v>1790</v>
      </c>
      <c r="B6430" s="16">
        <v>43678</v>
      </c>
      <c r="C6430" t="s">
        <v>139</v>
      </c>
      <c r="D6430">
        <v>6012426</v>
      </c>
      <c r="E6430" t="s">
        <v>330</v>
      </c>
    </row>
    <row r="6431" spans="1:5" x14ac:dyDescent="0.25">
      <c r="A6431">
        <v>1790</v>
      </c>
      <c r="B6431" s="16">
        <v>43709</v>
      </c>
      <c r="C6431" t="s">
        <v>139</v>
      </c>
      <c r="D6431">
        <v>6012426</v>
      </c>
      <c r="E6431" t="s">
        <v>330</v>
      </c>
    </row>
    <row r="6432" spans="1:5" x14ac:dyDescent="0.25">
      <c r="A6432">
        <v>1790</v>
      </c>
      <c r="B6432" s="16">
        <v>43739</v>
      </c>
      <c r="C6432" t="s">
        <v>139</v>
      </c>
      <c r="D6432">
        <v>6012426</v>
      </c>
      <c r="E6432" t="s">
        <v>330</v>
      </c>
    </row>
    <row r="6433" spans="1:5" x14ac:dyDescent="0.25">
      <c r="A6433">
        <v>1790</v>
      </c>
      <c r="B6433" s="16">
        <v>43770</v>
      </c>
      <c r="C6433" t="s">
        <v>139</v>
      </c>
      <c r="D6433">
        <v>6012426</v>
      </c>
      <c r="E6433" t="s">
        <v>330</v>
      </c>
    </row>
    <row r="6434" spans="1:5" x14ac:dyDescent="0.25">
      <c r="A6434">
        <v>1790</v>
      </c>
      <c r="B6434" s="16">
        <v>43800</v>
      </c>
      <c r="C6434" t="s">
        <v>139</v>
      </c>
      <c r="D6434">
        <v>6012426</v>
      </c>
      <c r="E6434" t="s">
        <v>330</v>
      </c>
    </row>
    <row r="6435" spans="1:5" x14ac:dyDescent="0.25">
      <c r="A6435">
        <v>1790</v>
      </c>
      <c r="B6435" s="16">
        <v>43831</v>
      </c>
      <c r="C6435" t="s">
        <v>139</v>
      </c>
      <c r="D6435">
        <v>6012426</v>
      </c>
      <c r="E6435" t="s">
        <v>330</v>
      </c>
    </row>
    <row r="6436" spans="1:5" x14ac:dyDescent="0.25">
      <c r="A6436">
        <v>1790</v>
      </c>
      <c r="B6436" s="16">
        <v>43862</v>
      </c>
      <c r="C6436" t="s">
        <v>139</v>
      </c>
      <c r="D6436">
        <v>6012426</v>
      </c>
      <c r="E6436" t="s">
        <v>330</v>
      </c>
    </row>
    <row r="6437" spans="1:5" x14ac:dyDescent="0.25">
      <c r="A6437">
        <v>1790</v>
      </c>
      <c r="B6437" s="16">
        <v>43891</v>
      </c>
      <c r="C6437" t="s">
        <v>139</v>
      </c>
      <c r="D6437">
        <v>6012426</v>
      </c>
      <c r="E6437" t="s">
        <v>330</v>
      </c>
    </row>
    <row r="6438" spans="1:5" x14ac:dyDescent="0.25">
      <c r="A6438">
        <v>1790</v>
      </c>
      <c r="B6438" s="16">
        <v>43922</v>
      </c>
      <c r="C6438" t="s">
        <v>139</v>
      </c>
      <c r="D6438">
        <v>6012426</v>
      </c>
      <c r="E6438" t="s">
        <v>330</v>
      </c>
    </row>
    <row r="6439" spans="1:5" x14ac:dyDescent="0.25">
      <c r="A6439">
        <v>1790</v>
      </c>
      <c r="B6439" s="16">
        <v>43556</v>
      </c>
      <c r="C6439" t="s">
        <v>317</v>
      </c>
      <c r="D6439">
        <v>4941720</v>
      </c>
      <c r="E6439" t="s">
        <v>330</v>
      </c>
    </row>
    <row r="6440" spans="1:5" x14ac:dyDescent="0.25">
      <c r="A6440">
        <v>1790</v>
      </c>
      <c r="B6440" s="16">
        <v>43586</v>
      </c>
      <c r="C6440" t="s">
        <v>317</v>
      </c>
      <c r="D6440">
        <v>4941720</v>
      </c>
      <c r="E6440" t="s">
        <v>330</v>
      </c>
    </row>
    <row r="6441" spans="1:5" x14ac:dyDescent="0.25">
      <c r="A6441">
        <v>1790</v>
      </c>
      <c r="B6441" s="16">
        <v>43617</v>
      </c>
      <c r="C6441" t="s">
        <v>317</v>
      </c>
      <c r="D6441">
        <v>4941720</v>
      </c>
      <c r="E6441" t="s">
        <v>330</v>
      </c>
    </row>
    <row r="6442" spans="1:5" x14ac:dyDescent="0.25">
      <c r="A6442">
        <v>1790</v>
      </c>
      <c r="B6442" s="16">
        <v>43647</v>
      </c>
      <c r="C6442" t="s">
        <v>317</v>
      </c>
      <c r="D6442">
        <v>4941720</v>
      </c>
      <c r="E6442" t="s">
        <v>330</v>
      </c>
    </row>
    <row r="6443" spans="1:5" x14ac:dyDescent="0.25">
      <c r="A6443">
        <v>1790</v>
      </c>
      <c r="B6443" s="16">
        <v>43678</v>
      </c>
      <c r="C6443" t="s">
        <v>317</v>
      </c>
      <c r="D6443">
        <v>4941720</v>
      </c>
      <c r="E6443" t="s">
        <v>330</v>
      </c>
    </row>
    <row r="6444" spans="1:5" x14ac:dyDescent="0.25">
      <c r="A6444">
        <v>1790</v>
      </c>
      <c r="B6444" s="16">
        <v>43709</v>
      </c>
      <c r="C6444" t="s">
        <v>317</v>
      </c>
      <c r="D6444">
        <v>4941720</v>
      </c>
      <c r="E6444" t="s">
        <v>330</v>
      </c>
    </row>
    <row r="6445" spans="1:5" x14ac:dyDescent="0.25">
      <c r="A6445">
        <v>1790</v>
      </c>
      <c r="B6445" s="16">
        <v>43739</v>
      </c>
      <c r="C6445" t="s">
        <v>317</v>
      </c>
      <c r="D6445">
        <v>4941720</v>
      </c>
      <c r="E6445" t="s">
        <v>330</v>
      </c>
    </row>
    <row r="6446" spans="1:5" x14ac:dyDescent="0.25">
      <c r="A6446">
        <v>1790</v>
      </c>
      <c r="B6446" s="16">
        <v>43770</v>
      </c>
      <c r="C6446" t="s">
        <v>317</v>
      </c>
      <c r="D6446">
        <v>4941720</v>
      </c>
      <c r="E6446" t="s">
        <v>330</v>
      </c>
    </row>
    <row r="6447" spans="1:5" x14ac:dyDescent="0.25">
      <c r="A6447">
        <v>1790</v>
      </c>
      <c r="B6447" s="16">
        <v>43800</v>
      </c>
      <c r="C6447" t="s">
        <v>317</v>
      </c>
      <c r="D6447">
        <v>4941720</v>
      </c>
      <c r="E6447" t="s">
        <v>330</v>
      </c>
    </row>
    <row r="6448" spans="1:5" x14ac:dyDescent="0.25">
      <c r="A6448">
        <v>1790</v>
      </c>
      <c r="B6448" s="16">
        <v>43831</v>
      </c>
      <c r="C6448" t="s">
        <v>317</v>
      </c>
      <c r="D6448">
        <v>4941720</v>
      </c>
      <c r="E6448" t="s">
        <v>330</v>
      </c>
    </row>
    <row r="6449" spans="1:5" x14ac:dyDescent="0.25">
      <c r="A6449">
        <v>1790</v>
      </c>
      <c r="B6449" s="16">
        <v>43862</v>
      </c>
      <c r="C6449" t="s">
        <v>317</v>
      </c>
      <c r="D6449">
        <v>4941720</v>
      </c>
      <c r="E6449" t="s">
        <v>330</v>
      </c>
    </row>
    <row r="6450" spans="1:5" x14ac:dyDescent="0.25">
      <c r="A6450">
        <v>1790</v>
      </c>
      <c r="B6450" s="16">
        <v>43891</v>
      </c>
      <c r="C6450" t="s">
        <v>317</v>
      </c>
      <c r="D6450">
        <v>4941720</v>
      </c>
      <c r="E6450" t="s">
        <v>330</v>
      </c>
    </row>
    <row r="6451" spans="1:5" x14ac:dyDescent="0.25">
      <c r="A6451">
        <v>1790</v>
      </c>
      <c r="B6451" s="16">
        <v>43922</v>
      </c>
      <c r="C6451" t="s">
        <v>317</v>
      </c>
      <c r="D6451">
        <v>4941720</v>
      </c>
      <c r="E6451" t="s">
        <v>330</v>
      </c>
    </row>
    <row r="6452" spans="1:5" x14ac:dyDescent="0.25">
      <c r="A6452">
        <v>1790</v>
      </c>
      <c r="B6452" s="16">
        <v>43556</v>
      </c>
      <c r="C6452" t="s">
        <v>174</v>
      </c>
      <c r="D6452">
        <v>4612272</v>
      </c>
      <c r="E6452" t="s">
        <v>330</v>
      </c>
    </row>
    <row r="6453" spans="1:5" x14ac:dyDescent="0.25">
      <c r="A6453">
        <v>1790</v>
      </c>
      <c r="B6453" s="16">
        <v>43586</v>
      </c>
      <c r="C6453" t="s">
        <v>174</v>
      </c>
      <c r="D6453">
        <v>4612272</v>
      </c>
      <c r="E6453" t="s">
        <v>330</v>
      </c>
    </row>
    <row r="6454" spans="1:5" x14ac:dyDescent="0.25">
      <c r="A6454">
        <v>1790</v>
      </c>
      <c r="B6454" s="16">
        <v>43617</v>
      </c>
      <c r="C6454" t="s">
        <v>174</v>
      </c>
      <c r="D6454">
        <v>4612272</v>
      </c>
      <c r="E6454" t="s">
        <v>330</v>
      </c>
    </row>
    <row r="6455" spans="1:5" x14ac:dyDescent="0.25">
      <c r="A6455">
        <v>1790</v>
      </c>
      <c r="B6455" s="16">
        <v>43647</v>
      </c>
      <c r="C6455" t="s">
        <v>174</v>
      </c>
      <c r="D6455">
        <v>4612272</v>
      </c>
      <c r="E6455" t="s">
        <v>330</v>
      </c>
    </row>
    <row r="6456" spans="1:5" x14ac:dyDescent="0.25">
      <c r="A6456">
        <v>1790</v>
      </c>
      <c r="B6456" s="16">
        <v>43678</v>
      </c>
      <c r="C6456" t="s">
        <v>174</v>
      </c>
      <c r="D6456">
        <v>4612272</v>
      </c>
      <c r="E6456" t="s">
        <v>330</v>
      </c>
    </row>
    <row r="6457" spans="1:5" x14ac:dyDescent="0.25">
      <c r="A6457">
        <v>1790</v>
      </c>
      <c r="B6457" s="16">
        <v>43709</v>
      </c>
      <c r="C6457" t="s">
        <v>174</v>
      </c>
      <c r="D6457">
        <v>4612272</v>
      </c>
      <c r="E6457" t="s">
        <v>330</v>
      </c>
    </row>
    <row r="6458" spans="1:5" x14ac:dyDescent="0.25">
      <c r="A6458">
        <v>1790</v>
      </c>
      <c r="B6458" s="16">
        <v>43739</v>
      </c>
      <c r="C6458" t="s">
        <v>174</v>
      </c>
      <c r="D6458">
        <v>4612272</v>
      </c>
      <c r="E6458" t="s">
        <v>330</v>
      </c>
    </row>
    <row r="6459" spans="1:5" x14ac:dyDescent="0.25">
      <c r="A6459">
        <v>1790</v>
      </c>
      <c r="B6459" s="16">
        <v>43770</v>
      </c>
      <c r="C6459" t="s">
        <v>174</v>
      </c>
      <c r="D6459">
        <v>4612272</v>
      </c>
      <c r="E6459" t="s">
        <v>330</v>
      </c>
    </row>
    <row r="6460" spans="1:5" x14ac:dyDescent="0.25">
      <c r="A6460">
        <v>1790</v>
      </c>
      <c r="B6460" s="16">
        <v>43800</v>
      </c>
      <c r="C6460" t="s">
        <v>174</v>
      </c>
      <c r="D6460">
        <v>4612272</v>
      </c>
      <c r="E6460" t="s">
        <v>330</v>
      </c>
    </row>
    <row r="6461" spans="1:5" x14ac:dyDescent="0.25">
      <c r="A6461">
        <v>1790</v>
      </c>
      <c r="B6461" s="16">
        <v>43831</v>
      </c>
      <c r="C6461" t="s">
        <v>174</v>
      </c>
      <c r="D6461">
        <v>4612272</v>
      </c>
      <c r="E6461" t="s">
        <v>330</v>
      </c>
    </row>
    <row r="6462" spans="1:5" x14ac:dyDescent="0.25">
      <c r="A6462">
        <v>1790</v>
      </c>
      <c r="B6462" s="16">
        <v>43862</v>
      </c>
      <c r="C6462" t="s">
        <v>174</v>
      </c>
      <c r="D6462">
        <v>4612272</v>
      </c>
      <c r="E6462" t="s">
        <v>330</v>
      </c>
    </row>
    <row r="6463" spans="1:5" x14ac:dyDescent="0.25">
      <c r="A6463">
        <v>1790</v>
      </c>
      <c r="B6463" s="16">
        <v>43891</v>
      </c>
      <c r="C6463" t="s">
        <v>174</v>
      </c>
      <c r="D6463">
        <v>4612272</v>
      </c>
      <c r="E6463" t="s">
        <v>330</v>
      </c>
    </row>
    <row r="6464" spans="1:5" x14ac:dyDescent="0.25">
      <c r="A6464">
        <v>1790</v>
      </c>
      <c r="B6464" s="16">
        <v>43922</v>
      </c>
      <c r="C6464" t="s">
        <v>174</v>
      </c>
      <c r="D6464">
        <v>4612272</v>
      </c>
      <c r="E6464" t="s">
        <v>330</v>
      </c>
    </row>
    <row r="6465" spans="1:5" x14ac:dyDescent="0.25">
      <c r="A6465">
        <v>1790</v>
      </c>
      <c r="B6465" s="16">
        <v>43556</v>
      </c>
      <c r="C6465" t="s">
        <v>135</v>
      </c>
      <c r="D6465">
        <v>3669727.95</v>
      </c>
      <c r="E6465" t="s">
        <v>330</v>
      </c>
    </row>
    <row r="6466" spans="1:5" x14ac:dyDescent="0.25">
      <c r="A6466">
        <v>1790</v>
      </c>
      <c r="B6466" s="16">
        <v>43586</v>
      </c>
      <c r="C6466" t="s">
        <v>135</v>
      </c>
      <c r="D6466">
        <v>3669727.95</v>
      </c>
      <c r="E6466" t="s">
        <v>330</v>
      </c>
    </row>
    <row r="6467" spans="1:5" x14ac:dyDescent="0.25">
      <c r="A6467">
        <v>1790</v>
      </c>
      <c r="B6467" s="16">
        <v>43617</v>
      </c>
      <c r="C6467" t="s">
        <v>135</v>
      </c>
      <c r="D6467">
        <v>3669727.95</v>
      </c>
      <c r="E6467" t="s">
        <v>330</v>
      </c>
    </row>
    <row r="6468" spans="1:5" x14ac:dyDescent="0.25">
      <c r="A6468">
        <v>1790</v>
      </c>
      <c r="B6468" s="16">
        <v>43647</v>
      </c>
      <c r="C6468" t="s">
        <v>135</v>
      </c>
      <c r="D6468">
        <v>3669727.95</v>
      </c>
      <c r="E6468" t="s">
        <v>330</v>
      </c>
    </row>
    <row r="6469" spans="1:5" x14ac:dyDescent="0.25">
      <c r="A6469">
        <v>1790</v>
      </c>
      <c r="B6469" s="16">
        <v>43678</v>
      </c>
      <c r="C6469" t="s">
        <v>135</v>
      </c>
      <c r="D6469">
        <v>3669727.95</v>
      </c>
      <c r="E6469" t="s">
        <v>330</v>
      </c>
    </row>
    <row r="6470" spans="1:5" x14ac:dyDescent="0.25">
      <c r="A6470">
        <v>1790</v>
      </c>
      <c r="B6470" s="16">
        <v>43709</v>
      </c>
      <c r="C6470" t="s">
        <v>135</v>
      </c>
      <c r="D6470">
        <v>3669727.95</v>
      </c>
      <c r="E6470" t="s">
        <v>330</v>
      </c>
    </row>
    <row r="6471" spans="1:5" x14ac:dyDescent="0.25">
      <c r="A6471">
        <v>1790</v>
      </c>
      <c r="B6471" s="16">
        <v>43739</v>
      </c>
      <c r="C6471" t="s">
        <v>135</v>
      </c>
      <c r="D6471">
        <v>3669727.95</v>
      </c>
      <c r="E6471" t="s">
        <v>330</v>
      </c>
    </row>
    <row r="6472" spans="1:5" x14ac:dyDescent="0.25">
      <c r="A6472">
        <v>1790</v>
      </c>
      <c r="B6472" s="16">
        <v>43770</v>
      </c>
      <c r="C6472" t="s">
        <v>135</v>
      </c>
      <c r="D6472">
        <v>3669727.95</v>
      </c>
      <c r="E6472" t="s">
        <v>330</v>
      </c>
    </row>
    <row r="6473" spans="1:5" x14ac:dyDescent="0.25">
      <c r="A6473">
        <v>1790</v>
      </c>
      <c r="B6473" s="16">
        <v>43800</v>
      </c>
      <c r="C6473" t="s">
        <v>135</v>
      </c>
      <c r="D6473">
        <v>3669727.95</v>
      </c>
      <c r="E6473" t="s">
        <v>330</v>
      </c>
    </row>
    <row r="6474" spans="1:5" x14ac:dyDescent="0.25">
      <c r="A6474">
        <v>1790</v>
      </c>
      <c r="B6474" s="16">
        <v>43831</v>
      </c>
      <c r="C6474" t="s">
        <v>135</v>
      </c>
      <c r="D6474">
        <v>3669727.95</v>
      </c>
      <c r="E6474" t="s">
        <v>330</v>
      </c>
    </row>
    <row r="6475" spans="1:5" x14ac:dyDescent="0.25">
      <c r="A6475">
        <v>1790</v>
      </c>
      <c r="B6475" s="16">
        <v>43862</v>
      </c>
      <c r="C6475" t="s">
        <v>135</v>
      </c>
      <c r="D6475">
        <v>3669727.95</v>
      </c>
      <c r="E6475" t="s">
        <v>330</v>
      </c>
    </row>
    <row r="6476" spans="1:5" x14ac:dyDescent="0.25">
      <c r="A6476">
        <v>1790</v>
      </c>
      <c r="B6476" s="16">
        <v>43891</v>
      </c>
      <c r="C6476" t="s">
        <v>135</v>
      </c>
      <c r="D6476">
        <v>3669727.95</v>
      </c>
      <c r="E6476" t="s">
        <v>330</v>
      </c>
    </row>
    <row r="6477" spans="1:5" x14ac:dyDescent="0.25">
      <c r="A6477">
        <v>1790</v>
      </c>
      <c r="B6477" s="16">
        <v>43922</v>
      </c>
      <c r="C6477" t="s">
        <v>135</v>
      </c>
      <c r="D6477">
        <v>3669727.95</v>
      </c>
      <c r="E6477" t="s">
        <v>330</v>
      </c>
    </row>
    <row r="6478" spans="1:5" x14ac:dyDescent="0.25">
      <c r="A6478">
        <v>1790</v>
      </c>
      <c r="B6478" s="16">
        <v>43556</v>
      </c>
      <c r="C6478" t="s">
        <v>182</v>
      </c>
      <c r="D6478">
        <v>3678242.4</v>
      </c>
      <c r="E6478" t="s">
        <v>330</v>
      </c>
    </row>
    <row r="6479" spans="1:5" x14ac:dyDescent="0.25">
      <c r="A6479">
        <v>1790</v>
      </c>
      <c r="B6479" s="16">
        <v>43586</v>
      </c>
      <c r="C6479" t="s">
        <v>182</v>
      </c>
      <c r="D6479">
        <v>3678242.4</v>
      </c>
      <c r="E6479" t="s">
        <v>330</v>
      </c>
    </row>
    <row r="6480" spans="1:5" x14ac:dyDescent="0.25">
      <c r="A6480">
        <v>1790</v>
      </c>
      <c r="B6480" s="16">
        <v>43617</v>
      </c>
      <c r="C6480" t="s">
        <v>182</v>
      </c>
      <c r="D6480">
        <v>3678242.4</v>
      </c>
      <c r="E6480" t="s">
        <v>330</v>
      </c>
    </row>
    <row r="6481" spans="1:5" x14ac:dyDescent="0.25">
      <c r="A6481">
        <v>1790</v>
      </c>
      <c r="B6481" s="16">
        <v>43647</v>
      </c>
      <c r="C6481" t="s">
        <v>182</v>
      </c>
      <c r="D6481">
        <v>3678242.4</v>
      </c>
      <c r="E6481" t="s">
        <v>330</v>
      </c>
    </row>
    <row r="6482" spans="1:5" x14ac:dyDescent="0.25">
      <c r="A6482">
        <v>1790</v>
      </c>
      <c r="B6482" s="16">
        <v>43678</v>
      </c>
      <c r="C6482" t="s">
        <v>182</v>
      </c>
      <c r="D6482">
        <v>3678242.4</v>
      </c>
      <c r="E6482" t="s">
        <v>330</v>
      </c>
    </row>
    <row r="6483" spans="1:5" x14ac:dyDescent="0.25">
      <c r="A6483">
        <v>1790</v>
      </c>
      <c r="B6483" s="16">
        <v>43709</v>
      </c>
      <c r="C6483" t="s">
        <v>182</v>
      </c>
      <c r="D6483">
        <v>3678242.4</v>
      </c>
      <c r="E6483" t="s">
        <v>330</v>
      </c>
    </row>
    <row r="6484" spans="1:5" x14ac:dyDescent="0.25">
      <c r="A6484">
        <v>1790</v>
      </c>
      <c r="B6484" s="16">
        <v>43739</v>
      </c>
      <c r="C6484" t="s">
        <v>182</v>
      </c>
      <c r="D6484">
        <v>3678242.4</v>
      </c>
      <c r="E6484" t="s">
        <v>330</v>
      </c>
    </row>
    <row r="6485" spans="1:5" x14ac:dyDescent="0.25">
      <c r="A6485">
        <v>1790</v>
      </c>
      <c r="B6485" s="16">
        <v>43770</v>
      </c>
      <c r="C6485" t="s">
        <v>182</v>
      </c>
      <c r="D6485">
        <v>3678242.4</v>
      </c>
      <c r="E6485" t="s">
        <v>330</v>
      </c>
    </row>
    <row r="6486" spans="1:5" x14ac:dyDescent="0.25">
      <c r="A6486">
        <v>1790</v>
      </c>
      <c r="B6486" s="16">
        <v>43800</v>
      </c>
      <c r="C6486" t="s">
        <v>182</v>
      </c>
      <c r="D6486">
        <v>3678242.4</v>
      </c>
      <c r="E6486" t="s">
        <v>330</v>
      </c>
    </row>
    <row r="6487" spans="1:5" x14ac:dyDescent="0.25">
      <c r="A6487">
        <v>1790</v>
      </c>
      <c r="B6487" s="16">
        <v>43831</v>
      </c>
      <c r="C6487" t="s">
        <v>182</v>
      </c>
      <c r="D6487">
        <v>3678242.4</v>
      </c>
      <c r="E6487" t="s">
        <v>330</v>
      </c>
    </row>
    <row r="6488" spans="1:5" x14ac:dyDescent="0.25">
      <c r="A6488">
        <v>1790</v>
      </c>
      <c r="B6488" s="16">
        <v>43862</v>
      </c>
      <c r="C6488" t="s">
        <v>182</v>
      </c>
      <c r="D6488">
        <v>3678242.4</v>
      </c>
      <c r="E6488" t="s">
        <v>330</v>
      </c>
    </row>
    <row r="6489" spans="1:5" x14ac:dyDescent="0.25">
      <c r="A6489">
        <v>1790</v>
      </c>
      <c r="B6489" s="16">
        <v>43891</v>
      </c>
      <c r="C6489" t="s">
        <v>182</v>
      </c>
      <c r="D6489">
        <v>3678242.4</v>
      </c>
      <c r="E6489" t="s">
        <v>330</v>
      </c>
    </row>
    <row r="6490" spans="1:5" x14ac:dyDescent="0.25">
      <c r="A6490">
        <v>1790</v>
      </c>
      <c r="B6490" s="16">
        <v>43922</v>
      </c>
      <c r="C6490" t="s">
        <v>182</v>
      </c>
      <c r="D6490">
        <v>3678242.4</v>
      </c>
      <c r="E6490" t="s">
        <v>330</v>
      </c>
    </row>
    <row r="6491" spans="1:5" x14ac:dyDescent="0.25">
      <c r="A6491">
        <v>1790</v>
      </c>
      <c r="B6491" s="16">
        <v>43556</v>
      </c>
      <c r="C6491" t="s">
        <v>318</v>
      </c>
      <c r="D6491">
        <v>3678242.4</v>
      </c>
      <c r="E6491" t="s">
        <v>330</v>
      </c>
    </row>
    <row r="6492" spans="1:5" x14ac:dyDescent="0.25">
      <c r="A6492">
        <v>1790</v>
      </c>
      <c r="B6492" s="16">
        <v>43586</v>
      </c>
      <c r="C6492" t="s">
        <v>318</v>
      </c>
      <c r="D6492">
        <v>3678242.4</v>
      </c>
      <c r="E6492" t="s">
        <v>330</v>
      </c>
    </row>
    <row r="6493" spans="1:5" x14ac:dyDescent="0.25">
      <c r="A6493">
        <v>1790</v>
      </c>
      <c r="B6493" s="16">
        <v>43617</v>
      </c>
      <c r="C6493" t="s">
        <v>318</v>
      </c>
      <c r="D6493">
        <v>3678242.4</v>
      </c>
      <c r="E6493" t="s">
        <v>330</v>
      </c>
    </row>
    <row r="6494" spans="1:5" x14ac:dyDescent="0.25">
      <c r="A6494">
        <v>1790</v>
      </c>
      <c r="B6494" s="16">
        <v>43647</v>
      </c>
      <c r="C6494" t="s">
        <v>318</v>
      </c>
      <c r="D6494">
        <v>3678242.4</v>
      </c>
      <c r="E6494" t="s">
        <v>330</v>
      </c>
    </row>
    <row r="6495" spans="1:5" x14ac:dyDescent="0.25">
      <c r="A6495">
        <v>1790</v>
      </c>
      <c r="B6495" s="16">
        <v>43678</v>
      </c>
      <c r="C6495" t="s">
        <v>318</v>
      </c>
      <c r="D6495">
        <v>3678242.4</v>
      </c>
      <c r="E6495" t="s">
        <v>330</v>
      </c>
    </row>
    <row r="6496" spans="1:5" x14ac:dyDescent="0.25">
      <c r="A6496">
        <v>1790</v>
      </c>
      <c r="B6496" s="16">
        <v>43709</v>
      </c>
      <c r="C6496" t="s">
        <v>318</v>
      </c>
      <c r="D6496">
        <v>3678242.4</v>
      </c>
      <c r="E6496" t="s">
        <v>330</v>
      </c>
    </row>
    <row r="6497" spans="1:5" x14ac:dyDescent="0.25">
      <c r="A6497">
        <v>1790</v>
      </c>
      <c r="B6497" s="16">
        <v>43739</v>
      </c>
      <c r="C6497" t="s">
        <v>318</v>
      </c>
      <c r="D6497">
        <v>3678242.4</v>
      </c>
      <c r="E6497" t="s">
        <v>330</v>
      </c>
    </row>
    <row r="6498" spans="1:5" x14ac:dyDescent="0.25">
      <c r="A6498">
        <v>1790</v>
      </c>
      <c r="B6498" s="16">
        <v>43770</v>
      </c>
      <c r="C6498" t="s">
        <v>318</v>
      </c>
      <c r="D6498">
        <v>3678242.4</v>
      </c>
      <c r="E6498" t="s">
        <v>330</v>
      </c>
    </row>
    <row r="6499" spans="1:5" x14ac:dyDescent="0.25">
      <c r="A6499">
        <v>1790</v>
      </c>
      <c r="B6499" s="16">
        <v>43800</v>
      </c>
      <c r="C6499" t="s">
        <v>318</v>
      </c>
      <c r="D6499">
        <v>3678242.4</v>
      </c>
      <c r="E6499" t="s">
        <v>330</v>
      </c>
    </row>
    <row r="6500" spans="1:5" x14ac:dyDescent="0.25">
      <c r="A6500">
        <v>1507</v>
      </c>
      <c r="B6500" s="16">
        <v>43617</v>
      </c>
      <c r="C6500" t="s">
        <v>192</v>
      </c>
      <c r="D6500">
        <v>577000000</v>
      </c>
      <c r="E6500" t="s">
        <v>330</v>
      </c>
    </row>
    <row r="6501" spans="1:5" x14ac:dyDescent="0.25">
      <c r="A6501">
        <v>1580</v>
      </c>
      <c r="B6501" s="16">
        <v>43466</v>
      </c>
      <c r="C6501" t="s">
        <v>192</v>
      </c>
      <c r="D6501">
        <v>29400000</v>
      </c>
      <c r="E6501" t="s">
        <v>330</v>
      </c>
    </row>
    <row r="6502" spans="1:5" x14ac:dyDescent="0.25">
      <c r="A6502">
        <v>1580</v>
      </c>
      <c r="B6502" s="16">
        <v>43497</v>
      </c>
      <c r="C6502" t="s">
        <v>192</v>
      </c>
      <c r="D6502">
        <v>29400000</v>
      </c>
      <c r="E6502" t="s">
        <v>330</v>
      </c>
    </row>
    <row r="6503" spans="1:5" x14ac:dyDescent="0.25">
      <c r="A6503">
        <v>1580</v>
      </c>
      <c r="B6503" s="16">
        <v>43525</v>
      </c>
      <c r="C6503" t="s">
        <v>192</v>
      </c>
      <c r="D6503">
        <v>29400000</v>
      </c>
      <c r="E6503" t="s">
        <v>330</v>
      </c>
    </row>
    <row r="6504" spans="1:5" x14ac:dyDescent="0.25">
      <c r="A6504">
        <v>1580</v>
      </c>
      <c r="B6504" s="16">
        <v>43556</v>
      </c>
      <c r="C6504" t="s">
        <v>192</v>
      </c>
      <c r="D6504">
        <v>29400000</v>
      </c>
      <c r="E6504" t="s">
        <v>330</v>
      </c>
    </row>
    <row r="6505" spans="1:5" x14ac:dyDescent="0.25">
      <c r="A6505">
        <v>1580</v>
      </c>
      <c r="B6505" s="16">
        <v>43586</v>
      </c>
      <c r="C6505" t="s">
        <v>192</v>
      </c>
      <c r="D6505">
        <v>29400000</v>
      </c>
      <c r="E6505" t="s">
        <v>330</v>
      </c>
    </row>
    <row r="6506" spans="1:5" x14ac:dyDescent="0.25">
      <c r="A6506">
        <v>1580</v>
      </c>
      <c r="B6506" s="16">
        <v>43617</v>
      </c>
      <c r="C6506" t="s">
        <v>192</v>
      </c>
      <c r="D6506">
        <v>29400000</v>
      </c>
      <c r="E6506" t="s">
        <v>330</v>
      </c>
    </row>
    <row r="6507" spans="1:5" x14ac:dyDescent="0.25">
      <c r="A6507">
        <v>1580</v>
      </c>
      <c r="B6507" s="16">
        <v>43647</v>
      </c>
      <c r="C6507" t="s">
        <v>192</v>
      </c>
      <c r="D6507">
        <v>29400000</v>
      </c>
      <c r="E6507" t="s">
        <v>330</v>
      </c>
    </row>
    <row r="6508" spans="1:5" x14ac:dyDescent="0.25">
      <c r="A6508">
        <v>1580</v>
      </c>
      <c r="B6508" s="16">
        <v>43678</v>
      </c>
      <c r="C6508" t="s">
        <v>192</v>
      </c>
      <c r="D6508">
        <v>29400000</v>
      </c>
      <c r="E6508" t="s">
        <v>330</v>
      </c>
    </row>
    <row r="6509" spans="1:5" x14ac:dyDescent="0.25">
      <c r="A6509">
        <v>1580</v>
      </c>
      <c r="B6509" s="16">
        <v>43709</v>
      </c>
      <c r="C6509" t="s">
        <v>192</v>
      </c>
      <c r="D6509">
        <v>29400000</v>
      </c>
      <c r="E6509" t="s">
        <v>330</v>
      </c>
    </row>
    <row r="6510" spans="1:5" x14ac:dyDescent="0.25">
      <c r="A6510">
        <v>1580</v>
      </c>
      <c r="B6510" s="16">
        <v>43739</v>
      </c>
      <c r="C6510" t="s">
        <v>192</v>
      </c>
      <c r="D6510">
        <v>29400000</v>
      </c>
      <c r="E6510" t="s">
        <v>330</v>
      </c>
    </row>
    <row r="6511" spans="1:5" x14ac:dyDescent="0.25">
      <c r="A6511">
        <v>1580</v>
      </c>
      <c r="B6511" s="16">
        <v>43770</v>
      </c>
      <c r="C6511" t="s">
        <v>192</v>
      </c>
      <c r="D6511">
        <v>29400000</v>
      </c>
      <c r="E6511" t="s">
        <v>330</v>
      </c>
    </row>
    <row r="6512" spans="1:5" x14ac:dyDescent="0.25">
      <c r="A6512">
        <v>1580</v>
      </c>
      <c r="B6512" s="16">
        <v>43800</v>
      </c>
      <c r="C6512" t="s">
        <v>192</v>
      </c>
      <c r="D6512">
        <v>29400000</v>
      </c>
      <c r="E6512" t="s">
        <v>330</v>
      </c>
    </row>
    <row r="6513" spans="1:5" x14ac:dyDescent="0.25">
      <c r="A6513">
        <v>1580</v>
      </c>
      <c r="B6513" s="16">
        <v>43831</v>
      </c>
      <c r="C6513" t="s">
        <v>192</v>
      </c>
      <c r="D6513">
        <v>29400000</v>
      </c>
      <c r="E6513" t="s">
        <v>330</v>
      </c>
    </row>
    <row r="6514" spans="1:5" x14ac:dyDescent="0.25">
      <c r="A6514">
        <v>1580</v>
      </c>
      <c r="B6514" s="16">
        <v>43862</v>
      </c>
      <c r="C6514" t="s">
        <v>192</v>
      </c>
      <c r="D6514">
        <v>29400000</v>
      </c>
      <c r="E6514" t="s">
        <v>330</v>
      </c>
    </row>
    <row r="6515" spans="1:5" x14ac:dyDescent="0.25">
      <c r="A6515">
        <v>1596</v>
      </c>
      <c r="B6515" s="16">
        <v>43466</v>
      </c>
      <c r="C6515" t="s">
        <v>192</v>
      </c>
      <c r="D6515">
        <v>21263797.894736841</v>
      </c>
      <c r="E6515" t="s">
        <v>330</v>
      </c>
    </row>
    <row r="6516" spans="1:5" x14ac:dyDescent="0.25">
      <c r="A6516">
        <v>1596</v>
      </c>
      <c r="B6516" s="16">
        <v>43497</v>
      </c>
      <c r="C6516" t="s">
        <v>192</v>
      </c>
      <c r="D6516">
        <v>21263797.894736841</v>
      </c>
      <c r="E6516" t="s">
        <v>330</v>
      </c>
    </row>
    <row r="6517" spans="1:5" x14ac:dyDescent="0.25">
      <c r="A6517">
        <v>1596</v>
      </c>
      <c r="B6517" s="16">
        <v>43525</v>
      </c>
      <c r="C6517" t="s">
        <v>192</v>
      </c>
      <c r="D6517">
        <v>21263797.894736841</v>
      </c>
      <c r="E6517" t="s">
        <v>330</v>
      </c>
    </row>
    <row r="6518" spans="1:5" x14ac:dyDescent="0.25">
      <c r="A6518">
        <v>1596</v>
      </c>
      <c r="B6518" s="16">
        <v>43556</v>
      </c>
      <c r="C6518" t="s">
        <v>192</v>
      </c>
      <c r="D6518">
        <v>21263797.894736841</v>
      </c>
      <c r="E6518" t="s">
        <v>330</v>
      </c>
    </row>
    <row r="6519" spans="1:5" x14ac:dyDescent="0.25">
      <c r="A6519">
        <v>1596</v>
      </c>
      <c r="B6519" s="16">
        <v>43586</v>
      </c>
      <c r="C6519" t="s">
        <v>192</v>
      </c>
      <c r="D6519">
        <v>21263797.894736841</v>
      </c>
      <c r="E6519" t="s">
        <v>330</v>
      </c>
    </row>
    <row r="6520" spans="1:5" x14ac:dyDescent="0.25">
      <c r="A6520">
        <v>1596</v>
      </c>
      <c r="B6520" s="16">
        <v>43617</v>
      </c>
      <c r="C6520" t="s">
        <v>192</v>
      </c>
      <c r="D6520">
        <v>21263797.894736841</v>
      </c>
      <c r="E6520" t="s">
        <v>330</v>
      </c>
    </row>
    <row r="6521" spans="1:5" x14ac:dyDescent="0.25">
      <c r="A6521">
        <v>1689</v>
      </c>
      <c r="B6521" s="16">
        <v>43466</v>
      </c>
      <c r="C6521" t="s">
        <v>192</v>
      </c>
      <c r="D6521">
        <v>15665740</v>
      </c>
      <c r="E6521" t="s">
        <v>330</v>
      </c>
    </row>
    <row r="6522" spans="1:5" x14ac:dyDescent="0.25">
      <c r="A6522">
        <v>1689</v>
      </c>
      <c r="B6522" s="16">
        <v>43497</v>
      </c>
      <c r="C6522" t="s">
        <v>192</v>
      </c>
      <c r="D6522">
        <v>15665740</v>
      </c>
      <c r="E6522" t="s">
        <v>330</v>
      </c>
    </row>
    <row r="6523" spans="1:5" x14ac:dyDescent="0.25">
      <c r="A6523">
        <v>1689</v>
      </c>
      <c r="B6523" s="16">
        <v>43525</v>
      </c>
      <c r="C6523" t="s">
        <v>192</v>
      </c>
      <c r="D6523">
        <v>15665740</v>
      </c>
      <c r="E6523" t="s">
        <v>330</v>
      </c>
    </row>
    <row r="6524" spans="1:5" x14ac:dyDescent="0.25">
      <c r="A6524">
        <v>1689</v>
      </c>
      <c r="B6524" s="16">
        <v>43556</v>
      </c>
      <c r="C6524" t="s">
        <v>192</v>
      </c>
      <c r="D6524">
        <v>15665740</v>
      </c>
      <c r="E6524" t="s">
        <v>330</v>
      </c>
    </row>
    <row r="6525" spans="1:5" x14ac:dyDescent="0.25">
      <c r="A6525">
        <v>1689</v>
      </c>
      <c r="B6525" s="16">
        <v>43586</v>
      </c>
      <c r="C6525" t="s">
        <v>192</v>
      </c>
      <c r="D6525">
        <v>15665740</v>
      </c>
      <c r="E6525" t="s">
        <v>330</v>
      </c>
    </row>
    <row r="6526" spans="1:5" x14ac:dyDescent="0.25">
      <c r="A6526">
        <v>1689</v>
      </c>
      <c r="B6526" s="16">
        <v>43617</v>
      </c>
      <c r="C6526" t="s">
        <v>192</v>
      </c>
      <c r="D6526">
        <v>15665740</v>
      </c>
      <c r="E6526" t="s">
        <v>330</v>
      </c>
    </row>
    <row r="6527" spans="1:5" x14ac:dyDescent="0.25">
      <c r="A6527">
        <v>1689</v>
      </c>
      <c r="B6527" s="16">
        <v>43647</v>
      </c>
      <c r="C6527" t="s">
        <v>192</v>
      </c>
      <c r="D6527">
        <v>15665740</v>
      </c>
      <c r="E6527" t="s">
        <v>330</v>
      </c>
    </row>
    <row r="6528" spans="1:5" x14ac:dyDescent="0.25">
      <c r="A6528">
        <v>1689</v>
      </c>
      <c r="B6528" s="16">
        <v>43678</v>
      </c>
      <c r="C6528" t="s">
        <v>192</v>
      </c>
      <c r="D6528">
        <v>15665740</v>
      </c>
      <c r="E6528" t="s">
        <v>330</v>
      </c>
    </row>
    <row r="6529" spans="1:5" x14ac:dyDescent="0.25">
      <c r="A6529">
        <v>1689</v>
      </c>
      <c r="B6529" s="16">
        <v>43709</v>
      </c>
      <c r="C6529" t="s">
        <v>192</v>
      </c>
      <c r="D6529">
        <v>15665740</v>
      </c>
      <c r="E6529" t="s">
        <v>330</v>
      </c>
    </row>
    <row r="6530" spans="1:5" x14ac:dyDescent="0.25">
      <c r="A6530">
        <v>1744</v>
      </c>
      <c r="B6530" s="16">
        <v>43466</v>
      </c>
      <c r="C6530" t="s">
        <v>192</v>
      </c>
      <c r="D6530">
        <v>35458635</v>
      </c>
      <c r="E6530" t="s">
        <v>330</v>
      </c>
    </row>
    <row r="6531" spans="1:5" x14ac:dyDescent="0.25">
      <c r="A6531">
        <v>1744</v>
      </c>
      <c r="B6531" s="16">
        <v>43497</v>
      </c>
      <c r="C6531" t="s">
        <v>192</v>
      </c>
      <c r="D6531">
        <v>35458635</v>
      </c>
      <c r="E6531" t="s">
        <v>330</v>
      </c>
    </row>
    <row r="6532" spans="1:5" x14ac:dyDescent="0.25">
      <c r="A6532">
        <v>1744</v>
      </c>
      <c r="B6532" s="16">
        <v>43525</v>
      </c>
      <c r="C6532" t="s">
        <v>192</v>
      </c>
      <c r="D6532">
        <v>35458635</v>
      </c>
      <c r="E6532" t="s">
        <v>330</v>
      </c>
    </row>
    <row r="6533" spans="1:5" x14ac:dyDescent="0.25">
      <c r="A6533">
        <v>1744</v>
      </c>
      <c r="B6533" s="16">
        <v>43556</v>
      </c>
      <c r="C6533" t="s">
        <v>192</v>
      </c>
      <c r="D6533">
        <v>35458635</v>
      </c>
      <c r="E6533" t="s">
        <v>330</v>
      </c>
    </row>
    <row r="6534" spans="1:5" x14ac:dyDescent="0.25">
      <c r="A6534">
        <v>1744</v>
      </c>
      <c r="B6534" s="16">
        <v>43586</v>
      </c>
      <c r="C6534" t="s">
        <v>192</v>
      </c>
      <c r="D6534">
        <v>35458635</v>
      </c>
      <c r="E6534" t="s">
        <v>330</v>
      </c>
    </row>
    <row r="6535" spans="1:5" x14ac:dyDescent="0.25">
      <c r="A6535">
        <v>1744</v>
      </c>
      <c r="B6535" s="16">
        <v>43617</v>
      </c>
      <c r="C6535" t="s">
        <v>192</v>
      </c>
      <c r="D6535">
        <v>35458635</v>
      </c>
      <c r="E6535" t="s">
        <v>330</v>
      </c>
    </row>
    <row r="6536" spans="1:5" x14ac:dyDescent="0.25">
      <c r="A6536">
        <v>1744</v>
      </c>
      <c r="B6536" s="16">
        <v>43647</v>
      </c>
      <c r="C6536" t="s">
        <v>192</v>
      </c>
      <c r="D6536">
        <v>35458635</v>
      </c>
      <c r="E6536" t="s">
        <v>330</v>
      </c>
    </row>
    <row r="6537" spans="1:5" x14ac:dyDescent="0.25">
      <c r="A6537">
        <v>1744</v>
      </c>
      <c r="B6537" s="16">
        <v>43678</v>
      </c>
      <c r="C6537" t="s">
        <v>192</v>
      </c>
      <c r="D6537">
        <v>35458635</v>
      </c>
      <c r="E6537" t="s">
        <v>330</v>
      </c>
    </row>
    <row r="6538" spans="1:5" x14ac:dyDescent="0.25">
      <c r="A6538">
        <v>1751</v>
      </c>
      <c r="B6538" s="16">
        <v>43466</v>
      </c>
      <c r="C6538" t="s">
        <v>192</v>
      </c>
      <c r="D6538">
        <v>15500000</v>
      </c>
      <c r="E6538" t="s">
        <v>330</v>
      </c>
    </row>
    <row r="6539" spans="1:5" x14ac:dyDescent="0.25">
      <c r="A6539">
        <v>1751</v>
      </c>
      <c r="B6539" s="16">
        <v>43497</v>
      </c>
      <c r="C6539" t="s">
        <v>192</v>
      </c>
      <c r="D6539">
        <v>15500000</v>
      </c>
      <c r="E6539" t="s">
        <v>330</v>
      </c>
    </row>
    <row r="6540" spans="1:5" x14ac:dyDescent="0.25">
      <c r="A6540">
        <v>1751</v>
      </c>
      <c r="B6540" s="16">
        <v>43525</v>
      </c>
      <c r="C6540" t="s">
        <v>192</v>
      </c>
      <c r="D6540">
        <v>15500000</v>
      </c>
      <c r="E6540" t="s">
        <v>330</v>
      </c>
    </row>
    <row r="6541" spans="1:5" x14ac:dyDescent="0.25">
      <c r="A6541">
        <v>1751</v>
      </c>
      <c r="B6541" s="16">
        <v>43556</v>
      </c>
      <c r="C6541" t="s">
        <v>192</v>
      </c>
      <c r="D6541">
        <v>15500000</v>
      </c>
      <c r="E6541" t="s">
        <v>330</v>
      </c>
    </row>
    <row r="6542" spans="1:5" x14ac:dyDescent="0.25">
      <c r="A6542">
        <v>1751</v>
      </c>
      <c r="B6542" s="16">
        <v>43586</v>
      </c>
      <c r="C6542" t="s">
        <v>192</v>
      </c>
      <c r="D6542">
        <v>15500000</v>
      </c>
      <c r="E6542" t="s">
        <v>330</v>
      </c>
    </row>
    <row r="6543" spans="1:5" x14ac:dyDescent="0.25">
      <c r="A6543">
        <v>1753</v>
      </c>
      <c r="B6543" s="16">
        <v>43466</v>
      </c>
      <c r="C6543" t="s">
        <v>192</v>
      </c>
      <c r="D6543">
        <v>10000000</v>
      </c>
      <c r="E6543" t="s">
        <v>330</v>
      </c>
    </row>
    <row r="6544" spans="1:5" x14ac:dyDescent="0.25">
      <c r="A6544">
        <v>1756</v>
      </c>
      <c r="B6544" s="16">
        <v>43466</v>
      </c>
      <c r="C6544" t="s">
        <v>192</v>
      </c>
      <c r="D6544">
        <v>62778573</v>
      </c>
      <c r="E6544" t="s">
        <v>330</v>
      </c>
    </row>
    <row r="6545" spans="1:5" x14ac:dyDescent="0.25">
      <c r="A6545">
        <v>1756</v>
      </c>
      <c r="B6545" s="16">
        <v>43497</v>
      </c>
      <c r="C6545" t="s">
        <v>192</v>
      </c>
      <c r="D6545">
        <v>62778573</v>
      </c>
      <c r="E6545" t="s">
        <v>330</v>
      </c>
    </row>
    <row r="6546" spans="1:5" x14ac:dyDescent="0.25">
      <c r="A6546">
        <v>1756</v>
      </c>
      <c r="B6546" s="16">
        <v>43525</v>
      </c>
      <c r="C6546" t="s">
        <v>192</v>
      </c>
      <c r="D6546">
        <v>62778573</v>
      </c>
      <c r="E6546" t="s">
        <v>330</v>
      </c>
    </row>
    <row r="6547" spans="1:5" x14ac:dyDescent="0.25">
      <c r="A6547">
        <v>1756</v>
      </c>
      <c r="B6547" s="16">
        <v>43556</v>
      </c>
      <c r="C6547" t="s">
        <v>192</v>
      </c>
      <c r="D6547">
        <v>62778573</v>
      </c>
      <c r="E6547" t="s">
        <v>330</v>
      </c>
    </row>
    <row r="6548" spans="1:5" x14ac:dyDescent="0.25">
      <c r="A6548">
        <v>1756</v>
      </c>
      <c r="B6548" s="16">
        <v>43586</v>
      </c>
      <c r="C6548" t="s">
        <v>192</v>
      </c>
      <c r="D6548">
        <v>62778573</v>
      </c>
      <c r="E6548" t="s">
        <v>330</v>
      </c>
    </row>
    <row r="6549" spans="1:5" x14ac:dyDescent="0.25">
      <c r="A6549">
        <v>1756</v>
      </c>
      <c r="B6549" s="16">
        <v>43617</v>
      </c>
      <c r="C6549" t="s">
        <v>192</v>
      </c>
      <c r="D6549">
        <v>62778573</v>
      </c>
      <c r="E6549" t="s">
        <v>330</v>
      </c>
    </row>
    <row r="6550" spans="1:5" x14ac:dyDescent="0.25">
      <c r="A6550">
        <v>1756</v>
      </c>
      <c r="B6550" s="16">
        <v>43647</v>
      </c>
      <c r="C6550" t="s">
        <v>192</v>
      </c>
      <c r="D6550">
        <v>62778573</v>
      </c>
      <c r="E6550" t="s">
        <v>330</v>
      </c>
    </row>
    <row r="6551" spans="1:5" x14ac:dyDescent="0.25">
      <c r="A6551">
        <v>1756</v>
      </c>
      <c r="B6551" s="16">
        <v>43678</v>
      </c>
      <c r="C6551" t="s">
        <v>192</v>
      </c>
      <c r="D6551">
        <v>62778573</v>
      </c>
      <c r="E6551" t="s">
        <v>330</v>
      </c>
    </row>
    <row r="6552" spans="1:5" x14ac:dyDescent="0.25">
      <c r="A6552">
        <v>1756</v>
      </c>
      <c r="B6552" s="16">
        <v>43709</v>
      </c>
      <c r="C6552" t="s">
        <v>192</v>
      </c>
      <c r="D6552">
        <v>62778573</v>
      </c>
      <c r="E6552" t="s">
        <v>330</v>
      </c>
    </row>
    <row r="6553" spans="1:5" x14ac:dyDescent="0.25">
      <c r="A6553">
        <v>1758</v>
      </c>
      <c r="B6553" s="16">
        <v>43466</v>
      </c>
      <c r="C6553" t="s">
        <v>192</v>
      </c>
      <c r="D6553">
        <v>16500000</v>
      </c>
      <c r="E6553" t="s">
        <v>330</v>
      </c>
    </row>
    <row r="6554" spans="1:5" x14ac:dyDescent="0.25">
      <c r="A6554">
        <v>1758</v>
      </c>
      <c r="B6554" s="16">
        <v>43497</v>
      </c>
      <c r="C6554" t="s">
        <v>192</v>
      </c>
      <c r="D6554">
        <v>16500000</v>
      </c>
      <c r="E6554" t="s">
        <v>330</v>
      </c>
    </row>
    <row r="6555" spans="1:5" x14ac:dyDescent="0.25">
      <c r="A6555">
        <v>1758</v>
      </c>
      <c r="B6555" s="16">
        <v>43525</v>
      </c>
      <c r="C6555" t="s">
        <v>192</v>
      </c>
      <c r="D6555">
        <v>16500000</v>
      </c>
      <c r="E6555" t="s">
        <v>330</v>
      </c>
    </row>
    <row r="6556" spans="1:5" x14ac:dyDescent="0.25">
      <c r="A6556">
        <v>1758</v>
      </c>
      <c r="B6556" s="16">
        <v>43556</v>
      </c>
      <c r="C6556" t="s">
        <v>192</v>
      </c>
      <c r="D6556">
        <v>16500000</v>
      </c>
      <c r="E6556" t="s">
        <v>330</v>
      </c>
    </row>
    <row r="6557" spans="1:5" x14ac:dyDescent="0.25">
      <c r="A6557">
        <v>1758</v>
      </c>
      <c r="B6557" s="16">
        <v>43586</v>
      </c>
      <c r="C6557" t="s">
        <v>192</v>
      </c>
      <c r="D6557">
        <v>16500000</v>
      </c>
      <c r="E6557" t="s">
        <v>330</v>
      </c>
    </row>
    <row r="6558" spans="1:5" x14ac:dyDescent="0.25">
      <c r="A6558">
        <v>1758</v>
      </c>
      <c r="B6558" s="16">
        <v>43617</v>
      </c>
      <c r="C6558" t="s">
        <v>192</v>
      </c>
      <c r="D6558">
        <v>16500000</v>
      </c>
      <c r="E6558" t="s">
        <v>330</v>
      </c>
    </row>
    <row r="6559" spans="1:5" x14ac:dyDescent="0.25">
      <c r="A6559">
        <v>1758</v>
      </c>
      <c r="B6559" s="16">
        <v>43647</v>
      </c>
      <c r="C6559" t="s">
        <v>192</v>
      </c>
      <c r="D6559">
        <v>16500000</v>
      </c>
      <c r="E6559" t="s">
        <v>330</v>
      </c>
    </row>
    <row r="6560" spans="1:5" x14ac:dyDescent="0.25">
      <c r="A6560">
        <v>1758</v>
      </c>
      <c r="B6560" s="16">
        <v>43678</v>
      </c>
      <c r="C6560" t="s">
        <v>192</v>
      </c>
      <c r="D6560">
        <v>16500000</v>
      </c>
      <c r="E6560" t="s">
        <v>330</v>
      </c>
    </row>
    <row r="6561" spans="1:5" x14ac:dyDescent="0.25">
      <c r="A6561">
        <v>1758</v>
      </c>
      <c r="B6561" s="16">
        <v>43709</v>
      </c>
      <c r="C6561" t="s">
        <v>192</v>
      </c>
      <c r="D6561">
        <v>16500000</v>
      </c>
      <c r="E6561" t="s">
        <v>330</v>
      </c>
    </row>
    <row r="6562" spans="1:5" x14ac:dyDescent="0.25">
      <c r="A6562">
        <v>1758</v>
      </c>
      <c r="B6562" s="16">
        <v>43739</v>
      </c>
      <c r="C6562" t="s">
        <v>192</v>
      </c>
      <c r="D6562">
        <v>16500000</v>
      </c>
      <c r="E6562" t="s">
        <v>330</v>
      </c>
    </row>
    <row r="6563" spans="1:5" x14ac:dyDescent="0.25">
      <c r="A6563">
        <v>1758</v>
      </c>
      <c r="B6563" s="16">
        <v>43770</v>
      </c>
      <c r="C6563" t="s">
        <v>192</v>
      </c>
      <c r="D6563">
        <v>16500000</v>
      </c>
      <c r="E6563" t="s">
        <v>330</v>
      </c>
    </row>
    <row r="6564" spans="1:5" x14ac:dyDescent="0.25">
      <c r="A6564">
        <v>1758</v>
      </c>
      <c r="B6564" s="16">
        <v>43800</v>
      </c>
      <c r="C6564" t="s">
        <v>192</v>
      </c>
      <c r="D6564">
        <v>16500000</v>
      </c>
      <c r="E6564" t="s">
        <v>330</v>
      </c>
    </row>
    <row r="6565" spans="1:5" x14ac:dyDescent="0.25">
      <c r="A6565">
        <v>1789</v>
      </c>
      <c r="B6565" s="16">
        <v>43466</v>
      </c>
      <c r="C6565" t="s">
        <v>192</v>
      </c>
      <c r="D6565">
        <v>15400000</v>
      </c>
      <c r="E6565" t="s">
        <v>330</v>
      </c>
    </row>
    <row r="6566" spans="1:5" x14ac:dyDescent="0.25">
      <c r="A6566">
        <v>1802</v>
      </c>
      <c r="B6566" s="16">
        <v>43466</v>
      </c>
      <c r="C6566" t="s">
        <v>192</v>
      </c>
      <c r="D6566">
        <v>21063300</v>
      </c>
      <c r="E6566" t="s">
        <v>330</v>
      </c>
    </row>
    <row r="6567" spans="1:5" x14ac:dyDescent="0.25">
      <c r="A6567">
        <v>1802</v>
      </c>
      <c r="B6567" s="16">
        <v>43497</v>
      </c>
      <c r="C6567" t="s">
        <v>192</v>
      </c>
      <c r="D6567">
        <v>21063300</v>
      </c>
      <c r="E6567" t="s">
        <v>330</v>
      </c>
    </row>
    <row r="6568" spans="1:5" x14ac:dyDescent="0.25">
      <c r="A6568">
        <v>1802</v>
      </c>
      <c r="B6568" s="16">
        <v>43525</v>
      </c>
      <c r="C6568" t="s">
        <v>192</v>
      </c>
      <c r="D6568">
        <v>21063300</v>
      </c>
      <c r="E6568" t="s">
        <v>330</v>
      </c>
    </row>
    <row r="6569" spans="1:5" x14ac:dyDescent="0.25">
      <c r="A6569">
        <v>1802</v>
      </c>
      <c r="B6569" s="16">
        <v>43556</v>
      </c>
      <c r="C6569" t="s">
        <v>192</v>
      </c>
      <c r="D6569">
        <v>21063300</v>
      </c>
      <c r="E6569" t="s">
        <v>330</v>
      </c>
    </row>
    <row r="6570" spans="1:5" x14ac:dyDescent="0.25">
      <c r="A6570">
        <v>1802</v>
      </c>
      <c r="B6570" s="16">
        <v>43586</v>
      </c>
      <c r="C6570" t="s">
        <v>192</v>
      </c>
      <c r="D6570">
        <v>21063300</v>
      </c>
      <c r="E6570" t="s">
        <v>330</v>
      </c>
    </row>
    <row r="6571" spans="1:5" x14ac:dyDescent="0.25">
      <c r="A6571">
        <v>1802</v>
      </c>
      <c r="B6571" s="16">
        <v>43617</v>
      </c>
      <c r="C6571" t="s">
        <v>192</v>
      </c>
      <c r="D6571">
        <v>21063300</v>
      </c>
      <c r="E6571" t="s">
        <v>330</v>
      </c>
    </row>
    <row r="6572" spans="1:5" x14ac:dyDescent="0.25">
      <c r="A6572">
        <v>1802</v>
      </c>
      <c r="B6572" s="16">
        <v>43647</v>
      </c>
      <c r="C6572" t="s">
        <v>192</v>
      </c>
      <c r="D6572">
        <v>21063300</v>
      </c>
      <c r="E6572" t="s">
        <v>330</v>
      </c>
    </row>
    <row r="6573" spans="1:5" x14ac:dyDescent="0.25">
      <c r="A6573">
        <v>1802</v>
      </c>
      <c r="B6573" s="16">
        <v>43678</v>
      </c>
      <c r="C6573" t="s">
        <v>192</v>
      </c>
      <c r="D6573">
        <v>21063300</v>
      </c>
      <c r="E6573" t="s">
        <v>330</v>
      </c>
    </row>
    <row r="6574" spans="1:5" x14ac:dyDescent="0.25">
      <c r="A6574">
        <v>1802</v>
      </c>
      <c r="B6574" s="16">
        <v>43709</v>
      </c>
      <c r="C6574" t="s">
        <v>192</v>
      </c>
      <c r="D6574">
        <v>21063300</v>
      </c>
      <c r="E6574" t="s">
        <v>330</v>
      </c>
    </row>
    <row r="6575" spans="1:5" x14ac:dyDescent="0.25">
      <c r="A6575">
        <v>1802</v>
      </c>
      <c r="B6575" s="16">
        <v>43739</v>
      </c>
      <c r="C6575" t="s">
        <v>192</v>
      </c>
      <c r="D6575">
        <v>21063300</v>
      </c>
      <c r="E6575" t="s">
        <v>330</v>
      </c>
    </row>
    <row r="6576" spans="1:5" x14ac:dyDescent="0.25">
      <c r="A6576">
        <v>1802</v>
      </c>
      <c r="B6576" s="16">
        <v>43770</v>
      </c>
      <c r="C6576" t="s">
        <v>192</v>
      </c>
      <c r="D6576">
        <v>21063300</v>
      </c>
      <c r="E6576" t="s">
        <v>330</v>
      </c>
    </row>
    <row r="6577" spans="1:5" x14ac:dyDescent="0.25">
      <c r="A6577">
        <v>1802</v>
      </c>
      <c r="B6577" s="16">
        <v>43800</v>
      </c>
      <c r="C6577" t="s">
        <v>192</v>
      </c>
      <c r="D6577">
        <v>21063300</v>
      </c>
      <c r="E6577" t="s">
        <v>330</v>
      </c>
    </row>
    <row r="6578" spans="1:5" x14ac:dyDescent="0.25">
      <c r="A6578">
        <v>1802</v>
      </c>
      <c r="B6578" s="16">
        <v>43831</v>
      </c>
      <c r="C6578" t="s">
        <v>192</v>
      </c>
      <c r="D6578">
        <v>21063300</v>
      </c>
      <c r="E6578" t="s">
        <v>330</v>
      </c>
    </row>
    <row r="6579" spans="1:5" x14ac:dyDescent="0.25">
      <c r="A6579">
        <v>1802</v>
      </c>
      <c r="B6579" s="16">
        <v>43862</v>
      </c>
      <c r="C6579" t="s">
        <v>192</v>
      </c>
      <c r="D6579">
        <v>21063300</v>
      </c>
      <c r="E6579" t="s">
        <v>330</v>
      </c>
    </row>
    <row r="6580" spans="1:5" x14ac:dyDescent="0.25">
      <c r="A6580">
        <v>1804</v>
      </c>
      <c r="B6580" s="16">
        <v>43466</v>
      </c>
      <c r="C6580" t="s">
        <v>192</v>
      </c>
      <c r="D6580">
        <v>29813870</v>
      </c>
      <c r="E6580" t="s">
        <v>330</v>
      </c>
    </row>
    <row r="6581" spans="1:5" x14ac:dyDescent="0.25">
      <c r="A6581">
        <v>1804</v>
      </c>
      <c r="B6581" s="16">
        <v>43497</v>
      </c>
      <c r="C6581" t="s">
        <v>192</v>
      </c>
      <c r="D6581">
        <v>29813870</v>
      </c>
      <c r="E6581" t="s">
        <v>330</v>
      </c>
    </row>
    <row r="6582" spans="1:5" x14ac:dyDescent="0.25">
      <c r="A6582">
        <v>1804</v>
      </c>
      <c r="B6582" s="16">
        <v>43525</v>
      </c>
      <c r="C6582" t="s">
        <v>192</v>
      </c>
      <c r="D6582">
        <v>29813870</v>
      </c>
      <c r="E6582" t="s">
        <v>330</v>
      </c>
    </row>
    <row r="6583" spans="1:5" x14ac:dyDescent="0.25">
      <c r="A6583">
        <v>1813</v>
      </c>
      <c r="B6583" s="16">
        <v>43466</v>
      </c>
      <c r="C6583" t="s">
        <v>192</v>
      </c>
      <c r="D6583">
        <v>39668026.912500001</v>
      </c>
      <c r="E6583" t="s">
        <v>330</v>
      </c>
    </row>
    <row r="6584" spans="1:5" x14ac:dyDescent="0.25">
      <c r="A6584">
        <v>1813</v>
      </c>
      <c r="B6584" s="16">
        <v>43497</v>
      </c>
      <c r="C6584" t="s">
        <v>192</v>
      </c>
      <c r="D6584">
        <v>39668026.912500001</v>
      </c>
      <c r="E6584" t="s">
        <v>330</v>
      </c>
    </row>
    <row r="6585" spans="1:5" x14ac:dyDescent="0.25">
      <c r="A6585">
        <v>1813</v>
      </c>
      <c r="B6585" s="16">
        <v>43525</v>
      </c>
      <c r="C6585" t="s">
        <v>192</v>
      </c>
      <c r="D6585">
        <v>39668026.912500001</v>
      </c>
      <c r="E6585" t="s">
        <v>330</v>
      </c>
    </row>
    <row r="6586" spans="1:5" x14ac:dyDescent="0.25">
      <c r="A6586">
        <v>1813</v>
      </c>
      <c r="B6586" s="16">
        <v>43556</v>
      </c>
      <c r="C6586" t="s">
        <v>192</v>
      </c>
      <c r="D6586">
        <v>39668026.912500001</v>
      </c>
      <c r="E6586" t="s">
        <v>330</v>
      </c>
    </row>
    <row r="6587" spans="1:5" x14ac:dyDescent="0.25">
      <c r="A6587">
        <v>1813</v>
      </c>
      <c r="B6587" s="16">
        <v>43586</v>
      </c>
      <c r="C6587" t="s">
        <v>192</v>
      </c>
      <c r="D6587">
        <v>39668026.912500001</v>
      </c>
      <c r="E6587" t="s">
        <v>330</v>
      </c>
    </row>
    <row r="6588" spans="1:5" x14ac:dyDescent="0.25">
      <c r="A6588">
        <v>1813</v>
      </c>
      <c r="B6588" s="16">
        <v>43466</v>
      </c>
      <c r="C6588" t="s">
        <v>192</v>
      </c>
      <c r="D6588">
        <v>86911842.894736797</v>
      </c>
      <c r="E6588" t="s">
        <v>330</v>
      </c>
    </row>
    <row r="6589" spans="1:5" x14ac:dyDescent="0.25">
      <c r="A6589">
        <v>1813</v>
      </c>
      <c r="B6589" s="16">
        <v>43497</v>
      </c>
      <c r="C6589" t="s">
        <v>192</v>
      </c>
      <c r="D6589">
        <v>86911842.894736797</v>
      </c>
      <c r="E6589" t="s">
        <v>330</v>
      </c>
    </row>
    <row r="6590" spans="1:5" x14ac:dyDescent="0.25">
      <c r="A6590">
        <v>1813</v>
      </c>
      <c r="B6590" s="16">
        <v>43525</v>
      </c>
      <c r="C6590" t="s">
        <v>192</v>
      </c>
      <c r="D6590">
        <v>86911842.894736797</v>
      </c>
      <c r="E6590" t="s">
        <v>330</v>
      </c>
    </row>
    <row r="6591" spans="1:5" x14ac:dyDescent="0.25">
      <c r="A6591">
        <v>1813</v>
      </c>
      <c r="B6591" s="16">
        <v>43556</v>
      </c>
      <c r="C6591" t="s">
        <v>192</v>
      </c>
      <c r="D6591">
        <v>86911842.894736797</v>
      </c>
      <c r="E6591" t="s">
        <v>330</v>
      </c>
    </row>
    <row r="6592" spans="1:5" x14ac:dyDescent="0.25">
      <c r="A6592">
        <v>1813</v>
      </c>
      <c r="B6592" s="16">
        <v>43586</v>
      </c>
      <c r="C6592" t="s">
        <v>192</v>
      </c>
      <c r="D6592">
        <v>86911842.894736797</v>
      </c>
      <c r="E6592" t="s">
        <v>330</v>
      </c>
    </row>
    <row r="6593" spans="1:5" x14ac:dyDescent="0.25">
      <c r="A6593">
        <v>1818</v>
      </c>
      <c r="B6593" s="16">
        <v>43466</v>
      </c>
      <c r="C6593" t="s">
        <v>192</v>
      </c>
      <c r="D6593">
        <v>14500000</v>
      </c>
      <c r="E6593" t="s">
        <v>330</v>
      </c>
    </row>
    <row r="6594" spans="1:5" x14ac:dyDescent="0.25">
      <c r="A6594">
        <v>1818</v>
      </c>
      <c r="B6594" s="16">
        <v>43497</v>
      </c>
      <c r="C6594" t="s">
        <v>192</v>
      </c>
      <c r="D6594">
        <v>14500000</v>
      </c>
      <c r="E6594" t="s">
        <v>330</v>
      </c>
    </row>
    <row r="6595" spans="1:5" x14ac:dyDescent="0.25">
      <c r="A6595">
        <v>1818</v>
      </c>
      <c r="B6595" s="16">
        <v>43525</v>
      </c>
      <c r="C6595" t="s">
        <v>192</v>
      </c>
      <c r="D6595">
        <v>14500000</v>
      </c>
      <c r="E6595" t="s">
        <v>330</v>
      </c>
    </row>
    <row r="6596" spans="1:5" x14ac:dyDescent="0.25">
      <c r="A6596">
        <v>1818</v>
      </c>
      <c r="B6596" s="16">
        <v>43556</v>
      </c>
      <c r="C6596" t="s">
        <v>192</v>
      </c>
      <c r="D6596">
        <v>14500000</v>
      </c>
      <c r="E6596" t="s">
        <v>330</v>
      </c>
    </row>
    <row r="6597" spans="1:5" x14ac:dyDescent="0.25">
      <c r="A6597">
        <v>1818</v>
      </c>
      <c r="B6597" s="16">
        <v>43586</v>
      </c>
      <c r="C6597" t="s">
        <v>192</v>
      </c>
      <c r="D6597">
        <v>14500000</v>
      </c>
      <c r="E6597" t="s">
        <v>330</v>
      </c>
    </row>
    <row r="6598" spans="1:5" x14ac:dyDescent="0.25">
      <c r="A6598">
        <v>1818</v>
      </c>
      <c r="B6598" s="16">
        <v>43617</v>
      </c>
      <c r="C6598" t="s">
        <v>192</v>
      </c>
      <c r="D6598">
        <v>14500000</v>
      </c>
      <c r="E6598" t="s">
        <v>330</v>
      </c>
    </row>
    <row r="6599" spans="1:5" x14ac:dyDescent="0.25">
      <c r="A6599">
        <v>1818</v>
      </c>
      <c r="B6599" s="16">
        <v>43647</v>
      </c>
      <c r="C6599" t="s">
        <v>192</v>
      </c>
      <c r="D6599">
        <v>14500000</v>
      </c>
      <c r="E6599" t="s">
        <v>330</v>
      </c>
    </row>
    <row r="6600" spans="1:5" x14ac:dyDescent="0.25">
      <c r="A6600">
        <v>1818</v>
      </c>
      <c r="B6600" s="16">
        <v>43678</v>
      </c>
      <c r="C6600" t="s">
        <v>192</v>
      </c>
      <c r="D6600">
        <v>14500000</v>
      </c>
      <c r="E6600" t="s">
        <v>330</v>
      </c>
    </row>
    <row r="6601" spans="1:5" x14ac:dyDescent="0.25">
      <c r="A6601">
        <v>1818</v>
      </c>
      <c r="B6601" s="16">
        <v>43709</v>
      </c>
      <c r="C6601" t="s">
        <v>192</v>
      </c>
      <c r="D6601">
        <v>14500000</v>
      </c>
      <c r="E6601" t="s">
        <v>330</v>
      </c>
    </row>
    <row r="6602" spans="1:5" x14ac:dyDescent="0.25">
      <c r="A6602">
        <v>1818</v>
      </c>
      <c r="B6602" s="16">
        <v>43739</v>
      </c>
      <c r="C6602" t="s">
        <v>192</v>
      </c>
      <c r="D6602">
        <v>14500000</v>
      </c>
      <c r="E6602" t="s">
        <v>330</v>
      </c>
    </row>
    <row r="6603" spans="1:5" x14ac:dyDescent="0.25">
      <c r="A6603">
        <v>1818</v>
      </c>
      <c r="B6603" s="16">
        <v>43770</v>
      </c>
      <c r="C6603" t="s">
        <v>192</v>
      </c>
      <c r="D6603">
        <v>14500000</v>
      </c>
      <c r="E6603" t="s">
        <v>330</v>
      </c>
    </row>
    <row r="6604" spans="1:5" x14ac:dyDescent="0.25">
      <c r="A6604">
        <v>1818</v>
      </c>
      <c r="B6604" s="16">
        <v>43800</v>
      </c>
      <c r="C6604" t="s">
        <v>192</v>
      </c>
      <c r="D6604">
        <v>14500000</v>
      </c>
      <c r="E6604" t="s">
        <v>330</v>
      </c>
    </row>
    <row r="6605" spans="1:5" x14ac:dyDescent="0.25">
      <c r="A6605">
        <v>1829</v>
      </c>
      <c r="B6605" s="16">
        <v>43466</v>
      </c>
      <c r="C6605" t="s">
        <v>192</v>
      </c>
      <c r="D6605">
        <v>13393000</v>
      </c>
      <c r="E6605" t="s">
        <v>330</v>
      </c>
    </row>
    <row r="6606" spans="1:5" x14ac:dyDescent="0.25">
      <c r="A6606">
        <v>1829</v>
      </c>
      <c r="B6606" s="16">
        <v>43497</v>
      </c>
      <c r="C6606" t="s">
        <v>192</v>
      </c>
      <c r="D6606">
        <v>13393000</v>
      </c>
      <c r="E6606" t="s">
        <v>330</v>
      </c>
    </row>
    <row r="6607" spans="1:5" x14ac:dyDescent="0.25">
      <c r="A6607">
        <v>1829</v>
      </c>
      <c r="B6607" s="16">
        <v>43525</v>
      </c>
      <c r="C6607" t="s">
        <v>192</v>
      </c>
      <c r="D6607">
        <v>13393000</v>
      </c>
      <c r="E6607" t="s">
        <v>330</v>
      </c>
    </row>
    <row r="6608" spans="1:5" x14ac:dyDescent="0.25">
      <c r="A6608">
        <v>1829</v>
      </c>
      <c r="B6608" s="16">
        <v>43556</v>
      </c>
      <c r="C6608" t="s">
        <v>192</v>
      </c>
      <c r="D6608">
        <v>13393000</v>
      </c>
      <c r="E6608" t="s">
        <v>330</v>
      </c>
    </row>
    <row r="6609" spans="1:5" x14ac:dyDescent="0.25">
      <c r="A6609">
        <v>1829</v>
      </c>
      <c r="B6609" s="16">
        <v>43586</v>
      </c>
      <c r="C6609" t="s">
        <v>192</v>
      </c>
      <c r="D6609">
        <v>13393000</v>
      </c>
      <c r="E6609" t="s">
        <v>330</v>
      </c>
    </row>
    <row r="6610" spans="1:5" x14ac:dyDescent="0.25">
      <c r="A6610">
        <v>1829</v>
      </c>
      <c r="B6610" s="16">
        <v>43617</v>
      </c>
      <c r="C6610" t="s">
        <v>192</v>
      </c>
      <c r="D6610">
        <v>13393000</v>
      </c>
      <c r="E6610" t="s">
        <v>330</v>
      </c>
    </row>
    <row r="6611" spans="1:5" x14ac:dyDescent="0.25">
      <c r="A6611">
        <v>1829</v>
      </c>
      <c r="B6611" s="16">
        <v>43647</v>
      </c>
      <c r="C6611" t="s">
        <v>192</v>
      </c>
      <c r="D6611">
        <v>13393000</v>
      </c>
      <c r="E6611" t="s">
        <v>330</v>
      </c>
    </row>
    <row r="6612" spans="1:5" x14ac:dyDescent="0.25">
      <c r="A6612">
        <v>1829</v>
      </c>
      <c r="B6612" s="16">
        <v>43678</v>
      </c>
      <c r="C6612" t="s">
        <v>192</v>
      </c>
      <c r="D6612">
        <v>13393000</v>
      </c>
      <c r="E6612" t="s">
        <v>330</v>
      </c>
    </row>
    <row r="6613" spans="1:5" x14ac:dyDescent="0.25">
      <c r="A6613">
        <v>1829</v>
      </c>
      <c r="B6613" s="16">
        <v>43709</v>
      </c>
      <c r="C6613" t="s">
        <v>192</v>
      </c>
      <c r="D6613">
        <v>13393000</v>
      </c>
      <c r="E6613" t="s">
        <v>330</v>
      </c>
    </row>
    <row r="6614" spans="1:5" x14ac:dyDescent="0.25">
      <c r="A6614">
        <v>1829</v>
      </c>
      <c r="B6614" s="16">
        <v>43739</v>
      </c>
      <c r="C6614" t="s">
        <v>192</v>
      </c>
      <c r="D6614">
        <v>13393000</v>
      </c>
      <c r="E6614" t="s">
        <v>330</v>
      </c>
    </row>
    <row r="6615" spans="1:5" x14ac:dyDescent="0.25">
      <c r="A6615">
        <v>1829</v>
      </c>
      <c r="B6615" s="16">
        <v>43770</v>
      </c>
      <c r="C6615" t="s">
        <v>192</v>
      </c>
      <c r="D6615">
        <v>13393000</v>
      </c>
      <c r="E6615" t="s">
        <v>330</v>
      </c>
    </row>
    <row r="6616" spans="1:5" x14ac:dyDescent="0.25">
      <c r="A6616">
        <v>1829</v>
      </c>
      <c r="B6616" s="16">
        <v>43800</v>
      </c>
      <c r="C6616" t="s">
        <v>192</v>
      </c>
      <c r="D6616">
        <v>13393000</v>
      </c>
      <c r="E6616" t="s">
        <v>330</v>
      </c>
    </row>
    <row r="6617" spans="1:5" x14ac:dyDescent="0.25">
      <c r="A6617">
        <v>1829</v>
      </c>
      <c r="B6617" s="16">
        <v>43831</v>
      </c>
      <c r="C6617" t="s">
        <v>192</v>
      </c>
      <c r="D6617">
        <v>13393000</v>
      </c>
      <c r="E6617" t="s">
        <v>330</v>
      </c>
    </row>
    <row r="6618" spans="1:5" x14ac:dyDescent="0.25">
      <c r="A6618">
        <v>1829</v>
      </c>
      <c r="B6618" s="16">
        <v>43862</v>
      </c>
      <c r="C6618" t="s">
        <v>192</v>
      </c>
      <c r="D6618">
        <v>13393000</v>
      </c>
      <c r="E6618" t="s">
        <v>330</v>
      </c>
    </row>
    <row r="6619" spans="1:5" x14ac:dyDescent="0.25">
      <c r="A6619">
        <v>1829</v>
      </c>
      <c r="B6619" s="16">
        <v>43891</v>
      </c>
      <c r="C6619" t="s">
        <v>192</v>
      </c>
      <c r="D6619">
        <v>13393000</v>
      </c>
      <c r="E6619" t="s">
        <v>330</v>
      </c>
    </row>
    <row r="6620" spans="1:5" x14ac:dyDescent="0.25">
      <c r="A6620">
        <v>1829</v>
      </c>
      <c r="B6620" s="16">
        <v>43922</v>
      </c>
      <c r="C6620" t="s">
        <v>192</v>
      </c>
      <c r="D6620">
        <v>13393000</v>
      </c>
      <c r="E6620" t="s">
        <v>330</v>
      </c>
    </row>
    <row r="6621" spans="1:5" x14ac:dyDescent="0.25">
      <c r="A6621">
        <v>1829</v>
      </c>
      <c r="B6621" s="16">
        <v>43952</v>
      </c>
      <c r="C6621" t="s">
        <v>192</v>
      </c>
      <c r="D6621">
        <v>13393000</v>
      </c>
      <c r="E6621" t="s">
        <v>330</v>
      </c>
    </row>
    <row r="6622" spans="1:5" x14ac:dyDescent="0.25">
      <c r="A6622">
        <v>1829</v>
      </c>
      <c r="B6622" s="16">
        <v>43983</v>
      </c>
      <c r="C6622" t="s">
        <v>192</v>
      </c>
      <c r="D6622">
        <v>13393000</v>
      </c>
      <c r="E6622" t="s">
        <v>330</v>
      </c>
    </row>
    <row r="6623" spans="1:5" x14ac:dyDescent="0.25">
      <c r="A6623">
        <v>1829</v>
      </c>
      <c r="B6623" s="16">
        <v>43466</v>
      </c>
      <c r="C6623" t="s">
        <v>192</v>
      </c>
      <c r="D6623">
        <v>2337394.9579831935</v>
      </c>
      <c r="E6623" t="s">
        <v>330</v>
      </c>
    </row>
    <row r="6624" spans="1:5" x14ac:dyDescent="0.25">
      <c r="A6624">
        <v>1829</v>
      </c>
      <c r="B6624" s="16">
        <v>43497</v>
      </c>
      <c r="C6624" t="s">
        <v>192</v>
      </c>
      <c r="D6624">
        <v>2337394.9579831935</v>
      </c>
      <c r="E6624" t="s">
        <v>330</v>
      </c>
    </row>
    <row r="6625" spans="1:5" x14ac:dyDescent="0.25">
      <c r="A6625">
        <v>1829</v>
      </c>
      <c r="B6625" s="16">
        <v>43525</v>
      </c>
      <c r="C6625" t="s">
        <v>192</v>
      </c>
      <c r="D6625">
        <v>2337394.9579831935</v>
      </c>
      <c r="E6625" t="s">
        <v>330</v>
      </c>
    </row>
    <row r="6626" spans="1:5" x14ac:dyDescent="0.25">
      <c r="A6626">
        <v>1829</v>
      </c>
      <c r="B6626" s="16">
        <v>43556</v>
      </c>
      <c r="C6626" t="s">
        <v>192</v>
      </c>
      <c r="D6626">
        <v>2337394.9579831935</v>
      </c>
      <c r="E6626" t="s">
        <v>330</v>
      </c>
    </row>
    <row r="6627" spans="1:5" x14ac:dyDescent="0.25">
      <c r="A6627">
        <v>1829</v>
      </c>
      <c r="B6627" s="16">
        <v>43586</v>
      </c>
      <c r="C6627" t="s">
        <v>192</v>
      </c>
      <c r="D6627">
        <v>2337394.9579831935</v>
      </c>
      <c r="E6627" t="s">
        <v>330</v>
      </c>
    </row>
    <row r="6628" spans="1:5" x14ac:dyDescent="0.25">
      <c r="A6628">
        <v>1829</v>
      </c>
      <c r="B6628" s="16">
        <v>43617</v>
      </c>
      <c r="C6628" t="s">
        <v>192</v>
      </c>
      <c r="D6628">
        <v>2337394.9579831935</v>
      </c>
      <c r="E6628" t="s">
        <v>330</v>
      </c>
    </row>
    <row r="6629" spans="1:5" x14ac:dyDescent="0.25">
      <c r="A6629">
        <v>1829</v>
      </c>
      <c r="B6629" s="16">
        <v>43647</v>
      </c>
      <c r="C6629" t="s">
        <v>192</v>
      </c>
      <c r="D6629">
        <v>2337394.9579831935</v>
      </c>
      <c r="E6629" t="s">
        <v>330</v>
      </c>
    </row>
    <row r="6630" spans="1:5" x14ac:dyDescent="0.25">
      <c r="A6630">
        <v>1829</v>
      </c>
      <c r="B6630" s="16">
        <v>43678</v>
      </c>
      <c r="C6630" t="s">
        <v>192</v>
      </c>
      <c r="D6630">
        <v>2337394.9579831935</v>
      </c>
      <c r="E6630" t="s">
        <v>330</v>
      </c>
    </row>
    <row r="6631" spans="1:5" x14ac:dyDescent="0.25">
      <c r="A6631">
        <v>1829</v>
      </c>
      <c r="B6631" s="16">
        <v>43709</v>
      </c>
      <c r="C6631" t="s">
        <v>192</v>
      </c>
      <c r="D6631">
        <v>2337394.9579831935</v>
      </c>
      <c r="E6631" t="s">
        <v>330</v>
      </c>
    </row>
    <row r="6632" spans="1:5" x14ac:dyDescent="0.25">
      <c r="A6632">
        <v>1829</v>
      </c>
      <c r="B6632" s="16">
        <v>43739</v>
      </c>
      <c r="C6632" t="s">
        <v>192</v>
      </c>
      <c r="D6632">
        <v>2337394.9579831935</v>
      </c>
      <c r="E6632" t="s">
        <v>330</v>
      </c>
    </row>
    <row r="6633" spans="1:5" x14ac:dyDescent="0.25">
      <c r="A6633">
        <v>1829</v>
      </c>
      <c r="B6633" s="16">
        <v>43770</v>
      </c>
      <c r="C6633" t="s">
        <v>192</v>
      </c>
      <c r="D6633">
        <v>2337394.9579831935</v>
      </c>
      <c r="E6633" t="s">
        <v>330</v>
      </c>
    </row>
    <row r="6634" spans="1:5" x14ac:dyDescent="0.25">
      <c r="A6634">
        <v>1829</v>
      </c>
      <c r="B6634" s="16">
        <v>43800</v>
      </c>
      <c r="C6634" t="s">
        <v>192</v>
      </c>
      <c r="D6634">
        <v>2337394.9579831935</v>
      </c>
      <c r="E6634" t="s">
        <v>330</v>
      </c>
    </row>
    <row r="6635" spans="1:5" x14ac:dyDescent="0.25">
      <c r="A6635">
        <v>1829</v>
      </c>
      <c r="B6635" s="16">
        <v>43831</v>
      </c>
      <c r="C6635" t="s">
        <v>192</v>
      </c>
      <c r="D6635">
        <v>2337394.9579831935</v>
      </c>
      <c r="E6635" t="s">
        <v>330</v>
      </c>
    </row>
    <row r="6636" spans="1:5" x14ac:dyDescent="0.25">
      <c r="A6636">
        <v>1829</v>
      </c>
      <c r="B6636" s="16">
        <v>43862</v>
      </c>
      <c r="C6636" t="s">
        <v>192</v>
      </c>
      <c r="D6636">
        <v>2337394.9579831935</v>
      </c>
      <c r="E6636" t="s">
        <v>330</v>
      </c>
    </row>
    <row r="6637" spans="1:5" x14ac:dyDescent="0.25">
      <c r="A6637">
        <v>1829</v>
      </c>
      <c r="B6637" s="16">
        <v>43891</v>
      </c>
      <c r="C6637" t="s">
        <v>192</v>
      </c>
      <c r="D6637">
        <v>2337394.9579831935</v>
      </c>
      <c r="E6637" t="s">
        <v>330</v>
      </c>
    </row>
    <row r="6638" spans="1:5" x14ac:dyDescent="0.25">
      <c r="A6638">
        <v>1829</v>
      </c>
      <c r="B6638" s="16">
        <v>43922</v>
      </c>
      <c r="C6638" t="s">
        <v>192</v>
      </c>
      <c r="D6638">
        <v>2337394.9579831935</v>
      </c>
      <c r="E6638" t="s">
        <v>330</v>
      </c>
    </row>
    <row r="6639" spans="1:5" x14ac:dyDescent="0.25">
      <c r="A6639">
        <v>1829</v>
      </c>
      <c r="B6639" s="16">
        <v>43952</v>
      </c>
      <c r="C6639" t="s">
        <v>192</v>
      </c>
      <c r="D6639">
        <v>2337394.9579831935</v>
      </c>
      <c r="E6639" t="s">
        <v>330</v>
      </c>
    </row>
    <row r="6640" spans="1:5" x14ac:dyDescent="0.25">
      <c r="A6640">
        <v>1829</v>
      </c>
      <c r="B6640" s="16">
        <v>43983</v>
      </c>
      <c r="C6640" t="s">
        <v>192</v>
      </c>
      <c r="D6640">
        <v>2337394.9579831935</v>
      </c>
      <c r="E6640" t="s">
        <v>330</v>
      </c>
    </row>
    <row r="6641" spans="1:5" x14ac:dyDescent="0.25">
      <c r="A6641">
        <v>1838</v>
      </c>
      <c r="B6641" s="16">
        <v>43466</v>
      </c>
      <c r="C6641" t="s">
        <v>192</v>
      </c>
      <c r="D6641">
        <v>5797541</v>
      </c>
      <c r="E6641" t="s">
        <v>330</v>
      </c>
    </row>
    <row r="6642" spans="1:5" x14ac:dyDescent="0.25">
      <c r="A6642">
        <v>1838</v>
      </c>
      <c r="B6642" s="16">
        <v>43497</v>
      </c>
      <c r="C6642" t="s">
        <v>192</v>
      </c>
      <c r="D6642">
        <v>5797541</v>
      </c>
      <c r="E6642" t="s">
        <v>330</v>
      </c>
    </row>
    <row r="6643" spans="1:5" x14ac:dyDescent="0.25">
      <c r="A6643">
        <v>1838</v>
      </c>
      <c r="B6643" s="16">
        <v>43525</v>
      </c>
      <c r="C6643" t="s">
        <v>192</v>
      </c>
      <c r="D6643">
        <v>5797541</v>
      </c>
      <c r="E6643" t="s">
        <v>330</v>
      </c>
    </row>
    <row r="6644" spans="1:5" x14ac:dyDescent="0.25">
      <c r="A6644">
        <v>1856</v>
      </c>
      <c r="B6644" s="16">
        <v>43466</v>
      </c>
      <c r="C6644" t="s">
        <v>192</v>
      </c>
      <c r="D6644">
        <v>20000000</v>
      </c>
      <c r="E6644" t="s">
        <v>330</v>
      </c>
    </row>
    <row r="6645" spans="1:5" x14ac:dyDescent="0.25">
      <c r="A6645">
        <v>1856</v>
      </c>
      <c r="B6645" s="16">
        <v>43497</v>
      </c>
      <c r="C6645" t="s">
        <v>192</v>
      </c>
      <c r="D6645">
        <v>20000000</v>
      </c>
      <c r="E6645" t="s">
        <v>330</v>
      </c>
    </row>
    <row r="6646" spans="1:5" x14ac:dyDescent="0.25">
      <c r="A6646">
        <v>1856</v>
      </c>
      <c r="B6646" s="16">
        <v>43525</v>
      </c>
      <c r="C6646" t="s">
        <v>192</v>
      </c>
      <c r="D6646">
        <v>20000000</v>
      </c>
      <c r="E6646" t="s">
        <v>330</v>
      </c>
    </row>
    <row r="6647" spans="1:5" x14ac:dyDescent="0.25">
      <c r="A6647">
        <v>1856</v>
      </c>
      <c r="B6647" s="16">
        <v>43556</v>
      </c>
      <c r="C6647" t="s">
        <v>192</v>
      </c>
      <c r="D6647">
        <v>20000000</v>
      </c>
      <c r="E6647" t="s">
        <v>330</v>
      </c>
    </row>
    <row r="6648" spans="1:5" x14ac:dyDescent="0.25">
      <c r="A6648">
        <v>1856</v>
      </c>
      <c r="B6648" s="16">
        <v>43586</v>
      </c>
      <c r="C6648" t="s">
        <v>192</v>
      </c>
      <c r="D6648">
        <v>20000000</v>
      </c>
      <c r="E6648" t="s">
        <v>330</v>
      </c>
    </row>
    <row r="6649" spans="1:5" x14ac:dyDescent="0.25">
      <c r="A6649">
        <v>1856</v>
      </c>
      <c r="B6649" s="16">
        <v>43617</v>
      </c>
      <c r="C6649" t="s">
        <v>192</v>
      </c>
      <c r="D6649">
        <v>20000000</v>
      </c>
      <c r="E6649" t="s">
        <v>330</v>
      </c>
    </row>
    <row r="6650" spans="1:5" x14ac:dyDescent="0.25">
      <c r="A6650">
        <v>1856</v>
      </c>
      <c r="B6650" s="16">
        <v>43647</v>
      </c>
      <c r="C6650" t="s">
        <v>192</v>
      </c>
      <c r="D6650">
        <v>20000000</v>
      </c>
      <c r="E6650" t="s">
        <v>330</v>
      </c>
    </row>
    <row r="6651" spans="1:5" x14ac:dyDescent="0.25">
      <c r="A6651">
        <v>1856</v>
      </c>
      <c r="B6651" s="16">
        <v>43678</v>
      </c>
      <c r="C6651" t="s">
        <v>192</v>
      </c>
      <c r="D6651">
        <v>20000000</v>
      </c>
      <c r="E6651" t="s">
        <v>330</v>
      </c>
    </row>
    <row r="6652" spans="1:5" x14ac:dyDescent="0.25">
      <c r="A6652">
        <v>1856</v>
      </c>
      <c r="B6652" s="16">
        <v>43709</v>
      </c>
      <c r="C6652" t="s">
        <v>192</v>
      </c>
      <c r="D6652">
        <v>20000000</v>
      </c>
      <c r="E6652" t="s">
        <v>330</v>
      </c>
    </row>
    <row r="6653" spans="1:5" x14ac:dyDescent="0.25">
      <c r="A6653">
        <v>1856</v>
      </c>
      <c r="B6653" s="16">
        <v>43739</v>
      </c>
      <c r="C6653" t="s">
        <v>192</v>
      </c>
      <c r="D6653">
        <v>20000000</v>
      </c>
      <c r="E6653" t="s">
        <v>330</v>
      </c>
    </row>
    <row r="6654" spans="1:5" x14ac:dyDescent="0.25">
      <c r="A6654">
        <v>1856</v>
      </c>
      <c r="B6654" s="16">
        <v>43770</v>
      </c>
      <c r="C6654" t="s">
        <v>192</v>
      </c>
      <c r="D6654">
        <v>20000000</v>
      </c>
      <c r="E6654" t="s">
        <v>330</v>
      </c>
    </row>
    <row r="6655" spans="1:5" x14ac:dyDescent="0.25">
      <c r="A6655">
        <v>1856</v>
      </c>
      <c r="B6655" s="16">
        <v>43800</v>
      </c>
      <c r="C6655" t="s">
        <v>192</v>
      </c>
      <c r="D6655">
        <v>20000000</v>
      </c>
      <c r="E6655" t="s">
        <v>330</v>
      </c>
    </row>
    <row r="6656" spans="1:5" x14ac:dyDescent="0.25">
      <c r="A6656">
        <v>1856</v>
      </c>
      <c r="B6656" s="16">
        <v>43831</v>
      </c>
      <c r="C6656" t="s">
        <v>192</v>
      </c>
      <c r="D6656">
        <v>20000000</v>
      </c>
      <c r="E6656" t="s">
        <v>330</v>
      </c>
    </row>
    <row r="6657" spans="1:5" x14ac:dyDescent="0.25">
      <c r="A6657">
        <v>1856</v>
      </c>
      <c r="B6657" s="16">
        <v>43862</v>
      </c>
      <c r="C6657" t="s">
        <v>192</v>
      </c>
      <c r="D6657">
        <v>20000000</v>
      </c>
      <c r="E6657" t="s">
        <v>330</v>
      </c>
    </row>
    <row r="6658" spans="1:5" x14ac:dyDescent="0.25">
      <c r="A6658">
        <v>1856</v>
      </c>
      <c r="B6658" s="16">
        <v>43891</v>
      </c>
      <c r="C6658" t="s">
        <v>192</v>
      </c>
      <c r="D6658">
        <v>20000000</v>
      </c>
      <c r="E6658" t="s">
        <v>330</v>
      </c>
    </row>
    <row r="6659" spans="1:5" x14ac:dyDescent="0.25">
      <c r="A6659">
        <v>1856</v>
      </c>
      <c r="B6659" s="16">
        <v>43922</v>
      </c>
      <c r="C6659" t="s">
        <v>192</v>
      </c>
      <c r="D6659">
        <v>20000000</v>
      </c>
      <c r="E6659" t="s">
        <v>330</v>
      </c>
    </row>
    <row r="6660" spans="1:5" x14ac:dyDescent="0.25">
      <c r="A6660">
        <v>1856</v>
      </c>
      <c r="B6660" s="16">
        <v>43952</v>
      </c>
      <c r="C6660" t="s">
        <v>192</v>
      </c>
      <c r="D6660">
        <v>20000000</v>
      </c>
      <c r="E6660" t="s">
        <v>330</v>
      </c>
    </row>
    <row r="6661" spans="1:5" x14ac:dyDescent="0.25">
      <c r="A6661">
        <v>1856</v>
      </c>
      <c r="B6661" s="16">
        <v>43983</v>
      </c>
      <c r="C6661" t="s">
        <v>192</v>
      </c>
      <c r="D6661">
        <v>20000000</v>
      </c>
      <c r="E6661" t="s">
        <v>330</v>
      </c>
    </row>
    <row r="6662" spans="1:5" x14ac:dyDescent="0.25">
      <c r="A6662">
        <v>1856</v>
      </c>
      <c r="B6662" s="16">
        <v>44013</v>
      </c>
      <c r="C6662" t="s">
        <v>192</v>
      </c>
      <c r="D6662">
        <v>20000000</v>
      </c>
      <c r="E6662" t="s">
        <v>330</v>
      </c>
    </row>
    <row r="6663" spans="1:5" x14ac:dyDescent="0.25">
      <c r="A6663">
        <v>1856</v>
      </c>
      <c r="B6663" s="16">
        <v>44044</v>
      </c>
      <c r="C6663" t="s">
        <v>192</v>
      </c>
      <c r="D6663">
        <v>20000000</v>
      </c>
      <c r="E6663" t="s">
        <v>330</v>
      </c>
    </row>
    <row r="6664" spans="1:5" x14ac:dyDescent="0.25">
      <c r="A6664">
        <v>1856</v>
      </c>
      <c r="B6664" s="16">
        <v>44075</v>
      </c>
      <c r="C6664" t="s">
        <v>192</v>
      </c>
      <c r="D6664">
        <v>20000000</v>
      </c>
      <c r="E6664" t="s">
        <v>330</v>
      </c>
    </row>
    <row r="6665" spans="1:5" x14ac:dyDescent="0.25">
      <c r="A6665">
        <v>1856</v>
      </c>
      <c r="B6665" s="16">
        <v>44105</v>
      </c>
      <c r="C6665" t="s">
        <v>192</v>
      </c>
      <c r="D6665">
        <v>20000000</v>
      </c>
      <c r="E6665" t="s">
        <v>330</v>
      </c>
    </row>
    <row r="6666" spans="1:5" x14ac:dyDescent="0.25">
      <c r="A6666">
        <v>1856</v>
      </c>
      <c r="B6666" s="16">
        <v>44136</v>
      </c>
      <c r="C6666" t="s">
        <v>192</v>
      </c>
      <c r="D6666">
        <v>20000000</v>
      </c>
      <c r="E6666" t="s">
        <v>330</v>
      </c>
    </row>
    <row r="6667" spans="1:5" x14ac:dyDescent="0.25">
      <c r="A6667">
        <v>1856</v>
      </c>
      <c r="B6667" s="16">
        <v>44166</v>
      </c>
      <c r="C6667" t="s">
        <v>192</v>
      </c>
      <c r="D6667">
        <v>20000000</v>
      </c>
      <c r="E6667" t="s">
        <v>330</v>
      </c>
    </row>
    <row r="6668" spans="1:5" x14ac:dyDescent="0.25">
      <c r="A6668">
        <v>1856</v>
      </c>
      <c r="B6668" s="16">
        <v>44197</v>
      </c>
      <c r="C6668" t="s">
        <v>192</v>
      </c>
      <c r="D6668">
        <v>20000000</v>
      </c>
      <c r="E6668" t="s">
        <v>330</v>
      </c>
    </row>
    <row r="6669" spans="1:5" x14ac:dyDescent="0.25">
      <c r="A6669">
        <v>1857</v>
      </c>
      <c r="B6669" s="16">
        <v>43466</v>
      </c>
      <c r="C6669" t="s">
        <v>192</v>
      </c>
      <c r="D6669">
        <v>9800000</v>
      </c>
      <c r="E6669" t="s">
        <v>330</v>
      </c>
    </row>
    <row r="6670" spans="1:5" x14ac:dyDescent="0.25">
      <c r="A6670">
        <v>1857</v>
      </c>
      <c r="B6670" s="16">
        <v>43497</v>
      </c>
      <c r="C6670" t="s">
        <v>192</v>
      </c>
      <c r="D6670">
        <v>9800000</v>
      </c>
      <c r="E6670" t="s">
        <v>330</v>
      </c>
    </row>
    <row r="6671" spans="1:5" x14ac:dyDescent="0.25">
      <c r="A6671">
        <v>1857</v>
      </c>
      <c r="B6671" s="16">
        <v>43525</v>
      </c>
      <c r="C6671" t="s">
        <v>192</v>
      </c>
      <c r="D6671">
        <v>9800000</v>
      </c>
      <c r="E6671" t="s">
        <v>330</v>
      </c>
    </row>
    <row r="6672" spans="1:5" x14ac:dyDescent="0.25">
      <c r="A6672">
        <v>1857</v>
      </c>
      <c r="B6672" s="16">
        <v>43556</v>
      </c>
      <c r="C6672" t="s">
        <v>192</v>
      </c>
      <c r="D6672">
        <v>9800000</v>
      </c>
      <c r="E6672" t="s">
        <v>330</v>
      </c>
    </row>
    <row r="6673" spans="1:5" x14ac:dyDescent="0.25">
      <c r="A6673">
        <v>1857</v>
      </c>
      <c r="B6673" s="16">
        <v>43586</v>
      </c>
      <c r="C6673" t="s">
        <v>192</v>
      </c>
      <c r="D6673">
        <v>9800000</v>
      </c>
      <c r="E6673" t="s">
        <v>330</v>
      </c>
    </row>
    <row r="6674" spans="1:5" x14ac:dyDescent="0.25">
      <c r="A6674">
        <v>1857</v>
      </c>
      <c r="B6674" s="16">
        <v>43617</v>
      </c>
      <c r="C6674" t="s">
        <v>192</v>
      </c>
      <c r="D6674">
        <v>9800000</v>
      </c>
      <c r="E6674" t="s">
        <v>330</v>
      </c>
    </row>
    <row r="6675" spans="1:5" x14ac:dyDescent="0.25">
      <c r="A6675">
        <v>1857</v>
      </c>
      <c r="B6675" s="16">
        <v>43647</v>
      </c>
      <c r="C6675" t="s">
        <v>192</v>
      </c>
      <c r="D6675">
        <v>9800000</v>
      </c>
      <c r="E6675" t="s">
        <v>330</v>
      </c>
    </row>
    <row r="6676" spans="1:5" x14ac:dyDescent="0.25">
      <c r="A6676">
        <v>1857</v>
      </c>
      <c r="B6676" s="16">
        <v>43678</v>
      </c>
      <c r="C6676" t="s">
        <v>192</v>
      </c>
      <c r="D6676">
        <v>9800000</v>
      </c>
      <c r="E6676" t="s">
        <v>330</v>
      </c>
    </row>
    <row r="6677" spans="1:5" x14ac:dyDescent="0.25">
      <c r="A6677">
        <v>1857</v>
      </c>
      <c r="B6677" s="16">
        <v>43709</v>
      </c>
      <c r="C6677" t="s">
        <v>192</v>
      </c>
      <c r="D6677">
        <v>9800000</v>
      </c>
      <c r="E6677" t="s">
        <v>330</v>
      </c>
    </row>
    <row r="6678" spans="1:5" x14ac:dyDescent="0.25">
      <c r="A6678">
        <v>1860</v>
      </c>
      <c r="B6678" s="16">
        <v>43466</v>
      </c>
      <c r="C6678" t="s">
        <v>192</v>
      </c>
      <c r="D6678">
        <v>7700000</v>
      </c>
      <c r="E6678" t="s">
        <v>330</v>
      </c>
    </row>
    <row r="6679" spans="1:5" x14ac:dyDescent="0.25">
      <c r="A6679">
        <v>1860</v>
      </c>
      <c r="B6679" s="16">
        <v>43497</v>
      </c>
      <c r="C6679" t="s">
        <v>192</v>
      </c>
      <c r="D6679">
        <v>7700000</v>
      </c>
      <c r="E6679" t="s">
        <v>330</v>
      </c>
    </row>
    <row r="6680" spans="1:5" x14ac:dyDescent="0.25">
      <c r="A6680">
        <v>1860</v>
      </c>
      <c r="B6680" s="16">
        <v>43525</v>
      </c>
      <c r="C6680" t="s">
        <v>192</v>
      </c>
      <c r="D6680">
        <v>7700000</v>
      </c>
      <c r="E6680" t="s">
        <v>330</v>
      </c>
    </row>
    <row r="6681" spans="1:5" x14ac:dyDescent="0.25">
      <c r="A6681">
        <v>1860</v>
      </c>
      <c r="B6681" s="16">
        <v>43556</v>
      </c>
      <c r="C6681" t="s">
        <v>192</v>
      </c>
      <c r="D6681">
        <v>7700000</v>
      </c>
      <c r="E6681" t="s">
        <v>330</v>
      </c>
    </row>
    <row r="6682" spans="1:5" x14ac:dyDescent="0.25">
      <c r="A6682">
        <v>1860</v>
      </c>
      <c r="B6682" s="16">
        <v>43586</v>
      </c>
      <c r="C6682" t="s">
        <v>192</v>
      </c>
      <c r="D6682">
        <v>7700000</v>
      </c>
      <c r="E6682" t="s">
        <v>330</v>
      </c>
    </row>
    <row r="6683" spans="1:5" x14ac:dyDescent="0.25">
      <c r="A6683">
        <v>1860</v>
      </c>
      <c r="B6683" s="16">
        <v>43617</v>
      </c>
      <c r="C6683" t="s">
        <v>192</v>
      </c>
      <c r="D6683">
        <v>7700000</v>
      </c>
      <c r="E6683" t="s">
        <v>330</v>
      </c>
    </row>
    <row r="6684" spans="1:5" x14ac:dyDescent="0.25">
      <c r="A6684">
        <v>1860</v>
      </c>
      <c r="B6684" s="16">
        <v>43647</v>
      </c>
      <c r="C6684" t="s">
        <v>192</v>
      </c>
      <c r="D6684">
        <v>7700000</v>
      </c>
      <c r="E6684" t="s">
        <v>330</v>
      </c>
    </row>
    <row r="6685" spans="1:5" x14ac:dyDescent="0.25">
      <c r="A6685">
        <v>1860</v>
      </c>
      <c r="B6685" s="16">
        <v>43678</v>
      </c>
      <c r="C6685" t="s">
        <v>192</v>
      </c>
      <c r="D6685">
        <v>7700000</v>
      </c>
      <c r="E6685" t="s">
        <v>330</v>
      </c>
    </row>
    <row r="6686" spans="1:5" x14ac:dyDescent="0.25">
      <c r="A6686">
        <v>1860</v>
      </c>
      <c r="B6686" s="16">
        <v>43709</v>
      </c>
      <c r="C6686" t="s">
        <v>192</v>
      </c>
      <c r="D6686">
        <v>7700000</v>
      </c>
      <c r="E6686" t="s">
        <v>330</v>
      </c>
    </row>
    <row r="6687" spans="1:5" x14ac:dyDescent="0.25">
      <c r="A6687">
        <v>1860</v>
      </c>
      <c r="B6687" s="16">
        <v>43739</v>
      </c>
      <c r="C6687" t="s">
        <v>192</v>
      </c>
      <c r="D6687">
        <v>7700000</v>
      </c>
      <c r="E6687" t="s">
        <v>330</v>
      </c>
    </row>
    <row r="6688" spans="1:5" x14ac:dyDescent="0.25">
      <c r="A6688">
        <v>1860</v>
      </c>
      <c r="B6688" s="16">
        <v>43770</v>
      </c>
      <c r="C6688" t="s">
        <v>192</v>
      </c>
      <c r="D6688">
        <v>7700000</v>
      </c>
      <c r="E6688" t="s">
        <v>330</v>
      </c>
    </row>
    <row r="6689" spans="1:5" x14ac:dyDescent="0.25">
      <c r="A6689">
        <v>1860</v>
      </c>
      <c r="B6689" s="16">
        <v>43800</v>
      </c>
      <c r="C6689" t="s">
        <v>192</v>
      </c>
      <c r="D6689">
        <v>7700000</v>
      </c>
      <c r="E6689" t="s">
        <v>330</v>
      </c>
    </row>
    <row r="6690" spans="1:5" x14ac:dyDescent="0.25">
      <c r="A6690">
        <v>1860</v>
      </c>
      <c r="B6690" s="16">
        <v>43831</v>
      </c>
      <c r="C6690" t="s">
        <v>192</v>
      </c>
      <c r="D6690">
        <v>7700000</v>
      </c>
      <c r="E6690" t="s">
        <v>330</v>
      </c>
    </row>
    <row r="6691" spans="1:5" x14ac:dyDescent="0.25">
      <c r="A6691">
        <v>1860</v>
      </c>
      <c r="B6691" s="16">
        <v>43862</v>
      </c>
      <c r="C6691" t="s">
        <v>192</v>
      </c>
      <c r="D6691">
        <v>7700000</v>
      </c>
      <c r="E6691" t="s">
        <v>330</v>
      </c>
    </row>
    <row r="6692" spans="1:5" x14ac:dyDescent="0.25">
      <c r="A6692">
        <v>1860</v>
      </c>
      <c r="B6692" s="16">
        <v>43891</v>
      </c>
      <c r="C6692" t="s">
        <v>192</v>
      </c>
      <c r="D6692">
        <v>7700000</v>
      </c>
      <c r="E6692" t="s">
        <v>330</v>
      </c>
    </row>
    <row r="6693" spans="1:5" x14ac:dyDescent="0.25">
      <c r="A6693">
        <v>1860</v>
      </c>
      <c r="B6693" s="16">
        <v>43922</v>
      </c>
      <c r="C6693" t="s">
        <v>192</v>
      </c>
      <c r="D6693">
        <v>7700000</v>
      </c>
      <c r="E6693" t="s">
        <v>330</v>
      </c>
    </row>
    <row r="6694" spans="1:5" x14ac:dyDescent="0.25">
      <c r="A6694">
        <v>1860</v>
      </c>
      <c r="B6694" s="16">
        <v>43952</v>
      </c>
      <c r="C6694" t="s">
        <v>192</v>
      </c>
      <c r="D6694">
        <v>7700000</v>
      </c>
      <c r="E6694" t="s">
        <v>330</v>
      </c>
    </row>
    <row r="6695" spans="1:5" x14ac:dyDescent="0.25">
      <c r="A6695">
        <v>1860</v>
      </c>
      <c r="B6695" s="16">
        <v>43983</v>
      </c>
      <c r="C6695" t="s">
        <v>192</v>
      </c>
      <c r="D6695">
        <v>7700000</v>
      </c>
      <c r="E6695" t="s">
        <v>330</v>
      </c>
    </row>
    <row r="6696" spans="1:5" x14ac:dyDescent="0.25">
      <c r="A6696">
        <v>1860</v>
      </c>
      <c r="B6696" s="16">
        <v>44013</v>
      </c>
      <c r="C6696" t="s">
        <v>192</v>
      </c>
      <c r="D6696">
        <v>7700000</v>
      </c>
      <c r="E6696" t="s">
        <v>330</v>
      </c>
    </row>
    <row r="6697" spans="1:5" x14ac:dyDescent="0.25">
      <c r="A6697">
        <v>1860</v>
      </c>
      <c r="B6697" s="16">
        <v>44044</v>
      </c>
      <c r="C6697" t="s">
        <v>192</v>
      </c>
      <c r="D6697">
        <v>7700000</v>
      </c>
      <c r="E6697" t="s">
        <v>330</v>
      </c>
    </row>
    <row r="6698" spans="1:5" x14ac:dyDescent="0.25">
      <c r="A6698">
        <v>1860</v>
      </c>
      <c r="B6698" s="16">
        <v>44075</v>
      </c>
      <c r="C6698" t="s">
        <v>192</v>
      </c>
      <c r="D6698">
        <v>7700000</v>
      </c>
      <c r="E6698" t="s">
        <v>330</v>
      </c>
    </row>
    <row r="6699" spans="1:5" x14ac:dyDescent="0.25">
      <c r="A6699">
        <v>1860</v>
      </c>
      <c r="B6699" s="16">
        <v>44105</v>
      </c>
      <c r="C6699" t="s">
        <v>192</v>
      </c>
      <c r="D6699">
        <v>7700000</v>
      </c>
      <c r="E6699" t="s">
        <v>330</v>
      </c>
    </row>
    <row r="6700" spans="1:5" x14ac:dyDescent="0.25">
      <c r="A6700">
        <v>1860</v>
      </c>
      <c r="B6700" s="16">
        <v>44136</v>
      </c>
      <c r="C6700" t="s">
        <v>192</v>
      </c>
      <c r="D6700">
        <v>7700000</v>
      </c>
      <c r="E6700" t="s">
        <v>330</v>
      </c>
    </row>
    <row r="6701" spans="1:5" x14ac:dyDescent="0.25">
      <c r="A6701">
        <v>1860</v>
      </c>
      <c r="B6701" s="16">
        <v>44166</v>
      </c>
      <c r="C6701" t="s">
        <v>192</v>
      </c>
      <c r="D6701">
        <v>7700000</v>
      </c>
      <c r="E6701" t="s">
        <v>330</v>
      </c>
    </row>
    <row r="6702" spans="1:5" x14ac:dyDescent="0.25">
      <c r="A6702">
        <v>1860</v>
      </c>
      <c r="B6702" s="16">
        <v>44197</v>
      </c>
      <c r="C6702" t="s">
        <v>192</v>
      </c>
      <c r="D6702">
        <v>7700000</v>
      </c>
      <c r="E6702" t="s">
        <v>330</v>
      </c>
    </row>
    <row r="6703" spans="1:5" x14ac:dyDescent="0.25">
      <c r="A6703">
        <v>1860</v>
      </c>
      <c r="B6703" s="16">
        <v>44228</v>
      </c>
      <c r="C6703" t="s">
        <v>192</v>
      </c>
      <c r="D6703">
        <v>7700000</v>
      </c>
      <c r="E6703" t="s">
        <v>330</v>
      </c>
    </row>
    <row r="6704" spans="1:5" x14ac:dyDescent="0.25">
      <c r="A6704">
        <v>1860</v>
      </c>
      <c r="B6704" s="16">
        <v>44256</v>
      </c>
      <c r="C6704" t="s">
        <v>192</v>
      </c>
      <c r="D6704">
        <v>7700000</v>
      </c>
      <c r="E6704" t="s">
        <v>330</v>
      </c>
    </row>
    <row r="6705" spans="1:5" x14ac:dyDescent="0.25">
      <c r="A6705">
        <v>1860</v>
      </c>
      <c r="B6705" s="16">
        <v>44287</v>
      </c>
      <c r="C6705" t="s">
        <v>192</v>
      </c>
      <c r="D6705">
        <v>7700000</v>
      </c>
      <c r="E6705" t="s">
        <v>330</v>
      </c>
    </row>
    <row r="6706" spans="1:5" x14ac:dyDescent="0.25">
      <c r="A6706">
        <v>1861</v>
      </c>
      <c r="B6706" s="16">
        <v>43466</v>
      </c>
      <c r="C6706" t="s">
        <v>192</v>
      </c>
      <c r="D6706">
        <v>64030000</v>
      </c>
      <c r="E6706" t="s">
        <v>330</v>
      </c>
    </row>
    <row r="6707" spans="1:5" x14ac:dyDescent="0.25">
      <c r="A6707">
        <v>1861</v>
      </c>
      <c r="B6707" s="16">
        <v>43497</v>
      </c>
      <c r="C6707" t="s">
        <v>192</v>
      </c>
      <c r="D6707">
        <v>64030000</v>
      </c>
      <c r="E6707" t="s">
        <v>330</v>
      </c>
    </row>
    <row r="6708" spans="1:5" x14ac:dyDescent="0.25">
      <c r="A6708">
        <v>1861</v>
      </c>
      <c r="B6708" s="16">
        <v>43525</v>
      </c>
      <c r="C6708" t="s">
        <v>192</v>
      </c>
      <c r="D6708">
        <v>64030000</v>
      </c>
      <c r="E6708" t="s">
        <v>330</v>
      </c>
    </row>
    <row r="6709" spans="1:5" x14ac:dyDescent="0.25">
      <c r="A6709">
        <v>1861</v>
      </c>
      <c r="B6709" s="16">
        <v>43466</v>
      </c>
      <c r="C6709" t="s">
        <v>192</v>
      </c>
      <c r="D6709">
        <v>48811000</v>
      </c>
      <c r="E6709" t="s">
        <v>330</v>
      </c>
    </row>
    <row r="6710" spans="1:5" x14ac:dyDescent="0.25">
      <c r="A6710">
        <v>1861</v>
      </c>
      <c r="B6710" s="16">
        <v>43497</v>
      </c>
      <c r="C6710" t="s">
        <v>192</v>
      </c>
      <c r="D6710">
        <v>48811000</v>
      </c>
      <c r="E6710" t="s">
        <v>330</v>
      </c>
    </row>
    <row r="6711" spans="1:5" x14ac:dyDescent="0.25">
      <c r="A6711">
        <v>1861</v>
      </c>
      <c r="B6711" s="16">
        <v>43525</v>
      </c>
      <c r="C6711" t="s">
        <v>192</v>
      </c>
      <c r="D6711">
        <v>48811000</v>
      </c>
      <c r="E6711" t="s">
        <v>330</v>
      </c>
    </row>
    <row r="6712" spans="1:5" x14ac:dyDescent="0.25">
      <c r="A6712">
        <v>1861</v>
      </c>
      <c r="B6712" s="16">
        <v>43556</v>
      </c>
      <c r="C6712" t="s">
        <v>192</v>
      </c>
      <c r="D6712">
        <v>48811000</v>
      </c>
      <c r="E6712" t="s">
        <v>330</v>
      </c>
    </row>
    <row r="6713" spans="1:5" x14ac:dyDescent="0.25">
      <c r="A6713">
        <v>1861</v>
      </c>
      <c r="B6713" s="16">
        <v>43586</v>
      </c>
      <c r="C6713" t="s">
        <v>192</v>
      </c>
      <c r="D6713">
        <v>48811000</v>
      </c>
      <c r="E6713" t="s">
        <v>330</v>
      </c>
    </row>
    <row r="6714" spans="1:5" x14ac:dyDescent="0.25">
      <c r="A6714">
        <v>1861</v>
      </c>
      <c r="B6714" s="16">
        <v>43617</v>
      </c>
      <c r="C6714" t="s">
        <v>192</v>
      </c>
      <c r="D6714">
        <v>48811000</v>
      </c>
      <c r="E6714" t="s">
        <v>330</v>
      </c>
    </row>
    <row r="6715" spans="1:5" x14ac:dyDescent="0.25">
      <c r="A6715">
        <v>1861</v>
      </c>
      <c r="B6715" s="16">
        <v>43647</v>
      </c>
      <c r="C6715" t="s">
        <v>192</v>
      </c>
      <c r="D6715">
        <v>48811000</v>
      </c>
      <c r="E6715" t="s">
        <v>330</v>
      </c>
    </row>
    <row r="6716" spans="1:5" x14ac:dyDescent="0.25">
      <c r="A6716">
        <v>1861</v>
      </c>
      <c r="B6716" s="16">
        <v>43678</v>
      </c>
      <c r="C6716" t="s">
        <v>192</v>
      </c>
      <c r="D6716">
        <v>48811000</v>
      </c>
      <c r="E6716" t="s">
        <v>330</v>
      </c>
    </row>
    <row r="6717" spans="1:5" x14ac:dyDescent="0.25">
      <c r="A6717">
        <v>1861</v>
      </c>
      <c r="B6717" s="16">
        <v>43709</v>
      </c>
      <c r="C6717" t="s">
        <v>192</v>
      </c>
      <c r="D6717">
        <v>48811000</v>
      </c>
      <c r="E6717" t="s">
        <v>330</v>
      </c>
    </row>
    <row r="6718" spans="1:5" x14ac:dyDescent="0.25">
      <c r="A6718">
        <v>1861</v>
      </c>
      <c r="B6718" s="16">
        <v>43739</v>
      </c>
      <c r="C6718" t="s">
        <v>192</v>
      </c>
      <c r="D6718">
        <v>48811000</v>
      </c>
      <c r="E6718" t="s">
        <v>330</v>
      </c>
    </row>
    <row r="6719" spans="1:5" x14ac:dyDescent="0.25">
      <c r="A6719">
        <v>1861</v>
      </c>
      <c r="B6719" s="16">
        <v>43770</v>
      </c>
      <c r="C6719" t="s">
        <v>192</v>
      </c>
      <c r="D6719">
        <v>48811000</v>
      </c>
      <c r="E6719" t="s">
        <v>330</v>
      </c>
    </row>
    <row r="6720" spans="1:5" x14ac:dyDescent="0.25">
      <c r="A6720">
        <v>1861</v>
      </c>
      <c r="B6720" s="16">
        <v>43800</v>
      </c>
      <c r="C6720" t="s">
        <v>192</v>
      </c>
      <c r="D6720">
        <v>48811000</v>
      </c>
      <c r="E6720" t="s">
        <v>330</v>
      </c>
    </row>
    <row r="6721" spans="1:5" x14ac:dyDescent="0.25">
      <c r="A6721">
        <v>1861</v>
      </c>
      <c r="B6721" s="16">
        <v>43831</v>
      </c>
      <c r="C6721" t="s">
        <v>192</v>
      </c>
      <c r="D6721">
        <v>48811000</v>
      </c>
      <c r="E6721" t="s">
        <v>330</v>
      </c>
    </row>
    <row r="6722" spans="1:5" x14ac:dyDescent="0.25">
      <c r="A6722">
        <v>1861</v>
      </c>
      <c r="B6722" s="16">
        <v>43862</v>
      </c>
      <c r="C6722" t="s">
        <v>192</v>
      </c>
      <c r="D6722">
        <v>48811000</v>
      </c>
      <c r="E6722" t="s">
        <v>330</v>
      </c>
    </row>
    <row r="6723" spans="1:5" x14ac:dyDescent="0.25">
      <c r="A6723">
        <v>1861</v>
      </c>
      <c r="B6723" s="16">
        <v>43891</v>
      </c>
      <c r="C6723" t="s">
        <v>192</v>
      </c>
      <c r="D6723">
        <v>48811000</v>
      </c>
      <c r="E6723" t="s">
        <v>330</v>
      </c>
    </row>
    <row r="6724" spans="1:5" x14ac:dyDescent="0.25">
      <c r="A6724">
        <v>1861</v>
      </c>
      <c r="B6724" s="16">
        <v>43922</v>
      </c>
      <c r="C6724" t="s">
        <v>192</v>
      </c>
      <c r="D6724">
        <v>48811000</v>
      </c>
      <c r="E6724" t="s">
        <v>330</v>
      </c>
    </row>
    <row r="6725" spans="1:5" x14ac:dyDescent="0.25">
      <c r="A6725">
        <v>1861</v>
      </c>
      <c r="B6725" s="16">
        <v>43952</v>
      </c>
      <c r="C6725" t="s">
        <v>192</v>
      </c>
      <c r="D6725">
        <v>48811000</v>
      </c>
      <c r="E6725" t="s">
        <v>330</v>
      </c>
    </row>
    <row r="6726" spans="1:5" x14ac:dyDescent="0.25">
      <c r="A6726">
        <v>1861</v>
      </c>
      <c r="B6726" s="16">
        <v>43983</v>
      </c>
      <c r="C6726" t="s">
        <v>192</v>
      </c>
      <c r="D6726">
        <v>48811000</v>
      </c>
      <c r="E6726" t="s">
        <v>330</v>
      </c>
    </row>
    <row r="6727" spans="1:5" x14ac:dyDescent="0.25">
      <c r="A6727">
        <v>1861</v>
      </c>
      <c r="B6727" s="16">
        <v>44013</v>
      </c>
      <c r="C6727" t="s">
        <v>192</v>
      </c>
      <c r="D6727">
        <v>48811000</v>
      </c>
      <c r="E6727" t="s">
        <v>330</v>
      </c>
    </row>
    <row r="6728" spans="1:5" x14ac:dyDescent="0.25">
      <c r="A6728">
        <v>1861</v>
      </c>
      <c r="B6728" s="16">
        <v>44044</v>
      </c>
      <c r="C6728" t="s">
        <v>192</v>
      </c>
      <c r="D6728">
        <v>48811000</v>
      </c>
      <c r="E6728" t="s">
        <v>330</v>
      </c>
    </row>
    <row r="6729" spans="1:5" x14ac:dyDescent="0.25">
      <c r="A6729">
        <v>1861</v>
      </c>
      <c r="B6729" s="16">
        <v>44075</v>
      </c>
      <c r="C6729" t="s">
        <v>192</v>
      </c>
      <c r="D6729">
        <v>48811000</v>
      </c>
      <c r="E6729" t="s">
        <v>330</v>
      </c>
    </row>
    <row r="6730" spans="1:5" x14ac:dyDescent="0.25">
      <c r="A6730">
        <v>1861</v>
      </c>
      <c r="B6730" s="16">
        <v>44105</v>
      </c>
      <c r="C6730" t="s">
        <v>192</v>
      </c>
      <c r="D6730">
        <v>48811000</v>
      </c>
      <c r="E6730" t="s">
        <v>330</v>
      </c>
    </row>
    <row r="6731" spans="1:5" x14ac:dyDescent="0.25">
      <c r="A6731">
        <v>1861</v>
      </c>
      <c r="B6731" s="16">
        <v>44136</v>
      </c>
      <c r="C6731" t="s">
        <v>192</v>
      </c>
      <c r="D6731">
        <v>48811000</v>
      </c>
      <c r="E6731" t="s">
        <v>330</v>
      </c>
    </row>
    <row r="6732" spans="1:5" x14ac:dyDescent="0.25">
      <c r="A6732">
        <v>1861</v>
      </c>
      <c r="B6732" s="16">
        <v>44166</v>
      </c>
      <c r="C6732" t="s">
        <v>192</v>
      </c>
      <c r="D6732">
        <v>48811000</v>
      </c>
      <c r="E6732" t="s">
        <v>330</v>
      </c>
    </row>
    <row r="6733" spans="1:5" x14ac:dyDescent="0.25">
      <c r="A6733">
        <v>1873</v>
      </c>
      <c r="B6733" s="16">
        <v>43466</v>
      </c>
      <c r="C6733" t="s">
        <v>192</v>
      </c>
      <c r="D6733">
        <v>6950000</v>
      </c>
      <c r="E6733" t="s">
        <v>330</v>
      </c>
    </row>
    <row r="6734" spans="1:5" x14ac:dyDescent="0.25">
      <c r="A6734">
        <v>1873</v>
      </c>
      <c r="B6734" s="16">
        <v>43497</v>
      </c>
      <c r="C6734" t="s">
        <v>192</v>
      </c>
      <c r="D6734">
        <v>6950000</v>
      </c>
      <c r="E6734" t="s">
        <v>330</v>
      </c>
    </row>
    <row r="6735" spans="1:5" x14ac:dyDescent="0.25">
      <c r="A6735">
        <v>1873</v>
      </c>
      <c r="B6735" s="16">
        <v>43525</v>
      </c>
      <c r="C6735" t="s">
        <v>192</v>
      </c>
      <c r="D6735">
        <v>6950000</v>
      </c>
      <c r="E6735" t="s">
        <v>330</v>
      </c>
    </row>
    <row r="6736" spans="1:5" x14ac:dyDescent="0.25">
      <c r="A6736">
        <v>1873</v>
      </c>
      <c r="B6736" s="16">
        <v>43556</v>
      </c>
      <c r="C6736" t="s">
        <v>192</v>
      </c>
      <c r="D6736">
        <v>6950000</v>
      </c>
      <c r="E6736" t="s">
        <v>330</v>
      </c>
    </row>
    <row r="6737" spans="1:5" x14ac:dyDescent="0.25">
      <c r="A6737">
        <v>1873</v>
      </c>
      <c r="B6737" s="16">
        <v>43586</v>
      </c>
      <c r="C6737" t="s">
        <v>192</v>
      </c>
      <c r="D6737">
        <v>6950000</v>
      </c>
      <c r="E6737" t="s">
        <v>330</v>
      </c>
    </row>
    <row r="6738" spans="1:5" x14ac:dyDescent="0.25">
      <c r="A6738">
        <v>1873</v>
      </c>
      <c r="B6738" s="16">
        <v>43617</v>
      </c>
      <c r="C6738" t="s">
        <v>192</v>
      </c>
      <c r="D6738">
        <v>6950000</v>
      </c>
      <c r="E6738" t="s">
        <v>330</v>
      </c>
    </row>
    <row r="6739" spans="1:5" x14ac:dyDescent="0.25">
      <c r="A6739">
        <v>1873</v>
      </c>
      <c r="B6739" s="16">
        <v>43647</v>
      </c>
      <c r="C6739" t="s">
        <v>192</v>
      </c>
      <c r="D6739">
        <v>6950000</v>
      </c>
      <c r="E6739" t="s">
        <v>330</v>
      </c>
    </row>
    <row r="6740" spans="1:5" x14ac:dyDescent="0.25">
      <c r="A6740">
        <v>1873</v>
      </c>
      <c r="B6740" s="16">
        <v>43678</v>
      </c>
      <c r="C6740" t="s">
        <v>192</v>
      </c>
      <c r="D6740">
        <v>6950000</v>
      </c>
      <c r="E6740" t="s">
        <v>330</v>
      </c>
    </row>
    <row r="6741" spans="1:5" x14ac:dyDescent="0.25">
      <c r="A6741">
        <v>1873</v>
      </c>
      <c r="B6741" s="16">
        <v>43709</v>
      </c>
      <c r="C6741" t="s">
        <v>192</v>
      </c>
      <c r="D6741">
        <v>6950000</v>
      </c>
      <c r="E6741" t="s">
        <v>330</v>
      </c>
    </row>
    <row r="6742" spans="1:5" x14ac:dyDescent="0.25">
      <c r="A6742">
        <v>1873</v>
      </c>
      <c r="B6742" s="16">
        <v>43739</v>
      </c>
      <c r="C6742" t="s">
        <v>192</v>
      </c>
      <c r="D6742">
        <v>6950000</v>
      </c>
      <c r="E6742" t="s">
        <v>330</v>
      </c>
    </row>
    <row r="6743" spans="1:5" x14ac:dyDescent="0.25">
      <c r="A6743">
        <v>1873</v>
      </c>
      <c r="B6743" s="16">
        <v>43770</v>
      </c>
      <c r="C6743" t="s">
        <v>192</v>
      </c>
      <c r="D6743">
        <v>6950000</v>
      </c>
      <c r="E6743" t="s">
        <v>330</v>
      </c>
    </row>
    <row r="6744" spans="1:5" x14ac:dyDescent="0.25">
      <c r="A6744">
        <v>1873</v>
      </c>
      <c r="B6744" s="16">
        <v>43800</v>
      </c>
      <c r="C6744" t="s">
        <v>192</v>
      </c>
      <c r="D6744">
        <v>6950000</v>
      </c>
      <c r="E6744" t="s">
        <v>330</v>
      </c>
    </row>
    <row r="6745" spans="1:5" x14ac:dyDescent="0.25">
      <c r="A6745">
        <v>1874</v>
      </c>
      <c r="B6745" s="16">
        <v>43466</v>
      </c>
      <c r="C6745" t="s">
        <v>192</v>
      </c>
      <c r="D6745">
        <v>19400000</v>
      </c>
      <c r="E6745" t="s">
        <v>330</v>
      </c>
    </row>
    <row r="6746" spans="1:5" x14ac:dyDescent="0.25">
      <c r="A6746">
        <v>1874</v>
      </c>
      <c r="B6746" s="16">
        <v>43497</v>
      </c>
      <c r="C6746" t="s">
        <v>192</v>
      </c>
      <c r="D6746">
        <v>19400000</v>
      </c>
      <c r="E6746" t="s">
        <v>330</v>
      </c>
    </row>
    <row r="6747" spans="1:5" x14ac:dyDescent="0.25">
      <c r="A6747">
        <v>1874</v>
      </c>
      <c r="B6747" s="16">
        <v>43525</v>
      </c>
      <c r="C6747" t="s">
        <v>192</v>
      </c>
      <c r="D6747">
        <v>19400000</v>
      </c>
      <c r="E6747" t="s">
        <v>330</v>
      </c>
    </row>
    <row r="6748" spans="1:5" x14ac:dyDescent="0.25">
      <c r="A6748">
        <v>1874</v>
      </c>
      <c r="B6748" s="16">
        <v>43556</v>
      </c>
      <c r="C6748" t="s">
        <v>192</v>
      </c>
      <c r="D6748">
        <v>19400000</v>
      </c>
      <c r="E6748" t="s">
        <v>330</v>
      </c>
    </row>
    <row r="6749" spans="1:5" x14ac:dyDescent="0.25">
      <c r="A6749">
        <v>1874</v>
      </c>
      <c r="B6749" s="16">
        <v>43586</v>
      </c>
      <c r="C6749" t="s">
        <v>192</v>
      </c>
      <c r="D6749">
        <v>19400000</v>
      </c>
      <c r="E6749" t="s">
        <v>330</v>
      </c>
    </row>
    <row r="6750" spans="1:5" x14ac:dyDescent="0.25">
      <c r="A6750">
        <v>1874</v>
      </c>
      <c r="B6750" s="16">
        <v>43617</v>
      </c>
      <c r="C6750" t="s">
        <v>192</v>
      </c>
      <c r="D6750">
        <v>19400000</v>
      </c>
      <c r="E6750" t="s">
        <v>330</v>
      </c>
    </row>
    <row r="6751" spans="1:5" x14ac:dyDescent="0.25">
      <c r="A6751">
        <v>1874</v>
      </c>
      <c r="B6751" s="16">
        <v>43647</v>
      </c>
      <c r="C6751" t="s">
        <v>192</v>
      </c>
      <c r="D6751">
        <v>19400000</v>
      </c>
      <c r="E6751" t="s">
        <v>330</v>
      </c>
    </row>
    <row r="6752" spans="1:5" x14ac:dyDescent="0.25">
      <c r="A6752">
        <v>1874</v>
      </c>
      <c r="B6752" s="16">
        <v>43678</v>
      </c>
      <c r="C6752" t="s">
        <v>192</v>
      </c>
      <c r="D6752">
        <v>19400000</v>
      </c>
      <c r="E6752" t="s">
        <v>330</v>
      </c>
    </row>
    <row r="6753" spans="1:5" x14ac:dyDescent="0.25">
      <c r="A6753">
        <v>1874</v>
      </c>
      <c r="B6753" s="16">
        <v>43709</v>
      </c>
      <c r="C6753" t="s">
        <v>192</v>
      </c>
      <c r="D6753">
        <v>19400000</v>
      </c>
      <c r="E6753" t="s">
        <v>330</v>
      </c>
    </row>
    <row r="6754" spans="1:5" x14ac:dyDescent="0.25">
      <c r="A6754">
        <v>1874</v>
      </c>
      <c r="B6754" s="16">
        <v>43739</v>
      </c>
      <c r="C6754" t="s">
        <v>192</v>
      </c>
      <c r="D6754">
        <v>19400000</v>
      </c>
      <c r="E6754" t="s">
        <v>330</v>
      </c>
    </row>
    <row r="6755" spans="1:5" x14ac:dyDescent="0.25">
      <c r="A6755">
        <v>1883</v>
      </c>
      <c r="B6755" s="16">
        <v>43466</v>
      </c>
      <c r="C6755" t="s">
        <v>192</v>
      </c>
      <c r="D6755">
        <v>11029019</v>
      </c>
      <c r="E6755" t="s">
        <v>330</v>
      </c>
    </row>
    <row r="6756" spans="1:5" x14ac:dyDescent="0.25">
      <c r="A6756">
        <v>1883</v>
      </c>
      <c r="B6756" s="16">
        <v>43497</v>
      </c>
      <c r="C6756" t="s">
        <v>192</v>
      </c>
      <c r="D6756">
        <v>11029019</v>
      </c>
      <c r="E6756" t="s">
        <v>330</v>
      </c>
    </row>
    <row r="6757" spans="1:5" x14ac:dyDescent="0.25">
      <c r="A6757">
        <v>1883</v>
      </c>
      <c r="B6757" s="16">
        <v>43525</v>
      </c>
      <c r="C6757" t="s">
        <v>192</v>
      </c>
      <c r="D6757">
        <v>11029019</v>
      </c>
      <c r="E6757" t="s">
        <v>330</v>
      </c>
    </row>
    <row r="6758" spans="1:5" x14ac:dyDescent="0.25">
      <c r="A6758">
        <v>1883</v>
      </c>
      <c r="B6758" s="16">
        <v>43556</v>
      </c>
      <c r="C6758" t="s">
        <v>192</v>
      </c>
      <c r="D6758">
        <v>11029019</v>
      </c>
      <c r="E6758" t="s">
        <v>330</v>
      </c>
    </row>
    <row r="6759" spans="1:5" x14ac:dyDescent="0.25">
      <c r="A6759">
        <v>1883</v>
      </c>
      <c r="B6759" s="16">
        <v>43586</v>
      </c>
      <c r="C6759" t="s">
        <v>192</v>
      </c>
      <c r="D6759">
        <v>11029019</v>
      </c>
      <c r="E6759" t="s">
        <v>330</v>
      </c>
    </row>
    <row r="6760" spans="1:5" x14ac:dyDescent="0.25">
      <c r="A6760">
        <v>1883</v>
      </c>
      <c r="B6760" s="16">
        <v>43617</v>
      </c>
      <c r="C6760" t="s">
        <v>192</v>
      </c>
      <c r="D6760">
        <v>11029019</v>
      </c>
      <c r="E6760" t="s">
        <v>330</v>
      </c>
    </row>
    <row r="6761" spans="1:5" x14ac:dyDescent="0.25">
      <c r="A6761">
        <v>1883</v>
      </c>
      <c r="B6761" s="16">
        <v>43647</v>
      </c>
      <c r="C6761" t="s">
        <v>192</v>
      </c>
      <c r="D6761">
        <v>11029019</v>
      </c>
      <c r="E6761" t="s">
        <v>330</v>
      </c>
    </row>
    <row r="6762" spans="1:5" x14ac:dyDescent="0.25">
      <c r="A6762">
        <v>1883</v>
      </c>
      <c r="B6762" s="16">
        <v>43678</v>
      </c>
      <c r="C6762" t="s">
        <v>192</v>
      </c>
      <c r="D6762">
        <v>11029019</v>
      </c>
      <c r="E6762" t="s">
        <v>330</v>
      </c>
    </row>
    <row r="6763" spans="1:5" x14ac:dyDescent="0.25">
      <c r="A6763">
        <v>1883</v>
      </c>
      <c r="B6763" s="16">
        <v>43709</v>
      </c>
      <c r="C6763" t="s">
        <v>192</v>
      </c>
      <c r="D6763">
        <v>11029019</v>
      </c>
      <c r="E6763" t="s">
        <v>330</v>
      </c>
    </row>
    <row r="6764" spans="1:5" x14ac:dyDescent="0.25">
      <c r="A6764">
        <v>1883</v>
      </c>
      <c r="B6764" s="16">
        <v>43739</v>
      </c>
      <c r="C6764" t="s">
        <v>192</v>
      </c>
      <c r="D6764">
        <v>11029019</v>
      </c>
      <c r="E6764" t="s">
        <v>330</v>
      </c>
    </row>
    <row r="6765" spans="1:5" x14ac:dyDescent="0.25">
      <c r="A6765">
        <v>1883</v>
      </c>
      <c r="B6765" s="16">
        <v>43770</v>
      </c>
      <c r="C6765" t="s">
        <v>192</v>
      </c>
      <c r="D6765">
        <v>11029019</v>
      </c>
      <c r="E6765" t="s">
        <v>330</v>
      </c>
    </row>
    <row r="6766" spans="1:5" x14ac:dyDescent="0.25">
      <c r="A6766">
        <v>1883</v>
      </c>
      <c r="B6766" s="16">
        <v>43800</v>
      </c>
      <c r="C6766" t="s">
        <v>192</v>
      </c>
      <c r="D6766">
        <v>11029019</v>
      </c>
      <c r="E6766" t="s">
        <v>330</v>
      </c>
    </row>
    <row r="6767" spans="1:5" x14ac:dyDescent="0.25">
      <c r="A6767">
        <v>1883</v>
      </c>
      <c r="B6767" s="16">
        <v>43831</v>
      </c>
      <c r="C6767" t="s">
        <v>192</v>
      </c>
      <c r="D6767">
        <v>11029019</v>
      </c>
      <c r="E6767" t="s">
        <v>330</v>
      </c>
    </row>
    <row r="6768" spans="1:5" x14ac:dyDescent="0.25">
      <c r="A6768">
        <v>1883</v>
      </c>
      <c r="B6768" s="16">
        <v>43862</v>
      </c>
      <c r="C6768" t="s">
        <v>192</v>
      </c>
      <c r="D6768">
        <v>11029019</v>
      </c>
      <c r="E6768" t="s">
        <v>330</v>
      </c>
    </row>
    <row r="6769" spans="1:5" x14ac:dyDescent="0.25">
      <c r="A6769">
        <v>1883</v>
      </c>
      <c r="B6769" s="16">
        <v>43891</v>
      </c>
      <c r="C6769" t="s">
        <v>192</v>
      </c>
      <c r="D6769">
        <v>11029019</v>
      </c>
      <c r="E6769" t="s">
        <v>330</v>
      </c>
    </row>
    <row r="6770" spans="1:5" x14ac:dyDescent="0.25">
      <c r="A6770">
        <v>1883</v>
      </c>
      <c r="B6770" s="16">
        <v>43922</v>
      </c>
      <c r="C6770" t="s">
        <v>192</v>
      </c>
      <c r="D6770">
        <v>11029019</v>
      </c>
      <c r="E6770" t="s">
        <v>330</v>
      </c>
    </row>
    <row r="6771" spans="1:5" x14ac:dyDescent="0.25">
      <c r="A6771">
        <v>1883</v>
      </c>
      <c r="B6771" s="16">
        <v>43952</v>
      </c>
      <c r="C6771" t="s">
        <v>192</v>
      </c>
      <c r="D6771">
        <v>11029019</v>
      </c>
      <c r="E6771" t="s">
        <v>330</v>
      </c>
    </row>
    <row r="6772" spans="1:5" x14ac:dyDescent="0.25">
      <c r="A6772">
        <v>1883</v>
      </c>
      <c r="B6772" s="16">
        <v>43983</v>
      </c>
      <c r="C6772" t="s">
        <v>192</v>
      </c>
      <c r="D6772">
        <v>11029019</v>
      </c>
      <c r="E6772" t="s">
        <v>330</v>
      </c>
    </row>
    <row r="6773" spans="1:5" x14ac:dyDescent="0.25">
      <c r="A6773">
        <v>1883</v>
      </c>
      <c r="B6773" s="16">
        <v>44013</v>
      </c>
      <c r="C6773" t="s">
        <v>192</v>
      </c>
      <c r="D6773">
        <v>11029019</v>
      </c>
      <c r="E6773" t="s">
        <v>330</v>
      </c>
    </row>
    <row r="6774" spans="1:5" x14ac:dyDescent="0.25">
      <c r="A6774">
        <v>1883</v>
      </c>
      <c r="B6774" s="16">
        <v>44044</v>
      </c>
      <c r="C6774" t="s">
        <v>192</v>
      </c>
      <c r="D6774">
        <v>11029019</v>
      </c>
      <c r="E6774" t="s">
        <v>330</v>
      </c>
    </row>
    <row r="6775" spans="1:5" x14ac:dyDescent="0.25">
      <c r="A6775">
        <v>1883</v>
      </c>
      <c r="B6775" s="16">
        <v>44075</v>
      </c>
      <c r="C6775" t="s">
        <v>192</v>
      </c>
      <c r="D6775">
        <v>11029019</v>
      </c>
      <c r="E6775" t="s">
        <v>330</v>
      </c>
    </row>
    <row r="6776" spans="1:5" x14ac:dyDescent="0.25">
      <c r="A6776">
        <v>1883</v>
      </c>
      <c r="B6776" s="16">
        <v>44105</v>
      </c>
      <c r="C6776" t="s">
        <v>192</v>
      </c>
      <c r="D6776">
        <v>11029019</v>
      </c>
      <c r="E6776" t="s">
        <v>330</v>
      </c>
    </row>
    <row r="6777" spans="1:5" x14ac:dyDescent="0.25">
      <c r="A6777">
        <v>1883</v>
      </c>
      <c r="B6777" s="16">
        <v>44136</v>
      </c>
      <c r="C6777" t="s">
        <v>192</v>
      </c>
      <c r="D6777">
        <v>11029019</v>
      </c>
      <c r="E6777" t="s">
        <v>330</v>
      </c>
    </row>
    <row r="6778" spans="1:5" x14ac:dyDescent="0.25">
      <c r="A6778">
        <v>1883</v>
      </c>
      <c r="B6778" s="16">
        <v>44166</v>
      </c>
      <c r="C6778" t="s">
        <v>192</v>
      </c>
      <c r="D6778">
        <v>11029019</v>
      </c>
      <c r="E6778" t="s">
        <v>330</v>
      </c>
    </row>
    <row r="6779" spans="1:5" x14ac:dyDescent="0.25">
      <c r="A6779">
        <v>1883</v>
      </c>
      <c r="B6779" s="16">
        <v>44197</v>
      </c>
      <c r="C6779" t="s">
        <v>192</v>
      </c>
      <c r="D6779">
        <v>11029019</v>
      </c>
      <c r="E6779" t="s">
        <v>330</v>
      </c>
    </row>
    <row r="6780" spans="1:5" x14ac:dyDescent="0.25">
      <c r="A6780">
        <v>1883</v>
      </c>
      <c r="B6780" s="16">
        <v>44228</v>
      </c>
      <c r="C6780" t="s">
        <v>192</v>
      </c>
      <c r="D6780">
        <v>11029019</v>
      </c>
      <c r="E6780" t="s">
        <v>330</v>
      </c>
    </row>
    <row r="6781" spans="1:5" x14ac:dyDescent="0.25">
      <c r="A6781">
        <v>1884</v>
      </c>
      <c r="B6781" s="16">
        <v>43466</v>
      </c>
      <c r="C6781" t="s">
        <v>192</v>
      </c>
      <c r="D6781">
        <v>10920000</v>
      </c>
      <c r="E6781" t="s">
        <v>330</v>
      </c>
    </row>
    <row r="6782" spans="1:5" x14ac:dyDescent="0.25">
      <c r="A6782">
        <v>1884</v>
      </c>
      <c r="B6782" s="16">
        <v>43497</v>
      </c>
      <c r="C6782" t="s">
        <v>192</v>
      </c>
      <c r="D6782">
        <v>10920000</v>
      </c>
      <c r="E6782" t="s">
        <v>330</v>
      </c>
    </row>
    <row r="6783" spans="1:5" x14ac:dyDescent="0.25">
      <c r="A6783">
        <v>1884</v>
      </c>
      <c r="B6783" s="16">
        <v>43525</v>
      </c>
      <c r="C6783" t="s">
        <v>192</v>
      </c>
      <c r="D6783">
        <v>10920000</v>
      </c>
      <c r="E6783" t="s">
        <v>330</v>
      </c>
    </row>
    <row r="6784" spans="1:5" x14ac:dyDescent="0.25">
      <c r="A6784">
        <v>1884</v>
      </c>
      <c r="B6784" s="16">
        <v>43556</v>
      </c>
      <c r="C6784" t="s">
        <v>192</v>
      </c>
      <c r="D6784">
        <v>10920000</v>
      </c>
      <c r="E6784" t="s">
        <v>330</v>
      </c>
    </row>
    <row r="6785" spans="1:5" x14ac:dyDescent="0.25">
      <c r="A6785">
        <v>1884</v>
      </c>
      <c r="B6785" s="16">
        <v>43586</v>
      </c>
      <c r="C6785" t="s">
        <v>192</v>
      </c>
      <c r="D6785">
        <v>10920000</v>
      </c>
      <c r="E6785" t="s">
        <v>330</v>
      </c>
    </row>
    <row r="6786" spans="1:5" x14ac:dyDescent="0.25">
      <c r="A6786">
        <v>1884</v>
      </c>
      <c r="B6786" s="16">
        <v>43617</v>
      </c>
      <c r="C6786" t="s">
        <v>192</v>
      </c>
      <c r="D6786">
        <v>10920000</v>
      </c>
      <c r="E6786" t="s">
        <v>330</v>
      </c>
    </row>
    <row r="6787" spans="1:5" x14ac:dyDescent="0.25">
      <c r="A6787">
        <v>1884</v>
      </c>
      <c r="B6787" s="16">
        <v>43647</v>
      </c>
      <c r="C6787" t="s">
        <v>192</v>
      </c>
      <c r="D6787">
        <v>10920000</v>
      </c>
      <c r="E6787" t="s">
        <v>330</v>
      </c>
    </row>
    <row r="6788" spans="1:5" x14ac:dyDescent="0.25">
      <c r="A6788">
        <v>1884</v>
      </c>
      <c r="B6788" s="16">
        <v>43678</v>
      </c>
      <c r="C6788" t="s">
        <v>192</v>
      </c>
      <c r="D6788">
        <v>10920000</v>
      </c>
      <c r="E6788" t="s">
        <v>330</v>
      </c>
    </row>
    <row r="6789" spans="1:5" x14ac:dyDescent="0.25">
      <c r="A6789">
        <v>1884</v>
      </c>
      <c r="B6789" s="16">
        <v>43709</v>
      </c>
      <c r="C6789" t="s">
        <v>192</v>
      </c>
      <c r="D6789">
        <v>10920000</v>
      </c>
      <c r="E6789" t="s">
        <v>330</v>
      </c>
    </row>
    <row r="6790" spans="1:5" x14ac:dyDescent="0.25">
      <c r="A6790">
        <v>1884</v>
      </c>
      <c r="B6790" s="16">
        <v>43739</v>
      </c>
      <c r="C6790" t="s">
        <v>192</v>
      </c>
      <c r="D6790">
        <v>10920000</v>
      </c>
      <c r="E6790" t="s">
        <v>330</v>
      </c>
    </row>
    <row r="6791" spans="1:5" x14ac:dyDescent="0.25">
      <c r="A6791">
        <v>1884</v>
      </c>
      <c r="B6791" s="16">
        <v>43770</v>
      </c>
      <c r="C6791" t="s">
        <v>192</v>
      </c>
      <c r="D6791">
        <v>10920000</v>
      </c>
      <c r="E6791" t="s">
        <v>330</v>
      </c>
    </row>
    <row r="6792" spans="1:5" x14ac:dyDescent="0.25">
      <c r="A6792">
        <v>1884</v>
      </c>
      <c r="B6792" s="16">
        <v>43800</v>
      </c>
      <c r="C6792" t="s">
        <v>192</v>
      </c>
      <c r="D6792">
        <v>10920000</v>
      </c>
      <c r="E6792" t="s">
        <v>330</v>
      </c>
    </row>
    <row r="6793" spans="1:5" x14ac:dyDescent="0.25">
      <c r="A6793">
        <v>1884</v>
      </c>
      <c r="B6793" s="16">
        <v>43831</v>
      </c>
      <c r="C6793" t="s">
        <v>192</v>
      </c>
      <c r="D6793">
        <v>10920000</v>
      </c>
      <c r="E6793" t="s">
        <v>330</v>
      </c>
    </row>
    <row r="6794" spans="1:5" x14ac:dyDescent="0.25">
      <c r="A6794">
        <v>1881</v>
      </c>
      <c r="B6794" s="16">
        <v>43466</v>
      </c>
      <c r="C6794" t="s">
        <v>192</v>
      </c>
      <c r="D6794">
        <v>8200000</v>
      </c>
      <c r="E6794" t="s">
        <v>330</v>
      </c>
    </row>
    <row r="6795" spans="1:5" x14ac:dyDescent="0.25">
      <c r="A6795">
        <v>1881</v>
      </c>
      <c r="B6795" s="16">
        <v>43497</v>
      </c>
      <c r="C6795" t="s">
        <v>192</v>
      </c>
      <c r="D6795">
        <v>8200000</v>
      </c>
      <c r="E6795" t="s">
        <v>330</v>
      </c>
    </row>
    <row r="6796" spans="1:5" x14ac:dyDescent="0.25">
      <c r="A6796">
        <v>1881</v>
      </c>
      <c r="B6796" s="16">
        <v>43525</v>
      </c>
      <c r="C6796" t="s">
        <v>192</v>
      </c>
      <c r="D6796">
        <v>8200000</v>
      </c>
      <c r="E6796" t="s">
        <v>330</v>
      </c>
    </row>
    <row r="6797" spans="1:5" x14ac:dyDescent="0.25">
      <c r="A6797">
        <v>1881</v>
      </c>
      <c r="B6797" s="16">
        <v>43556</v>
      </c>
      <c r="C6797" t="s">
        <v>192</v>
      </c>
      <c r="D6797">
        <v>8200000</v>
      </c>
      <c r="E6797" t="s">
        <v>330</v>
      </c>
    </row>
    <row r="6798" spans="1:5" x14ac:dyDescent="0.25">
      <c r="A6798">
        <v>1881</v>
      </c>
      <c r="B6798" s="16">
        <v>43586</v>
      </c>
      <c r="C6798" t="s">
        <v>192</v>
      </c>
      <c r="D6798">
        <v>8200000</v>
      </c>
      <c r="E6798" t="s">
        <v>330</v>
      </c>
    </row>
    <row r="6799" spans="1:5" x14ac:dyDescent="0.25">
      <c r="A6799">
        <v>1881</v>
      </c>
      <c r="B6799" s="16">
        <v>43617</v>
      </c>
      <c r="C6799" t="s">
        <v>192</v>
      </c>
      <c r="D6799">
        <v>8200000</v>
      </c>
      <c r="E6799" t="s">
        <v>330</v>
      </c>
    </row>
    <row r="6800" spans="1:5" x14ac:dyDescent="0.25">
      <c r="A6800">
        <v>1881</v>
      </c>
      <c r="B6800" s="16">
        <v>43647</v>
      </c>
      <c r="C6800" t="s">
        <v>192</v>
      </c>
      <c r="D6800">
        <v>8200000</v>
      </c>
      <c r="E6800" t="s">
        <v>330</v>
      </c>
    </row>
    <row r="6801" spans="1:5" x14ac:dyDescent="0.25">
      <c r="A6801">
        <v>1881</v>
      </c>
      <c r="B6801" s="16">
        <v>43678</v>
      </c>
      <c r="C6801" t="s">
        <v>192</v>
      </c>
      <c r="D6801">
        <v>8200000</v>
      </c>
      <c r="E6801" t="s">
        <v>330</v>
      </c>
    </row>
    <row r="6802" spans="1:5" x14ac:dyDescent="0.25">
      <c r="A6802">
        <v>1881</v>
      </c>
      <c r="B6802" s="16">
        <v>43709</v>
      </c>
      <c r="C6802" t="s">
        <v>192</v>
      </c>
      <c r="D6802">
        <v>8200000</v>
      </c>
      <c r="E6802" t="s">
        <v>330</v>
      </c>
    </row>
    <row r="6803" spans="1:5" x14ac:dyDescent="0.25">
      <c r="A6803">
        <v>1881</v>
      </c>
      <c r="B6803" s="16">
        <v>43739</v>
      </c>
      <c r="C6803" t="s">
        <v>192</v>
      </c>
      <c r="D6803">
        <v>8200000</v>
      </c>
      <c r="E6803" t="s">
        <v>330</v>
      </c>
    </row>
    <row r="6804" spans="1:5" x14ac:dyDescent="0.25">
      <c r="A6804">
        <v>1881</v>
      </c>
      <c r="B6804" s="16">
        <v>43770</v>
      </c>
      <c r="C6804" t="s">
        <v>192</v>
      </c>
      <c r="D6804">
        <v>8200000</v>
      </c>
      <c r="E6804" t="s">
        <v>330</v>
      </c>
    </row>
    <row r="6805" spans="1:5" x14ac:dyDescent="0.25">
      <c r="A6805">
        <v>1881</v>
      </c>
      <c r="B6805" s="16">
        <v>43800</v>
      </c>
      <c r="C6805" t="s">
        <v>192</v>
      </c>
      <c r="D6805">
        <v>8200000</v>
      </c>
      <c r="E6805" t="s">
        <v>330</v>
      </c>
    </row>
    <row r="6806" spans="1:5" x14ac:dyDescent="0.25">
      <c r="A6806">
        <v>1881</v>
      </c>
      <c r="B6806" s="16">
        <v>43831</v>
      </c>
      <c r="C6806" t="s">
        <v>192</v>
      </c>
      <c r="D6806">
        <v>8200000</v>
      </c>
      <c r="E6806" t="s">
        <v>330</v>
      </c>
    </row>
    <row r="6807" spans="1:5" x14ac:dyDescent="0.25">
      <c r="A6807">
        <v>1881</v>
      </c>
      <c r="B6807" s="16">
        <v>43862</v>
      </c>
      <c r="C6807" t="s">
        <v>192</v>
      </c>
      <c r="D6807">
        <v>8200000</v>
      </c>
      <c r="E6807" t="s">
        <v>330</v>
      </c>
    </row>
    <row r="6808" spans="1:5" x14ac:dyDescent="0.25">
      <c r="A6808">
        <v>1881</v>
      </c>
      <c r="B6808" s="16">
        <v>43891</v>
      </c>
      <c r="C6808" t="s">
        <v>192</v>
      </c>
      <c r="D6808">
        <v>8200000</v>
      </c>
      <c r="E6808" t="s">
        <v>330</v>
      </c>
    </row>
    <row r="6809" spans="1:5" x14ac:dyDescent="0.25">
      <c r="A6809">
        <v>1881</v>
      </c>
      <c r="B6809" s="16">
        <v>43922</v>
      </c>
      <c r="C6809" t="s">
        <v>192</v>
      </c>
      <c r="D6809">
        <v>8200000</v>
      </c>
      <c r="E6809" t="s">
        <v>330</v>
      </c>
    </row>
    <row r="6810" spans="1:5" x14ac:dyDescent="0.25">
      <c r="A6810">
        <v>1881</v>
      </c>
      <c r="B6810" s="16">
        <v>43952</v>
      </c>
      <c r="C6810" t="s">
        <v>192</v>
      </c>
      <c r="D6810">
        <v>8200000</v>
      </c>
      <c r="E6810" t="s">
        <v>330</v>
      </c>
    </row>
    <row r="6811" spans="1:5" x14ac:dyDescent="0.25">
      <c r="A6811">
        <v>1881</v>
      </c>
      <c r="B6811" s="16">
        <v>43983</v>
      </c>
      <c r="C6811" t="s">
        <v>192</v>
      </c>
      <c r="D6811">
        <v>8200000</v>
      </c>
      <c r="E6811" t="s">
        <v>330</v>
      </c>
    </row>
    <row r="6812" spans="1:5" x14ac:dyDescent="0.25">
      <c r="A6812">
        <v>1881</v>
      </c>
      <c r="B6812" s="16">
        <v>44013</v>
      </c>
      <c r="C6812" t="s">
        <v>192</v>
      </c>
      <c r="D6812">
        <v>8200000</v>
      </c>
      <c r="E6812" t="s">
        <v>330</v>
      </c>
    </row>
    <row r="6813" spans="1:5" x14ac:dyDescent="0.25">
      <c r="A6813">
        <v>1880</v>
      </c>
      <c r="B6813" s="16">
        <v>43466</v>
      </c>
      <c r="C6813" t="s">
        <v>192</v>
      </c>
      <c r="D6813">
        <v>9080000</v>
      </c>
      <c r="E6813" t="s">
        <v>330</v>
      </c>
    </row>
    <row r="6814" spans="1:5" x14ac:dyDescent="0.25">
      <c r="A6814">
        <v>1880</v>
      </c>
      <c r="B6814" s="16">
        <v>43497</v>
      </c>
      <c r="C6814" t="s">
        <v>192</v>
      </c>
      <c r="D6814">
        <v>9080000</v>
      </c>
      <c r="E6814" t="s">
        <v>330</v>
      </c>
    </row>
    <row r="6815" spans="1:5" x14ac:dyDescent="0.25">
      <c r="A6815">
        <v>1880</v>
      </c>
      <c r="B6815" s="16">
        <v>43525</v>
      </c>
      <c r="C6815" t="s">
        <v>192</v>
      </c>
      <c r="D6815">
        <v>9080000</v>
      </c>
      <c r="E6815" t="s">
        <v>330</v>
      </c>
    </row>
    <row r="6816" spans="1:5" x14ac:dyDescent="0.25">
      <c r="A6816">
        <v>1880</v>
      </c>
      <c r="B6816" s="16">
        <v>43556</v>
      </c>
      <c r="C6816" t="s">
        <v>192</v>
      </c>
      <c r="D6816">
        <v>9080000</v>
      </c>
      <c r="E6816" t="s">
        <v>330</v>
      </c>
    </row>
    <row r="6817" spans="1:5" x14ac:dyDescent="0.25">
      <c r="A6817">
        <v>1880</v>
      </c>
      <c r="B6817" s="16">
        <v>43586</v>
      </c>
      <c r="C6817" t="s">
        <v>192</v>
      </c>
      <c r="D6817">
        <v>9080000</v>
      </c>
      <c r="E6817" t="s">
        <v>330</v>
      </c>
    </row>
    <row r="6818" spans="1:5" x14ac:dyDescent="0.25">
      <c r="A6818">
        <v>1880</v>
      </c>
      <c r="B6818" s="16">
        <v>43617</v>
      </c>
      <c r="C6818" t="s">
        <v>192</v>
      </c>
      <c r="D6818">
        <v>9080000</v>
      </c>
      <c r="E6818" t="s">
        <v>330</v>
      </c>
    </row>
    <row r="6819" spans="1:5" x14ac:dyDescent="0.25">
      <c r="A6819">
        <v>1877</v>
      </c>
      <c r="B6819" s="16">
        <v>43466</v>
      </c>
      <c r="C6819" t="s">
        <v>192</v>
      </c>
      <c r="D6819">
        <v>27800000</v>
      </c>
      <c r="E6819" t="s">
        <v>330</v>
      </c>
    </row>
    <row r="6820" spans="1:5" x14ac:dyDescent="0.25">
      <c r="A6820">
        <v>1877</v>
      </c>
      <c r="B6820" s="16">
        <v>43497</v>
      </c>
      <c r="C6820" t="s">
        <v>192</v>
      </c>
      <c r="D6820">
        <v>27800000</v>
      </c>
      <c r="E6820" t="s">
        <v>330</v>
      </c>
    </row>
    <row r="6821" spans="1:5" x14ac:dyDescent="0.25">
      <c r="A6821">
        <v>1877</v>
      </c>
      <c r="B6821" s="16">
        <v>43525</v>
      </c>
      <c r="C6821" t="s">
        <v>192</v>
      </c>
      <c r="D6821">
        <v>27800000</v>
      </c>
      <c r="E6821" t="s">
        <v>330</v>
      </c>
    </row>
    <row r="6822" spans="1:5" x14ac:dyDescent="0.25">
      <c r="A6822">
        <v>1877</v>
      </c>
      <c r="B6822" s="16">
        <v>43556</v>
      </c>
      <c r="C6822" t="s">
        <v>192</v>
      </c>
      <c r="D6822">
        <v>27800000</v>
      </c>
      <c r="E6822" t="s">
        <v>330</v>
      </c>
    </row>
    <row r="6823" spans="1:5" x14ac:dyDescent="0.25">
      <c r="A6823">
        <v>1877</v>
      </c>
      <c r="B6823" s="16">
        <v>43586</v>
      </c>
      <c r="C6823" t="s">
        <v>192</v>
      </c>
      <c r="D6823">
        <v>27800000</v>
      </c>
      <c r="E6823" t="s">
        <v>330</v>
      </c>
    </row>
    <row r="6824" spans="1:5" x14ac:dyDescent="0.25">
      <c r="A6824">
        <v>1877</v>
      </c>
      <c r="B6824" s="16">
        <v>43617</v>
      </c>
      <c r="C6824" t="s">
        <v>192</v>
      </c>
      <c r="D6824">
        <v>27800000</v>
      </c>
      <c r="E6824" t="s">
        <v>330</v>
      </c>
    </row>
    <row r="6825" spans="1:5" x14ac:dyDescent="0.25">
      <c r="A6825">
        <v>1877</v>
      </c>
      <c r="B6825" s="16">
        <v>43647</v>
      </c>
      <c r="C6825" t="s">
        <v>192</v>
      </c>
      <c r="D6825">
        <v>27800000</v>
      </c>
      <c r="E6825" t="s">
        <v>330</v>
      </c>
    </row>
    <row r="6826" spans="1:5" x14ac:dyDescent="0.25">
      <c r="A6826">
        <v>1877</v>
      </c>
      <c r="B6826" s="16">
        <v>43678</v>
      </c>
      <c r="C6826" t="s">
        <v>192</v>
      </c>
      <c r="D6826">
        <v>27800000</v>
      </c>
      <c r="E6826" t="s">
        <v>330</v>
      </c>
    </row>
    <row r="6827" spans="1:5" x14ac:dyDescent="0.25">
      <c r="A6827">
        <v>1877</v>
      </c>
      <c r="B6827" s="16">
        <v>43709</v>
      </c>
      <c r="C6827" t="s">
        <v>192</v>
      </c>
      <c r="D6827">
        <v>27800000</v>
      </c>
      <c r="E6827" t="s">
        <v>330</v>
      </c>
    </row>
    <row r="6828" spans="1:5" x14ac:dyDescent="0.25">
      <c r="A6828">
        <v>1877</v>
      </c>
      <c r="B6828" s="16">
        <v>43739</v>
      </c>
      <c r="C6828" t="s">
        <v>192</v>
      </c>
      <c r="D6828">
        <v>27800000</v>
      </c>
      <c r="E6828" t="s">
        <v>330</v>
      </c>
    </row>
    <row r="6829" spans="1:5" x14ac:dyDescent="0.25">
      <c r="A6829">
        <v>1877</v>
      </c>
      <c r="B6829" s="16">
        <v>43770</v>
      </c>
      <c r="C6829" t="s">
        <v>192</v>
      </c>
      <c r="D6829">
        <v>27800000</v>
      </c>
      <c r="E6829" t="s">
        <v>330</v>
      </c>
    </row>
    <row r="6830" spans="1:5" x14ac:dyDescent="0.25">
      <c r="A6830">
        <v>1877</v>
      </c>
      <c r="B6830" s="16">
        <v>43800</v>
      </c>
      <c r="C6830" t="s">
        <v>192</v>
      </c>
      <c r="D6830">
        <v>27800000</v>
      </c>
      <c r="E6830" t="s">
        <v>330</v>
      </c>
    </row>
    <row r="6831" spans="1:5" x14ac:dyDescent="0.25">
      <c r="A6831">
        <v>1877</v>
      </c>
      <c r="B6831" s="16">
        <v>43831</v>
      </c>
      <c r="C6831" t="s">
        <v>192</v>
      </c>
      <c r="D6831">
        <v>27800000</v>
      </c>
      <c r="E6831" t="s">
        <v>330</v>
      </c>
    </row>
    <row r="6832" spans="1:5" x14ac:dyDescent="0.25">
      <c r="A6832">
        <v>1877</v>
      </c>
      <c r="B6832" s="16">
        <v>43862</v>
      </c>
      <c r="C6832" t="s">
        <v>192</v>
      </c>
      <c r="D6832">
        <v>27800000</v>
      </c>
      <c r="E6832" t="s">
        <v>330</v>
      </c>
    </row>
    <row r="6833" spans="1:5" x14ac:dyDescent="0.25">
      <c r="A6833">
        <v>1877</v>
      </c>
      <c r="B6833" s="16">
        <v>43891</v>
      </c>
      <c r="C6833" t="s">
        <v>192</v>
      </c>
      <c r="D6833">
        <v>27800000</v>
      </c>
      <c r="E6833" t="s">
        <v>330</v>
      </c>
    </row>
    <row r="6834" spans="1:5" x14ac:dyDescent="0.25">
      <c r="A6834">
        <v>1813</v>
      </c>
      <c r="B6834" s="16">
        <v>43466</v>
      </c>
      <c r="C6834" t="s">
        <v>192</v>
      </c>
      <c r="D6834">
        <v>0</v>
      </c>
      <c r="E6834" t="s">
        <v>330</v>
      </c>
    </row>
    <row r="6835" spans="1:5" x14ac:dyDescent="0.25">
      <c r="A6835">
        <v>1813</v>
      </c>
      <c r="B6835" s="16">
        <v>43497</v>
      </c>
      <c r="C6835" t="s">
        <v>192</v>
      </c>
      <c r="D6835">
        <v>0</v>
      </c>
      <c r="E6835" t="s">
        <v>330</v>
      </c>
    </row>
    <row r="6836" spans="1:5" x14ac:dyDescent="0.25">
      <c r="A6836">
        <v>1813</v>
      </c>
      <c r="B6836" s="16">
        <v>43525</v>
      </c>
      <c r="C6836" t="s">
        <v>192</v>
      </c>
      <c r="D6836">
        <v>0</v>
      </c>
      <c r="E6836" t="s">
        <v>330</v>
      </c>
    </row>
    <row r="6837" spans="1:5" x14ac:dyDescent="0.25">
      <c r="A6837">
        <v>1813</v>
      </c>
      <c r="B6837" s="16">
        <v>43556</v>
      </c>
      <c r="C6837" t="s">
        <v>192</v>
      </c>
      <c r="D6837">
        <v>0</v>
      </c>
      <c r="E6837" t="s">
        <v>330</v>
      </c>
    </row>
    <row r="6838" spans="1:5" x14ac:dyDescent="0.25">
      <c r="A6838">
        <v>1813</v>
      </c>
      <c r="B6838" s="16">
        <v>43586</v>
      </c>
      <c r="C6838" t="s">
        <v>192</v>
      </c>
      <c r="D6838">
        <v>0</v>
      </c>
      <c r="E6838" t="s">
        <v>330</v>
      </c>
    </row>
    <row r="6839" spans="1:5" x14ac:dyDescent="0.25">
      <c r="A6839">
        <v>1701</v>
      </c>
      <c r="B6839" s="16">
        <v>43466</v>
      </c>
      <c r="C6839" t="s">
        <v>192</v>
      </c>
      <c r="D6839">
        <v>19000000</v>
      </c>
      <c r="E6839" t="s">
        <v>330</v>
      </c>
    </row>
    <row r="6840" spans="1:5" x14ac:dyDescent="0.25">
      <c r="A6840">
        <v>1701</v>
      </c>
      <c r="B6840" s="16">
        <v>43497</v>
      </c>
      <c r="C6840" t="s">
        <v>192</v>
      </c>
      <c r="D6840">
        <v>19000000</v>
      </c>
      <c r="E6840" t="s">
        <v>330</v>
      </c>
    </row>
    <row r="6841" spans="1:5" x14ac:dyDescent="0.25">
      <c r="A6841">
        <v>1701</v>
      </c>
      <c r="B6841" s="16">
        <v>43525</v>
      </c>
      <c r="C6841" t="s">
        <v>192</v>
      </c>
      <c r="D6841">
        <v>19000000</v>
      </c>
      <c r="E6841" t="s">
        <v>330</v>
      </c>
    </row>
    <row r="6842" spans="1:5" x14ac:dyDescent="0.25">
      <c r="A6842">
        <v>1701</v>
      </c>
      <c r="B6842" s="16">
        <v>43556</v>
      </c>
      <c r="C6842" t="s">
        <v>192</v>
      </c>
      <c r="D6842">
        <v>19000000</v>
      </c>
      <c r="E6842" t="s">
        <v>330</v>
      </c>
    </row>
    <row r="6843" spans="1:5" x14ac:dyDescent="0.25">
      <c r="A6843">
        <v>1701</v>
      </c>
      <c r="B6843" s="16">
        <v>43586</v>
      </c>
      <c r="C6843" t="s">
        <v>192</v>
      </c>
      <c r="D6843">
        <v>19000000</v>
      </c>
      <c r="E6843" t="s">
        <v>330</v>
      </c>
    </row>
    <row r="6844" spans="1:5" x14ac:dyDescent="0.25">
      <c r="A6844">
        <v>1701</v>
      </c>
      <c r="B6844" s="16">
        <v>43617</v>
      </c>
      <c r="C6844" t="s">
        <v>192</v>
      </c>
      <c r="D6844">
        <v>19000000</v>
      </c>
      <c r="E6844" t="s">
        <v>330</v>
      </c>
    </row>
    <row r="6845" spans="1:5" x14ac:dyDescent="0.25">
      <c r="A6845">
        <v>1701</v>
      </c>
      <c r="B6845" s="16">
        <v>43647</v>
      </c>
      <c r="C6845" t="s">
        <v>192</v>
      </c>
      <c r="D6845">
        <v>19000000</v>
      </c>
      <c r="E6845" t="s">
        <v>330</v>
      </c>
    </row>
    <row r="6846" spans="1:5" x14ac:dyDescent="0.25">
      <c r="A6846">
        <v>1701</v>
      </c>
      <c r="B6846" s="16">
        <v>43678</v>
      </c>
      <c r="C6846" t="s">
        <v>192</v>
      </c>
      <c r="D6846">
        <v>19000000</v>
      </c>
      <c r="E6846" t="s">
        <v>330</v>
      </c>
    </row>
    <row r="6847" spans="1:5" x14ac:dyDescent="0.25">
      <c r="A6847">
        <v>1701</v>
      </c>
      <c r="B6847" s="16">
        <v>43709</v>
      </c>
      <c r="C6847" t="s">
        <v>192</v>
      </c>
      <c r="D6847">
        <v>19000000</v>
      </c>
      <c r="E6847" t="s">
        <v>330</v>
      </c>
    </row>
    <row r="6848" spans="1:5" x14ac:dyDescent="0.25">
      <c r="A6848">
        <v>1701</v>
      </c>
      <c r="B6848" s="16">
        <v>43739</v>
      </c>
      <c r="C6848" t="s">
        <v>192</v>
      </c>
      <c r="D6848">
        <v>19000000</v>
      </c>
      <c r="E6848" t="s">
        <v>330</v>
      </c>
    </row>
    <row r="6849" spans="1:5" x14ac:dyDescent="0.25">
      <c r="A6849">
        <v>1701</v>
      </c>
      <c r="B6849" s="16">
        <v>43770</v>
      </c>
      <c r="C6849" t="s">
        <v>192</v>
      </c>
      <c r="D6849">
        <v>19000000</v>
      </c>
      <c r="E6849" t="s">
        <v>330</v>
      </c>
    </row>
    <row r="6850" spans="1:5" x14ac:dyDescent="0.25">
      <c r="A6850">
        <v>1701</v>
      </c>
      <c r="B6850" s="16">
        <v>43800</v>
      </c>
      <c r="C6850" t="s">
        <v>192</v>
      </c>
      <c r="D6850">
        <v>19000000</v>
      </c>
      <c r="E6850" t="s">
        <v>330</v>
      </c>
    </row>
    <row r="6851" spans="1:5" x14ac:dyDescent="0.25">
      <c r="A6851">
        <v>1687</v>
      </c>
      <c r="B6851" s="16">
        <v>43466</v>
      </c>
      <c r="C6851" t="s">
        <v>192</v>
      </c>
      <c r="D6851">
        <v>32000000</v>
      </c>
      <c r="E6851" t="s">
        <v>330</v>
      </c>
    </row>
    <row r="6852" spans="1:5" x14ac:dyDescent="0.25">
      <c r="A6852">
        <v>1577</v>
      </c>
      <c r="B6852" s="16">
        <v>43466</v>
      </c>
      <c r="C6852" t="s">
        <v>192</v>
      </c>
      <c r="D6852">
        <v>33000000</v>
      </c>
      <c r="E6852" t="s">
        <v>330</v>
      </c>
    </row>
    <row r="6853" spans="1:5" x14ac:dyDescent="0.25">
      <c r="A6853">
        <v>1577</v>
      </c>
      <c r="B6853" s="16">
        <v>43497</v>
      </c>
      <c r="C6853" t="s">
        <v>192</v>
      </c>
      <c r="D6853">
        <v>33000000</v>
      </c>
      <c r="E6853" t="s">
        <v>330</v>
      </c>
    </row>
    <row r="6854" spans="1:5" x14ac:dyDescent="0.25">
      <c r="A6854">
        <v>1577</v>
      </c>
      <c r="B6854" s="16">
        <v>43525</v>
      </c>
      <c r="C6854" t="s">
        <v>192</v>
      </c>
      <c r="D6854">
        <v>33000000</v>
      </c>
      <c r="E6854" t="s">
        <v>330</v>
      </c>
    </row>
    <row r="6855" spans="1:5" x14ac:dyDescent="0.25">
      <c r="A6855">
        <v>1577</v>
      </c>
      <c r="B6855" s="16">
        <v>43556</v>
      </c>
      <c r="C6855" t="s">
        <v>192</v>
      </c>
      <c r="D6855">
        <v>33000000</v>
      </c>
      <c r="E6855" t="s">
        <v>330</v>
      </c>
    </row>
    <row r="6856" spans="1:5" x14ac:dyDescent="0.25">
      <c r="A6856">
        <v>1577</v>
      </c>
      <c r="B6856" s="16">
        <v>43586</v>
      </c>
      <c r="C6856" t="s">
        <v>192</v>
      </c>
      <c r="D6856">
        <v>33000000</v>
      </c>
      <c r="E6856" t="s">
        <v>330</v>
      </c>
    </row>
    <row r="6857" spans="1:5" x14ac:dyDescent="0.25">
      <c r="A6857">
        <v>1577</v>
      </c>
      <c r="B6857" s="16">
        <v>43617</v>
      </c>
      <c r="C6857" t="s">
        <v>192</v>
      </c>
      <c r="D6857">
        <v>15000000</v>
      </c>
      <c r="E6857" t="s">
        <v>330</v>
      </c>
    </row>
    <row r="6858" spans="1:5" x14ac:dyDescent="0.25">
      <c r="A6858">
        <v>1577</v>
      </c>
      <c r="B6858" s="16">
        <v>43647</v>
      </c>
      <c r="C6858" t="s">
        <v>192</v>
      </c>
      <c r="D6858">
        <v>15000000</v>
      </c>
      <c r="E6858" t="s">
        <v>330</v>
      </c>
    </row>
    <row r="6859" spans="1:5" x14ac:dyDescent="0.25">
      <c r="A6859">
        <v>1622</v>
      </c>
      <c r="B6859" s="16">
        <v>43466</v>
      </c>
      <c r="C6859" t="s">
        <v>192</v>
      </c>
      <c r="D6859">
        <v>36049228</v>
      </c>
      <c r="E6859" t="s">
        <v>330</v>
      </c>
    </row>
    <row r="6860" spans="1:5" x14ac:dyDescent="0.25">
      <c r="A6860">
        <v>1622</v>
      </c>
      <c r="B6860" s="16">
        <v>43497</v>
      </c>
      <c r="C6860" t="s">
        <v>192</v>
      </c>
      <c r="D6860">
        <v>36049228</v>
      </c>
      <c r="E6860" t="s">
        <v>330</v>
      </c>
    </row>
    <row r="6861" spans="1:5" x14ac:dyDescent="0.25">
      <c r="A6861">
        <v>1622</v>
      </c>
      <c r="B6861" s="16">
        <v>43525</v>
      </c>
      <c r="C6861" t="s">
        <v>192</v>
      </c>
      <c r="D6861">
        <v>36049228</v>
      </c>
      <c r="E6861" t="s">
        <v>330</v>
      </c>
    </row>
    <row r="6862" spans="1:5" x14ac:dyDescent="0.25">
      <c r="A6862">
        <v>1622</v>
      </c>
      <c r="B6862" s="16">
        <v>43466</v>
      </c>
      <c r="C6862" t="s">
        <v>192</v>
      </c>
      <c r="D6862">
        <v>44700000</v>
      </c>
      <c r="E6862" t="s">
        <v>330</v>
      </c>
    </row>
    <row r="6863" spans="1:5" x14ac:dyDescent="0.25">
      <c r="A6863">
        <v>1622</v>
      </c>
      <c r="B6863" s="16">
        <v>43497</v>
      </c>
      <c r="C6863" t="s">
        <v>192</v>
      </c>
      <c r="D6863">
        <v>44700000</v>
      </c>
      <c r="E6863" t="s">
        <v>330</v>
      </c>
    </row>
    <row r="6864" spans="1:5" x14ac:dyDescent="0.25">
      <c r="A6864">
        <v>1622</v>
      </c>
      <c r="B6864" s="16">
        <v>43525</v>
      </c>
      <c r="C6864" t="s">
        <v>192</v>
      </c>
      <c r="D6864">
        <v>44700000</v>
      </c>
      <c r="E6864" t="s">
        <v>330</v>
      </c>
    </row>
    <row r="6865" spans="1:5" x14ac:dyDescent="0.25">
      <c r="A6865">
        <v>1622</v>
      </c>
      <c r="B6865" s="16">
        <v>43556</v>
      </c>
      <c r="C6865" t="s">
        <v>192</v>
      </c>
      <c r="D6865">
        <v>44700000</v>
      </c>
      <c r="E6865" t="s">
        <v>330</v>
      </c>
    </row>
    <row r="6866" spans="1:5" x14ac:dyDescent="0.25">
      <c r="A6866">
        <v>1588</v>
      </c>
      <c r="B6866" s="16">
        <v>43466</v>
      </c>
      <c r="C6866" t="s">
        <v>192</v>
      </c>
      <c r="D6866">
        <v>20430000</v>
      </c>
      <c r="E6866" t="s">
        <v>330</v>
      </c>
    </row>
    <row r="6867" spans="1:5" x14ac:dyDescent="0.25">
      <c r="A6867">
        <v>1588</v>
      </c>
      <c r="B6867" s="16">
        <v>43497</v>
      </c>
      <c r="C6867" t="s">
        <v>192</v>
      </c>
      <c r="D6867">
        <v>20430000</v>
      </c>
      <c r="E6867" t="s">
        <v>330</v>
      </c>
    </row>
    <row r="6868" spans="1:5" x14ac:dyDescent="0.25">
      <c r="A6868">
        <v>1588</v>
      </c>
      <c r="B6868" s="16">
        <v>43525</v>
      </c>
      <c r="C6868" t="s">
        <v>192</v>
      </c>
      <c r="D6868">
        <v>20430000</v>
      </c>
      <c r="E6868" t="s">
        <v>330</v>
      </c>
    </row>
    <row r="6869" spans="1:5" x14ac:dyDescent="0.25">
      <c r="A6869">
        <v>1723</v>
      </c>
      <c r="B6869" s="16">
        <v>43466</v>
      </c>
      <c r="C6869" t="s">
        <v>192</v>
      </c>
      <c r="D6869">
        <v>48600000</v>
      </c>
      <c r="E6869" t="s">
        <v>330</v>
      </c>
    </row>
    <row r="6870" spans="1:5" x14ac:dyDescent="0.25">
      <c r="A6870">
        <v>1723</v>
      </c>
      <c r="B6870" s="16">
        <v>43497</v>
      </c>
      <c r="C6870" t="s">
        <v>192</v>
      </c>
      <c r="D6870">
        <v>48600000</v>
      </c>
      <c r="E6870" t="s">
        <v>330</v>
      </c>
    </row>
    <row r="6871" spans="1:5" x14ac:dyDescent="0.25">
      <c r="A6871">
        <v>1723</v>
      </c>
      <c r="B6871" s="16">
        <v>43525</v>
      </c>
      <c r="C6871" t="s">
        <v>192</v>
      </c>
      <c r="D6871">
        <v>48600000</v>
      </c>
      <c r="E6871" t="s">
        <v>330</v>
      </c>
    </row>
    <row r="6872" spans="1:5" x14ac:dyDescent="0.25">
      <c r="A6872">
        <v>1723</v>
      </c>
      <c r="B6872" s="16">
        <v>43556</v>
      </c>
      <c r="C6872" t="s">
        <v>192</v>
      </c>
      <c r="D6872">
        <v>48600000</v>
      </c>
      <c r="E6872" t="s">
        <v>330</v>
      </c>
    </row>
    <row r="6873" spans="1:5" x14ac:dyDescent="0.25">
      <c r="A6873">
        <v>1723</v>
      </c>
      <c r="B6873" s="16">
        <v>43586</v>
      </c>
      <c r="C6873" t="s">
        <v>192</v>
      </c>
      <c r="D6873">
        <v>48600000</v>
      </c>
      <c r="E6873" t="s">
        <v>330</v>
      </c>
    </row>
    <row r="6874" spans="1:5" x14ac:dyDescent="0.25">
      <c r="A6874">
        <v>1723</v>
      </c>
      <c r="B6874" s="16">
        <v>43617</v>
      </c>
      <c r="C6874" t="s">
        <v>192</v>
      </c>
      <c r="D6874">
        <v>48600000</v>
      </c>
      <c r="E6874" t="s">
        <v>330</v>
      </c>
    </row>
    <row r="6875" spans="1:5" x14ac:dyDescent="0.25">
      <c r="A6875">
        <v>1888</v>
      </c>
      <c r="B6875" s="16">
        <v>43525</v>
      </c>
      <c r="C6875" t="s">
        <v>192</v>
      </c>
      <c r="D6875">
        <v>6040000</v>
      </c>
      <c r="E6875" t="s">
        <v>330</v>
      </c>
    </row>
    <row r="6876" spans="1:5" x14ac:dyDescent="0.25">
      <c r="A6876">
        <v>1888</v>
      </c>
      <c r="B6876" s="16">
        <v>43556</v>
      </c>
      <c r="C6876" t="s">
        <v>192</v>
      </c>
      <c r="D6876">
        <v>6040000</v>
      </c>
      <c r="E6876" t="s">
        <v>330</v>
      </c>
    </row>
    <row r="6877" spans="1:5" x14ac:dyDescent="0.25">
      <c r="A6877">
        <v>1888</v>
      </c>
      <c r="B6877" s="16">
        <v>43586</v>
      </c>
      <c r="C6877" t="s">
        <v>192</v>
      </c>
      <c r="D6877">
        <v>6040000</v>
      </c>
      <c r="E6877" t="s">
        <v>330</v>
      </c>
    </row>
    <row r="6878" spans="1:5" x14ac:dyDescent="0.25">
      <c r="A6878">
        <v>1888</v>
      </c>
      <c r="B6878" s="16">
        <v>43617</v>
      </c>
      <c r="C6878" t="s">
        <v>192</v>
      </c>
      <c r="D6878">
        <v>6040000</v>
      </c>
      <c r="E6878" t="s">
        <v>330</v>
      </c>
    </row>
    <row r="6879" spans="1:5" x14ac:dyDescent="0.25">
      <c r="A6879">
        <v>1888</v>
      </c>
      <c r="B6879" s="16">
        <v>43525</v>
      </c>
      <c r="C6879" t="s">
        <v>192</v>
      </c>
      <c r="D6879">
        <v>19220000</v>
      </c>
      <c r="E6879" t="s">
        <v>330</v>
      </c>
    </row>
    <row r="6880" spans="1:5" x14ac:dyDescent="0.25">
      <c r="A6880">
        <v>1888</v>
      </c>
      <c r="B6880" s="16">
        <v>43556</v>
      </c>
      <c r="C6880" t="s">
        <v>192</v>
      </c>
      <c r="D6880">
        <v>19220000</v>
      </c>
      <c r="E6880" t="s">
        <v>330</v>
      </c>
    </row>
    <row r="6881" spans="1:5" x14ac:dyDescent="0.25">
      <c r="A6881">
        <v>1888</v>
      </c>
      <c r="B6881" s="16">
        <v>43586</v>
      </c>
      <c r="C6881" t="s">
        <v>192</v>
      </c>
      <c r="D6881">
        <v>19220000</v>
      </c>
      <c r="E6881" t="s">
        <v>330</v>
      </c>
    </row>
    <row r="6882" spans="1:5" x14ac:dyDescent="0.25">
      <c r="A6882">
        <v>1888</v>
      </c>
      <c r="B6882" s="16">
        <v>43617</v>
      </c>
      <c r="C6882" t="s">
        <v>192</v>
      </c>
      <c r="D6882">
        <v>19220000</v>
      </c>
      <c r="E6882" t="s">
        <v>330</v>
      </c>
    </row>
    <row r="6883" spans="1:5" x14ac:dyDescent="0.25">
      <c r="A6883">
        <v>1888</v>
      </c>
      <c r="B6883" s="16">
        <v>43647</v>
      </c>
      <c r="C6883" t="s">
        <v>192</v>
      </c>
      <c r="D6883">
        <v>19220000</v>
      </c>
      <c r="E6883" t="s">
        <v>330</v>
      </c>
    </row>
    <row r="6884" spans="1:5" x14ac:dyDescent="0.25">
      <c r="A6884">
        <v>1888</v>
      </c>
      <c r="B6884" s="16">
        <v>43678</v>
      </c>
      <c r="C6884" t="s">
        <v>192</v>
      </c>
      <c r="D6884">
        <v>19220000</v>
      </c>
      <c r="E6884" t="s">
        <v>330</v>
      </c>
    </row>
    <row r="6885" spans="1:5" x14ac:dyDescent="0.25">
      <c r="A6885">
        <v>1888</v>
      </c>
      <c r="B6885" s="16">
        <v>43709</v>
      </c>
      <c r="C6885" t="s">
        <v>192</v>
      </c>
      <c r="D6885">
        <v>19220000</v>
      </c>
      <c r="E6885" t="s">
        <v>330</v>
      </c>
    </row>
    <row r="6886" spans="1:5" x14ac:dyDescent="0.25">
      <c r="A6886">
        <v>1888</v>
      </c>
      <c r="B6886" s="16">
        <v>43739</v>
      </c>
      <c r="C6886" t="s">
        <v>192</v>
      </c>
      <c r="D6886">
        <v>19220000</v>
      </c>
      <c r="E6886" t="s">
        <v>330</v>
      </c>
    </row>
    <row r="6887" spans="1:5" x14ac:dyDescent="0.25">
      <c r="A6887">
        <v>1888</v>
      </c>
      <c r="B6887" s="16">
        <v>43770</v>
      </c>
      <c r="C6887" t="s">
        <v>192</v>
      </c>
      <c r="D6887">
        <v>19220000</v>
      </c>
      <c r="E6887" t="s">
        <v>330</v>
      </c>
    </row>
    <row r="6888" spans="1:5" x14ac:dyDescent="0.25">
      <c r="A6888">
        <v>1888</v>
      </c>
      <c r="B6888" s="16">
        <v>43800</v>
      </c>
      <c r="C6888" t="s">
        <v>192</v>
      </c>
      <c r="D6888">
        <v>19220000</v>
      </c>
      <c r="E6888" t="s">
        <v>330</v>
      </c>
    </row>
    <row r="6889" spans="1:5" x14ac:dyDescent="0.25">
      <c r="A6889">
        <v>1888</v>
      </c>
      <c r="B6889" s="16">
        <v>43831</v>
      </c>
      <c r="C6889" t="s">
        <v>192</v>
      </c>
      <c r="D6889">
        <v>19220000</v>
      </c>
      <c r="E6889" t="s">
        <v>330</v>
      </c>
    </row>
    <row r="6890" spans="1:5" x14ac:dyDescent="0.25">
      <c r="A6890">
        <v>1888</v>
      </c>
      <c r="B6890" s="16">
        <v>43862</v>
      </c>
      <c r="C6890" t="s">
        <v>192</v>
      </c>
      <c r="D6890">
        <v>19220000</v>
      </c>
      <c r="E6890" t="s">
        <v>330</v>
      </c>
    </row>
    <row r="6891" spans="1:5" x14ac:dyDescent="0.25">
      <c r="A6891">
        <v>1891</v>
      </c>
      <c r="B6891" s="16">
        <v>43497</v>
      </c>
      <c r="C6891" t="s">
        <v>192</v>
      </c>
      <c r="D6891">
        <v>23250000</v>
      </c>
      <c r="E6891" t="s">
        <v>330</v>
      </c>
    </row>
    <row r="6892" spans="1:5" x14ac:dyDescent="0.25">
      <c r="A6892">
        <v>1891</v>
      </c>
      <c r="B6892" s="16">
        <v>43525</v>
      </c>
      <c r="C6892" t="s">
        <v>192</v>
      </c>
      <c r="D6892">
        <v>23250000</v>
      </c>
      <c r="E6892" t="s">
        <v>330</v>
      </c>
    </row>
    <row r="6893" spans="1:5" x14ac:dyDescent="0.25">
      <c r="A6893">
        <v>1891</v>
      </c>
      <c r="B6893" s="16">
        <v>43556</v>
      </c>
      <c r="C6893" t="s">
        <v>192</v>
      </c>
      <c r="D6893">
        <v>23250000</v>
      </c>
      <c r="E6893" t="s">
        <v>330</v>
      </c>
    </row>
    <row r="6894" spans="1:5" x14ac:dyDescent="0.25">
      <c r="A6894">
        <v>1891</v>
      </c>
      <c r="B6894" s="16">
        <v>43586</v>
      </c>
      <c r="C6894" t="s">
        <v>192</v>
      </c>
      <c r="D6894">
        <v>23250000</v>
      </c>
      <c r="E6894" t="s">
        <v>330</v>
      </c>
    </row>
    <row r="6895" spans="1:5" x14ac:dyDescent="0.25">
      <c r="A6895">
        <v>1891</v>
      </c>
      <c r="B6895" s="16">
        <v>43617</v>
      </c>
      <c r="C6895" t="s">
        <v>192</v>
      </c>
      <c r="D6895">
        <v>23250000</v>
      </c>
      <c r="E6895" t="s">
        <v>330</v>
      </c>
    </row>
    <row r="6896" spans="1:5" x14ac:dyDescent="0.25">
      <c r="A6896">
        <v>1891</v>
      </c>
      <c r="B6896" s="16">
        <v>43647</v>
      </c>
      <c r="C6896" t="s">
        <v>192</v>
      </c>
      <c r="D6896">
        <v>23250000</v>
      </c>
      <c r="E6896" t="s">
        <v>330</v>
      </c>
    </row>
    <row r="6897" spans="1:5" x14ac:dyDescent="0.25">
      <c r="A6897">
        <v>1891</v>
      </c>
      <c r="B6897" s="16">
        <v>43678</v>
      </c>
      <c r="C6897" t="s">
        <v>192</v>
      </c>
      <c r="D6897">
        <v>23250000</v>
      </c>
      <c r="E6897" t="s">
        <v>330</v>
      </c>
    </row>
    <row r="6898" spans="1:5" x14ac:dyDescent="0.25">
      <c r="A6898">
        <v>1891</v>
      </c>
      <c r="B6898" s="16">
        <v>43709</v>
      </c>
      <c r="C6898" t="s">
        <v>192</v>
      </c>
      <c r="D6898">
        <v>23250000</v>
      </c>
      <c r="E6898" t="s">
        <v>330</v>
      </c>
    </row>
    <row r="6899" spans="1:5" x14ac:dyDescent="0.25">
      <c r="A6899">
        <v>1891</v>
      </c>
      <c r="B6899" s="16">
        <v>43739</v>
      </c>
      <c r="C6899" t="s">
        <v>192</v>
      </c>
      <c r="D6899">
        <v>23250000</v>
      </c>
      <c r="E6899" t="s">
        <v>330</v>
      </c>
    </row>
    <row r="6900" spans="1:5" x14ac:dyDescent="0.25">
      <c r="A6900">
        <v>1891</v>
      </c>
      <c r="B6900" s="16">
        <v>43770</v>
      </c>
      <c r="C6900" t="s">
        <v>192</v>
      </c>
      <c r="D6900">
        <v>23250000</v>
      </c>
      <c r="E6900" t="s">
        <v>330</v>
      </c>
    </row>
    <row r="6901" spans="1:5" x14ac:dyDescent="0.25">
      <c r="A6901">
        <v>1891</v>
      </c>
      <c r="B6901" s="16">
        <v>43800</v>
      </c>
      <c r="C6901" t="s">
        <v>192</v>
      </c>
      <c r="D6901">
        <v>23250000</v>
      </c>
      <c r="E6901" t="s">
        <v>330</v>
      </c>
    </row>
    <row r="6902" spans="1:5" x14ac:dyDescent="0.25">
      <c r="A6902">
        <v>1891</v>
      </c>
      <c r="B6902" s="16">
        <v>43831</v>
      </c>
      <c r="C6902" t="s">
        <v>192</v>
      </c>
      <c r="D6902">
        <v>23250000</v>
      </c>
      <c r="E6902" t="s">
        <v>330</v>
      </c>
    </row>
    <row r="6903" spans="1:5" x14ac:dyDescent="0.25">
      <c r="A6903">
        <v>1891</v>
      </c>
      <c r="B6903" s="16">
        <v>43862</v>
      </c>
      <c r="C6903" t="s">
        <v>192</v>
      </c>
      <c r="D6903">
        <v>23250000</v>
      </c>
      <c r="E6903" t="s">
        <v>330</v>
      </c>
    </row>
    <row r="6904" spans="1:5" x14ac:dyDescent="0.25">
      <c r="A6904">
        <v>1891</v>
      </c>
      <c r="B6904" s="16">
        <v>43891</v>
      </c>
      <c r="C6904" t="s">
        <v>192</v>
      </c>
      <c r="D6904">
        <v>23250000</v>
      </c>
      <c r="E6904" t="s">
        <v>330</v>
      </c>
    </row>
    <row r="6905" spans="1:5" x14ac:dyDescent="0.25">
      <c r="A6905">
        <v>1891</v>
      </c>
      <c r="B6905" s="16">
        <v>43922</v>
      </c>
      <c r="C6905" t="s">
        <v>192</v>
      </c>
      <c r="D6905">
        <v>23250000</v>
      </c>
      <c r="E6905" t="s">
        <v>330</v>
      </c>
    </row>
    <row r="6906" spans="1:5" x14ac:dyDescent="0.25">
      <c r="A6906">
        <v>1891</v>
      </c>
      <c r="B6906" s="16">
        <v>43952</v>
      </c>
      <c r="C6906" t="s">
        <v>192</v>
      </c>
      <c r="D6906">
        <v>23250000</v>
      </c>
      <c r="E6906" t="s">
        <v>330</v>
      </c>
    </row>
    <row r="6907" spans="1:5" x14ac:dyDescent="0.25">
      <c r="A6907">
        <v>1891</v>
      </c>
      <c r="B6907" s="16">
        <v>43983</v>
      </c>
      <c r="C6907" t="s">
        <v>192</v>
      </c>
      <c r="D6907">
        <v>23250000</v>
      </c>
      <c r="E6907" t="s">
        <v>330</v>
      </c>
    </row>
    <row r="6908" spans="1:5" x14ac:dyDescent="0.25">
      <c r="A6908">
        <v>1891</v>
      </c>
      <c r="B6908" s="16">
        <v>44013</v>
      </c>
      <c r="C6908" t="s">
        <v>192</v>
      </c>
      <c r="D6908">
        <v>23250000</v>
      </c>
      <c r="E6908" t="s">
        <v>330</v>
      </c>
    </row>
    <row r="6909" spans="1:5" x14ac:dyDescent="0.25">
      <c r="A6909">
        <v>1891</v>
      </c>
      <c r="B6909" s="16">
        <v>44044</v>
      </c>
      <c r="C6909" t="s">
        <v>192</v>
      </c>
      <c r="D6909">
        <v>23250000</v>
      </c>
      <c r="E6909" t="s">
        <v>330</v>
      </c>
    </row>
    <row r="6910" spans="1:5" x14ac:dyDescent="0.25">
      <c r="A6910">
        <v>1891</v>
      </c>
      <c r="B6910" s="16">
        <v>44075</v>
      </c>
      <c r="C6910" t="s">
        <v>192</v>
      </c>
      <c r="D6910">
        <v>23250000</v>
      </c>
      <c r="E6910" t="s">
        <v>330</v>
      </c>
    </row>
    <row r="6911" spans="1:5" x14ac:dyDescent="0.25">
      <c r="A6911">
        <v>1891</v>
      </c>
      <c r="B6911" s="16">
        <v>44105</v>
      </c>
      <c r="C6911" t="s">
        <v>192</v>
      </c>
      <c r="D6911">
        <v>23250000</v>
      </c>
      <c r="E6911" t="s">
        <v>330</v>
      </c>
    </row>
    <row r="6912" spans="1:5" x14ac:dyDescent="0.25">
      <c r="A6912">
        <v>1891</v>
      </c>
      <c r="B6912" s="16">
        <v>44136</v>
      </c>
      <c r="C6912" t="s">
        <v>192</v>
      </c>
      <c r="D6912">
        <v>23250000</v>
      </c>
      <c r="E6912" t="s">
        <v>330</v>
      </c>
    </row>
    <row r="6913" spans="1:5" x14ac:dyDescent="0.25">
      <c r="A6913">
        <v>1891</v>
      </c>
      <c r="B6913" s="16">
        <v>44166</v>
      </c>
      <c r="C6913" t="s">
        <v>192</v>
      </c>
      <c r="D6913">
        <v>23250000</v>
      </c>
      <c r="E6913" t="s">
        <v>330</v>
      </c>
    </row>
    <row r="6914" spans="1:5" x14ac:dyDescent="0.25">
      <c r="A6914">
        <v>1791</v>
      </c>
      <c r="B6914" s="16">
        <v>43466</v>
      </c>
      <c r="C6914" t="s">
        <v>192</v>
      </c>
      <c r="D6914">
        <v>60561853.894285716</v>
      </c>
      <c r="E6914" t="s">
        <v>330</v>
      </c>
    </row>
    <row r="6915" spans="1:5" x14ac:dyDescent="0.25">
      <c r="A6915">
        <v>1791</v>
      </c>
      <c r="B6915" s="16">
        <v>43497</v>
      </c>
      <c r="C6915" t="s">
        <v>192</v>
      </c>
      <c r="D6915">
        <v>60561853.894285716</v>
      </c>
      <c r="E6915" t="s">
        <v>330</v>
      </c>
    </row>
    <row r="6916" spans="1:5" x14ac:dyDescent="0.25">
      <c r="A6916">
        <v>1791</v>
      </c>
      <c r="B6916" s="16">
        <v>43525</v>
      </c>
      <c r="C6916" t="s">
        <v>192</v>
      </c>
      <c r="D6916">
        <v>60561853.894285716</v>
      </c>
      <c r="E6916" t="s">
        <v>330</v>
      </c>
    </row>
    <row r="6917" spans="1:5" x14ac:dyDescent="0.25">
      <c r="A6917">
        <v>1791</v>
      </c>
      <c r="B6917" s="16">
        <v>43556</v>
      </c>
      <c r="C6917" t="s">
        <v>192</v>
      </c>
      <c r="D6917">
        <v>60561853.894285716</v>
      </c>
      <c r="E6917" t="s">
        <v>330</v>
      </c>
    </row>
    <row r="6918" spans="1:5" x14ac:dyDescent="0.25">
      <c r="A6918">
        <v>1791</v>
      </c>
      <c r="B6918" s="16">
        <v>43586</v>
      </c>
      <c r="C6918" t="s">
        <v>192</v>
      </c>
      <c r="D6918">
        <v>60561853.894285716</v>
      </c>
      <c r="E6918" t="s">
        <v>330</v>
      </c>
    </row>
    <row r="6919" spans="1:5" x14ac:dyDescent="0.25">
      <c r="A6919">
        <v>1791</v>
      </c>
      <c r="B6919" s="16">
        <v>43617</v>
      </c>
      <c r="C6919" t="s">
        <v>192</v>
      </c>
      <c r="D6919">
        <v>60561853.894285716</v>
      </c>
      <c r="E6919" t="s">
        <v>330</v>
      </c>
    </row>
    <row r="6920" spans="1:5" x14ac:dyDescent="0.25">
      <c r="A6920">
        <v>1791</v>
      </c>
      <c r="B6920" s="16">
        <v>43647</v>
      </c>
      <c r="C6920" t="s">
        <v>192</v>
      </c>
      <c r="D6920">
        <v>60561853.894285716</v>
      </c>
      <c r="E6920" t="s">
        <v>330</v>
      </c>
    </row>
    <row r="6921" spans="1:5" x14ac:dyDescent="0.25">
      <c r="A6921">
        <v>1791</v>
      </c>
      <c r="B6921" s="16">
        <v>43678</v>
      </c>
      <c r="C6921" t="s">
        <v>192</v>
      </c>
      <c r="D6921">
        <v>60561853.894285716</v>
      </c>
      <c r="E6921" t="s">
        <v>330</v>
      </c>
    </row>
    <row r="6922" spans="1:5" x14ac:dyDescent="0.25">
      <c r="A6922">
        <v>1791</v>
      </c>
      <c r="B6922" s="16">
        <v>43709</v>
      </c>
      <c r="C6922" t="s">
        <v>192</v>
      </c>
      <c r="D6922">
        <v>60561853.894285716</v>
      </c>
      <c r="E6922" t="s">
        <v>330</v>
      </c>
    </row>
    <row r="6923" spans="1:5" x14ac:dyDescent="0.25">
      <c r="A6923">
        <v>1791</v>
      </c>
      <c r="B6923" s="16">
        <v>43739</v>
      </c>
      <c r="C6923" t="s">
        <v>192</v>
      </c>
      <c r="D6923">
        <v>60561853.894285716</v>
      </c>
      <c r="E6923" t="s">
        <v>330</v>
      </c>
    </row>
    <row r="6924" spans="1:5" x14ac:dyDescent="0.25">
      <c r="A6924">
        <v>1791</v>
      </c>
      <c r="B6924" s="16">
        <v>43770</v>
      </c>
      <c r="C6924" t="s">
        <v>192</v>
      </c>
      <c r="D6924">
        <v>60561853.894285716</v>
      </c>
      <c r="E6924" t="s">
        <v>330</v>
      </c>
    </row>
    <row r="6925" spans="1:5" x14ac:dyDescent="0.25">
      <c r="A6925">
        <v>1791</v>
      </c>
      <c r="B6925" s="16">
        <v>43800</v>
      </c>
      <c r="C6925" t="s">
        <v>192</v>
      </c>
      <c r="D6925">
        <v>60561853.894285716</v>
      </c>
      <c r="E6925" t="s">
        <v>330</v>
      </c>
    </row>
    <row r="6926" spans="1:5" x14ac:dyDescent="0.25">
      <c r="A6926">
        <v>1453</v>
      </c>
      <c r="B6926" s="16">
        <v>43466</v>
      </c>
      <c r="C6926" t="s">
        <v>192</v>
      </c>
      <c r="D6926">
        <v>15250000</v>
      </c>
      <c r="E6926" t="s">
        <v>330</v>
      </c>
    </row>
    <row r="6927" spans="1:5" x14ac:dyDescent="0.25">
      <c r="A6927">
        <v>1453</v>
      </c>
      <c r="B6927" s="16">
        <v>43497</v>
      </c>
      <c r="C6927" t="s">
        <v>192</v>
      </c>
      <c r="D6927">
        <v>15250000</v>
      </c>
      <c r="E6927" t="s">
        <v>330</v>
      </c>
    </row>
    <row r="6928" spans="1:5" x14ac:dyDescent="0.25">
      <c r="A6928">
        <v>1453</v>
      </c>
      <c r="B6928" s="16">
        <v>43525</v>
      </c>
      <c r="C6928" t="s">
        <v>192</v>
      </c>
      <c r="D6928">
        <v>15250000</v>
      </c>
      <c r="E6928" t="s">
        <v>330</v>
      </c>
    </row>
    <row r="6929" spans="1:5" x14ac:dyDescent="0.25">
      <c r="A6929">
        <v>1453</v>
      </c>
      <c r="B6929" s="16">
        <v>43556</v>
      </c>
      <c r="C6929" t="s">
        <v>192</v>
      </c>
      <c r="D6929">
        <v>15250000</v>
      </c>
      <c r="E6929" t="s">
        <v>330</v>
      </c>
    </row>
    <row r="6930" spans="1:5" x14ac:dyDescent="0.25">
      <c r="A6930">
        <v>1453</v>
      </c>
      <c r="B6930" s="16">
        <v>43586</v>
      </c>
      <c r="C6930" t="s">
        <v>192</v>
      </c>
      <c r="D6930">
        <v>15250000</v>
      </c>
      <c r="E6930" t="s">
        <v>330</v>
      </c>
    </row>
    <row r="6931" spans="1:5" x14ac:dyDescent="0.25">
      <c r="A6931">
        <v>1453</v>
      </c>
      <c r="B6931" s="16">
        <v>43617</v>
      </c>
      <c r="C6931" t="s">
        <v>192</v>
      </c>
      <c r="D6931">
        <v>15250000</v>
      </c>
      <c r="E6931" t="s">
        <v>330</v>
      </c>
    </row>
    <row r="6932" spans="1:5" x14ac:dyDescent="0.25">
      <c r="A6932">
        <v>1453</v>
      </c>
      <c r="B6932" s="16">
        <v>43647</v>
      </c>
      <c r="C6932" t="s">
        <v>192</v>
      </c>
      <c r="D6932">
        <v>15250000</v>
      </c>
      <c r="E6932" t="s">
        <v>330</v>
      </c>
    </row>
    <row r="6933" spans="1:5" x14ac:dyDescent="0.25">
      <c r="A6933">
        <v>1453</v>
      </c>
      <c r="B6933" s="16">
        <v>43678</v>
      </c>
      <c r="C6933" t="s">
        <v>192</v>
      </c>
      <c r="D6933">
        <v>15250000</v>
      </c>
      <c r="E6933" t="s">
        <v>330</v>
      </c>
    </row>
    <row r="6934" spans="1:5" x14ac:dyDescent="0.25">
      <c r="A6934">
        <v>1453</v>
      </c>
      <c r="B6934" s="16">
        <v>43709</v>
      </c>
      <c r="C6934" t="s">
        <v>192</v>
      </c>
      <c r="D6934">
        <v>15250000</v>
      </c>
      <c r="E6934" t="s">
        <v>330</v>
      </c>
    </row>
    <row r="6935" spans="1:5" x14ac:dyDescent="0.25">
      <c r="A6935">
        <v>1453</v>
      </c>
      <c r="B6935" s="16">
        <v>43739</v>
      </c>
      <c r="C6935" t="s">
        <v>192</v>
      </c>
      <c r="D6935">
        <v>15250000</v>
      </c>
      <c r="E6935" t="s">
        <v>330</v>
      </c>
    </row>
    <row r="6936" spans="1:5" x14ac:dyDescent="0.25">
      <c r="A6936">
        <v>1453</v>
      </c>
      <c r="B6936" s="16">
        <v>43770</v>
      </c>
      <c r="C6936" t="s">
        <v>192</v>
      </c>
      <c r="D6936">
        <v>15250000</v>
      </c>
      <c r="E6936" t="s">
        <v>330</v>
      </c>
    </row>
    <row r="6937" spans="1:5" x14ac:dyDescent="0.25">
      <c r="A6937">
        <v>1453</v>
      </c>
      <c r="B6937" s="16">
        <v>43800</v>
      </c>
      <c r="C6937" t="s">
        <v>192</v>
      </c>
      <c r="D6937">
        <v>15250000</v>
      </c>
      <c r="E6937" t="s">
        <v>330</v>
      </c>
    </row>
    <row r="6938" spans="1:5" x14ac:dyDescent="0.25">
      <c r="A6938">
        <v>1826</v>
      </c>
      <c r="B6938" s="16">
        <v>43466</v>
      </c>
      <c r="C6938" t="s">
        <v>192</v>
      </c>
      <c r="D6938">
        <v>20341421</v>
      </c>
      <c r="E6938" t="s">
        <v>330</v>
      </c>
    </row>
    <row r="6939" spans="1:5" x14ac:dyDescent="0.25">
      <c r="A6939">
        <v>1826</v>
      </c>
      <c r="B6939" s="16">
        <v>43497</v>
      </c>
      <c r="C6939" t="s">
        <v>192</v>
      </c>
      <c r="D6939">
        <v>20341421</v>
      </c>
      <c r="E6939" t="s">
        <v>330</v>
      </c>
    </row>
    <row r="6940" spans="1:5" x14ac:dyDescent="0.25">
      <c r="A6940">
        <v>1826</v>
      </c>
      <c r="B6940" s="16">
        <v>43525</v>
      </c>
      <c r="C6940" t="s">
        <v>192</v>
      </c>
      <c r="D6940">
        <v>20341421</v>
      </c>
      <c r="E6940" t="s">
        <v>330</v>
      </c>
    </row>
    <row r="6941" spans="1:5" x14ac:dyDescent="0.25">
      <c r="A6941">
        <v>1895</v>
      </c>
      <c r="B6941" s="16">
        <v>43466</v>
      </c>
      <c r="C6941" t="s">
        <v>192</v>
      </c>
      <c r="D6941">
        <v>7100000</v>
      </c>
      <c r="E6941" t="s">
        <v>330</v>
      </c>
    </row>
    <row r="6942" spans="1:5" x14ac:dyDescent="0.25">
      <c r="A6942">
        <v>1734</v>
      </c>
      <c r="B6942" s="16">
        <v>43466</v>
      </c>
      <c r="C6942" t="s">
        <v>192</v>
      </c>
      <c r="D6942">
        <v>15173515.981735155</v>
      </c>
      <c r="E6942" t="s">
        <v>330</v>
      </c>
    </row>
    <row r="6943" spans="1:5" x14ac:dyDescent="0.25">
      <c r="A6943">
        <v>1734</v>
      </c>
      <c r="B6943" s="16">
        <v>43497</v>
      </c>
      <c r="C6943" t="s">
        <v>192</v>
      </c>
      <c r="D6943">
        <v>14609589.041095892</v>
      </c>
      <c r="E6943" t="s">
        <v>330</v>
      </c>
    </row>
    <row r="6944" spans="1:5" x14ac:dyDescent="0.25">
      <c r="A6944">
        <v>1734</v>
      </c>
      <c r="B6944" s="16">
        <v>43525</v>
      </c>
      <c r="C6944" t="s">
        <v>192</v>
      </c>
      <c r="D6944">
        <v>15203196.347031964</v>
      </c>
      <c r="E6944" t="s">
        <v>330</v>
      </c>
    </row>
    <row r="6945" spans="1:5" x14ac:dyDescent="0.25">
      <c r="A6945">
        <v>1734</v>
      </c>
      <c r="B6945" s="16">
        <v>43556</v>
      </c>
      <c r="C6945" t="s">
        <v>192</v>
      </c>
      <c r="D6945">
        <v>18824200.913242016</v>
      </c>
      <c r="E6945" t="s">
        <v>330</v>
      </c>
    </row>
    <row r="6946" spans="1:5" x14ac:dyDescent="0.25">
      <c r="A6946">
        <v>1734</v>
      </c>
      <c r="B6946" s="16">
        <v>43586</v>
      </c>
      <c r="C6946" t="s">
        <v>192</v>
      </c>
      <c r="D6946">
        <v>21317351.598173514</v>
      </c>
      <c r="E6946" t="s">
        <v>330</v>
      </c>
    </row>
    <row r="6947" spans="1:5" x14ac:dyDescent="0.25">
      <c r="A6947">
        <v>1734</v>
      </c>
      <c r="B6947" s="16">
        <v>43617</v>
      </c>
      <c r="C6947" t="s">
        <v>192</v>
      </c>
      <c r="D6947">
        <v>22860730.593607314</v>
      </c>
      <c r="E6947" t="s">
        <v>330</v>
      </c>
    </row>
    <row r="6948" spans="1:5" x14ac:dyDescent="0.25">
      <c r="A6948">
        <v>1734</v>
      </c>
      <c r="B6948" s="16">
        <v>43647</v>
      </c>
      <c r="C6948" t="s">
        <v>192</v>
      </c>
      <c r="D6948">
        <v>21079908.675799087</v>
      </c>
      <c r="E6948" t="s">
        <v>330</v>
      </c>
    </row>
    <row r="6949" spans="1:5" x14ac:dyDescent="0.25">
      <c r="A6949">
        <v>1734</v>
      </c>
      <c r="B6949" s="16">
        <v>43678</v>
      </c>
      <c r="C6949" t="s">
        <v>192</v>
      </c>
      <c r="D6949">
        <v>25917808.219178069</v>
      </c>
      <c r="E6949" t="s">
        <v>330</v>
      </c>
    </row>
    <row r="6950" spans="1:5" x14ac:dyDescent="0.25">
      <c r="A6950">
        <v>1734</v>
      </c>
      <c r="B6950" s="16">
        <v>43709</v>
      </c>
      <c r="C6950" t="s">
        <v>192</v>
      </c>
      <c r="D6950">
        <v>23216894.977168947</v>
      </c>
      <c r="E6950" t="s">
        <v>330</v>
      </c>
    </row>
    <row r="6951" spans="1:5" x14ac:dyDescent="0.25">
      <c r="A6951">
        <v>1734</v>
      </c>
      <c r="B6951" s="16">
        <v>43739</v>
      </c>
      <c r="C6951" t="s">
        <v>192</v>
      </c>
      <c r="D6951">
        <v>24226027.397260282</v>
      </c>
      <c r="E6951" t="s">
        <v>330</v>
      </c>
    </row>
    <row r="6952" spans="1:5" x14ac:dyDescent="0.25">
      <c r="A6952">
        <v>1734</v>
      </c>
      <c r="B6952" s="16">
        <v>43770</v>
      </c>
      <c r="C6952" t="s">
        <v>192</v>
      </c>
      <c r="D6952">
        <v>25977168.949771687</v>
      </c>
      <c r="E6952" t="s">
        <v>330</v>
      </c>
    </row>
    <row r="6953" spans="1:5" x14ac:dyDescent="0.25">
      <c r="A6953">
        <v>1734</v>
      </c>
      <c r="B6953" s="16">
        <v>43800</v>
      </c>
      <c r="C6953" t="s">
        <v>192</v>
      </c>
      <c r="D6953">
        <v>20456621.00456623</v>
      </c>
      <c r="E6953" t="s">
        <v>330</v>
      </c>
    </row>
    <row r="6954" spans="1:5" x14ac:dyDescent="0.25">
      <c r="A6954">
        <v>1734</v>
      </c>
      <c r="B6954" s="16">
        <v>43831</v>
      </c>
      <c r="C6954" t="s">
        <v>192</v>
      </c>
      <c r="D6954">
        <v>20812785.388127822</v>
      </c>
      <c r="E6954" t="s">
        <v>330</v>
      </c>
    </row>
    <row r="6955" spans="1:5" x14ac:dyDescent="0.25">
      <c r="A6955">
        <v>1734</v>
      </c>
      <c r="B6955" s="16">
        <v>43862</v>
      </c>
      <c r="C6955" t="s">
        <v>192</v>
      </c>
      <c r="D6955">
        <v>23038812.785388142</v>
      </c>
      <c r="E6955" t="s">
        <v>330</v>
      </c>
    </row>
    <row r="6956" spans="1:5" x14ac:dyDescent="0.25">
      <c r="A6956">
        <v>1734</v>
      </c>
      <c r="B6956" s="16">
        <v>43891</v>
      </c>
      <c r="C6956" t="s">
        <v>192</v>
      </c>
      <c r="D6956">
        <v>20219178.082191784</v>
      </c>
      <c r="E6956" t="s">
        <v>330</v>
      </c>
    </row>
    <row r="6957" spans="1:5" x14ac:dyDescent="0.25">
      <c r="A6957">
        <v>1734</v>
      </c>
      <c r="B6957" s="16">
        <v>43922</v>
      </c>
      <c r="C6957" t="s">
        <v>192</v>
      </c>
      <c r="D6957">
        <v>22415525.11415524</v>
      </c>
      <c r="E6957" t="s">
        <v>330</v>
      </c>
    </row>
    <row r="6958" spans="1:5" x14ac:dyDescent="0.25">
      <c r="A6958">
        <v>1734</v>
      </c>
      <c r="B6958" s="16">
        <v>43952</v>
      </c>
      <c r="C6958" t="s">
        <v>192</v>
      </c>
      <c r="D6958">
        <v>22920091.324200906</v>
      </c>
      <c r="E6958" t="s">
        <v>330</v>
      </c>
    </row>
    <row r="6959" spans="1:5" x14ac:dyDescent="0.25">
      <c r="A6959">
        <v>1734</v>
      </c>
      <c r="B6959" s="16">
        <v>43983</v>
      </c>
      <c r="C6959" t="s">
        <v>192</v>
      </c>
      <c r="D6959">
        <v>18468036.529680401</v>
      </c>
      <c r="E6959" t="s">
        <v>330</v>
      </c>
    </row>
    <row r="6960" spans="1:5" x14ac:dyDescent="0.25">
      <c r="A6960">
        <v>1734</v>
      </c>
      <c r="B6960" s="16">
        <v>44013</v>
      </c>
      <c r="C6960" t="s">
        <v>192</v>
      </c>
      <c r="D6960">
        <v>17013698.630136952</v>
      </c>
      <c r="E6960" t="s">
        <v>330</v>
      </c>
    </row>
    <row r="6961" spans="1:5" x14ac:dyDescent="0.25">
      <c r="A6961">
        <v>1734</v>
      </c>
      <c r="B6961" s="16">
        <v>44044</v>
      </c>
      <c r="C6961" t="s">
        <v>192</v>
      </c>
      <c r="D6961">
        <v>16894977.168949805</v>
      </c>
      <c r="E6961" t="s">
        <v>330</v>
      </c>
    </row>
    <row r="6962" spans="1:5" x14ac:dyDescent="0.25">
      <c r="A6962">
        <v>1734</v>
      </c>
      <c r="B6962" s="16">
        <v>44075</v>
      </c>
      <c r="C6962" t="s">
        <v>192</v>
      </c>
      <c r="D6962">
        <v>14609589.041095892</v>
      </c>
      <c r="E6962" t="s">
        <v>330</v>
      </c>
    </row>
    <row r="6963" spans="1:5" x14ac:dyDescent="0.25">
      <c r="A6963">
        <v>1846</v>
      </c>
      <c r="B6963" s="16">
        <v>43466</v>
      </c>
      <c r="C6963" t="s">
        <v>192</v>
      </c>
      <c r="D6963">
        <v>29900000</v>
      </c>
      <c r="E6963" t="s">
        <v>330</v>
      </c>
    </row>
    <row r="6964" spans="1:5" x14ac:dyDescent="0.25">
      <c r="A6964">
        <v>1846</v>
      </c>
      <c r="B6964" s="16">
        <v>43497</v>
      </c>
      <c r="C6964" t="s">
        <v>192</v>
      </c>
      <c r="D6964">
        <v>29900000</v>
      </c>
      <c r="E6964" t="s">
        <v>330</v>
      </c>
    </row>
    <row r="6965" spans="1:5" x14ac:dyDescent="0.25">
      <c r="A6965">
        <v>1846</v>
      </c>
      <c r="B6965" s="16">
        <v>43525</v>
      </c>
      <c r="C6965" t="s">
        <v>192</v>
      </c>
      <c r="D6965">
        <v>29900000</v>
      </c>
      <c r="E6965" t="s">
        <v>330</v>
      </c>
    </row>
    <row r="6966" spans="1:5" x14ac:dyDescent="0.25">
      <c r="A6966">
        <v>1858</v>
      </c>
      <c r="B6966" s="16">
        <v>43466</v>
      </c>
      <c r="C6966" t="s">
        <v>192</v>
      </c>
      <c r="D6966">
        <v>118601976.15000001</v>
      </c>
      <c r="E6966" t="s">
        <v>330</v>
      </c>
    </row>
    <row r="6967" spans="1:5" x14ac:dyDescent="0.25">
      <c r="A6967">
        <v>1858</v>
      </c>
      <c r="B6967" s="16">
        <v>43497</v>
      </c>
      <c r="C6967" t="s">
        <v>192</v>
      </c>
      <c r="D6967">
        <v>197669960.25</v>
      </c>
      <c r="E6967" t="s">
        <v>330</v>
      </c>
    </row>
    <row r="6968" spans="1:5" x14ac:dyDescent="0.25">
      <c r="A6968">
        <v>1858</v>
      </c>
      <c r="B6968" s="16">
        <v>43525</v>
      </c>
      <c r="C6968" t="s">
        <v>192</v>
      </c>
      <c r="D6968">
        <v>171313965.55000007</v>
      </c>
      <c r="E6968" t="s">
        <v>330</v>
      </c>
    </row>
    <row r="6969" spans="1:5" x14ac:dyDescent="0.25">
      <c r="A6969">
        <v>1858</v>
      </c>
      <c r="B6969" s="16">
        <v>43556</v>
      </c>
      <c r="C6969" t="s">
        <v>192</v>
      </c>
      <c r="D6969">
        <v>210847957.5999999</v>
      </c>
      <c r="E6969" t="s">
        <v>330</v>
      </c>
    </row>
    <row r="6970" spans="1:5" x14ac:dyDescent="0.25">
      <c r="A6970">
        <v>1893</v>
      </c>
      <c r="B6970" s="16">
        <v>43466</v>
      </c>
      <c r="C6970" t="s">
        <v>192</v>
      </c>
      <c r="D6970">
        <v>14000000</v>
      </c>
      <c r="E6970" t="s">
        <v>330</v>
      </c>
    </row>
    <row r="6971" spans="1:5" x14ac:dyDescent="0.25">
      <c r="A6971">
        <v>1893</v>
      </c>
      <c r="B6971" s="16">
        <v>43497</v>
      </c>
      <c r="C6971" t="s">
        <v>192</v>
      </c>
      <c r="D6971">
        <v>14000000</v>
      </c>
      <c r="E6971" t="s">
        <v>330</v>
      </c>
    </row>
    <row r="6972" spans="1:5" x14ac:dyDescent="0.25">
      <c r="A6972">
        <v>1893</v>
      </c>
      <c r="B6972" s="16">
        <v>43525</v>
      </c>
      <c r="C6972" t="s">
        <v>192</v>
      </c>
      <c r="D6972">
        <v>14000000</v>
      </c>
      <c r="E6972" t="s">
        <v>330</v>
      </c>
    </row>
    <row r="6973" spans="1:5" x14ac:dyDescent="0.25">
      <c r="A6973">
        <v>1893</v>
      </c>
      <c r="B6973" s="16">
        <v>43556</v>
      </c>
      <c r="C6973" t="s">
        <v>192</v>
      </c>
      <c r="D6973">
        <v>14000000</v>
      </c>
      <c r="E6973" t="s">
        <v>330</v>
      </c>
    </row>
    <row r="6974" spans="1:5" x14ac:dyDescent="0.25">
      <c r="A6974">
        <v>1893</v>
      </c>
      <c r="B6974" s="16">
        <v>43586</v>
      </c>
      <c r="C6974" t="s">
        <v>192</v>
      </c>
      <c r="D6974">
        <v>14000000</v>
      </c>
      <c r="E6974" t="s">
        <v>330</v>
      </c>
    </row>
    <row r="6975" spans="1:5" x14ac:dyDescent="0.25">
      <c r="A6975">
        <v>1893</v>
      </c>
      <c r="B6975" s="16">
        <v>43617</v>
      </c>
      <c r="C6975" t="s">
        <v>192</v>
      </c>
      <c r="D6975">
        <v>14000000</v>
      </c>
      <c r="E6975" t="s">
        <v>330</v>
      </c>
    </row>
    <row r="6976" spans="1:5" x14ac:dyDescent="0.25">
      <c r="A6976">
        <v>1893</v>
      </c>
      <c r="B6976" s="16">
        <v>43647</v>
      </c>
      <c r="C6976" t="s">
        <v>192</v>
      </c>
      <c r="D6976">
        <v>14000000</v>
      </c>
      <c r="E6976" t="s">
        <v>330</v>
      </c>
    </row>
    <row r="6977" spans="1:5" x14ac:dyDescent="0.25">
      <c r="A6977">
        <v>1893</v>
      </c>
      <c r="B6977" s="16">
        <v>43678</v>
      </c>
      <c r="C6977" t="s">
        <v>192</v>
      </c>
      <c r="D6977">
        <v>14000000</v>
      </c>
      <c r="E6977" t="s">
        <v>330</v>
      </c>
    </row>
    <row r="6978" spans="1:5" x14ac:dyDescent="0.25">
      <c r="A6978">
        <v>1893</v>
      </c>
      <c r="B6978" s="16">
        <v>43709</v>
      </c>
      <c r="C6978" t="s">
        <v>192</v>
      </c>
      <c r="D6978">
        <v>14000000</v>
      </c>
      <c r="E6978" t="s">
        <v>330</v>
      </c>
    </row>
    <row r="6979" spans="1:5" x14ac:dyDescent="0.25">
      <c r="A6979">
        <v>1893</v>
      </c>
      <c r="B6979" s="16">
        <v>43739</v>
      </c>
      <c r="C6979" t="s">
        <v>192</v>
      </c>
      <c r="D6979">
        <v>14000000</v>
      </c>
      <c r="E6979" t="s">
        <v>330</v>
      </c>
    </row>
    <row r="6980" spans="1:5" x14ac:dyDescent="0.25">
      <c r="A6980">
        <v>1893</v>
      </c>
      <c r="B6980" s="16">
        <v>43770</v>
      </c>
      <c r="C6980" t="s">
        <v>192</v>
      </c>
      <c r="D6980">
        <v>14000000</v>
      </c>
      <c r="E6980" t="s">
        <v>330</v>
      </c>
    </row>
    <row r="6981" spans="1:5" x14ac:dyDescent="0.25">
      <c r="A6981">
        <v>1893</v>
      </c>
      <c r="B6981" s="16">
        <v>43800</v>
      </c>
      <c r="C6981" t="s">
        <v>192</v>
      </c>
      <c r="D6981">
        <v>14000000</v>
      </c>
      <c r="E6981" t="s">
        <v>330</v>
      </c>
    </row>
    <row r="6982" spans="1:5" x14ac:dyDescent="0.25">
      <c r="A6982">
        <v>1893</v>
      </c>
      <c r="B6982" s="16">
        <v>43831</v>
      </c>
      <c r="C6982" t="s">
        <v>192</v>
      </c>
      <c r="D6982">
        <v>14000000</v>
      </c>
      <c r="E6982" t="s">
        <v>330</v>
      </c>
    </row>
    <row r="6983" spans="1:5" x14ac:dyDescent="0.25">
      <c r="A6983">
        <v>1893</v>
      </c>
      <c r="B6983" s="16">
        <v>43862</v>
      </c>
      <c r="C6983" t="s">
        <v>192</v>
      </c>
      <c r="D6983">
        <v>14000000</v>
      </c>
      <c r="E6983" t="s">
        <v>330</v>
      </c>
    </row>
    <row r="6984" spans="1:5" x14ac:dyDescent="0.25">
      <c r="A6984">
        <v>1893</v>
      </c>
      <c r="B6984" s="16">
        <v>43891</v>
      </c>
      <c r="C6984" t="s">
        <v>192</v>
      </c>
      <c r="D6984">
        <v>14000000</v>
      </c>
      <c r="E6984" t="s">
        <v>330</v>
      </c>
    </row>
    <row r="6985" spans="1:5" x14ac:dyDescent="0.25">
      <c r="A6985">
        <v>1890</v>
      </c>
      <c r="B6985" s="16">
        <v>43466</v>
      </c>
      <c r="C6985" t="s">
        <v>192</v>
      </c>
      <c r="D6985">
        <v>12000000</v>
      </c>
      <c r="E6985" t="s">
        <v>330</v>
      </c>
    </row>
    <row r="6986" spans="1:5" x14ac:dyDescent="0.25">
      <c r="A6986">
        <v>1890</v>
      </c>
      <c r="B6986" s="16">
        <v>43497</v>
      </c>
      <c r="C6986" t="s">
        <v>192</v>
      </c>
      <c r="D6986">
        <v>12000000</v>
      </c>
      <c r="E6986" t="s">
        <v>330</v>
      </c>
    </row>
    <row r="6987" spans="1:5" x14ac:dyDescent="0.25">
      <c r="A6987">
        <v>1890</v>
      </c>
      <c r="B6987" s="16">
        <v>43525</v>
      </c>
      <c r="C6987" t="s">
        <v>192</v>
      </c>
      <c r="D6987">
        <v>12000000</v>
      </c>
      <c r="E6987" t="s">
        <v>330</v>
      </c>
    </row>
    <row r="6988" spans="1:5" x14ac:dyDescent="0.25">
      <c r="A6988">
        <v>1890</v>
      </c>
      <c r="B6988" s="16">
        <v>43556</v>
      </c>
      <c r="C6988" t="s">
        <v>192</v>
      </c>
      <c r="D6988">
        <v>12000000</v>
      </c>
      <c r="E6988" t="s">
        <v>330</v>
      </c>
    </row>
    <row r="6989" spans="1:5" x14ac:dyDescent="0.25">
      <c r="A6989">
        <v>1890</v>
      </c>
      <c r="B6989" s="16">
        <v>43586</v>
      </c>
      <c r="C6989" t="s">
        <v>192</v>
      </c>
      <c r="D6989">
        <v>12000000</v>
      </c>
      <c r="E6989" t="s">
        <v>330</v>
      </c>
    </row>
    <row r="6990" spans="1:5" x14ac:dyDescent="0.25">
      <c r="A6990">
        <v>1890</v>
      </c>
      <c r="B6990" s="16">
        <v>43617</v>
      </c>
      <c r="C6990" t="s">
        <v>192</v>
      </c>
      <c r="D6990">
        <v>12000000</v>
      </c>
      <c r="E6990" t="s">
        <v>330</v>
      </c>
    </row>
    <row r="6991" spans="1:5" x14ac:dyDescent="0.25">
      <c r="A6991">
        <v>1890</v>
      </c>
      <c r="B6991" s="16">
        <v>43647</v>
      </c>
      <c r="C6991" t="s">
        <v>192</v>
      </c>
      <c r="D6991">
        <v>12000000</v>
      </c>
      <c r="E6991" t="s">
        <v>330</v>
      </c>
    </row>
    <row r="6992" spans="1:5" x14ac:dyDescent="0.25">
      <c r="A6992">
        <v>1890</v>
      </c>
      <c r="B6992" s="16">
        <v>43678</v>
      </c>
      <c r="C6992" t="s">
        <v>192</v>
      </c>
      <c r="D6992">
        <v>12000000</v>
      </c>
      <c r="E6992" t="s">
        <v>330</v>
      </c>
    </row>
    <row r="6993" spans="1:5" x14ac:dyDescent="0.25">
      <c r="A6993">
        <v>1890</v>
      </c>
      <c r="B6993" s="16">
        <v>43709</v>
      </c>
      <c r="C6993" t="s">
        <v>192</v>
      </c>
      <c r="D6993">
        <v>12000000</v>
      </c>
      <c r="E6993" t="s">
        <v>330</v>
      </c>
    </row>
    <row r="6994" spans="1:5" x14ac:dyDescent="0.25">
      <c r="A6994">
        <v>1890</v>
      </c>
      <c r="B6994" s="16">
        <v>43739</v>
      </c>
      <c r="C6994" t="s">
        <v>192</v>
      </c>
      <c r="D6994">
        <v>12000000</v>
      </c>
      <c r="E6994" t="s">
        <v>330</v>
      </c>
    </row>
    <row r="6995" spans="1:5" x14ac:dyDescent="0.25">
      <c r="A6995">
        <v>1890</v>
      </c>
      <c r="B6995" s="16">
        <v>43770</v>
      </c>
      <c r="C6995" t="s">
        <v>192</v>
      </c>
      <c r="D6995">
        <v>12000000</v>
      </c>
      <c r="E6995" t="s">
        <v>330</v>
      </c>
    </row>
    <row r="6996" spans="1:5" x14ac:dyDescent="0.25">
      <c r="A6996">
        <v>1890</v>
      </c>
      <c r="B6996" s="16">
        <v>43800</v>
      </c>
      <c r="C6996" t="s">
        <v>192</v>
      </c>
      <c r="D6996">
        <v>12000000</v>
      </c>
      <c r="E6996" t="s">
        <v>330</v>
      </c>
    </row>
    <row r="6997" spans="1:5" x14ac:dyDescent="0.25">
      <c r="A6997">
        <v>1890</v>
      </c>
      <c r="B6997" s="16">
        <v>43831</v>
      </c>
      <c r="C6997" t="s">
        <v>192</v>
      </c>
      <c r="D6997">
        <v>12000000</v>
      </c>
      <c r="E6997" t="s">
        <v>330</v>
      </c>
    </row>
    <row r="6998" spans="1:5" x14ac:dyDescent="0.25">
      <c r="A6998">
        <v>1890</v>
      </c>
      <c r="B6998" s="16">
        <v>43862</v>
      </c>
      <c r="C6998" t="s">
        <v>192</v>
      </c>
      <c r="D6998">
        <v>12000000</v>
      </c>
      <c r="E6998" t="s">
        <v>330</v>
      </c>
    </row>
    <row r="6999" spans="1:5" x14ac:dyDescent="0.25">
      <c r="A6999">
        <v>1890</v>
      </c>
      <c r="B6999" s="16">
        <v>43891</v>
      </c>
      <c r="C6999" t="s">
        <v>192</v>
      </c>
      <c r="D6999">
        <v>12000000</v>
      </c>
      <c r="E6999" t="s">
        <v>330</v>
      </c>
    </row>
    <row r="7000" spans="1:5" x14ac:dyDescent="0.25">
      <c r="A7000">
        <v>1890</v>
      </c>
      <c r="B7000" s="16">
        <v>43922</v>
      </c>
      <c r="C7000" t="s">
        <v>192</v>
      </c>
      <c r="D7000">
        <v>12000000</v>
      </c>
      <c r="E7000" t="s">
        <v>330</v>
      </c>
    </row>
    <row r="7001" spans="1:5" x14ac:dyDescent="0.25">
      <c r="A7001">
        <v>1890</v>
      </c>
      <c r="B7001" s="16">
        <v>43952</v>
      </c>
      <c r="C7001" t="s">
        <v>192</v>
      </c>
      <c r="D7001">
        <v>12000000</v>
      </c>
      <c r="E7001" t="s">
        <v>330</v>
      </c>
    </row>
    <row r="7002" spans="1:5" x14ac:dyDescent="0.25">
      <c r="A7002">
        <v>1890</v>
      </c>
      <c r="B7002" s="16">
        <v>43983</v>
      </c>
      <c r="C7002" t="s">
        <v>192</v>
      </c>
      <c r="D7002">
        <v>12000000</v>
      </c>
      <c r="E7002" t="s">
        <v>330</v>
      </c>
    </row>
    <row r="7003" spans="1:5" x14ac:dyDescent="0.25">
      <c r="A7003">
        <v>1890</v>
      </c>
      <c r="B7003" s="16">
        <v>44013</v>
      </c>
      <c r="C7003" t="s">
        <v>192</v>
      </c>
      <c r="D7003">
        <v>12000000</v>
      </c>
      <c r="E7003" t="s">
        <v>330</v>
      </c>
    </row>
    <row r="7004" spans="1:5" x14ac:dyDescent="0.25">
      <c r="A7004">
        <v>1890</v>
      </c>
      <c r="B7004" s="16">
        <v>44044</v>
      </c>
      <c r="C7004" t="s">
        <v>192</v>
      </c>
      <c r="D7004">
        <v>12000000</v>
      </c>
      <c r="E7004" t="s">
        <v>330</v>
      </c>
    </row>
    <row r="7005" spans="1:5" x14ac:dyDescent="0.25">
      <c r="A7005">
        <v>1890</v>
      </c>
      <c r="B7005" s="16">
        <v>44075</v>
      </c>
      <c r="C7005" t="s">
        <v>192</v>
      </c>
      <c r="D7005">
        <v>12000000</v>
      </c>
      <c r="E7005" t="s">
        <v>330</v>
      </c>
    </row>
    <row r="7006" spans="1:5" x14ac:dyDescent="0.25">
      <c r="A7006">
        <v>1890</v>
      </c>
      <c r="B7006" s="16">
        <v>44105</v>
      </c>
      <c r="C7006" t="s">
        <v>192</v>
      </c>
      <c r="D7006">
        <v>12000000</v>
      </c>
      <c r="E7006" t="s">
        <v>330</v>
      </c>
    </row>
    <row r="7007" spans="1:5" x14ac:dyDescent="0.25">
      <c r="A7007">
        <v>1890</v>
      </c>
      <c r="B7007" s="16">
        <v>44136</v>
      </c>
      <c r="C7007" t="s">
        <v>192</v>
      </c>
      <c r="D7007">
        <v>12000000</v>
      </c>
      <c r="E7007" t="s">
        <v>330</v>
      </c>
    </row>
    <row r="7008" spans="1:5" x14ac:dyDescent="0.25">
      <c r="A7008">
        <v>1890</v>
      </c>
      <c r="B7008" s="16">
        <v>44166</v>
      </c>
      <c r="C7008" t="s">
        <v>192</v>
      </c>
      <c r="D7008">
        <v>12000000</v>
      </c>
      <c r="E7008" t="s">
        <v>330</v>
      </c>
    </row>
    <row r="7009" spans="1:5" x14ac:dyDescent="0.25">
      <c r="A7009">
        <v>1715</v>
      </c>
      <c r="B7009" s="16">
        <v>43466</v>
      </c>
      <c r="C7009" t="s">
        <v>192</v>
      </c>
      <c r="D7009">
        <v>7050296.2803877732</v>
      </c>
      <c r="E7009" t="s">
        <v>330</v>
      </c>
    </row>
    <row r="7010" spans="1:5" x14ac:dyDescent="0.25">
      <c r="A7010">
        <v>1715</v>
      </c>
      <c r="B7010" s="16">
        <v>43497</v>
      </c>
      <c r="C7010" t="s">
        <v>192</v>
      </c>
      <c r="D7010">
        <v>7050296.2803877732</v>
      </c>
      <c r="E7010" t="s">
        <v>330</v>
      </c>
    </row>
    <row r="7011" spans="1:5" x14ac:dyDescent="0.25">
      <c r="A7011">
        <v>1715</v>
      </c>
      <c r="B7011" s="16">
        <v>43525</v>
      </c>
      <c r="C7011" t="s">
        <v>192</v>
      </c>
      <c r="D7011">
        <v>7050296.2803877732</v>
      </c>
      <c r="E7011" t="s">
        <v>330</v>
      </c>
    </row>
    <row r="7012" spans="1:5" x14ac:dyDescent="0.25">
      <c r="A7012">
        <v>1715</v>
      </c>
      <c r="B7012" s="16">
        <v>43556</v>
      </c>
      <c r="C7012" t="s">
        <v>192</v>
      </c>
      <c r="D7012">
        <v>7050296.2803877732</v>
      </c>
      <c r="E7012" t="s">
        <v>330</v>
      </c>
    </row>
    <row r="7013" spans="1:5" x14ac:dyDescent="0.25">
      <c r="A7013">
        <v>1715</v>
      </c>
      <c r="B7013" s="16">
        <v>43466</v>
      </c>
      <c r="C7013" t="s">
        <v>192</v>
      </c>
      <c r="D7013">
        <v>5301683.8089733012</v>
      </c>
      <c r="E7013" t="s">
        <v>330</v>
      </c>
    </row>
    <row r="7014" spans="1:5" x14ac:dyDescent="0.25">
      <c r="A7014">
        <v>1715</v>
      </c>
      <c r="B7014" s="16">
        <v>43497</v>
      </c>
      <c r="C7014" t="s">
        <v>192</v>
      </c>
      <c r="D7014">
        <v>5301683.8089733012</v>
      </c>
      <c r="E7014" t="s">
        <v>330</v>
      </c>
    </row>
    <row r="7015" spans="1:5" x14ac:dyDescent="0.25">
      <c r="A7015">
        <v>1715</v>
      </c>
      <c r="B7015" s="16">
        <v>43525</v>
      </c>
      <c r="C7015" t="s">
        <v>192</v>
      </c>
      <c r="D7015">
        <v>5301683.8089733012</v>
      </c>
      <c r="E7015" t="s">
        <v>330</v>
      </c>
    </row>
    <row r="7016" spans="1:5" x14ac:dyDescent="0.25">
      <c r="A7016">
        <v>1715</v>
      </c>
      <c r="B7016" s="16">
        <v>43556</v>
      </c>
      <c r="C7016" t="s">
        <v>192</v>
      </c>
      <c r="D7016">
        <v>5301683.8089733012</v>
      </c>
      <c r="E7016" t="s">
        <v>330</v>
      </c>
    </row>
    <row r="7017" spans="1:5" x14ac:dyDescent="0.25">
      <c r="A7017">
        <v>1715</v>
      </c>
      <c r="B7017" s="16">
        <v>43466</v>
      </c>
      <c r="C7017" t="s">
        <v>192</v>
      </c>
      <c r="D7017">
        <v>7122595.6118260631</v>
      </c>
      <c r="E7017" t="s">
        <v>330</v>
      </c>
    </row>
    <row r="7018" spans="1:5" x14ac:dyDescent="0.25">
      <c r="A7018">
        <v>1715</v>
      </c>
      <c r="B7018" s="16">
        <v>43497</v>
      </c>
      <c r="C7018" t="s">
        <v>192</v>
      </c>
      <c r="D7018">
        <v>7122595.6118260631</v>
      </c>
      <c r="E7018" t="s">
        <v>330</v>
      </c>
    </row>
    <row r="7019" spans="1:5" x14ac:dyDescent="0.25">
      <c r="A7019">
        <v>1715</v>
      </c>
      <c r="B7019" s="16">
        <v>43525</v>
      </c>
      <c r="C7019" t="s">
        <v>192</v>
      </c>
      <c r="D7019">
        <v>7122595.6118260631</v>
      </c>
      <c r="E7019" t="s">
        <v>330</v>
      </c>
    </row>
    <row r="7020" spans="1:5" x14ac:dyDescent="0.25">
      <c r="A7020">
        <v>1715</v>
      </c>
      <c r="B7020" s="16">
        <v>43556</v>
      </c>
      <c r="C7020" t="s">
        <v>192</v>
      </c>
      <c r="D7020">
        <v>7122595.6118260631</v>
      </c>
      <c r="E7020" t="s">
        <v>330</v>
      </c>
    </row>
    <row r="7021" spans="1:5" x14ac:dyDescent="0.25">
      <c r="A7021">
        <v>1715</v>
      </c>
      <c r="B7021" s="16">
        <v>43466</v>
      </c>
      <c r="C7021" t="s">
        <v>192</v>
      </c>
      <c r="D7021">
        <v>2753063.7872998388</v>
      </c>
      <c r="E7021" t="s">
        <v>330</v>
      </c>
    </row>
    <row r="7022" spans="1:5" x14ac:dyDescent="0.25">
      <c r="A7022">
        <v>1715</v>
      </c>
      <c r="B7022" s="16">
        <v>43497</v>
      </c>
      <c r="C7022" t="s">
        <v>192</v>
      </c>
      <c r="D7022">
        <v>2753063.7872998388</v>
      </c>
      <c r="E7022" t="s">
        <v>330</v>
      </c>
    </row>
    <row r="7023" spans="1:5" x14ac:dyDescent="0.25">
      <c r="A7023">
        <v>1715</v>
      </c>
      <c r="B7023" s="16">
        <v>43525</v>
      </c>
      <c r="C7023" t="s">
        <v>192</v>
      </c>
      <c r="D7023">
        <v>2753063.7872998388</v>
      </c>
      <c r="E7023" t="s">
        <v>330</v>
      </c>
    </row>
    <row r="7024" spans="1:5" x14ac:dyDescent="0.25">
      <c r="A7024">
        <v>1715</v>
      </c>
      <c r="B7024" s="16">
        <v>43556</v>
      </c>
      <c r="C7024" t="s">
        <v>192</v>
      </c>
      <c r="D7024">
        <v>2753063.7872998388</v>
      </c>
      <c r="E7024" t="s">
        <v>330</v>
      </c>
    </row>
    <row r="7025" spans="1:5" x14ac:dyDescent="0.25">
      <c r="A7025">
        <v>1715</v>
      </c>
      <c r="B7025" s="16">
        <v>43466</v>
      </c>
      <c r="C7025" t="s">
        <v>192</v>
      </c>
      <c r="D7025">
        <v>4064763.0345789804</v>
      </c>
      <c r="E7025" t="s">
        <v>330</v>
      </c>
    </row>
    <row r="7026" spans="1:5" x14ac:dyDescent="0.25">
      <c r="A7026">
        <v>1715</v>
      </c>
      <c r="B7026" s="16">
        <v>43497</v>
      </c>
      <c r="C7026" t="s">
        <v>192</v>
      </c>
      <c r="D7026">
        <v>4064763.0345789804</v>
      </c>
      <c r="E7026" t="s">
        <v>330</v>
      </c>
    </row>
    <row r="7027" spans="1:5" x14ac:dyDescent="0.25">
      <c r="A7027">
        <v>1715</v>
      </c>
      <c r="B7027" s="16">
        <v>43525</v>
      </c>
      <c r="C7027" t="s">
        <v>192</v>
      </c>
      <c r="D7027">
        <v>4064763.0345789804</v>
      </c>
      <c r="E7027" t="s">
        <v>330</v>
      </c>
    </row>
    <row r="7028" spans="1:5" x14ac:dyDescent="0.25">
      <c r="A7028">
        <v>1715</v>
      </c>
      <c r="B7028" s="16">
        <v>43556</v>
      </c>
      <c r="C7028" t="s">
        <v>192</v>
      </c>
      <c r="D7028">
        <v>4064763.0345789804</v>
      </c>
      <c r="E7028" t="s">
        <v>330</v>
      </c>
    </row>
    <row r="7029" spans="1:5" x14ac:dyDescent="0.25">
      <c r="A7029">
        <v>1715</v>
      </c>
      <c r="B7029" s="16">
        <v>43466</v>
      </c>
      <c r="C7029" t="s">
        <v>192</v>
      </c>
      <c r="D7029">
        <v>3114204.2269340428</v>
      </c>
      <c r="E7029" t="s">
        <v>330</v>
      </c>
    </row>
    <row r="7030" spans="1:5" x14ac:dyDescent="0.25">
      <c r="A7030">
        <v>1715</v>
      </c>
      <c r="B7030" s="16">
        <v>43497</v>
      </c>
      <c r="C7030" t="s">
        <v>192</v>
      </c>
      <c r="D7030">
        <v>3114204.2269340428</v>
      </c>
      <c r="E7030" t="s">
        <v>330</v>
      </c>
    </row>
    <row r="7031" spans="1:5" x14ac:dyDescent="0.25">
      <c r="A7031">
        <v>1715</v>
      </c>
      <c r="B7031" s="16">
        <v>43525</v>
      </c>
      <c r="C7031" t="s">
        <v>192</v>
      </c>
      <c r="D7031">
        <v>3114204.2269340428</v>
      </c>
      <c r="E7031" t="s">
        <v>330</v>
      </c>
    </row>
    <row r="7032" spans="1:5" x14ac:dyDescent="0.25">
      <c r="A7032">
        <v>1715</v>
      </c>
      <c r="B7032" s="16">
        <v>43556</v>
      </c>
      <c r="C7032" t="s">
        <v>192</v>
      </c>
      <c r="D7032">
        <v>3114204.2269340428</v>
      </c>
      <c r="E7032" t="s">
        <v>330</v>
      </c>
    </row>
    <row r="7033" spans="1:5" x14ac:dyDescent="0.25">
      <c r="A7033">
        <v>1848</v>
      </c>
      <c r="B7033" s="16">
        <v>43466</v>
      </c>
      <c r="C7033" t="s">
        <v>192</v>
      </c>
      <c r="D7033">
        <v>12773052.833333334</v>
      </c>
      <c r="E7033" t="s">
        <v>330</v>
      </c>
    </row>
    <row r="7034" spans="1:5" x14ac:dyDescent="0.25">
      <c r="A7034">
        <v>1848</v>
      </c>
      <c r="B7034" s="16">
        <v>43497</v>
      </c>
      <c r="C7034" t="s">
        <v>192</v>
      </c>
      <c r="D7034">
        <v>12773052.833333334</v>
      </c>
      <c r="E7034" t="s">
        <v>330</v>
      </c>
    </row>
    <row r="7035" spans="1:5" x14ac:dyDescent="0.25">
      <c r="A7035">
        <v>1806</v>
      </c>
      <c r="B7035" s="16">
        <v>43466</v>
      </c>
      <c r="C7035" t="s">
        <v>192</v>
      </c>
      <c r="D7035">
        <v>50000000</v>
      </c>
      <c r="E7035" t="s">
        <v>330</v>
      </c>
    </row>
    <row r="7036" spans="1:5" x14ac:dyDescent="0.25">
      <c r="A7036">
        <v>1806</v>
      </c>
      <c r="B7036" s="16">
        <v>43497</v>
      </c>
      <c r="C7036" t="s">
        <v>192</v>
      </c>
      <c r="D7036">
        <v>50000000</v>
      </c>
      <c r="E7036" t="s">
        <v>330</v>
      </c>
    </row>
    <row r="7037" spans="1:5" x14ac:dyDescent="0.25">
      <c r="A7037">
        <v>1806</v>
      </c>
      <c r="B7037" s="16">
        <v>43525</v>
      </c>
      <c r="C7037" t="s">
        <v>192</v>
      </c>
      <c r="D7037">
        <v>50000000</v>
      </c>
      <c r="E7037" t="s">
        <v>330</v>
      </c>
    </row>
    <row r="7038" spans="1:5" x14ac:dyDescent="0.25">
      <c r="A7038">
        <v>1806</v>
      </c>
      <c r="B7038" s="16">
        <v>43556</v>
      </c>
      <c r="C7038" t="s">
        <v>192</v>
      </c>
      <c r="D7038">
        <v>50000000</v>
      </c>
      <c r="E7038" t="s">
        <v>330</v>
      </c>
    </row>
    <row r="7039" spans="1:5" x14ac:dyDescent="0.25">
      <c r="A7039">
        <v>1806</v>
      </c>
      <c r="B7039" s="16">
        <v>43586</v>
      </c>
      <c r="C7039" t="s">
        <v>192</v>
      </c>
      <c r="D7039">
        <v>50000000</v>
      </c>
      <c r="E7039" t="s">
        <v>330</v>
      </c>
    </row>
    <row r="7040" spans="1:5" x14ac:dyDescent="0.25">
      <c r="A7040">
        <v>1824</v>
      </c>
      <c r="B7040" s="16">
        <v>43466</v>
      </c>
      <c r="C7040" t="s">
        <v>192</v>
      </c>
      <c r="D7040">
        <v>48166666.666666664</v>
      </c>
      <c r="E7040" t="s">
        <v>330</v>
      </c>
    </row>
    <row r="7041" spans="1:5" x14ac:dyDescent="0.25">
      <c r="A7041">
        <v>1824</v>
      </c>
      <c r="B7041" s="16">
        <v>43497</v>
      </c>
      <c r="C7041" t="s">
        <v>192</v>
      </c>
      <c r="D7041">
        <v>48166666.666666664</v>
      </c>
      <c r="E7041" t="s">
        <v>330</v>
      </c>
    </row>
    <row r="7042" spans="1:5" x14ac:dyDescent="0.25">
      <c r="A7042">
        <v>1824</v>
      </c>
      <c r="B7042" s="16">
        <v>43525</v>
      </c>
      <c r="C7042" t="s">
        <v>192</v>
      </c>
      <c r="D7042">
        <v>48166666.666666664</v>
      </c>
      <c r="E7042" t="s">
        <v>330</v>
      </c>
    </row>
    <row r="7043" spans="1:5" x14ac:dyDescent="0.25">
      <c r="A7043">
        <v>1824</v>
      </c>
      <c r="B7043" s="16">
        <v>43556</v>
      </c>
      <c r="C7043" t="s">
        <v>192</v>
      </c>
      <c r="D7043">
        <v>48166666.666666664</v>
      </c>
      <c r="E7043" t="s">
        <v>330</v>
      </c>
    </row>
    <row r="7044" spans="1:5" x14ac:dyDescent="0.25">
      <c r="A7044">
        <v>1824</v>
      </c>
      <c r="B7044" s="16">
        <v>43586</v>
      </c>
      <c r="C7044" t="s">
        <v>192</v>
      </c>
      <c r="D7044">
        <v>48166666.666666664</v>
      </c>
      <c r="E7044" t="s">
        <v>330</v>
      </c>
    </row>
    <row r="7045" spans="1:5" x14ac:dyDescent="0.25">
      <c r="A7045">
        <v>1824</v>
      </c>
      <c r="B7045" s="16">
        <v>43617</v>
      </c>
      <c r="C7045" t="s">
        <v>192</v>
      </c>
      <c r="D7045">
        <v>48166666.666666664</v>
      </c>
      <c r="E7045" t="s">
        <v>330</v>
      </c>
    </row>
    <row r="7046" spans="1:5" x14ac:dyDescent="0.25">
      <c r="A7046">
        <v>1837</v>
      </c>
      <c r="B7046" s="16">
        <v>43466</v>
      </c>
      <c r="C7046" t="s">
        <v>192</v>
      </c>
      <c r="D7046">
        <v>10500000</v>
      </c>
      <c r="E7046" t="s">
        <v>330</v>
      </c>
    </row>
    <row r="7047" spans="1:5" x14ac:dyDescent="0.25">
      <c r="A7047">
        <v>1837</v>
      </c>
      <c r="B7047" s="16">
        <v>43497</v>
      </c>
      <c r="C7047" t="s">
        <v>192</v>
      </c>
      <c r="D7047">
        <v>10500000</v>
      </c>
      <c r="E7047" t="s">
        <v>330</v>
      </c>
    </row>
    <row r="7048" spans="1:5" x14ac:dyDescent="0.25">
      <c r="A7048">
        <v>1866</v>
      </c>
      <c r="B7048" s="16">
        <v>43497</v>
      </c>
      <c r="C7048" t="s">
        <v>192</v>
      </c>
      <c r="D7048">
        <v>9800000</v>
      </c>
      <c r="E7048" t="s">
        <v>330</v>
      </c>
    </row>
    <row r="7049" spans="1:5" x14ac:dyDescent="0.25">
      <c r="A7049">
        <v>1866</v>
      </c>
      <c r="B7049" s="16">
        <v>43525</v>
      </c>
      <c r="C7049" t="s">
        <v>192</v>
      </c>
      <c r="D7049">
        <v>9800000</v>
      </c>
      <c r="E7049" t="s">
        <v>330</v>
      </c>
    </row>
    <row r="7050" spans="1:5" x14ac:dyDescent="0.25">
      <c r="A7050">
        <v>1866</v>
      </c>
      <c r="B7050" s="16">
        <v>43556</v>
      </c>
      <c r="C7050" t="s">
        <v>192</v>
      </c>
      <c r="D7050">
        <v>9800000</v>
      </c>
      <c r="E7050" t="s">
        <v>330</v>
      </c>
    </row>
    <row r="7051" spans="1:5" x14ac:dyDescent="0.25">
      <c r="A7051">
        <v>1866</v>
      </c>
      <c r="B7051" s="16">
        <v>43586</v>
      </c>
      <c r="C7051" t="s">
        <v>192</v>
      </c>
      <c r="D7051">
        <v>9800000</v>
      </c>
      <c r="E7051" t="s">
        <v>330</v>
      </c>
    </row>
    <row r="7052" spans="1:5" x14ac:dyDescent="0.25">
      <c r="A7052">
        <v>1866</v>
      </c>
      <c r="B7052" s="16">
        <v>43617</v>
      </c>
      <c r="C7052" t="s">
        <v>192</v>
      </c>
      <c r="D7052">
        <v>9800000</v>
      </c>
      <c r="E7052" t="s">
        <v>330</v>
      </c>
    </row>
    <row r="7053" spans="1:5" x14ac:dyDescent="0.25">
      <c r="A7053">
        <v>1866</v>
      </c>
      <c r="B7053" s="16">
        <v>43647</v>
      </c>
      <c r="C7053" t="s">
        <v>192</v>
      </c>
      <c r="D7053">
        <v>9800000</v>
      </c>
      <c r="E7053" t="s">
        <v>330</v>
      </c>
    </row>
    <row r="7054" spans="1:5" x14ac:dyDescent="0.25">
      <c r="A7054">
        <v>1866</v>
      </c>
      <c r="B7054" s="16">
        <v>43678</v>
      </c>
      <c r="C7054" t="s">
        <v>192</v>
      </c>
      <c r="D7054">
        <v>9800000</v>
      </c>
      <c r="E7054" t="s">
        <v>330</v>
      </c>
    </row>
    <row r="7055" spans="1:5" x14ac:dyDescent="0.25">
      <c r="A7055">
        <v>1866</v>
      </c>
      <c r="B7055" s="16">
        <v>43709</v>
      </c>
      <c r="C7055" t="s">
        <v>192</v>
      </c>
      <c r="D7055">
        <v>9800000</v>
      </c>
      <c r="E7055" t="s">
        <v>330</v>
      </c>
    </row>
    <row r="7056" spans="1:5" x14ac:dyDescent="0.25">
      <c r="A7056">
        <v>1866</v>
      </c>
      <c r="B7056" s="16">
        <v>43739</v>
      </c>
      <c r="C7056" t="s">
        <v>192</v>
      </c>
      <c r="D7056">
        <v>9800000</v>
      </c>
      <c r="E7056" t="s">
        <v>330</v>
      </c>
    </row>
    <row r="7057" spans="1:5" x14ac:dyDescent="0.25">
      <c r="A7057">
        <v>1866</v>
      </c>
      <c r="B7057" s="16">
        <v>43770</v>
      </c>
      <c r="C7057" t="s">
        <v>192</v>
      </c>
      <c r="D7057">
        <v>9800000</v>
      </c>
      <c r="E7057" t="s">
        <v>330</v>
      </c>
    </row>
    <row r="7058" spans="1:5" x14ac:dyDescent="0.25">
      <c r="A7058">
        <v>1866</v>
      </c>
      <c r="B7058" s="16">
        <v>43800</v>
      </c>
      <c r="C7058" t="s">
        <v>192</v>
      </c>
      <c r="D7058">
        <v>9800000</v>
      </c>
      <c r="E7058" t="s">
        <v>330</v>
      </c>
    </row>
    <row r="7059" spans="1:5" x14ac:dyDescent="0.25">
      <c r="A7059">
        <v>1866</v>
      </c>
      <c r="B7059" s="16">
        <v>43831</v>
      </c>
      <c r="C7059" t="s">
        <v>192</v>
      </c>
      <c r="D7059">
        <v>9800000</v>
      </c>
      <c r="E7059" t="s">
        <v>330</v>
      </c>
    </row>
    <row r="7060" spans="1:5" x14ac:dyDescent="0.25">
      <c r="A7060">
        <v>1866</v>
      </c>
      <c r="B7060" s="16">
        <v>43862</v>
      </c>
      <c r="C7060" t="s">
        <v>192</v>
      </c>
      <c r="D7060">
        <v>9800000</v>
      </c>
      <c r="E7060" t="s">
        <v>330</v>
      </c>
    </row>
    <row r="7061" spans="1:5" x14ac:dyDescent="0.25">
      <c r="A7061">
        <v>1866</v>
      </c>
      <c r="B7061" s="16">
        <v>43891</v>
      </c>
      <c r="C7061" t="s">
        <v>192</v>
      </c>
      <c r="D7061">
        <v>9800000</v>
      </c>
      <c r="E7061" t="s">
        <v>330</v>
      </c>
    </row>
    <row r="7062" spans="1:5" x14ac:dyDescent="0.25">
      <c r="A7062">
        <v>1848</v>
      </c>
      <c r="B7062" s="16">
        <v>43525</v>
      </c>
      <c r="C7062" t="s">
        <v>192</v>
      </c>
      <c r="D7062">
        <v>12773052.833333334</v>
      </c>
      <c r="E7062" t="s">
        <v>330</v>
      </c>
    </row>
    <row r="7063" spans="1:5" x14ac:dyDescent="0.25">
      <c r="A7063">
        <v>1848</v>
      </c>
      <c r="B7063" s="16">
        <v>43556</v>
      </c>
      <c r="C7063" t="s">
        <v>192</v>
      </c>
      <c r="D7063">
        <v>12773052.833333334</v>
      </c>
      <c r="E7063" t="s">
        <v>330</v>
      </c>
    </row>
    <row r="7064" spans="1:5" x14ac:dyDescent="0.25">
      <c r="A7064">
        <v>1848</v>
      </c>
      <c r="B7064" s="16">
        <v>43586</v>
      </c>
      <c r="C7064" t="s">
        <v>192</v>
      </c>
      <c r="D7064">
        <v>12773052.833333334</v>
      </c>
      <c r="E7064" t="s">
        <v>330</v>
      </c>
    </row>
    <row r="7065" spans="1:5" x14ac:dyDescent="0.25">
      <c r="A7065">
        <v>1848</v>
      </c>
      <c r="B7065" s="16">
        <v>43617</v>
      </c>
      <c r="C7065" t="s">
        <v>192</v>
      </c>
      <c r="D7065">
        <v>12773052.833333334</v>
      </c>
      <c r="E7065" t="s">
        <v>330</v>
      </c>
    </row>
    <row r="7066" spans="1:5" x14ac:dyDescent="0.25">
      <c r="A7066">
        <v>1848</v>
      </c>
      <c r="B7066" s="16">
        <v>43647</v>
      </c>
      <c r="C7066" t="s">
        <v>192</v>
      </c>
      <c r="D7066">
        <v>12773052.833333334</v>
      </c>
      <c r="E7066" t="s">
        <v>330</v>
      </c>
    </row>
    <row r="7067" spans="1:5" x14ac:dyDescent="0.25">
      <c r="A7067">
        <v>1848</v>
      </c>
      <c r="B7067" s="16">
        <v>43678</v>
      </c>
      <c r="C7067" t="s">
        <v>192</v>
      </c>
      <c r="D7067">
        <v>12773052.833333334</v>
      </c>
      <c r="E7067" t="s">
        <v>330</v>
      </c>
    </row>
    <row r="7068" spans="1:5" x14ac:dyDescent="0.25">
      <c r="A7068">
        <v>1848</v>
      </c>
      <c r="B7068" s="16">
        <v>43709</v>
      </c>
      <c r="C7068" t="s">
        <v>192</v>
      </c>
      <c r="D7068">
        <v>12773052.833333334</v>
      </c>
      <c r="E7068" t="s">
        <v>330</v>
      </c>
    </row>
    <row r="7069" spans="1:5" x14ac:dyDescent="0.25">
      <c r="A7069">
        <v>1848</v>
      </c>
      <c r="B7069" s="16">
        <v>43739</v>
      </c>
      <c r="C7069" t="s">
        <v>192</v>
      </c>
      <c r="D7069">
        <v>12773052.833333334</v>
      </c>
      <c r="E7069" t="s">
        <v>330</v>
      </c>
    </row>
    <row r="7070" spans="1:5" x14ac:dyDescent="0.25">
      <c r="A7070">
        <v>1848</v>
      </c>
      <c r="B7070" s="16">
        <v>43770</v>
      </c>
      <c r="C7070" t="s">
        <v>192</v>
      </c>
      <c r="D7070">
        <v>12773052.833333334</v>
      </c>
      <c r="E7070" t="s">
        <v>330</v>
      </c>
    </row>
    <row r="7071" spans="1:5" x14ac:dyDescent="0.25">
      <c r="A7071">
        <v>1845</v>
      </c>
      <c r="B7071" s="16">
        <v>43497</v>
      </c>
      <c r="C7071" t="s">
        <v>192</v>
      </c>
      <c r="D7071">
        <v>22250000</v>
      </c>
      <c r="E7071" t="s">
        <v>330</v>
      </c>
    </row>
    <row r="7072" spans="1:5" x14ac:dyDescent="0.25">
      <c r="A7072">
        <v>1845</v>
      </c>
      <c r="B7072" s="16">
        <v>43525</v>
      </c>
      <c r="C7072" t="s">
        <v>192</v>
      </c>
      <c r="D7072">
        <v>22250000</v>
      </c>
      <c r="E7072" t="s">
        <v>330</v>
      </c>
    </row>
    <row r="7073" spans="1:5" x14ac:dyDescent="0.25">
      <c r="A7073">
        <v>1845</v>
      </c>
      <c r="B7073" s="16">
        <v>43556</v>
      </c>
      <c r="C7073" t="s">
        <v>192</v>
      </c>
      <c r="D7073">
        <v>22250000</v>
      </c>
      <c r="E7073" t="s">
        <v>330</v>
      </c>
    </row>
    <row r="7074" spans="1:5" x14ac:dyDescent="0.25">
      <c r="A7074">
        <v>1845</v>
      </c>
      <c r="B7074" s="16">
        <v>43586</v>
      </c>
      <c r="C7074" t="s">
        <v>192</v>
      </c>
      <c r="D7074">
        <v>22250000</v>
      </c>
      <c r="E7074" t="s">
        <v>330</v>
      </c>
    </row>
    <row r="7075" spans="1:5" x14ac:dyDescent="0.25">
      <c r="A7075">
        <v>1845</v>
      </c>
      <c r="B7075" s="16">
        <v>43617</v>
      </c>
      <c r="C7075" t="s">
        <v>192</v>
      </c>
      <c r="D7075">
        <v>22250000</v>
      </c>
      <c r="E7075" t="s">
        <v>330</v>
      </c>
    </row>
    <row r="7076" spans="1:5" x14ac:dyDescent="0.25">
      <c r="A7076">
        <v>1845</v>
      </c>
      <c r="B7076" s="16">
        <v>43647</v>
      </c>
      <c r="C7076" t="s">
        <v>192</v>
      </c>
      <c r="D7076">
        <v>22250000</v>
      </c>
      <c r="E7076" t="s">
        <v>330</v>
      </c>
    </row>
    <row r="7077" spans="1:5" x14ac:dyDescent="0.25">
      <c r="A7077">
        <v>1845</v>
      </c>
      <c r="B7077" s="16">
        <v>43678</v>
      </c>
      <c r="C7077" t="s">
        <v>192</v>
      </c>
      <c r="D7077">
        <v>22250000</v>
      </c>
      <c r="E7077" t="s">
        <v>330</v>
      </c>
    </row>
    <row r="7078" spans="1:5" x14ac:dyDescent="0.25">
      <c r="A7078">
        <v>1790</v>
      </c>
      <c r="B7078" s="16">
        <v>43556</v>
      </c>
      <c r="C7078" t="s">
        <v>192</v>
      </c>
      <c r="D7078">
        <v>17160000</v>
      </c>
      <c r="E7078" t="s">
        <v>330</v>
      </c>
    </row>
    <row r="7079" spans="1:5" x14ac:dyDescent="0.25">
      <c r="A7079">
        <v>1790</v>
      </c>
      <c r="B7079" s="16">
        <v>43586</v>
      </c>
      <c r="C7079" t="s">
        <v>192</v>
      </c>
      <c r="D7079">
        <v>17160000</v>
      </c>
      <c r="E7079" t="s">
        <v>330</v>
      </c>
    </row>
    <row r="7080" spans="1:5" x14ac:dyDescent="0.25">
      <c r="A7080">
        <v>1790</v>
      </c>
      <c r="B7080" s="16">
        <v>43617</v>
      </c>
      <c r="C7080" t="s">
        <v>192</v>
      </c>
      <c r="D7080">
        <v>17160000</v>
      </c>
      <c r="E7080" t="s">
        <v>330</v>
      </c>
    </row>
    <row r="7081" spans="1:5" x14ac:dyDescent="0.25">
      <c r="A7081">
        <v>1790</v>
      </c>
      <c r="B7081" s="16">
        <v>43647</v>
      </c>
      <c r="C7081" t="s">
        <v>192</v>
      </c>
      <c r="D7081">
        <v>17160000</v>
      </c>
      <c r="E7081" t="s">
        <v>330</v>
      </c>
    </row>
    <row r="7082" spans="1:5" x14ac:dyDescent="0.25">
      <c r="A7082">
        <v>1790</v>
      </c>
      <c r="B7082" s="16">
        <v>43678</v>
      </c>
      <c r="C7082" t="s">
        <v>192</v>
      </c>
      <c r="D7082">
        <v>17160000</v>
      </c>
      <c r="E7082" t="s">
        <v>330</v>
      </c>
    </row>
    <row r="7083" spans="1:5" x14ac:dyDescent="0.25">
      <c r="A7083">
        <v>1790</v>
      </c>
      <c r="B7083" s="16">
        <v>43709</v>
      </c>
      <c r="C7083" t="s">
        <v>192</v>
      </c>
      <c r="D7083">
        <v>17160000</v>
      </c>
      <c r="E7083" t="s">
        <v>330</v>
      </c>
    </row>
    <row r="7084" spans="1:5" x14ac:dyDescent="0.25">
      <c r="A7084">
        <v>1790</v>
      </c>
      <c r="B7084" s="16">
        <v>43739</v>
      </c>
      <c r="C7084" t="s">
        <v>192</v>
      </c>
      <c r="D7084">
        <v>17160000</v>
      </c>
      <c r="E7084" t="s">
        <v>330</v>
      </c>
    </row>
    <row r="7085" spans="1:5" x14ac:dyDescent="0.25">
      <c r="A7085">
        <v>1790</v>
      </c>
      <c r="B7085" s="16">
        <v>43770</v>
      </c>
      <c r="C7085" t="s">
        <v>192</v>
      </c>
      <c r="D7085">
        <v>17160000</v>
      </c>
      <c r="E7085" t="s">
        <v>330</v>
      </c>
    </row>
    <row r="7086" spans="1:5" x14ac:dyDescent="0.25">
      <c r="A7086">
        <v>1790</v>
      </c>
      <c r="B7086" s="16">
        <v>43800</v>
      </c>
      <c r="C7086" t="s">
        <v>192</v>
      </c>
      <c r="D7086">
        <v>17160000</v>
      </c>
      <c r="E7086" t="s">
        <v>330</v>
      </c>
    </row>
    <row r="7087" spans="1:5" x14ac:dyDescent="0.25">
      <c r="A7087">
        <v>1790</v>
      </c>
      <c r="B7087" s="16">
        <v>43831</v>
      </c>
      <c r="C7087" t="s">
        <v>192</v>
      </c>
      <c r="D7087">
        <v>17160000</v>
      </c>
      <c r="E7087" t="s">
        <v>330</v>
      </c>
    </row>
    <row r="7088" spans="1:5" x14ac:dyDescent="0.25">
      <c r="A7088">
        <v>1790</v>
      </c>
      <c r="B7088" s="16">
        <v>43862</v>
      </c>
      <c r="C7088" t="s">
        <v>192</v>
      </c>
      <c r="D7088">
        <v>17160000</v>
      </c>
      <c r="E7088" t="s">
        <v>330</v>
      </c>
    </row>
    <row r="7089" spans="1:5" x14ac:dyDescent="0.25">
      <c r="A7089">
        <v>1790</v>
      </c>
      <c r="B7089" s="16">
        <v>43891</v>
      </c>
      <c r="C7089" t="s">
        <v>192</v>
      </c>
      <c r="D7089">
        <v>17160000</v>
      </c>
      <c r="E7089" t="s">
        <v>330</v>
      </c>
    </row>
    <row r="7090" spans="1:5" x14ac:dyDescent="0.25">
      <c r="A7090">
        <v>1790</v>
      </c>
      <c r="B7090" s="16">
        <v>43922</v>
      </c>
      <c r="C7090" t="s">
        <v>192</v>
      </c>
      <c r="D7090">
        <v>17160000</v>
      </c>
      <c r="E7090" t="s">
        <v>330</v>
      </c>
    </row>
    <row r="7091" spans="1:5" x14ac:dyDescent="0.25">
      <c r="A7091">
        <v>1899</v>
      </c>
      <c r="B7091" s="16">
        <v>43525</v>
      </c>
      <c r="C7091" t="s">
        <v>192</v>
      </c>
      <c r="D7091">
        <v>26936126</v>
      </c>
      <c r="E7091" t="s">
        <v>330</v>
      </c>
    </row>
    <row r="7092" spans="1:5" x14ac:dyDescent="0.25">
      <c r="A7092">
        <v>1899</v>
      </c>
      <c r="B7092" s="16">
        <v>43556</v>
      </c>
      <c r="C7092" t="s">
        <v>192</v>
      </c>
      <c r="D7092">
        <v>26936126</v>
      </c>
      <c r="E7092" t="s">
        <v>330</v>
      </c>
    </row>
    <row r="7093" spans="1:5" x14ac:dyDescent="0.25">
      <c r="A7093">
        <v>1899</v>
      </c>
      <c r="B7093" s="16">
        <v>43586</v>
      </c>
      <c r="C7093" t="s">
        <v>192</v>
      </c>
      <c r="D7093">
        <v>26936126</v>
      </c>
      <c r="E7093" t="s">
        <v>330</v>
      </c>
    </row>
    <row r="7094" spans="1:5" x14ac:dyDescent="0.25">
      <c r="A7094">
        <v>1899</v>
      </c>
      <c r="B7094" s="16">
        <v>43617</v>
      </c>
      <c r="C7094" t="s">
        <v>192</v>
      </c>
      <c r="D7094">
        <v>26936126</v>
      </c>
      <c r="E7094" t="s">
        <v>330</v>
      </c>
    </row>
    <row r="7095" spans="1:5" x14ac:dyDescent="0.25">
      <c r="A7095">
        <v>1899</v>
      </c>
      <c r="B7095" s="16">
        <v>43647</v>
      </c>
      <c r="C7095" t="s">
        <v>192</v>
      </c>
      <c r="D7095">
        <v>26936126</v>
      </c>
      <c r="E7095" t="s">
        <v>330</v>
      </c>
    </row>
    <row r="7096" spans="1:5" x14ac:dyDescent="0.25">
      <c r="A7096">
        <v>1899</v>
      </c>
      <c r="B7096" s="16">
        <v>43678</v>
      </c>
      <c r="C7096" t="s">
        <v>192</v>
      </c>
      <c r="D7096">
        <v>26936126</v>
      </c>
      <c r="E7096" t="s">
        <v>330</v>
      </c>
    </row>
    <row r="7097" spans="1:5" x14ac:dyDescent="0.25">
      <c r="A7097">
        <v>1899</v>
      </c>
      <c r="B7097" s="16">
        <v>43709</v>
      </c>
      <c r="C7097" t="s">
        <v>192</v>
      </c>
      <c r="D7097">
        <v>26936126</v>
      </c>
      <c r="E7097" t="s">
        <v>330</v>
      </c>
    </row>
    <row r="7098" spans="1:5" x14ac:dyDescent="0.25">
      <c r="A7098">
        <v>1899</v>
      </c>
      <c r="B7098" s="16">
        <v>43739</v>
      </c>
      <c r="C7098" t="s">
        <v>192</v>
      </c>
      <c r="D7098">
        <v>26936126</v>
      </c>
      <c r="E7098" t="s">
        <v>330</v>
      </c>
    </row>
    <row r="7099" spans="1:5" x14ac:dyDescent="0.25">
      <c r="A7099">
        <v>1899</v>
      </c>
      <c r="B7099" s="16">
        <v>43770</v>
      </c>
      <c r="C7099" t="s">
        <v>192</v>
      </c>
      <c r="D7099">
        <v>26936126</v>
      </c>
      <c r="E7099" t="s">
        <v>330</v>
      </c>
    </row>
    <row r="7100" spans="1:5" x14ac:dyDescent="0.25">
      <c r="A7100">
        <v>1899</v>
      </c>
      <c r="B7100" s="16">
        <v>43800</v>
      </c>
      <c r="C7100" t="s">
        <v>192</v>
      </c>
      <c r="D7100">
        <v>26936126</v>
      </c>
      <c r="E7100" t="s">
        <v>330</v>
      </c>
    </row>
    <row r="7101" spans="1:5" x14ac:dyDescent="0.25">
      <c r="A7101">
        <v>1899</v>
      </c>
      <c r="B7101" s="16">
        <v>43831</v>
      </c>
      <c r="C7101" t="s">
        <v>192</v>
      </c>
      <c r="D7101">
        <v>26936126</v>
      </c>
      <c r="E7101" t="s">
        <v>330</v>
      </c>
    </row>
    <row r="7102" spans="1:5" x14ac:dyDescent="0.25">
      <c r="A7102">
        <v>1899</v>
      </c>
      <c r="B7102" s="16">
        <v>43862</v>
      </c>
      <c r="C7102" t="s">
        <v>192</v>
      </c>
      <c r="D7102">
        <v>26936126</v>
      </c>
      <c r="E7102" t="s">
        <v>330</v>
      </c>
    </row>
    <row r="7103" spans="1:5" x14ac:dyDescent="0.25">
      <c r="A7103">
        <v>1899</v>
      </c>
      <c r="B7103" s="16">
        <v>43891</v>
      </c>
      <c r="C7103" t="s">
        <v>192</v>
      </c>
      <c r="D7103">
        <v>26936126</v>
      </c>
      <c r="E7103" t="s">
        <v>330</v>
      </c>
    </row>
    <row r="7104" spans="1:5" x14ac:dyDescent="0.25">
      <c r="A7104">
        <v>1899</v>
      </c>
      <c r="B7104" s="16">
        <v>43922</v>
      </c>
      <c r="C7104" t="s">
        <v>192</v>
      </c>
      <c r="D7104">
        <v>26936126</v>
      </c>
      <c r="E7104" t="s">
        <v>330</v>
      </c>
    </row>
    <row r="7105" spans="1:5" x14ac:dyDescent="0.25">
      <c r="A7105">
        <v>1899</v>
      </c>
      <c r="B7105" s="16">
        <v>43952</v>
      </c>
      <c r="C7105" t="s">
        <v>192</v>
      </c>
      <c r="D7105">
        <v>26936126</v>
      </c>
      <c r="E7105" t="s">
        <v>330</v>
      </c>
    </row>
    <row r="7106" spans="1:5" x14ac:dyDescent="0.25">
      <c r="A7106">
        <v>1899</v>
      </c>
      <c r="B7106" s="16">
        <v>43983</v>
      </c>
      <c r="C7106" t="s">
        <v>192</v>
      </c>
      <c r="D7106">
        <v>26936126</v>
      </c>
      <c r="E7106" t="s">
        <v>330</v>
      </c>
    </row>
    <row r="7107" spans="1:5" x14ac:dyDescent="0.25">
      <c r="A7107">
        <v>1899</v>
      </c>
      <c r="B7107" s="16">
        <v>44013</v>
      </c>
      <c r="C7107" t="s">
        <v>192</v>
      </c>
      <c r="D7107">
        <v>26936126</v>
      </c>
      <c r="E7107" t="s">
        <v>330</v>
      </c>
    </row>
    <row r="7108" spans="1:5" x14ac:dyDescent="0.25">
      <c r="A7108">
        <v>1899</v>
      </c>
      <c r="B7108" s="16">
        <v>44044</v>
      </c>
      <c r="C7108" t="s">
        <v>192</v>
      </c>
      <c r="D7108">
        <v>26936126</v>
      </c>
      <c r="E7108" t="s">
        <v>330</v>
      </c>
    </row>
    <row r="7109" spans="1:5" x14ac:dyDescent="0.25">
      <c r="A7109">
        <v>1899</v>
      </c>
      <c r="B7109" s="16">
        <v>44075</v>
      </c>
      <c r="C7109" t="s">
        <v>192</v>
      </c>
      <c r="D7109">
        <v>26936126</v>
      </c>
      <c r="E7109" t="s">
        <v>330</v>
      </c>
    </row>
    <row r="7110" spans="1:5" x14ac:dyDescent="0.25">
      <c r="A7110">
        <v>1899</v>
      </c>
      <c r="B7110" s="16">
        <v>44105</v>
      </c>
      <c r="C7110" t="s">
        <v>192</v>
      </c>
      <c r="D7110">
        <v>26936126</v>
      </c>
      <c r="E7110" t="s">
        <v>330</v>
      </c>
    </row>
    <row r="7111" spans="1:5" x14ac:dyDescent="0.25">
      <c r="A7111">
        <v>1899</v>
      </c>
      <c r="B7111" s="16">
        <v>44136</v>
      </c>
      <c r="C7111" t="s">
        <v>192</v>
      </c>
      <c r="D7111">
        <v>26936126</v>
      </c>
      <c r="E7111" t="s">
        <v>330</v>
      </c>
    </row>
    <row r="7112" spans="1:5" x14ac:dyDescent="0.25">
      <c r="A7112">
        <v>1899</v>
      </c>
      <c r="B7112" s="16">
        <v>44166</v>
      </c>
      <c r="C7112" t="s">
        <v>192</v>
      </c>
      <c r="D7112">
        <v>26936126</v>
      </c>
      <c r="E7112" t="s">
        <v>330</v>
      </c>
    </row>
    <row r="7113" spans="1:5" x14ac:dyDescent="0.25">
      <c r="A7113">
        <v>1899</v>
      </c>
      <c r="B7113" s="16">
        <v>44197</v>
      </c>
      <c r="C7113" t="s">
        <v>192</v>
      </c>
      <c r="D7113">
        <v>26936126</v>
      </c>
      <c r="E7113" t="s">
        <v>330</v>
      </c>
    </row>
    <row r="7114" spans="1:5" x14ac:dyDescent="0.25">
      <c r="A7114">
        <v>1899</v>
      </c>
      <c r="B7114" s="16">
        <v>44228</v>
      </c>
      <c r="C7114" t="s">
        <v>192</v>
      </c>
      <c r="D7114">
        <v>26936126</v>
      </c>
      <c r="E7114" t="s">
        <v>330</v>
      </c>
    </row>
    <row r="7115" spans="1:5" x14ac:dyDescent="0.25">
      <c r="A7115">
        <v>1899</v>
      </c>
      <c r="B7115" s="16">
        <v>44256</v>
      </c>
      <c r="C7115" t="s">
        <v>192</v>
      </c>
      <c r="D7115">
        <v>26936126</v>
      </c>
      <c r="E7115" t="s">
        <v>330</v>
      </c>
    </row>
    <row r="7116" spans="1:5" x14ac:dyDescent="0.25">
      <c r="A7116">
        <v>1900</v>
      </c>
      <c r="B7116" s="16">
        <v>43556</v>
      </c>
      <c r="C7116" t="s">
        <v>192</v>
      </c>
      <c r="D7116">
        <v>8700000</v>
      </c>
      <c r="E7116" t="s">
        <v>330</v>
      </c>
    </row>
    <row r="7117" spans="1:5" x14ac:dyDescent="0.25">
      <c r="A7117">
        <v>1900</v>
      </c>
      <c r="B7117" s="16">
        <v>43556</v>
      </c>
      <c r="C7117" t="s">
        <v>192</v>
      </c>
      <c r="D7117">
        <v>20600000</v>
      </c>
      <c r="E7117" t="s">
        <v>330</v>
      </c>
    </row>
    <row r="7118" spans="1:5" x14ac:dyDescent="0.25">
      <c r="A7118">
        <v>1900</v>
      </c>
      <c r="B7118" s="16">
        <v>43586</v>
      </c>
      <c r="C7118" t="s">
        <v>192</v>
      </c>
      <c r="D7118">
        <v>20600000</v>
      </c>
      <c r="E7118" t="s">
        <v>330</v>
      </c>
    </row>
    <row r="7119" spans="1:5" x14ac:dyDescent="0.25">
      <c r="A7119">
        <v>1900</v>
      </c>
      <c r="B7119" s="16">
        <v>43617</v>
      </c>
      <c r="C7119" t="s">
        <v>192</v>
      </c>
      <c r="D7119">
        <v>20600000</v>
      </c>
      <c r="E7119" t="s">
        <v>330</v>
      </c>
    </row>
    <row r="7120" spans="1:5" x14ac:dyDescent="0.25">
      <c r="A7120">
        <v>1900</v>
      </c>
      <c r="B7120" s="16">
        <v>43647</v>
      </c>
      <c r="C7120" t="s">
        <v>192</v>
      </c>
      <c r="D7120">
        <v>20600000</v>
      </c>
      <c r="E7120" t="s">
        <v>330</v>
      </c>
    </row>
    <row r="7121" spans="1:5" x14ac:dyDescent="0.25">
      <c r="A7121">
        <v>1900</v>
      </c>
      <c r="B7121" s="16">
        <v>43678</v>
      </c>
      <c r="C7121" t="s">
        <v>192</v>
      </c>
      <c r="D7121">
        <v>20600000</v>
      </c>
      <c r="E7121" t="s">
        <v>330</v>
      </c>
    </row>
    <row r="7122" spans="1:5" x14ac:dyDescent="0.25">
      <c r="A7122">
        <v>1900</v>
      </c>
      <c r="B7122" s="16">
        <v>43709</v>
      </c>
      <c r="C7122" t="s">
        <v>192</v>
      </c>
      <c r="D7122">
        <v>20600000</v>
      </c>
      <c r="E7122" t="s">
        <v>330</v>
      </c>
    </row>
    <row r="7123" spans="1:5" x14ac:dyDescent="0.25">
      <c r="A7123">
        <v>1900</v>
      </c>
      <c r="B7123" s="16">
        <v>43739</v>
      </c>
      <c r="C7123" t="s">
        <v>192</v>
      </c>
      <c r="D7123">
        <v>20600000</v>
      </c>
      <c r="E7123" t="s">
        <v>330</v>
      </c>
    </row>
    <row r="7124" spans="1:5" x14ac:dyDescent="0.25">
      <c r="A7124">
        <v>1900</v>
      </c>
      <c r="B7124" s="16">
        <v>43770</v>
      </c>
      <c r="C7124" t="s">
        <v>192</v>
      </c>
      <c r="D7124">
        <v>20600000</v>
      </c>
      <c r="E7124" t="s">
        <v>330</v>
      </c>
    </row>
    <row r="7125" spans="1:5" x14ac:dyDescent="0.25">
      <c r="A7125">
        <v>1900</v>
      </c>
      <c r="B7125" s="16">
        <v>43800</v>
      </c>
      <c r="C7125" t="s">
        <v>192</v>
      </c>
      <c r="D7125">
        <v>20600000</v>
      </c>
      <c r="E7125" t="s">
        <v>330</v>
      </c>
    </row>
    <row r="7126" spans="1:5" x14ac:dyDescent="0.25">
      <c r="A7126">
        <v>1900</v>
      </c>
      <c r="B7126" s="16">
        <v>43831</v>
      </c>
      <c r="C7126" t="s">
        <v>192</v>
      </c>
      <c r="D7126">
        <v>20600000</v>
      </c>
      <c r="E7126" t="s">
        <v>330</v>
      </c>
    </row>
    <row r="7127" spans="1:5" x14ac:dyDescent="0.25">
      <c r="A7127">
        <v>1900</v>
      </c>
      <c r="B7127" s="16">
        <v>43556</v>
      </c>
      <c r="C7127" t="s">
        <v>192</v>
      </c>
      <c r="D7127">
        <v>14200000</v>
      </c>
      <c r="E7127" t="s">
        <v>330</v>
      </c>
    </row>
    <row r="7128" spans="1:5" x14ac:dyDescent="0.25">
      <c r="A7128">
        <v>1900</v>
      </c>
      <c r="B7128" s="16">
        <v>43586</v>
      </c>
      <c r="C7128" t="s">
        <v>192</v>
      </c>
      <c r="D7128">
        <v>14200000</v>
      </c>
      <c r="E7128" t="s">
        <v>330</v>
      </c>
    </row>
    <row r="7129" spans="1:5" x14ac:dyDescent="0.25">
      <c r="A7129">
        <v>1900</v>
      </c>
      <c r="B7129" s="16">
        <v>43617</v>
      </c>
      <c r="C7129" t="s">
        <v>192</v>
      </c>
      <c r="D7129">
        <v>14200000</v>
      </c>
      <c r="E7129" t="s">
        <v>330</v>
      </c>
    </row>
    <row r="7130" spans="1:5" x14ac:dyDescent="0.25">
      <c r="A7130">
        <v>1900</v>
      </c>
      <c r="B7130" s="16">
        <v>43647</v>
      </c>
      <c r="C7130" t="s">
        <v>192</v>
      </c>
      <c r="D7130">
        <v>14200000</v>
      </c>
      <c r="E7130" t="s">
        <v>330</v>
      </c>
    </row>
    <row r="7131" spans="1:5" x14ac:dyDescent="0.25">
      <c r="A7131">
        <v>1898</v>
      </c>
      <c r="B7131" s="16">
        <v>43556</v>
      </c>
      <c r="C7131" t="s">
        <v>192</v>
      </c>
      <c r="D7131">
        <v>10000000</v>
      </c>
      <c r="E7131" t="s">
        <v>330</v>
      </c>
    </row>
    <row r="7132" spans="1:5" x14ac:dyDescent="0.25">
      <c r="A7132">
        <v>1898</v>
      </c>
      <c r="B7132" s="16">
        <v>43586</v>
      </c>
      <c r="C7132" t="s">
        <v>192</v>
      </c>
      <c r="D7132">
        <v>10000000</v>
      </c>
      <c r="E7132" t="s">
        <v>330</v>
      </c>
    </row>
    <row r="7133" spans="1:5" x14ac:dyDescent="0.25">
      <c r="A7133">
        <v>1898</v>
      </c>
      <c r="B7133" s="16">
        <v>43617</v>
      </c>
      <c r="C7133" t="s">
        <v>192</v>
      </c>
      <c r="D7133">
        <v>10000000</v>
      </c>
      <c r="E7133" t="s">
        <v>330</v>
      </c>
    </row>
  </sheetData>
  <autoFilter ref="A1:E713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3:F3458"/>
  <sheetViews>
    <sheetView topLeftCell="A3289" workbookViewId="0">
      <selection activeCell="A4" sqref="A4:F3316"/>
    </sheetView>
  </sheetViews>
  <sheetFormatPr baseColWidth="10" defaultRowHeight="15" x14ac:dyDescent="0.25"/>
  <cols>
    <col min="1" max="1" width="17.5703125" bestFit="1" customWidth="1"/>
    <col min="2" max="2" width="11.5703125" style="16" bestFit="1" customWidth="1"/>
    <col min="3" max="3" width="55.5703125" customWidth="1"/>
    <col min="4" max="5" width="16.7109375" customWidth="1"/>
    <col min="6" max="6" width="14" customWidth="1"/>
    <col min="7" max="7" width="14" bestFit="1" customWidth="1"/>
  </cols>
  <sheetData>
    <row r="3" spans="1:6" x14ac:dyDescent="0.25">
      <c r="A3" s="34" t="s">
        <v>263</v>
      </c>
      <c r="B3"/>
      <c r="D3" s="34" t="s">
        <v>332</v>
      </c>
    </row>
    <row r="4" spans="1:6" x14ac:dyDescent="0.25">
      <c r="A4" s="34" t="s">
        <v>184</v>
      </c>
      <c r="B4" s="34" t="s">
        <v>224</v>
      </c>
      <c r="C4" s="34" t="s">
        <v>225</v>
      </c>
      <c r="D4" t="s">
        <v>330</v>
      </c>
      <c r="E4" t="s">
        <v>331</v>
      </c>
      <c r="F4" t="s">
        <v>261</v>
      </c>
    </row>
    <row r="5" spans="1:6" x14ac:dyDescent="0.25">
      <c r="A5">
        <v>1385</v>
      </c>
      <c r="B5" s="16">
        <v>43466</v>
      </c>
      <c r="C5" t="s">
        <v>135</v>
      </c>
      <c r="D5" s="21">
        <v>4240842.9000000004</v>
      </c>
      <c r="E5" s="21">
        <v>-4240842.9000000004</v>
      </c>
      <c r="F5" s="21">
        <v>0</v>
      </c>
    </row>
    <row r="6" spans="1:6" x14ac:dyDescent="0.25">
      <c r="A6">
        <v>1385</v>
      </c>
      <c r="B6" s="16">
        <v>43466</v>
      </c>
      <c r="C6" t="s">
        <v>97</v>
      </c>
      <c r="D6" s="21">
        <v>3348034.2</v>
      </c>
      <c r="E6" s="21">
        <v>-3348034.2</v>
      </c>
      <c r="F6" s="21">
        <v>0</v>
      </c>
    </row>
    <row r="7" spans="1:6" x14ac:dyDescent="0.25">
      <c r="A7">
        <v>1385</v>
      </c>
      <c r="B7" s="16">
        <v>43466</v>
      </c>
      <c r="C7" t="s">
        <v>83</v>
      </c>
      <c r="D7" s="21">
        <v>1989931.6500000001</v>
      </c>
      <c r="E7" s="21">
        <v>-1989931.6500000001</v>
      </c>
      <c r="F7" s="21">
        <v>0</v>
      </c>
    </row>
    <row r="8" spans="1:6" x14ac:dyDescent="0.25">
      <c r="A8">
        <v>1385</v>
      </c>
      <c r="B8" s="16">
        <v>43466</v>
      </c>
      <c r="C8" t="s">
        <v>29</v>
      </c>
      <c r="D8" s="21">
        <v>6819217.6500000004</v>
      </c>
      <c r="E8" s="21">
        <v>-6819217.6500000004</v>
      </c>
      <c r="F8" s="21">
        <v>0</v>
      </c>
    </row>
    <row r="9" spans="1:6" x14ac:dyDescent="0.25">
      <c r="A9">
        <v>1385</v>
      </c>
      <c r="B9" s="16">
        <v>43466</v>
      </c>
      <c r="C9" t="s">
        <v>303</v>
      </c>
      <c r="D9" s="21">
        <v>3348034.2</v>
      </c>
      <c r="E9" s="21">
        <v>-3348034.2</v>
      </c>
      <c r="F9" s="21">
        <v>0</v>
      </c>
    </row>
    <row r="10" spans="1:6" x14ac:dyDescent="0.25">
      <c r="A10">
        <v>1385</v>
      </c>
      <c r="B10" s="16">
        <v>43466</v>
      </c>
      <c r="C10" t="s">
        <v>39</v>
      </c>
      <c r="D10" s="21">
        <v>5214695.8500000006</v>
      </c>
      <c r="E10" s="21">
        <v>-5214695.8500000006</v>
      </c>
      <c r="F10" s="21">
        <v>0</v>
      </c>
    </row>
    <row r="11" spans="1:6" x14ac:dyDescent="0.25">
      <c r="A11">
        <v>1385</v>
      </c>
      <c r="B11" s="16">
        <v>43466</v>
      </c>
      <c r="C11" t="s">
        <v>36</v>
      </c>
      <c r="D11" s="21">
        <v>3348034.2</v>
      </c>
      <c r="E11" s="21">
        <v>-3348034.2</v>
      </c>
      <c r="F11" s="21">
        <v>0</v>
      </c>
    </row>
    <row r="12" spans="1:6" x14ac:dyDescent="0.25">
      <c r="A12">
        <v>1385</v>
      </c>
      <c r="B12" s="16">
        <v>43466</v>
      </c>
      <c r="C12" t="s">
        <v>57</v>
      </c>
      <c r="D12" s="21">
        <v>5214695.8500000006</v>
      </c>
      <c r="E12" s="21">
        <v>-5214695.8500000006</v>
      </c>
      <c r="F12" s="21">
        <v>0</v>
      </c>
    </row>
    <row r="13" spans="1:6" x14ac:dyDescent="0.25">
      <c r="A13">
        <v>1385</v>
      </c>
      <c r="B13" s="16">
        <v>43466</v>
      </c>
      <c r="C13" t="s">
        <v>306</v>
      </c>
      <c r="D13" s="21">
        <v>3348034.2</v>
      </c>
      <c r="E13" s="21">
        <v>-3348034.2</v>
      </c>
      <c r="F13" s="21">
        <v>0</v>
      </c>
    </row>
    <row r="14" spans="1:6" x14ac:dyDescent="0.25">
      <c r="A14">
        <v>1385</v>
      </c>
      <c r="B14" s="16">
        <v>43466</v>
      </c>
      <c r="C14" t="s">
        <v>58</v>
      </c>
      <c r="D14" s="21">
        <v>5142002.25</v>
      </c>
      <c r="E14" s="21">
        <v>-5142002.25</v>
      </c>
      <c r="F14" s="21">
        <v>0</v>
      </c>
    </row>
    <row r="15" spans="1:6" x14ac:dyDescent="0.25">
      <c r="A15">
        <v>1385</v>
      </c>
      <c r="B15" s="16">
        <v>43466</v>
      </c>
      <c r="C15" t="s">
        <v>301</v>
      </c>
      <c r="D15" s="21">
        <v>12913846.050000001</v>
      </c>
      <c r="E15" s="21">
        <v>-12913846.050000001</v>
      </c>
      <c r="F15" s="21">
        <v>0</v>
      </c>
    </row>
    <row r="16" spans="1:6" x14ac:dyDescent="0.25">
      <c r="A16">
        <v>1385</v>
      </c>
      <c r="B16" s="16">
        <v>43466</v>
      </c>
      <c r="C16" t="s">
        <v>307</v>
      </c>
      <c r="D16" s="21">
        <v>19655393.100000001</v>
      </c>
      <c r="E16" s="21">
        <v>-19655393.100000001</v>
      </c>
      <c r="F16" s="21">
        <v>0</v>
      </c>
    </row>
    <row r="17" spans="1:6" x14ac:dyDescent="0.25">
      <c r="A17">
        <v>1385</v>
      </c>
      <c r="B17" s="16">
        <v>43466</v>
      </c>
      <c r="C17" t="s">
        <v>305</v>
      </c>
      <c r="D17" s="21">
        <v>3348034.2</v>
      </c>
      <c r="E17" s="21">
        <v>-3348034.2</v>
      </c>
      <c r="F17" s="21">
        <v>0</v>
      </c>
    </row>
    <row r="18" spans="1:6" x14ac:dyDescent="0.25">
      <c r="A18">
        <v>1385</v>
      </c>
      <c r="B18" s="16">
        <v>43466</v>
      </c>
      <c r="C18" t="s">
        <v>308</v>
      </c>
      <c r="D18" s="21">
        <v>7822044.3000000007</v>
      </c>
      <c r="E18" s="21">
        <v>-7822044.3000000007</v>
      </c>
      <c r="F18" s="21">
        <v>0</v>
      </c>
    </row>
    <row r="19" spans="1:6" x14ac:dyDescent="0.25">
      <c r="A19">
        <v>1385</v>
      </c>
      <c r="B19" s="16">
        <v>43466</v>
      </c>
      <c r="C19" t="s">
        <v>304</v>
      </c>
      <c r="D19" s="21">
        <v>3348034.2</v>
      </c>
      <c r="E19" s="21">
        <v>-3348034.2</v>
      </c>
      <c r="F19" s="21">
        <v>0</v>
      </c>
    </row>
    <row r="20" spans="1:6" x14ac:dyDescent="0.25">
      <c r="A20">
        <v>1385</v>
      </c>
      <c r="B20" s="16">
        <v>43466</v>
      </c>
      <c r="C20" t="s">
        <v>14</v>
      </c>
      <c r="D20" s="21">
        <v>9867809.7000000011</v>
      </c>
      <c r="E20" s="21">
        <v>-9867809.7000000011</v>
      </c>
      <c r="F20" s="21">
        <v>0</v>
      </c>
    </row>
    <row r="21" spans="1:6" x14ac:dyDescent="0.25">
      <c r="A21">
        <v>1385</v>
      </c>
      <c r="B21" s="16">
        <v>43466</v>
      </c>
      <c r="C21" t="s">
        <v>117</v>
      </c>
      <c r="D21" s="21">
        <v>3569121.1500000004</v>
      </c>
      <c r="E21" s="21">
        <v>-3569121.1500000004</v>
      </c>
      <c r="F21" s="21">
        <v>0</v>
      </c>
    </row>
    <row r="22" spans="1:6" x14ac:dyDescent="0.25">
      <c r="A22">
        <v>1385</v>
      </c>
      <c r="B22" s="16">
        <v>43466</v>
      </c>
      <c r="C22" t="s">
        <v>26</v>
      </c>
      <c r="D22" s="21">
        <v>31729419.750000004</v>
      </c>
      <c r="E22" s="21">
        <v>-31729419.750000004</v>
      </c>
      <c r="F22" s="21">
        <v>0</v>
      </c>
    </row>
    <row r="23" spans="1:6" x14ac:dyDescent="0.25">
      <c r="A23">
        <v>1385</v>
      </c>
      <c r="B23" s="16">
        <v>43497</v>
      </c>
      <c r="C23" t="s">
        <v>135</v>
      </c>
      <c r="D23" s="21">
        <v>4240842.9000000004</v>
      </c>
      <c r="E23" s="21">
        <v>-4240842.9000000004</v>
      </c>
      <c r="F23" s="21">
        <v>0</v>
      </c>
    </row>
    <row r="24" spans="1:6" x14ac:dyDescent="0.25">
      <c r="A24">
        <v>1385</v>
      </c>
      <c r="B24" s="16">
        <v>43497</v>
      </c>
      <c r="C24" t="s">
        <v>97</v>
      </c>
      <c r="D24" s="21">
        <v>3348034.2</v>
      </c>
      <c r="E24" s="21">
        <v>-3348034.2</v>
      </c>
      <c r="F24" s="21">
        <v>0</v>
      </c>
    </row>
    <row r="25" spans="1:6" x14ac:dyDescent="0.25">
      <c r="A25">
        <v>1385</v>
      </c>
      <c r="B25" s="16">
        <v>43497</v>
      </c>
      <c r="C25" t="s">
        <v>83</v>
      </c>
      <c r="D25" s="21">
        <v>1989931.6500000001</v>
      </c>
      <c r="E25" s="21">
        <v>-1989931.6500000001</v>
      </c>
      <c r="F25" s="21">
        <v>0</v>
      </c>
    </row>
    <row r="26" spans="1:6" x14ac:dyDescent="0.25">
      <c r="A26">
        <v>1385</v>
      </c>
      <c r="B26" s="16">
        <v>43497</v>
      </c>
      <c r="C26" t="s">
        <v>29</v>
      </c>
      <c r="D26" s="21">
        <v>6819217.6500000004</v>
      </c>
      <c r="E26" s="21">
        <v>-6819217.6500000004</v>
      </c>
      <c r="F26" s="21">
        <v>0</v>
      </c>
    </row>
    <row r="27" spans="1:6" x14ac:dyDescent="0.25">
      <c r="A27">
        <v>1385</v>
      </c>
      <c r="B27" s="16">
        <v>43497</v>
      </c>
      <c r="C27" t="s">
        <v>303</v>
      </c>
      <c r="D27" s="21">
        <v>3348034.2</v>
      </c>
      <c r="E27" s="21">
        <v>-3348034.2</v>
      </c>
      <c r="F27" s="21">
        <v>0</v>
      </c>
    </row>
    <row r="28" spans="1:6" x14ac:dyDescent="0.25">
      <c r="A28">
        <v>1385</v>
      </c>
      <c r="B28" s="16">
        <v>43497</v>
      </c>
      <c r="C28" t="s">
        <v>39</v>
      </c>
      <c r="D28" s="21">
        <v>5214695.8500000006</v>
      </c>
      <c r="E28" s="21">
        <v>-5214695.8500000006</v>
      </c>
      <c r="F28" s="21">
        <v>0</v>
      </c>
    </row>
    <row r="29" spans="1:6" x14ac:dyDescent="0.25">
      <c r="A29">
        <v>1385</v>
      </c>
      <c r="B29" s="16">
        <v>43497</v>
      </c>
      <c r="C29" t="s">
        <v>36</v>
      </c>
      <c r="D29" s="21">
        <v>3348034.2</v>
      </c>
      <c r="E29" s="21">
        <v>-3348034.2</v>
      </c>
      <c r="F29" s="21">
        <v>0</v>
      </c>
    </row>
    <row r="30" spans="1:6" x14ac:dyDescent="0.25">
      <c r="A30">
        <v>1385</v>
      </c>
      <c r="B30" s="16">
        <v>43497</v>
      </c>
      <c r="C30" t="s">
        <v>57</v>
      </c>
      <c r="D30" s="21">
        <v>5214695.8500000006</v>
      </c>
      <c r="E30" s="21">
        <v>-5214695.8500000006</v>
      </c>
      <c r="F30" s="21">
        <v>0</v>
      </c>
    </row>
    <row r="31" spans="1:6" x14ac:dyDescent="0.25">
      <c r="A31">
        <v>1385</v>
      </c>
      <c r="B31" s="16">
        <v>43497</v>
      </c>
      <c r="C31" t="s">
        <v>306</v>
      </c>
      <c r="D31" s="21">
        <v>3348034.2</v>
      </c>
      <c r="E31" s="21">
        <v>-3348034.2</v>
      </c>
      <c r="F31" s="21">
        <v>0</v>
      </c>
    </row>
    <row r="32" spans="1:6" x14ac:dyDescent="0.25">
      <c r="A32">
        <v>1385</v>
      </c>
      <c r="B32" s="16">
        <v>43497</v>
      </c>
      <c r="C32" t="s">
        <v>58</v>
      </c>
      <c r="D32" s="21">
        <v>5142002.25</v>
      </c>
      <c r="E32" s="21">
        <v>-5142002.25</v>
      </c>
      <c r="F32" s="21">
        <v>0</v>
      </c>
    </row>
    <row r="33" spans="1:6" x14ac:dyDescent="0.25">
      <c r="A33">
        <v>1385</v>
      </c>
      <c r="B33" s="16">
        <v>43497</v>
      </c>
      <c r="C33" t="s">
        <v>301</v>
      </c>
      <c r="D33" s="21">
        <v>12913846.050000001</v>
      </c>
      <c r="E33" s="21">
        <v>-12913846.050000001</v>
      </c>
      <c r="F33" s="21">
        <v>0</v>
      </c>
    </row>
    <row r="34" spans="1:6" x14ac:dyDescent="0.25">
      <c r="A34">
        <v>1385</v>
      </c>
      <c r="B34" s="16">
        <v>43497</v>
      </c>
      <c r="C34" t="s">
        <v>307</v>
      </c>
      <c r="D34" s="21">
        <v>19655393.100000001</v>
      </c>
      <c r="E34" s="21">
        <v>-19655393.100000001</v>
      </c>
      <c r="F34" s="21">
        <v>0</v>
      </c>
    </row>
    <row r="35" spans="1:6" x14ac:dyDescent="0.25">
      <c r="A35">
        <v>1385</v>
      </c>
      <c r="B35" s="16">
        <v>43497</v>
      </c>
      <c r="C35" t="s">
        <v>305</v>
      </c>
      <c r="D35" s="21">
        <v>3348034.2</v>
      </c>
      <c r="E35" s="21">
        <v>-3348034.2</v>
      </c>
      <c r="F35" s="21">
        <v>0</v>
      </c>
    </row>
    <row r="36" spans="1:6" x14ac:dyDescent="0.25">
      <c r="A36">
        <v>1385</v>
      </c>
      <c r="B36" s="16">
        <v>43497</v>
      </c>
      <c r="C36" t="s">
        <v>308</v>
      </c>
      <c r="D36" s="21">
        <v>7822044.3000000007</v>
      </c>
      <c r="E36" s="21">
        <v>-7822044.3000000007</v>
      </c>
      <c r="F36" s="21">
        <v>0</v>
      </c>
    </row>
    <row r="37" spans="1:6" x14ac:dyDescent="0.25">
      <c r="A37">
        <v>1385</v>
      </c>
      <c r="B37" s="16">
        <v>43497</v>
      </c>
      <c r="C37" t="s">
        <v>304</v>
      </c>
      <c r="D37" s="21">
        <v>3348034.2</v>
      </c>
      <c r="E37" s="21">
        <v>-3348034.2</v>
      </c>
      <c r="F37" s="21">
        <v>0</v>
      </c>
    </row>
    <row r="38" spans="1:6" x14ac:dyDescent="0.25">
      <c r="A38">
        <v>1385</v>
      </c>
      <c r="B38" s="16">
        <v>43497</v>
      </c>
      <c r="C38" t="s">
        <v>14</v>
      </c>
      <c r="D38" s="21">
        <v>9867809.7000000011</v>
      </c>
      <c r="E38" s="21">
        <v>-9867809.7000000011</v>
      </c>
      <c r="F38" s="21">
        <v>0</v>
      </c>
    </row>
    <row r="39" spans="1:6" x14ac:dyDescent="0.25">
      <c r="A39">
        <v>1385</v>
      </c>
      <c r="B39" s="16">
        <v>43497</v>
      </c>
      <c r="C39" t="s">
        <v>117</v>
      </c>
      <c r="D39" s="21">
        <v>3569121.1500000004</v>
      </c>
      <c r="E39" s="21">
        <v>-3569121.1500000004</v>
      </c>
      <c r="F39" s="21">
        <v>0</v>
      </c>
    </row>
    <row r="40" spans="1:6" x14ac:dyDescent="0.25">
      <c r="A40">
        <v>1385</v>
      </c>
      <c r="B40" s="16">
        <v>43497</v>
      </c>
      <c r="C40" t="s">
        <v>26</v>
      </c>
      <c r="D40" s="21">
        <v>31729419.750000004</v>
      </c>
      <c r="E40" s="21">
        <v>-31729419.750000004</v>
      </c>
      <c r="F40" s="21">
        <v>0</v>
      </c>
    </row>
    <row r="41" spans="1:6" x14ac:dyDescent="0.25">
      <c r="A41">
        <v>1385</v>
      </c>
      <c r="B41" s="16">
        <v>43525</v>
      </c>
      <c r="C41" t="s">
        <v>135</v>
      </c>
      <c r="D41" s="21">
        <v>4240842.9000000004</v>
      </c>
      <c r="E41" s="21">
        <v>-4240842.9000000004</v>
      </c>
      <c r="F41" s="21">
        <v>0</v>
      </c>
    </row>
    <row r="42" spans="1:6" x14ac:dyDescent="0.25">
      <c r="A42">
        <v>1385</v>
      </c>
      <c r="B42" s="16">
        <v>43525</v>
      </c>
      <c r="C42" t="s">
        <v>97</v>
      </c>
      <c r="D42" s="21">
        <v>3348034.2</v>
      </c>
      <c r="E42" s="21">
        <v>-3348034.2</v>
      </c>
      <c r="F42" s="21">
        <v>0</v>
      </c>
    </row>
    <row r="43" spans="1:6" x14ac:dyDescent="0.25">
      <c r="A43">
        <v>1385</v>
      </c>
      <c r="B43" s="16">
        <v>43525</v>
      </c>
      <c r="C43" t="s">
        <v>83</v>
      </c>
      <c r="D43" s="21">
        <v>1989931.6500000001</v>
      </c>
      <c r="E43" s="21">
        <v>-1989931.6500000001</v>
      </c>
      <c r="F43" s="21">
        <v>0</v>
      </c>
    </row>
    <row r="44" spans="1:6" x14ac:dyDescent="0.25">
      <c r="A44">
        <v>1385</v>
      </c>
      <c r="B44" s="16">
        <v>43525</v>
      </c>
      <c r="C44" t="s">
        <v>29</v>
      </c>
      <c r="D44" s="21">
        <v>6819217.6500000004</v>
      </c>
      <c r="E44" s="21">
        <v>-6819217.6500000004</v>
      </c>
      <c r="F44" s="21">
        <v>0</v>
      </c>
    </row>
    <row r="45" spans="1:6" x14ac:dyDescent="0.25">
      <c r="A45">
        <v>1385</v>
      </c>
      <c r="B45" s="16">
        <v>43525</v>
      </c>
      <c r="C45" t="s">
        <v>303</v>
      </c>
      <c r="D45" s="21">
        <v>3348034.2</v>
      </c>
      <c r="E45" s="21">
        <v>-3348034.2</v>
      </c>
      <c r="F45" s="21">
        <v>0</v>
      </c>
    </row>
    <row r="46" spans="1:6" x14ac:dyDescent="0.25">
      <c r="A46">
        <v>1385</v>
      </c>
      <c r="B46" s="16">
        <v>43525</v>
      </c>
      <c r="C46" t="s">
        <v>39</v>
      </c>
      <c r="D46" s="21">
        <v>5214695.8500000006</v>
      </c>
      <c r="E46" s="21">
        <v>-5214695.8500000006</v>
      </c>
      <c r="F46" s="21">
        <v>0</v>
      </c>
    </row>
    <row r="47" spans="1:6" x14ac:dyDescent="0.25">
      <c r="A47">
        <v>1385</v>
      </c>
      <c r="B47" s="16">
        <v>43525</v>
      </c>
      <c r="C47" t="s">
        <v>36</v>
      </c>
      <c r="D47" s="21">
        <v>3348034.2</v>
      </c>
      <c r="E47" s="21">
        <v>-3348034.2</v>
      </c>
      <c r="F47" s="21">
        <v>0</v>
      </c>
    </row>
    <row r="48" spans="1:6" x14ac:dyDescent="0.25">
      <c r="A48">
        <v>1385</v>
      </c>
      <c r="B48" s="16">
        <v>43525</v>
      </c>
      <c r="C48" t="s">
        <v>57</v>
      </c>
      <c r="D48" s="21">
        <v>5214695.8500000006</v>
      </c>
      <c r="E48" s="21">
        <v>-5214695.8500000006</v>
      </c>
      <c r="F48" s="21">
        <v>0</v>
      </c>
    </row>
    <row r="49" spans="1:6" x14ac:dyDescent="0.25">
      <c r="A49">
        <v>1385</v>
      </c>
      <c r="B49" s="16">
        <v>43525</v>
      </c>
      <c r="C49" t="s">
        <v>306</v>
      </c>
      <c r="D49" s="21">
        <v>3348034.2</v>
      </c>
      <c r="E49" s="21">
        <v>-3348034.2</v>
      </c>
      <c r="F49" s="21">
        <v>0</v>
      </c>
    </row>
    <row r="50" spans="1:6" x14ac:dyDescent="0.25">
      <c r="A50">
        <v>1385</v>
      </c>
      <c r="B50" s="16">
        <v>43525</v>
      </c>
      <c r="C50" t="s">
        <v>58</v>
      </c>
      <c r="D50" s="21">
        <v>5142002.25</v>
      </c>
      <c r="E50" s="21">
        <v>-5142002.25</v>
      </c>
      <c r="F50" s="21">
        <v>0</v>
      </c>
    </row>
    <row r="51" spans="1:6" x14ac:dyDescent="0.25">
      <c r="A51">
        <v>1385</v>
      </c>
      <c r="B51" s="16">
        <v>43525</v>
      </c>
      <c r="C51" t="s">
        <v>301</v>
      </c>
      <c r="D51" s="21">
        <v>12913846.050000001</v>
      </c>
      <c r="E51" s="21">
        <v>-12913846.050000001</v>
      </c>
      <c r="F51" s="21">
        <v>0</v>
      </c>
    </row>
    <row r="52" spans="1:6" x14ac:dyDescent="0.25">
      <c r="A52">
        <v>1385</v>
      </c>
      <c r="B52" s="16">
        <v>43525</v>
      </c>
      <c r="C52" t="s">
        <v>307</v>
      </c>
      <c r="D52" s="21">
        <v>19655393.100000001</v>
      </c>
      <c r="E52" s="21">
        <v>-19655393.100000001</v>
      </c>
      <c r="F52" s="21">
        <v>0</v>
      </c>
    </row>
    <row r="53" spans="1:6" x14ac:dyDescent="0.25">
      <c r="A53">
        <v>1385</v>
      </c>
      <c r="B53" s="16">
        <v>43525</v>
      </c>
      <c r="C53" t="s">
        <v>305</v>
      </c>
      <c r="D53" s="21">
        <v>3348034.2</v>
      </c>
      <c r="E53" s="21">
        <v>-3348034.2</v>
      </c>
      <c r="F53" s="21">
        <v>0</v>
      </c>
    </row>
    <row r="54" spans="1:6" x14ac:dyDescent="0.25">
      <c r="A54">
        <v>1385</v>
      </c>
      <c r="B54" s="16">
        <v>43525</v>
      </c>
      <c r="C54" t="s">
        <v>308</v>
      </c>
      <c r="D54" s="21">
        <v>7822044.3000000007</v>
      </c>
      <c r="E54" s="21">
        <v>-7822044.3000000007</v>
      </c>
      <c r="F54" s="21">
        <v>0</v>
      </c>
    </row>
    <row r="55" spans="1:6" x14ac:dyDescent="0.25">
      <c r="A55">
        <v>1385</v>
      </c>
      <c r="B55" s="16">
        <v>43525</v>
      </c>
      <c r="C55" t="s">
        <v>304</v>
      </c>
      <c r="D55" s="21">
        <v>3348034.2</v>
      </c>
      <c r="E55" s="21">
        <v>-3348034.2</v>
      </c>
      <c r="F55" s="21">
        <v>0</v>
      </c>
    </row>
    <row r="56" spans="1:6" x14ac:dyDescent="0.25">
      <c r="A56">
        <v>1385</v>
      </c>
      <c r="B56" s="16">
        <v>43525</v>
      </c>
      <c r="C56" t="s">
        <v>14</v>
      </c>
      <c r="D56" s="21">
        <v>9867809.7000000011</v>
      </c>
      <c r="E56" s="21">
        <v>-9867809.7000000011</v>
      </c>
      <c r="F56" s="21">
        <v>0</v>
      </c>
    </row>
    <row r="57" spans="1:6" x14ac:dyDescent="0.25">
      <c r="A57">
        <v>1385</v>
      </c>
      <c r="B57" s="16">
        <v>43525</v>
      </c>
      <c r="C57" t="s">
        <v>117</v>
      </c>
      <c r="D57" s="21">
        <v>3569121.1500000004</v>
      </c>
      <c r="E57" s="21">
        <v>-3569121.1500000004</v>
      </c>
      <c r="F57" s="21">
        <v>0</v>
      </c>
    </row>
    <row r="58" spans="1:6" x14ac:dyDescent="0.25">
      <c r="A58">
        <v>1385</v>
      </c>
      <c r="B58" s="16">
        <v>43525</v>
      </c>
      <c r="C58" t="s">
        <v>26</v>
      </c>
      <c r="D58" s="21">
        <v>31729419.750000004</v>
      </c>
      <c r="E58" s="21">
        <v>-31729419.750000004</v>
      </c>
      <c r="F58" s="21">
        <v>0</v>
      </c>
    </row>
    <row r="59" spans="1:6" x14ac:dyDescent="0.25">
      <c r="A59">
        <v>1385</v>
      </c>
      <c r="B59" s="16">
        <v>43556</v>
      </c>
      <c r="C59" t="s">
        <v>135</v>
      </c>
      <c r="D59" s="21">
        <v>4240842.9000000004</v>
      </c>
      <c r="E59" s="21">
        <v>-4240842.9000000004</v>
      </c>
      <c r="F59" s="21">
        <v>0</v>
      </c>
    </row>
    <row r="60" spans="1:6" x14ac:dyDescent="0.25">
      <c r="A60">
        <v>1385</v>
      </c>
      <c r="B60" s="16">
        <v>43556</v>
      </c>
      <c r="C60" t="s">
        <v>97</v>
      </c>
      <c r="D60" s="21">
        <v>3348034.2</v>
      </c>
      <c r="E60" s="21">
        <v>-3348034.2</v>
      </c>
      <c r="F60" s="21">
        <v>0</v>
      </c>
    </row>
    <row r="61" spans="1:6" x14ac:dyDescent="0.25">
      <c r="A61">
        <v>1385</v>
      </c>
      <c r="B61" s="16">
        <v>43556</v>
      </c>
      <c r="C61" t="s">
        <v>83</v>
      </c>
      <c r="D61" s="21">
        <v>1989931.6500000001</v>
      </c>
      <c r="E61" s="21">
        <v>-1989931.6500000001</v>
      </c>
      <c r="F61" s="21">
        <v>0</v>
      </c>
    </row>
    <row r="62" spans="1:6" x14ac:dyDescent="0.25">
      <c r="A62">
        <v>1385</v>
      </c>
      <c r="B62" s="16">
        <v>43556</v>
      </c>
      <c r="C62" t="s">
        <v>29</v>
      </c>
      <c r="D62" s="21">
        <v>6819217.6500000004</v>
      </c>
      <c r="E62" s="21">
        <v>-6819217.6500000004</v>
      </c>
      <c r="F62" s="21">
        <v>0</v>
      </c>
    </row>
    <row r="63" spans="1:6" x14ac:dyDescent="0.25">
      <c r="A63">
        <v>1385</v>
      </c>
      <c r="B63" s="16">
        <v>43556</v>
      </c>
      <c r="C63" t="s">
        <v>303</v>
      </c>
      <c r="D63" s="21">
        <v>3348034.2</v>
      </c>
      <c r="E63" s="21">
        <v>-3348034.2</v>
      </c>
      <c r="F63" s="21">
        <v>0</v>
      </c>
    </row>
    <row r="64" spans="1:6" x14ac:dyDescent="0.25">
      <c r="A64">
        <v>1385</v>
      </c>
      <c r="B64" s="16">
        <v>43556</v>
      </c>
      <c r="C64" t="s">
        <v>39</v>
      </c>
      <c r="D64" s="21">
        <v>5214695.8500000006</v>
      </c>
      <c r="E64" s="21">
        <v>-5214695.8500000006</v>
      </c>
      <c r="F64" s="21">
        <v>0</v>
      </c>
    </row>
    <row r="65" spans="1:6" x14ac:dyDescent="0.25">
      <c r="A65">
        <v>1385</v>
      </c>
      <c r="B65" s="16">
        <v>43556</v>
      </c>
      <c r="C65" t="s">
        <v>36</v>
      </c>
      <c r="D65" s="21">
        <v>3348034.2</v>
      </c>
      <c r="E65" s="21">
        <v>-3348034.2</v>
      </c>
      <c r="F65" s="21">
        <v>0</v>
      </c>
    </row>
    <row r="66" spans="1:6" x14ac:dyDescent="0.25">
      <c r="A66">
        <v>1385</v>
      </c>
      <c r="B66" s="16">
        <v>43556</v>
      </c>
      <c r="C66" t="s">
        <v>57</v>
      </c>
      <c r="D66" s="21">
        <v>5214695.8500000006</v>
      </c>
      <c r="E66" s="21">
        <v>-5214695.8500000006</v>
      </c>
      <c r="F66" s="21">
        <v>0</v>
      </c>
    </row>
    <row r="67" spans="1:6" x14ac:dyDescent="0.25">
      <c r="A67">
        <v>1385</v>
      </c>
      <c r="B67" s="16">
        <v>43556</v>
      </c>
      <c r="C67" t="s">
        <v>306</v>
      </c>
      <c r="D67" s="21">
        <v>3348034.2</v>
      </c>
      <c r="E67" s="21">
        <v>-3348034.2</v>
      </c>
      <c r="F67" s="21">
        <v>0</v>
      </c>
    </row>
    <row r="68" spans="1:6" x14ac:dyDescent="0.25">
      <c r="A68">
        <v>1385</v>
      </c>
      <c r="B68" s="16">
        <v>43556</v>
      </c>
      <c r="C68" t="s">
        <v>58</v>
      </c>
      <c r="D68" s="21">
        <v>5142002.25</v>
      </c>
      <c r="E68" s="21">
        <v>-5142002.25</v>
      </c>
      <c r="F68" s="21">
        <v>0</v>
      </c>
    </row>
    <row r="69" spans="1:6" x14ac:dyDescent="0.25">
      <c r="A69">
        <v>1385</v>
      </c>
      <c r="B69" s="16">
        <v>43556</v>
      </c>
      <c r="C69" t="s">
        <v>301</v>
      </c>
      <c r="D69" s="21">
        <v>12913846.050000001</v>
      </c>
      <c r="E69" s="21">
        <v>-12913846.050000001</v>
      </c>
      <c r="F69" s="21">
        <v>0</v>
      </c>
    </row>
    <row r="70" spans="1:6" x14ac:dyDescent="0.25">
      <c r="A70">
        <v>1385</v>
      </c>
      <c r="B70" s="16">
        <v>43556</v>
      </c>
      <c r="C70" t="s">
        <v>307</v>
      </c>
      <c r="D70" s="21">
        <v>19655393.100000001</v>
      </c>
      <c r="E70" s="21">
        <v>-19655393.100000001</v>
      </c>
      <c r="F70" s="21">
        <v>0</v>
      </c>
    </row>
    <row r="71" spans="1:6" x14ac:dyDescent="0.25">
      <c r="A71">
        <v>1385</v>
      </c>
      <c r="B71" s="16">
        <v>43556</v>
      </c>
      <c r="C71" t="s">
        <v>305</v>
      </c>
      <c r="D71" s="21">
        <v>3348034.2</v>
      </c>
      <c r="E71" s="21">
        <v>-3348034.2</v>
      </c>
      <c r="F71" s="21">
        <v>0</v>
      </c>
    </row>
    <row r="72" spans="1:6" x14ac:dyDescent="0.25">
      <c r="A72">
        <v>1385</v>
      </c>
      <c r="B72" s="16">
        <v>43556</v>
      </c>
      <c r="C72" t="s">
        <v>308</v>
      </c>
      <c r="D72" s="21">
        <v>7822044.3000000007</v>
      </c>
      <c r="E72" s="21">
        <v>-7822044.3000000007</v>
      </c>
      <c r="F72" s="21">
        <v>0</v>
      </c>
    </row>
    <row r="73" spans="1:6" x14ac:dyDescent="0.25">
      <c r="A73">
        <v>1385</v>
      </c>
      <c r="B73" s="16">
        <v>43556</v>
      </c>
      <c r="C73" t="s">
        <v>304</v>
      </c>
      <c r="D73" s="21">
        <v>3348034.2</v>
      </c>
      <c r="E73" s="21">
        <v>-3348034.2</v>
      </c>
      <c r="F73" s="21">
        <v>0</v>
      </c>
    </row>
    <row r="74" spans="1:6" x14ac:dyDescent="0.25">
      <c r="A74">
        <v>1385</v>
      </c>
      <c r="B74" s="16">
        <v>43556</v>
      </c>
      <c r="C74" t="s">
        <v>14</v>
      </c>
      <c r="D74" s="21">
        <v>9867809.7000000011</v>
      </c>
      <c r="E74" s="21">
        <v>-9867809.7000000011</v>
      </c>
      <c r="F74" s="21">
        <v>0</v>
      </c>
    </row>
    <row r="75" spans="1:6" x14ac:dyDescent="0.25">
      <c r="A75">
        <v>1385</v>
      </c>
      <c r="B75" s="16">
        <v>43556</v>
      </c>
      <c r="C75" t="s">
        <v>117</v>
      </c>
      <c r="D75" s="21">
        <v>3569121.1500000004</v>
      </c>
      <c r="E75" s="21">
        <v>-3569121.1500000004</v>
      </c>
      <c r="F75" s="21">
        <v>0</v>
      </c>
    </row>
    <row r="76" spans="1:6" x14ac:dyDescent="0.25">
      <c r="A76">
        <v>1385</v>
      </c>
      <c r="B76" s="16">
        <v>43556</v>
      </c>
      <c r="C76" t="s">
        <v>26</v>
      </c>
      <c r="D76" s="21">
        <v>31729419.750000004</v>
      </c>
      <c r="E76" s="21">
        <v>-31729419.750000004</v>
      </c>
      <c r="F76" s="21">
        <v>0</v>
      </c>
    </row>
    <row r="77" spans="1:6" x14ac:dyDescent="0.25">
      <c r="A77">
        <v>1385</v>
      </c>
      <c r="B77" s="16">
        <v>43586</v>
      </c>
      <c r="C77" t="s">
        <v>135</v>
      </c>
      <c r="D77" s="21">
        <v>4240842.9000000004</v>
      </c>
      <c r="E77" s="21">
        <v>-4240842.9000000004</v>
      </c>
      <c r="F77" s="21">
        <v>0</v>
      </c>
    </row>
    <row r="78" spans="1:6" x14ac:dyDescent="0.25">
      <c r="A78">
        <v>1385</v>
      </c>
      <c r="B78" s="16">
        <v>43586</v>
      </c>
      <c r="C78" t="s">
        <v>97</v>
      </c>
      <c r="D78" s="21">
        <v>3348034.2</v>
      </c>
      <c r="E78" s="21">
        <v>-3348034.2</v>
      </c>
      <c r="F78" s="21">
        <v>0</v>
      </c>
    </row>
    <row r="79" spans="1:6" x14ac:dyDescent="0.25">
      <c r="A79">
        <v>1385</v>
      </c>
      <c r="B79" s="16">
        <v>43586</v>
      </c>
      <c r="C79" t="s">
        <v>83</v>
      </c>
      <c r="D79" s="21">
        <v>1989931.6500000001</v>
      </c>
      <c r="E79" s="21">
        <v>-1989931.6500000001</v>
      </c>
      <c r="F79" s="21">
        <v>0</v>
      </c>
    </row>
    <row r="80" spans="1:6" x14ac:dyDescent="0.25">
      <c r="A80">
        <v>1385</v>
      </c>
      <c r="B80" s="16">
        <v>43586</v>
      </c>
      <c r="C80" t="s">
        <v>29</v>
      </c>
      <c r="D80" s="21">
        <v>6819217.6500000004</v>
      </c>
      <c r="E80" s="21">
        <v>-6819217.6500000004</v>
      </c>
      <c r="F80" s="21">
        <v>0</v>
      </c>
    </row>
    <row r="81" spans="1:6" x14ac:dyDescent="0.25">
      <c r="A81">
        <v>1385</v>
      </c>
      <c r="B81" s="16">
        <v>43586</v>
      </c>
      <c r="C81" t="s">
        <v>303</v>
      </c>
      <c r="D81" s="21">
        <v>3348034.2</v>
      </c>
      <c r="E81" s="21">
        <v>-3348034.2</v>
      </c>
      <c r="F81" s="21">
        <v>0</v>
      </c>
    </row>
    <row r="82" spans="1:6" x14ac:dyDescent="0.25">
      <c r="A82">
        <v>1385</v>
      </c>
      <c r="B82" s="16">
        <v>43586</v>
      </c>
      <c r="C82" t="s">
        <v>39</v>
      </c>
      <c r="D82" s="21">
        <v>5214695.8500000006</v>
      </c>
      <c r="E82" s="21">
        <v>-5214695.8500000006</v>
      </c>
      <c r="F82" s="21">
        <v>0</v>
      </c>
    </row>
    <row r="83" spans="1:6" x14ac:dyDescent="0.25">
      <c r="A83">
        <v>1385</v>
      </c>
      <c r="B83" s="16">
        <v>43586</v>
      </c>
      <c r="C83" t="s">
        <v>36</v>
      </c>
      <c r="D83" s="21">
        <v>3348034.2</v>
      </c>
      <c r="E83" s="21">
        <v>-3348034.2</v>
      </c>
      <c r="F83" s="21">
        <v>0</v>
      </c>
    </row>
    <row r="84" spans="1:6" x14ac:dyDescent="0.25">
      <c r="A84">
        <v>1385</v>
      </c>
      <c r="B84" s="16">
        <v>43586</v>
      </c>
      <c r="C84" t="s">
        <v>57</v>
      </c>
      <c r="D84" s="21">
        <v>5214695.8500000006</v>
      </c>
      <c r="E84" s="21">
        <v>-5214695.8500000006</v>
      </c>
      <c r="F84" s="21">
        <v>0</v>
      </c>
    </row>
    <row r="85" spans="1:6" x14ac:dyDescent="0.25">
      <c r="A85">
        <v>1385</v>
      </c>
      <c r="B85" s="16">
        <v>43586</v>
      </c>
      <c r="C85" t="s">
        <v>306</v>
      </c>
      <c r="D85" s="21">
        <v>3348034.2</v>
      </c>
      <c r="E85" s="21">
        <v>-3348034.2</v>
      </c>
      <c r="F85" s="21">
        <v>0</v>
      </c>
    </row>
    <row r="86" spans="1:6" x14ac:dyDescent="0.25">
      <c r="A86">
        <v>1385</v>
      </c>
      <c r="B86" s="16">
        <v>43586</v>
      </c>
      <c r="C86" t="s">
        <v>58</v>
      </c>
      <c r="D86" s="21">
        <v>5142002.25</v>
      </c>
      <c r="E86" s="21">
        <v>-5142002.25</v>
      </c>
      <c r="F86" s="21">
        <v>0</v>
      </c>
    </row>
    <row r="87" spans="1:6" x14ac:dyDescent="0.25">
      <c r="A87">
        <v>1385</v>
      </c>
      <c r="B87" s="16">
        <v>43586</v>
      </c>
      <c r="C87" t="s">
        <v>301</v>
      </c>
      <c r="D87" s="21">
        <v>12913846.050000001</v>
      </c>
      <c r="E87" s="21">
        <v>-12913846.050000001</v>
      </c>
      <c r="F87" s="21">
        <v>0</v>
      </c>
    </row>
    <row r="88" spans="1:6" x14ac:dyDescent="0.25">
      <c r="A88">
        <v>1385</v>
      </c>
      <c r="B88" s="16">
        <v>43586</v>
      </c>
      <c r="C88" t="s">
        <v>307</v>
      </c>
      <c r="D88" s="21">
        <v>19655393.100000001</v>
      </c>
      <c r="E88" s="21">
        <v>-19655393.100000001</v>
      </c>
      <c r="F88" s="21">
        <v>0</v>
      </c>
    </row>
    <row r="89" spans="1:6" x14ac:dyDescent="0.25">
      <c r="A89">
        <v>1385</v>
      </c>
      <c r="B89" s="16">
        <v>43586</v>
      </c>
      <c r="C89" t="s">
        <v>305</v>
      </c>
      <c r="D89" s="21">
        <v>3348034.2</v>
      </c>
      <c r="E89" s="21">
        <v>-3348034.2</v>
      </c>
      <c r="F89" s="21">
        <v>0</v>
      </c>
    </row>
    <row r="90" spans="1:6" x14ac:dyDescent="0.25">
      <c r="A90">
        <v>1385</v>
      </c>
      <c r="B90" s="16">
        <v>43586</v>
      </c>
      <c r="C90" t="s">
        <v>308</v>
      </c>
      <c r="D90" s="21">
        <v>7822044.3000000007</v>
      </c>
      <c r="E90" s="21">
        <v>-7822044.3000000007</v>
      </c>
      <c r="F90" s="21">
        <v>0</v>
      </c>
    </row>
    <row r="91" spans="1:6" x14ac:dyDescent="0.25">
      <c r="A91">
        <v>1385</v>
      </c>
      <c r="B91" s="16">
        <v>43586</v>
      </c>
      <c r="C91" t="s">
        <v>304</v>
      </c>
      <c r="D91" s="21">
        <v>3348034.2</v>
      </c>
      <c r="E91" s="21">
        <v>-3348034.2</v>
      </c>
      <c r="F91" s="21">
        <v>0</v>
      </c>
    </row>
    <row r="92" spans="1:6" x14ac:dyDescent="0.25">
      <c r="A92">
        <v>1385</v>
      </c>
      <c r="B92" s="16">
        <v>43586</v>
      </c>
      <c r="C92" t="s">
        <v>14</v>
      </c>
      <c r="D92" s="21">
        <v>9867809.7000000011</v>
      </c>
      <c r="E92" s="21">
        <v>-9867809.7000000011</v>
      </c>
      <c r="F92" s="21">
        <v>0</v>
      </c>
    </row>
    <row r="93" spans="1:6" x14ac:dyDescent="0.25">
      <c r="A93">
        <v>1385</v>
      </c>
      <c r="B93" s="16">
        <v>43586</v>
      </c>
      <c r="C93" t="s">
        <v>117</v>
      </c>
      <c r="D93" s="21">
        <v>3569121.1500000004</v>
      </c>
      <c r="E93" s="21">
        <v>-3569121.1500000004</v>
      </c>
      <c r="F93" s="21">
        <v>0</v>
      </c>
    </row>
    <row r="94" spans="1:6" x14ac:dyDescent="0.25">
      <c r="A94">
        <v>1385</v>
      </c>
      <c r="B94" s="16">
        <v>43586</v>
      </c>
      <c r="C94" t="s">
        <v>26</v>
      </c>
      <c r="D94" s="21">
        <v>31729419.750000004</v>
      </c>
      <c r="E94" s="21">
        <v>-31729419.750000004</v>
      </c>
      <c r="F94" s="21">
        <v>0</v>
      </c>
    </row>
    <row r="95" spans="1:6" x14ac:dyDescent="0.25">
      <c r="A95">
        <v>1453</v>
      </c>
      <c r="B95" s="16">
        <v>43466</v>
      </c>
      <c r="C95" t="s">
        <v>192</v>
      </c>
      <c r="D95" s="21">
        <v>15250000</v>
      </c>
      <c r="E95" s="21">
        <v>-15250000</v>
      </c>
      <c r="F95" s="21">
        <v>0</v>
      </c>
    </row>
    <row r="96" spans="1:6" x14ac:dyDescent="0.25">
      <c r="A96">
        <v>1453</v>
      </c>
      <c r="B96" s="16">
        <v>43497</v>
      </c>
      <c r="C96" t="s">
        <v>192</v>
      </c>
      <c r="D96" s="21">
        <v>15250000</v>
      </c>
      <c r="E96" s="21">
        <v>-15250000</v>
      </c>
      <c r="F96" s="21">
        <v>0</v>
      </c>
    </row>
    <row r="97" spans="1:6" x14ac:dyDescent="0.25">
      <c r="A97">
        <v>1453</v>
      </c>
      <c r="B97" s="16">
        <v>43525</v>
      </c>
      <c r="C97" t="s">
        <v>192</v>
      </c>
      <c r="D97" s="21">
        <v>15250000</v>
      </c>
      <c r="E97" s="21">
        <v>-15250000</v>
      </c>
      <c r="F97" s="21">
        <v>0</v>
      </c>
    </row>
    <row r="98" spans="1:6" x14ac:dyDescent="0.25">
      <c r="A98">
        <v>1453</v>
      </c>
      <c r="B98" s="16">
        <v>43556</v>
      </c>
      <c r="C98" t="s">
        <v>192</v>
      </c>
      <c r="D98" s="21">
        <v>15250000</v>
      </c>
      <c r="E98" s="21">
        <v>-15250000</v>
      </c>
      <c r="F98" s="21">
        <v>0</v>
      </c>
    </row>
    <row r="99" spans="1:6" x14ac:dyDescent="0.25">
      <c r="A99">
        <v>1453</v>
      </c>
      <c r="B99" s="16">
        <v>43586</v>
      </c>
      <c r="C99" t="s">
        <v>192</v>
      </c>
      <c r="D99" s="21">
        <v>15250000</v>
      </c>
      <c r="E99" s="21">
        <v>-15250000</v>
      </c>
      <c r="F99" s="21">
        <v>0</v>
      </c>
    </row>
    <row r="100" spans="1:6" x14ac:dyDescent="0.25">
      <c r="A100">
        <v>1453</v>
      </c>
      <c r="B100" s="16">
        <v>43617</v>
      </c>
      <c r="C100" t="s">
        <v>192</v>
      </c>
      <c r="D100" s="21">
        <v>15250000</v>
      </c>
      <c r="E100" s="21">
        <v>-15250000</v>
      </c>
      <c r="F100" s="21">
        <v>0</v>
      </c>
    </row>
    <row r="101" spans="1:6" x14ac:dyDescent="0.25">
      <c r="A101">
        <v>1453</v>
      </c>
      <c r="B101" s="16">
        <v>43647</v>
      </c>
      <c r="C101" t="s">
        <v>192</v>
      </c>
      <c r="D101" s="21">
        <v>15250000</v>
      </c>
      <c r="E101" s="21">
        <v>-15250000</v>
      </c>
      <c r="F101" s="21">
        <v>0</v>
      </c>
    </row>
    <row r="102" spans="1:6" x14ac:dyDescent="0.25">
      <c r="A102">
        <v>1453</v>
      </c>
      <c r="B102" s="16">
        <v>43678</v>
      </c>
      <c r="C102" t="s">
        <v>192</v>
      </c>
      <c r="D102" s="21">
        <v>15250000</v>
      </c>
      <c r="E102" s="21">
        <v>-15250000</v>
      </c>
      <c r="F102" s="21">
        <v>0</v>
      </c>
    </row>
    <row r="103" spans="1:6" x14ac:dyDescent="0.25">
      <c r="A103">
        <v>1453</v>
      </c>
      <c r="B103" s="16">
        <v>43709</v>
      </c>
      <c r="C103" t="s">
        <v>192</v>
      </c>
      <c r="D103" s="21">
        <v>15250000</v>
      </c>
      <c r="E103" s="21">
        <v>-15250000</v>
      </c>
      <c r="F103" s="21">
        <v>0</v>
      </c>
    </row>
    <row r="104" spans="1:6" x14ac:dyDescent="0.25">
      <c r="A104">
        <v>1453</v>
      </c>
      <c r="B104" s="16">
        <v>43739</v>
      </c>
      <c r="C104" t="s">
        <v>192</v>
      </c>
      <c r="D104" s="21">
        <v>15250000</v>
      </c>
      <c r="E104" s="21">
        <v>-15250000</v>
      </c>
      <c r="F104" s="21">
        <v>0</v>
      </c>
    </row>
    <row r="105" spans="1:6" x14ac:dyDescent="0.25">
      <c r="A105">
        <v>1453</v>
      </c>
      <c r="B105" s="16">
        <v>43770</v>
      </c>
      <c r="C105" t="s">
        <v>192</v>
      </c>
      <c r="D105" s="21">
        <v>15250000</v>
      </c>
      <c r="E105" s="21">
        <v>-15250000</v>
      </c>
      <c r="F105" s="21">
        <v>0</v>
      </c>
    </row>
    <row r="106" spans="1:6" x14ac:dyDescent="0.25">
      <c r="A106">
        <v>1453</v>
      </c>
      <c r="B106" s="16">
        <v>43800</v>
      </c>
      <c r="C106" t="s">
        <v>192</v>
      </c>
      <c r="D106" s="21">
        <v>15250000</v>
      </c>
      <c r="E106" s="21">
        <v>-15250000</v>
      </c>
      <c r="F106" s="21">
        <v>0</v>
      </c>
    </row>
    <row r="107" spans="1:6" x14ac:dyDescent="0.25">
      <c r="A107">
        <v>1507</v>
      </c>
      <c r="B107" s="16">
        <v>43617</v>
      </c>
      <c r="C107" t="s">
        <v>192</v>
      </c>
      <c r="D107" s="21">
        <v>577000000</v>
      </c>
      <c r="E107" s="21">
        <v>-577000000</v>
      </c>
      <c r="F107" s="21">
        <v>0</v>
      </c>
    </row>
    <row r="108" spans="1:6" x14ac:dyDescent="0.25">
      <c r="A108">
        <v>1577</v>
      </c>
      <c r="B108" s="16">
        <v>43466</v>
      </c>
      <c r="C108" t="s">
        <v>248</v>
      </c>
      <c r="D108" s="21">
        <v>3802042.7746875011</v>
      </c>
      <c r="E108" s="21">
        <v>-3802042.7746875011</v>
      </c>
      <c r="F108" s="21">
        <v>0</v>
      </c>
    </row>
    <row r="109" spans="1:6" x14ac:dyDescent="0.25">
      <c r="A109">
        <v>1577</v>
      </c>
      <c r="B109" s="16">
        <v>43466</v>
      </c>
      <c r="C109" t="s">
        <v>59</v>
      </c>
      <c r="D109" s="21">
        <v>7764897.026250002</v>
      </c>
      <c r="E109" s="21">
        <v>-7764897.026250002</v>
      </c>
      <c r="F109" s="21">
        <v>0</v>
      </c>
    </row>
    <row r="110" spans="1:6" x14ac:dyDescent="0.25">
      <c r="A110">
        <v>1577</v>
      </c>
      <c r="B110" s="16">
        <v>43466</v>
      </c>
      <c r="C110" t="s">
        <v>106</v>
      </c>
      <c r="D110" s="21">
        <v>3802042.7746875011</v>
      </c>
      <c r="E110" s="21">
        <v>-3802042.7746875011</v>
      </c>
      <c r="F110" s="21">
        <v>0</v>
      </c>
    </row>
    <row r="111" spans="1:6" x14ac:dyDescent="0.25">
      <c r="A111">
        <v>1577</v>
      </c>
      <c r="B111" s="16">
        <v>43466</v>
      </c>
      <c r="C111" t="s">
        <v>12</v>
      </c>
      <c r="D111" s="21">
        <v>11787098.370468752</v>
      </c>
      <c r="E111" s="21">
        <v>-11787098.370468752</v>
      </c>
      <c r="F111" s="21">
        <v>0</v>
      </c>
    </row>
    <row r="112" spans="1:6" x14ac:dyDescent="0.25">
      <c r="A112">
        <v>1577</v>
      </c>
      <c r="B112" s="16">
        <v>43466</v>
      </c>
      <c r="C112" t="s">
        <v>237</v>
      </c>
      <c r="D112" s="21">
        <v>8143952.6503125019</v>
      </c>
      <c r="E112" s="21">
        <v>-8143952.6503125019</v>
      </c>
      <c r="F112" s="21">
        <v>0</v>
      </c>
    </row>
    <row r="113" spans="1:6" x14ac:dyDescent="0.25">
      <c r="A113">
        <v>1577</v>
      </c>
      <c r="B113" s="16">
        <v>43466</v>
      </c>
      <c r="C113" t="s">
        <v>242</v>
      </c>
      <c r="D113" s="21">
        <v>3802042.7746875011</v>
      </c>
      <c r="E113" s="21">
        <v>-3802042.7746875011</v>
      </c>
      <c r="F113" s="21">
        <v>0</v>
      </c>
    </row>
    <row r="114" spans="1:6" x14ac:dyDescent="0.25">
      <c r="A114">
        <v>1577</v>
      </c>
      <c r="B114" s="16">
        <v>43466</v>
      </c>
      <c r="C114" t="s">
        <v>14</v>
      </c>
      <c r="D114" s="21">
        <v>9796099.1329687536</v>
      </c>
      <c r="E114" s="21">
        <v>-9796099.1329687536</v>
      </c>
      <c r="F114" s="21">
        <v>0</v>
      </c>
    </row>
    <row r="115" spans="1:6" x14ac:dyDescent="0.25">
      <c r="A115">
        <v>1577</v>
      </c>
      <c r="B115" s="16">
        <v>43466</v>
      </c>
      <c r="C115" t="s">
        <v>246</v>
      </c>
      <c r="D115" s="21">
        <v>3802042.7746875011</v>
      </c>
      <c r="E115" s="21">
        <v>-3802042.7746875011</v>
      </c>
      <c r="F115" s="21">
        <v>0</v>
      </c>
    </row>
    <row r="116" spans="1:6" x14ac:dyDescent="0.25">
      <c r="A116">
        <v>1577</v>
      </c>
      <c r="B116" s="16">
        <v>43466</v>
      </c>
      <c r="C116" t="s">
        <v>239</v>
      </c>
      <c r="D116" s="21">
        <v>6891920.4375000019</v>
      </c>
      <c r="E116" s="21">
        <v>-6891920.4375000019</v>
      </c>
      <c r="F116" s="21">
        <v>0</v>
      </c>
    </row>
    <row r="117" spans="1:6" x14ac:dyDescent="0.25">
      <c r="A117">
        <v>1577</v>
      </c>
      <c r="B117" s="16">
        <v>43466</v>
      </c>
      <c r="C117" t="s">
        <v>192</v>
      </c>
      <c r="D117" s="21">
        <v>33000000</v>
      </c>
      <c r="E117" s="21">
        <v>-33000000</v>
      </c>
      <c r="F117" s="21">
        <v>0</v>
      </c>
    </row>
    <row r="118" spans="1:6" x14ac:dyDescent="0.25">
      <c r="A118">
        <v>1577</v>
      </c>
      <c r="B118" s="16">
        <v>43466</v>
      </c>
      <c r="C118" t="s">
        <v>230</v>
      </c>
      <c r="D118" s="21">
        <v>8143952.6503125019</v>
      </c>
      <c r="E118" s="21">
        <v>-8143952.6503125019</v>
      </c>
      <c r="F118" s="21">
        <v>0</v>
      </c>
    </row>
    <row r="119" spans="1:6" x14ac:dyDescent="0.25">
      <c r="A119">
        <v>1577</v>
      </c>
      <c r="B119" s="16">
        <v>43466</v>
      </c>
      <c r="C119" t="s">
        <v>19</v>
      </c>
      <c r="D119" s="21">
        <v>3685661.2115662512</v>
      </c>
      <c r="E119" s="21">
        <v>-3685661.2115662512</v>
      </c>
      <c r="F119" s="21">
        <v>0</v>
      </c>
    </row>
    <row r="120" spans="1:6" x14ac:dyDescent="0.25">
      <c r="A120">
        <v>1577</v>
      </c>
      <c r="B120" s="16">
        <v>43466</v>
      </c>
      <c r="C120" t="s">
        <v>231</v>
      </c>
      <c r="D120" s="21">
        <v>6891920.4375000019</v>
      </c>
      <c r="E120" s="21">
        <v>-6891920.4375000019</v>
      </c>
      <c r="F120" s="21">
        <v>0</v>
      </c>
    </row>
    <row r="121" spans="1:6" x14ac:dyDescent="0.25">
      <c r="A121">
        <v>1577</v>
      </c>
      <c r="B121" s="16">
        <v>43466</v>
      </c>
      <c r="C121" t="s">
        <v>244</v>
      </c>
      <c r="D121" s="21">
        <v>3802042.7746875011</v>
      </c>
      <c r="E121" s="21">
        <v>-3802042.7746875011</v>
      </c>
      <c r="F121" s="21">
        <v>0</v>
      </c>
    </row>
    <row r="122" spans="1:6" x14ac:dyDescent="0.25">
      <c r="A122">
        <v>1577</v>
      </c>
      <c r="B122" s="16">
        <v>43466</v>
      </c>
      <c r="C122" t="s">
        <v>245</v>
      </c>
      <c r="D122" s="21">
        <v>6769397.4075000016</v>
      </c>
      <c r="E122" s="21">
        <v>-6769397.4075000016</v>
      </c>
      <c r="F122" s="21">
        <v>0</v>
      </c>
    </row>
    <row r="123" spans="1:6" x14ac:dyDescent="0.25">
      <c r="A123">
        <v>1577</v>
      </c>
      <c r="B123" s="16">
        <v>43497</v>
      </c>
      <c r="C123" t="s">
        <v>248</v>
      </c>
      <c r="D123" s="21">
        <v>3802042.7746875011</v>
      </c>
      <c r="E123" s="21">
        <v>-3802042.7746875011</v>
      </c>
      <c r="F123" s="21">
        <v>0</v>
      </c>
    </row>
    <row r="124" spans="1:6" x14ac:dyDescent="0.25">
      <c r="A124">
        <v>1577</v>
      </c>
      <c r="B124" s="16">
        <v>43497</v>
      </c>
      <c r="C124" t="s">
        <v>106</v>
      </c>
      <c r="D124" s="21">
        <v>3802042.7746875011</v>
      </c>
      <c r="E124" s="21">
        <v>-3802042.7746875011</v>
      </c>
      <c r="F124" s="21">
        <v>0</v>
      </c>
    </row>
    <row r="125" spans="1:6" x14ac:dyDescent="0.25">
      <c r="A125">
        <v>1577</v>
      </c>
      <c r="B125" s="16">
        <v>43497</v>
      </c>
      <c r="C125" t="s">
        <v>19</v>
      </c>
      <c r="D125" s="21">
        <v>3685661.2115662512</v>
      </c>
      <c r="E125" s="21">
        <v>-3685661.2115662512</v>
      </c>
      <c r="F125" s="21">
        <v>0</v>
      </c>
    </row>
    <row r="126" spans="1:6" x14ac:dyDescent="0.25">
      <c r="A126">
        <v>1577</v>
      </c>
      <c r="B126" s="16">
        <v>43497</v>
      </c>
      <c r="C126" t="s">
        <v>14</v>
      </c>
      <c r="D126" s="21">
        <v>9796099.1329687536</v>
      </c>
      <c r="E126" s="21">
        <v>-9796099.1329687536</v>
      </c>
      <c r="F126" s="21">
        <v>0</v>
      </c>
    </row>
    <row r="127" spans="1:6" x14ac:dyDescent="0.25">
      <c r="A127">
        <v>1577</v>
      </c>
      <c r="B127" s="16">
        <v>43497</v>
      </c>
      <c r="C127" t="s">
        <v>192</v>
      </c>
      <c r="D127" s="21">
        <v>33000000</v>
      </c>
      <c r="E127" s="21">
        <v>-33000000</v>
      </c>
      <c r="F127" s="21">
        <v>0</v>
      </c>
    </row>
    <row r="128" spans="1:6" x14ac:dyDescent="0.25">
      <c r="A128">
        <v>1577</v>
      </c>
      <c r="B128" s="16">
        <v>43497</v>
      </c>
      <c r="C128" t="s">
        <v>239</v>
      </c>
      <c r="D128" s="21">
        <v>6891920.4375000019</v>
      </c>
      <c r="E128" s="21">
        <v>-6891920.4375000019</v>
      </c>
      <c r="F128" s="21">
        <v>0</v>
      </c>
    </row>
    <row r="129" spans="1:6" x14ac:dyDescent="0.25">
      <c r="A129">
        <v>1577</v>
      </c>
      <c r="B129" s="16">
        <v>43497</v>
      </c>
      <c r="C129" t="s">
        <v>59</v>
      </c>
      <c r="D129" s="21">
        <v>7764897.026250002</v>
      </c>
      <c r="E129" s="21">
        <v>-7764897.026250002</v>
      </c>
      <c r="F129" s="21">
        <v>0</v>
      </c>
    </row>
    <row r="130" spans="1:6" x14ac:dyDescent="0.25">
      <c r="A130">
        <v>1577</v>
      </c>
      <c r="B130" s="16">
        <v>43497</v>
      </c>
      <c r="C130" t="s">
        <v>230</v>
      </c>
      <c r="D130" s="21">
        <v>8143952.6503125019</v>
      </c>
      <c r="E130" s="21">
        <v>-8143952.6503125019</v>
      </c>
      <c r="F130" s="21">
        <v>0</v>
      </c>
    </row>
    <row r="131" spans="1:6" x14ac:dyDescent="0.25">
      <c r="A131">
        <v>1577</v>
      </c>
      <c r="B131" s="16">
        <v>43497</v>
      </c>
      <c r="C131" t="s">
        <v>246</v>
      </c>
      <c r="D131" s="21">
        <v>3802042.7746875011</v>
      </c>
      <c r="E131" s="21">
        <v>-3802042.7746875011</v>
      </c>
      <c r="F131" s="21">
        <v>0</v>
      </c>
    </row>
    <row r="132" spans="1:6" x14ac:dyDescent="0.25">
      <c r="A132">
        <v>1577</v>
      </c>
      <c r="B132" s="16">
        <v>43497</v>
      </c>
      <c r="C132" t="s">
        <v>231</v>
      </c>
      <c r="D132" s="21">
        <v>6891920.4375000019</v>
      </c>
      <c r="E132" s="21">
        <v>-6891920.4375000019</v>
      </c>
      <c r="F132" s="21">
        <v>0</v>
      </c>
    </row>
    <row r="133" spans="1:6" x14ac:dyDescent="0.25">
      <c r="A133">
        <v>1577</v>
      </c>
      <c r="B133" s="16">
        <v>43497</v>
      </c>
      <c r="C133" t="s">
        <v>12</v>
      </c>
      <c r="D133" s="21">
        <v>11787098.370468752</v>
      </c>
      <c r="E133" s="21">
        <v>-11787098.370468752</v>
      </c>
      <c r="F133" s="21">
        <v>0</v>
      </c>
    </row>
    <row r="134" spans="1:6" x14ac:dyDescent="0.25">
      <c r="A134">
        <v>1577</v>
      </c>
      <c r="B134" s="16">
        <v>43497</v>
      </c>
      <c r="C134" t="s">
        <v>245</v>
      </c>
      <c r="D134" s="21">
        <v>6769397.4075000016</v>
      </c>
      <c r="E134" s="21">
        <v>-6769397.4075000016</v>
      </c>
      <c r="F134" s="21">
        <v>0</v>
      </c>
    </row>
    <row r="135" spans="1:6" x14ac:dyDescent="0.25">
      <c r="A135">
        <v>1577</v>
      </c>
      <c r="B135" s="16">
        <v>43525</v>
      </c>
      <c r="C135" t="s">
        <v>248</v>
      </c>
      <c r="D135" s="21">
        <v>3802042.7746875011</v>
      </c>
      <c r="E135" s="21">
        <v>-3802042.7746875011</v>
      </c>
      <c r="F135" s="21">
        <v>0</v>
      </c>
    </row>
    <row r="136" spans="1:6" x14ac:dyDescent="0.25">
      <c r="A136">
        <v>1577</v>
      </c>
      <c r="B136" s="16">
        <v>43525</v>
      </c>
      <c r="C136" t="s">
        <v>106</v>
      </c>
      <c r="D136" s="21">
        <v>3802042.7746875011</v>
      </c>
      <c r="E136" s="21">
        <v>-3802042.7746875011</v>
      </c>
      <c r="F136" s="21">
        <v>0</v>
      </c>
    </row>
    <row r="137" spans="1:6" x14ac:dyDescent="0.25">
      <c r="A137">
        <v>1577</v>
      </c>
      <c r="B137" s="16">
        <v>43525</v>
      </c>
      <c r="C137" t="s">
        <v>19</v>
      </c>
      <c r="D137" s="21">
        <v>3685661.2115662512</v>
      </c>
      <c r="E137" s="21">
        <v>-3685661.2115662512</v>
      </c>
      <c r="F137" s="21">
        <v>0</v>
      </c>
    </row>
    <row r="138" spans="1:6" x14ac:dyDescent="0.25">
      <c r="A138">
        <v>1577</v>
      </c>
      <c r="B138" s="16">
        <v>43525</v>
      </c>
      <c r="C138" t="s">
        <v>14</v>
      </c>
      <c r="D138" s="21">
        <v>9796099.1329687536</v>
      </c>
      <c r="E138" s="21">
        <v>-9796099.1329687536</v>
      </c>
      <c r="F138" s="21">
        <v>0</v>
      </c>
    </row>
    <row r="139" spans="1:6" x14ac:dyDescent="0.25">
      <c r="A139">
        <v>1577</v>
      </c>
      <c r="B139" s="16">
        <v>43525</v>
      </c>
      <c r="C139" t="s">
        <v>192</v>
      </c>
      <c r="D139" s="21">
        <v>33000000</v>
      </c>
      <c r="E139" s="21">
        <v>-33000000</v>
      </c>
      <c r="F139" s="21">
        <v>0</v>
      </c>
    </row>
    <row r="140" spans="1:6" x14ac:dyDescent="0.25">
      <c r="A140">
        <v>1577</v>
      </c>
      <c r="B140" s="16">
        <v>43525</v>
      </c>
      <c r="C140" t="s">
        <v>239</v>
      </c>
      <c r="D140" s="21">
        <v>6891920.4375000019</v>
      </c>
      <c r="E140" s="21">
        <v>-6891920.4375000019</v>
      </c>
      <c r="F140" s="21">
        <v>0</v>
      </c>
    </row>
    <row r="141" spans="1:6" x14ac:dyDescent="0.25">
      <c r="A141">
        <v>1577</v>
      </c>
      <c r="B141" s="16">
        <v>43525</v>
      </c>
      <c r="C141" t="s">
        <v>59</v>
      </c>
      <c r="D141" s="21">
        <v>7764897.026250002</v>
      </c>
      <c r="E141" s="21">
        <v>-7764897.026250002</v>
      </c>
      <c r="F141" s="21">
        <v>0</v>
      </c>
    </row>
    <row r="142" spans="1:6" x14ac:dyDescent="0.25">
      <c r="A142">
        <v>1577</v>
      </c>
      <c r="B142" s="16">
        <v>43525</v>
      </c>
      <c r="C142" t="s">
        <v>230</v>
      </c>
      <c r="D142" s="21">
        <v>8143952.6503125019</v>
      </c>
      <c r="E142" s="21">
        <v>-8143952.6503125019</v>
      </c>
      <c r="F142" s="21">
        <v>0</v>
      </c>
    </row>
    <row r="143" spans="1:6" x14ac:dyDescent="0.25">
      <c r="A143">
        <v>1577</v>
      </c>
      <c r="B143" s="16">
        <v>43525</v>
      </c>
      <c r="C143" t="s">
        <v>246</v>
      </c>
      <c r="D143" s="21">
        <v>3802042.7746875011</v>
      </c>
      <c r="E143" s="21">
        <v>-3802042.7746875011</v>
      </c>
      <c r="F143" s="21">
        <v>0</v>
      </c>
    </row>
    <row r="144" spans="1:6" x14ac:dyDescent="0.25">
      <c r="A144">
        <v>1577</v>
      </c>
      <c r="B144" s="16">
        <v>43525</v>
      </c>
      <c r="C144" t="s">
        <v>231</v>
      </c>
      <c r="D144" s="21">
        <v>6891920.4375000019</v>
      </c>
      <c r="E144" s="21">
        <v>-6891920.4375000019</v>
      </c>
      <c r="F144" s="21">
        <v>0</v>
      </c>
    </row>
    <row r="145" spans="1:6" x14ac:dyDescent="0.25">
      <c r="A145">
        <v>1577</v>
      </c>
      <c r="B145" s="16">
        <v>43525</v>
      </c>
      <c r="C145" t="s">
        <v>12</v>
      </c>
      <c r="D145" s="21">
        <v>11787098.370468752</v>
      </c>
      <c r="E145" s="21">
        <v>-11787098.370468752</v>
      </c>
      <c r="F145" s="21">
        <v>0</v>
      </c>
    </row>
    <row r="146" spans="1:6" x14ac:dyDescent="0.25">
      <c r="A146">
        <v>1577</v>
      </c>
      <c r="B146" s="16">
        <v>43525</v>
      </c>
      <c r="C146" t="s">
        <v>245</v>
      </c>
      <c r="D146" s="21">
        <v>6769397.4075000016</v>
      </c>
      <c r="E146" s="21">
        <v>-6769397.4075000016</v>
      </c>
      <c r="F146" s="21">
        <v>0</v>
      </c>
    </row>
    <row r="147" spans="1:6" x14ac:dyDescent="0.25">
      <c r="A147">
        <v>1577</v>
      </c>
      <c r="B147" s="16">
        <v>43556</v>
      </c>
      <c r="C147" t="s">
        <v>248</v>
      </c>
      <c r="D147" s="21">
        <v>3802042.7746875011</v>
      </c>
      <c r="E147" s="21">
        <v>-3802042.7746875011</v>
      </c>
      <c r="F147" s="21">
        <v>0</v>
      </c>
    </row>
    <row r="148" spans="1:6" x14ac:dyDescent="0.25">
      <c r="A148">
        <v>1577</v>
      </c>
      <c r="B148" s="16">
        <v>43556</v>
      </c>
      <c r="C148" t="s">
        <v>59</v>
      </c>
      <c r="D148" s="21">
        <v>7764897.026250002</v>
      </c>
      <c r="E148" s="21">
        <v>-7764897.026250002</v>
      </c>
      <c r="F148" s="21">
        <v>0</v>
      </c>
    </row>
    <row r="149" spans="1:6" x14ac:dyDescent="0.25">
      <c r="A149">
        <v>1577</v>
      </c>
      <c r="B149" s="16">
        <v>43556</v>
      </c>
      <c r="C149" t="s">
        <v>106</v>
      </c>
      <c r="D149" s="21">
        <v>3802042.7746875011</v>
      </c>
      <c r="E149" s="21">
        <v>-3802042.7746875011</v>
      </c>
      <c r="F149" s="21">
        <v>0</v>
      </c>
    </row>
    <row r="150" spans="1:6" x14ac:dyDescent="0.25">
      <c r="A150">
        <v>1577</v>
      </c>
      <c r="B150" s="16">
        <v>43556</v>
      </c>
      <c r="C150" t="s">
        <v>12</v>
      </c>
      <c r="D150" s="21">
        <v>11787098.370468752</v>
      </c>
      <c r="E150" s="21">
        <v>-11787098.370468752</v>
      </c>
      <c r="F150" s="21">
        <v>0</v>
      </c>
    </row>
    <row r="151" spans="1:6" x14ac:dyDescent="0.25">
      <c r="A151">
        <v>1577</v>
      </c>
      <c r="B151" s="16">
        <v>43556</v>
      </c>
      <c r="C151" t="s">
        <v>14</v>
      </c>
      <c r="D151" s="21">
        <v>9796099.1329687536</v>
      </c>
      <c r="E151" s="21">
        <v>-9796099.1329687536</v>
      </c>
      <c r="F151" s="21">
        <v>0</v>
      </c>
    </row>
    <row r="152" spans="1:6" x14ac:dyDescent="0.25">
      <c r="A152">
        <v>1577</v>
      </c>
      <c r="B152" s="16">
        <v>43556</v>
      </c>
      <c r="C152" t="s">
        <v>246</v>
      </c>
      <c r="D152" s="21">
        <v>3802042.7746875011</v>
      </c>
      <c r="E152" s="21">
        <v>-3802042.7746875011</v>
      </c>
      <c r="F152" s="21">
        <v>0</v>
      </c>
    </row>
    <row r="153" spans="1:6" x14ac:dyDescent="0.25">
      <c r="A153">
        <v>1577</v>
      </c>
      <c r="B153" s="16">
        <v>43556</v>
      </c>
      <c r="C153" t="s">
        <v>239</v>
      </c>
      <c r="D153" s="21">
        <v>6891920.4375000019</v>
      </c>
      <c r="E153" s="21">
        <v>-6891920.4375000019</v>
      </c>
      <c r="F153" s="21">
        <v>0</v>
      </c>
    </row>
    <row r="154" spans="1:6" x14ac:dyDescent="0.25">
      <c r="A154">
        <v>1577</v>
      </c>
      <c r="B154" s="16">
        <v>43556</v>
      </c>
      <c r="C154" t="s">
        <v>192</v>
      </c>
      <c r="D154" s="21">
        <v>33000000</v>
      </c>
      <c r="E154" s="21">
        <v>-33000000</v>
      </c>
      <c r="F154" s="21">
        <v>0</v>
      </c>
    </row>
    <row r="155" spans="1:6" x14ac:dyDescent="0.25">
      <c r="A155">
        <v>1577</v>
      </c>
      <c r="B155" s="16">
        <v>43556</v>
      </c>
      <c r="C155" t="s">
        <v>230</v>
      </c>
      <c r="D155" s="21">
        <v>8143952.6503125019</v>
      </c>
      <c r="E155" s="21">
        <v>-8143952.6503125019</v>
      </c>
      <c r="F155" s="21">
        <v>0</v>
      </c>
    </row>
    <row r="156" spans="1:6" x14ac:dyDescent="0.25">
      <c r="A156">
        <v>1577</v>
      </c>
      <c r="B156" s="16">
        <v>43556</v>
      </c>
      <c r="C156" t="s">
        <v>19</v>
      </c>
      <c r="D156" s="21">
        <v>3685661.2115662512</v>
      </c>
      <c r="E156" s="21">
        <v>-3685661.2115662512</v>
      </c>
      <c r="F156" s="21">
        <v>0</v>
      </c>
    </row>
    <row r="157" spans="1:6" x14ac:dyDescent="0.25">
      <c r="A157">
        <v>1577</v>
      </c>
      <c r="B157" s="16">
        <v>43556</v>
      </c>
      <c r="C157" t="s">
        <v>231</v>
      </c>
      <c r="D157" s="21">
        <v>6891920.4375000019</v>
      </c>
      <c r="E157" s="21">
        <v>-6891920.4375000019</v>
      </c>
      <c r="F157" s="21">
        <v>0</v>
      </c>
    </row>
    <row r="158" spans="1:6" x14ac:dyDescent="0.25">
      <c r="A158">
        <v>1577</v>
      </c>
      <c r="B158" s="16">
        <v>43586</v>
      </c>
      <c r="C158" t="s">
        <v>248</v>
      </c>
      <c r="D158" s="21">
        <v>3802042.7746875011</v>
      </c>
      <c r="E158" s="21">
        <v>-3802042.7746875011</v>
      </c>
      <c r="F158" s="21">
        <v>0</v>
      </c>
    </row>
    <row r="159" spans="1:6" x14ac:dyDescent="0.25">
      <c r="A159">
        <v>1577</v>
      </c>
      <c r="B159" s="16">
        <v>43586</v>
      </c>
      <c r="C159" t="s">
        <v>59</v>
      </c>
      <c r="D159" s="21">
        <v>7764897.026250002</v>
      </c>
      <c r="E159" s="21">
        <v>-7764897.026250002</v>
      </c>
      <c r="F159" s="21">
        <v>0</v>
      </c>
    </row>
    <row r="160" spans="1:6" x14ac:dyDescent="0.25">
      <c r="A160">
        <v>1577</v>
      </c>
      <c r="B160" s="16">
        <v>43586</v>
      </c>
      <c r="C160" t="s">
        <v>106</v>
      </c>
      <c r="D160" s="21">
        <v>3802042.7746875011</v>
      </c>
      <c r="E160" s="21">
        <v>-3802042.7746875011</v>
      </c>
      <c r="F160" s="21">
        <v>0</v>
      </c>
    </row>
    <row r="161" spans="1:6" x14ac:dyDescent="0.25">
      <c r="A161">
        <v>1577</v>
      </c>
      <c r="B161" s="16">
        <v>43586</v>
      </c>
      <c r="C161" t="s">
        <v>12</v>
      </c>
      <c r="D161" s="21">
        <v>11787098.370468752</v>
      </c>
      <c r="E161" s="21">
        <v>-11787098.370468752</v>
      </c>
      <c r="F161" s="21">
        <v>0</v>
      </c>
    </row>
    <row r="162" spans="1:6" x14ac:dyDescent="0.25">
      <c r="A162">
        <v>1577</v>
      </c>
      <c r="B162" s="16">
        <v>43586</v>
      </c>
      <c r="C162" t="s">
        <v>14</v>
      </c>
      <c r="D162" s="21">
        <v>9796099.1329687536</v>
      </c>
      <c r="E162" s="21">
        <v>-9796099.1329687536</v>
      </c>
      <c r="F162" s="21">
        <v>0</v>
      </c>
    </row>
    <row r="163" spans="1:6" x14ac:dyDescent="0.25">
      <c r="A163">
        <v>1577</v>
      </c>
      <c r="B163" s="16">
        <v>43586</v>
      </c>
      <c r="C163" t="s">
        <v>246</v>
      </c>
      <c r="D163" s="21">
        <v>3802042.7746875011</v>
      </c>
      <c r="E163" s="21">
        <v>-3802042.7746875011</v>
      </c>
      <c r="F163" s="21">
        <v>0</v>
      </c>
    </row>
    <row r="164" spans="1:6" x14ac:dyDescent="0.25">
      <c r="A164">
        <v>1577</v>
      </c>
      <c r="B164" s="16">
        <v>43586</v>
      </c>
      <c r="C164" t="s">
        <v>239</v>
      </c>
      <c r="D164" s="21">
        <v>6891920.4375000019</v>
      </c>
      <c r="E164" s="21">
        <v>-6891920.4375000019</v>
      </c>
      <c r="F164" s="21">
        <v>0</v>
      </c>
    </row>
    <row r="165" spans="1:6" x14ac:dyDescent="0.25">
      <c r="A165">
        <v>1577</v>
      </c>
      <c r="B165" s="16">
        <v>43586</v>
      </c>
      <c r="C165" t="s">
        <v>192</v>
      </c>
      <c r="D165" s="21">
        <v>33000000</v>
      </c>
      <c r="E165" s="21">
        <v>-33000000</v>
      </c>
      <c r="F165" s="21">
        <v>0</v>
      </c>
    </row>
    <row r="166" spans="1:6" x14ac:dyDescent="0.25">
      <c r="A166">
        <v>1577</v>
      </c>
      <c r="B166" s="16">
        <v>43586</v>
      </c>
      <c r="C166" t="s">
        <v>230</v>
      </c>
      <c r="D166" s="21">
        <v>8143952.6503125019</v>
      </c>
      <c r="E166" s="21">
        <v>-8143952.6503125019</v>
      </c>
      <c r="F166" s="21">
        <v>0</v>
      </c>
    </row>
    <row r="167" spans="1:6" x14ac:dyDescent="0.25">
      <c r="A167">
        <v>1577</v>
      </c>
      <c r="B167" s="16">
        <v>43586</v>
      </c>
      <c r="C167" t="s">
        <v>19</v>
      </c>
      <c r="D167" s="21">
        <v>3685661.2115662512</v>
      </c>
      <c r="E167" s="21">
        <v>-3685661.2115662512</v>
      </c>
      <c r="F167" s="21">
        <v>0</v>
      </c>
    </row>
    <row r="168" spans="1:6" x14ac:dyDescent="0.25">
      <c r="A168">
        <v>1577</v>
      </c>
      <c r="B168" s="16">
        <v>43586</v>
      </c>
      <c r="C168" t="s">
        <v>231</v>
      </c>
      <c r="D168" s="21">
        <v>6891920.4375000019</v>
      </c>
      <c r="E168" s="21">
        <v>-6891920.4375000019</v>
      </c>
      <c r="F168" s="21">
        <v>0</v>
      </c>
    </row>
    <row r="169" spans="1:6" x14ac:dyDescent="0.25">
      <c r="A169">
        <v>1577</v>
      </c>
      <c r="B169" s="16">
        <v>43617</v>
      </c>
      <c r="C169" t="s">
        <v>19</v>
      </c>
      <c r="D169" s="21">
        <v>3685661.2115662512</v>
      </c>
      <c r="E169" s="21">
        <v>-3685661.2115662512</v>
      </c>
      <c r="F169" s="21">
        <v>0</v>
      </c>
    </row>
    <row r="170" spans="1:6" x14ac:dyDescent="0.25">
      <c r="A170">
        <v>1577</v>
      </c>
      <c r="B170" s="16">
        <v>43617</v>
      </c>
      <c r="C170" t="s">
        <v>12</v>
      </c>
      <c r="D170" s="21">
        <v>11787098.370468752</v>
      </c>
      <c r="E170" s="21">
        <v>-11787098.370468752</v>
      </c>
      <c r="F170" s="21">
        <v>0</v>
      </c>
    </row>
    <row r="171" spans="1:6" x14ac:dyDescent="0.25">
      <c r="A171">
        <v>1577</v>
      </c>
      <c r="B171" s="16">
        <v>43617</v>
      </c>
      <c r="C171" t="s">
        <v>59</v>
      </c>
      <c r="D171" s="21">
        <v>7764897.026250002</v>
      </c>
      <c r="E171" s="21">
        <v>-7764897.026250002</v>
      </c>
      <c r="F171" s="21">
        <v>0</v>
      </c>
    </row>
    <row r="172" spans="1:6" x14ac:dyDescent="0.25">
      <c r="A172">
        <v>1577</v>
      </c>
      <c r="B172" s="16">
        <v>43617</v>
      </c>
      <c r="C172" t="s">
        <v>192</v>
      </c>
      <c r="D172" s="21">
        <v>15000000</v>
      </c>
      <c r="E172" s="21">
        <v>-15000000</v>
      </c>
      <c r="F172" s="21">
        <v>0</v>
      </c>
    </row>
    <row r="173" spans="1:6" x14ac:dyDescent="0.25">
      <c r="A173">
        <v>1577</v>
      </c>
      <c r="B173" s="16">
        <v>43647</v>
      </c>
      <c r="C173" t="s">
        <v>19</v>
      </c>
      <c r="D173" s="21">
        <v>3685661.2115662512</v>
      </c>
      <c r="E173" s="21">
        <v>-3685661.2115662512</v>
      </c>
      <c r="F173" s="21">
        <v>0</v>
      </c>
    </row>
    <row r="174" spans="1:6" x14ac:dyDescent="0.25">
      <c r="A174">
        <v>1577</v>
      </c>
      <c r="B174" s="16">
        <v>43647</v>
      </c>
      <c r="C174" t="s">
        <v>12</v>
      </c>
      <c r="D174" s="21">
        <v>11787098.370468752</v>
      </c>
      <c r="E174" s="21">
        <v>-11787098.370468752</v>
      </c>
      <c r="F174" s="21">
        <v>0</v>
      </c>
    </row>
    <row r="175" spans="1:6" x14ac:dyDescent="0.25">
      <c r="A175">
        <v>1577</v>
      </c>
      <c r="B175" s="16">
        <v>43647</v>
      </c>
      <c r="C175" t="s">
        <v>59</v>
      </c>
      <c r="D175" s="21">
        <v>7764897.026250002</v>
      </c>
      <c r="E175" s="21">
        <v>-7764897.026250002</v>
      </c>
      <c r="F175" s="21">
        <v>0</v>
      </c>
    </row>
    <row r="176" spans="1:6" x14ac:dyDescent="0.25">
      <c r="A176">
        <v>1577</v>
      </c>
      <c r="B176" s="16">
        <v>43647</v>
      </c>
      <c r="C176" t="s">
        <v>192</v>
      </c>
      <c r="D176" s="21">
        <v>15000000</v>
      </c>
      <c r="E176" s="21">
        <v>-15000000</v>
      </c>
      <c r="F176" s="21">
        <v>0</v>
      </c>
    </row>
    <row r="177" spans="1:6" x14ac:dyDescent="0.25">
      <c r="A177">
        <v>1580</v>
      </c>
      <c r="B177" s="16">
        <v>43466</v>
      </c>
      <c r="C177" t="s">
        <v>17</v>
      </c>
      <c r="D177" s="21">
        <v>4024174.4865000001</v>
      </c>
      <c r="E177" s="21">
        <v>-4024174.4865000001</v>
      </c>
      <c r="F177" s="21">
        <v>0</v>
      </c>
    </row>
    <row r="178" spans="1:6" x14ac:dyDescent="0.25">
      <c r="A178">
        <v>1580</v>
      </c>
      <c r="B178" s="16">
        <v>43466</v>
      </c>
      <c r="C178" t="s">
        <v>16</v>
      </c>
      <c r="D178" s="21">
        <v>4797479.3643000005</v>
      </c>
      <c r="E178" s="21">
        <v>-4797479.3643000005</v>
      </c>
      <c r="F178" s="21">
        <v>0</v>
      </c>
    </row>
    <row r="179" spans="1:6" x14ac:dyDescent="0.25">
      <c r="A179">
        <v>1580</v>
      </c>
      <c r="B179" s="16">
        <v>43466</v>
      </c>
      <c r="C179" t="s">
        <v>12</v>
      </c>
      <c r="D179" s="21">
        <v>7784590.2750000004</v>
      </c>
      <c r="E179" s="21">
        <v>-7784590.2750000004</v>
      </c>
      <c r="F179" s="21">
        <v>0</v>
      </c>
    </row>
    <row r="180" spans="1:6" x14ac:dyDescent="0.25">
      <c r="A180">
        <v>1580</v>
      </c>
      <c r="B180" s="16">
        <v>43466</v>
      </c>
      <c r="C180" t="s">
        <v>15</v>
      </c>
      <c r="D180" s="21">
        <v>4525924.49505</v>
      </c>
      <c r="E180" s="21">
        <v>-4525924.49505</v>
      </c>
      <c r="F180" s="21">
        <v>0</v>
      </c>
    </row>
    <row r="181" spans="1:6" x14ac:dyDescent="0.25">
      <c r="A181">
        <v>1580</v>
      </c>
      <c r="B181" s="16">
        <v>43466</v>
      </c>
      <c r="C181" t="s">
        <v>19</v>
      </c>
      <c r="D181" s="21">
        <v>5273934.6806999994</v>
      </c>
      <c r="E181" s="21">
        <v>-5273934.6806999994</v>
      </c>
      <c r="F181" s="21">
        <v>0</v>
      </c>
    </row>
    <row r="182" spans="1:6" x14ac:dyDescent="0.25">
      <c r="A182">
        <v>1580</v>
      </c>
      <c r="B182" s="16">
        <v>43466</v>
      </c>
      <c r="C182" t="s">
        <v>14</v>
      </c>
      <c r="D182" s="21">
        <v>7791940.1186286025</v>
      </c>
      <c r="E182" s="21">
        <v>-7791940.1186286025</v>
      </c>
      <c r="F182" s="21">
        <v>0</v>
      </c>
    </row>
    <row r="183" spans="1:6" x14ac:dyDescent="0.25">
      <c r="A183">
        <v>1580</v>
      </c>
      <c r="B183" s="16">
        <v>43466</v>
      </c>
      <c r="C183" t="s">
        <v>192</v>
      </c>
      <c r="D183" s="21">
        <v>29400000</v>
      </c>
      <c r="E183" s="21">
        <v>-29400000</v>
      </c>
      <c r="F183" s="21">
        <v>0</v>
      </c>
    </row>
    <row r="184" spans="1:6" x14ac:dyDescent="0.25">
      <c r="A184">
        <v>1580</v>
      </c>
      <c r="B184" s="16">
        <v>43466</v>
      </c>
      <c r="C184" t="s">
        <v>13</v>
      </c>
      <c r="D184" s="21">
        <v>6517329.5250000004</v>
      </c>
      <c r="E184" s="21">
        <v>-6517329.5250000004</v>
      </c>
      <c r="F184" s="21">
        <v>0</v>
      </c>
    </row>
    <row r="185" spans="1:6" x14ac:dyDescent="0.25">
      <c r="A185">
        <v>1580</v>
      </c>
      <c r="B185" s="16">
        <v>43497</v>
      </c>
      <c r="C185" t="s">
        <v>17</v>
      </c>
      <c r="D185" s="21">
        <v>4024174.4865000001</v>
      </c>
      <c r="E185" s="21">
        <v>-4024174.4865000001</v>
      </c>
      <c r="F185" s="21">
        <v>0</v>
      </c>
    </row>
    <row r="186" spans="1:6" x14ac:dyDescent="0.25">
      <c r="A186">
        <v>1580</v>
      </c>
      <c r="B186" s="16">
        <v>43497</v>
      </c>
      <c r="C186" t="s">
        <v>16</v>
      </c>
      <c r="D186" s="21">
        <v>4797479.3643000005</v>
      </c>
      <c r="E186" s="21">
        <v>-4797479.3643000005</v>
      </c>
      <c r="F186" s="21">
        <v>0</v>
      </c>
    </row>
    <row r="187" spans="1:6" x14ac:dyDescent="0.25">
      <c r="A187">
        <v>1580</v>
      </c>
      <c r="B187" s="16">
        <v>43497</v>
      </c>
      <c r="C187" t="s">
        <v>12</v>
      </c>
      <c r="D187" s="21">
        <v>7784590.2750000004</v>
      </c>
      <c r="E187" s="21">
        <v>-7784590.2750000004</v>
      </c>
      <c r="F187" s="21">
        <v>0</v>
      </c>
    </row>
    <row r="188" spans="1:6" x14ac:dyDescent="0.25">
      <c r="A188">
        <v>1580</v>
      </c>
      <c r="B188" s="16">
        <v>43497</v>
      </c>
      <c r="C188" t="s">
        <v>15</v>
      </c>
      <c r="D188" s="21">
        <v>4525924.49505</v>
      </c>
      <c r="E188" s="21">
        <v>-4525924.49505</v>
      </c>
      <c r="F188" s="21">
        <v>0</v>
      </c>
    </row>
    <row r="189" spans="1:6" x14ac:dyDescent="0.25">
      <c r="A189">
        <v>1580</v>
      </c>
      <c r="B189" s="16">
        <v>43497</v>
      </c>
      <c r="C189" t="s">
        <v>19</v>
      </c>
      <c r="D189" s="21">
        <v>5273934.6806999994</v>
      </c>
      <c r="E189" s="21">
        <v>-5273934.6806999994</v>
      </c>
      <c r="F189" s="21">
        <v>0</v>
      </c>
    </row>
    <row r="190" spans="1:6" x14ac:dyDescent="0.25">
      <c r="A190">
        <v>1580</v>
      </c>
      <c r="B190" s="16">
        <v>43497</v>
      </c>
      <c r="C190" t="s">
        <v>14</v>
      </c>
      <c r="D190" s="21">
        <v>7791940.1186286025</v>
      </c>
      <c r="E190" s="21">
        <v>-7791940.1186286025</v>
      </c>
      <c r="F190" s="21">
        <v>0</v>
      </c>
    </row>
    <row r="191" spans="1:6" x14ac:dyDescent="0.25">
      <c r="A191">
        <v>1580</v>
      </c>
      <c r="B191" s="16">
        <v>43497</v>
      </c>
      <c r="C191" t="s">
        <v>192</v>
      </c>
      <c r="D191" s="21">
        <v>29400000</v>
      </c>
      <c r="E191" s="21">
        <v>-29400000</v>
      </c>
      <c r="F191" s="21">
        <v>0</v>
      </c>
    </row>
    <row r="192" spans="1:6" x14ac:dyDescent="0.25">
      <c r="A192">
        <v>1580</v>
      </c>
      <c r="B192" s="16">
        <v>43497</v>
      </c>
      <c r="C192" t="s">
        <v>13</v>
      </c>
      <c r="D192" s="21">
        <v>6517329.5250000004</v>
      </c>
      <c r="E192" s="21">
        <v>-6517329.5250000004</v>
      </c>
      <c r="F192" s="21">
        <v>0</v>
      </c>
    </row>
    <row r="193" spans="1:6" x14ac:dyDescent="0.25">
      <c r="A193">
        <v>1580</v>
      </c>
      <c r="B193" s="16">
        <v>43525</v>
      </c>
      <c r="C193" t="s">
        <v>17</v>
      </c>
      <c r="D193" s="21">
        <v>4024174.4865000001</v>
      </c>
      <c r="E193" s="21">
        <v>-4024174.4865000001</v>
      </c>
      <c r="F193" s="21">
        <v>0</v>
      </c>
    </row>
    <row r="194" spans="1:6" x14ac:dyDescent="0.25">
      <c r="A194">
        <v>1580</v>
      </c>
      <c r="B194" s="16">
        <v>43525</v>
      </c>
      <c r="C194" t="s">
        <v>16</v>
      </c>
      <c r="D194" s="21">
        <v>4797479.3643000005</v>
      </c>
      <c r="E194" s="21">
        <v>-4797479.3643000005</v>
      </c>
      <c r="F194" s="21">
        <v>0</v>
      </c>
    </row>
    <row r="195" spans="1:6" x14ac:dyDescent="0.25">
      <c r="A195">
        <v>1580</v>
      </c>
      <c r="B195" s="16">
        <v>43525</v>
      </c>
      <c r="C195" t="s">
        <v>12</v>
      </c>
      <c r="D195" s="21">
        <v>7784590.2750000004</v>
      </c>
      <c r="E195" s="21">
        <v>-7784590.2750000004</v>
      </c>
      <c r="F195" s="21">
        <v>0</v>
      </c>
    </row>
    <row r="196" spans="1:6" x14ac:dyDescent="0.25">
      <c r="A196">
        <v>1580</v>
      </c>
      <c r="B196" s="16">
        <v>43525</v>
      </c>
      <c r="C196" t="s">
        <v>15</v>
      </c>
      <c r="D196" s="21">
        <v>4525924.49505</v>
      </c>
      <c r="E196" s="21">
        <v>-4525924.49505</v>
      </c>
      <c r="F196" s="21">
        <v>0</v>
      </c>
    </row>
    <row r="197" spans="1:6" x14ac:dyDescent="0.25">
      <c r="A197">
        <v>1580</v>
      </c>
      <c r="B197" s="16">
        <v>43525</v>
      </c>
      <c r="C197" t="s">
        <v>19</v>
      </c>
      <c r="D197" s="21">
        <v>5273934.6806999994</v>
      </c>
      <c r="E197" s="21">
        <v>-5273934.6806999994</v>
      </c>
      <c r="F197" s="21">
        <v>0</v>
      </c>
    </row>
    <row r="198" spans="1:6" x14ac:dyDescent="0.25">
      <c r="A198">
        <v>1580</v>
      </c>
      <c r="B198" s="16">
        <v>43525</v>
      </c>
      <c r="C198" t="s">
        <v>14</v>
      </c>
      <c r="D198" s="21">
        <v>7791940.1186286025</v>
      </c>
      <c r="E198" s="21">
        <v>-7791940.1186286025</v>
      </c>
      <c r="F198" s="21">
        <v>0</v>
      </c>
    </row>
    <row r="199" spans="1:6" x14ac:dyDescent="0.25">
      <c r="A199">
        <v>1580</v>
      </c>
      <c r="B199" s="16">
        <v>43525</v>
      </c>
      <c r="C199" t="s">
        <v>192</v>
      </c>
      <c r="D199" s="21">
        <v>29400000</v>
      </c>
      <c r="E199" s="21">
        <v>-29400000</v>
      </c>
      <c r="F199" s="21">
        <v>0</v>
      </c>
    </row>
    <row r="200" spans="1:6" x14ac:dyDescent="0.25">
      <c r="A200">
        <v>1580</v>
      </c>
      <c r="B200" s="16">
        <v>43525</v>
      </c>
      <c r="C200" t="s">
        <v>13</v>
      </c>
      <c r="D200" s="21">
        <v>6517329.5250000004</v>
      </c>
      <c r="E200" s="21">
        <v>-6517329.5250000004</v>
      </c>
      <c r="F200" s="21">
        <v>0</v>
      </c>
    </row>
    <row r="201" spans="1:6" x14ac:dyDescent="0.25">
      <c r="A201">
        <v>1580</v>
      </c>
      <c r="B201" s="16">
        <v>43556</v>
      </c>
      <c r="C201" t="s">
        <v>18</v>
      </c>
      <c r="D201" s="21">
        <v>3995634.3839999996</v>
      </c>
      <c r="E201" s="21">
        <v>-3995634.3839999996</v>
      </c>
      <c r="F201" s="21">
        <v>0</v>
      </c>
    </row>
    <row r="202" spans="1:6" x14ac:dyDescent="0.25">
      <c r="A202">
        <v>1580</v>
      </c>
      <c r="B202" s="16">
        <v>43556</v>
      </c>
      <c r="C202" t="s">
        <v>19</v>
      </c>
      <c r="D202" s="21">
        <v>5273934.6806999994</v>
      </c>
      <c r="E202" s="21">
        <v>-5273934.6806999994</v>
      </c>
      <c r="F202" s="21">
        <v>0</v>
      </c>
    </row>
    <row r="203" spans="1:6" x14ac:dyDescent="0.25">
      <c r="A203">
        <v>1580</v>
      </c>
      <c r="B203" s="16">
        <v>43556</v>
      </c>
      <c r="C203" t="s">
        <v>16</v>
      </c>
      <c r="D203" s="21">
        <v>4797479.3643000005</v>
      </c>
      <c r="E203" s="21">
        <v>-4797479.3643000005</v>
      </c>
      <c r="F203" s="21">
        <v>0</v>
      </c>
    </row>
    <row r="204" spans="1:6" x14ac:dyDescent="0.25">
      <c r="A204">
        <v>1580</v>
      </c>
      <c r="B204" s="16">
        <v>43556</v>
      </c>
      <c r="C204" t="s">
        <v>192</v>
      </c>
      <c r="D204" s="21">
        <v>29400000</v>
      </c>
      <c r="E204" s="21">
        <v>-29400000</v>
      </c>
      <c r="F204" s="21">
        <v>0</v>
      </c>
    </row>
    <row r="205" spans="1:6" x14ac:dyDescent="0.25">
      <c r="A205">
        <v>1580</v>
      </c>
      <c r="B205" s="16">
        <v>43556</v>
      </c>
      <c r="C205" t="s">
        <v>15</v>
      </c>
      <c r="D205" s="21">
        <v>4525924.49505</v>
      </c>
      <c r="E205" s="21">
        <v>-4525924.49505</v>
      </c>
      <c r="F205" s="21">
        <v>0</v>
      </c>
    </row>
    <row r="206" spans="1:6" x14ac:dyDescent="0.25">
      <c r="A206">
        <v>1580</v>
      </c>
      <c r="B206" s="16">
        <v>43556</v>
      </c>
      <c r="C206" t="s">
        <v>12</v>
      </c>
      <c r="D206" s="21">
        <v>7784590.2750000004</v>
      </c>
      <c r="E206" s="21">
        <v>-7784590.2750000004</v>
      </c>
      <c r="F206" s="21">
        <v>0</v>
      </c>
    </row>
    <row r="207" spans="1:6" x14ac:dyDescent="0.25">
      <c r="A207">
        <v>1580</v>
      </c>
      <c r="B207" s="16">
        <v>43556</v>
      </c>
      <c r="C207" t="s">
        <v>14</v>
      </c>
      <c r="D207" s="21">
        <v>7791940.1186286025</v>
      </c>
      <c r="E207" s="21">
        <v>-7791940.1186286025</v>
      </c>
      <c r="F207" s="21">
        <v>0</v>
      </c>
    </row>
    <row r="208" spans="1:6" x14ac:dyDescent="0.25">
      <c r="A208">
        <v>1580</v>
      </c>
      <c r="B208" s="16">
        <v>43556</v>
      </c>
      <c r="C208" t="s">
        <v>17</v>
      </c>
      <c r="D208" s="21">
        <v>4024174.4865000001</v>
      </c>
      <c r="E208" s="21">
        <v>-4024174.4865000001</v>
      </c>
      <c r="F208" s="21">
        <v>0</v>
      </c>
    </row>
    <row r="209" spans="1:6" x14ac:dyDescent="0.25">
      <c r="A209">
        <v>1580</v>
      </c>
      <c r="B209" s="16">
        <v>43556</v>
      </c>
      <c r="C209" t="s">
        <v>13</v>
      </c>
      <c r="D209" s="21">
        <v>6517329.5250000004</v>
      </c>
      <c r="E209" s="21">
        <v>-6517329.5250000004</v>
      </c>
      <c r="F209" s="21">
        <v>0</v>
      </c>
    </row>
    <row r="210" spans="1:6" x14ac:dyDescent="0.25">
      <c r="A210">
        <v>1580</v>
      </c>
      <c r="B210" s="16">
        <v>43586</v>
      </c>
      <c r="C210" t="s">
        <v>18</v>
      </c>
      <c r="D210" s="21">
        <v>3995634.3839999996</v>
      </c>
      <c r="E210" s="21">
        <v>-3995634.3839999996</v>
      </c>
      <c r="F210" s="21">
        <v>0</v>
      </c>
    </row>
    <row r="211" spans="1:6" x14ac:dyDescent="0.25">
      <c r="A211">
        <v>1580</v>
      </c>
      <c r="B211" s="16">
        <v>43586</v>
      </c>
      <c r="C211" t="s">
        <v>19</v>
      </c>
      <c r="D211" s="21">
        <v>5273934.6806999994</v>
      </c>
      <c r="E211" s="21">
        <v>-5273934.6806999994</v>
      </c>
      <c r="F211" s="21">
        <v>0</v>
      </c>
    </row>
    <row r="212" spans="1:6" x14ac:dyDescent="0.25">
      <c r="A212">
        <v>1580</v>
      </c>
      <c r="B212" s="16">
        <v>43586</v>
      </c>
      <c r="C212" t="s">
        <v>16</v>
      </c>
      <c r="D212" s="21">
        <v>4797479.3643000005</v>
      </c>
      <c r="E212" s="21">
        <v>-4797479.3643000005</v>
      </c>
      <c r="F212" s="21">
        <v>0</v>
      </c>
    </row>
    <row r="213" spans="1:6" x14ac:dyDescent="0.25">
      <c r="A213">
        <v>1580</v>
      </c>
      <c r="B213" s="16">
        <v>43586</v>
      </c>
      <c r="C213" t="s">
        <v>192</v>
      </c>
      <c r="D213" s="21">
        <v>29400000</v>
      </c>
      <c r="E213" s="21">
        <v>-29400000</v>
      </c>
      <c r="F213" s="21">
        <v>0</v>
      </c>
    </row>
    <row r="214" spans="1:6" x14ac:dyDescent="0.25">
      <c r="A214">
        <v>1580</v>
      </c>
      <c r="B214" s="16">
        <v>43586</v>
      </c>
      <c r="C214" t="s">
        <v>15</v>
      </c>
      <c r="D214" s="21">
        <v>4525924.49505</v>
      </c>
      <c r="E214" s="21">
        <v>-4525924.49505</v>
      </c>
      <c r="F214" s="21">
        <v>0</v>
      </c>
    </row>
    <row r="215" spans="1:6" x14ac:dyDescent="0.25">
      <c r="A215">
        <v>1580</v>
      </c>
      <c r="B215" s="16">
        <v>43586</v>
      </c>
      <c r="C215" t="s">
        <v>12</v>
      </c>
      <c r="D215" s="21">
        <v>7784590.2750000004</v>
      </c>
      <c r="E215" s="21">
        <v>-7784590.2750000004</v>
      </c>
      <c r="F215" s="21">
        <v>0</v>
      </c>
    </row>
    <row r="216" spans="1:6" x14ac:dyDescent="0.25">
      <c r="A216">
        <v>1580</v>
      </c>
      <c r="B216" s="16">
        <v>43586</v>
      </c>
      <c r="C216" t="s">
        <v>14</v>
      </c>
      <c r="D216" s="21">
        <v>7791940.1186286025</v>
      </c>
      <c r="E216" s="21">
        <v>-7791940.1186286025</v>
      </c>
      <c r="F216" s="21">
        <v>0</v>
      </c>
    </row>
    <row r="217" spans="1:6" x14ac:dyDescent="0.25">
      <c r="A217">
        <v>1580</v>
      </c>
      <c r="B217" s="16">
        <v>43586</v>
      </c>
      <c r="C217" t="s">
        <v>17</v>
      </c>
      <c r="D217" s="21">
        <v>4024174.4865000001</v>
      </c>
      <c r="E217" s="21">
        <v>-4024174.4865000001</v>
      </c>
      <c r="F217" s="21">
        <v>0</v>
      </c>
    </row>
    <row r="218" spans="1:6" x14ac:dyDescent="0.25">
      <c r="A218">
        <v>1580</v>
      </c>
      <c r="B218" s="16">
        <v>43586</v>
      </c>
      <c r="C218" t="s">
        <v>13</v>
      </c>
      <c r="D218" s="21">
        <v>6517329.5250000004</v>
      </c>
      <c r="E218" s="21">
        <v>-6517329.5250000004</v>
      </c>
      <c r="F218" s="21">
        <v>0</v>
      </c>
    </row>
    <row r="219" spans="1:6" x14ac:dyDescent="0.25">
      <c r="A219">
        <v>1580</v>
      </c>
      <c r="B219" s="16">
        <v>43617</v>
      </c>
      <c r="C219" t="s">
        <v>18</v>
      </c>
      <c r="D219" s="21">
        <v>3995634.3839999996</v>
      </c>
      <c r="E219" s="21">
        <v>-3995634.3839999996</v>
      </c>
      <c r="F219" s="21">
        <v>0</v>
      </c>
    </row>
    <row r="220" spans="1:6" x14ac:dyDescent="0.25">
      <c r="A220">
        <v>1580</v>
      </c>
      <c r="B220" s="16">
        <v>43617</v>
      </c>
      <c r="C220" t="s">
        <v>19</v>
      </c>
      <c r="D220" s="21">
        <v>5273934.6806999994</v>
      </c>
      <c r="E220" s="21">
        <v>-5273934.6806999994</v>
      </c>
      <c r="F220" s="21">
        <v>0</v>
      </c>
    </row>
    <row r="221" spans="1:6" x14ac:dyDescent="0.25">
      <c r="A221">
        <v>1580</v>
      </c>
      <c r="B221" s="16">
        <v>43617</v>
      </c>
      <c r="C221" t="s">
        <v>16</v>
      </c>
      <c r="D221" s="21">
        <v>4797479.3643000005</v>
      </c>
      <c r="E221" s="21">
        <v>-4797479.3643000005</v>
      </c>
      <c r="F221" s="21">
        <v>0</v>
      </c>
    </row>
    <row r="222" spans="1:6" x14ac:dyDescent="0.25">
      <c r="A222">
        <v>1580</v>
      </c>
      <c r="B222" s="16">
        <v>43617</v>
      </c>
      <c r="C222" t="s">
        <v>192</v>
      </c>
      <c r="D222" s="21">
        <v>29400000</v>
      </c>
      <c r="E222" s="21">
        <v>-29400000</v>
      </c>
      <c r="F222" s="21">
        <v>0</v>
      </c>
    </row>
    <row r="223" spans="1:6" x14ac:dyDescent="0.25">
      <c r="A223">
        <v>1580</v>
      </c>
      <c r="B223" s="16">
        <v>43617</v>
      </c>
      <c r="C223" t="s">
        <v>15</v>
      </c>
      <c r="D223" s="21">
        <v>4525924.49505</v>
      </c>
      <c r="E223" s="21">
        <v>-4525924.49505</v>
      </c>
      <c r="F223" s="21">
        <v>0</v>
      </c>
    </row>
    <row r="224" spans="1:6" x14ac:dyDescent="0.25">
      <c r="A224">
        <v>1580</v>
      </c>
      <c r="B224" s="16">
        <v>43617</v>
      </c>
      <c r="C224" t="s">
        <v>12</v>
      </c>
      <c r="D224" s="21">
        <v>7784590.2750000004</v>
      </c>
      <c r="E224" s="21">
        <v>-7784590.2750000004</v>
      </c>
      <c r="F224" s="21">
        <v>0</v>
      </c>
    </row>
    <row r="225" spans="1:6" x14ac:dyDescent="0.25">
      <c r="A225">
        <v>1580</v>
      </c>
      <c r="B225" s="16">
        <v>43617</v>
      </c>
      <c r="C225" t="s">
        <v>14</v>
      </c>
      <c r="D225" s="21">
        <v>7791940.1186286025</v>
      </c>
      <c r="E225" s="21">
        <v>-7791940.1186286025</v>
      </c>
      <c r="F225" s="21">
        <v>0</v>
      </c>
    </row>
    <row r="226" spans="1:6" x14ac:dyDescent="0.25">
      <c r="A226">
        <v>1580</v>
      </c>
      <c r="B226" s="16">
        <v>43617</v>
      </c>
      <c r="C226" t="s">
        <v>17</v>
      </c>
      <c r="D226" s="21">
        <v>4024174.4865000001</v>
      </c>
      <c r="E226" s="21">
        <v>-4024174.4865000001</v>
      </c>
      <c r="F226" s="21">
        <v>0</v>
      </c>
    </row>
    <row r="227" spans="1:6" x14ac:dyDescent="0.25">
      <c r="A227">
        <v>1580</v>
      </c>
      <c r="B227" s="16">
        <v>43617</v>
      </c>
      <c r="C227" t="s">
        <v>13</v>
      </c>
      <c r="D227" s="21">
        <v>6517329.5250000004</v>
      </c>
      <c r="E227" s="21">
        <v>-6517329.5250000004</v>
      </c>
      <c r="F227" s="21">
        <v>0</v>
      </c>
    </row>
    <row r="228" spans="1:6" x14ac:dyDescent="0.25">
      <c r="A228">
        <v>1580</v>
      </c>
      <c r="B228" s="16">
        <v>43647</v>
      </c>
      <c r="C228" t="s">
        <v>18</v>
      </c>
      <c r="D228" s="21">
        <v>3995634.3839999996</v>
      </c>
      <c r="E228" s="21">
        <v>-3995634.3839999996</v>
      </c>
      <c r="F228" s="21">
        <v>0</v>
      </c>
    </row>
    <row r="229" spans="1:6" x14ac:dyDescent="0.25">
      <c r="A229">
        <v>1580</v>
      </c>
      <c r="B229" s="16">
        <v>43647</v>
      </c>
      <c r="C229" t="s">
        <v>19</v>
      </c>
      <c r="D229" s="21">
        <v>5273934.6806999994</v>
      </c>
      <c r="E229" s="21">
        <v>-5273934.6806999994</v>
      </c>
      <c r="F229" s="21">
        <v>0</v>
      </c>
    </row>
    <row r="230" spans="1:6" x14ac:dyDescent="0.25">
      <c r="A230">
        <v>1580</v>
      </c>
      <c r="B230" s="16">
        <v>43647</v>
      </c>
      <c r="C230" t="s">
        <v>16</v>
      </c>
      <c r="D230" s="21">
        <v>4797479.3643000005</v>
      </c>
      <c r="E230" s="21">
        <v>-4797479.3643000005</v>
      </c>
      <c r="F230" s="21">
        <v>0</v>
      </c>
    </row>
    <row r="231" spans="1:6" x14ac:dyDescent="0.25">
      <c r="A231">
        <v>1580</v>
      </c>
      <c r="B231" s="16">
        <v>43647</v>
      </c>
      <c r="C231" t="s">
        <v>192</v>
      </c>
      <c r="D231" s="21">
        <v>29400000</v>
      </c>
      <c r="E231" s="21">
        <v>-29400000</v>
      </c>
      <c r="F231" s="21">
        <v>0</v>
      </c>
    </row>
    <row r="232" spans="1:6" x14ac:dyDescent="0.25">
      <c r="A232">
        <v>1580</v>
      </c>
      <c r="B232" s="16">
        <v>43647</v>
      </c>
      <c r="C232" t="s">
        <v>15</v>
      </c>
      <c r="D232" s="21">
        <v>4525924.49505</v>
      </c>
      <c r="E232" s="21">
        <v>-4525924.49505</v>
      </c>
      <c r="F232" s="21">
        <v>0</v>
      </c>
    </row>
    <row r="233" spans="1:6" x14ac:dyDescent="0.25">
      <c r="A233">
        <v>1580</v>
      </c>
      <c r="B233" s="16">
        <v>43647</v>
      </c>
      <c r="C233" t="s">
        <v>12</v>
      </c>
      <c r="D233" s="21">
        <v>7784590.2750000004</v>
      </c>
      <c r="E233" s="21">
        <v>-7784590.2750000004</v>
      </c>
      <c r="F233" s="21">
        <v>0</v>
      </c>
    </row>
    <row r="234" spans="1:6" x14ac:dyDescent="0.25">
      <c r="A234">
        <v>1580</v>
      </c>
      <c r="B234" s="16">
        <v>43647</v>
      </c>
      <c r="C234" t="s">
        <v>14</v>
      </c>
      <c r="D234" s="21">
        <v>7791940.1186286025</v>
      </c>
      <c r="E234" s="21">
        <v>-7791940.1186286025</v>
      </c>
      <c r="F234" s="21">
        <v>0</v>
      </c>
    </row>
    <row r="235" spans="1:6" x14ac:dyDescent="0.25">
      <c r="A235">
        <v>1580</v>
      </c>
      <c r="B235" s="16">
        <v>43647</v>
      </c>
      <c r="C235" t="s">
        <v>17</v>
      </c>
      <c r="D235" s="21">
        <v>4024174.4865000001</v>
      </c>
      <c r="E235" s="21">
        <v>-4024174.4865000001</v>
      </c>
      <c r="F235" s="21">
        <v>0</v>
      </c>
    </row>
    <row r="236" spans="1:6" x14ac:dyDescent="0.25">
      <c r="A236">
        <v>1580</v>
      </c>
      <c r="B236" s="16">
        <v>43647</v>
      </c>
      <c r="C236" t="s">
        <v>13</v>
      </c>
      <c r="D236" s="21">
        <v>6517329.5250000004</v>
      </c>
      <c r="E236" s="21">
        <v>-6517329.5250000004</v>
      </c>
      <c r="F236" s="21">
        <v>0</v>
      </c>
    </row>
    <row r="237" spans="1:6" x14ac:dyDescent="0.25">
      <c r="A237">
        <v>1580</v>
      </c>
      <c r="B237" s="16">
        <v>43678</v>
      </c>
      <c r="C237" t="s">
        <v>18</v>
      </c>
      <c r="D237" s="21">
        <v>3995634.3839999996</v>
      </c>
      <c r="E237" s="21">
        <v>-3995634.3839999996</v>
      </c>
      <c r="F237" s="21">
        <v>0</v>
      </c>
    </row>
    <row r="238" spans="1:6" x14ac:dyDescent="0.25">
      <c r="A238">
        <v>1580</v>
      </c>
      <c r="B238" s="16">
        <v>43678</v>
      </c>
      <c r="C238" t="s">
        <v>19</v>
      </c>
      <c r="D238" s="21">
        <v>5273934.6806999994</v>
      </c>
      <c r="E238" s="21">
        <v>-5273934.6806999994</v>
      </c>
      <c r="F238" s="21">
        <v>0</v>
      </c>
    </row>
    <row r="239" spans="1:6" x14ac:dyDescent="0.25">
      <c r="A239">
        <v>1580</v>
      </c>
      <c r="B239" s="16">
        <v>43678</v>
      </c>
      <c r="C239" t="s">
        <v>16</v>
      </c>
      <c r="D239" s="21">
        <v>4797479.3643000005</v>
      </c>
      <c r="E239" s="21">
        <v>-4797479.3643000005</v>
      </c>
      <c r="F239" s="21">
        <v>0</v>
      </c>
    </row>
    <row r="240" spans="1:6" x14ac:dyDescent="0.25">
      <c r="A240">
        <v>1580</v>
      </c>
      <c r="B240" s="16">
        <v>43678</v>
      </c>
      <c r="C240" t="s">
        <v>192</v>
      </c>
      <c r="D240" s="21">
        <v>29400000</v>
      </c>
      <c r="E240" s="21">
        <v>-29400000</v>
      </c>
      <c r="F240" s="21">
        <v>0</v>
      </c>
    </row>
    <row r="241" spans="1:6" x14ac:dyDescent="0.25">
      <c r="A241">
        <v>1580</v>
      </c>
      <c r="B241" s="16">
        <v>43678</v>
      </c>
      <c r="C241" t="s">
        <v>15</v>
      </c>
      <c r="D241" s="21">
        <v>4525924.49505</v>
      </c>
      <c r="E241" s="21">
        <v>-4525924.49505</v>
      </c>
      <c r="F241" s="21">
        <v>0</v>
      </c>
    </row>
    <row r="242" spans="1:6" x14ac:dyDescent="0.25">
      <c r="A242">
        <v>1580</v>
      </c>
      <c r="B242" s="16">
        <v>43678</v>
      </c>
      <c r="C242" t="s">
        <v>12</v>
      </c>
      <c r="D242" s="21">
        <v>7784590.2750000004</v>
      </c>
      <c r="E242" s="21">
        <v>-7784590.2750000004</v>
      </c>
      <c r="F242" s="21">
        <v>0</v>
      </c>
    </row>
    <row r="243" spans="1:6" x14ac:dyDescent="0.25">
      <c r="A243">
        <v>1580</v>
      </c>
      <c r="B243" s="16">
        <v>43678</v>
      </c>
      <c r="C243" t="s">
        <v>14</v>
      </c>
      <c r="D243" s="21">
        <v>7791940.1186286025</v>
      </c>
      <c r="E243" s="21">
        <v>-7791940.1186286025</v>
      </c>
      <c r="F243" s="21">
        <v>0</v>
      </c>
    </row>
    <row r="244" spans="1:6" x14ac:dyDescent="0.25">
      <c r="A244">
        <v>1580</v>
      </c>
      <c r="B244" s="16">
        <v>43678</v>
      </c>
      <c r="C244" t="s">
        <v>17</v>
      </c>
      <c r="D244" s="21">
        <v>4024174.4865000001</v>
      </c>
      <c r="E244" s="21">
        <v>-4024174.4865000001</v>
      </c>
      <c r="F244" s="21">
        <v>0</v>
      </c>
    </row>
    <row r="245" spans="1:6" x14ac:dyDescent="0.25">
      <c r="A245">
        <v>1580</v>
      </c>
      <c r="B245" s="16">
        <v>43678</v>
      </c>
      <c r="C245" t="s">
        <v>13</v>
      </c>
      <c r="D245" s="21">
        <v>6517329.5250000004</v>
      </c>
      <c r="E245" s="21">
        <v>-6517329.5250000004</v>
      </c>
      <c r="F245" s="21">
        <v>0</v>
      </c>
    </row>
    <row r="246" spans="1:6" x14ac:dyDescent="0.25">
      <c r="A246">
        <v>1580</v>
      </c>
      <c r="B246" s="16">
        <v>43709</v>
      </c>
      <c r="C246" t="s">
        <v>18</v>
      </c>
      <c r="D246" s="21">
        <v>3995634.3839999996</v>
      </c>
      <c r="E246" s="21">
        <v>-3995634.3839999996</v>
      </c>
      <c r="F246" s="21">
        <v>0</v>
      </c>
    </row>
    <row r="247" spans="1:6" x14ac:dyDescent="0.25">
      <c r="A247">
        <v>1580</v>
      </c>
      <c r="B247" s="16">
        <v>43709</v>
      </c>
      <c r="C247" t="s">
        <v>19</v>
      </c>
      <c r="D247" s="21">
        <v>5273934.6806999994</v>
      </c>
      <c r="E247" s="21">
        <v>-5273934.6806999994</v>
      </c>
      <c r="F247" s="21">
        <v>0</v>
      </c>
    </row>
    <row r="248" spans="1:6" x14ac:dyDescent="0.25">
      <c r="A248">
        <v>1580</v>
      </c>
      <c r="B248" s="16">
        <v>43709</v>
      </c>
      <c r="C248" t="s">
        <v>16</v>
      </c>
      <c r="D248" s="21">
        <v>4797479.3643000005</v>
      </c>
      <c r="E248" s="21">
        <v>-4797479.3643000005</v>
      </c>
      <c r="F248" s="21">
        <v>0</v>
      </c>
    </row>
    <row r="249" spans="1:6" x14ac:dyDescent="0.25">
      <c r="A249">
        <v>1580</v>
      </c>
      <c r="B249" s="16">
        <v>43709</v>
      </c>
      <c r="C249" t="s">
        <v>192</v>
      </c>
      <c r="D249" s="21">
        <v>29400000</v>
      </c>
      <c r="E249" s="21">
        <v>-29400000</v>
      </c>
      <c r="F249" s="21">
        <v>0</v>
      </c>
    </row>
    <row r="250" spans="1:6" x14ac:dyDescent="0.25">
      <c r="A250">
        <v>1580</v>
      </c>
      <c r="B250" s="16">
        <v>43709</v>
      </c>
      <c r="C250" t="s">
        <v>15</v>
      </c>
      <c r="D250" s="21">
        <v>4525924.49505</v>
      </c>
      <c r="E250" s="21">
        <v>-4525924.49505</v>
      </c>
      <c r="F250" s="21">
        <v>0</v>
      </c>
    </row>
    <row r="251" spans="1:6" x14ac:dyDescent="0.25">
      <c r="A251">
        <v>1580</v>
      </c>
      <c r="B251" s="16">
        <v>43709</v>
      </c>
      <c r="C251" t="s">
        <v>12</v>
      </c>
      <c r="D251" s="21">
        <v>7784590.2750000004</v>
      </c>
      <c r="E251" s="21">
        <v>-7784590.2750000004</v>
      </c>
      <c r="F251" s="21">
        <v>0</v>
      </c>
    </row>
    <row r="252" spans="1:6" x14ac:dyDescent="0.25">
      <c r="A252">
        <v>1580</v>
      </c>
      <c r="B252" s="16">
        <v>43709</v>
      </c>
      <c r="C252" t="s">
        <v>14</v>
      </c>
      <c r="D252" s="21">
        <v>7791940.1186286025</v>
      </c>
      <c r="E252" s="21">
        <v>-7791940.1186286025</v>
      </c>
      <c r="F252" s="21">
        <v>0</v>
      </c>
    </row>
    <row r="253" spans="1:6" x14ac:dyDescent="0.25">
      <c r="A253">
        <v>1580</v>
      </c>
      <c r="B253" s="16">
        <v>43709</v>
      </c>
      <c r="C253" t="s">
        <v>17</v>
      </c>
      <c r="D253" s="21">
        <v>4024174.4865000001</v>
      </c>
      <c r="E253" s="21">
        <v>-4024174.4865000001</v>
      </c>
      <c r="F253" s="21">
        <v>0</v>
      </c>
    </row>
    <row r="254" spans="1:6" x14ac:dyDescent="0.25">
      <c r="A254">
        <v>1580</v>
      </c>
      <c r="B254" s="16">
        <v>43709</v>
      </c>
      <c r="C254" t="s">
        <v>13</v>
      </c>
      <c r="D254" s="21">
        <v>6517329.5250000004</v>
      </c>
      <c r="E254" s="21">
        <v>-6517329.5250000004</v>
      </c>
      <c r="F254" s="21">
        <v>0</v>
      </c>
    </row>
    <row r="255" spans="1:6" x14ac:dyDescent="0.25">
      <c r="A255">
        <v>1580</v>
      </c>
      <c r="B255" s="16">
        <v>43739</v>
      </c>
      <c r="C255" t="s">
        <v>17</v>
      </c>
      <c r="D255" s="21">
        <v>4024174.4865000001</v>
      </c>
      <c r="E255" s="21">
        <v>-4024174.4865000001</v>
      </c>
      <c r="F255" s="21">
        <v>0</v>
      </c>
    </row>
    <row r="256" spans="1:6" x14ac:dyDescent="0.25">
      <c r="A256">
        <v>1580</v>
      </c>
      <c r="B256" s="16">
        <v>43739</v>
      </c>
      <c r="C256" t="s">
        <v>18</v>
      </c>
      <c r="D256" s="21">
        <v>3995634.3839999996</v>
      </c>
      <c r="E256" s="21">
        <v>-3995634.3839999996</v>
      </c>
      <c r="F256" s="21">
        <v>0</v>
      </c>
    </row>
    <row r="257" spans="1:6" x14ac:dyDescent="0.25">
      <c r="A257">
        <v>1580</v>
      </c>
      <c r="B257" s="16">
        <v>43739</v>
      </c>
      <c r="C257" t="s">
        <v>12</v>
      </c>
      <c r="D257" s="21">
        <v>7784590.2750000004</v>
      </c>
      <c r="E257" s="21">
        <v>-7784590.2750000004</v>
      </c>
      <c r="F257" s="21">
        <v>0</v>
      </c>
    </row>
    <row r="258" spans="1:6" x14ac:dyDescent="0.25">
      <c r="A258">
        <v>1580</v>
      </c>
      <c r="B258" s="16">
        <v>43739</v>
      </c>
      <c r="C258" t="s">
        <v>15</v>
      </c>
      <c r="D258" s="21">
        <v>4525924.49505</v>
      </c>
      <c r="E258" s="21">
        <v>-4525924.49505</v>
      </c>
      <c r="F258" s="21">
        <v>0</v>
      </c>
    </row>
    <row r="259" spans="1:6" x14ac:dyDescent="0.25">
      <c r="A259">
        <v>1580</v>
      </c>
      <c r="B259" s="16">
        <v>43739</v>
      </c>
      <c r="C259" t="s">
        <v>19</v>
      </c>
      <c r="D259" s="21">
        <v>5273934.6806999994</v>
      </c>
      <c r="E259" s="21">
        <v>-5273934.6806999994</v>
      </c>
      <c r="F259" s="21">
        <v>0</v>
      </c>
    </row>
    <row r="260" spans="1:6" x14ac:dyDescent="0.25">
      <c r="A260">
        <v>1580</v>
      </c>
      <c r="B260" s="16">
        <v>43739</v>
      </c>
      <c r="C260" t="s">
        <v>14</v>
      </c>
      <c r="D260" s="21">
        <v>7791940.1186286025</v>
      </c>
      <c r="E260" s="21">
        <v>-7791940.1186286025</v>
      </c>
      <c r="F260" s="21">
        <v>0</v>
      </c>
    </row>
    <row r="261" spans="1:6" x14ac:dyDescent="0.25">
      <c r="A261">
        <v>1580</v>
      </c>
      <c r="B261" s="16">
        <v>43739</v>
      </c>
      <c r="C261" t="s">
        <v>192</v>
      </c>
      <c r="D261" s="21">
        <v>29400000</v>
      </c>
      <c r="E261" s="21">
        <v>-29400000</v>
      </c>
      <c r="F261" s="21">
        <v>0</v>
      </c>
    </row>
    <row r="262" spans="1:6" x14ac:dyDescent="0.25">
      <c r="A262">
        <v>1580</v>
      </c>
      <c r="B262" s="16">
        <v>43739</v>
      </c>
      <c r="C262" t="s">
        <v>13</v>
      </c>
      <c r="D262" s="21">
        <v>6517329.5250000004</v>
      </c>
      <c r="E262" s="21">
        <v>-6517329.5250000004</v>
      </c>
      <c r="F262" s="21">
        <v>0</v>
      </c>
    </row>
    <row r="263" spans="1:6" x14ac:dyDescent="0.25">
      <c r="A263">
        <v>1580</v>
      </c>
      <c r="B263" s="16">
        <v>43770</v>
      </c>
      <c r="C263" t="s">
        <v>17</v>
      </c>
      <c r="D263" s="21">
        <v>4024174.4865000001</v>
      </c>
      <c r="E263" s="21">
        <v>-4024174.4865000001</v>
      </c>
      <c r="F263" s="21">
        <v>0</v>
      </c>
    </row>
    <row r="264" spans="1:6" x14ac:dyDescent="0.25">
      <c r="A264">
        <v>1580</v>
      </c>
      <c r="B264" s="16">
        <v>43770</v>
      </c>
      <c r="C264" t="s">
        <v>18</v>
      </c>
      <c r="D264" s="21">
        <v>3995634.3839999996</v>
      </c>
      <c r="E264" s="21">
        <v>-3995634.3839999996</v>
      </c>
      <c r="F264" s="21">
        <v>0</v>
      </c>
    </row>
    <row r="265" spans="1:6" x14ac:dyDescent="0.25">
      <c r="A265">
        <v>1580</v>
      </c>
      <c r="B265" s="16">
        <v>43770</v>
      </c>
      <c r="C265" t="s">
        <v>12</v>
      </c>
      <c r="D265" s="21">
        <v>7784590.2750000004</v>
      </c>
      <c r="E265" s="21">
        <v>-7784590.2750000004</v>
      </c>
      <c r="F265" s="21">
        <v>0</v>
      </c>
    </row>
    <row r="266" spans="1:6" x14ac:dyDescent="0.25">
      <c r="A266">
        <v>1580</v>
      </c>
      <c r="B266" s="16">
        <v>43770</v>
      </c>
      <c r="C266" t="s">
        <v>15</v>
      </c>
      <c r="D266" s="21">
        <v>4525924.49505</v>
      </c>
      <c r="E266" s="21">
        <v>-4525924.49505</v>
      </c>
      <c r="F266" s="21">
        <v>0</v>
      </c>
    </row>
    <row r="267" spans="1:6" x14ac:dyDescent="0.25">
      <c r="A267">
        <v>1580</v>
      </c>
      <c r="B267" s="16">
        <v>43770</v>
      </c>
      <c r="C267" t="s">
        <v>19</v>
      </c>
      <c r="D267" s="21">
        <v>5273934.6806999994</v>
      </c>
      <c r="E267" s="21">
        <v>-5273934.6806999994</v>
      </c>
      <c r="F267" s="21">
        <v>0</v>
      </c>
    </row>
    <row r="268" spans="1:6" x14ac:dyDescent="0.25">
      <c r="A268">
        <v>1580</v>
      </c>
      <c r="B268" s="16">
        <v>43770</v>
      </c>
      <c r="C268" t="s">
        <v>14</v>
      </c>
      <c r="D268" s="21">
        <v>7791940.1186286025</v>
      </c>
      <c r="E268" s="21">
        <v>-7791940.1186286025</v>
      </c>
      <c r="F268" s="21">
        <v>0</v>
      </c>
    </row>
    <row r="269" spans="1:6" x14ac:dyDescent="0.25">
      <c r="A269">
        <v>1580</v>
      </c>
      <c r="B269" s="16">
        <v>43770</v>
      </c>
      <c r="C269" t="s">
        <v>192</v>
      </c>
      <c r="D269" s="21">
        <v>29400000</v>
      </c>
      <c r="E269" s="21">
        <v>-29400000</v>
      </c>
      <c r="F269" s="21">
        <v>0</v>
      </c>
    </row>
    <row r="270" spans="1:6" x14ac:dyDescent="0.25">
      <c r="A270">
        <v>1580</v>
      </c>
      <c r="B270" s="16">
        <v>43770</v>
      </c>
      <c r="C270" t="s">
        <v>13</v>
      </c>
      <c r="D270" s="21">
        <v>6517329.5250000004</v>
      </c>
      <c r="E270" s="21">
        <v>-6517329.5250000004</v>
      </c>
      <c r="F270" s="21">
        <v>0</v>
      </c>
    </row>
    <row r="271" spans="1:6" x14ac:dyDescent="0.25">
      <c r="A271">
        <v>1580</v>
      </c>
      <c r="B271" s="16">
        <v>43800</v>
      </c>
      <c r="C271" t="s">
        <v>17</v>
      </c>
      <c r="D271" s="21">
        <v>4024174.4865000001</v>
      </c>
      <c r="E271" s="21">
        <v>-4024174.4865000001</v>
      </c>
      <c r="F271" s="21">
        <v>0</v>
      </c>
    </row>
    <row r="272" spans="1:6" x14ac:dyDescent="0.25">
      <c r="A272">
        <v>1580</v>
      </c>
      <c r="B272" s="16">
        <v>43800</v>
      </c>
      <c r="C272" t="s">
        <v>18</v>
      </c>
      <c r="D272" s="21">
        <v>3995634.3839999996</v>
      </c>
      <c r="E272" s="21">
        <v>-3995634.3839999996</v>
      </c>
      <c r="F272" s="21">
        <v>0</v>
      </c>
    </row>
    <row r="273" spans="1:6" x14ac:dyDescent="0.25">
      <c r="A273">
        <v>1580</v>
      </c>
      <c r="B273" s="16">
        <v>43800</v>
      </c>
      <c r="C273" t="s">
        <v>12</v>
      </c>
      <c r="D273" s="21">
        <v>7784590.2750000004</v>
      </c>
      <c r="E273" s="21">
        <v>-7784590.2750000004</v>
      </c>
      <c r="F273" s="21">
        <v>0</v>
      </c>
    </row>
    <row r="274" spans="1:6" x14ac:dyDescent="0.25">
      <c r="A274">
        <v>1580</v>
      </c>
      <c r="B274" s="16">
        <v>43800</v>
      </c>
      <c r="C274" t="s">
        <v>15</v>
      </c>
      <c r="D274" s="21">
        <v>4525924.49505</v>
      </c>
      <c r="E274" s="21">
        <v>-4525924.49505</v>
      </c>
      <c r="F274" s="21">
        <v>0</v>
      </c>
    </row>
    <row r="275" spans="1:6" x14ac:dyDescent="0.25">
      <c r="A275">
        <v>1580</v>
      </c>
      <c r="B275" s="16">
        <v>43800</v>
      </c>
      <c r="C275" t="s">
        <v>19</v>
      </c>
      <c r="D275" s="21">
        <v>5273934.6806999994</v>
      </c>
      <c r="E275" s="21">
        <v>-5273934.6806999994</v>
      </c>
      <c r="F275" s="21">
        <v>0</v>
      </c>
    </row>
    <row r="276" spans="1:6" x14ac:dyDescent="0.25">
      <c r="A276">
        <v>1580</v>
      </c>
      <c r="B276" s="16">
        <v>43800</v>
      </c>
      <c r="C276" t="s">
        <v>14</v>
      </c>
      <c r="D276" s="21">
        <v>7791940.1186286025</v>
      </c>
      <c r="E276" s="21">
        <v>-7791940.1186286025</v>
      </c>
      <c r="F276" s="21">
        <v>0</v>
      </c>
    </row>
    <row r="277" spans="1:6" x14ac:dyDescent="0.25">
      <c r="A277">
        <v>1580</v>
      </c>
      <c r="B277" s="16">
        <v>43800</v>
      </c>
      <c r="C277" t="s">
        <v>192</v>
      </c>
      <c r="D277" s="21">
        <v>29400000</v>
      </c>
      <c r="E277" s="21">
        <v>-29400000</v>
      </c>
      <c r="F277" s="21">
        <v>0</v>
      </c>
    </row>
    <row r="278" spans="1:6" x14ac:dyDescent="0.25">
      <c r="A278">
        <v>1580</v>
      </c>
      <c r="B278" s="16">
        <v>43800</v>
      </c>
      <c r="C278" t="s">
        <v>13</v>
      </c>
      <c r="D278" s="21">
        <v>6517329.5250000004</v>
      </c>
      <c r="E278" s="21">
        <v>-6517329.5250000004</v>
      </c>
      <c r="F278" s="21">
        <v>0</v>
      </c>
    </row>
    <row r="279" spans="1:6" x14ac:dyDescent="0.25">
      <c r="A279">
        <v>1580</v>
      </c>
      <c r="B279" s="16">
        <v>43831</v>
      </c>
      <c r="C279" t="s">
        <v>17</v>
      </c>
      <c r="D279" s="21">
        <v>4024174.4865000001</v>
      </c>
      <c r="E279" s="21">
        <v>-4024174.4865000001</v>
      </c>
      <c r="F279" s="21">
        <v>0</v>
      </c>
    </row>
    <row r="280" spans="1:6" x14ac:dyDescent="0.25">
      <c r="A280">
        <v>1580</v>
      </c>
      <c r="B280" s="16">
        <v>43831</v>
      </c>
      <c r="C280" t="s">
        <v>19</v>
      </c>
      <c r="D280" s="21">
        <v>5273934.6806999994</v>
      </c>
      <c r="E280" s="21">
        <v>-5273934.6806999994</v>
      </c>
      <c r="F280" s="21">
        <v>0</v>
      </c>
    </row>
    <row r="281" spans="1:6" x14ac:dyDescent="0.25">
      <c r="A281">
        <v>1580</v>
      </c>
      <c r="B281" s="16">
        <v>43831</v>
      </c>
      <c r="C281" t="s">
        <v>15</v>
      </c>
      <c r="D281" s="21">
        <v>4525924.49505</v>
      </c>
      <c r="E281" s="21">
        <v>-4525924.49505</v>
      </c>
      <c r="F281" s="21">
        <v>0</v>
      </c>
    </row>
    <row r="282" spans="1:6" x14ac:dyDescent="0.25">
      <c r="A282">
        <v>1580</v>
      </c>
      <c r="B282" s="16">
        <v>43831</v>
      </c>
      <c r="C282" t="s">
        <v>192</v>
      </c>
      <c r="D282" s="21">
        <v>29400000</v>
      </c>
      <c r="E282" s="21">
        <v>-29400000</v>
      </c>
      <c r="F282" s="21">
        <v>0</v>
      </c>
    </row>
    <row r="283" spans="1:6" x14ac:dyDescent="0.25">
      <c r="A283">
        <v>1580</v>
      </c>
      <c r="B283" s="16">
        <v>43831</v>
      </c>
      <c r="C283" t="s">
        <v>14</v>
      </c>
      <c r="D283" s="21">
        <v>7791940.1186286025</v>
      </c>
      <c r="E283" s="21">
        <v>-7791940.1186286025</v>
      </c>
      <c r="F283" s="21">
        <v>0</v>
      </c>
    </row>
    <row r="284" spans="1:6" x14ac:dyDescent="0.25">
      <c r="A284">
        <v>1580</v>
      </c>
      <c r="B284" s="16">
        <v>43831</v>
      </c>
      <c r="C284" t="s">
        <v>12</v>
      </c>
      <c r="D284" s="21">
        <v>7784590.2750000004</v>
      </c>
      <c r="E284" s="21">
        <v>-7784590.2750000004</v>
      </c>
      <c r="F284" s="21">
        <v>0</v>
      </c>
    </row>
    <row r="285" spans="1:6" x14ac:dyDescent="0.25">
      <c r="A285">
        <v>1580</v>
      </c>
      <c r="B285" s="16">
        <v>43831</v>
      </c>
      <c r="C285" t="s">
        <v>13</v>
      </c>
      <c r="D285" s="21">
        <v>6517329.5250000004</v>
      </c>
      <c r="E285" s="21">
        <v>-6517329.5250000004</v>
      </c>
      <c r="F285" s="21">
        <v>0</v>
      </c>
    </row>
    <row r="286" spans="1:6" x14ac:dyDescent="0.25">
      <c r="A286">
        <v>1580</v>
      </c>
      <c r="B286" s="16">
        <v>43862</v>
      </c>
      <c r="C286" t="s">
        <v>192</v>
      </c>
      <c r="D286" s="21">
        <v>29400000</v>
      </c>
      <c r="E286" s="21">
        <v>-29400000</v>
      </c>
      <c r="F286" s="21">
        <v>0</v>
      </c>
    </row>
    <row r="287" spans="1:6" x14ac:dyDescent="0.25">
      <c r="A287">
        <v>1580</v>
      </c>
      <c r="B287" s="16">
        <v>43862</v>
      </c>
      <c r="C287" t="s">
        <v>19</v>
      </c>
      <c r="D287" s="21">
        <v>5273934.6806999994</v>
      </c>
      <c r="E287" s="21">
        <v>-5273934.6806999994</v>
      </c>
      <c r="F287" s="21">
        <v>0</v>
      </c>
    </row>
    <row r="288" spans="1:6" x14ac:dyDescent="0.25">
      <c r="A288">
        <v>1580</v>
      </c>
      <c r="B288" s="16">
        <v>43862</v>
      </c>
      <c r="C288" t="s">
        <v>15</v>
      </c>
      <c r="D288" s="21">
        <v>4525924.49505</v>
      </c>
      <c r="E288" s="21">
        <v>-4525924.49505</v>
      </c>
      <c r="F288" s="21">
        <v>0</v>
      </c>
    </row>
    <row r="289" spans="1:6" x14ac:dyDescent="0.25">
      <c r="A289">
        <v>1580</v>
      </c>
      <c r="B289" s="16">
        <v>43862</v>
      </c>
      <c r="C289" t="s">
        <v>12</v>
      </c>
      <c r="D289" s="21">
        <v>7784590.2750000004</v>
      </c>
      <c r="E289" s="21">
        <v>-7784590.2750000004</v>
      </c>
      <c r="F289" s="21">
        <v>0</v>
      </c>
    </row>
    <row r="290" spans="1:6" x14ac:dyDescent="0.25">
      <c r="A290">
        <v>1580</v>
      </c>
      <c r="B290" s="16">
        <v>43862</v>
      </c>
      <c r="C290" t="s">
        <v>14</v>
      </c>
      <c r="D290" s="21">
        <v>7791940.1186286025</v>
      </c>
      <c r="E290" s="21">
        <v>-7791940.1186286025</v>
      </c>
      <c r="F290" s="21">
        <v>0</v>
      </c>
    </row>
    <row r="291" spans="1:6" x14ac:dyDescent="0.25">
      <c r="A291">
        <v>1588</v>
      </c>
      <c r="B291" s="16">
        <v>43466</v>
      </c>
      <c r="C291" t="s">
        <v>22</v>
      </c>
      <c r="D291" s="21">
        <v>3845949.1676549995</v>
      </c>
      <c r="E291" s="21">
        <v>-3845949.1676549995</v>
      </c>
      <c r="F291" s="21">
        <v>0</v>
      </c>
    </row>
    <row r="292" spans="1:6" x14ac:dyDescent="0.25">
      <c r="A292">
        <v>1588</v>
      </c>
      <c r="B292" s="16">
        <v>43466</v>
      </c>
      <c r="C292" t="s">
        <v>23</v>
      </c>
      <c r="D292" s="21">
        <v>4250785.9221449997</v>
      </c>
      <c r="E292" s="21">
        <v>-4250785.9221449997</v>
      </c>
      <c r="F292" s="21">
        <v>0</v>
      </c>
    </row>
    <row r="293" spans="1:6" x14ac:dyDescent="0.25">
      <c r="A293">
        <v>1588</v>
      </c>
      <c r="B293" s="16">
        <v>43466</v>
      </c>
      <c r="C293" t="s">
        <v>12</v>
      </c>
      <c r="D293" s="21">
        <v>10120918.862249998</v>
      </c>
      <c r="E293" s="21">
        <v>-10120918.862249998</v>
      </c>
      <c r="F293" s="21">
        <v>0</v>
      </c>
    </row>
    <row r="294" spans="1:6" x14ac:dyDescent="0.25">
      <c r="A294">
        <v>1588</v>
      </c>
      <c r="B294" s="16">
        <v>43466</v>
      </c>
      <c r="C294" t="s">
        <v>24</v>
      </c>
      <c r="D294" s="21">
        <v>3643530.7904099999</v>
      </c>
      <c r="E294" s="21">
        <v>-3643530.7904099999</v>
      </c>
      <c r="F294" s="21">
        <v>0</v>
      </c>
    </row>
    <row r="295" spans="1:6" x14ac:dyDescent="0.25">
      <c r="A295">
        <v>1588</v>
      </c>
      <c r="B295" s="16">
        <v>43466</v>
      </c>
      <c r="C295" t="s">
        <v>21</v>
      </c>
      <c r="D295" s="21">
        <v>3845949.1676549995</v>
      </c>
      <c r="E295" s="21">
        <v>-3845949.1676549995</v>
      </c>
      <c r="F295" s="21">
        <v>0</v>
      </c>
    </row>
    <row r="296" spans="1:6" x14ac:dyDescent="0.25">
      <c r="A296">
        <v>1588</v>
      </c>
      <c r="B296" s="16">
        <v>43466</v>
      </c>
      <c r="C296" t="s">
        <v>25</v>
      </c>
      <c r="D296" s="21">
        <v>4964979.0644999994</v>
      </c>
      <c r="E296" s="21">
        <v>-4964979.0644999994</v>
      </c>
      <c r="F296" s="21">
        <v>0</v>
      </c>
    </row>
    <row r="297" spans="1:6" x14ac:dyDescent="0.25">
      <c r="A297">
        <v>1588</v>
      </c>
      <c r="B297" s="16">
        <v>43466</v>
      </c>
      <c r="C297" t="s">
        <v>192</v>
      </c>
      <c r="D297" s="21">
        <v>20430000</v>
      </c>
      <c r="E297" s="21">
        <v>-20430000</v>
      </c>
      <c r="F297" s="21">
        <v>0</v>
      </c>
    </row>
    <row r="298" spans="1:6" x14ac:dyDescent="0.25">
      <c r="A298">
        <v>1588</v>
      </c>
      <c r="B298" s="16">
        <v>43466</v>
      </c>
      <c r="C298" t="s">
        <v>14</v>
      </c>
      <c r="D298" s="21">
        <v>8593232.9962500017</v>
      </c>
      <c r="E298" s="21">
        <v>-8593232.9962500017</v>
      </c>
      <c r="F298" s="21">
        <v>0</v>
      </c>
    </row>
    <row r="299" spans="1:6" x14ac:dyDescent="0.25">
      <c r="A299">
        <v>1588</v>
      </c>
      <c r="B299" s="16">
        <v>43466</v>
      </c>
      <c r="C299" t="s">
        <v>19</v>
      </c>
      <c r="D299" s="21">
        <v>3071827.3950000005</v>
      </c>
      <c r="E299" s="21">
        <v>-3071827.3950000005</v>
      </c>
      <c r="F299" s="21">
        <v>0</v>
      </c>
    </row>
    <row r="300" spans="1:6" x14ac:dyDescent="0.25">
      <c r="A300">
        <v>1588</v>
      </c>
      <c r="B300" s="16">
        <v>43466</v>
      </c>
      <c r="C300" t="s">
        <v>26</v>
      </c>
      <c r="D300" s="21">
        <v>6110743.4639999997</v>
      </c>
      <c r="E300" s="21">
        <v>-6110743.4639999997</v>
      </c>
      <c r="F300" s="21">
        <v>0</v>
      </c>
    </row>
    <row r="301" spans="1:6" x14ac:dyDescent="0.25">
      <c r="A301">
        <v>1588</v>
      </c>
      <c r="B301" s="16">
        <v>43497</v>
      </c>
      <c r="C301" t="s">
        <v>22</v>
      </c>
      <c r="D301" s="21">
        <v>3845949.1676549995</v>
      </c>
      <c r="E301" s="21">
        <v>-3845949.1676549995</v>
      </c>
      <c r="F301" s="21">
        <v>0</v>
      </c>
    </row>
    <row r="302" spans="1:6" x14ac:dyDescent="0.25">
      <c r="A302">
        <v>1588</v>
      </c>
      <c r="B302" s="16">
        <v>43497</v>
      </c>
      <c r="C302" t="s">
        <v>23</v>
      </c>
      <c r="D302" s="21">
        <v>4250785.9221449997</v>
      </c>
      <c r="E302" s="21">
        <v>-4250785.9221449997</v>
      </c>
      <c r="F302" s="21">
        <v>0</v>
      </c>
    </row>
    <row r="303" spans="1:6" x14ac:dyDescent="0.25">
      <c r="A303">
        <v>1588</v>
      </c>
      <c r="B303" s="16">
        <v>43497</v>
      </c>
      <c r="C303" t="s">
        <v>12</v>
      </c>
      <c r="D303" s="21">
        <v>10120918.862249998</v>
      </c>
      <c r="E303" s="21">
        <v>-10120918.862249998</v>
      </c>
      <c r="F303" s="21">
        <v>0</v>
      </c>
    </row>
    <row r="304" spans="1:6" x14ac:dyDescent="0.25">
      <c r="A304">
        <v>1588</v>
      </c>
      <c r="B304" s="16">
        <v>43497</v>
      </c>
      <c r="C304" t="s">
        <v>24</v>
      </c>
      <c r="D304" s="21">
        <v>3643530.7904099999</v>
      </c>
      <c r="E304" s="21">
        <v>-3643530.7904099999</v>
      </c>
      <c r="F304" s="21">
        <v>0</v>
      </c>
    </row>
    <row r="305" spans="1:6" x14ac:dyDescent="0.25">
      <c r="A305">
        <v>1588</v>
      </c>
      <c r="B305" s="16">
        <v>43497</v>
      </c>
      <c r="C305" t="s">
        <v>21</v>
      </c>
      <c r="D305" s="21">
        <v>3845949.1676549995</v>
      </c>
      <c r="E305" s="21">
        <v>-3845949.1676549995</v>
      </c>
      <c r="F305" s="21">
        <v>0</v>
      </c>
    </row>
    <row r="306" spans="1:6" x14ac:dyDescent="0.25">
      <c r="A306">
        <v>1588</v>
      </c>
      <c r="B306" s="16">
        <v>43497</v>
      </c>
      <c r="C306" t="s">
        <v>25</v>
      </c>
      <c r="D306" s="21">
        <v>4964979.0644999994</v>
      </c>
      <c r="E306" s="21">
        <v>-4964979.0644999994</v>
      </c>
      <c r="F306" s="21">
        <v>0</v>
      </c>
    </row>
    <row r="307" spans="1:6" x14ac:dyDescent="0.25">
      <c r="A307">
        <v>1588</v>
      </c>
      <c r="B307" s="16">
        <v>43497</v>
      </c>
      <c r="C307" t="s">
        <v>192</v>
      </c>
      <c r="D307" s="21">
        <v>20430000</v>
      </c>
      <c r="E307" s="21">
        <v>-20430000</v>
      </c>
      <c r="F307" s="21">
        <v>0</v>
      </c>
    </row>
    <row r="308" spans="1:6" x14ac:dyDescent="0.25">
      <c r="A308">
        <v>1588</v>
      </c>
      <c r="B308" s="16">
        <v>43497</v>
      </c>
      <c r="C308" t="s">
        <v>14</v>
      </c>
      <c r="D308" s="21">
        <v>8593232.9962500017</v>
      </c>
      <c r="E308" s="21">
        <v>-8593232.9962500017</v>
      </c>
      <c r="F308" s="21">
        <v>0</v>
      </c>
    </row>
    <row r="309" spans="1:6" x14ac:dyDescent="0.25">
      <c r="A309">
        <v>1588</v>
      </c>
      <c r="B309" s="16">
        <v>43497</v>
      </c>
      <c r="C309" t="s">
        <v>19</v>
      </c>
      <c r="D309" s="21">
        <v>3071827.3950000005</v>
      </c>
      <c r="E309" s="21">
        <v>-3071827.3950000005</v>
      </c>
      <c r="F309" s="21">
        <v>0</v>
      </c>
    </row>
    <row r="310" spans="1:6" x14ac:dyDescent="0.25">
      <c r="A310">
        <v>1588</v>
      </c>
      <c r="B310" s="16">
        <v>43497</v>
      </c>
      <c r="C310" t="s">
        <v>26</v>
      </c>
      <c r="D310" s="21">
        <v>6110743.4639999997</v>
      </c>
      <c r="E310" s="21">
        <v>-6110743.4639999997</v>
      </c>
      <c r="F310" s="21">
        <v>0</v>
      </c>
    </row>
    <row r="311" spans="1:6" x14ac:dyDescent="0.25">
      <c r="A311">
        <v>1588</v>
      </c>
      <c r="B311" s="16">
        <v>43525</v>
      </c>
      <c r="C311" t="s">
        <v>22</v>
      </c>
      <c r="D311" s="21">
        <v>3845949.1676549995</v>
      </c>
      <c r="E311" s="21">
        <v>-3845949.1676549995</v>
      </c>
      <c r="F311" s="21">
        <v>0</v>
      </c>
    </row>
    <row r="312" spans="1:6" x14ac:dyDescent="0.25">
      <c r="A312">
        <v>1588</v>
      </c>
      <c r="B312" s="16">
        <v>43525</v>
      </c>
      <c r="C312" t="s">
        <v>23</v>
      </c>
      <c r="D312" s="21">
        <v>4250785.9221449997</v>
      </c>
      <c r="E312" s="21">
        <v>-4250785.9221449997</v>
      </c>
      <c r="F312" s="21">
        <v>0</v>
      </c>
    </row>
    <row r="313" spans="1:6" x14ac:dyDescent="0.25">
      <c r="A313">
        <v>1588</v>
      </c>
      <c r="B313" s="16">
        <v>43525</v>
      </c>
      <c r="C313" t="s">
        <v>12</v>
      </c>
      <c r="D313" s="21">
        <v>10120918.862249998</v>
      </c>
      <c r="E313" s="21">
        <v>-10120918.862249998</v>
      </c>
      <c r="F313" s="21">
        <v>0</v>
      </c>
    </row>
    <row r="314" spans="1:6" x14ac:dyDescent="0.25">
      <c r="A314">
        <v>1588</v>
      </c>
      <c r="B314" s="16">
        <v>43525</v>
      </c>
      <c r="C314" t="s">
        <v>24</v>
      </c>
      <c r="D314" s="21">
        <v>3643530.7904099999</v>
      </c>
      <c r="E314" s="21">
        <v>-3643530.7904099999</v>
      </c>
      <c r="F314" s="21">
        <v>0</v>
      </c>
    </row>
    <row r="315" spans="1:6" x14ac:dyDescent="0.25">
      <c r="A315">
        <v>1588</v>
      </c>
      <c r="B315" s="16">
        <v>43525</v>
      </c>
      <c r="C315" t="s">
        <v>21</v>
      </c>
      <c r="D315" s="21">
        <v>3845949.1676549995</v>
      </c>
      <c r="E315" s="21">
        <v>-3845949.1676549995</v>
      </c>
      <c r="F315" s="21">
        <v>0</v>
      </c>
    </row>
    <row r="316" spans="1:6" x14ac:dyDescent="0.25">
      <c r="A316">
        <v>1588</v>
      </c>
      <c r="B316" s="16">
        <v>43525</v>
      </c>
      <c r="C316" t="s">
        <v>25</v>
      </c>
      <c r="D316" s="21">
        <v>4964979.0644999994</v>
      </c>
      <c r="E316" s="21">
        <v>-4964979.0644999994</v>
      </c>
      <c r="F316" s="21">
        <v>0</v>
      </c>
    </row>
    <row r="317" spans="1:6" x14ac:dyDescent="0.25">
      <c r="A317">
        <v>1588</v>
      </c>
      <c r="B317" s="16">
        <v>43525</v>
      </c>
      <c r="C317" t="s">
        <v>192</v>
      </c>
      <c r="D317" s="21">
        <v>20430000</v>
      </c>
      <c r="E317" s="21">
        <v>-20430000</v>
      </c>
      <c r="F317" s="21">
        <v>0</v>
      </c>
    </row>
    <row r="318" spans="1:6" x14ac:dyDescent="0.25">
      <c r="A318">
        <v>1588</v>
      </c>
      <c r="B318" s="16">
        <v>43525</v>
      </c>
      <c r="C318" t="s">
        <v>14</v>
      </c>
      <c r="D318" s="21">
        <v>8593232.9962500017</v>
      </c>
      <c r="E318" s="21">
        <v>-8593232.9962500017</v>
      </c>
      <c r="F318" s="21">
        <v>0</v>
      </c>
    </row>
    <row r="319" spans="1:6" x14ac:dyDescent="0.25">
      <c r="A319">
        <v>1588</v>
      </c>
      <c r="B319" s="16">
        <v>43525</v>
      </c>
      <c r="C319" t="s">
        <v>19</v>
      </c>
      <c r="D319" s="21">
        <v>3071827.3950000005</v>
      </c>
      <c r="E319" s="21">
        <v>-3071827.3950000005</v>
      </c>
      <c r="F319" s="21">
        <v>0</v>
      </c>
    </row>
    <row r="320" spans="1:6" x14ac:dyDescent="0.25">
      <c r="A320">
        <v>1588</v>
      </c>
      <c r="B320" s="16">
        <v>43525</v>
      </c>
      <c r="C320" t="s">
        <v>26</v>
      </c>
      <c r="D320" s="21">
        <v>6110743.4639999997</v>
      </c>
      <c r="E320" s="21">
        <v>-6110743.4639999997</v>
      </c>
      <c r="F320" s="21">
        <v>0</v>
      </c>
    </row>
    <row r="321" spans="1:6" x14ac:dyDescent="0.25">
      <c r="A321">
        <v>1596</v>
      </c>
      <c r="B321" s="16">
        <v>43466</v>
      </c>
      <c r="C321" t="s">
        <v>192</v>
      </c>
      <c r="D321" s="21">
        <v>21263797.894736841</v>
      </c>
      <c r="E321" s="21">
        <v>-21263797.894736841</v>
      </c>
      <c r="F321" s="21">
        <v>0</v>
      </c>
    </row>
    <row r="322" spans="1:6" x14ac:dyDescent="0.25">
      <c r="A322">
        <v>1596</v>
      </c>
      <c r="B322" s="16">
        <v>43466</v>
      </c>
      <c r="C322" t="s">
        <v>38</v>
      </c>
      <c r="D322" s="21">
        <v>4163260.5</v>
      </c>
      <c r="E322" s="21">
        <v>-4163260.5</v>
      </c>
      <c r="F322" s="21">
        <v>0</v>
      </c>
    </row>
    <row r="323" spans="1:6" x14ac:dyDescent="0.25">
      <c r="A323">
        <v>1596</v>
      </c>
      <c r="B323" s="16">
        <v>43466</v>
      </c>
      <c r="C323" t="s">
        <v>12</v>
      </c>
      <c r="D323" s="21">
        <v>9754920</v>
      </c>
      <c r="E323" s="21">
        <v>-9754920</v>
      </c>
      <c r="F323" s="21">
        <v>0</v>
      </c>
    </row>
    <row r="324" spans="1:6" x14ac:dyDescent="0.25">
      <c r="A324">
        <v>1596</v>
      </c>
      <c r="B324" s="16">
        <v>43466</v>
      </c>
      <c r="C324" t="s">
        <v>16</v>
      </c>
      <c r="D324" s="21">
        <v>1950380.3812500001</v>
      </c>
      <c r="E324" s="21">
        <v>-1950380.3812500001</v>
      </c>
      <c r="F324" s="21">
        <v>0</v>
      </c>
    </row>
    <row r="325" spans="1:6" x14ac:dyDescent="0.25">
      <c r="A325">
        <v>1596</v>
      </c>
      <c r="B325" s="16">
        <v>43466</v>
      </c>
      <c r="C325" t="s">
        <v>19</v>
      </c>
      <c r="D325" s="21">
        <v>2679075</v>
      </c>
      <c r="E325" s="21">
        <v>-2679075</v>
      </c>
      <c r="F325" s="21">
        <v>0</v>
      </c>
    </row>
    <row r="326" spans="1:6" x14ac:dyDescent="0.25">
      <c r="A326">
        <v>1596</v>
      </c>
      <c r="B326" s="16">
        <v>43466</v>
      </c>
      <c r="C326" t="s">
        <v>39</v>
      </c>
      <c r="D326" s="21">
        <v>5521981.5</v>
      </c>
      <c r="E326" s="21">
        <v>-5521981.5</v>
      </c>
      <c r="F326" s="21">
        <v>0</v>
      </c>
    </row>
    <row r="327" spans="1:6" x14ac:dyDescent="0.25">
      <c r="A327">
        <v>1596</v>
      </c>
      <c r="B327" s="16">
        <v>43497</v>
      </c>
      <c r="C327" t="s">
        <v>192</v>
      </c>
      <c r="D327" s="21">
        <v>21263797.894736841</v>
      </c>
      <c r="E327" s="21">
        <v>-21263797.894736841</v>
      </c>
      <c r="F327" s="21">
        <v>0</v>
      </c>
    </row>
    <row r="328" spans="1:6" x14ac:dyDescent="0.25">
      <c r="A328">
        <v>1596</v>
      </c>
      <c r="B328" s="16">
        <v>43497</v>
      </c>
      <c r="C328" t="s">
        <v>38</v>
      </c>
      <c r="D328" s="21">
        <v>4163260.5</v>
      </c>
      <c r="E328" s="21">
        <v>-4163260.5</v>
      </c>
      <c r="F328" s="21">
        <v>0</v>
      </c>
    </row>
    <row r="329" spans="1:6" x14ac:dyDescent="0.25">
      <c r="A329">
        <v>1596</v>
      </c>
      <c r="B329" s="16">
        <v>43497</v>
      </c>
      <c r="C329" t="s">
        <v>12</v>
      </c>
      <c r="D329" s="21">
        <v>9754920</v>
      </c>
      <c r="E329" s="21">
        <v>-9754920</v>
      </c>
      <c r="F329" s="21">
        <v>0</v>
      </c>
    </row>
    <row r="330" spans="1:6" x14ac:dyDescent="0.25">
      <c r="A330">
        <v>1596</v>
      </c>
      <c r="B330" s="16">
        <v>43497</v>
      </c>
      <c r="C330" t="s">
        <v>16</v>
      </c>
      <c r="D330" s="21">
        <v>1950380.3812500001</v>
      </c>
      <c r="E330" s="21">
        <v>-1950380.3812500001</v>
      </c>
      <c r="F330" s="21">
        <v>0</v>
      </c>
    </row>
    <row r="331" spans="1:6" x14ac:dyDescent="0.25">
      <c r="A331">
        <v>1596</v>
      </c>
      <c r="B331" s="16">
        <v>43497</v>
      </c>
      <c r="C331" t="s">
        <v>19</v>
      </c>
      <c r="D331" s="21">
        <v>2679075</v>
      </c>
      <c r="E331" s="21">
        <v>-2679075</v>
      </c>
      <c r="F331" s="21">
        <v>0</v>
      </c>
    </row>
    <row r="332" spans="1:6" x14ac:dyDescent="0.25">
      <c r="A332">
        <v>1596</v>
      </c>
      <c r="B332" s="16">
        <v>43497</v>
      </c>
      <c r="C332" t="s">
        <v>39</v>
      </c>
      <c r="D332" s="21">
        <v>5521981.5</v>
      </c>
      <c r="E332" s="21">
        <v>-5521981.5</v>
      </c>
      <c r="F332" s="21">
        <v>0</v>
      </c>
    </row>
    <row r="333" spans="1:6" x14ac:dyDescent="0.25">
      <c r="A333">
        <v>1596</v>
      </c>
      <c r="B333" s="16">
        <v>43525</v>
      </c>
      <c r="C333" t="s">
        <v>192</v>
      </c>
      <c r="D333" s="21">
        <v>21263797.894736841</v>
      </c>
      <c r="E333" s="21">
        <v>-21263797.894736841</v>
      </c>
      <c r="F333" s="21">
        <v>0</v>
      </c>
    </row>
    <row r="334" spans="1:6" x14ac:dyDescent="0.25">
      <c r="A334">
        <v>1596</v>
      </c>
      <c r="B334" s="16">
        <v>43525</v>
      </c>
      <c r="C334" t="s">
        <v>38</v>
      </c>
      <c r="D334" s="21">
        <v>4163260.5</v>
      </c>
      <c r="E334" s="21">
        <v>-4163260.5</v>
      </c>
      <c r="F334" s="21">
        <v>0</v>
      </c>
    </row>
    <row r="335" spans="1:6" x14ac:dyDescent="0.25">
      <c r="A335">
        <v>1596</v>
      </c>
      <c r="B335" s="16">
        <v>43525</v>
      </c>
      <c r="C335" t="s">
        <v>12</v>
      </c>
      <c r="D335" s="21">
        <v>9754920</v>
      </c>
      <c r="E335" s="21">
        <v>-9754920</v>
      </c>
      <c r="F335" s="21">
        <v>0</v>
      </c>
    </row>
    <row r="336" spans="1:6" x14ac:dyDescent="0.25">
      <c r="A336">
        <v>1596</v>
      </c>
      <c r="B336" s="16">
        <v>43525</v>
      </c>
      <c r="C336" t="s">
        <v>16</v>
      </c>
      <c r="D336" s="21">
        <v>1950380.3812500001</v>
      </c>
      <c r="E336" s="21">
        <v>-1950380.3812500001</v>
      </c>
      <c r="F336" s="21">
        <v>0</v>
      </c>
    </row>
    <row r="337" spans="1:6" x14ac:dyDescent="0.25">
      <c r="A337">
        <v>1596</v>
      </c>
      <c r="B337" s="16">
        <v>43525</v>
      </c>
      <c r="C337" t="s">
        <v>19</v>
      </c>
      <c r="D337" s="21">
        <v>2679075</v>
      </c>
      <c r="E337" s="21">
        <v>-2679075</v>
      </c>
      <c r="F337" s="21">
        <v>0</v>
      </c>
    </row>
    <row r="338" spans="1:6" x14ac:dyDescent="0.25">
      <c r="A338">
        <v>1596</v>
      </c>
      <c r="B338" s="16">
        <v>43525</v>
      </c>
      <c r="C338" t="s">
        <v>39</v>
      </c>
      <c r="D338" s="21">
        <v>5521981.5</v>
      </c>
      <c r="E338" s="21">
        <v>-5521981.5</v>
      </c>
      <c r="F338" s="21">
        <v>0</v>
      </c>
    </row>
    <row r="339" spans="1:6" x14ac:dyDescent="0.25">
      <c r="A339">
        <v>1596</v>
      </c>
      <c r="B339" s="16">
        <v>43556</v>
      </c>
      <c r="C339" t="s">
        <v>192</v>
      </c>
      <c r="D339" s="21">
        <v>21263797.894736841</v>
      </c>
      <c r="E339" s="21">
        <v>-21263797.894736841</v>
      </c>
      <c r="F339" s="21">
        <v>0</v>
      </c>
    </row>
    <row r="340" spans="1:6" x14ac:dyDescent="0.25">
      <c r="A340">
        <v>1596</v>
      </c>
      <c r="B340" s="16">
        <v>43556</v>
      </c>
      <c r="C340" t="s">
        <v>19</v>
      </c>
      <c r="D340" s="21">
        <v>2679075</v>
      </c>
      <c r="E340" s="21">
        <v>-2679075</v>
      </c>
      <c r="F340" s="21">
        <v>0</v>
      </c>
    </row>
    <row r="341" spans="1:6" x14ac:dyDescent="0.25">
      <c r="A341">
        <v>1596</v>
      </c>
      <c r="B341" s="16">
        <v>43556</v>
      </c>
      <c r="C341" t="s">
        <v>38</v>
      </c>
      <c r="D341" s="21">
        <v>4163260.5</v>
      </c>
      <c r="E341" s="21">
        <v>-4163260.5</v>
      </c>
      <c r="F341" s="21">
        <v>0</v>
      </c>
    </row>
    <row r="342" spans="1:6" x14ac:dyDescent="0.25">
      <c r="A342">
        <v>1596</v>
      </c>
      <c r="B342" s="16">
        <v>43556</v>
      </c>
      <c r="C342" t="s">
        <v>12</v>
      </c>
      <c r="D342" s="21">
        <v>9754920</v>
      </c>
      <c r="E342" s="21">
        <v>-9754920</v>
      </c>
      <c r="F342" s="21">
        <v>0</v>
      </c>
    </row>
    <row r="343" spans="1:6" x14ac:dyDescent="0.25">
      <c r="A343">
        <v>1596</v>
      </c>
      <c r="B343" s="16">
        <v>43556</v>
      </c>
      <c r="C343" t="s">
        <v>16</v>
      </c>
      <c r="D343" s="21">
        <v>1950380.3812500001</v>
      </c>
      <c r="E343" s="21">
        <v>-1950380.3812500001</v>
      </c>
      <c r="F343" s="21">
        <v>0</v>
      </c>
    </row>
    <row r="344" spans="1:6" x14ac:dyDescent="0.25">
      <c r="A344">
        <v>1596</v>
      </c>
      <c r="B344" s="16">
        <v>43586</v>
      </c>
      <c r="C344" t="s">
        <v>12</v>
      </c>
      <c r="D344" s="21">
        <v>9754920</v>
      </c>
      <c r="E344" s="21">
        <v>-9754920</v>
      </c>
      <c r="F344" s="21">
        <v>0</v>
      </c>
    </row>
    <row r="345" spans="1:6" x14ac:dyDescent="0.25">
      <c r="A345">
        <v>1596</v>
      </c>
      <c r="B345" s="16">
        <v>43586</v>
      </c>
      <c r="C345" t="s">
        <v>19</v>
      </c>
      <c r="D345" s="21">
        <v>2679075</v>
      </c>
      <c r="E345" s="21">
        <v>-2679075</v>
      </c>
      <c r="F345" s="21">
        <v>0</v>
      </c>
    </row>
    <row r="346" spans="1:6" x14ac:dyDescent="0.25">
      <c r="A346">
        <v>1596</v>
      </c>
      <c r="B346" s="16">
        <v>43586</v>
      </c>
      <c r="C346" t="s">
        <v>192</v>
      </c>
      <c r="D346" s="21">
        <v>21263797.894736841</v>
      </c>
      <c r="E346" s="21">
        <v>-21263797.894736841</v>
      </c>
      <c r="F346" s="21">
        <v>0</v>
      </c>
    </row>
    <row r="347" spans="1:6" x14ac:dyDescent="0.25">
      <c r="A347">
        <v>1596</v>
      </c>
      <c r="B347" s="16">
        <v>43617</v>
      </c>
      <c r="C347" t="s">
        <v>12</v>
      </c>
      <c r="D347" s="21">
        <v>9754920</v>
      </c>
      <c r="E347" s="21">
        <v>-9754920</v>
      </c>
      <c r="F347" s="21">
        <v>0</v>
      </c>
    </row>
    <row r="348" spans="1:6" x14ac:dyDescent="0.25">
      <c r="A348">
        <v>1596</v>
      </c>
      <c r="B348" s="16">
        <v>43617</v>
      </c>
      <c r="C348" t="s">
        <v>19</v>
      </c>
      <c r="D348" s="21">
        <v>2679075</v>
      </c>
      <c r="E348" s="21">
        <v>-2679075</v>
      </c>
      <c r="F348" s="21">
        <v>0</v>
      </c>
    </row>
    <row r="349" spans="1:6" x14ac:dyDescent="0.25">
      <c r="A349">
        <v>1596</v>
      </c>
      <c r="B349" s="16">
        <v>43617</v>
      </c>
      <c r="C349" t="s">
        <v>192</v>
      </c>
      <c r="D349" s="21">
        <v>21263797.894736841</v>
      </c>
      <c r="E349" s="21">
        <v>-21263797.894736841</v>
      </c>
      <c r="F349" s="21">
        <v>0</v>
      </c>
    </row>
    <row r="350" spans="1:6" x14ac:dyDescent="0.25">
      <c r="A350">
        <v>1618</v>
      </c>
      <c r="B350" s="16">
        <v>43466</v>
      </c>
      <c r="C350" t="s">
        <v>29</v>
      </c>
      <c r="D350" s="21">
        <v>2694198.4714365834</v>
      </c>
      <c r="E350" s="21">
        <v>-2694198.4714365834</v>
      </c>
      <c r="F350" s="21">
        <v>0</v>
      </c>
    </row>
    <row r="351" spans="1:6" x14ac:dyDescent="0.25">
      <c r="A351">
        <v>1618</v>
      </c>
      <c r="B351" s="16">
        <v>43466</v>
      </c>
      <c r="C351" t="s">
        <v>19</v>
      </c>
      <c r="D351" s="21">
        <v>5898109.7507954882</v>
      </c>
      <c r="E351" s="21">
        <v>-5898109.7507954882</v>
      </c>
      <c r="F351" s="21">
        <v>0</v>
      </c>
    </row>
    <row r="352" spans="1:6" x14ac:dyDescent="0.25">
      <c r="A352">
        <v>1618</v>
      </c>
      <c r="B352" s="16">
        <v>43466</v>
      </c>
      <c r="C352" t="s">
        <v>26</v>
      </c>
      <c r="D352" s="21">
        <v>5968758.5524032004</v>
      </c>
      <c r="E352" s="21">
        <v>-5968758.5524032004</v>
      </c>
      <c r="F352" s="21">
        <v>0</v>
      </c>
    </row>
    <row r="353" spans="1:6" x14ac:dyDescent="0.25">
      <c r="A353">
        <v>1618</v>
      </c>
      <c r="B353" s="16">
        <v>43466</v>
      </c>
      <c r="C353" t="s">
        <v>12</v>
      </c>
      <c r="D353" s="21">
        <v>10573456.644736286</v>
      </c>
      <c r="E353" s="21">
        <v>-10573456.644736286</v>
      </c>
      <c r="F353" s="21">
        <v>0</v>
      </c>
    </row>
    <row r="354" spans="1:6" x14ac:dyDescent="0.25">
      <c r="A354">
        <v>1618</v>
      </c>
      <c r="B354" s="16">
        <v>43466</v>
      </c>
      <c r="C354" t="s">
        <v>41</v>
      </c>
      <c r="D354" s="21">
        <v>8420426.5965553131</v>
      </c>
      <c r="E354" s="21">
        <v>-8420426.5965553131</v>
      </c>
      <c r="F354" s="21">
        <v>0</v>
      </c>
    </row>
    <row r="355" spans="1:6" x14ac:dyDescent="0.25">
      <c r="A355">
        <v>1618</v>
      </c>
      <c r="B355" s="16">
        <v>43497</v>
      </c>
      <c r="C355" t="s">
        <v>12</v>
      </c>
      <c r="D355" s="21">
        <v>10573456.644736286</v>
      </c>
      <c r="E355" s="21">
        <v>-10573456.644736286</v>
      </c>
      <c r="F355" s="21">
        <v>0</v>
      </c>
    </row>
    <row r="356" spans="1:6" x14ac:dyDescent="0.25">
      <c r="A356">
        <v>1618</v>
      </c>
      <c r="B356" s="16">
        <v>43497</v>
      </c>
      <c r="C356" t="s">
        <v>29</v>
      </c>
      <c r="D356" s="21">
        <v>2694198.4714365834</v>
      </c>
      <c r="E356" s="21">
        <v>-2694198.4714365834</v>
      </c>
      <c r="F356" s="21">
        <v>0</v>
      </c>
    </row>
    <row r="357" spans="1:6" x14ac:dyDescent="0.25">
      <c r="A357">
        <v>1618</v>
      </c>
      <c r="B357" s="16">
        <v>43525</v>
      </c>
      <c r="C357" t="s">
        <v>29</v>
      </c>
      <c r="D357" s="21">
        <v>2694198.4714365834</v>
      </c>
      <c r="E357" s="21"/>
      <c r="F357" s="21">
        <v>2694198.4714365834</v>
      </c>
    </row>
    <row r="358" spans="1:6" x14ac:dyDescent="0.25">
      <c r="A358">
        <v>1618</v>
      </c>
      <c r="B358" s="16">
        <v>43525</v>
      </c>
      <c r="C358" t="s">
        <v>12</v>
      </c>
      <c r="D358" s="21">
        <v>10573456.644736286</v>
      </c>
      <c r="E358" s="21"/>
      <c r="F358" s="21">
        <v>10573456.644736286</v>
      </c>
    </row>
    <row r="359" spans="1:6" x14ac:dyDescent="0.25">
      <c r="A359">
        <v>1618</v>
      </c>
      <c r="B359" s="16">
        <v>43556</v>
      </c>
      <c r="C359" t="s">
        <v>29</v>
      </c>
      <c r="D359" s="21">
        <v>2694198.4714365834</v>
      </c>
      <c r="E359" s="21"/>
      <c r="F359" s="21">
        <v>2694198.4714365834</v>
      </c>
    </row>
    <row r="360" spans="1:6" x14ac:dyDescent="0.25">
      <c r="A360">
        <v>1618</v>
      </c>
      <c r="B360" s="16">
        <v>43556</v>
      </c>
      <c r="C360" t="s">
        <v>12</v>
      </c>
      <c r="D360" s="21">
        <v>10573456.644736286</v>
      </c>
      <c r="E360" s="21"/>
      <c r="F360" s="21">
        <v>10573456.644736286</v>
      </c>
    </row>
    <row r="361" spans="1:6" x14ac:dyDescent="0.25">
      <c r="A361">
        <v>1622</v>
      </c>
      <c r="B361" s="16">
        <v>43466</v>
      </c>
      <c r="C361" t="s">
        <v>35</v>
      </c>
      <c r="D361" s="21">
        <v>3580481.2499999995</v>
      </c>
      <c r="E361" s="21">
        <v>-3580481.2499999995</v>
      </c>
      <c r="F361" s="21">
        <v>0</v>
      </c>
    </row>
    <row r="362" spans="1:6" x14ac:dyDescent="0.25">
      <c r="A362">
        <v>1622</v>
      </c>
      <c r="B362" s="16">
        <v>43466</v>
      </c>
      <c r="C362" t="s">
        <v>49</v>
      </c>
      <c r="D362" s="21">
        <v>26786251</v>
      </c>
      <c r="E362" s="21">
        <v>-26786251</v>
      </c>
      <c r="F362" s="21">
        <v>0</v>
      </c>
    </row>
    <row r="363" spans="1:6" x14ac:dyDescent="0.25">
      <c r="A363">
        <v>1622</v>
      </c>
      <c r="B363" s="16">
        <v>43466</v>
      </c>
      <c r="C363" t="s">
        <v>62</v>
      </c>
      <c r="D363" s="21">
        <v>4479713.6999999993</v>
      </c>
      <c r="E363" s="21">
        <v>-4479713.6999999993</v>
      </c>
      <c r="F363" s="21">
        <v>0</v>
      </c>
    </row>
    <row r="364" spans="1:6" x14ac:dyDescent="0.25">
      <c r="A364">
        <v>1622</v>
      </c>
      <c r="B364" s="16">
        <v>43466</v>
      </c>
      <c r="C364" t="s">
        <v>192</v>
      </c>
      <c r="D364" s="21">
        <v>80749228</v>
      </c>
      <c r="E364" s="21">
        <v>-80749228</v>
      </c>
      <c r="F364" s="21">
        <v>0</v>
      </c>
    </row>
    <row r="365" spans="1:6" x14ac:dyDescent="0.25">
      <c r="A365">
        <v>1622</v>
      </c>
      <c r="B365" s="16">
        <v>43466</v>
      </c>
      <c r="C365" t="s">
        <v>63</v>
      </c>
      <c r="D365" s="21">
        <v>4487334.5699999994</v>
      </c>
      <c r="E365" s="21">
        <v>-4487334.5699999994</v>
      </c>
      <c r="F365" s="21">
        <v>0</v>
      </c>
    </row>
    <row r="366" spans="1:6" x14ac:dyDescent="0.25">
      <c r="A366">
        <v>1622</v>
      </c>
      <c r="B366" s="16">
        <v>43466</v>
      </c>
      <c r="C366" t="s">
        <v>22</v>
      </c>
      <c r="D366" s="21">
        <v>3767611.53</v>
      </c>
      <c r="E366" s="21">
        <v>-3767611.53</v>
      </c>
      <c r="F366" s="21">
        <v>0</v>
      </c>
    </row>
    <row r="367" spans="1:6" x14ac:dyDescent="0.25">
      <c r="A367">
        <v>1622</v>
      </c>
      <c r="B367" s="16">
        <v>43466</v>
      </c>
      <c r="C367" t="s">
        <v>54</v>
      </c>
      <c r="D367" s="21">
        <v>6199545</v>
      </c>
      <c r="E367" s="21">
        <v>-6199545</v>
      </c>
      <c r="F367" s="21">
        <v>0</v>
      </c>
    </row>
    <row r="368" spans="1:6" x14ac:dyDescent="0.25">
      <c r="A368">
        <v>1622</v>
      </c>
      <c r="B368" s="16">
        <v>43466</v>
      </c>
      <c r="C368" t="s">
        <v>64</v>
      </c>
      <c r="D368" s="21">
        <v>3767611.53</v>
      </c>
      <c r="E368" s="21">
        <v>-3767611.53</v>
      </c>
      <c r="F368" s="21">
        <v>0</v>
      </c>
    </row>
    <row r="369" spans="1:6" x14ac:dyDescent="0.25">
      <c r="A369">
        <v>1622</v>
      </c>
      <c r="B369" s="16">
        <v>43466</v>
      </c>
      <c r="C369" t="s">
        <v>53</v>
      </c>
      <c r="D369" s="21">
        <v>4757001</v>
      </c>
      <c r="E369" s="21">
        <v>-4757001</v>
      </c>
      <c r="F369" s="21">
        <v>0</v>
      </c>
    </row>
    <row r="370" spans="1:6" x14ac:dyDescent="0.25">
      <c r="A370">
        <v>1622</v>
      </c>
      <c r="B370" s="16">
        <v>43466</v>
      </c>
      <c r="C370" t="s">
        <v>21</v>
      </c>
      <c r="D370" s="21">
        <v>3611462.4</v>
      </c>
      <c r="E370" s="21">
        <v>-3611462.4</v>
      </c>
      <c r="F370" s="21">
        <v>0</v>
      </c>
    </row>
    <row r="371" spans="1:6" x14ac:dyDescent="0.25">
      <c r="A371">
        <v>1622</v>
      </c>
      <c r="B371" s="16">
        <v>43466</v>
      </c>
      <c r="C371" t="s">
        <v>51</v>
      </c>
      <c r="D371" s="21">
        <v>6015462</v>
      </c>
      <c r="E371" s="21">
        <v>-6015462</v>
      </c>
      <c r="F371" s="21">
        <v>0</v>
      </c>
    </row>
    <row r="372" spans="1:6" x14ac:dyDescent="0.25">
      <c r="A372">
        <v>1622</v>
      </c>
      <c r="B372" s="16">
        <v>43466</v>
      </c>
      <c r="C372" t="s">
        <v>50</v>
      </c>
      <c r="D372" s="21">
        <v>15218233.5</v>
      </c>
      <c r="E372" s="21">
        <v>-15218233.5</v>
      </c>
      <c r="F372" s="21">
        <v>0</v>
      </c>
    </row>
    <row r="373" spans="1:6" x14ac:dyDescent="0.25">
      <c r="A373">
        <v>1622</v>
      </c>
      <c r="B373" s="16">
        <v>43466</v>
      </c>
      <c r="C373" t="s">
        <v>55</v>
      </c>
      <c r="D373" s="21">
        <v>6239898</v>
      </c>
      <c r="E373" s="21">
        <v>-6239898</v>
      </c>
      <c r="F373" s="21">
        <v>0</v>
      </c>
    </row>
    <row r="374" spans="1:6" x14ac:dyDescent="0.25">
      <c r="A374">
        <v>1622</v>
      </c>
      <c r="B374" s="16">
        <v>43466</v>
      </c>
      <c r="C374" t="s">
        <v>61</v>
      </c>
      <c r="D374" s="21">
        <v>3687130.4999999995</v>
      </c>
      <c r="E374" s="21">
        <v>-3687130.4999999995</v>
      </c>
      <c r="F374" s="21">
        <v>0</v>
      </c>
    </row>
    <row r="375" spans="1:6" x14ac:dyDescent="0.25">
      <c r="A375">
        <v>1622</v>
      </c>
      <c r="B375" s="16">
        <v>43466</v>
      </c>
      <c r="C375" t="s">
        <v>56</v>
      </c>
      <c r="D375" s="21">
        <v>7453077</v>
      </c>
      <c r="E375" s="21">
        <v>-7453077</v>
      </c>
      <c r="F375" s="21">
        <v>0</v>
      </c>
    </row>
    <row r="376" spans="1:6" x14ac:dyDescent="0.25">
      <c r="A376">
        <v>1622</v>
      </c>
      <c r="B376" s="16">
        <v>43497</v>
      </c>
      <c r="C376" t="s">
        <v>35</v>
      </c>
      <c r="D376" s="21">
        <v>3580481.2499999995</v>
      </c>
      <c r="E376" s="21">
        <v>-3580481.2499999995</v>
      </c>
      <c r="F376" s="21">
        <v>0</v>
      </c>
    </row>
    <row r="377" spans="1:6" x14ac:dyDescent="0.25">
      <c r="A377">
        <v>1622</v>
      </c>
      <c r="B377" s="16">
        <v>43497</v>
      </c>
      <c r="C377" t="s">
        <v>49</v>
      </c>
      <c r="D377" s="21">
        <v>26786251</v>
      </c>
      <c r="E377" s="21">
        <v>-26786251</v>
      </c>
      <c r="F377" s="21">
        <v>0</v>
      </c>
    </row>
    <row r="378" spans="1:6" x14ac:dyDescent="0.25">
      <c r="A378">
        <v>1622</v>
      </c>
      <c r="B378" s="16">
        <v>43497</v>
      </c>
      <c r="C378" t="s">
        <v>62</v>
      </c>
      <c r="D378" s="21">
        <v>4479713.6999999993</v>
      </c>
      <c r="E378" s="21">
        <v>-4479713.6999999993</v>
      </c>
      <c r="F378" s="21">
        <v>0</v>
      </c>
    </row>
    <row r="379" spans="1:6" x14ac:dyDescent="0.25">
      <c r="A379">
        <v>1622</v>
      </c>
      <c r="B379" s="16">
        <v>43497</v>
      </c>
      <c r="C379" t="s">
        <v>21</v>
      </c>
      <c r="D379" s="21">
        <v>3611462.4</v>
      </c>
      <c r="E379" s="21">
        <v>-3611462.4</v>
      </c>
      <c r="F379" s="21">
        <v>0</v>
      </c>
    </row>
    <row r="380" spans="1:6" x14ac:dyDescent="0.25">
      <c r="A380">
        <v>1622</v>
      </c>
      <c r="B380" s="16">
        <v>43497</v>
      </c>
      <c r="C380" t="s">
        <v>63</v>
      </c>
      <c r="D380" s="21">
        <v>4487334.5699999994</v>
      </c>
      <c r="E380" s="21">
        <v>-4487334.5699999994</v>
      </c>
      <c r="F380" s="21">
        <v>0</v>
      </c>
    </row>
    <row r="381" spans="1:6" x14ac:dyDescent="0.25">
      <c r="A381">
        <v>1622</v>
      </c>
      <c r="B381" s="16">
        <v>43497</v>
      </c>
      <c r="C381" t="s">
        <v>61</v>
      </c>
      <c r="D381" s="21">
        <v>3687130.4999999995</v>
      </c>
      <c r="E381" s="21">
        <v>-3687130.4999999995</v>
      </c>
      <c r="F381" s="21">
        <v>0</v>
      </c>
    </row>
    <row r="382" spans="1:6" x14ac:dyDescent="0.25">
      <c r="A382">
        <v>1622</v>
      </c>
      <c r="B382" s="16">
        <v>43497</v>
      </c>
      <c r="C382" t="s">
        <v>54</v>
      </c>
      <c r="D382" s="21">
        <v>6199545</v>
      </c>
      <c r="E382" s="21">
        <v>-6199545</v>
      </c>
      <c r="F382" s="21">
        <v>0</v>
      </c>
    </row>
    <row r="383" spans="1:6" x14ac:dyDescent="0.25">
      <c r="A383">
        <v>1622</v>
      </c>
      <c r="B383" s="16">
        <v>43497</v>
      </c>
      <c r="C383" t="s">
        <v>192</v>
      </c>
      <c r="D383" s="21">
        <v>80749228</v>
      </c>
      <c r="E383" s="21">
        <v>-80749228</v>
      </c>
      <c r="F383" s="21">
        <v>0</v>
      </c>
    </row>
    <row r="384" spans="1:6" x14ac:dyDescent="0.25">
      <c r="A384">
        <v>1622</v>
      </c>
      <c r="B384" s="16">
        <v>43497</v>
      </c>
      <c r="C384" t="s">
        <v>53</v>
      </c>
      <c r="D384" s="21">
        <v>4757001</v>
      </c>
      <c r="E384" s="21">
        <v>-4757001</v>
      </c>
      <c r="F384" s="21">
        <v>0</v>
      </c>
    </row>
    <row r="385" spans="1:6" x14ac:dyDescent="0.25">
      <c r="A385">
        <v>1622</v>
      </c>
      <c r="B385" s="16">
        <v>43497</v>
      </c>
      <c r="C385" t="s">
        <v>64</v>
      </c>
      <c r="D385" s="21">
        <v>3767611.53</v>
      </c>
      <c r="E385" s="21">
        <v>-3767611.53</v>
      </c>
      <c r="F385" s="21">
        <v>0</v>
      </c>
    </row>
    <row r="386" spans="1:6" x14ac:dyDescent="0.25">
      <c r="A386">
        <v>1622</v>
      </c>
      <c r="B386" s="16">
        <v>43497</v>
      </c>
      <c r="C386" t="s">
        <v>55</v>
      </c>
      <c r="D386" s="21">
        <v>6239898</v>
      </c>
      <c r="E386" s="21">
        <v>-6239898</v>
      </c>
      <c r="F386" s="21">
        <v>0</v>
      </c>
    </row>
    <row r="387" spans="1:6" x14ac:dyDescent="0.25">
      <c r="A387">
        <v>1622</v>
      </c>
      <c r="B387" s="16">
        <v>43497</v>
      </c>
      <c r="C387" t="s">
        <v>22</v>
      </c>
      <c r="D387" s="21">
        <v>3767611.53</v>
      </c>
      <c r="E387" s="21">
        <v>-3767611.53</v>
      </c>
      <c r="F387" s="21">
        <v>0</v>
      </c>
    </row>
    <row r="388" spans="1:6" x14ac:dyDescent="0.25">
      <c r="A388">
        <v>1622</v>
      </c>
      <c r="B388" s="16">
        <v>43497</v>
      </c>
      <c r="C388" t="s">
        <v>56</v>
      </c>
      <c r="D388" s="21">
        <v>7453077</v>
      </c>
      <c r="E388" s="21">
        <v>-7453077</v>
      </c>
      <c r="F388" s="21">
        <v>0</v>
      </c>
    </row>
    <row r="389" spans="1:6" x14ac:dyDescent="0.25">
      <c r="A389">
        <v>1622</v>
      </c>
      <c r="B389" s="16">
        <v>43525</v>
      </c>
      <c r="C389" t="s">
        <v>61</v>
      </c>
      <c r="D389" s="21">
        <v>3687130.4999999995</v>
      </c>
      <c r="E389" s="21">
        <v>-3687130.4999999995</v>
      </c>
      <c r="F389" s="21">
        <v>0</v>
      </c>
    </row>
    <row r="390" spans="1:6" x14ac:dyDescent="0.25">
      <c r="A390">
        <v>1622</v>
      </c>
      <c r="B390" s="16">
        <v>43525</v>
      </c>
      <c r="C390" t="s">
        <v>62</v>
      </c>
      <c r="D390" s="21">
        <v>4479713.6999999993</v>
      </c>
      <c r="E390" s="21">
        <v>-4479713.6999999993</v>
      </c>
      <c r="F390" s="21">
        <v>0</v>
      </c>
    </row>
    <row r="391" spans="1:6" x14ac:dyDescent="0.25">
      <c r="A391">
        <v>1622</v>
      </c>
      <c r="B391" s="16">
        <v>43525</v>
      </c>
      <c r="C391" t="s">
        <v>192</v>
      </c>
      <c r="D391" s="21">
        <v>80749228</v>
      </c>
      <c r="E391" s="21">
        <v>-80749228</v>
      </c>
      <c r="F391" s="21">
        <v>0</v>
      </c>
    </row>
    <row r="392" spans="1:6" x14ac:dyDescent="0.25">
      <c r="A392">
        <v>1622</v>
      </c>
      <c r="B392" s="16">
        <v>43525</v>
      </c>
      <c r="C392" t="s">
        <v>54</v>
      </c>
      <c r="D392" s="21">
        <v>6199545</v>
      </c>
      <c r="E392" s="21">
        <v>-6199545</v>
      </c>
      <c r="F392" s="21">
        <v>0</v>
      </c>
    </row>
    <row r="393" spans="1:6" x14ac:dyDescent="0.25">
      <c r="A393">
        <v>1622</v>
      </c>
      <c r="B393" s="16">
        <v>43525</v>
      </c>
      <c r="C393" t="s">
        <v>22</v>
      </c>
      <c r="D393" s="21">
        <v>3767611.53</v>
      </c>
      <c r="E393" s="21">
        <v>-3767611.53</v>
      </c>
      <c r="F393" s="21">
        <v>0</v>
      </c>
    </row>
    <row r="394" spans="1:6" x14ac:dyDescent="0.25">
      <c r="A394">
        <v>1622</v>
      </c>
      <c r="B394" s="16">
        <v>43525</v>
      </c>
      <c r="C394" t="s">
        <v>53</v>
      </c>
      <c r="D394" s="21">
        <v>4757001</v>
      </c>
      <c r="E394" s="21">
        <v>-4757001</v>
      </c>
      <c r="F394" s="21">
        <v>0</v>
      </c>
    </row>
    <row r="395" spans="1:6" x14ac:dyDescent="0.25">
      <c r="A395">
        <v>1622</v>
      </c>
      <c r="B395" s="16">
        <v>43525</v>
      </c>
      <c r="C395" t="s">
        <v>21</v>
      </c>
      <c r="D395" s="21">
        <v>3611462.4</v>
      </c>
      <c r="E395" s="21">
        <v>-3611462.4</v>
      </c>
      <c r="F395" s="21">
        <v>0</v>
      </c>
    </row>
    <row r="396" spans="1:6" x14ac:dyDescent="0.25">
      <c r="A396">
        <v>1622</v>
      </c>
      <c r="B396" s="16">
        <v>43525</v>
      </c>
      <c r="C396" t="s">
        <v>55</v>
      </c>
      <c r="D396" s="21">
        <v>6239898</v>
      </c>
      <c r="E396" s="21">
        <v>-6239898</v>
      </c>
      <c r="F396" s="21">
        <v>0</v>
      </c>
    </row>
    <row r="397" spans="1:6" x14ac:dyDescent="0.25">
      <c r="A397">
        <v>1622</v>
      </c>
      <c r="B397" s="16">
        <v>43525</v>
      </c>
      <c r="C397" t="s">
        <v>49</v>
      </c>
      <c r="D397" s="21">
        <v>26786251</v>
      </c>
      <c r="E397" s="21">
        <v>-26786251</v>
      </c>
      <c r="F397" s="21">
        <v>0</v>
      </c>
    </row>
    <row r="398" spans="1:6" x14ac:dyDescent="0.25">
      <c r="A398">
        <v>1622</v>
      </c>
      <c r="B398" s="16">
        <v>43525</v>
      </c>
      <c r="C398" t="s">
        <v>56</v>
      </c>
      <c r="D398" s="21">
        <v>7453077</v>
      </c>
      <c r="E398" s="21">
        <v>-7453077</v>
      </c>
      <c r="F398" s="21">
        <v>0</v>
      </c>
    </row>
    <row r="399" spans="1:6" x14ac:dyDescent="0.25">
      <c r="A399">
        <v>1622</v>
      </c>
      <c r="B399" s="16">
        <v>43556</v>
      </c>
      <c r="C399" t="s">
        <v>62</v>
      </c>
      <c r="D399" s="21">
        <v>9167103.6600000001</v>
      </c>
      <c r="E399" s="21">
        <v>-9167103.6600000001</v>
      </c>
      <c r="F399" s="21">
        <v>0</v>
      </c>
    </row>
    <row r="400" spans="1:6" x14ac:dyDescent="0.25">
      <c r="A400">
        <v>1622</v>
      </c>
      <c r="B400" s="16">
        <v>43556</v>
      </c>
      <c r="C400" t="s">
        <v>52</v>
      </c>
      <c r="D400" s="21">
        <v>6633097.5</v>
      </c>
      <c r="E400" s="21">
        <v>-6633097.5</v>
      </c>
      <c r="F400" s="21">
        <v>0</v>
      </c>
    </row>
    <row r="401" spans="1:6" x14ac:dyDescent="0.25">
      <c r="A401">
        <v>1622</v>
      </c>
      <c r="B401" s="16">
        <v>43556</v>
      </c>
      <c r="C401" t="s">
        <v>49</v>
      </c>
      <c r="D401" s="21">
        <v>29161467</v>
      </c>
      <c r="E401" s="21">
        <v>-29161467</v>
      </c>
      <c r="F401" s="21">
        <v>0</v>
      </c>
    </row>
    <row r="402" spans="1:6" x14ac:dyDescent="0.25">
      <c r="A402">
        <v>1622</v>
      </c>
      <c r="B402" s="16">
        <v>43556</v>
      </c>
      <c r="C402" t="s">
        <v>54</v>
      </c>
      <c r="D402" s="21">
        <v>12862642.5</v>
      </c>
      <c r="E402" s="21">
        <v>-12862642.5</v>
      </c>
      <c r="F402" s="21">
        <v>0</v>
      </c>
    </row>
    <row r="403" spans="1:6" x14ac:dyDescent="0.25">
      <c r="A403">
        <v>1622</v>
      </c>
      <c r="B403" s="16">
        <v>43556</v>
      </c>
      <c r="C403" t="s">
        <v>192</v>
      </c>
      <c r="D403" s="21">
        <v>44700000</v>
      </c>
      <c r="E403" s="21">
        <v>-44700000</v>
      </c>
      <c r="F403" s="21">
        <v>0</v>
      </c>
    </row>
    <row r="404" spans="1:6" x14ac:dyDescent="0.25">
      <c r="A404">
        <v>1622</v>
      </c>
      <c r="B404" s="16">
        <v>43556</v>
      </c>
      <c r="C404" t="s">
        <v>53</v>
      </c>
      <c r="D404" s="21">
        <v>9845886</v>
      </c>
      <c r="E404" s="21">
        <v>-9845886</v>
      </c>
      <c r="F404" s="21">
        <v>0</v>
      </c>
    </row>
    <row r="405" spans="1:6" x14ac:dyDescent="0.25">
      <c r="A405">
        <v>1622</v>
      </c>
      <c r="B405" s="16">
        <v>43556</v>
      </c>
      <c r="C405" t="s">
        <v>22</v>
      </c>
      <c r="D405" s="21">
        <v>7673769.2999999989</v>
      </c>
      <c r="E405" s="21">
        <v>-7673769.2999999989</v>
      </c>
      <c r="F405" s="21">
        <v>0</v>
      </c>
    </row>
    <row r="406" spans="1:6" x14ac:dyDescent="0.25">
      <c r="A406">
        <v>1622</v>
      </c>
      <c r="B406" s="16">
        <v>43556</v>
      </c>
      <c r="C406" t="s">
        <v>57</v>
      </c>
      <c r="D406" s="21">
        <v>7896546</v>
      </c>
      <c r="E406" s="21">
        <v>-7896546</v>
      </c>
      <c r="F406" s="21">
        <v>0</v>
      </c>
    </row>
    <row r="407" spans="1:6" x14ac:dyDescent="0.25">
      <c r="A407">
        <v>1622</v>
      </c>
      <c r="B407" s="16">
        <v>43556</v>
      </c>
      <c r="C407" t="s">
        <v>64</v>
      </c>
      <c r="D407" s="21">
        <v>3906157.7699999996</v>
      </c>
      <c r="E407" s="21">
        <v>-3906157.7699999996</v>
      </c>
      <c r="F407" s="21">
        <v>0</v>
      </c>
    </row>
    <row r="408" spans="1:6" x14ac:dyDescent="0.25">
      <c r="A408">
        <v>1622</v>
      </c>
      <c r="B408" s="16">
        <v>43556</v>
      </c>
      <c r="C408" t="s">
        <v>58</v>
      </c>
      <c r="D408" s="21">
        <v>5159076</v>
      </c>
      <c r="E408" s="21">
        <v>-5159076</v>
      </c>
      <c r="F408" s="21">
        <v>0</v>
      </c>
    </row>
    <row r="409" spans="1:6" x14ac:dyDescent="0.25">
      <c r="A409">
        <v>1622</v>
      </c>
      <c r="B409" s="16">
        <v>43556</v>
      </c>
      <c r="C409" t="s">
        <v>59</v>
      </c>
      <c r="D409" s="21">
        <v>1658274</v>
      </c>
      <c r="E409" s="21">
        <v>-1658274</v>
      </c>
      <c r="F409" s="21">
        <v>0</v>
      </c>
    </row>
    <row r="410" spans="1:6" x14ac:dyDescent="0.25">
      <c r="A410">
        <v>1622</v>
      </c>
      <c r="B410" s="16">
        <v>43556</v>
      </c>
      <c r="C410" t="s">
        <v>55</v>
      </c>
      <c r="D410" s="21">
        <v>12902995.5</v>
      </c>
      <c r="E410" s="21">
        <v>-12902995.5</v>
      </c>
      <c r="F410" s="21">
        <v>0</v>
      </c>
    </row>
    <row r="411" spans="1:6" x14ac:dyDescent="0.25">
      <c r="A411">
        <v>1622</v>
      </c>
      <c r="B411" s="16">
        <v>43556</v>
      </c>
      <c r="C411" t="s">
        <v>21</v>
      </c>
      <c r="D411" s="21">
        <v>3611462.4</v>
      </c>
      <c r="E411" s="21">
        <v>-3611462.4</v>
      </c>
      <c r="F411" s="21">
        <v>0</v>
      </c>
    </row>
    <row r="412" spans="1:6" x14ac:dyDescent="0.25">
      <c r="A412">
        <v>1622</v>
      </c>
      <c r="B412" s="16">
        <v>43556</v>
      </c>
      <c r="C412" t="s">
        <v>56</v>
      </c>
      <c r="D412" s="21">
        <v>15375943.5</v>
      </c>
      <c r="E412" s="21">
        <v>-15375943.5</v>
      </c>
      <c r="F412" s="21">
        <v>0</v>
      </c>
    </row>
    <row r="413" spans="1:6" x14ac:dyDescent="0.25">
      <c r="A413">
        <v>1622</v>
      </c>
      <c r="B413" s="16">
        <v>43556</v>
      </c>
      <c r="C413" t="s">
        <v>35</v>
      </c>
      <c r="D413" s="21">
        <v>3906157.7699999996</v>
      </c>
      <c r="E413" s="21">
        <v>-3906157.7699999996</v>
      </c>
      <c r="F413" s="21">
        <v>0</v>
      </c>
    </row>
    <row r="414" spans="1:6" x14ac:dyDescent="0.25">
      <c r="A414">
        <v>1622</v>
      </c>
      <c r="B414" s="16">
        <v>43556</v>
      </c>
      <c r="C414" t="s">
        <v>45</v>
      </c>
      <c r="D414" s="21">
        <v>4477341.0150000006</v>
      </c>
      <c r="E414" s="21">
        <v>-4477341.0150000006</v>
      </c>
      <c r="F414" s="21">
        <v>0</v>
      </c>
    </row>
    <row r="415" spans="1:6" x14ac:dyDescent="0.25">
      <c r="A415">
        <v>1622</v>
      </c>
      <c r="B415" s="16">
        <v>43556</v>
      </c>
      <c r="C415" t="s">
        <v>61</v>
      </c>
      <c r="D415" s="21">
        <v>3687130.4999999995</v>
      </c>
      <c r="E415" s="21">
        <v>-3687130.4999999995</v>
      </c>
      <c r="F415" s="21">
        <v>0</v>
      </c>
    </row>
    <row r="416" spans="1:6" x14ac:dyDescent="0.25">
      <c r="A416">
        <v>1622</v>
      </c>
      <c r="B416" s="16">
        <v>43556</v>
      </c>
      <c r="C416" t="s">
        <v>46</v>
      </c>
      <c r="D416" s="21">
        <v>3062689.7</v>
      </c>
      <c r="E416" s="21">
        <v>-3062689.7</v>
      </c>
      <c r="F416" s="21">
        <v>0</v>
      </c>
    </row>
    <row r="417" spans="1:6" x14ac:dyDescent="0.25">
      <c r="A417">
        <v>1622</v>
      </c>
      <c r="B417" s="16">
        <v>43556</v>
      </c>
      <c r="C417" t="s">
        <v>50</v>
      </c>
      <c r="D417" s="21">
        <v>16582744.5</v>
      </c>
      <c r="E417" s="21">
        <v>-16582744.5</v>
      </c>
      <c r="F417" s="21">
        <v>0</v>
      </c>
    </row>
    <row r="418" spans="1:6" x14ac:dyDescent="0.25">
      <c r="A418">
        <v>1622</v>
      </c>
      <c r="B418" s="16">
        <v>43556</v>
      </c>
      <c r="C418" t="s">
        <v>48</v>
      </c>
      <c r="D418" s="21">
        <v>4854913</v>
      </c>
      <c r="E418" s="21">
        <v>-4854913</v>
      </c>
      <c r="F418" s="21">
        <v>0</v>
      </c>
    </row>
    <row r="419" spans="1:6" x14ac:dyDescent="0.25">
      <c r="A419">
        <v>1622</v>
      </c>
      <c r="B419" s="16">
        <v>43586</v>
      </c>
      <c r="C419" t="s">
        <v>54</v>
      </c>
      <c r="D419" s="21">
        <v>12862642.5</v>
      </c>
      <c r="E419" s="21">
        <v>-12862642.5</v>
      </c>
      <c r="F419" s="21">
        <v>0</v>
      </c>
    </row>
    <row r="420" spans="1:6" x14ac:dyDescent="0.25">
      <c r="A420">
        <v>1622</v>
      </c>
      <c r="B420" s="16">
        <v>43586</v>
      </c>
      <c r="C420" t="s">
        <v>53</v>
      </c>
      <c r="D420" s="21">
        <v>9845886</v>
      </c>
      <c r="E420" s="21">
        <v>-9845886</v>
      </c>
      <c r="F420" s="21">
        <v>0</v>
      </c>
    </row>
    <row r="421" spans="1:6" x14ac:dyDescent="0.25">
      <c r="A421">
        <v>1622</v>
      </c>
      <c r="B421" s="16">
        <v>43586</v>
      </c>
      <c r="C421" t="s">
        <v>49</v>
      </c>
      <c r="D421" s="21">
        <v>29161467</v>
      </c>
      <c r="E421" s="21">
        <v>-29161467</v>
      </c>
      <c r="F421" s="21">
        <v>0</v>
      </c>
    </row>
    <row r="422" spans="1:6" x14ac:dyDescent="0.25">
      <c r="A422">
        <v>1622</v>
      </c>
      <c r="B422" s="16">
        <v>43586</v>
      </c>
      <c r="C422" t="s">
        <v>57</v>
      </c>
      <c r="D422" s="21">
        <v>7896546</v>
      </c>
      <c r="E422" s="21">
        <v>-7896546</v>
      </c>
      <c r="F422" s="21">
        <v>0</v>
      </c>
    </row>
    <row r="423" spans="1:6" x14ac:dyDescent="0.25">
      <c r="A423">
        <v>1622</v>
      </c>
      <c r="B423" s="16">
        <v>43586</v>
      </c>
      <c r="C423" t="s">
        <v>22</v>
      </c>
      <c r="D423" s="21">
        <v>3906157.7699999996</v>
      </c>
      <c r="E423" s="21">
        <v>-3906157.7699999996</v>
      </c>
      <c r="F423" s="21">
        <v>0</v>
      </c>
    </row>
    <row r="424" spans="1:6" x14ac:dyDescent="0.25">
      <c r="A424">
        <v>1622</v>
      </c>
      <c r="B424" s="16">
        <v>43586</v>
      </c>
      <c r="C424" t="s">
        <v>58</v>
      </c>
      <c r="D424" s="21">
        <v>5159076</v>
      </c>
      <c r="E424" s="21">
        <v>-5159076</v>
      </c>
      <c r="F424" s="21">
        <v>0</v>
      </c>
    </row>
    <row r="425" spans="1:6" x14ac:dyDescent="0.25">
      <c r="A425">
        <v>1622</v>
      </c>
      <c r="B425" s="16">
        <v>43586</v>
      </c>
      <c r="C425" t="s">
        <v>62</v>
      </c>
      <c r="D425" s="21">
        <v>4479713.6999999993</v>
      </c>
      <c r="E425" s="21">
        <v>-4479713.6999999993</v>
      </c>
      <c r="F425" s="21">
        <v>0</v>
      </c>
    </row>
    <row r="426" spans="1:6" x14ac:dyDescent="0.25">
      <c r="A426">
        <v>1622</v>
      </c>
      <c r="B426" s="16">
        <v>43586</v>
      </c>
      <c r="C426" t="s">
        <v>55</v>
      </c>
      <c r="D426" s="21">
        <v>12902995.5</v>
      </c>
      <c r="E426" s="21">
        <v>-12902995.5</v>
      </c>
      <c r="F426" s="21">
        <v>0</v>
      </c>
    </row>
    <row r="427" spans="1:6" x14ac:dyDescent="0.25">
      <c r="A427">
        <v>1622</v>
      </c>
      <c r="B427" s="16">
        <v>43586</v>
      </c>
      <c r="C427" t="s">
        <v>59</v>
      </c>
      <c r="D427" s="21">
        <v>1658274</v>
      </c>
      <c r="E427" s="21">
        <v>-1658274</v>
      </c>
      <c r="F427" s="21">
        <v>0</v>
      </c>
    </row>
    <row r="428" spans="1:6" x14ac:dyDescent="0.25">
      <c r="A428">
        <v>1622</v>
      </c>
      <c r="B428" s="16">
        <v>43586</v>
      </c>
      <c r="C428" t="s">
        <v>56</v>
      </c>
      <c r="D428" s="21">
        <v>15375943.5</v>
      </c>
      <c r="E428" s="21">
        <v>-15375943.5</v>
      </c>
      <c r="F428" s="21">
        <v>0</v>
      </c>
    </row>
    <row r="429" spans="1:6" x14ac:dyDescent="0.25">
      <c r="A429">
        <v>1622</v>
      </c>
      <c r="B429" s="16">
        <v>43586</v>
      </c>
      <c r="C429" t="s">
        <v>35</v>
      </c>
      <c r="D429" s="21">
        <v>3906157.7699999996</v>
      </c>
      <c r="E429" s="21">
        <v>-3906157.7699999996</v>
      </c>
      <c r="F429" s="21">
        <v>0</v>
      </c>
    </row>
    <row r="430" spans="1:6" x14ac:dyDescent="0.25">
      <c r="A430">
        <v>1622</v>
      </c>
      <c r="B430" s="16">
        <v>43586</v>
      </c>
      <c r="C430" t="s">
        <v>45</v>
      </c>
      <c r="D430" s="21">
        <v>4477341.0150000006</v>
      </c>
      <c r="E430" s="21">
        <v>-4477341.0150000006</v>
      </c>
      <c r="F430" s="21">
        <v>0</v>
      </c>
    </row>
    <row r="431" spans="1:6" x14ac:dyDescent="0.25">
      <c r="A431">
        <v>1622</v>
      </c>
      <c r="B431" s="16">
        <v>43586</v>
      </c>
      <c r="C431" t="s">
        <v>50</v>
      </c>
      <c r="D431" s="21">
        <v>16582744.5</v>
      </c>
      <c r="E431" s="21">
        <v>-16582744.5</v>
      </c>
      <c r="F431" s="21">
        <v>0</v>
      </c>
    </row>
    <row r="432" spans="1:6" x14ac:dyDescent="0.25">
      <c r="A432">
        <v>1622</v>
      </c>
      <c r="B432" s="16">
        <v>43586</v>
      </c>
      <c r="C432" t="s">
        <v>46</v>
      </c>
      <c r="D432" s="21">
        <v>3062689.7</v>
      </c>
      <c r="E432" s="21">
        <v>-3062689.7</v>
      </c>
      <c r="F432" s="21">
        <v>0</v>
      </c>
    </row>
    <row r="433" spans="1:6" x14ac:dyDescent="0.25">
      <c r="A433">
        <v>1622</v>
      </c>
      <c r="B433" s="16">
        <v>43586</v>
      </c>
      <c r="C433" t="s">
        <v>52</v>
      </c>
      <c r="D433" s="21">
        <v>6633097.5</v>
      </c>
      <c r="E433" s="21">
        <v>-6633097.5</v>
      </c>
      <c r="F433" s="21">
        <v>0</v>
      </c>
    </row>
    <row r="434" spans="1:6" x14ac:dyDescent="0.25">
      <c r="A434">
        <v>1622</v>
      </c>
      <c r="B434" s="16">
        <v>43586</v>
      </c>
      <c r="C434" t="s">
        <v>48</v>
      </c>
      <c r="D434" s="21">
        <v>4854913</v>
      </c>
      <c r="E434" s="21">
        <v>-4854913</v>
      </c>
      <c r="F434" s="21">
        <v>0</v>
      </c>
    </row>
    <row r="435" spans="1:6" x14ac:dyDescent="0.25">
      <c r="A435">
        <v>1622</v>
      </c>
      <c r="B435" s="16">
        <v>43617</v>
      </c>
      <c r="C435" t="s">
        <v>54</v>
      </c>
      <c r="D435" s="21">
        <v>12862642.5</v>
      </c>
      <c r="E435" s="21">
        <v>-12862642.5</v>
      </c>
      <c r="F435" s="21">
        <v>0</v>
      </c>
    </row>
    <row r="436" spans="1:6" x14ac:dyDescent="0.25">
      <c r="A436">
        <v>1622</v>
      </c>
      <c r="B436" s="16">
        <v>43617</v>
      </c>
      <c r="C436" t="s">
        <v>53</v>
      </c>
      <c r="D436" s="21">
        <v>9845886</v>
      </c>
      <c r="E436" s="21">
        <v>-9845886</v>
      </c>
      <c r="F436" s="21">
        <v>0</v>
      </c>
    </row>
    <row r="437" spans="1:6" x14ac:dyDescent="0.25">
      <c r="A437">
        <v>1622</v>
      </c>
      <c r="B437" s="16">
        <v>43617</v>
      </c>
      <c r="C437" t="s">
        <v>49</v>
      </c>
      <c r="D437" s="21">
        <v>29161467</v>
      </c>
      <c r="E437" s="21">
        <v>-29161467</v>
      </c>
      <c r="F437" s="21">
        <v>0</v>
      </c>
    </row>
    <row r="438" spans="1:6" x14ac:dyDescent="0.25">
      <c r="A438">
        <v>1622</v>
      </c>
      <c r="B438" s="16">
        <v>43617</v>
      </c>
      <c r="C438" t="s">
        <v>57</v>
      </c>
      <c r="D438" s="21">
        <v>7896546</v>
      </c>
      <c r="E438" s="21">
        <v>-7896546</v>
      </c>
      <c r="F438" s="21">
        <v>0</v>
      </c>
    </row>
    <row r="439" spans="1:6" x14ac:dyDescent="0.25">
      <c r="A439">
        <v>1622</v>
      </c>
      <c r="B439" s="16">
        <v>43617</v>
      </c>
      <c r="C439" t="s">
        <v>22</v>
      </c>
      <c r="D439" s="21">
        <v>3906157.7699999996</v>
      </c>
      <c r="E439" s="21">
        <v>-3906157.7699999996</v>
      </c>
      <c r="F439" s="21">
        <v>0</v>
      </c>
    </row>
    <row r="440" spans="1:6" x14ac:dyDescent="0.25">
      <c r="A440">
        <v>1622</v>
      </c>
      <c r="B440" s="16">
        <v>43617</v>
      </c>
      <c r="C440" t="s">
        <v>58</v>
      </c>
      <c r="D440" s="21">
        <v>5159076</v>
      </c>
      <c r="E440" s="21">
        <v>-5159076</v>
      </c>
      <c r="F440" s="21">
        <v>0</v>
      </c>
    </row>
    <row r="441" spans="1:6" x14ac:dyDescent="0.25">
      <c r="A441">
        <v>1622</v>
      </c>
      <c r="B441" s="16">
        <v>43617</v>
      </c>
      <c r="C441" t="s">
        <v>62</v>
      </c>
      <c r="D441" s="21">
        <v>4479713.6999999993</v>
      </c>
      <c r="E441" s="21">
        <v>-4479713.6999999993</v>
      </c>
      <c r="F441" s="21">
        <v>0</v>
      </c>
    </row>
    <row r="442" spans="1:6" x14ac:dyDescent="0.25">
      <c r="A442">
        <v>1622</v>
      </c>
      <c r="B442" s="16">
        <v>43617</v>
      </c>
      <c r="C442" t="s">
        <v>55</v>
      </c>
      <c r="D442" s="21">
        <v>12902995.5</v>
      </c>
      <c r="E442" s="21">
        <v>-12902995.5</v>
      </c>
      <c r="F442" s="21">
        <v>0</v>
      </c>
    </row>
    <row r="443" spans="1:6" x14ac:dyDescent="0.25">
      <c r="A443">
        <v>1622</v>
      </c>
      <c r="B443" s="16">
        <v>43617</v>
      </c>
      <c r="C443" t="s">
        <v>59</v>
      </c>
      <c r="D443" s="21">
        <v>1658274</v>
      </c>
      <c r="E443" s="21">
        <v>-1658274</v>
      </c>
      <c r="F443" s="21">
        <v>0</v>
      </c>
    </row>
    <row r="444" spans="1:6" x14ac:dyDescent="0.25">
      <c r="A444">
        <v>1622</v>
      </c>
      <c r="B444" s="16">
        <v>43617</v>
      </c>
      <c r="C444" t="s">
        <v>56</v>
      </c>
      <c r="D444" s="21">
        <v>15375943.5</v>
      </c>
      <c r="E444" s="21">
        <v>-15375943.5</v>
      </c>
      <c r="F444" s="21">
        <v>0</v>
      </c>
    </row>
    <row r="445" spans="1:6" x14ac:dyDescent="0.25">
      <c r="A445">
        <v>1622</v>
      </c>
      <c r="B445" s="16">
        <v>43617</v>
      </c>
      <c r="C445" t="s">
        <v>35</v>
      </c>
      <c r="D445" s="21">
        <v>3906157.7699999996</v>
      </c>
      <c r="E445" s="21">
        <v>-3906157.7699999996</v>
      </c>
      <c r="F445" s="21">
        <v>0</v>
      </c>
    </row>
    <row r="446" spans="1:6" x14ac:dyDescent="0.25">
      <c r="A446">
        <v>1622</v>
      </c>
      <c r="B446" s="16">
        <v>43617</v>
      </c>
      <c r="C446" t="s">
        <v>45</v>
      </c>
      <c r="D446" s="21">
        <v>4477341.0150000006</v>
      </c>
      <c r="E446" s="21">
        <v>-4477341.0150000006</v>
      </c>
      <c r="F446" s="21">
        <v>0</v>
      </c>
    </row>
    <row r="447" spans="1:6" x14ac:dyDescent="0.25">
      <c r="A447">
        <v>1622</v>
      </c>
      <c r="B447" s="16">
        <v>43617</v>
      </c>
      <c r="C447" t="s">
        <v>50</v>
      </c>
      <c r="D447" s="21">
        <v>16582744.5</v>
      </c>
      <c r="E447" s="21">
        <v>-16582744.5</v>
      </c>
      <c r="F447" s="21">
        <v>0</v>
      </c>
    </row>
    <row r="448" spans="1:6" x14ac:dyDescent="0.25">
      <c r="A448">
        <v>1622</v>
      </c>
      <c r="B448" s="16">
        <v>43617</v>
      </c>
      <c r="C448" t="s">
        <v>46</v>
      </c>
      <c r="D448" s="21">
        <v>3062689.7</v>
      </c>
      <c r="E448" s="21">
        <v>-3062689.7</v>
      </c>
      <c r="F448" s="21">
        <v>0</v>
      </c>
    </row>
    <row r="449" spans="1:6" x14ac:dyDescent="0.25">
      <c r="A449">
        <v>1622</v>
      </c>
      <c r="B449" s="16">
        <v>43617</v>
      </c>
      <c r="C449" t="s">
        <v>52</v>
      </c>
      <c r="D449" s="21">
        <v>6633097.5</v>
      </c>
      <c r="E449" s="21">
        <v>-6633097.5</v>
      </c>
      <c r="F449" s="21">
        <v>0</v>
      </c>
    </row>
    <row r="450" spans="1:6" x14ac:dyDescent="0.25">
      <c r="A450">
        <v>1622</v>
      </c>
      <c r="B450" s="16">
        <v>43617</v>
      </c>
      <c r="C450" t="s">
        <v>48</v>
      </c>
      <c r="D450" s="21">
        <v>4854913</v>
      </c>
      <c r="E450" s="21">
        <v>-4854913</v>
      </c>
      <c r="F450" s="21">
        <v>0</v>
      </c>
    </row>
    <row r="451" spans="1:6" x14ac:dyDescent="0.25">
      <c r="A451">
        <v>1622</v>
      </c>
      <c r="B451" s="16">
        <v>43647</v>
      </c>
      <c r="C451" t="s">
        <v>53</v>
      </c>
      <c r="D451" s="21">
        <v>9845886</v>
      </c>
      <c r="E451" s="21">
        <v>-9845886</v>
      </c>
      <c r="F451" s="21">
        <v>0</v>
      </c>
    </row>
    <row r="452" spans="1:6" x14ac:dyDescent="0.25">
      <c r="A452">
        <v>1622</v>
      </c>
      <c r="B452" s="16">
        <v>43647</v>
      </c>
      <c r="C452" t="s">
        <v>59</v>
      </c>
      <c r="D452" s="21">
        <v>1658274</v>
      </c>
      <c r="E452" s="21">
        <v>-1658274</v>
      </c>
      <c r="F452" s="21">
        <v>0</v>
      </c>
    </row>
    <row r="453" spans="1:6" x14ac:dyDescent="0.25">
      <c r="A453">
        <v>1622</v>
      </c>
      <c r="B453" s="16">
        <v>43647</v>
      </c>
      <c r="C453" t="s">
        <v>57</v>
      </c>
      <c r="D453" s="21">
        <v>7896546</v>
      </c>
      <c r="E453" s="21">
        <v>-7896546</v>
      </c>
      <c r="F453" s="21">
        <v>0</v>
      </c>
    </row>
    <row r="454" spans="1:6" x14ac:dyDescent="0.25">
      <c r="A454">
        <v>1622</v>
      </c>
      <c r="B454" s="16">
        <v>43647</v>
      </c>
      <c r="C454" t="s">
        <v>50</v>
      </c>
      <c r="D454" s="21">
        <v>16582744.5</v>
      </c>
      <c r="E454" s="21">
        <v>-16582744.5</v>
      </c>
      <c r="F454" s="21">
        <v>0</v>
      </c>
    </row>
    <row r="455" spans="1:6" x14ac:dyDescent="0.25">
      <c r="A455">
        <v>1622</v>
      </c>
      <c r="B455" s="16">
        <v>43647</v>
      </c>
      <c r="C455" t="s">
        <v>58</v>
      </c>
      <c r="D455" s="21">
        <v>5159076</v>
      </c>
      <c r="E455" s="21">
        <v>-5159076</v>
      </c>
      <c r="F455" s="21">
        <v>0</v>
      </c>
    </row>
    <row r="456" spans="1:6" x14ac:dyDescent="0.25">
      <c r="A456">
        <v>1622</v>
      </c>
      <c r="B456" s="16">
        <v>43647</v>
      </c>
      <c r="C456" t="s">
        <v>62</v>
      </c>
      <c r="D456" s="21">
        <v>4479713.6999999993</v>
      </c>
      <c r="E456" s="21">
        <v>-4479713.6999999993</v>
      </c>
      <c r="F456" s="21">
        <v>0</v>
      </c>
    </row>
    <row r="457" spans="1:6" x14ac:dyDescent="0.25">
      <c r="A457">
        <v>1622</v>
      </c>
      <c r="B457" s="16">
        <v>43647</v>
      </c>
      <c r="C457" t="s">
        <v>55</v>
      </c>
      <c r="D457" s="21">
        <v>12902995.5</v>
      </c>
      <c r="E457" s="21">
        <v>-12902995.5</v>
      </c>
      <c r="F457" s="21">
        <v>0</v>
      </c>
    </row>
    <row r="458" spans="1:6" x14ac:dyDescent="0.25">
      <c r="A458">
        <v>1622</v>
      </c>
      <c r="B458" s="16">
        <v>43647</v>
      </c>
      <c r="C458" t="s">
        <v>54</v>
      </c>
      <c r="D458" s="21">
        <v>12862642.5</v>
      </c>
      <c r="E458" s="21">
        <v>-12862642.5</v>
      </c>
      <c r="F458" s="21">
        <v>0</v>
      </c>
    </row>
    <row r="459" spans="1:6" x14ac:dyDescent="0.25">
      <c r="A459">
        <v>1622</v>
      </c>
      <c r="B459" s="16">
        <v>43647</v>
      </c>
      <c r="C459" t="s">
        <v>56</v>
      </c>
      <c r="D459" s="21">
        <v>15375943.5</v>
      </c>
      <c r="E459" s="21">
        <v>-15375943.5</v>
      </c>
      <c r="F459" s="21">
        <v>0</v>
      </c>
    </row>
    <row r="460" spans="1:6" x14ac:dyDescent="0.25">
      <c r="A460">
        <v>1622</v>
      </c>
      <c r="B460" s="16">
        <v>43647</v>
      </c>
      <c r="C460" t="s">
        <v>22</v>
      </c>
      <c r="D460" s="21">
        <v>3906157.7699999996</v>
      </c>
      <c r="E460" s="21">
        <v>-3906157.7699999996</v>
      </c>
      <c r="F460" s="21">
        <v>0</v>
      </c>
    </row>
    <row r="461" spans="1:6" x14ac:dyDescent="0.25">
      <c r="A461">
        <v>1622</v>
      </c>
      <c r="B461" s="16">
        <v>43647</v>
      </c>
      <c r="C461" t="s">
        <v>45</v>
      </c>
      <c r="D461" s="21">
        <v>4477341.0150000006</v>
      </c>
      <c r="E461" s="21">
        <v>-4477341.0150000006</v>
      </c>
      <c r="F461" s="21">
        <v>0</v>
      </c>
    </row>
    <row r="462" spans="1:6" x14ac:dyDescent="0.25">
      <c r="A462">
        <v>1622</v>
      </c>
      <c r="B462" s="16">
        <v>43647</v>
      </c>
      <c r="C462" t="s">
        <v>49</v>
      </c>
      <c r="D462" s="21">
        <v>29161467</v>
      </c>
      <c r="E462" s="21">
        <v>-29161467</v>
      </c>
      <c r="F462" s="21">
        <v>0</v>
      </c>
    </row>
    <row r="463" spans="1:6" x14ac:dyDescent="0.25">
      <c r="A463">
        <v>1622</v>
      </c>
      <c r="B463" s="16">
        <v>43647</v>
      </c>
      <c r="C463" t="s">
        <v>46</v>
      </c>
      <c r="D463" s="21">
        <v>3062689.7</v>
      </c>
      <c r="E463" s="21">
        <v>-3062689.7</v>
      </c>
      <c r="F463" s="21">
        <v>0</v>
      </c>
    </row>
    <row r="464" spans="1:6" x14ac:dyDescent="0.25">
      <c r="A464">
        <v>1622</v>
      </c>
      <c r="B464" s="16">
        <v>43647</v>
      </c>
      <c r="C464" t="s">
        <v>52</v>
      </c>
      <c r="D464" s="21">
        <v>6633097.5</v>
      </c>
      <c r="E464" s="21">
        <v>-6633097.5</v>
      </c>
      <c r="F464" s="21">
        <v>0</v>
      </c>
    </row>
    <row r="465" spans="1:6" x14ac:dyDescent="0.25">
      <c r="A465">
        <v>1622</v>
      </c>
      <c r="B465" s="16">
        <v>43647</v>
      </c>
      <c r="C465" t="s">
        <v>48</v>
      </c>
      <c r="D465" s="21">
        <v>4854913</v>
      </c>
      <c r="E465" s="21">
        <v>-4854913</v>
      </c>
      <c r="F465" s="21">
        <v>0</v>
      </c>
    </row>
    <row r="466" spans="1:6" x14ac:dyDescent="0.25">
      <c r="A466">
        <v>1622</v>
      </c>
      <c r="B466" s="16">
        <v>43678</v>
      </c>
      <c r="C466" t="s">
        <v>53</v>
      </c>
      <c r="D466" s="21">
        <v>9845886</v>
      </c>
      <c r="E466" s="21">
        <v>-9845886</v>
      </c>
      <c r="F466" s="21">
        <v>0</v>
      </c>
    </row>
    <row r="467" spans="1:6" x14ac:dyDescent="0.25">
      <c r="A467">
        <v>1622</v>
      </c>
      <c r="B467" s="16">
        <v>43678</v>
      </c>
      <c r="C467" t="s">
        <v>59</v>
      </c>
      <c r="D467" s="21">
        <v>1658274</v>
      </c>
      <c r="E467" s="21">
        <v>-1658274</v>
      </c>
      <c r="F467" s="21">
        <v>0</v>
      </c>
    </row>
    <row r="468" spans="1:6" x14ac:dyDescent="0.25">
      <c r="A468">
        <v>1622</v>
      </c>
      <c r="B468" s="16">
        <v>43678</v>
      </c>
      <c r="C468" t="s">
        <v>57</v>
      </c>
      <c r="D468" s="21">
        <v>7896546</v>
      </c>
      <c r="E468" s="21">
        <v>-7896546</v>
      </c>
      <c r="F468" s="21">
        <v>0</v>
      </c>
    </row>
    <row r="469" spans="1:6" x14ac:dyDescent="0.25">
      <c r="A469">
        <v>1622</v>
      </c>
      <c r="B469" s="16">
        <v>43678</v>
      </c>
      <c r="C469" t="s">
        <v>50</v>
      </c>
      <c r="D469" s="21">
        <v>16582744.5</v>
      </c>
      <c r="E469" s="21">
        <v>-16582744.5</v>
      </c>
      <c r="F469" s="21">
        <v>0</v>
      </c>
    </row>
    <row r="470" spans="1:6" x14ac:dyDescent="0.25">
      <c r="A470">
        <v>1622</v>
      </c>
      <c r="B470" s="16">
        <v>43678</v>
      </c>
      <c r="C470" t="s">
        <v>58</v>
      </c>
      <c r="D470" s="21">
        <v>5159076</v>
      </c>
      <c r="E470" s="21">
        <v>-5159076</v>
      </c>
      <c r="F470" s="21">
        <v>0</v>
      </c>
    </row>
    <row r="471" spans="1:6" x14ac:dyDescent="0.25">
      <c r="A471">
        <v>1622</v>
      </c>
      <c r="B471" s="16">
        <v>43678</v>
      </c>
      <c r="C471" t="s">
        <v>62</v>
      </c>
      <c r="D471" s="21">
        <v>4479713.6999999993</v>
      </c>
      <c r="E471" s="21">
        <v>-4479713.6999999993</v>
      </c>
      <c r="F471" s="21">
        <v>0</v>
      </c>
    </row>
    <row r="472" spans="1:6" x14ac:dyDescent="0.25">
      <c r="A472">
        <v>1622</v>
      </c>
      <c r="B472" s="16">
        <v>43678</v>
      </c>
      <c r="C472" t="s">
        <v>55</v>
      </c>
      <c r="D472" s="21">
        <v>12902995.5</v>
      </c>
      <c r="E472" s="21">
        <v>-12902995.5</v>
      </c>
      <c r="F472" s="21">
        <v>0</v>
      </c>
    </row>
    <row r="473" spans="1:6" x14ac:dyDescent="0.25">
      <c r="A473">
        <v>1622</v>
      </c>
      <c r="B473" s="16">
        <v>43678</v>
      </c>
      <c r="C473" t="s">
        <v>54</v>
      </c>
      <c r="D473" s="21">
        <v>12862642.5</v>
      </c>
      <c r="E473" s="21">
        <v>-12862642.5</v>
      </c>
      <c r="F473" s="21">
        <v>0</v>
      </c>
    </row>
    <row r="474" spans="1:6" x14ac:dyDescent="0.25">
      <c r="A474">
        <v>1622</v>
      </c>
      <c r="B474" s="16">
        <v>43678</v>
      </c>
      <c r="C474" t="s">
        <v>56</v>
      </c>
      <c r="D474" s="21">
        <v>15375943.5</v>
      </c>
      <c r="E474" s="21">
        <v>-15375943.5</v>
      </c>
      <c r="F474" s="21">
        <v>0</v>
      </c>
    </row>
    <row r="475" spans="1:6" x14ac:dyDescent="0.25">
      <c r="A475">
        <v>1622</v>
      </c>
      <c r="B475" s="16">
        <v>43678</v>
      </c>
      <c r="C475" t="s">
        <v>22</v>
      </c>
      <c r="D475" s="21">
        <v>3906157.7699999996</v>
      </c>
      <c r="E475" s="21">
        <v>-3906157.7699999996</v>
      </c>
      <c r="F475" s="21">
        <v>0</v>
      </c>
    </row>
    <row r="476" spans="1:6" x14ac:dyDescent="0.25">
      <c r="A476">
        <v>1622</v>
      </c>
      <c r="B476" s="16">
        <v>43678</v>
      </c>
      <c r="C476" t="s">
        <v>45</v>
      </c>
      <c r="D476" s="21">
        <v>4477341.0150000006</v>
      </c>
      <c r="E476" s="21">
        <v>-4477341.0150000006</v>
      </c>
      <c r="F476" s="21">
        <v>0</v>
      </c>
    </row>
    <row r="477" spans="1:6" x14ac:dyDescent="0.25">
      <c r="A477">
        <v>1622</v>
      </c>
      <c r="B477" s="16">
        <v>43678</v>
      </c>
      <c r="C477" t="s">
        <v>49</v>
      </c>
      <c r="D477" s="21">
        <v>29161467</v>
      </c>
      <c r="E477" s="21">
        <v>-29161467</v>
      </c>
      <c r="F477" s="21">
        <v>0</v>
      </c>
    </row>
    <row r="478" spans="1:6" x14ac:dyDescent="0.25">
      <c r="A478">
        <v>1622</v>
      </c>
      <c r="B478" s="16">
        <v>43678</v>
      </c>
      <c r="C478" t="s">
        <v>46</v>
      </c>
      <c r="D478" s="21">
        <v>3062689.7</v>
      </c>
      <c r="E478" s="21">
        <v>-3062689.7</v>
      </c>
      <c r="F478" s="21">
        <v>0</v>
      </c>
    </row>
    <row r="479" spans="1:6" x14ac:dyDescent="0.25">
      <c r="A479">
        <v>1622</v>
      </c>
      <c r="B479" s="16">
        <v>43678</v>
      </c>
      <c r="C479" t="s">
        <v>52</v>
      </c>
      <c r="D479" s="21">
        <v>6633097.5</v>
      </c>
      <c r="E479" s="21">
        <v>-6633097.5</v>
      </c>
      <c r="F479" s="21">
        <v>0</v>
      </c>
    </row>
    <row r="480" spans="1:6" x14ac:dyDescent="0.25">
      <c r="A480">
        <v>1622</v>
      </c>
      <c r="B480" s="16">
        <v>43678</v>
      </c>
      <c r="C480" t="s">
        <v>48</v>
      </c>
      <c r="D480" s="21">
        <v>4854913</v>
      </c>
      <c r="E480" s="21">
        <v>-4854913</v>
      </c>
      <c r="F480" s="21">
        <v>0</v>
      </c>
    </row>
    <row r="481" spans="1:6" x14ac:dyDescent="0.25">
      <c r="A481">
        <v>1622</v>
      </c>
      <c r="B481" s="16">
        <v>43709</v>
      </c>
      <c r="C481" t="s">
        <v>53</v>
      </c>
      <c r="D481" s="21">
        <v>9845886</v>
      </c>
      <c r="E481" s="21">
        <v>-9845886</v>
      </c>
      <c r="F481" s="21">
        <v>0</v>
      </c>
    </row>
    <row r="482" spans="1:6" x14ac:dyDescent="0.25">
      <c r="A482">
        <v>1622</v>
      </c>
      <c r="B482" s="16">
        <v>43709</v>
      </c>
      <c r="C482" t="s">
        <v>57</v>
      </c>
      <c r="D482" s="21">
        <v>7896546</v>
      </c>
      <c r="E482" s="21">
        <v>-7896546</v>
      </c>
      <c r="F482" s="21">
        <v>0</v>
      </c>
    </row>
    <row r="483" spans="1:6" x14ac:dyDescent="0.25">
      <c r="A483">
        <v>1622</v>
      </c>
      <c r="B483" s="16">
        <v>43709</v>
      </c>
      <c r="C483" t="s">
        <v>49</v>
      </c>
      <c r="D483" s="21">
        <v>29161467</v>
      </c>
      <c r="E483" s="21">
        <v>-29161467</v>
      </c>
      <c r="F483" s="21">
        <v>0</v>
      </c>
    </row>
    <row r="484" spans="1:6" x14ac:dyDescent="0.25">
      <c r="A484">
        <v>1622</v>
      </c>
      <c r="B484" s="16">
        <v>43709</v>
      </c>
      <c r="C484" t="s">
        <v>58</v>
      </c>
      <c r="D484" s="21">
        <v>5159076</v>
      </c>
      <c r="E484" s="21">
        <v>-5159076</v>
      </c>
      <c r="F484" s="21">
        <v>0</v>
      </c>
    </row>
    <row r="485" spans="1:6" x14ac:dyDescent="0.25">
      <c r="A485">
        <v>1622</v>
      </c>
      <c r="B485" s="16">
        <v>43709</v>
      </c>
      <c r="C485" t="s">
        <v>22</v>
      </c>
      <c r="D485" s="21">
        <v>3906157.7699999996</v>
      </c>
      <c r="E485" s="21">
        <v>-3906157.7699999996</v>
      </c>
      <c r="F485" s="21">
        <v>0</v>
      </c>
    </row>
    <row r="486" spans="1:6" x14ac:dyDescent="0.25">
      <c r="A486">
        <v>1622</v>
      </c>
      <c r="B486" s="16">
        <v>43709</v>
      </c>
      <c r="C486" t="s">
        <v>55</v>
      </c>
      <c r="D486" s="21">
        <v>6663097.5</v>
      </c>
      <c r="E486" s="21">
        <v>-6663097.5</v>
      </c>
      <c r="F486" s="21">
        <v>0</v>
      </c>
    </row>
    <row r="487" spans="1:6" x14ac:dyDescent="0.25">
      <c r="A487">
        <v>1622</v>
      </c>
      <c r="B487" s="16">
        <v>43709</v>
      </c>
      <c r="C487" t="s">
        <v>54</v>
      </c>
      <c r="D487" s="21">
        <v>12862642.5</v>
      </c>
      <c r="E487" s="21">
        <v>-12862642.5</v>
      </c>
      <c r="F487" s="21">
        <v>0</v>
      </c>
    </row>
    <row r="488" spans="1:6" x14ac:dyDescent="0.25">
      <c r="A488">
        <v>1622</v>
      </c>
      <c r="B488" s="16">
        <v>43709</v>
      </c>
      <c r="C488" t="s">
        <v>56</v>
      </c>
      <c r="D488" s="21">
        <v>15375943.5</v>
      </c>
      <c r="E488" s="21">
        <v>-15375943.5</v>
      </c>
      <c r="F488" s="21">
        <v>0</v>
      </c>
    </row>
    <row r="489" spans="1:6" x14ac:dyDescent="0.25">
      <c r="A489">
        <v>1622</v>
      </c>
      <c r="B489" s="16">
        <v>43709</v>
      </c>
      <c r="C489" t="s">
        <v>50</v>
      </c>
      <c r="D489" s="21">
        <v>16582744.5</v>
      </c>
      <c r="E489" s="21">
        <v>-16582744.5</v>
      </c>
      <c r="F489" s="21">
        <v>0</v>
      </c>
    </row>
    <row r="490" spans="1:6" x14ac:dyDescent="0.25">
      <c r="A490">
        <v>1622</v>
      </c>
      <c r="B490" s="16">
        <v>43709</v>
      </c>
      <c r="C490" t="s">
        <v>45</v>
      </c>
      <c r="D490" s="21">
        <v>4477341.0150000006</v>
      </c>
      <c r="E490" s="21">
        <v>-4477341.0150000006</v>
      </c>
      <c r="F490" s="21">
        <v>0</v>
      </c>
    </row>
    <row r="491" spans="1:6" x14ac:dyDescent="0.25">
      <c r="A491">
        <v>1622</v>
      </c>
      <c r="B491" s="16">
        <v>43709</v>
      </c>
      <c r="C491" t="s">
        <v>59</v>
      </c>
      <c r="D491" s="21">
        <v>1658274</v>
      </c>
      <c r="E491" s="21">
        <v>-1658274</v>
      </c>
      <c r="F491" s="21">
        <v>0</v>
      </c>
    </row>
    <row r="492" spans="1:6" x14ac:dyDescent="0.25">
      <c r="A492">
        <v>1622</v>
      </c>
      <c r="B492" s="16">
        <v>43709</v>
      </c>
      <c r="C492" t="s">
        <v>46</v>
      </c>
      <c r="D492" s="21">
        <v>3062689.7</v>
      </c>
      <c r="E492" s="21">
        <v>-3062689.7</v>
      </c>
      <c r="F492" s="21">
        <v>0</v>
      </c>
    </row>
    <row r="493" spans="1:6" x14ac:dyDescent="0.25">
      <c r="A493">
        <v>1622</v>
      </c>
      <c r="B493" s="16">
        <v>43709</v>
      </c>
      <c r="C493" t="s">
        <v>62</v>
      </c>
      <c r="D493" s="21">
        <v>4479713.6999999993</v>
      </c>
      <c r="E493" s="21">
        <v>-4479713.6999999993</v>
      </c>
      <c r="F493" s="21">
        <v>0</v>
      </c>
    </row>
    <row r="494" spans="1:6" x14ac:dyDescent="0.25">
      <c r="A494">
        <v>1622</v>
      </c>
      <c r="B494" s="16">
        <v>43709</v>
      </c>
      <c r="C494" t="s">
        <v>48</v>
      </c>
      <c r="D494" s="21">
        <v>4854913</v>
      </c>
      <c r="E494" s="21">
        <v>-4854913</v>
      </c>
      <c r="F494" s="21">
        <v>0</v>
      </c>
    </row>
    <row r="495" spans="1:6" x14ac:dyDescent="0.25">
      <c r="A495">
        <v>1622</v>
      </c>
      <c r="B495" s="16">
        <v>43739</v>
      </c>
      <c r="C495" t="s">
        <v>53</v>
      </c>
      <c r="D495" s="21">
        <v>9845886</v>
      </c>
      <c r="E495" s="21">
        <v>-9845886</v>
      </c>
      <c r="F495" s="21">
        <v>0</v>
      </c>
    </row>
    <row r="496" spans="1:6" x14ac:dyDescent="0.25">
      <c r="A496">
        <v>1622</v>
      </c>
      <c r="B496" s="16">
        <v>43739</v>
      </c>
      <c r="C496" t="s">
        <v>57</v>
      </c>
      <c r="D496" s="21">
        <v>7896546</v>
      </c>
      <c r="E496" s="21">
        <v>-7896546</v>
      </c>
      <c r="F496" s="21">
        <v>0</v>
      </c>
    </row>
    <row r="497" spans="1:6" x14ac:dyDescent="0.25">
      <c r="A497">
        <v>1622</v>
      </c>
      <c r="B497" s="16">
        <v>43739</v>
      </c>
      <c r="C497" t="s">
        <v>49</v>
      </c>
      <c r="D497" s="21">
        <v>29161467</v>
      </c>
      <c r="E497" s="21">
        <v>-29161467</v>
      </c>
      <c r="F497" s="21">
        <v>0</v>
      </c>
    </row>
    <row r="498" spans="1:6" x14ac:dyDescent="0.25">
      <c r="A498">
        <v>1622</v>
      </c>
      <c r="B498" s="16">
        <v>43739</v>
      </c>
      <c r="C498" t="s">
        <v>58</v>
      </c>
      <c r="D498" s="21">
        <v>5159076</v>
      </c>
      <c r="E498" s="21">
        <v>-5159076</v>
      </c>
      <c r="F498" s="21">
        <v>0</v>
      </c>
    </row>
    <row r="499" spans="1:6" x14ac:dyDescent="0.25">
      <c r="A499">
        <v>1622</v>
      </c>
      <c r="B499" s="16">
        <v>43739</v>
      </c>
      <c r="C499" t="s">
        <v>22</v>
      </c>
      <c r="D499" s="21">
        <v>3906157.7699999996</v>
      </c>
      <c r="E499" s="21">
        <v>-3906157.7699999996</v>
      </c>
      <c r="F499" s="21">
        <v>0</v>
      </c>
    </row>
    <row r="500" spans="1:6" x14ac:dyDescent="0.25">
      <c r="A500">
        <v>1622</v>
      </c>
      <c r="B500" s="16">
        <v>43739</v>
      </c>
      <c r="C500" t="s">
        <v>55</v>
      </c>
      <c r="D500" s="21">
        <v>6663097.5</v>
      </c>
      <c r="E500" s="21">
        <v>-6663097.5</v>
      </c>
      <c r="F500" s="21">
        <v>0</v>
      </c>
    </row>
    <row r="501" spans="1:6" x14ac:dyDescent="0.25">
      <c r="A501">
        <v>1622</v>
      </c>
      <c r="B501" s="16">
        <v>43739</v>
      </c>
      <c r="C501" t="s">
        <v>54</v>
      </c>
      <c r="D501" s="21">
        <v>12862642.5</v>
      </c>
      <c r="E501" s="21">
        <v>-12862642.5</v>
      </c>
      <c r="F501" s="21">
        <v>0</v>
      </c>
    </row>
    <row r="502" spans="1:6" x14ac:dyDescent="0.25">
      <c r="A502">
        <v>1622</v>
      </c>
      <c r="B502" s="16">
        <v>43739</v>
      </c>
      <c r="C502" t="s">
        <v>56</v>
      </c>
      <c r="D502" s="21">
        <v>15375943.5</v>
      </c>
      <c r="E502" s="21">
        <v>-15375943.5</v>
      </c>
      <c r="F502" s="21">
        <v>0</v>
      </c>
    </row>
    <row r="503" spans="1:6" x14ac:dyDescent="0.25">
      <c r="A503">
        <v>1622</v>
      </c>
      <c r="B503" s="16">
        <v>43739</v>
      </c>
      <c r="C503" t="s">
        <v>50</v>
      </c>
      <c r="D503" s="21">
        <v>16582744.5</v>
      </c>
      <c r="E503" s="21">
        <v>-16582744.5</v>
      </c>
      <c r="F503" s="21">
        <v>0</v>
      </c>
    </row>
    <row r="504" spans="1:6" x14ac:dyDescent="0.25">
      <c r="A504">
        <v>1622</v>
      </c>
      <c r="B504" s="16">
        <v>43739</v>
      </c>
      <c r="C504" t="s">
        <v>45</v>
      </c>
      <c r="D504" s="21">
        <v>4477341.0150000006</v>
      </c>
      <c r="E504" s="21">
        <v>-4477341.0150000006</v>
      </c>
      <c r="F504" s="21">
        <v>0</v>
      </c>
    </row>
    <row r="505" spans="1:6" x14ac:dyDescent="0.25">
      <c r="A505">
        <v>1622</v>
      </c>
      <c r="B505" s="16">
        <v>43739</v>
      </c>
      <c r="C505" t="s">
        <v>59</v>
      </c>
      <c r="D505" s="21">
        <v>1658274</v>
      </c>
      <c r="E505" s="21">
        <v>-1658274</v>
      </c>
      <c r="F505" s="21">
        <v>0</v>
      </c>
    </row>
    <row r="506" spans="1:6" x14ac:dyDescent="0.25">
      <c r="A506">
        <v>1622</v>
      </c>
      <c r="B506" s="16">
        <v>43739</v>
      </c>
      <c r="C506" t="s">
        <v>46</v>
      </c>
      <c r="D506" s="21">
        <v>3062689.7</v>
      </c>
      <c r="E506" s="21">
        <v>-3062689.7</v>
      </c>
      <c r="F506" s="21">
        <v>0</v>
      </c>
    </row>
    <row r="507" spans="1:6" x14ac:dyDescent="0.25">
      <c r="A507">
        <v>1622</v>
      </c>
      <c r="B507" s="16">
        <v>43739</v>
      </c>
      <c r="C507" t="s">
        <v>62</v>
      </c>
      <c r="D507" s="21">
        <v>4479713.6999999993</v>
      </c>
      <c r="E507" s="21">
        <v>-4479713.6999999993</v>
      </c>
      <c r="F507" s="21">
        <v>0</v>
      </c>
    </row>
    <row r="508" spans="1:6" x14ac:dyDescent="0.25">
      <c r="A508">
        <v>1622</v>
      </c>
      <c r="B508" s="16">
        <v>43739</v>
      </c>
      <c r="C508" t="s">
        <v>48</v>
      </c>
      <c r="D508" s="21">
        <v>4854913</v>
      </c>
      <c r="E508" s="21">
        <v>-4854913</v>
      </c>
      <c r="F508" s="21">
        <v>0</v>
      </c>
    </row>
    <row r="509" spans="1:6" x14ac:dyDescent="0.25">
      <c r="A509">
        <v>1622</v>
      </c>
      <c r="B509" s="16">
        <v>43770</v>
      </c>
      <c r="C509" t="s">
        <v>53</v>
      </c>
      <c r="D509" s="21">
        <v>4757001</v>
      </c>
      <c r="E509" s="21">
        <v>-4757001</v>
      </c>
      <c r="F509" s="21">
        <v>0</v>
      </c>
    </row>
    <row r="510" spans="1:6" x14ac:dyDescent="0.25">
      <c r="A510">
        <v>1622</v>
      </c>
      <c r="B510" s="16">
        <v>43770</v>
      </c>
      <c r="C510" t="s">
        <v>54</v>
      </c>
      <c r="D510" s="21">
        <v>6199545</v>
      </c>
      <c r="E510" s="21">
        <v>-6199545</v>
      </c>
      <c r="F510" s="21">
        <v>0</v>
      </c>
    </row>
    <row r="511" spans="1:6" x14ac:dyDescent="0.25">
      <c r="A511">
        <v>1622</v>
      </c>
      <c r="B511" s="16">
        <v>43770</v>
      </c>
      <c r="C511" t="s">
        <v>56</v>
      </c>
      <c r="D511" s="21">
        <v>7453077</v>
      </c>
      <c r="E511" s="21">
        <v>-7453077</v>
      </c>
      <c r="F511" s="21">
        <v>0</v>
      </c>
    </row>
    <row r="512" spans="1:6" x14ac:dyDescent="0.25">
      <c r="A512">
        <v>1622</v>
      </c>
      <c r="B512" s="16">
        <v>43800</v>
      </c>
      <c r="C512" t="s">
        <v>53</v>
      </c>
      <c r="D512" s="21">
        <v>4757001</v>
      </c>
      <c r="E512" s="21">
        <v>-4757001</v>
      </c>
      <c r="F512" s="21">
        <v>0</v>
      </c>
    </row>
    <row r="513" spans="1:6" x14ac:dyDescent="0.25">
      <c r="A513">
        <v>1622</v>
      </c>
      <c r="B513" s="16">
        <v>43800</v>
      </c>
      <c r="C513" t="s">
        <v>54</v>
      </c>
      <c r="D513" s="21">
        <v>6199545</v>
      </c>
      <c r="E513" s="21">
        <v>-6199545</v>
      </c>
      <c r="F513" s="21">
        <v>0</v>
      </c>
    </row>
    <row r="514" spans="1:6" x14ac:dyDescent="0.25">
      <c r="A514">
        <v>1622</v>
      </c>
      <c r="B514" s="16">
        <v>43800</v>
      </c>
      <c r="C514" t="s">
        <v>56</v>
      </c>
      <c r="D514" s="21">
        <v>7453077</v>
      </c>
      <c r="E514" s="21">
        <v>-7453077</v>
      </c>
      <c r="F514" s="21">
        <v>0</v>
      </c>
    </row>
    <row r="515" spans="1:6" x14ac:dyDescent="0.25">
      <c r="A515">
        <v>1622</v>
      </c>
      <c r="B515" s="16">
        <v>43831</v>
      </c>
      <c r="C515" t="s">
        <v>53</v>
      </c>
      <c r="D515" s="21">
        <v>4757001</v>
      </c>
      <c r="E515" s="21">
        <v>-4757001</v>
      </c>
      <c r="F515" s="21">
        <v>0</v>
      </c>
    </row>
    <row r="516" spans="1:6" x14ac:dyDescent="0.25">
      <c r="A516">
        <v>1622</v>
      </c>
      <c r="B516" s="16">
        <v>43831</v>
      </c>
      <c r="C516" t="s">
        <v>54</v>
      </c>
      <c r="D516" s="21">
        <v>6199545</v>
      </c>
      <c r="E516" s="21">
        <v>-6199545</v>
      </c>
      <c r="F516" s="21">
        <v>0</v>
      </c>
    </row>
    <row r="517" spans="1:6" x14ac:dyDescent="0.25">
      <c r="A517">
        <v>1622</v>
      </c>
      <c r="B517" s="16">
        <v>43831</v>
      </c>
      <c r="C517" t="s">
        <v>56</v>
      </c>
      <c r="D517" s="21">
        <v>7453077</v>
      </c>
      <c r="E517" s="21">
        <v>-7453077</v>
      </c>
      <c r="F517" s="21">
        <v>0</v>
      </c>
    </row>
    <row r="518" spans="1:6" x14ac:dyDescent="0.25">
      <c r="A518">
        <v>1622</v>
      </c>
      <c r="B518" s="16">
        <v>43862</v>
      </c>
      <c r="C518" t="s">
        <v>54</v>
      </c>
      <c r="D518" s="21">
        <v>6199545</v>
      </c>
      <c r="E518" s="21">
        <v>-6199545</v>
      </c>
      <c r="F518" s="21">
        <v>0</v>
      </c>
    </row>
    <row r="519" spans="1:6" x14ac:dyDescent="0.25">
      <c r="A519">
        <v>1622</v>
      </c>
      <c r="B519" s="16">
        <v>43862</v>
      </c>
      <c r="C519" t="s">
        <v>53</v>
      </c>
      <c r="D519" s="21">
        <v>4757001</v>
      </c>
      <c r="E519" s="21">
        <v>-4757001</v>
      </c>
      <c r="F519" s="21">
        <v>0</v>
      </c>
    </row>
    <row r="520" spans="1:6" x14ac:dyDescent="0.25">
      <c r="A520">
        <v>1622</v>
      </c>
      <c r="B520" s="16">
        <v>43891</v>
      </c>
      <c r="C520" t="s">
        <v>54</v>
      </c>
      <c r="D520" s="21">
        <v>6199545</v>
      </c>
      <c r="E520" s="21">
        <v>-6199545</v>
      </c>
      <c r="F520" s="21">
        <v>0</v>
      </c>
    </row>
    <row r="521" spans="1:6" x14ac:dyDescent="0.25">
      <c r="A521">
        <v>1622</v>
      </c>
      <c r="B521" s="16">
        <v>43891</v>
      </c>
      <c r="C521" t="s">
        <v>53</v>
      </c>
      <c r="D521" s="21">
        <v>4757001</v>
      </c>
      <c r="E521" s="21">
        <v>-4757001</v>
      </c>
      <c r="F521" s="21">
        <v>0</v>
      </c>
    </row>
    <row r="522" spans="1:6" x14ac:dyDescent="0.25">
      <c r="A522">
        <v>1622</v>
      </c>
      <c r="B522" s="16">
        <v>43922</v>
      </c>
      <c r="C522" t="s">
        <v>54</v>
      </c>
      <c r="D522" s="21">
        <v>6199545</v>
      </c>
      <c r="E522" s="21">
        <v>-6199545</v>
      </c>
      <c r="F522" s="21">
        <v>0</v>
      </c>
    </row>
    <row r="523" spans="1:6" x14ac:dyDescent="0.25">
      <c r="A523">
        <v>1622</v>
      </c>
      <c r="B523" s="16">
        <v>43922</v>
      </c>
      <c r="C523" t="s">
        <v>53</v>
      </c>
      <c r="D523" s="21">
        <v>4757001</v>
      </c>
      <c r="E523" s="21">
        <v>-4757001</v>
      </c>
      <c r="F523" s="21">
        <v>0</v>
      </c>
    </row>
    <row r="524" spans="1:6" x14ac:dyDescent="0.25">
      <c r="A524">
        <v>1622</v>
      </c>
      <c r="B524" s="16">
        <v>43952</v>
      </c>
      <c r="C524" t="s">
        <v>54</v>
      </c>
      <c r="D524" s="21">
        <v>6199545</v>
      </c>
      <c r="E524" s="21">
        <v>-6199545</v>
      </c>
      <c r="F524" s="21">
        <v>0</v>
      </c>
    </row>
    <row r="525" spans="1:6" x14ac:dyDescent="0.25">
      <c r="A525">
        <v>1622</v>
      </c>
      <c r="B525" s="16">
        <v>43952</v>
      </c>
      <c r="C525" t="s">
        <v>53</v>
      </c>
      <c r="D525" s="21">
        <v>4757001</v>
      </c>
      <c r="E525" s="21">
        <v>-4757001</v>
      </c>
      <c r="F525" s="21">
        <v>0</v>
      </c>
    </row>
    <row r="526" spans="1:6" x14ac:dyDescent="0.25">
      <c r="A526">
        <v>1622</v>
      </c>
      <c r="B526" s="16">
        <v>43983</v>
      </c>
      <c r="C526" t="s">
        <v>54</v>
      </c>
      <c r="D526" s="21">
        <v>6199545</v>
      </c>
      <c r="E526" s="21">
        <v>-6199545</v>
      </c>
      <c r="F526" s="21">
        <v>0</v>
      </c>
    </row>
    <row r="527" spans="1:6" x14ac:dyDescent="0.25">
      <c r="A527">
        <v>1622</v>
      </c>
      <c r="B527" s="16">
        <v>43983</v>
      </c>
      <c r="C527" t="s">
        <v>53</v>
      </c>
      <c r="D527" s="21">
        <v>4757001</v>
      </c>
      <c r="E527" s="21">
        <v>-4757001</v>
      </c>
      <c r="F527" s="21">
        <v>0</v>
      </c>
    </row>
    <row r="528" spans="1:6" x14ac:dyDescent="0.25">
      <c r="A528">
        <v>1622</v>
      </c>
      <c r="B528" s="16">
        <v>44013</v>
      </c>
      <c r="C528" t="s">
        <v>54</v>
      </c>
      <c r="D528" s="21">
        <v>6199545</v>
      </c>
      <c r="E528" s="21">
        <v>-6199545</v>
      </c>
      <c r="F528" s="21">
        <v>0</v>
      </c>
    </row>
    <row r="529" spans="1:6" x14ac:dyDescent="0.25">
      <c r="A529">
        <v>1622</v>
      </c>
      <c r="B529" s="16">
        <v>44013</v>
      </c>
      <c r="C529" t="s">
        <v>53</v>
      </c>
      <c r="D529" s="21">
        <v>4757001</v>
      </c>
      <c r="E529" s="21">
        <v>-4757001</v>
      </c>
      <c r="F529" s="21">
        <v>0</v>
      </c>
    </row>
    <row r="530" spans="1:6" x14ac:dyDescent="0.25">
      <c r="A530">
        <v>1622</v>
      </c>
      <c r="B530" s="16">
        <v>44044</v>
      </c>
      <c r="C530" t="s">
        <v>54</v>
      </c>
      <c r="D530" s="21">
        <v>6199545</v>
      </c>
      <c r="E530" s="21">
        <v>-6199545</v>
      </c>
      <c r="F530" s="21">
        <v>0</v>
      </c>
    </row>
    <row r="531" spans="1:6" x14ac:dyDescent="0.25">
      <c r="A531">
        <v>1622</v>
      </c>
      <c r="B531" s="16">
        <v>44044</v>
      </c>
      <c r="C531" t="s">
        <v>53</v>
      </c>
      <c r="D531" s="21">
        <v>4757001</v>
      </c>
      <c r="E531" s="21">
        <v>-4757001</v>
      </c>
      <c r="F531" s="21">
        <v>0</v>
      </c>
    </row>
    <row r="532" spans="1:6" x14ac:dyDescent="0.25">
      <c r="A532">
        <v>1622</v>
      </c>
      <c r="B532" s="16">
        <v>44075</v>
      </c>
      <c r="C532" t="s">
        <v>54</v>
      </c>
      <c r="D532" s="21">
        <v>6199545</v>
      </c>
      <c r="E532" s="21">
        <v>-6199545</v>
      </c>
      <c r="F532" s="21">
        <v>0</v>
      </c>
    </row>
    <row r="533" spans="1:6" x14ac:dyDescent="0.25">
      <c r="A533">
        <v>1622</v>
      </c>
      <c r="B533" s="16">
        <v>44075</v>
      </c>
      <c r="C533" t="s">
        <v>53</v>
      </c>
      <c r="D533" s="21">
        <v>4757001</v>
      </c>
      <c r="E533" s="21">
        <v>-4757001</v>
      </c>
      <c r="F533" s="21">
        <v>0</v>
      </c>
    </row>
    <row r="534" spans="1:6" x14ac:dyDescent="0.25">
      <c r="A534">
        <v>1622</v>
      </c>
      <c r="B534" s="16">
        <v>44105</v>
      </c>
      <c r="C534" t="s">
        <v>54</v>
      </c>
      <c r="D534" s="21">
        <v>6199545</v>
      </c>
      <c r="E534" s="21">
        <v>-6199545</v>
      </c>
      <c r="F534" s="21">
        <v>0</v>
      </c>
    </row>
    <row r="535" spans="1:6" x14ac:dyDescent="0.25">
      <c r="A535">
        <v>1622</v>
      </c>
      <c r="B535" s="16">
        <v>44105</v>
      </c>
      <c r="C535" t="s">
        <v>53</v>
      </c>
      <c r="D535" s="21">
        <v>4757001</v>
      </c>
      <c r="E535" s="21">
        <v>-4757001</v>
      </c>
      <c r="F535" s="21">
        <v>0</v>
      </c>
    </row>
    <row r="536" spans="1:6" x14ac:dyDescent="0.25">
      <c r="A536">
        <v>1622</v>
      </c>
      <c r="B536" s="16">
        <v>44136</v>
      </c>
      <c r="C536" t="s">
        <v>54</v>
      </c>
      <c r="D536" s="21">
        <v>6199545</v>
      </c>
      <c r="E536" s="21">
        <v>-6199545</v>
      </c>
      <c r="F536" s="21">
        <v>0</v>
      </c>
    </row>
    <row r="537" spans="1:6" x14ac:dyDescent="0.25">
      <c r="A537">
        <v>1622</v>
      </c>
      <c r="B537" s="16">
        <v>44136</v>
      </c>
      <c r="C537" t="s">
        <v>53</v>
      </c>
      <c r="D537" s="21">
        <v>4757001</v>
      </c>
      <c r="E537" s="21">
        <v>-4757001</v>
      </c>
      <c r="F537" s="21">
        <v>0</v>
      </c>
    </row>
    <row r="538" spans="1:6" x14ac:dyDescent="0.25">
      <c r="A538">
        <v>1622</v>
      </c>
      <c r="B538" s="16">
        <v>44166</v>
      </c>
      <c r="C538" t="s">
        <v>54</v>
      </c>
      <c r="D538" s="21">
        <v>6199545</v>
      </c>
      <c r="E538" s="21">
        <v>-6199545</v>
      </c>
      <c r="F538" s="21">
        <v>0</v>
      </c>
    </row>
    <row r="539" spans="1:6" x14ac:dyDescent="0.25">
      <c r="A539">
        <v>1622</v>
      </c>
      <c r="B539" s="16">
        <v>44166</v>
      </c>
      <c r="C539" t="s">
        <v>53</v>
      </c>
      <c r="D539" s="21">
        <v>4757001</v>
      </c>
      <c r="E539" s="21">
        <v>-4757001</v>
      </c>
      <c r="F539" s="21">
        <v>0</v>
      </c>
    </row>
    <row r="540" spans="1:6" x14ac:dyDescent="0.25">
      <c r="A540">
        <v>1622</v>
      </c>
      <c r="B540" s="16">
        <v>44197</v>
      </c>
      <c r="C540" t="s">
        <v>54</v>
      </c>
      <c r="D540" s="21">
        <v>6199545</v>
      </c>
      <c r="E540" s="21">
        <v>-6199545</v>
      </c>
      <c r="F540" s="21">
        <v>0</v>
      </c>
    </row>
    <row r="541" spans="1:6" x14ac:dyDescent="0.25">
      <c r="A541">
        <v>1622</v>
      </c>
      <c r="B541" s="16">
        <v>44197</v>
      </c>
      <c r="C541" t="s">
        <v>53</v>
      </c>
      <c r="D541" s="21">
        <v>4757001</v>
      </c>
      <c r="E541" s="21">
        <v>-4757001</v>
      </c>
      <c r="F541" s="21">
        <v>0</v>
      </c>
    </row>
    <row r="542" spans="1:6" x14ac:dyDescent="0.25">
      <c r="A542">
        <v>1622</v>
      </c>
      <c r="B542" s="16">
        <v>44228</v>
      </c>
      <c r="C542" t="s">
        <v>54</v>
      </c>
      <c r="D542" s="21">
        <v>6199545</v>
      </c>
      <c r="E542" s="21">
        <v>-6199545</v>
      </c>
      <c r="F542" s="21">
        <v>0</v>
      </c>
    </row>
    <row r="543" spans="1:6" x14ac:dyDescent="0.25">
      <c r="A543">
        <v>1622</v>
      </c>
      <c r="B543" s="16">
        <v>44228</v>
      </c>
      <c r="C543" t="s">
        <v>53</v>
      </c>
      <c r="D543" s="21">
        <v>4757001</v>
      </c>
      <c r="E543" s="21">
        <v>-4757001</v>
      </c>
      <c r="F543" s="21">
        <v>0</v>
      </c>
    </row>
    <row r="544" spans="1:6" x14ac:dyDescent="0.25">
      <c r="A544">
        <v>1622</v>
      </c>
      <c r="B544" s="16">
        <v>44256</v>
      </c>
      <c r="C544" t="s">
        <v>54</v>
      </c>
      <c r="D544" s="21">
        <v>6199545</v>
      </c>
      <c r="E544" s="21">
        <v>-6199545</v>
      </c>
      <c r="F544" s="21">
        <v>0</v>
      </c>
    </row>
    <row r="545" spans="1:6" x14ac:dyDescent="0.25">
      <c r="A545">
        <v>1622</v>
      </c>
      <c r="B545" s="16">
        <v>44256</v>
      </c>
      <c r="C545" t="s">
        <v>53</v>
      </c>
      <c r="D545" s="21">
        <v>4757001</v>
      </c>
      <c r="E545" s="21">
        <v>-4757001</v>
      </c>
      <c r="F545" s="21">
        <v>0</v>
      </c>
    </row>
    <row r="546" spans="1:6" x14ac:dyDescent="0.25">
      <c r="A546">
        <v>1622</v>
      </c>
      <c r="B546" s="16">
        <v>44287</v>
      </c>
      <c r="C546" t="s">
        <v>54</v>
      </c>
      <c r="D546" s="21">
        <v>6199545</v>
      </c>
      <c r="E546" s="21">
        <v>-6199545</v>
      </c>
      <c r="F546" s="21">
        <v>0</v>
      </c>
    </row>
    <row r="547" spans="1:6" x14ac:dyDescent="0.25">
      <c r="A547">
        <v>1622</v>
      </c>
      <c r="B547" s="16">
        <v>44287</v>
      </c>
      <c r="C547" t="s">
        <v>53</v>
      </c>
      <c r="D547" s="21">
        <v>4757001</v>
      </c>
      <c r="E547" s="21">
        <v>-4757001</v>
      </c>
      <c r="F547" s="21">
        <v>0</v>
      </c>
    </row>
    <row r="548" spans="1:6" x14ac:dyDescent="0.25">
      <c r="A548">
        <v>1622</v>
      </c>
      <c r="B548" s="16">
        <v>44317</v>
      </c>
      <c r="C548" t="s">
        <v>54</v>
      </c>
      <c r="D548" s="21">
        <v>6199545</v>
      </c>
      <c r="E548" s="21">
        <v>-6199545</v>
      </c>
      <c r="F548" s="21">
        <v>0</v>
      </c>
    </row>
    <row r="549" spans="1:6" x14ac:dyDescent="0.25">
      <c r="A549">
        <v>1622</v>
      </c>
      <c r="B549" s="16">
        <v>44317</v>
      </c>
      <c r="C549" t="s">
        <v>53</v>
      </c>
      <c r="D549" s="21">
        <v>4757001</v>
      </c>
      <c r="E549" s="21">
        <v>-4757001</v>
      </c>
      <c r="F549" s="21">
        <v>0</v>
      </c>
    </row>
    <row r="550" spans="1:6" x14ac:dyDescent="0.25">
      <c r="A550">
        <v>1622</v>
      </c>
      <c r="B550" s="16">
        <v>44348</v>
      </c>
      <c r="C550" t="s">
        <v>54</v>
      </c>
      <c r="D550" s="21">
        <v>6199545</v>
      </c>
      <c r="E550" s="21">
        <v>-6199545</v>
      </c>
      <c r="F550" s="21">
        <v>0</v>
      </c>
    </row>
    <row r="551" spans="1:6" x14ac:dyDescent="0.25">
      <c r="A551">
        <v>1622</v>
      </c>
      <c r="B551" s="16">
        <v>44348</v>
      </c>
      <c r="C551" t="s">
        <v>53</v>
      </c>
      <c r="D551" s="21">
        <v>4757001</v>
      </c>
      <c r="E551" s="21">
        <v>-4757001</v>
      </c>
      <c r="F551" s="21">
        <v>0</v>
      </c>
    </row>
    <row r="552" spans="1:6" x14ac:dyDescent="0.25">
      <c r="A552">
        <v>1622</v>
      </c>
      <c r="B552" s="16">
        <v>44378</v>
      </c>
      <c r="C552" t="s">
        <v>54</v>
      </c>
      <c r="D552" s="21">
        <v>6199545</v>
      </c>
      <c r="E552" s="21">
        <v>-6199545</v>
      </c>
      <c r="F552" s="21">
        <v>0</v>
      </c>
    </row>
    <row r="553" spans="1:6" x14ac:dyDescent="0.25">
      <c r="A553">
        <v>1622</v>
      </c>
      <c r="B553" s="16">
        <v>44378</v>
      </c>
      <c r="C553" t="s">
        <v>53</v>
      </c>
      <c r="D553" s="21">
        <v>4757001</v>
      </c>
      <c r="E553" s="21">
        <v>-4757001</v>
      </c>
      <c r="F553" s="21">
        <v>0</v>
      </c>
    </row>
    <row r="554" spans="1:6" x14ac:dyDescent="0.25">
      <c r="A554">
        <v>1622</v>
      </c>
      <c r="B554" s="16">
        <v>44409</v>
      </c>
      <c r="C554" t="s">
        <v>54</v>
      </c>
      <c r="D554" s="21">
        <v>6199545</v>
      </c>
      <c r="E554" s="21">
        <v>-6199545</v>
      </c>
      <c r="F554" s="21">
        <v>0</v>
      </c>
    </row>
    <row r="555" spans="1:6" x14ac:dyDescent="0.25">
      <c r="A555">
        <v>1622</v>
      </c>
      <c r="B555" s="16">
        <v>44409</v>
      </c>
      <c r="C555" t="s">
        <v>53</v>
      </c>
      <c r="D555" s="21">
        <v>4757001</v>
      </c>
      <c r="E555" s="21">
        <v>-4757001</v>
      </c>
      <c r="F555" s="21">
        <v>0</v>
      </c>
    </row>
    <row r="556" spans="1:6" x14ac:dyDescent="0.25">
      <c r="A556">
        <v>1622</v>
      </c>
      <c r="B556" s="16">
        <v>44440</v>
      </c>
      <c r="C556" t="s">
        <v>54</v>
      </c>
      <c r="D556" s="21">
        <v>6199545</v>
      </c>
      <c r="E556" s="21">
        <v>-6199545</v>
      </c>
      <c r="F556" s="21">
        <v>0</v>
      </c>
    </row>
    <row r="557" spans="1:6" x14ac:dyDescent="0.25">
      <c r="A557">
        <v>1622</v>
      </c>
      <c r="B557" s="16">
        <v>44440</v>
      </c>
      <c r="C557" t="s">
        <v>53</v>
      </c>
      <c r="D557" s="21">
        <v>4757001</v>
      </c>
      <c r="E557" s="21">
        <v>-4757001</v>
      </c>
      <c r="F557" s="21">
        <v>0</v>
      </c>
    </row>
    <row r="558" spans="1:6" x14ac:dyDescent="0.25">
      <c r="A558">
        <v>1622</v>
      </c>
      <c r="B558" s="16">
        <v>44470</v>
      </c>
      <c r="C558" t="s">
        <v>54</v>
      </c>
      <c r="D558" s="21">
        <v>6199545</v>
      </c>
      <c r="E558" s="21">
        <v>-6199545</v>
      </c>
      <c r="F558" s="21">
        <v>0</v>
      </c>
    </row>
    <row r="559" spans="1:6" x14ac:dyDescent="0.25">
      <c r="A559">
        <v>1622</v>
      </c>
      <c r="B559" s="16">
        <v>44470</v>
      </c>
      <c r="C559" t="s">
        <v>53</v>
      </c>
      <c r="D559" s="21">
        <v>4757001</v>
      </c>
      <c r="E559" s="21">
        <v>-4757001</v>
      </c>
      <c r="F559" s="21">
        <v>0</v>
      </c>
    </row>
    <row r="560" spans="1:6" x14ac:dyDescent="0.25">
      <c r="A560">
        <v>1687</v>
      </c>
      <c r="B560" s="16">
        <v>43466</v>
      </c>
      <c r="C560" t="s">
        <v>38</v>
      </c>
      <c r="D560" s="21">
        <v>3601566.2399999998</v>
      </c>
      <c r="E560" s="21">
        <v>-3601566.2399999998</v>
      </c>
      <c r="F560" s="21">
        <v>0</v>
      </c>
    </row>
    <row r="561" spans="1:6" x14ac:dyDescent="0.25">
      <c r="A561">
        <v>1687</v>
      </c>
      <c r="B561" s="16">
        <v>43466</v>
      </c>
      <c r="C561" t="s">
        <v>67</v>
      </c>
      <c r="D561" s="21">
        <v>5246958</v>
      </c>
      <c r="E561" s="21">
        <v>-5246958</v>
      </c>
      <c r="F561" s="21">
        <v>0</v>
      </c>
    </row>
    <row r="562" spans="1:6" x14ac:dyDescent="0.25">
      <c r="A562">
        <v>1687</v>
      </c>
      <c r="B562" s="16">
        <v>43466</v>
      </c>
      <c r="C562" t="s">
        <v>12</v>
      </c>
      <c r="D562" s="21">
        <v>10868700</v>
      </c>
      <c r="E562" s="21">
        <v>-10868700</v>
      </c>
      <c r="F562" s="21">
        <v>0</v>
      </c>
    </row>
    <row r="563" spans="1:6" x14ac:dyDescent="0.25">
      <c r="A563">
        <v>1687</v>
      </c>
      <c r="B563" s="16">
        <v>43466</v>
      </c>
      <c r="C563" t="s">
        <v>39</v>
      </c>
      <c r="D563" s="21">
        <v>4544697</v>
      </c>
      <c r="E563" s="21">
        <v>-4544697</v>
      </c>
      <c r="F563" s="21">
        <v>0</v>
      </c>
    </row>
    <row r="564" spans="1:6" x14ac:dyDescent="0.25">
      <c r="A564">
        <v>1687</v>
      </c>
      <c r="B564" s="16">
        <v>43466</v>
      </c>
      <c r="C564" t="s">
        <v>19</v>
      </c>
      <c r="D564" s="21">
        <v>3804794.5320000006</v>
      </c>
      <c r="E564" s="21">
        <v>-3804794.5320000006</v>
      </c>
      <c r="F564" s="21">
        <v>0</v>
      </c>
    </row>
    <row r="565" spans="1:6" x14ac:dyDescent="0.25">
      <c r="A565">
        <v>1687</v>
      </c>
      <c r="B565" s="16">
        <v>43466</v>
      </c>
      <c r="C565" t="s">
        <v>68</v>
      </c>
      <c r="D565" s="21">
        <v>7308264</v>
      </c>
      <c r="E565" s="21">
        <v>-7308264</v>
      </c>
      <c r="F565" s="21">
        <v>0</v>
      </c>
    </row>
    <row r="566" spans="1:6" x14ac:dyDescent="0.25">
      <c r="A566">
        <v>1687</v>
      </c>
      <c r="B566" s="16">
        <v>43466</v>
      </c>
      <c r="C566" t="s">
        <v>192</v>
      </c>
      <c r="D566" s="21">
        <v>32000000</v>
      </c>
      <c r="E566" s="21">
        <v>-32000000</v>
      </c>
      <c r="F566" s="21">
        <v>0</v>
      </c>
    </row>
    <row r="567" spans="1:6" x14ac:dyDescent="0.25">
      <c r="A567">
        <v>1687</v>
      </c>
      <c r="B567" s="16">
        <v>43466</v>
      </c>
      <c r="C567" t="s">
        <v>69</v>
      </c>
      <c r="D567" s="21">
        <v>3989386.5</v>
      </c>
      <c r="E567" s="21">
        <v>-3989386.5</v>
      </c>
      <c r="F567" s="21">
        <v>0</v>
      </c>
    </row>
    <row r="568" spans="1:6" x14ac:dyDescent="0.25">
      <c r="A568">
        <v>1687</v>
      </c>
      <c r="B568" s="16">
        <v>43497</v>
      </c>
      <c r="C568" t="s">
        <v>67</v>
      </c>
      <c r="D568" s="21">
        <v>5246958</v>
      </c>
      <c r="E568" s="21">
        <v>-5246958</v>
      </c>
      <c r="F568" s="21">
        <v>0</v>
      </c>
    </row>
    <row r="569" spans="1:6" x14ac:dyDescent="0.25">
      <c r="A569">
        <v>1687</v>
      </c>
      <c r="B569" s="16">
        <v>43497</v>
      </c>
      <c r="C569" t="s">
        <v>19</v>
      </c>
      <c r="D569" s="21">
        <v>3804794.5320000006</v>
      </c>
      <c r="E569" s="21">
        <v>-3804794.5320000006</v>
      </c>
      <c r="F569" s="21">
        <v>0</v>
      </c>
    </row>
    <row r="570" spans="1:6" x14ac:dyDescent="0.25">
      <c r="A570">
        <v>1687</v>
      </c>
      <c r="B570" s="16">
        <v>43497</v>
      </c>
      <c r="C570" t="s">
        <v>39</v>
      </c>
      <c r="D570" s="21">
        <v>4544697</v>
      </c>
      <c r="E570" s="21">
        <v>-4544697</v>
      </c>
      <c r="F570" s="21">
        <v>0</v>
      </c>
    </row>
    <row r="571" spans="1:6" x14ac:dyDescent="0.25">
      <c r="A571">
        <v>1687</v>
      </c>
      <c r="B571" s="16">
        <v>43497</v>
      </c>
      <c r="C571" t="s">
        <v>38</v>
      </c>
      <c r="D571" s="21">
        <v>3601566.2399999998</v>
      </c>
      <c r="E571" s="21">
        <v>-3601566.2399999998</v>
      </c>
      <c r="F571" s="21">
        <v>0</v>
      </c>
    </row>
    <row r="572" spans="1:6" x14ac:dyDescent="0.25">
      <c r="A572">
        <v>1687</v>
      </c>
      <c r="B572" s="16">
        <v>43497</v>
      </c>
      <c r="C572" t="s">
        <v>68</v>
      </c>
      <c r="D572" s="21">
        <v>7308264</v>
      </c>
      <c r="E572" s="21">
        <v>-7308264</v>
      </c>
      <c r="F572" s="21">
        <v>0</v>
      </c>
    </row>
    <row r="573" spans="1:6" x14ac:dyDescent="0.25">
      <c r="A573">
        <v>1687</v>
      </c>
      <c r="B573" s="16">
        <v>43497</v>
      </c>
      <c r="C573" t="s">
        <v>12</v>
      </c>
      <c r="D573" s="21">
        <v>10868700</v>
      </c>
      <c r="E573" s="21">
        <v>-10868700</v>
      </c>
      <c r="F573" s="21">
        <v>0</v>
      </c>
    </row>
    <row r="574" spans="1:6" x14ac:dyDescent="0.25">
      <c r="A574">
        <v>1687</v>
      </c>
      <c r="B574" s="16">
        <v>43497</v>
      </c>
      <c r="C574" t="s">
        <v>69</v>
      </c>
      <c r="D574" s="21">
        <v>3989386.5</v>
      </c>
      <c r="E574" s="21">
        <v>-3989386.5</v>
      </c>
      <c r="F574" s="21">
        <v>0</v>
      </c>
    </row>
    <row r="575" spans="1:6" x14ac:dyDescent="0.25">
      <c r="A575">
        <v>1687</v>
      </c>
      <c r="B575" s="16">
        <v>43525</v>
      </c>
      <c r="C575" t="s">
        <v>67</v>
      </c>
      <c r="D575" s="21">
        <v>5246958</v>
      </c>
      <c r="E575" s="21">
        <v>-5246958</v>
      </c>
      <c r="F575" s="21">
        <v>0</v>
      </c>
    </row>
    <row r="576" spans="1:6" x14ac:dyDescent="0.25">
      <c r="A576">
        <v>1687</v>
      </c>
      <c r="B576" s="16">
        <v>43525</v>
      </c>
      <c r="C576" t="s">
        <v>19</v>
      </c>
      <c r="D576" s="21">
        <v>3804794.5320000006</v>
      </c>
      <c r="E576" s="21">
        <v>-3804794.5320000006</v>
      </c>
      <c r="F576" s="21">
        <v>0</v>
      </c>
    </row>
    <row r="577" spans="1:6" x14ac:dyDescent="0.25">
      <c r="A577">
        <v>1687</v>
      </c>
      <c r="B577" s="16">
        <v>43525</v>
      </c>
      <c r="C577" t="s">
        <v>39</v>
      </c>
      <c r="D577" s="21">
        <v>4544697</v>
      </c>
      <c r="E577" s="21">
        <v>-4544697</v>
      </c>
      <c r="F577" s="21">
        <v>0</v>
      </c>
    </row>
    <row r="578" spans="1:6" x14ac:dyDescent="0.25">
      <c r="A578">
        <v>1687</v>
      </c>
      <c r="B578" s="16">
        <v>43525</v>
      </c>
      <c r="C578" t="s">
        <v>38</v>
      </c>
      <c r="D578" s="21">
        <v>3601566.2399999998</v>
      </c>
      <c r="E578" s="21">
        <v>-3601566.2399999998</v>
      </c>
      <c r="F578" s="21">
        <v>0</v>
      </c>
    </row>
    <row r="579" spans="1:6" x14ac:dyDescent="0.25">
      <c r="A579">
        <v>1687</v>
      </c>
      <c r="B579" s="16">
        <v>43525</v>
      </c>
      <c r="C579" t="s">
        <v>68</v>
      </c>
      <c r="D579" s="21">
        <v>7308264</v>
      </c>
      <c r="E579" s="21">
        <v>-7308264</v>
      </c>
      <c r="F579" s="21">
        <v>0</v>
      </c>
    </row>
    <row r="580" spans="1:6" x14ac:dyDescent="0.25">
      <c r="A580">
        <v>1687</v>
      </c>
      <c r="B580" s="16">
        <v>43525</v>
      </c>
      <c r="C580" t="s">
        <v>12</v>
      </c>
      <c r="D580" s="21">
        <v>10868700</v>
      </c>
      <c r="E580" s="21">
        <v>-10868700</v>
      </c>
      <c r="F580" s="21">
        <v>0</v>
      </c>
    </row>
    <row r="581" spans="1:6" x14ac:dyDescent="0.25">
      <c r="A581">
        <v>1687</v>
      </c>
      <c r="B581" s="16">
        <v>43525</v>
      </c>
      <c r="C581" t="s">
        <v>69</v>
      </c>
      <c r="D581" s="21">
        <v>3989386.5</v>
      </c>
      <c r="E581" s="21">
        <v>-3989386.5</v>
      </c>
      <c r="F581" s="21">
        <v>0</v>
      </c>
    </row>
    <row r="582" spans="1:6" x14ac:dyDescent="0.25">
      <c r="A582">
        <v>1687</v>
      </c>
      <c r="B582" s="16">
        <v>43556</v>
      </c>
      <c r="C582" t="s">
        <v>38</v>
      </c>
      <c r="D582" s="21">
        <v>3601566.2399999998</v>
      </c>
      <c r="E582" s="21">
        <v>-3601566.2399999998</v>
      </c>
      <c r="F582" s="21">
        <v>0</v>
      </c>
    </row>
    <row r="583" spans="1:6" x14ac:dyDescent="0.25">
      <c r="A583">
        <v>1687</v>
      </c>
      <c r="B583" s="16">
        <v>43556</v>
      </c>
      <c r="C583" t="s">
        <v>67</v>
      </c>
      <c r="D583" s="21">
        <v>5246958</v>
      </c>
      <c r="E583" s="21">
        <v>-5246958</v>
      </c>
      <c r="F583" s="21">
        <v>0</v>
      </c>
    </row>
    <row r="584" spans="1:6" x14ac:dyDescent="0.25">
      <c r="A584">
        <v>1687</v>
      </c>
      <c r="B584" s="16">
        <v>43556</v>
      </c>
      <c r="C584" t="s">
        <v>12</v>
      </c>
      <c r="D584" s="21">
        <v>10868700</v>
      </c>
      <c r="E584" s="21">
        <v>-10868700</v>
      </c>
      <c r="F584" s="21">
        <v>0</v>
      </c>
    </row>
    <row r="585" spans="1:6" x14ac:dyDescent="0.25">
      <c r="A585">
        <v>1687</v>
      </c>
      <c r="B585" s="16">
        <v>43556</v>
      </c>
      <c r="C585" t="s">
        <v>39</v>
      </c>
      <c r="D585" s="21">
        <v>4544697</v>
      </c>
      <c r="E585" s="21">
        <v>-4544697</v>
      </c>
      <c r="F585" s="21">
        <v>0</v>
      </c>
    </row>
    <row r="586" spans="1:6" x14ac:dyDescent="0.25">
      <c r="A586">
        <v>1687</v>
      </c>
      <c r="B586" s="16">
        <v>43556</v>
      </c>
      <c r="C586" t="s">
        <v>19</v>
      </c>
      <c r="D586" s="21">
        <v>3804794.5320000006</v>
      </c>
      <c r="E586" s="21">
        <v>-3804794.5320000006</v>
      </c>
      <c r="F586" s="21">
        <v>0</v>
      </c>
    </row>
    <row r="587" spans="1:6" x14ac:dyDescent="0.25">
      <c r="A587">
        <v>1687</v>
      </c>
      <c r="B587" s="16">
        <v>43556</v>
      </c>
      <c r="C587" t="s">
        <v>68</v>
      </c>
      <c r="D587" s="21">
        <v>7308264</v>
      </c>
      <c r="E587" s="21">
        <v>-7308264</v>
      </c>
      <c r="F587" s="21">
        <v>0</v>
      </c>
    </row>
    <row r="588" spans="1:6" x14ac:dyDescent="0.25">
      <c r="A588">
        <v>1689</v>
      </c>
      <c r="B588" s="16">
        <v>43466</v>
      </c>
      <c r="C588" t="s">
        <v>36</v>
      </c>
      <c r="D588" s="21">
        <v>3533997.5999999996</v>
      </c>
      <c r="E588" s="21">
        <v>-3533997.5999999996</v>
      </c>
      <c r="F588" s="21">
        <v>0</v>
      </c>
    </row>
    <row r="589" spans="1:6" x14ac:dyDescent="0.25">
      <c r="A589">
        <v>1689</v>
      </c>
      <c r="B589" s="16">
        <v>43466</v>
      </c>
      <c r="C589" t="s">
        <v>12</v>
      </c>
      <c r="D589" s="21">
        <v>9724050.0000000019</v>
      </c>
      <c r="E589" s="21">
        <v>-9724050.0000000019</v>
      </c>
      <c r="F589" s="21">
        <v>0</v>
      </c>
    </row>
    <row r="590" spans="1:6" x14ac:dyDescent="0.25">
      <c r="A590">
        <v>1689</v>
      </c>
      <c r="B590" s="16">
        <v>43466</v>
      </c>
      <c r="C590" t="s">
        <v>35</v>
      </c>
      <c r="D590" s="21">
        <v>3902122.35</v>
      </c>
      <c r="E590" s="21">
        <v>-3902122.35</v>
      </c>
      <c r="F590" s="21">
        <v>0</v>
      </c>
    </row>
    <row r="591" spans="1:6" x14ac:dyDescent="0.25">
      <c r="A591">
        <v>1689</v>
      </c>
      <c r="B591" s="16">
        <v>43466</v>
      </c>
      <c r="C591" t="s">
        <v>192</v>
      </c>
      <c r="D591" s="21">
        <v>15665740</v>
      </c>
      <c r="E591" s="21">
        <v>-15665740</v>
      </c>
      <c r="F591" s="21">
        <v>0</v>
      </c>
    </row>
    <row r="592" spans="1:6" x14ac:dyDescent="0.25">
      <c r="A592">
        <v>1689</v>
      </c>
      <c r="B592" s="16">
        <v>43466</v>
      </c>
      <c r="C592" t="s">
        <v>39</v>
      </c>
      <c r="D592" s="21">
        <v>3993806.2500000005</v>
      </c>
      <c r="E592" s="21">
        <v>-3993806.2500000005</v>
      </c>
      <c r="F592" s="21">
        <v>0</v>
      </c>
    </row>
    <row r="593" spans="1:6" x14ac:dyDescent="0.25">
      <c r="A593">
        <v>1689</v>
      </c>
      <c r="B593" s="16">
        <v>43497</v>
      </c>
      <c r="C593" t="s">
        <v>36</v>
      </c>
      <c r="D593" s="21">
        <v>3533997.5999999996</v>
      </c>
      <c r="E593" s="21">
        <v>-3533997.5999999996</v>
      </c>
      <c r="F593" s="21">
        <v>0</v>
      </c>
    </row>
    <row r="594" spans="1:6" x14ac:dyDescent="0.25">
      <c r="A594">
        <v>1689</v>
      </c>
      <c r="B594" s="16">
        <v>43497</v>
      </c>
      <c r="C594" t="s">
        <v>12</v>
      </c>
      <c r="D594" s="21">
        <v>9724050.0000000019</v>
      </c>
      <c r="E594" s="21">
        <v>-9724050.0000000019</v>
      </c>
      <c r="F594" s="21">
        <v>0</v>
      </c>
    </row>
    <row r="595" spans="1:6" x14ac:dyDescent="0.25">
      <c r="A595">
        <v>1689</v>
      </c>
      <c r="B595" s="16">
        <v>43497</v>
      </c>
      <c r="C595" t="s">
        <v>35</v>
      </c>
      <c r="D595" s="21">
        <v>3902122.35</v>
      </c>
      <c r="E595" s="21">
        <v>-3902122.35</v>
      </c>
      <c r="F595" s="21">
        <v>0</v>
      </c>
    </row>
    <row r="596" spans="1:6" x14ac:dyDescent="0.25">
      <c r="A596">
        <v>1689</v>
      </c>
      <c r="B596" s="16">
        <v>43497</v>
      </c>
      <c r="C596" t="s">
        <v>192</v>
      </c>
      <c r="D596" s="21">
        <v>15665740</v>
      </c>
      <c r="E596" s="21">
        <v>-15665740</v>
      </c>
      <c r="F596" s="21">
        <v>0</v>
      </c>
    </row>
    <row r="597" spans="1:6" x14ac:dyDescent="0.25">
      <c r="A597">
        <v>1689</v>
      </c>
      <c r="B597" s="16">
        <v>43497</v>
      </c>
      <c r="C597" t="s">
        <v>39</v>
      </c>
      <c r="D597" s="21">
        <v>3993806.2500000005</v>
      </c>
      <c r="E597" s="21">
        <v>-3993806.2500000005</v>
      </c>
      <c r="F597" s="21">
        <v>0</v>
      </c>
    </row>
    <row r="598" spans="1:6" x14ac:dyDescent="0.25">
      <c r="A598">
        <v>1689</v>
      </c>
      <c r="B598" s="16">
        <v>43525</v>
      </c>
      <c r="C598" t="s">
        <v>36</v>
      </c>
      <c r="D598" s="21">
        <v>3533997.5999999996</v>
      </c>
      <c r="E598" s="21">
        <v>-3533997.5999999996</v>
      </c>
      <c r="F598" s="21">
        <v>0</v>
      </c>
    </row>
    <row r="599" spans="1:6" x14ac:dyDescent="0.25">
      <c r="A599">
        <v>1689</v>
      </c>
      <c r="B599" s="16">
        <v>43525</v>
      </c>
      <c r="C599" t="s">
        <v>12</v>
      </c>
      <c r="D599" s="21">
        <v>9724050.0000000019</v>
      </c>
      <c r="E599" s="21">
        <v>-9724050.0000000019</v>
      </c>
      <c r="F599" s="21">
        <v>0</v>
      </c>
    </row>
    <row r="600" spans="1:6" x14ac:dyDescent="0.25">
      <c r="A600">
        <v>1689</v>
      </c>
      <c r="B600" s="16">
        <v>43525</v>
      </c>
      <c r="C600" t="s">
        <v>35</v>
      </c>
      <c r="D600" s="21">
        <v>3902122.35</v>
      </c>
      <c r="E600" s="21">
        <v>-3902122.35</v>
      </c>
      <c r="F600" s="21">
        <v>0</v>
      </c>
    </row>
    <row r="601" spans="1:6" x14ac:dyDescent="0.25">
      <c r="A601">
        <v>1689</v>
      </c>
      <c r="B601" s="16">
        <v>43525</v>
      </c>
      <c r="C601" t="s">
        <v>192</v>
      </c>
      <c r="D601" s="21">
        <v>15665740</v>
      </c>
      <c r="E601" s="21">
        <v>-15665740</v>
      </c>
      <c r="F601" s="21">
        <v>0</v>
      </c>
    </row>
    <row r="602" spans="1:6" x14ac:dyDescent="0.25">
      <c r="A602">
        <v>1689</v>
      </c>
      <c r="B602" s="16">
        <v>43525</v>
      </c>
      <c r="C602" t="s">
        <v>39</v>
      </c>
      <c r="D602" s="21">
        <v>3993806.2500000005</v>
      </c>
      <c r="E602" s="21">
        <v>-3993806.2500000005</v>
      </c>
      <c r="F602" s="21">
        <v>0</v>
      </c>
    </row>
    <row r="603" spans="1:6" x14ac:dyDescent="0.25">
      <c r="A603">
        <v>1689</v>
      </c>
      <c r="B603" s="16">
        <v>43556</v>
      </c>
      <c r="C603" t="s">
        <v>36</v>
      </c>
      <c r="D603" s="21">
        <v>3533997.5999999996</v>
      </c>
      <c r="E603" s="21">
        <v>-3533997.5999999996</v>
      </c>
      <c r="F603" s="21">
        <v>0</v>
      </c>
    </row>
    <row r="604" spans="1:6" x14ac:dyDescent="0.25">
      <c r="A604">
        <v>1689</v>
      </c>
      <c r="B604" s="16">
        <v>43556</v>
      </c>
      <c r="C604" t="s">
        <v>12</v>
      </c>
      <c r="D604" s="21">
        <v>9724050.0000000019</v>
      </c>
      <c r="E604" s="21">
        <v>-9724050.0000000019</v>
      </c>
      <c r="F604" s="21">
        <v>0</v>
      </c>
    </row>
    <row r="605" spans="1:6" x14ac:dyDescent="0.25">
      <c r="A605">
        <v>1689</v>
      </c>
      <c r="B605" s="16">
        <v>43556</v>
      </c>
      <c r="C605" t="s">
        <v>35</v>
      </c>
      <c r="D605" s="21">
        <v>3902122.35</v>
      </c>
      <c r="E605" s="21">
        <v>-3902122.35</v>
      </c>
      <c r="F605" s="21">
        <v>0</v>
      </c>
    </row>
    <row r="606" spans="1:6" x14ac:dyDescent="0.25">
      <c r="A606">
        <v>1689</v>
      </c>
      <c r="B606" s="16">
        <v>43556</v>
      </c>
      <c r="C606" t="s">
        <v>192</v>
      </c>
      <c r="D606" s="21">
        <v>15665740</v>
      </c>
      <c r="E606" s="21">
        <v>-15665740</v>
      </c>
      <c r="F606" s="21">
        <v>0</v>
      </c>
    </row>
    <row r="607" spans="1:6" x14ac:dyDescent="0.25">
      <c r="A607">
        <v>1689</v>
      </c>
      <c r="B607" s="16">
        <v>43556</v>
      </c>
      <c r="C607" t="s">
        <v>39</v>
      </c>
      <c r="D607" s="21">
        <v>3993806.2500000005</v>
      </c>
      <c r="E607" s="21">
        <v>-3993806.2500000005</v>
      </c>
      <c r="F607" s="21">
        <v>0</v>
      </c>
    </row>
    <row r="608" spans="1:6" x14ac:dyDescent="0.25">
      <c r="A608">
        <v>1689</v>
      </c>
      <c r="B608" s="16">
        <v>43586</v>
      </c>
      <c r="C608" t="s">
        <v>36</v>
      </c>
      <c r="D608" s="21">
        <v>3533997.5999999996</v>
      </c>
      <c r="E608" s="21">
        <v>-3533997.5999999996</v>
      </c>
      <c r="F608" s="21">
        <v>0</v>
      </c>
    </row>
    <row r="609" spans="1:6" x14ac:dyDescent="0.25">
      <c r="A609">
        <v>1689</v>
      </c>
      <c r="B609" s="16">
        <v>43586</v>
      </c>
      <c r="C609" t="s">
        <v>12</v>
      </c>
      <c r="D609" s="21">
        <v>9724050.0000000019</v>
      </c>
      <c r="E609" s="21">
        <v>-9724050.0000000019</v>
      </c>
      <c r="F609" s="21">
        <v>0</v>
      </c>
    </row>
    <row r="610" spans="1:6" x14ac:dyDescent="0.25">
      <c r="A610">
        <v>1689</v>
      </c>
      <c r="B610" s="16">
        <v>43586</v>
      </c>
      <c r="C610" t="s">
        <v>35</v>
      </c>
      <c r="D610" s="21">
        <v>3902122.35</v>
      </c>
      <c r="E610" s="21">
        <v>-3902122.35</v>
      </c>
      <c r="F610" s="21">
        <v>0</v>
      </c>
    </row>
    <row r="611" spans="1:6" x14ac:dyDescent="0.25">
      <c r="A611">
        <v>1689</v>
      </c>
      <c r="B611" s="16">
        <v>43586</v>
      </c>
      <c r="C611" t="s">
        <v>192</v>
      </c>
      <c r="D611" s="21">
        <v>15665740</v>
      </c>
      <c r="E611" s="21">
        <v>-15665740</v>
      </c>
      <c r="F611" s="21">
        <v>0</v>
      </c>
    </row>
    <row r="612" spans="1:6" x14ac:dyDescent="0.25">
      <c r="A612">
        <v>1689</v>
      </c>
      <c r="B612" s="16">
        <v>43586</v>
      </c>
      <c r="C612" t="s">
        <v>39</v>
      </c>
      <c r="D612" s="21">
        <v>3993806.2500000005</v>
      </c>
      <c r="E612" s="21">
        <v>-3993806.2500000005</v>
      </c>
      <c r="F612" s="21">
        <v>0</v>
      </c>
    </row>
    <row r="613" spans="1:6" x14ac:dyDescent="0.25">
      <c r="A613">
        <v>1689</v>
      </c>
      <c r="B613" s="16">
        <v>43617</v>
      </c>
      <c r="C613" t="s">
        <v>36</v>
      </c>
      <c r="D613" s="21">
        <v>3533997.5999999996</v>
      </c>
      <c r="E613" s="21">
        <v>-3533997.5999999996</v>
      </c>
      <c r="F613" s="21">
        <v>0</v>
      </c>
    </row>
    <row r="614" spans="1:6" x14ac:dyDescent="0.25">
      <c r="A614">
        <v>1689</v>
      </c>
      <c r="B614" s="16">
        <v>43617</v>
      </c>
      <c r="C614" t="s">
        <v>12</v>
      </c>
      <c r="D614" s="21">
        <v>9724050.0000000019</v>
      </c>
      <c r="E614" s="21">
        <v>-9724050.0000000019</v>
      </c>
      <c r="F614" s="21">
        <v>0</v>
      </c>
    </row>
    <row r="615" spans="1:6" x14ac:dyDescent="0.25">
      <c r="A615">
        <v>1689</v>
      </c>
      <c r="B615" s="16">
        <v>43617</v>
      </c>
      <c r="C615" t="s">
        <v>35</v>
      </c>
      <c r="D615" s="21">
        <v>3902122.35</v>
      </c>
      <c r="E615" s="21">
        <v>-3902122.35</v>
      </c>
      <c r="F615" s="21">
        <v>0</v>
      </c>
    </row>
    <row r="616" spans="1:6" x14ac:dyDescent="0.25">
      <c r="A616">
        <v>1689</v>
      </c>
      <c r="B616" s="16">
        <v>43617</v>
      </c>
      <c r="C616" t="s">
        <v>192</v>
      </c>
      <c r="D616" s="21">
        <v>15665740</v>
      </c>
      <c r="E616" s="21">
        <v>-15665740</v>
      </c>
      <c r="F616" s="21">
        <v>0</v>
      </c>
    </row>
    <row r="617" spans="1:6" x14ac:dyDescent="0.25">
      <c r="A617">
        <v>1689</v>
      </c>
      <c r="B617" s="16">
        <v>43617</v>
      </c>
      <c r="C617" t="s">
        <v>39</v>
      </c>
      <c r="D617" s="21">
        <v>3993806.2500000005</v>
      </c>
      <c r="E617" s="21">
        <v>-3993806.2500000005</v>
      </c>
      <c r="F617" s="21">
        <v>0</v>
      </c>
    </row>
    <row r="618" spans="1:6" x14ac:dyDescent="0.25">
      <c r="A618">
        <v>1689</v>
      </c>
      <c r="B618" s="16">
        <v>43647</v>
      </c>
      <c r="C618" t="s">
        <v>36</v>
      </c>
      <c r="D618" s="21">
        <v>3533997.5999999996</v>
      </c>
      <c r="E618" s="21">
        <v>-3533997.5999999996</v>
      </c>
      <c r="F618" s="21">
        <v>0</v>
      </c>
    </row>
    <row r="619" spans="1:6" x14ac:dyDescent="0.25">
      <c r="A619">
        <v>1689</v>
      </c>
      <c r="B619" s="16">
        <v>43647</v>
      </c>
      <c r="C619" t="s">
        <v>12</v>
      </c>
      <c r="D619" s="21">
        <v>9724050.0000000019</v>
      </c>
      <c r="E619" s="21">
        <v>-9724050.0000000019</v>
      </c>
      <c r="F619" s="21">
        <v>0</v>
      </c>
    </row>
    <row r="620" spans="1:6" x14ac:dyDescent="0.25">
      <c r="A620">
        <v>1689</v>
      </c>
      <c r="B620" s="16">
        <v>43647</v>
      </c>
      <c r="C620" t="s">
        <v>35</v>
      </c>
      <c r="D620" s="21">
        <v>3902122.35</v>
      </c>
      <c r="E620" s="21">
        <v>-3902122.35</v>
      </c>
      <c r="F620" s="21">
        <v>0</v>
      </c>
    </row>
    <row r="621" spans="1:6" x14ac:dyDescent="0.25">
      <c r="A621">
        <v>1689</v>
      </c>
      <c r="B621" s="16">
        <v>43647</v>
      </c>
      <c r="C621" t="s">
        <v>192</v>
      </c>
      <c r="D621" s="21">
        <v>15665740</v>
      </c>
      <c r="E621" s="21">
        <v>-15665740</v>
      </c>
      <c r="F621" s="21">
        <v>0</v>
      </c>
    </row>
    <row r="622" spans="1:6" x14ac:dyDescent="0.25">
      <c r="A622">
        <v>1689</v>
      </c>
      <c r="B622" s="16">
        <v>43647</v>
      </c>
      <c r="C622" t="s">
        <v>39</v>
      </c>
      <c r="D622" s="21">
        <v>3993806.2500000005</v>
      </c>
      <c r="E622" s="21">
        <v>-3993806.2500000005</v>
      </c>
      <c r="F622" s="21">
        <v>0</v>
      </c>
    </row>
    <row r="623" spans="1:6" x14ac:dyDescent="0.25">
      <c r="A623">
        <v>1689</v>
      </c>
      <c r="B623" s="16">
        <v>43678</v>
      </c>
      <c r="C623" t="s">
        <v>36</v>
      </c>
      <c r="D623" s="21">
        <v>3533997.5999999996</v>
      </c>
      <c r="E623" s="21">
        <v>-3533997.5999999996</v>
      </c>
      <c r="F623" s="21">
        <v>0</v>
      </c>
    </row>
    <row r="624" spans="1:6" x14ac:dyDescent="0.25">
      <c r="A624">
        <v>1689</v>
      </c>
      <c r="B624" s="16">
        <v>43678</v>
      </c>
      <c r="C624" t="s">
        <v>12</v>
      </c>
      <c r="D624" s="21">
        <v>9724050.0000000019</v>
      </c>
      <c r="E624" s="21">
        <v>-9724050.0000000019</v>
      </c>
      <c r="F624" s="21">
        <v>0</v>
      </c>
    </row>
    <row r="625" spans="1:6" x14ac:dyDescent="0.25">
      <c r="A625">
        <v>1689</v>
      </c>
      <c r="B625" s="16">
        <v>43678</v>
      </c>
      <c r="C625" t="s">
        <v>35</v>
      </c>
      <c r="D625" s="21">
        <v>3902122.35</v>
      </c>
      <c r="E625" s="21">
        <v>-3902122.35</v>
      </c>
      <c r="F625" s="21">
        <v>0</v>
      </c>
    </row>
    <row r="626" spans="1:6" x14ac:dyDescent="0.25">
      <c r="A626">
        <v>1689</v>
      </c>
      <c r="B626" s="16">
        <v>43678</v>
      </c>
      <c r="C626" t="s">
        <v>192</v>
      </c>
      <c r="D626" s="21">
        <v>15665740</v>
      </c>
      <c r="E626" s="21">
        <v>-15665740</v>
      </c>
      <c r="F626" s="21">
        <v>0</v>
      </c>
    </row>
    <row r="627" spans="1:6" x14ac:dyDescent="0.25">
      <c r="A627">
        <v>1689</v>
      </c>
      <c r="B627" s="16">
        <v>43678</v>
      </c>
      <c r="C627" t="s">
        <v>39</v>
      </c>
      <c r="D627" s="21">
        <v>3993806.2500000005</v>
      </c>
      <c r="E627" s="21">
        <v>-3993806.2500000005</v>
      </c>
      <c r="F627" s="21">
        <v>0</v>
      </c>
    </row>
    <row r="628" spans="1:6" x14ac:dyDescent="0.25">
      <c r="A628">
        <v>1689</v>
      </c>
      <c r="B628" s="16">
        <v>43709</v>
      </c>
      <c r="C628" t="s">
        <v>192</v>
      </c>
      <c r="D628" s="21">
        <v>15665740</v>
      </c>
      <c r="E628" s="21">
        <v>-15665740</v>
      </c>
      <c r="F628" s="21">
        <v>0</v>
      </c>
    </row>
    <row r="629" spans="1:6" x14ac:dyDescent="0.25">
      <c r="A629">
        <v>1689</v>
      </c>
      <c r="B629" s="16">
        <v>43709</v>
      </c>
      <c r="C629" t="s">
        <v>12</v>
      </c>
      <c r="D629" s="21">
        <v>9724050.0000000019</v>
      </c>
      <c r="E629" s="21">
        <v>-9724050.0000000019</v>
      </c>
      <c r="F629" s="21">
        <v>0</v>
      </c>
    </row>
    <row r="630" spans="1:6" x14ac:dyDescent="0.25">
      <c r="A630">
        <v>1689</v>
      </c>
      <c r="B630" s="16">
        <v>43709</v>
      </c>
      <c r="C630" t="s">
        <v>36</v>
      </c>
      <c r="D630" s="21">
        <v>3533997.5999999996</v>
      </c>
      <c r="E630" s="21">
        <v>-3533997.5999999996</v>
      </c>
      <c r="F630" s="21">
        <v>0</v>
      </c>
    </row>
    <row r="631" spans="1:6" x14ac:dyDescent="0.25">
      <c r="A631">
        <v>1689</v>
      </c>
      <c r="B631" s="16">
        <v>43739</v>
      </c>
      <c r="C631" t="s">
        <v>12</v>
      </c>
      <c r="D631" s="21">
        <v>9724050.0000000019</v>
      </c>
      <c r="E631" s="21">
        <v>-9724050.0000000019</v>
      </c>
      <c r="F631" s="21">
        <v>0</v>
      </c>
    </row>
    <row r="632" spans="1:6" x14ac:dyDescent="0.25">
      <c r="A632">
        <v>1689</v>
      </c>
      <c r="B632" s="16">
        <v>43739</v>
      </c>
      <c r="C632" t="s">
        <v>36</v>
      </c>
      <c r="D632" s="21">
        <v>3533997.5999999996</v>
      </c>
      <c r="E632" s="21">
        <v>-3533997.5999999996</v>
      </c>
      <c r="F632" s="21">
        <v>0</v>
      </c>
    </row>
    <row r="633" spans="1:6" x14ac:dyDescent="0.25">
      <c r="A633">
        <v>1689</v>
      </c>
      <c r="B633" s="16">
        <v>43770</v>
      </c>
      <c r="C633" t="s">
        <v>12</v>
      </c>
      <c r="D633" s="21">
        <v>9724050.0000000019</v>
      </c>
      <c r="E633" s="21">
        <v>-9724050.0000000019</v>
      </c>
      <c r="F633" s="21">
        <v>0</v>
      </c>
    </row>
    <row r="634" spans="1:6" x14ac:dyDescent="0.25">
      <c r="A634">
        <v>1689</v>
      </c>
      <c r="B634" s="16">
        <v>43770</v>
      </c>
      <c r="C634" t="s">
        <v>36</v>
      </c>
      <c r="D634" s="21">
        <v>3533997.5999999996</v>
      </c>
      <c r="E634" s="21">
        <v>-3533997.5999999996</v>
      </c>
      <c r="F634" s="21">
        <v>0</v>
      </c>
    </row>
    <row r="635" spans="1:6" x14ac:dyDescent="0.25">
      <c r="A635">
        <v>1689</v>
      </c>
      <c r="B635" s="16">
        <v>43800</v>
      </c>
      <c r="C635" t="s">
        <v>36</v>
      </c>
      <c r="D635" s="21">
        <v>3533997.5999999996</v>
      </c>
      <c r="E635" s="21"/>
      <c r="F635" s="21">
        <v>3533997.5999999996</v>
      </c>
    </row>
    <row r="636" spans="1:6" x14ac:dyDescent="0.25">
      <c r="A636">
        <v>1689</v>
      </c>
      <c r="B636" s="16">
        <v>43800</v>
      </c>
      <c r="C636" t="s">
        <v>12</v>
      </c>
      <c r="D636" s="21">
        <v>9724050.0000000019</v>
      </c>
      <c r="E636" s="21"/>
      <c r="F636" s="21">
        <v>9724050.0000000019</v>
      </c>
    </row>
    <row r="637" spans="1:6" x14ac:dyDescent="0.25">
      <c r="A637">
        <v>1701</v>
      </c>
      <c r="B637" s="16">
        <v>43466</v>
      </c>
      <c r="C637" t="s">
        <v>192</v>
      </c>
      <c r="D637" s="21">
        <v>19000000</v>
      </c>
      <c r="E637" s="21">
        <v>-19000000</v>
      </c>
      <c r="F637" s="21">
        <v>0</v>
      </c>
    </row>
    <row r="638" spans="1:6" x14ac:dyDescent="0.25">
      <c r="A638">
        <v>1701</v>
      </c>
      <c r="B638" s="16">
        <v>43466</v>
      </c>
      <c r="C638" t="s">
        <v>38</v>
      </c>
      <c r="D638" s="21">
        <v>3865309.875</v>
      </c>
      <c r="E638" s="21">
        <v>-3865309.875</v>
      </c>
      <c r="F638" s="21">
        <v>0</v>
      </c>
    </row>
    <row r="639" spans="1:6" x14ac:dyDescent="0.25">
      <c r="A639">
        <v>1701</v>
      </c>
      <c r="B639" s="16">
        <v>43466</v>
      </c>
      <c r="C639" t="s">
        <v>12</v>
      </c>
      <c r="D639" s="21">
        <v>8682187.5000000019</v>
      </c>
      <c r="E639" s="21">
        <v>-8682187.5000000019</v>
      </c>
      <c r="F639" s="21">
        <v>0</v>
      </c>
    </row>
    <row r="640" spans="1:6" x14ac:dyDescent="0.25">
      <c r="A640">
        <v>1701</v>
      </c>
      <c r="B640" s="16">
        <v>43466</v>
      </c>
      <c r="C640" t="s">
        <v>76</v>
      </c>
      <c r="D640" s="21">
        <v>3497185.125</v>
      </c>
      <c r="E640" s="21">
        <v>-3497185.125</v>
      </c>
      <c r="F640" s="21">
        <v>0</v>
      </c>
    </row>
    <row r="641" spans="1:6" x14ac:dyDescent="0.25">
      <c r="A641">
        <v>1701</v>
      </c>
      <c r="B641" s="16">
        <v>43466</v>
      </c>
      <c r="C641" t="s">
        <v>19</v>
      </c>
      <c r="D641" s="21">
        <v>4388324.8500000006</v>
      </c>
      <c r="E641" s="21">
        <v>-4388324.8500000006</v>
      </c>
      <c r="F641" s="21">
        <v>0</v>
      </c>
    </row>
    <row r="642" spans="1:6" x14ac:dyDescent="0.25">
      <c r="A642">
        <v>1701</v>
      </c>
      <c r="B642" s="16">
        <v>43466</v>
      </c>
      <c r="C642" t="s">
        <v>39</v>
      </c>
      <c r="D642" s="21">
        <v>3646518.7500000005</v>
      </c>
      <c r="E642" s="21">
        <v>-3646518.7500000005</v>
      </c>
      <c r="F642" s="21">
        <v>0</v>
      </c>
    </row>
    <row r="643" spans="1:6" x14ac:dyDescent="0.25">
      <c r="A643">
        <v>1701</v>
      </c>
      <c r="B643" s="16">
        <v>43497</v>
      </c>
      <c r="C643" t="s">
        <v>192</v>
      </c>
      <c r="D643" s="21">
        <v>19000000</v>
      </c>
      <c r="E643" s="21">
        <v>-19000000</v>
      </c>
      <c r="F643" s="21">
        <v>0</v>
      </c>
    </row>
    <row r="644" spans="1:6" x14ac:dyDescent="0.25">
      <c r="A644">
        <v>1701</v>
      </c>
      <c r="B644" s="16">
        <v>43497</v>
      </c>
      <c r="C644" t="s">
        <v>19</v>
      </c>
      <c r="D644" s="21">
        <v>4388324.8500000006</v>
      </c>
      <c r="E644" s="21">
        <v>-4388324.8500000006</v>
      </c>
      <c r="F644" s="21">
        <v>0</v>
      </c>
    </row>
    <row r="645" spans="1:6" x14ac:dyDescent="0.25">
      <c r="A645">
        <v>1701</v>
      </c>
      <c r="B645" s="16">
        <v>43497</v>
      </c>
      <c r="C645" t="s">
        <v>38</v>
      </c>
      <c r="D645" s="21">
        <v>3865309.875</v>
      </c>
      <c r="E645" s="21">
        <v>-3865309.875</v>
      </c>
      <c r="F645" s="21">
        <v>0</v>
      </c>
    </row>
    <row r="646" spans="1:6" x14ac:dyDescent="0.25">
      <c r="A646">
        <v>1701</v>
      </c>
      <c r="B646" s="16">
        <v>43497</v>
      </c>
      <c r="C646" t="s">
        <v>12</v>
      </c>
      <c r="D646" s="21">
        <v>8682187.5000000019</v>
      </c>
      <c r="E646" s="21">
        <v>-8682187.5000000019</v>
      </c>
      <c r="F646" s="21">
        <v>0</v>
      </c>
    </row>
    <row r="647" spans="1:6" x14ac:dyDescent="0.25">
      <c r="A647">
        <v>1701</v>
      </c>
      <c r="B647" s="16">
        <v>43497</v>
      </c>
      <c r="C647" t="s">
        <v>76</v>
      </c>
      <c r="D647" s="21">
        <v>3497185.125</v>
      </c>
      <c r="E647" s="21">
        <v>-3497185.125</v>
      </c>
      <c r="F647" s="21">
        <v>0</v>
      </c>
    </row>
    <row r="648" spans="1:6" x14ac:dyDescent="0.25">
      <c r="A648">
        <v>1701</v>
      </c>
      <c r="B648" s="16">
        <v>43525</v>
      </c>
      <c r="C648" t="s">
        <v>192</v>
      </c>
      <c r="D648" s="21">
        <v>19000000</v>
      </c>
      <c r="E648" s="21">
        <v>-19000000</v>
      </c>
      <c r="F648" s="21">
        <v>0</v>
      </c>
    </row>
    <row r="649" spans="1:6" x14ac:dyDescent="0.25">
      <c r="A649">
        <v>1701</v>
      </c>
      <c r="B649" s="16">
        <v>43525</v>
      </c>
      <c r="C649" t="s">
        <v>19</v>
      </c>
      <c r="D649" s="21">
        <v>4388324.8500000006</v>
      </c>
      <c r="E649" s="21">
        <v>-4388324.8500000006</v>
      </c>
      <c r="F649" s="21">
        <v>0</v>
      </c>
    </row>
    <row r="650" spans="1:6" x14ac:dyDescent="0.25">
      <c r="A650">
        <v>1701</v>
      </c>
      <c r="B650" s="16">
        <v>43525</v>
      </c>
      <c r="C650" t="s">
        <v>38</v>
      </c>
      <c r="D650" s="21">
        <v>3865309.875</v>
      </c>
      <c r="E650" s="21">
        <v>-3865309.875</v>
      </c>
      <c r="F650" s="21">
        <v>0</v>
      </c>
    </row>
    <row r="651" spans="1:6" x14ac:dyDescent="0.25">
      <c r="A651">
        <v>1701</v>
      </c>
      <c r="B651" s="16">
        <v>43525</v>
      </c>
      <c r="C651" t="s">
        <v>12</v>
      </c>
      <c r="D651" s="21">
        <v>8682187.5000000019</v>
      </c>
      <c r="E651" s="21">
        <v>-8682187.5000000019</v>
      </c>
      <c r="F651" s="21">
        <v>0</v>
      </c>
    </row>
    <row r="652" spans="1:6" x14ac:dyDescent="0.25">
      <c r="A652">
        <v>1701</v>
      </c>
      <c r="B652" s="16">
        <v>43525</v>
      </c>
      <c r="C652" t="s">
        <v>76</v>
      </c>
      <c r="D652" s="21">
        <v>3497185.125</v>
      </c>
      <c r="E652" s="21">
        <v>-3497185.125</v>
      </c>
      <c r="F652" s="21">
        <v>0</v>
      </c>
    </row>
    <row r="653" spans="1:6" x14ac:dyDescent="0.25">
      <c r="A653">
        <v>1701</v>
      </c>
      <c r="B653" s="16">
        <v>43556</v>
      </c>
      <c r="C653" t="s">
        <v>192</v>
      </c>
      <c r="D653" s="21">
        <v>19000000</v>
      </c>
      <c r="E653" s="21">
        <v>-19000000</v>
      </c>
      <c r="F653" s="21">
        <v>0</v>
      </c>
    </row>
    <row r="654" spans="1:6" x14ac:dyDescent="0.25">
      <c r="A654">
        <v>1701</v>
      </c>
      <c r="B654" s="16">
        <v>43556</v>
      </c>
      <c r="C654" t="s">
        <v>19</v>
      </c>
      <c r="D654" s="21">
        <v>4388324.8500000006</v>
      </c>
      <c r="E654" s="21">
        <v>-4388324.8500000006</v>
      </c>
      <c r="F654" s="21">
        <v>0</v>
      </c>
    </row>
    <row r="655" spans="1:6" x14ac:dyDescent="0.25">
      <c r="A655">
        <v>1701</v>
      </c>
      <c r="B655" s="16">
        <v>43556</v>
      </c>
      <c r="C655" t="s">
        <v>38</v>
      </c>
      <c r="D655" s="21">
        <v>3865309.875</v>
      </c>
      <c r="E655" s="21">
        <v>-3865309.875</v>
      </c>
      <c r="F655" s="21">
        <v>0</v>
      </c>
    </row>
    <row r="656" spans="1:6" x14ac:dyDescent="0.25">
      <c r="A656">
        <v>1701</v>
      </c>
      <c r="B656" s="16">
        <v>43556</v>
      </c>
      <c r="C656" t="s">
        <v>12</v>
      </c>
      <c r="D656" s="21">
        <v>8682187.5000000019</v>
      </c>
      <c r="E656" s="21">
        <v>-8682187.5000000019</v>
      </c>
      <c r="F656" s="21">
        <v>0</v>
      </c>
    </row>
    <row r="657" spans="1:6" x14ac:dyDescent="0.25">
      <c r="A657">
        <v>1701</v>
      </c>
      <c r="B657" s="16">
        <v>43556</v>
      </c>
      <c r="C657" t="s">
        <v>76</v>
      </c>
      <c r="D657" s="21">
        <v>3497185.125</v>
      </c>
      <c r="E657" s="21">
        <v>-3497185.125</v>
      </c>
      <c r="F657" s="21">
        <v>0</v>
      </c>
    </row>
    <row r="658" spans="1:6" x14ac:dyDescent="0.25">
      <c r="A658">
        <v>1701</v>
      </c>
      <c r="B658" s="16">
        <v>43586</v>
      </c>
      <c r="C658" t="s">
        <v>192</v>
      </c>
      <c r="D658" s="21">
        <v>19000000</v>
      </c>
      <c r="E658" s="21">
        <v>-19000000</v>
      </c>
      <c r="F658" s="21">
        <v>0</v>
      </c>
    </row>
    <row r="659" spans="1:6" x14ac:dyDescent="0.25">
      <c r="A659">
        <v>1701</v>
      </c>
      <c r="B659" s="16">
        <v>43586</v>
      </c>
      <c r="C659" t="s">
        <v>19</v>
      </c>
      <c r="D659" s="21">
        <v>4388324.8500000006</v>
      </c>
      <c r="E659" s="21">
        <v>-4388324.8500000006</v>
      </c>
      <c r="F659" s="21">
        <v>0</v>
      </c>
    </row>
    <row r="660" spans="1:6" x14ac:dyDescent="0.25">
      <c r="A660">
        <v>1701</v>
      </c>
      <c r="B660" s="16">
        <v>43586</v>
      </c>
      <c r="C660" t="s">
        <v>38</v>
      </c>
      <c r="D660" s="21">
        <v>3865309.875</v>
      </c>
      <c r="E660" s="21">
        <v>-3865309.875</v>
      </c>
      <c r="F660" s="21">
        <v>0</v>
      </c>
    </row>
    <row r="661" spans="1:6" x14ac:dyDescent="0.25">
      <c r="A661">
        <v>1701</v>
      </c>
      <c r="B661" s="16">
        <v>43586</v>
      </c>
      <c r="C661" t="s">
        <v>12</v>
      </c>
      <c r="D661" s="21">
        <v>8682187.5000000019</v>
      </c>
      <c r="E661" s="21">
        <v>-8682187.5000000019</v>
      </c>
      <c r="F661" s="21">
        <v>0</v>
      </c>
    </row>
    <row r="662" spans="1:6" x14ac:dyDescent="0.25">
      <c r="A662">
        <v>1701</v>
      </c>
      <c r="B662" s="16">
        <v>43586</v>
      </c>
      <c r="C662" t="s">
        <v>76</v>
      </c>
      <c r="D662" s="21">
        <v>3497185.125</v>
      </c>
      <c r="E662" s="21">
        <v>-3497185.125</v>
      </c>
      <c r="F662" s="21">
        <v>0</v>
      </c>
    </row>
    <row r="663" spans="1:6" x14ac:dyDescent="0.25">
      <c r="A663">
        <v>1701</v>
      </c>
      <c r="B663" s="16">
        <v>43617</v>
      </c>
      <c r="C663" t="s">
        <v>192</v>
      </c>
      <c r="D663" s="21">
        <v>19000000</v>
      </c>
      <c r="E663" s="21">
        <v>-19000000</v>
      </c>
      <c r="F663" s="21">
        <v>0</v>
      </c>
    </row>
    <row r="664" spans="1:6" x14ac:dyDescent="0.25">
      <c r="A664">
        <v>1701</v>
      </c>
      <c r="B664" s="16">
        <v>43617</v>
      </c>
      <c r="C664" t="s">
        <v>76</v>
      </c>
      <c r="D664" s="21">
        <v>3497185.125</v>
      </c>
      <c r="E664" s="21">
        <v>-3497185.125</v>
      </c>
      <c r="F664" s="21">
        <v>0</v>
      </c>
    </row>
    <row r="665" spans="1:6" x14ac:dyDescent="0.25">
      <c r="A665">
        <v>1701</v>
      </c>
      <c r="B665" s="16">
        <v>43647</v>
      </c>
      <c r="C665" t="s">
        <v>192</v>
      </c>
      <c r="D665" s="21">
        <v>19000000</v>
      </c>
      <c r="E665" s="21">
        <v>-19000000</v>
      </c>
      <c r="F665" s="21">
        <v>0</v>
      </c>
    </row>
    <row r="666" spans="1:6" x14ac:dyDescent="0.25">
      <c r="A666">
        <v>1701</v>
      </c>
      <c r="B666" s="16">
        <v>43647</v>
      </c>
      <c r="C666" t="s">
        <v>76</v>
      </c>
      <c r="D666" s="21">
        <v>3497185.125</v>
      </c>
      <c r="E666" s="21">
        <v>-3497185.125</v>
      </c>
      <c r="F666" s="21">
        <v>0</v>
      </c>
    </row>
    <row r="667" spans="1:6" x14ac:dyDescent="0.25">
      <c r="A667">
        <v>1701</v>
      </c>
      <c r="B667" s="16">
        <v>43678</v>
      </c>
      <c r="C667" t="s">
        <v>192</v>
      </c>
      <c r="D667" s="21">
        <v>19000000</v>
      </c>
      <c r="E667" s="21">
        <v>-19000000</v>
      </c>
      <c r="F667" s="21">
        <v>0</v>
      </c>
    </row>
    <row r="668" spans="1:6" x14ac:dyDescent="0.25">
      <c r="A668">
        <v>1701</v>
      </c>
      <c r="B668" s="16">
        <v>43678</v>
      </c>
      <c r="C668" t="s">
        <v>76</v>
      </c>
      <c r="D668" s="21">
        <v>3497185.125</v>
      </c>
      <c r="E668" s="21">
        <v>-3497185.125</v>
      </c>
      <c r="F668" s="21">
        <v>0</v>
      </c>
    </row>
    <row r="669" spans="1:6" x14ac:dyDescent="0.25">
      <c r="A669">
        <v>1701</v>
      </c>
      <c r="B669" s="16">
        <v>43709</v>
      </c>
      <c r="C669" t="s">
        <v>192</v>
      </c>
      <c r="D669" s="21">
        <v>19000000</v>
      </c>
      <c r="E669" s="21">
        <v>-19000000</v>
      </c>
      <c r="F669" s="21">
        <v>0</v>
      </c>
    </row>
    <row r="670" spans="1:6" x14ac:dyDescent="0.25">
      <c r="A670">
        <v>1701</v>
      </c>
      <c r="B670" s="16">
        <v>43709</v>
      </c>
      <c r="C670" t="s">
        <v>76</v>
      </c>
      <c r="D670" s="21">
        <v>3497185.125</v>
      </c>
      <c r="E670" s="21">
        <v>-3497185.125</v>
      </c>
      <c r="F670" s="21">
        <v>0</v>
      </c>
    </row>
    <row r="671" spans="1:6" x14ac:dyDescent="0.25">
      <c r="A671">
        <v>1701</v>
      </c>
      <c r="B671" s="16">
        <v>43739</v>
      </c>
      <c r="C671" t="s">
        <v>192</v>
      </c>
      <c r="D671" s="21">
        <v>19000000</v>
      </c>
      <c r="E671" s="21">
        <v>-19000000</v>
      </c>
      <c r="F671" s="21">
        <v>0</v>
      </c>
    </row>
    <row r="672" spans="1:6" x14ac:dyDescent="0.25">
      <c r="A672">
        <v>1701</v>
      </c>
      <c r="B672" s="16">
        <v>43739</v>
      </c>
      <c r="C672" t="s">
        <v>76</v>
      </c>
      <c r="D672" s="21">
        <v>3497185.125</v>
      </c>
      <c r="E672" s="21">
        <v>-3497185.125</v>
      </c>
      <c r="F672" s="21">
        <v>0</v>
      </c>
    </row>
    <row r="673" spans="1:6" x14ac:dyDescent="0.25">
      <c r="A673">
        <v>1701</v>
      </c>
      <c r="B673" s="16">
        <v>43770</v>
      </c>
      <c r="C673" t="s">
        <v>192</v>
      </c>
      <c r="D673" s="21">
        <v>19000000</v>
      </c>
      <c r="E673" s="21">
        <v>-19000000</v>
      </c>
      <c r="F673" s="21">
        <v>0</v>
      </c>
    </row>
    <row r="674" spans="1:6" x14ac:dyDescent="0.25">
      <c r="A674">
        <v>1701</v>
      </c>
      <c r="B674" s="16">
        <v>43770</v>
      </c>
      <c r="C674" t="s">
        <v>76</v>
      </c>
      <c r="D674" s="21">
        <v>3497185.125</v>
      </c>
      <c r="E674" s="21">
        <v>-3497185.125</v>
      </c>
      <c r="F674" s="21">
        <v>0</v>
      </c>
    </row>
    <row r="675" spans="1:6" x14ac:dyDescent="0.25">
      <c r="A675">
        <v>1701</v>
      </c>
      <c r="B675" s="16">
        <v>43800</v>
      </c>
      <c r="C675" t="s">
        <v>192</v>
      </c>
      <c r="D675" s="21">
        <v>19000000</v>
      </c>
      <c r="E675" s="21">
        <v>-19000000</v>
      </c>
      <c r="F675" s="21">
        <v>0</v>
      </c>
    </row>
    <row r="676" spans="1:6" x14ac:dyDescent="0.25">
      <c r="A676">
        <v>1701</v>
      </c>
      <c r="B676" s="16">
        <v>43800</v>
      </c>
      <c r="C676" t="s">
        <v>76</v>
      </c>
      <c r="D676" s="21">
        <v>3497185.125</v>
      </c>
      <c r="E676" s="21">
        <v>-3497185.125</v>
      </c>
      <c r="F676" s="21">
        <v>0</v>
      </c>
    </row>
    <row r="677" spans="1:6" x14ac:dyDescent="0.25">
      <c r="A677">
        <v>1701</v>
      </c>
      <c r="B677" s="16">
        <v>43831</v>
      </c>
      <c r="C677" t="s">
        <v>76</v>
      </c>
      <c r="D677" s="21">
        <v>3497185.125</v>
      </c>
      <c r="E677" s="21">
        <v>-3497185.125</v>
      </c>
      <c r="F677" s="21">
        <v>0</v>
      </c>
    </row>
    <row r="678" spans="1:6" x14ac:dyDescent="0.25">
      <c r="A678">
        <v>1715</v>
      </c>
      <c r="B678" s="16">
        <v>43466</v>
      </c>
      <c r="C678" t="s">
        <v>277</v>
      </c>
      <c r="D678" s="21">
        <v>236250</v>
      </c>
      <c r="E678" s="21">
        <v>-236250</v>
      </c>
      <c r="F678" s="21">
        <v>0</v>
      </c>
    </row>
    <row r="679" spans="1:6" x14ac:dyDescent="0.25">
      <c r="A679">
        <v>1715</v>
      </c>
      <c r="B679" s="16">
        <v>43466</v>
      </c>
      <c r="C679" t="s">
        <v>16</v>
      </c>
      <c r="D679" s="21">
        <v>1181250</v>
      </c>
      <c r="E679" s="21">
        <v>-1181250</v>
      </c>
      <c r="F679" s="21">
        <v>0</v>
      </c>
    </row>
    <row r="680" spans="1:6" x14ac:dyDescent="0.25">
      <c r="A680">
        <v>1715</v>
      </c>
      <c r="B680" s="16">
        <v>43466</v>
      </c>
      <c r="C680" t="s">
        <v>12</v>
      </c>
      <c r="D680" s="21">
        <v>9450000</v>
      </c>
      <c r="E680" s="21">
        <v>-9450000</v>
      </c>
      <c r="F680" s="21">
        <v>0</v>
      </c>
    </row>
    <row r="681" spans="1:6" x14ac:dyDescent="0.25">
      <c r="A681">
        <v>1715</v>
      </c>
      <c r="B681" s="16">
        <v>43466</v>
      </c>
      <c r="C681" t="s">
        <v>29</v>
      </c>
      <c r="D681" s="21">
        <v>1063125</v>
      </c>
      <c r="E681" s="21">
        <v>-1063125</v>
      </c>
      <c r="F681" s="21">
        <v>0</v>
      </c>
    </row>
    <row r="682" spans="1:6" x14ac:dyDescent="0.25">
      <c r="A682">
        <v>1715</v>
      </c>
      <c r="B682" s="16">
        <v>43466</v>
      </c>
      <c r="C682" t="s">
        <v>19</v>
      </c>
      <c r="D682" s="21">
        <v>9976365</v>
      </c>
      <c r="E682" s="21">
        <v>-9976365</v>
      </c>
      <c r="F682" s="21">
        <v>0</v>
      </c>
    </row>
    <row r="683" spans="1:6" x14ac:dyDescent="0.25">
      <c r="A683">
        <v>1715</v>
      </c>
      <c r="B683" s="16">
        <v>43466</v>
      </c>
      <c r="C683" t="s">
        <v>91</v>
      </c>
      <c r="D683" s="21">
        <v>441000</v>
      </c>
      <c r="E683" s="21">
        <v>-441000</v>
      </c>
      <c r="F683" s="21">
        <v>0</v>
      </c>
    </row>
    <row r="684" spans="1:6" x14ac:dyDescent="0.25">
      <c r="A684">
        <v>1715</v>
      </c>
      <c r="B684" s="16">
        <v>43466</v>
      </c>
      <c r="C684" t="s">
        <v>192</v>
      </c>
      <c r="D684" s="21">
        <v>29406606.749999996</v>
      </c>
      <c r="E684" s="21">
        <v>-29406606.749999996</v>
      </c>
      <c r="F684" s="21">
        <v>0</v>
      </c>
    </row>
    <row r="685" spans="1:6" x14ac:dyDescent="0.25">
      <c r="A685">
        <v>1715</v>
      </c>
      <c r="B685" s="16">
        <v>43466</v>
      </c>
      <c r="C685" t="s">
        <v>39</v>
      </c>
      <c r="D685" s="21">
        <v>4095000</v>
      </c>
      <c r="E685" s="21">
        <v>-4095000</v>
      </c>
      <c r="F685" s="21">
        <v>0</v>
      </c>
    </row>
    <row r="686" spans="1:6" x14ac:dyDescent="0.25">
      <c r="A686">
        <v>1715</v>
      </c>
      <c r="B686" s="16">
        <v>43497</v>
      </c>
      <c r="C686" t="s">
        <v>277</v>
      </c>
      <c r="D686" s="21">
        <v>236250</v>
      </c>
      <c r="E686" s="21">
        <v>-236250</v>
      </c>
      <c r="F686" s="21">
        <v>0</v>
      </c>
    </row>
    <row r="687" spans="1:6" x14ac:dyDescent="0.25">
      <c r="A687">
        <v>1715</v>
      </c>
      <c r="B687" s="16">
        <v>43497</v>
      </c>
      <c r="C687" t="s">
        <v>16</v>
      </c>
      <c r="D687" s="21">
        <v>1181250</v>
      </c>
      <c r="E687" s="21">
        <v>-1181250</v>
      </c>
      <c r="F687" s="21">
        <v>0</v>
      </c>
    </row>
    <row r="688" spans="1:6" x14ac:dyDescent="0.25">
      <c r="A688">
        <v>1715</v>
      </c>
      <c r="B688" s="16">
        <v>43497</v>
      </c>
      <c r="C688" t="s">
        <v>12</v>
      </c>
      <c r="D688" s="21">
        <v>9450000</v>
      </c>
      <c r="E688" s="21">
        <v>-9450000</v>
      </c>
      <c r="F688" s="21">
        <v>0</v>
      </c>
    </row>
    <row r="689" spans="1:6" x14ac:dyDescent="0.25">
      <c r="A689">
        <v>1715</v>
      </c>
      <c r="B689" s="16">
        <v>43497</v>
      </c>
      <c r="C689" t="s">
        <v>29</v>
      </c>
      <c r="D689" s="21">
        <v>1063125</v>
      </c>
      <c r="E689" s="21">
        <v>-1063125</v>
      </c>
      <c r="F689" s="21">
        <v>0</v>
      </c>
    </row>
    <row r="690" spans="1:6" x14ac:dyDescent="0.25">
      <c r="A690">
        <v>1715</v>
      </c>
      <c r="B690" s="16">
        <v>43497</v>
      </c>
      <c r="C690" t="s">
        <v>19</v>
      </c>
      <c r="D690" s="21">
        <v>9976365</v>
      </c>
      <c r="E690" s="21">
        <v>-9976365</v>
      </c>
      <c r="F690" s="21">
        <v>0</v>
      </c>
    </row>
    <row r="691" spans="1:6" x14ac:dyDescent="0.25">
      <c r="A691">
        <v>1715</v>
      </c>
      <c r="B691" s="16">
        <v>43497</v>
      </c>
      <c r="C691" t="s">
        <v>91</v>
      </c>
      <c r="D691" s="21">
        <v>441000</v>
      </c>
      <c r="E691" s="21">
        <v>-441000</v>
      </c>
      <c r="F691" s="21">
        <v>0</v>
      </c>
    </row>
    <row r="692" spans="1:6" x14ac:dyDescent="0.25">
      <c r="A692">
        <v>1715</v>
      </c>
      <c r="B692" s="16">
        <v>43497</v>
      </c>
      <c r="C692" t="s">
        <v>192</v>
      </c>
      <c r="D692" s="21">
        <v>29406606.749999996</v>
      </c>
      <c r="E692" s="21">
        <v>-29406606.749999996</v>
      </c>
      <c r="F692" s="21">
        <v>0</v>
      </c>
    </row>
    <row r="693" spans="1:6" x14ac:dyDescent="0.25">
      <c r="A693">
        <v>1715</v>
      </c>
      <c r="B693" s="16">
        <v>43497</v>
      </c>
      <c r="C693" t="s">
        <v>39</v>
      </c>
      <c r="D693" s="21">
        <v>4095000</v>
      </c>
      <c r="E693" s="21">
        <v>-4095000</v>
      </c>
      <c r="F693" s="21">
        <v>0</v>
      </c>
    </row>
    <row r="694" spans="1:6" x14ac:dyDescent="0.25">
      <c r="A694">
        <v>1715</v>
      </c>
      <c r="B694" s="16">
        <v>43525</v>
      </c>
      <c r="C694" t="s">
        <v>277</v>
      </c>
      <c r="D694" s="21">
        <v>236250</v>
      </c>
      <c r="E694" s="21">
        <v>-236250</v>
      </c>
      <c r="F694" s="21">
        <v>0</v>
      </c>
    </row>
    <row r="695" spans="1:6" x14ac:dyDescent="0.25">
      <c r="A695">
        <v>1715</v>
      </c>
      <c r="B695" s="16">
        <v>43525</v>
      </c>
      <c r="C695" t="s">
        <v>16</v>
      </c>
      <c r="D695" s="21">
        <v>1181250</v>
      </c>
      <c r="E695" s="21">
        <v>-1181250</v>
      </c>
      <c r="F695" s="21">
        <v>0</v>
      </c>
    </row>
    <row r="696" spans="1:6" x14ac:dyDescent="0.25">
      <c r="A696">
        <v>1715</v>
      </c>
      <c r="B696" s="16">
        <v>43525</v>
      </c>
      <c r="C696" t="s">
        <v>12</v>
      </c>
      <c r="D696" s="21">
        <v>9450000</v>
      </c>
      <c r="E696" s="21">
        <v>-9450000</v>
      </c>
      <c r="F696" s="21">
        <v>0</v>
      </c>
    </row>
    <row r="697" spans="1:6" x14ac:dyDescent="0.25">
      <c r="A697">
        <v>1715</v>
      </c>
      <c r="B697" s="16">
        <v>43525</v>
      </c>
      <c r="C697" t="s">
        <v>29</v>
      </c>
      <c r="D697" s="21">
        <v>1063125</v>
      </c>
      <c r="E697" s="21">
        <v>-1063125</v>
      </c>
      <c r="F697" s="21">
        <v>0</v>
      </c>
    </row>
    <row r="698" spans="1:6" x14ac:dyDescent="0.25">
      <c r="A698">
        <v>1715</v>
      </c>
      <c r="B698" s="16">
        <v>43525</v>
      </c>
      <c r="C698" t="s">
        <v>19</v>
      </c>
      <c r="D698" s="21">
        <v>9976365</v>
      </c>
      <c r="E698" s="21">
        <v>-9976365</v>
      </c>
      <c r="F698" s="21">
        <v>0</v>
      </c>
    </row>
    <row r="699" spans="1:6" x14ac:dyDescent="0.25">
      <c r="A699">
        <v>1715</v>
      </c>
      <c r="B699" s="16">
        <v>43525</v>
      </c>
      <c r="C699" t="s">
        <v>91</v>
      </c>
      <c r="D699" s="21">
        <v>441000</v>
      </c>
      <c r="E699" s="21">
        <v>-441000</v>
      </c>
      <c r="F699" s="21">
        <v>0</v>
      </c>
    </row>
    <row r="700" spans="1:6" x14ac:dyDescent="0.25">
      <c r="A700">
        <v>1715</v>
      </c>
      <c r="B700" s="16">
        <v>43525</v>
      </c>
      <c r="C700" t="s">
        <v>192</v>
      </c>
      <c r="D700" s="21">
        <v>29406606.749999996</v>
      </c>
      <c r="E700" s="21">
        <v>-29406606.749999996</v>
      </c>
      <c r="F700" s="21">
        <v>0</v>
      </c>
    </row>
    <row r="701" spans="1:6" x14ac:dyDescent="0.25">
      <c r="A701">
        <v>1715</v>
      </c>
      <c r="B701" s="16">
        <v>43525</v>
      </c>
      <c r="C701" t="s">
        <v>39</v>
      </c>
      <c r="D701" s="21">
        <v>4095000</v>
      </c>
      <c r="E701" s="21">
        <v>-4095000</v>
      </c>
      <c r="F701" s="21">
        <v>0</v>
      </c>
    </row>
    <row r="702" spans="1:6" x14ac:dyDescent="0.25">
      <c r="A702">
        <v>1715</v>
      </c>
      <c r="B702" s="16">
        <v>43556</v>
      </c>
      <c r="C702" t="s">
        <v>277</v>
      </c>
      <c r="D702" s="21">
        <v>236250</v>
      </c>
      <c r="E702" s="21"/>
      <c r="F702" s="21">
        <v>236250</v>
      </c>
    </row>
    <row r="703" spans="1:6" x14ac:dyDescent="0.25">
      <c r="A703">
        <v>1715</v>
      </c>
      <c r="B703" s="16">
        <v>43556</v>
      </c>
      <c r="C703" t="s">
        <v>91</v>
      </c>
      <c r="D703" s="21">
        <v>441000</v>
      </c>
      <c r="E703" s="21"/>
      <c r="F703" s="21">
        <v>441000</v>
      </c>
    </row>
    <row r="704" spans="1:6" x14ac:dyDescent="0.25">
      <c r="A704">
        <v>1715</v>
      </c>
      <c r="B704" s="16">
        <v>43556</v>
      </c>
      <c r="C704" t="s">
        <v>29</v>
      </c>
      <c r="D704" s="21">
        <v>1063125</v>
      </c>
      <c r="E704" s="21"/>
      <c r="F704" s="21">
        <v>1063125</v>
      </c>
    </row>
    <row r="705" spans="1:6" x14ac:dyDescent="0.25">
      <c r="A705">
        <v>1715</v>
      </c>
      <c r="B705" s="16">
        <v>43556</v>
      </c>
      <c r="C705" t="s">
        <v>16</v>
      </c>
      <c r="D705" s="21">
        <v>1181250</v>
      </c>
      <c r="E705" s="21"/>
      <c r="F705" s="21">
        <v>1181250</v>
      </c>
    </row>
    <row r="706" spans="1:6" x14ac:dyDescent="0.25">
      <c r="A706">
        <v>1715</v>
      </c>
      <c r="B706" s="16">
        <v>43556</v>
      </c>
      <c r="C706" t="s">
        <v>39</v>
      </c>
      <c r="D706" s="21">
        <v>4095000</v>
      </c>
      <c r="E706" s="21"/>
      <c r="F706" s="21">
        <v>4095000</v>
      </c>
    </row>
    <row r="707" spans="1:6" x14ac:dyDescent="0.25">
      <c r="A707">
        <v>1715</v>
      </c>
      <c r="B707" s="16">
        <v>43556</v>
      </c>
      <c r="C707" t="s">
        <v>12</v>
      </c>
      <c r="D707" s="21">
        <v>9450000</v>
      </c>
      <c r="E707" s="21"/>
      <c r="F707" s="21">
        <v>9450000</v>
      </c>
    </row>
    <row r="708" spans="1:6" x14ac:dyDescent="0.25">
      <c r="A708">
        <v>1715</v>
      </c>
      <c r="B708" s="16">
        <v>43556</v>
      </c>
      <c r="C708" t="s">
        <v>19</v>
      </c>
      <c r="D708" s="21">
        <v>9976365</v>
      </c>
      <c r="E708" s="21"/>
      <c r="F708" s="21">
        <v>9976365</v>
      </c>
    </row>
    <row r="709" spans="1:6" x14ac:dyDescent="0.25">
      <c r="A709">
        <v>1715</v>
      </c>
      <c r="B709" s="16">
        <v>43556</v>
      </c>
      <c r="C709" t="s">
        <v>192</v>
      </c>
      <c r="D709" s="21">
        <v>29406606.749999996</v>
      </c>
      <c r="E709" s="21"/>
      <c r="F709" s="21">
        <v>29406606.749999996</v>
      </c>
    </row>
    <row r="710" spans="1:6" x14ac:dyDescent="0.25">
      <c r="A710">
        <v>1723</v>
      </c>
      <c r="B710" s="16">
        <v>43466</v>
      </c>
      <c r="C710" t="s">
        <v>97</v>
      </c>
      <c r="D710" s="21">
        <v>3718059.9750000001</v>
      </c>
      <c r="E710" s="21">
        <v>-3718059.9750000001</v>
      </c>
      <c r="F710" s="21">
        <v>0</v>
      </c>
    </row>
    <row r="711" spans="1:6" x14ac:dyDescent="0.25">
      <c r="A711">
        <v>1723</v>
      </c>
      <c r="B711" s="16">
        <v>43466</v>
      </c>
      <c r="C711" t="s">
        <v>35</v>
      </c>
      <c r="D711" s="21">
        <v>4049372.25</v>
      </c>
      <c r="E711" s="21">
        <v>-4049372.25</v>
      </c>
      <c r="F711" s="21">
        <v>0</v>
      </c>
    </row>
    <row r="712" spans="1:6" x14ac:dyDescent="0.25">
      <c r="A712">
        <v>1723</v>
      </c>
      <c r="B712" s="16">
        <v>43466</v>
      </c>
      <c r="C712" t="s">
        <v>19</v>
      </c>
      <c r="D712" s="21">
        <v>11711424.646482753</v>
      </c>
      <c r="E712" s="21">
        <v>-11711424.646482753</v>
      </c>
      <c r="F712" s="21">
        <v>0</v>
      </c>
    </row>
    <row r="713" spans="1:6" x14ac:dyDescent="0.25">
      <c r="A713">
        <v>1723</v>
      </c>
      <c r="B713" s="16">
        <v>43466</v>
      </c>
      <c r="C713" t="s">
        <v>23</v>
      </c>
      <c r="D713" s="21">
        <v>8173037.25</v>
      </c>
      <c r="E713" s="21">
        <v>-8173037.25</v>
      </c>
      <c r="F713" s="21">
        <v>0</v>
      </c>
    </row>
    <row r="714" spans="1:6" x14ac:dyDescent="0.25">
      <c r="A714">
        <v>1723</v>
      </c>
      <c r="B714" s="16">
        <v>43466</v>
      </c>
      <c r="C714" t="s">
        <v>94</v>
      </c>
      <c r="D714" s="21">
        <v>10418625.000000002</v>
      </c>
      <c r="E714" s="21">
        <v>-10418625.000000002</v>
      </c>
      <c r="F714" s="21">
        <v>0</v>
      </c>
    </row>
    <row r="715" spans="1:6" x14ac:dyDescent="0.25">
      <c r="A715">
        <v>1723</v>
      </c>
      <c r="B715" s="16">
        <v>43466</v>
      </c>
      <c r="C715" t="s">
        <v>113</v>
      </c>
      <c r="D715" s="21">
        <v>4123664.9999999995</v>
      </c>
      <c r="E715" s="21">
        <v>-4123664.9999999995</v>
      </c>
      <c r="F715" s="21">
        <v>0</v>
      </c>
    </row>
    <row r="716" spans="1:6" x14ac:dyDescent="0.25">
      <c r="A716">
        <v>1723</v>
      </c>
      <c r="B716" s="16">
        <v>43466</v>
      </c>
      <c r="C716" t="s">
        <v>90</v>
      </c>
      <c r="D716" s="21">
        <v>887666.85000000009</v>
      </c>
      <c r="E716" s="21">
        <v>-887666.85000000009</v>
      </c>
      <c r="F716" s="21">
        <v>0</v>
      </c>
    </row>
    <row r="717" spans="1:6" x14ac:dyDescent="0.25">
      <c r="A717">
        <v>1723</v>
      </c>
      <c r="B717" s="16">
        <v>43466</v>
      </c>
      <c r="C717" t="s">
        <v>29</v>
      </c>
      <c r="D717" s="21">
        <v>4514737.5000000009</v>
      </c>
      <c r="E717" s="21">
        <v>-4514737.5000000009</v>
      </c>
      <c r="F717" s="21">
        <v>0</v>
      </c>
    </row>
    <row r="718" spans="1:6" x14ac:dyDescent="0.25">
      <c r="A718">
        <v>1723</v>
      </c>
      <c r="B718" s="16">
        <v>43466</v>
      </c>
      <c r="C718" t="s">
        <v>79</v>
      </c>
      <c r="D718" s="21">
        <v>3718059.9750000001</v>
      </c>
      <c r="E718" s="21">
        <v>-3718059.9750000001</v>
      </c>
      <c r="F718" s="21">
        <v>0</v>
      </c>
    </row>
    <row r="719" spans="1:6" x14ac:dyDescent="0.25">
      <c r="A719">
        <v>1723</v>
      </c>
      <c r="B719" s="16">
        <v>43466</v>
      </c>
      <c r="C719" t="s">
        <v>39</v>
      </c>
      <c r="D719" s="21">
        <v>5903887.5000000009</v>
      </c>
      <c r="E719" s="21">
        <v>-5903887.5000000009</v>
      </c>
      <c r="F719" s="21">
        <v>0</v>
      </c>
    </row>
    <row r="720" spans="1:6" x14ac:dyDescent="0.25">
      <c r="A720">
        <v>1723</v>
      </c>
      <c r="B720" s="16">
        <v>43466</v>
      </c>
      <c r="C720" t="s">
        <v>12</v>
      </c>
      <c r="D720" s="21">
        <v>11269198.072125001</v>
      </c>
      <c r="E720" s="21">
        <v>-11269198.072125001</v>
      </c>
      <c r="F720" s="21">
        <v>0</v>
      </c>
    </row>
    <row r="721" spans="1:6" x14ac:dyDescent="0.25">
      <c r="A721">
        <v>1723</v>
      </c>
      <c r="B721" s="16">
        <v>43466</v>
      </c>
      <c r="C721" t="s">
        <v>14</v>
      </c>
      <c r="D721" s="21">
        <v>2448376.8750000005</v>
      </c>
      <c r="E721" s="21">
        <v>-2448376.8750000005</v>
      </c>
      <c r="F721" s="21">
        <v>0</v>
      </c>
    </row>
    <row r="722" spans="1:6" x14ac:dyDescent="0.25">
      <c r="A722">
        <v>1723</v>
      </c>
      <c r="B722" s="16">
        <v>43466</v>
      </c>
      <c r="C722" t="s">
        <v>192</v>
      </c>
      <c r="D722" s="21">
        <v>48600000</v>
      </c>
      <c r="E722" s="21">
        <v>-48600000</v>
      </c>
      <c r="F722" s="21">
        <v>0</v>
      </c>
    </row>
    <row r="723" spans="1:6" x14ac:dyDescent="0.25">
      <c r="A723">
        <v>1723</v>
      </c>
      <c r="B723" s="16">
        <v>43466</v>
      </c>
      <c r="C723" t="s">
        <v>108</v>
      </c>
      <c r="D723" s="21">
        <v>6221250</v>
      </c>
      <c r="E723" s="21">
        <v>-6221250</v>
      </c>
      <c r="F723" s="21">
        <v>0</v>
      </c>
    </row>
    <row r="724" spans="1:6" x14ac:dyDescent="0.25">
      <c r="A724">
        <v>1723</v>
      </c>
      <c r="B724" s="16">
        <v>43466</v>
      </c>
      <c r="C724" t="s">
        <v>93</v>
      </c>
      <c r="D724" s="21">
        <v>960135.74937000009</v>
      </c>
      <c r="E724" s="21">
        <v>-960135.74937000009</v>
      </c>
      <c r="F724" s="21">
        <v>0</v>
      </c>
    </row>
    <row r="725" spans="1:6" x14ac:dyDescent="0.25">
      <c r="A725">
        <v>1723</v>
      </c>
      <c r="B725" s="16">
        <v>43466</v>
      </c>
      <c r="C725" t="s">
        <v>110</v>
      </c>
      <c r="D725" s="21">
        <v>6221250</v>
      </c>
      <c r="E725" s="21">
        <v>-6221250</v>
      </c>
      <c r="F725" s="21">
        <v>0</v>
      </c>
    </row>
    <row r="726" spans="1:6" x14ac:dyDescent="0.25">
      <c r="A726">
        <v>1723</v>
      </c>
      <c r="B726" s="16">
        <v>43466</v>
      </c>
      <c r="C726" t="s">
        <v>96</v>
      </c>
      <c r="D726" s="21">
        <v>2604656.2500000005</v>
      </c>
      <c r="E726" s="21">
        <v>-2604656.2500000005</v>
      </c>
      <c r="F726" s="21">
        <v>0</v>
      </c>
    </row>
    <row r="727" spans="1:6" x14ac:dyDescent="0.25">
      <c r="A727">
        <v>1723</v>
      </c>
      <c r="B727" s="16">
        <v>43466</v>
      </c>
      <c r="C727" t="s">
        <v>111</v>
      </c>
      <c r="D727" s="21">
        <v>6221250</v>
      </c>
      <c r="E727" s="21">
        <v>-6221250</v>
      </c>
      <c r="F727" s="21">
        <v>0</v>
      </c>
    </row>
    <row r="728" spans="1:6" x14ac:dyDescent="0.25">
      <c r="A728">
        <v>1723</v>
      </c>
      <c r="B728" s="16">
        <v>43497</v>
      </c>
      <c r="C728" t="s">
        <v>97</v>
      </c>
      <c r="D728" s="21">
        <v>3718059.9750000001</v>
      </c>
      <c r="E728" s="21">
        <v>-3718059.9750000001</v>
      </c>
      <c r="F728" s="21">
        <v>0</v>
      </c>
    </row>
    <row r="729" spans="1:6" x14ac:dyDescent="0.25">
      <c r="A729">
        <v>1723</v>
      </c>
      <c r="B729" s="16">
        <v>43497</v>
      </c>
      <c r="C729" t="s">
        <v>96</v>
      </c>
      <c r="D729" s="21">
        <v>2604656.2500000005</v>
      </c>
      <c r="E729" s="21">
        <v>-2604656.2500000005</v>
      </c>
      <c r="F729" s="21">
        <v>0</v>
      </c>
    </row>
    <row r="730" spans="1:6" x14ac:dyDescent="0.25">
      <c r="A730">
        <v>1723</v>
      </c>
      <c r="B730" s="16">
        <v>43497</v>
      </c>
      <c r="C730" t="s">
        <v>35</v>
      </c>
      <c r="D730" s="21">
        <v>4049372.25</v>
      </c>
      <c r="E730" s="21">
        <v>-4049372.25</v>
      </c>
      <c r="F730" s="21">
        <v>0</v>
      </c>
    </row>
    <row r="731" spans="1:6" x14ac:dyDescent="0.25">
      <c r="A731">
        <v>1723</v>
      </c>
      <c r="B731" s="16">
        <v>43497</v>
      </c>
      <c r="C731" t="s">
        <v>12</v>
      </c>
      <c r="D731" s="21">
        <v>11269198.072125001</v>
      </c>
      <c r="E731" s="21">
        <v>-11269198.072125001</v>
      </c>
      <c r="F731" s="21">
        <v>0</v>
      </c>
    </row>
    <row r="732" spans="1:6" x14ac:dyDescent="0.25">
      <c r="A732">
        <v>1723</v>
      </c>
      <c r="B732" s="16">
        <v>43497</v>
      </c>
      <c r="C732" t="s">
        <v>23</v>
      </c>
      <c r="D732" s="21">
        <v>8173037.25</v>
      </c>
      <c r="E732" s="21">
        <v>-8173037.25</v>
      </c>
      <c r="F732" s="21">
        <v>0</v>
      </c>
    </row>
    <row r="733" spans="1:6" x14ac:dyDescent="0.25">
      <c r="A733">
        <v>1723</v>
      </c>
      <c r="B733" s="16">
        <v>43497</v>
      </c>
      <c r="C733" t="s">
        <v>93</v>
      </c>
      <c r="D733" s="21">
        <v>960135.74937000009</v>
      </c>
      <c r="E733" s="21">
        <v>-960135.74937000009</v>
      </c>
      <c r="F733" s="21">
        <v>0</v>
      </c>
    </row>
    <row r="734" spans="1:6" x14ac:dyDescent="0.25">
      <c r="A734">
        <v>1723</v>
      </c>
      <c r="B734" s="16">
        <v>43497</v>
      </c>
      <c r="C734" t="s">
        <v>113</v>
      </c>
      <c r="D734" s="21">
        <v>4123664.9999999995</v>
      </c>
      <c r="E734" s="21">
        <v>-4123664.9999999995</v>
      </c>
      <c r="F734" s="21">
        <v>0</v>
      </c>
    </row>
    <row r="735" spans="1:6" x14ac:dyDescent="0.25">
      <c r="A735">
        <v>1723</v>
      </c>
      <c r="B735" s="16">
        <v>43497</v>
      </c>
      <c r="C735" t="s">
        <v>192</v>
      </c>
      <c r="D735" s="21">
        <v>48600000</v>
      </c>
      <c r="E735" s="21">
        <v>-48600000</v>
      </c>
      <c r="F735" s="21">
        <v>0</v>
      </c>
    </row>
    <row r="736" spans="1:6" x14ac:dyDescent="0.25">
      <c r="A736">
        <v>1723</v>
      </c>
      <c r="B736" s="16">
        <v>43497</v>
      </c>
      <c r="C736" t="s">
        <v>29</v>
      </c>
      <c r="D736" s="21">
        <v>4514737.5000000009</v>
      </c>
      <c r="E736" s="21">
        <v>-4514737.5000000009</v>
      </c>
      <c r="F736" s="21">
        <v>0</v>
      </c>
    </row>
    <row r="737" spans="1:6" x14ac:dyDescent="0.25">
      <c r="A737">
        <v>1723</v>
      </c>
      <c r="B737" s="16">
        <v>43497</v>
      </c>
      <c r="C737" t="s">
        <v>19</v>
      </c>
      <c r="D737" s="21">
        <v>11711424.646482753</v>
      </c>
      <c r="E737" s="21">
        <v>-11711424.646482753</v>
      </c>
      <c r="F737" s="21">
        <v>0</v>
      </c>
    </row>
    <row r="738" spans="1:6" x14ac:dyDescent="0.25">
      <c r="A738">
        <v>1723</v>
      </c>
      <c r="B738" s="16">
        <v>43497</v>
      </c>
      <c r="C738" t="s">
        <v>39</v>
      </c>
      <c r="D738" s="21">
        <v>5903887.5000000009</v>
      </c>
      <c r="E738" s="21">
        <v>-5903887.5000000009</v>
      </c>
      <c r="F738" s="21">
        <v>0</v>
      </c>
    </row>
    <row r="739" spans="1:6" x14ac:dyDescent="0.25">
      <c r="A739">
        <v>1723</v>
      </c>
      <c r="B739" s="16">
        <v>43497</v>
      </c>
      <c r="C739" t="s">
        <v>90</v>
      </c>
      <c r="D739" s="21">
        <v>887666.85000000009</v>
      </c>
      <c r="E739" s="21">
        <v>-887666.85000000009</v>
      </c>
      <c r="F739" s="21">
        <v>0</v>
      </c>
    </row>
    <row r="740" spans="1:6" x14ac:dyDescent="0.25">
      <c r="A740">
        <v>1723</v>
      </c>
      <c r="B740" s="16">
        <v>43497</v>
      </c>
      <c r="C740" t="s">
        <v>14</v>
      </c>
      <c r="D740" s="21">
        <v>2448376.8750000005</v>
      </c>
      <c r="E740" s="21">
        <v>-2448376.8750000005</v>
      </c>
      <c r="F740" s="21">
        <v>0</v>
      </c>
    </row>
    <row r="741" spans="1:6" x14ac:dyDescent="0.25">
      <c r="A741">
        <v>1723</v>
      </c>
      <c r="B741" s="16">
        <v>43497</v>
      </c>
      <c r="C741" t="s">
        <v>94</v>
      </c>
      <c r="D741" s="21">
        <v>10418625.000000002</v>
      </c>
      <c r="E741" s="21">
        <v>-10418625.000000002</v>
      </c>
      <c r="F741" s="21">
        <v>0</v>
      </c>
    </row>
    <row r="742" spans="1:6" x14ac:dyDescent="0.25">
      <c r="A742">
        <v>1723</v>
      </c>
      <c r="B742" s="16">
        <v>43497</v>
      </c>
      <c r="C742" t="s">
        <v>108</v>
      </c>
      <c r="D742" s="21">
        <v>6221250</v>
      </c>
      <c r="E742" s="21">
        <v>-6221250</v>
      </c>
      <c r="F742" s="21">
        <v>0</v>
      </c>
    </row>
    <row r="743" spans="1:6" x14ac:dyDescent="0.25">
      <c r="A743">
        <v>1723</v>
      </c>
      <c r="B743" s="16">
        <v>43497</v>
      </c>
      <c r="C743" t="s">
        <v>79</v>
      </c>
      <c r="D743" s="21">
        <v>3718059.9750000001</v>
      </c>
      <c r="E743" s="21">
        <v>-3718059.9750000001</v>
      </c>
      <c r="F743" s="21">
        <v>0</v>
      </c>
    </row>
    <row r="744" spans="1:6" x14ac:dyDescent="0.25">
      <c r="A744">
        <v>1723</v>
      </c>
      <c r="B744" s="16">
        <v>43497</v>
      </c>
      <c r="C744" t="s">
        <v>110</v>
      </c>
      <c r="D744" s="21">
        <v>6221250</v>
      </c>
      <c r="E744" s="21">
        <v>-6221250</v>
      </c>
      <c r="F744" s="21">
        <v>0</v>
      </c>
    </row>
    <row r="745" spans="1:6" x14ac:dyDescent="0.25">
      <c r="A745">
        <v>1723</v>
      </c>
      <c r="B745" s="16">
        <v>43525</v>
      </c>
      <c r="C745" t="s">
        <v>79</v>
      </c>
      <c r="D745" s="21">
        <v>3718059.9750000001</v>
      </c>
      <c r="E745" s="21">
        <v>-3718059.9750000001</v>
      </c>
      <c r="F745" s="21">
        <v>0</v>
      </c>
    </row>
    <row r="746" spans="1:6" x14ac:dyDescent="0.25">
      <c r="A746">
        <v>1723</v>
      </c>
      <c r="B746" s="16">
        <v>43525</v>
      </c>
      <c r="C746" t="s">
        <v>97</v>
      </c>
      <c r="D746" s="21">
        <v>3718059.9750000001</v>
      </c>
      <c r="E746" s="21">
        <v>-3718059.9750000001</v>
      </c>
      <c r="F746" s="21">
        <v>0</v>
      </c>
    </row>
    <row r="747" spans="1:6" x14ac:dyDescent="0.25">
      <c r="A747">
        <v>1723</v>
      </c>
      <c r="B747" s="16">
        <v>43525</v>
      </c>
      <c r="C747" t="s">
        <v>19</v>
      </c>
      <c r="D747" s="21">
        <v>11711424.646482753</v>
      </c>
      <c r="E747" s="21">
        <v>-11711424.646482753</v>
      </c>
      <c r="F747" s="21">
        <v>0</v>
      </c>
    </row>
    <row r="748" spans="1:6" x14ac:dyDescent="0.25">
      <c r="A748">
        <v>1723</v>
      </c>
      <c r="B748" s="16">
        <v>43525</v>
      </c>
      <c r="C748" t="s">
        <v>35</v>
      </c>
      <c r="D748" s="21">
        <v>4049372.25</v>
      </c>
      <c r="E748" s="21">
        <v>-4049372.25</v>
      </c>
      <c r="F748" s="21">
        <v>0</v>
      </c>
    </row>
    <row r="749" spans="1:6" x14ac:dyDescent="0.25">
      <c r="A749">
        <v>1723</v>
      </c>
      <c r="B749" s="16">
        <v>43525</v>
      </c>
      <c r="C749" t="s">
        <v>94</v>
      </c>
      <c r="D749" s="21">
        <v>10418625.000000002</v>
      </c>
      <c r="E749" s="21">
        <v>-10418625.000000002</v>
      </c>
      <c r="F749" s="21">
        <v>0</v>
      </c>
    </row>
    <row r="750" spans="1:6" x14ac:dyDescent="0.25">
      <c r="A750">
        <v>1723</v>
      </c>
      <c r="B750" s="16">
        <v>43525</v>
      </c>
      <c r="C750" t="s">
        <v>23</v>
      </c>
      <c r="D750" s="21">
        <v>8173037.25</v>
      </c>
      <c r="E750" s="21">
        <v>-8173037.25</v>
      </c>
      <c r="F750" s="21">
        <v>0</v>
      </c>
    </row>
    <row r="751" spans="1:6" x14ac:dyDescent="0.25">
      <c r="A751">
        <v>1723</v>
      </c>
      <c r="B751" s="16">
        <v>43525</v>
      </c>
      <c r="C751" t="s">
        <v>90</v>
      </c>
      <c r="D751" s="21">
        <v>887666.85000000009</v>
      </c>
      <c r="E751" s="21">
        <v>-887666.85000000009</v>
      </c>
      <c r="F751" s="21">
        <v>0</v>
      </c>
    </row>
    <row r="752" spans="1:6" x14ac:dyDescent="0.25">
      <c r="A752">
        <v>1723</v>
      </c>
      <c r="B752" s="16">
        <v>43525</v>
      </c>
      <c r="C752" t="s">
        <v>113</v>
      </c>
      <c r="D752" s="21">
        <v>4123664.9999999995</v>
      </c>
      <c r="E752" s="21">
        <v>-4123664.9999999995</v>
      </c>
      <c r="F752" s="21">
        <v>0</v>
      </c>
    </row>
    <row r="753" spans="1:6" x14ac:dyDescent="0.25">
      <c r="A753">
        <v>1723</v>
      </c>
      <c r="B753" s="16">
        <v>43525</v>
      </c>
      <c r="C753" t="s">
        <v>96</v>
      </c>
      <c r="D753" s="21">
        <v>2604656.2500000005</v>
      </c>
      <c r="E753" s="21">
        <v>-2604656.2500000005</v>
      </c>
      <c r="F753" s="21">
        <v>0</v>
      </c>
    </row>
    <row r="754" spans="1:6" x14ac:dyDescent="0.25">
      <c r="A754">
        <v>1723</v>
      </c>
      <c r="B754" s="16">
        <v>43525</v>
      </c>
      <c r="C754" t="s">
        <v>29</v>
      </c>
      <c r="D754" s="21">
        <v>4514737.5000000009</v>
      </c>
      <c r="E754" s="21">
        <v>-4514737.5000000009</v>
      </c>
      <c r="F754" s="21">
        <v>0</v>
      </c>
    </row>
    <row r="755" spans="1:6" x14ac:dyDescent="0.25">
      <c r="A755">
        <v>1723</v>
      </c>
      <c r="B755" s="16">
        <v>43525</v>
      </c>
      <c r="C755" t="s">
        <v>93</v>
      </c>
      <c r="D755" s="21">
        <v>960135.74937000009</v>
      </c>
      <c r="E755" s="21">
        <v>-960135.74937000009</v>
      </c>
      <c r="F755" s="21">
        <v>0</v>
      </c>
    </row>
    <row r="756" spans="1:6" x14ac:dyDescent="0.25">
      <c r="A756">
        <v>1723</v>
      </c>
      <c r="B756" s="16">
        <v>43525</v>
      </c>
      <c r="C756" t="s">
        <v>39</v>
      </c>
      <c r="D756" s="21">
        <v>5903887.5000000009</v>
      </c>
      <c r="E756" s="21">
        <v>-5903887.5000000009</v>
      </c>
      <c r="F756" s="21">
        <v>0</v>
      </c>
    </row>
    <row r="757" spans="1:6" x14ac:dyDescent="0.25">
      <c r="A757">
        <v>1723</v>
      </c>
      <c r="B757" s="16">
        <v>43525</v>
      </c>
      <c r="C757" t="s">
        <v>12</v>
      </c>
      <c r="D757" s="21">
        <v>11269198.072125001</v>
      </c>
      <c r="E757" s="21">
        <v>-11269198.072125001</v>
      </c>
      <c r="F757" s="21">
        <v>0</v>
      </c>
    </row>
    <row r="758" spans="1:6" x14ac:dyDescent="0.25">
      <c r="A758">
        <v>1723</v>
      </c>
      <c r="B758" s="16">
        <v>43525</v>
      </c>
      <c r="C758" t="s">
        <v>14</v>
      </c>
      <c r="D758" s="21">
        <v>2448376.8750000005</v>
      </c>
      <c r="E758" s="21">
        <v>-2448376.8750000005</v>
      </c>
      <c r="F758" s="21">
        <v>0</v>
      </c>
    </row>
    <row r="759" spans="1:6" x14ac:dyDescent="0.25">
      <c r="A759">
        <v>1723</v>
      </c>
      <c r="B759" s="16">
        <v>43525</v>
      </c>
      <c r="C759" t="s">
        <v>192</v>
      </c>
      <c r="D759" s="21">
        <v>48600000</v>
      </c>
      <c r="E759" s="21">
        <v>-48600000</v>
      </c>
      <c r="F759" s="21">
        <v>0</v>
      </c>
    </row>
    <row r="760" spans="1:6" x14ac:dyDescent="0.25">
      <c r="A760">
        <v>1723</v>
      </c>
      <c r="B760" s="16">
        <v>43525</v>
      </c>
      <c r="C760" t="s">
        <v>110</v>
      </c>
      <c r="D760" s="21">
        <v>6221250</v>
      </c>
      <c r="E760" s="21">
        <v>-6221250</v>
      </c>
      <c r="F760" s="21">
        <v>0</v>
      </c>
    </row>
    <row r="761" spans="1:6" x14ac:dyDescent="0.25">
      <c r="A761">
        <v>1723</v>
      </c>
      <c r="B761" s="16">
        <v>43556</v>
      </c>
      <c r="C761" t="s">
        <v>79</v>
      </c>
      <c r="D761" s="21">
        <v>3718059.9750000001</v>
      </c>
      <c r="E761" s="21">
        <v>-3718059.9750000001</v>
      </c>
      <c r="F761" s="21">
        <v>0</v>
      </c>
    </row>
    <row r="762" spans="1:6" x14ac:dyDescent="0.25">
      <c r="A762">
        <v>1723</v>
      </c>
      <c r="B762" s="16">
        <v>43556</v>
      </c>
      <c r="C762" t="s">
        <v>96</v>
      </c>
      <c r="D762" s="21">
        <v>2604656.2500000005</v>
      </c>
      <c r="E762" s="21">
        <v>-2604656.2500000005</v>
      </c>
      <c r="F762" s="21">
        <v>0</v>
      </c>
    </row>
    <row r="763" spans="1:6" x14ac:dyDescent="0.25">
      <c r="A763">
        <v>1723</v>
      </c>
      <c r="B763" s="16">
        <v>43556</v>
      </c>
      <c r="C763" t="s">
        <v>97</v>
      </c>
      <c r="D763" s="21">
        <v>3718059.9750000001</v>
      </c>
      <c r="E763" s="21">
        <v>-3718059.9750000001</v>
      </c>
      <c r="F763" s="21">
        <v>0</v>
      </c>
    </row>
    <row r="764" spans="1:6" x14ac:dyDescent="0.25">
      <c r="A764">
        <v>1723</v>
      </c>
      <c r="B764" s="16">
        <v>43556</v>
      </c>
      <c r="C764" t="s">
        <v>12</v>
      </c>
      <c r="D764" s="21">
        <v>11269198.072125001</v>
      </c>
      <c r="E764" s="21">
        <v>-11269198.072125001</v>
      </c>
      <c r="F764" s="21">
        <v>0</v>
      </c>
    </row>
    <row r="765" spans="1:6" x14ac:dyDescent="0.25">
      <c r="A765">
        <v>1723</v>
      </c>
      <c r="B765" s="16">
        <v>43556</v>
      </c>
      <c r="C765" t="s">
        <v>35</v>
      </c>
      <c r="D765" s="21">
        <v>4049372.25</v>
      </c>
      <c r="E765" s="21">
        <v>-4049372.25</v>
      </c>
      <c r="F765" s="21">
        <v>0</v>
      </c>
    </row>
    <row r="766" spans="1:6" x14ac:dyDescent="0.25">
      <c r="A766">
        <v>1723</v>
      </c>
      <c r="B766" s="16">
        <v>43556</v>
      </c>
      <c r="C766" t="s">
        <v>93</v>
      </c>
      <c r="D766" s="21">
        <v>960135.74937000009</v>
      </c>
      <c r="E766" s="21">
        <v>-960135.74937000009</v>
      </c>
      <c r="F766" s="21">
        <v>0</v>
      </c>
    </row>
    <row r="767" spans="1:6" x14ac:dyDescent="0.25">
      <c r="A767">
        <v>1723</v>
      </c>
      <c r="B767" s="16">
        <v>43556</v>
      </c>
      <c r="C767" t="s">
        <v>23</v>
      </c>
      <c r="D767" s="21">
        <v>8173037.25</v>
      </c>
      <c r="E767" s="21">
        <v>-8173037.25</v>
      </c>
      <c r="F767" s="21">
        <v>0</v>
      </c>
    </row>
    <row r="768" spans="1:6" x14ac:dyDescent="0.25">
      <c r="A768">
        <v>1723</v>
      </c>
      <c r="B768" s="16">
        <v>43556</v>
      </c>
      <c r="C768" t="s">
        <v>192</v>
      </c>
      <c r="D768" s="21">
        <v>48600000</v>
      </c>
      <c r="E768" s="21">
        <v>-48600000</v>
      </c>
      <c r="F768" s="21">
        <v>0</v>
      </c>
    </row>
    <row r="769" spans="1:6" x14ac:dyDescent="0.25">
      <c r="A769">
        <v>1723</v>
      </c>
      <c r="B769" s="16">
        <v>43556</v>
      </c>
      <c r="C769" t="s">
        <v>29</v>
      </c>
      <c r="D769" s="21">
        <v>4514737.5000000009</v>
      </c>
      <c r="E769" s="21">
        <v>-4514737.5000000009</v>
      </c>
      <c r="F769" s="21">
        <v>0</v>
      </c>
    </row>
    <row r="770" spans="1:6" x14ac:dyDescent="0.25">
      <c r="A770">
        <v>1723</v>
      </c>
      <c r="B770" s="16">
        <v>43556</v>
      </c>
      <c r="C770" t="s">
        <v>94</v>
      </c>
      <c r="D770" s="21">
        <v>10418625.000000002</v>
      </c>
      <c r="E770" s="21">
        <v>-10418625.000000002</v>
      </c>
      <c r="F770" s="21">
        <v>0</v>
      </c>
    </row>
    <row r="771" spans="1:6" x14ac:dyDescent="0.25">
      <c r="A771">
        <v>1723</v>
      </c>
      <c r="B771" s="16">
        <v>43556</v>
      </c>
      <c r="C771" t="s">
        <v>39</v>
      </c>
      <c r="D771" s="21">
        <v>5903887.5000000009</v>
      </c>
      <c r="E771" s="21">
        <v>-5903887.5000000009</v>
      </c>
      <c r="F771" s="21">
        <v>0</v>
      </c>
    </row>
    <row r="772" spans="1:6" x14ac:dyDescent="0.25">
      <c r="A772">
        <v>1723</v>
      </c>
      <c r="B772" s="16">
        <v>43556</v>
      </c>
      <c r="C772" t="s">
        <v>19</v>
      </c>
      <c r="D772" s="21">
        <v>11711424.646482753</v>
      </c>
      <c r="E772" s="21">
        <v>-11711424.646482753</v>
      </c>
      <c r="F772" s="21">
        <v>0</v>
      </c>
    </row>
    <row r="773" spans="1:6" x14ac:dyDescent="0.25">
      <c r="A773">
        <v>1723</v>
      </c>
      <c r="B773" s="16">
        <v>43556</v>
      </c>
      <c r="C773" t="s">
        <v>14</v>
      </c>
      <c r="D773" s="21">
        <v>2448376.8750000005</v>
      </c>
      <c r="E773" s="21">
        <v>-2448376.8750000005</v>
      </c>
      <c r="F773" s="21">
        <v>0</v>
      </c>
    </row>
    <row r="774" spans="1:6" x14ac:dyDescent="0.25">
      <c r="A774">
        <v>1723</v>
      </c>
      <c r="B774" s="16">
        <v>43556</v>
      </c>
      <c r="C774" t="s">
        <v>90</v>
      </c>
      <c r="D774" s="21">
        <v>887666.85000000009</v>
      </c>
      <c r="E774" s="21">
        <v>-887666.85000000009</v>
      </c>
      <c r="F774" s="21">
        <v>0</v>
      </c>
    </row>
    <row r="775" spans="1:6" x14ac:dyDescent="0.25">
      <c r="A775">
        <v>1723</v>
      </c>
      <c r="B775" s="16">
        <v>43556</v>
      </c>
      <c r="C775" t="s">
        <v>110</v>
      </c>
      <c r="D775" s="21">
        <v>6221250</v>
      </c>
      <c r="E775" s="21">
        <v>-6221250</v>
      </c>
      <c r="F775" s="21">
        <v>0</v>
      </c>
    </row>
    <row r="776" spans="1:6" x14ac:dyDescent="0.25">
      <c r="A776">
        <v>1723</v>
      </c>
      <c r="B776" s="16">
        <v>43586</v>
      </c>
      <c r="C776" t="s">
        <v>192</v>
      </c>
      <c r="D776" s="21">
        <v>48600000</v>
      </c>
      <c r="E776" s="21">
        <v>-48600000</v>
      </c>
      <c r="F776" s="21">
        <v>0</v>
      </c>
    </row>
    <row r="777" spans="1:6" x14ac:dyDescent="0.25">
      <c r="A777">
        <v>1723</v>
      </c>
      <c r="B777" s="16">
        <v>43586</v>
      </c>
      <c r="C777" t="s">
        <v>79</v>
      </c>
      <c r="D777" s="21">
        <v>3718059.9750000001</v>
      </c>
      <c r="E777" s="21">
        <v>-3718059.9750000001</v>
      </c>
      <c r="F777" s="21">
        <v>0</v>
      </c>
    </row>
    <row r="778" spans="1:6" x14ac:dyDescent="0.25">
      <c r="A778">
        <v>1723</v>
      </c>
      <c r="B778" s="16">
        <v>43586</v>
      </c>
      <c r="C778" t="s">
        <v>19</v>
      </c>
      <c r="D778" s="21">
        <v>11711424.646482753</v>
      </c>
      <c r="E778" s="21">
        <v>-11711424.646482753</v>
      </c>
      <c r="F778" s="21">
        <v>0</v>
      </c>
    </row>
    <row r="779" spans="1:6" x14ac:dyDescent="0.25">
      <c r="A779">
        <v>1723</v>
      </c>
      <c r="B779" s="16">
        <v>43586</v>
      </c>
      <c r="C779" t="s">
        <v>97</v>
      </c>
      <c r="D779" s="21">
        <v>3718059.9750000001</v>
      </c>
      <c r="E779" s="21">
        <v>-3718059.9750000001</v>
      </c>
      <c r="F779" s="21">
        <v>0</v>
      </c>
    </row>
    <row r="780" spans="1:6" x14ac:dyDescent="0.25">
      <c r="A780">
        <v>1723</v>
      </c>
      <c r="B780" s="16">
        <v>43586</v>
      </c>
      <c r="C780" t="s">
        <v>94</v>
      </c>
      <c r="D780" s="21">
        <v>10418625.000000002</v>
      </c>
      <c r="E780" s="21">
        <v>-10418625.000000002</v>
      </c>
      <c r="F780" s="21">
        <v>0</v>
      </c>
    </row>
    <row r="781" spans="1:6" x14ac:dyDescent="0.25">
      <c r="A781">
        <v>1723</v>
      </c>
      <c r="B781" s="16">
        <v>43586</v>
      </c>
      <c r="C781" t="s">
        <v>35</v>
      </c>
      <c r="D781" s="21">
        <v>4049372.25</v>
      </c>
      <c r="E781" s="21">
        <v>-4049372.25</v>
      </c>
      <c r="F781" s="21">
        <v>0</v>
      </c>
    </row>
    <row r="782" spans="1:6" x14ac:dyDescent="0.25">
      <c r="A782">
        <v>1723</v>
      </c>
      <c r="B782" s="16">
        <v>43586</v>
      </c>
      <c r="C782" t="s">
        <v>90</v>
      </c>
      <c r="D782" s="21">
        <v>887666.85000000009</v>
      </c>
      <c r="E782" s="21">
        <v>-887666.85000000009</v>
      </c>
      <c r="F782" s="21">
        <v>0</v>
      </c>
    </row>
    <row r="783" spans="1:6" x14ac:dyDescent="0.25">
      <c r="A783">
        <v>1723</v>
      </c>
      <c r="B783" s="16">
        <v>43586</v>
      </c>
      <c r="C783" t="s">
        <v>23</v>
      </c>
      <c r="D783" s="21">
        <v>4049372.25</v>
      </c>
      <c r="E783" s="21">
        <v>-4049372.25</v>
      </c>
      <c r="F783" s="21">
        <v>0</v>
      </c>
    </row>
    <row r="784" spans="1:6" x14ac:dyDescent="0.25">
      <c r="A784">
        <v>1723</v>
      </c>
      <c r="B784" s="16">
        <v>43586</v>
      </c>
      <c r="C784" t="s">
        <v>12</v>
      </c>
      <c r="D784" s="21">
        <v>11269198.072125001</v>
      </c>
      <c r="E784" s="21">
        <v>-11269198.072125001</v>
      </c>
      <c r="F784" s="21">
        <v>0</v>
      </c>
    </row>
    <row r="785" spans="1:6" x14ac:dyDescent="0.25">
      <c r="A785">
        <v>1723</v>
      </c>
      <c r="B785" s="16">
        <v>43586</v>
      </c>
      <c r="C785" t="s">
        <v>29</v>
      </c>
      <c r="D785" s="21">
        <v>4514737.5000000009</v>
      </c>
      <c r="E785" s="21">
        <v>-4514737.5000000009</v>
      </c>
      <c r="F785" s="21">
        <v>0</v>
      </c>
    </row>
    <row r="786" spans="1:6" x14ac:dyDescent="0.25">
      <c r="A786">
        <v>1723</v>
      </c>
      <c r="B786" s="16">
        <v>43586</v>
      </c>
      <c r="C786" t="s">
        <v>96</v>
      </c>
      <c r="D786" s="21">
        <v>2604656.2500000005</v>
      </c>
      <c r="E786" s="21">
        <v>-2604656.2500000005</v>
      </c>
      <c r="F786" s="21">
        <v>0</v>
      </c>
    </row>
    <row r="787" spans="1:6" x14ac:dyDescent="0.25">
      <c r="A787">
        <v>1723</v>
      </c>
      <c r="B787" s="16">
        <v>43586</v>
      </c>
      <c r="C787" t="s">
        <v>39</v>
      </c>
      <c r="D787" s="21">
        <v>5903887.5000000009</v>
      </c>
      <c r="E787" s="21">
        <v>-5903887.5000000009</v>
      </c>
      <c r="F787" s="21">
        <v>0</v>
      </c>
    </row>
    <row r="788" spans="1:6" x14ac:dyDescent="0.25">
      <c r="A788">
        <v>1723</v>
      </c>
      <c r="B788" s="16">
        <v>43586</v>
      </c>
      <c r="C788" t="s">
        <v>93</v>
      </c>
      <c r="D788" s="21">
        <v>960135.74937000009</v>
      </c>
      <c r="E788" s="21">
        <v>-960135.74937000009</v>
      </c>
      <c r="F788" s="21">
        <v>0</v>
      </c>
    </row>
    <row r="789" spans="1:6" x14ac:dyDescent="0.25">
      <c r="A789">
        <v>1723</v>
      </c>
      <c r="B789" s="16">
        <v>43586</v>
      </c>
      <c r="C789" t="s">
        <v>14</v>
      </c>
      <c r="D789" s="21">
        <v>2448376.8750000005</v>
      </c>
      <c r="E789" s="21">
        <v>-2448376.8750000005</v>
      </c>
      <c r="F789" s="21">
        <v>0</v>
      </c>
    </row>
    <row r="790" spans="1:6" x14ac:dyDescent="0.25">
      <c r="A790">
        <v>1723</v>
      </c>
      <c r="B790" s="16">
        <v>43617</v>
      </c>
      <c r="C790" t="s">
        <v>192</v>
      </c>
      <c r="D790" s="21">
        <v>48600000</v>
      </c>
      <c r="E790" s="21">
        <v>-48600000</v>
      </c>
      <c r="F790" s="21">
        <v>0</v>
      </c>
    </row>
    <row r="791" spans="1:6" x14ac:dyDescent="0.25">
      <c r="A791">
        <v>1723</v>
      </c>
      <c r="B791" s="16">
        <v>43617</v>
      </c>
      <c r="C791" t="s">
        <v>79</v>
      </c>
      <c r="D791" s="21">
        <v>3718059.9750000001</v>
      </c>
      <c r="E791" s="21">
        <v>-3718059.9750000001</v>
      </c>
      <c r="F791" s="21">
        <v>0</v>
      </c>
    </row>
    <row r="792" spans="1:6" x14ac:dyDescent="0.25">
      <c r="A792">
        <v>1723</v>
      </c>
      <c r="B792" s="16">
        <v>43617</v>
      </c>
      <c r="C792" t="s">
        <v>19</v>
      </c>
      <c r="D792" s="21">
        <v>11711424.646482753</v>
      </c>
      <c r="E792" s="21">
        <v>-11711424.646482753</v>
      </c>
      <c r="F792" s="21">
        <v>0</v>
      </c>
    </row>
    <row r="793" spans="1:6" x14ac:dyDescent="0.25">
      <c r="A793">
        <v>1723</v>
      </c>
      <c r="B793" s="16">
        <v>43617</v>
      </c>
      <c r="C793" t="s">
        <v>97</v>
      </c>
      <c r="D793" s="21">
        <v>3718059.9750000001</v>
      </c>
      <c r="E793" s="21">
        <v>-3718059.9750000001</v>
      </c>
      <c r="F793" s="21">
        <v>0</v>
      </c>
    </row>
    <row r="794" spans="1:6" x14ac:dyDescent="0.25">
      <c r="A794">
        <v>1723</v>
      </c>
      <c r="B794" s="16">
        <v>43617</v>
      </c>
      <c r="C794" t="s">
        <v>94</v>
      </c>
      <c r="D794" s="21">
        <v>10418625.000000002</v>
      </c>
      <c r="E794" s="21">
        <v>-10418625.000000002</v>
      </c>
      <c r="F794" s="21">
        <v>0</v>
      </c>
    </row>
    <row r="795" spans="1:6" x14ac:dyDescent="0.25">
      <c r="A795">
        <v>1723</v>
      </c>
      <c r="B795" s="16">
        <v>43617</v>
      </c>
      <c r="C795" t="s">
        <v>35</v>
      </c>
      <c r="D795" s="21">
        <v>4049372.25</v>
      </c>
      <c r="E795" s="21">
        <v>-4049372.25</v>
      </c>
      <c r="F795" s="21">
        <v>0</v>
      </c>
    </row>
    <row r="796" spans="1:6" x14ac:dyDescent="0.25">
      <c r="A796">
        <v>1723</v>
      </c>
      <c r="B796" s="16">
        <v>43617</v>
      </c>
      <c r="C796" t="s">
        <v>90</v>
      </c>
      <c r="D796" s="21">
        <v>887666.85000000009</v>
      </c>
      <c r="E796" s="21">
        <v>-887666.85000000009</v>
      </c>
      <c r="F796" s="21">
        <v>0</v>
      </c>
    </row>
    <row r="797" spans="1:6" x14ac:dyDescent="0.25">
      <c r="A797">
        <v>1723</v>
      </c>
      <c r="B797" s="16">
        <v>43617</v>
      </c>
      <c r="C797" t="s">
        <v>23</v>
      </c>
      <c r="D797" s="21">
        <v>4049372.25</v>
      </c>
      <c r="E797" s="21">
        <v>-4049372.25</v>
      </c>
      <c r="F797" s="21">
        <v>0</v>
      </c>
    </row>
    <row r="798" spans="1:6" x14ac:dyDescent="0.25">
      <c r="A798">
        <v>1723</v>
      </c>
      <c r="B798" s="16">
        <v>43617</v>
      </c>
      <c r="C798" t="s">
        <v>12</v>
      </c>
      <c r="D798" s="21">
        <v>11269198.072125001</v>
      </c>
      <c r="E798" s="21">
        <v>-11269198.072125001</v>
      </c>
      <c r="F798" s="21">
        <v>0</v>
      </c>
    </row>
    <row r="799" spans="1:6" x14ac:dyDescent="0.25">
      <c r="A799">
        <v>1723</v>
      </c>
      <c r="B799" s="16">
        <v>43617</v>
      </c>
      <c r="C799" t="s">
        <v>29</v>
      </c>
      <c r="D799" s="21">
        <v>4514737.5000000009</v>
      </c>
      <c r="E799" s="21">
        <v>-4514737.5000000009</v>
      </c>
      <c r="F799" s="21">
        <v>0</v>
      </c>
    </row>
    <row r="800" spans="1:6" x14ac:dyDescent="0.25">
      <c r="A800">
        <v>1723</v>
      </c>
      <c r="B800" s="16">
        <v>43617</v>
      </c>
      <c r="C800" t="s">
        <v>96</v>
      </c>
      <c r="D800" s="21">
        <v>2604656.2500000005</v>
      </c>
      <c r="E800" s="21">
        <v>-2604656.2500000005</v>
      </c>
      <c r="F800" s="21">
        <v>0</v>
      </c>
    </row>
    <row r="801" spans="1:6" x14ac:dyDescent="0.25">
      <c r="A801">
        <v>1723</v>
      </c>
      <c r="B801" s="16">
        <v>43617</v>
      </c>
      <c r="C801" t="s">
        <v>39</v>
      </c>
      <c r="D801" s="21">
        <v>5903887.5000000009</v>
      </c>
      <c r="E801" s="21">
        <v>-5903887.5000000009</v>
      </c>
      <c r="F801" s="21">
        <v>0</v>
      </c>
    </row>
    <row r="802" spans="1:6" x14ac:dyDescent="0.25">
      <c r="A802">
        <v>1723</v>
      </c>
      <c r="B802" s="16">
        <v>43617</v>
      </c>
      <c r="C802" t="s">
        <v>93</v>
      </c>
      <c r="D802" s="21">
        <v>960135.74937000009</v>
      </c>
      <c r="E802" s="21">
        <v>-960135.74937000009</v>
      </c>
      <c r="F802" s="21">
        <v>0</v>
      </c>
    </row>
    <row r="803" spans="1:6" x14ac:dyDescent="0.25">
      <c r="A803">
        <v>1723</v>
      </c>
      <c r="B803" s="16">
        <v>43617</v>
      </c>
      <c r="C803" t="s">
        <v>14</v>
      </c>
      <c r="D803" s="21">
        <v>2448376.8750000005</v>
      </c>
      <c r="E803" s="21">
        <v>-2448376.8750000005</v>
      </c>
      <c r="F803" s="21">
        <v>0</v>
      </c>
    </row>
    <row r="804" spans="1:6" x14ac:dyDescent="0.25">
      <c r="A804">
        <v>1734</v>
      </c>
      <c r="B804" s="16">
        <v>43466</v>
      </c>
      <c r="C804" t="s">
        <v>12</v>
      </c>
      <c r="D804" s="21">
        <v>10087875</v>
      </c>
      <c r="E804" s="21">
        <v>-10087875</v>
      </c>
      <c r="F804" s="21">
        <v>0</v>
      </c>
    </row>
    <row r="805" spans="1:6" x14ac:dyDescent="0.25">
      <c r="A805">
        <v>1734</v>
      </c>
      <c r="B805" s="16">
        <v>43466</v>
      </c>
      <c r="C805" t="s">
        <v>192</v>
      </c>
      <c r="D805" s="21">
        <v>15173515.981735155</v>
      </c>
      <c r="E805" s="21">
        <v>-15173515.981735155</v>
      </c>
      <c r="F805" s="21">
        <v>0</v>
      </c>
    </row>
    <row r="806" spans="1:6" x14ac:dyDescent="0.25">
      <c r="A806">
        <v>1734</v>
      </c>
      <c r="B806" s="16">
        <v>43466</v>
      </c>
      <c r="C806" t="s">
        <v>118</v>
      </c>
      <c r="D806" s="21">
        <v>3544014.6</v>
      </c>
      <c r="E806" s="21">
        <v>-3544014.6</v>
      </c>
      <c r="F806" s="21">
        <v>0</v>
      </c>
    </row>
    <row r="807" spans="1:6" x14ac:dyDescent="0.25">
      <c r="A807">
        <v>1734</v>
      </c>
      <c r="B807" s="16">
        <v>43466</v>
      </c>
      <c r="C807" t="s">
        <v>38</v>
      </c>
      <c r="D807" s="21">
        <v>4829985.3734999998</v>
      </c>
      <c r="E807" s="21">
        <v>-4829985.3734999998</v>
      </c>
      <c r="F807" s="21">
        <v>0</v>
      </c>
    </row>
    <row r="808" spans="1:6" x14ac:dyDescent="0.25">
      <c r="A808">
        <v>1734</v>
      </c>
      <c r="B808" s="16">
        <v>43466</v>
      </c>
      <c r="C808" t="s">
        <v>117</v>
      </c>
      <c r="D808" s="21">
        <v>3731425.4250000003</v>
      </c>
      <c r="E808" s="21">
        <v>-3731425.4250000003</v>
      </c>
      <c r="F808" s="21">
        <v>0</v>
      </c>
    </row>
    <row r="809" spans="1:6" x14ac:dyDescent="0.25">
      <c r="A809">
        <v>1734</v>
      </c>
      <c r="B809" s="16">
        <v>43466</v>
      </c>
      <c r="C809" t="s">
        <v>39</v>
      </c>
      <c r="D809" s="21">
        <v>7594316.1000000006</v>
      </c>
      <c r="E809" s="21">
        <v>-7594316.1000000006</v>
      </c>
      <c r="F809" s="21">
        <v>0</v>
      </c>
    </row>
    <row r="810" spans="1:6" x14ac:dyDescent="0.25">
      <c r="A810">
        <v>1734</v>
      </c>
      <c r="B810" s="16">
        <v>43466</v>
      </c>
      <c r="C810" t="s">
        <v>19</v>
      </c>
      <c r="D810" s="21">
        <v>3572100</v>
      </c>
      <c r="E810" s="21">
        <v>-3572100</v>
      </c>
      <c r="F810" s="21">
        <v>0</v>
      </c>
    </row>
    <row r="811" spans="1:6" x14ac:dyDescent="0.25">
      <c r="A811">
        <v>1734</v>
      </c>
      <c r="B811" s="16">
        <v>43466</v>
      </c>
      <c r="C811" t="s">
        <v>30</v>
      </c>
      <c r="D811" s="21">
        <v>7594316.1000000006</v>
      </c>
      <c r="E811" s="21">
        <v>-7594316.1000000006</v>
      </c>
      <c r="F811" s="21">
        <v>0</v>
      </c>
    </row>
    <row r="812" spans="1:6" x14ac:dyDescent="0.25">
      <c r="A812">
        <v>1734</v>
      </c>
      <c r="B812" s="16">
        <v>43497</v>
      </c>
      <c r="C812" t="s">
        <v>192</v>
      </c>
      <c r="D812" s="21">
        <v>14609589.041095892</v>
      </c>
      <c r="E812" s="21">
        <v>-14609589.041095892</v>
      </c>
      <c r="F812" s="21">
        <v>0</v>
      </c>
    </row>
    <row r="813" spans="1:6" x14ac:dyDescent="0.25">
      <c r="A813">
        <v>1734</v>
      </c>
      <c r="B813" s="16">
        <v>43497</v>
      </c>
      <c r="C813" t="s">
        <v>117</v>
      </c>
      <c r="D813" s="21">
        <v>3731425.4250000003</v>
      </c>
      <c r="E813" s="21">
        <v>-3731425.4250000003</v>
      </c>
      <c r="F813" s="21">
        <v>0</v>
      </c>
    </row>
    <row r="814" spans="1:6" x14ac:dyDescent="0.25">
      <c r="A814">
        <v>1734</v>
      </c>
      <c r="B814" s="16">
        <v>43497</v>
      </c>
      <c r="C814" t="s">
        <v>38</v>
      </c>
      <c r="D814" s="21">
        <v>4829985.3734999998</v>
      </c>
      <c r="E814" s="21">
        <v>-4829985.3734999998</v>
      </c>
      <c r="F814" s="21">
        <v>0</v>
      </c>
    </row>
    <row r="815" spans="1:6" x14ac:dyDescent="0.25">
      <c r="A815">
        <v>1734</v>
      </c>
      <c r="B815" s="16">
        <v>43497</v>
      </c>
      <c r="C815" t="s">
        <v>19</v>
      </c>
      <c r="D815" s="21">
        <v>3572100</v>
      </c>
      <c r="E815" s="21">
        <v>-3572100</v>
      </c>
      <c r="F815" s="21">
        <v>0</v>
      </c>
    </row>
    <row r="816" spans="1:6" x14ac:dyDescent="0.25">
      <c r="A816">
        <v>1734</v>
      </c>
      <c r="B816" s="16">
        <v>43497</v>
      </c>
      <c r="C816" t="s">
        <v>79</v>
      </c>
      <c r="D816" s="21">
        <v>4829985.3734999998</v>
      </c>
      <c r="E816" s="21">
        <v>-4829985.3734999998</v>
      </c>
      <c r="F816" s="21">
        <v>0</v>
      </c>
    </row>
    <row r="817" spans="1:6" x14ac:dyDescent="0.25">
      <c r="A817">
        <v>1734</v>
      </c>
      <c r="B817" s="16">
        <v>43497</v>
      </c>
      <c r="C817" t="s">
        <v>118</v>
      </c>
      <c r="D817" s="21">
        <v>3544014.6</v>
      </c>
      <c r="E817" s="21">
        <v>-3544014.6</v>
      </c>
      <c r="F817" s="21">
        <v>0</v>
      </c>
    </row>
    <row r="818" spans="1:6" x14ac:dyDescent="0.25">
      <c r="A818">
        <v>1734</v>
      </c>
      <c r="B818" s="16">
        <v>43497</v>
      </c>
      <c r="C818" t="s">
        <v>39</v>
      </c>
      <c r="D818" s="21">
        <v>7594316.1000000006</v>
      </c>
      <c r="E818" s="21">
        <v>-7594316.1000000006</v>
      </c>
      <c r="F818" s="21">
        <v>0</v>
      </c>
    </row>
    <row r="819" spans="1:6" x14ac:dyDescent="0.25">
      <c r="A819">
        <v>1734</v>
      </c>
      <c r="B819" s="16">
        <v>43497</v>
      </c>
      <c r="C819" t="s">
        <v>12</v>
      </c>
      <c r="D819" s="21">
        <v>10087875</v>
      </c>
      <c r="E819" s="21">
        <v>-10087875</v>
      </c>
      <c r="F819" s="21">
        <v>0</v>
      </c>
    </row>
    <row r="820" spans="1:6" x14ac:dyDescent="0.25">
      <c r="A820">
        <v>1734</v>
      </c>
      <c r="B820" s="16">
        <v>43497</v>
      </c>
      <c r="C820" t="s">
        <v>30</v>
      </c>
      <c r="D820" s="21">
        <v>7594316.1000000006</v>
      </c>
      <c r="E820" s="21">
        <v>-7594316.1000000006</v>
      </c>
      <c r="F820" s="21">
        <v>0</v>
      </c>
    </row>
    <row r="821" spans="1:6" x14ac:dyDescent="0.25">
      <c r="A821">
        <v>1734</v>
      </c>
      <c r="B821" s="16">
        <v>43525</v>
      </c>
      <c r="C821" t="s">
        <v>192</v>
      </c>
      <c r="D821" s="21">
        <v>15203196.347031964</v>
      </c>
      <c r="E821" s="21">
        <v>-15203196.347031964</v>
      </c>
      <c r="F821" s="21">
        <v>0</v>
      </c>
    </row>
    <row r="822" spans="1:6" x14ac:dyDescent="0.25">
      <c r="A822">
        <v>1734</v>
      </c>
      <c r="B822" s="16">
        <v>43525</v>
      </c>
      <c r="C822" t="s">
        <v>117</v>
      </c>
      <c r="D822" s="21">
        <v>3731425.4250000003</v>
      </c>
      <c r="E822" s="21">
        <v>-3731425.4250000003</v>
      </c>
      <c r="F822" s="21">
        <v>0</v>
      </c>
    </row>
    <row r="823" spans="1:6" x14ac:dyDescent="0.25">
      <c r="A823">
        <v>1734</v>
      </c>
      <c r="B823" s="16">
        <v>43525</v>
      </c>
      <c r="C823" t="s">
        <v>38</v>
      </c>
      <c r="D823" s="21">
        <v>4829985.3734999998</v>
      </c>
      <c r="E823" s="21">
        <v>-4829985.3734999998</v>
      </c>
      <c r="F823" s="21">
        <v>0</v>
      </c>
    </row>
    <row r="824" spans="1:6" x14ac:dyDescent="0.25">
      <c r="A824">
        <v>1734</v>
      </c>
      <c r="B824" s="16">
        <v>43525</v>
      </c>
      <c r="C824" t="s">
        <v>19</v>
      </c>
      <c r="D824" s="21">
        <v>3572100</v>
      </c>
      <c r="E824" s="21">
        <v>-3572100</v>
      </c>
      <c r="F824" s="21">
        <v>0</v>
      </c>
    </row>
    <row r="825" spans="1:6" x14ac:dyDescent="0.25">
      <c r="A825">
        <v>1734</v>
      </c>
      <c r="B825" s="16">
        <v>43525</v>
      </c>
      <c r="C825" t="s">
        <v>79</v>
      </c>
      <c r="D825" s="21">
        <v>4829985.3734999998</v>
      </c>
      <c r="E825" s="21">
        <v>-4829985.3734999998</v>
      </c>
      <c r="F825" s="21">
        <v>0</v>
      </c>
    </row>
    <row r="826" spans="1:6" x14ac:dyDescent="0.25">
      <c r="A826">
        <v>1734</v>
      </c>
      <c r="B826" s="16">
        <v>43525</v>
      </c>
      <c r="C826" t="s">
        <v>118</v>
      </c>
      <c r="D826" s="21">
        <v>3544014.6</v>
      </c>
      <c r="E826" s="21">
        <v>-3544014.6</v>
      </c>
      <c r="F826" s="21">
        <v>0</v>
      </c>
    </row>
    <row r="827" spans="1:6" x14ac:dyDescent="0.25">
      <c r="A827">
        <v>1734</v>
      </c>
      <c r="B827" s="16">
        <v>43525</v>
      </c>
      <c r="C827" t="s">
        <v>39</v>
      </c>
      <c r="D827" s="21">
        <v>7594316.1000000006</v>
      </c>
      <c r="E827" s="21">
        <v>-7594316.1000000006</v>
      </c>
      <c r="F827" s="21">
        <v>0</v>
      </c>
    </row>
    <row r="828" spans="1:6" x14ac:dyDescent="0.25">
      <c r="A828">
        <v>1734</v>
      </c>
      <c r="B828" s="16">
        <v>43525</v>
      </c>
      <c r="C828" t="s">
        <v>12</v>
      </c>
      <c r="D828" s="21">
        <v>10087875</v>
      </c>
      <c r="E828" s="21">
        <v>-10087875</v>
      </c>
      <c r="F828" s="21">
        <v>0</v>
      </c>
    </row>
    <row r="829" spans="1:6" x14ac:dyDescent="0.25">
      <c r="A829">
        <v>1734</v>
      </c>
      <c r="B829" s="16">
        <v>43525</v>
      </c>
      <c r="C829" t="s">
        <v>30</v>
      </c>
      <c r="D829" s="21">
        <v>7594316.1000000006</v>
      </c>
      <c r="E829" s="21">
        <v>-7594316.1000000006</v>
      </c>
      <c r="F829" s="21">
        <v>0</v>
      </c>
    </row>
    <row r="830" spans="1:6" x14ac:dyDescent="0.25">
      <c r="A830">
        <v>1734</v>
      </c>
      <c r="B830" s="16">
        <v>43556</v>
      </c>
      <c r="C830" t="s">
        <v>192</v>
      </c>
      <c r="D830" s="21">
        <v>18824200.913242016</v>
      </c>
      <c r="E830" s="21">
        <v>-18824200.913242016</v>
      </c>
      <c r="F830" s="21">
        <v>0</v>
      </c>
    </row>
    <row r="831" spans="1:6" x14ac:dyDescent="0.25">
      <c r="A831">
        <v>1734</v>
      </c>
      <c r="B831" s="16">
        <v>43556</v>
      </c>
      <c r="C831" t="s">
        <v>117</v>
      </c>
      <c r="D831" s="21">
        <v>3731425.4250000003</v>
      </c>
      <c r="E831" s="21">
        <v>-3731425.4250000003</v>
      </c>
      <c r="F831" s="21">
        <v>0</v>
      </c>
    </row>
    <row r="832" spans="1:6" x14ac:dyDescent="0.25">
      <c r="A832">
        <v>1734</v>
      </c>
      <c r="B832" s="16">
        <v>43556</v>
      </c>
      <c r="C832" t="s">
        <v>38</v>
      </c>
      <c r="D832" s="21">
        <v>4829985.3734999998</v>
      </c>
      <c r="E832" s="21">
        <v>-4829985.3734999998</v>
      </c>
      <c r="F832" s="21">
        <v>0</v>
      </c>
    </row>
    <row r="833" spans="1:6" x14ac:dyDescent="0.25">
      <c r="A833">
        <v>1734</v>
      </c>
      <c r="B833" s="16">
        <v>43556</v>
      </c>
      <c r="C833" t="s">
        <v>19</v>
      </c>
      <c r="D833" s="21">
        <v>3572100</v>
      </c>
      <c r="E833" s="21">
        <v>-3572100</v>
      </c>
      <c r="F833" s="21">
        <v>0</v>
      </c>
    </row>
    <row r="834" spans="1:6" x14ac:dyDescent="0.25">
      <c r="A834">
        <v>1734</v>
      </c>
      <c r="B834" s="16">
        <v>43556</v>
      </c>
      <c r="C834" t="s">
        <v>79</v>
      </c>
      <c r="D834" s="21">
        <v>4829985.3734999998</v>
      </c>
      <c r="E834" s="21">
        <v>-4829985.3734999998</v>
      </c>
      <c r="F834" s="21">
        <v>0</v>
      </c>
    </row>
    <row r="835" spans="1:6" x14ac:dyDescent="0.25">
      <c r="A835">
        <v>1734</v>
      </c>
      <c r="B835" s="16">
        <v>43556</v>
      </c>
      <c r="C835" t="s">
        <v>118</v>
      </c>
      <c r="D835" s="21">
        <v>3544014.6</v>
      </c>
      <c r="E835" s="21">
        <v>-3544014.6</v>
      </c>
      <c r="F835" s="21">
        <v>0</v>
      </c>
    </row>
    <row r="836" spans="1:6" x14ac:dyDescent="0.25">
      <c r="A836">
        <v>1734</v>
      </c>
      <c r="B836" s="16">
        <v>43556</v>
      </c>
      <c r="C836" t="s">
        <v>39</v>
      </c>
      <c r="D836" s="21">
        <v>7594316.1000000006</v>
      </c>
      <c r="E836" s="21">
        <v>-7594316.1000000006</v>
      </c>
      <c r="F836" s="21">
        <v>0</v>
      </c>
    </row>
    <row r="837" spans="1:6" x14ac:dyDescent="0.25">
      <c r="A837">
        <v>1734</v>
      </c>
      <c r="B837" s="16">
        <v>43556</v>
      </c>
      <c r="C837" t="s">
        <v>12</v>
      </c>
      <c r="D837" s="21">
        <v>10087875</v>
      </c>
      <c r="E837" s="21">
        <v>-10087875</v>
      </c>
      <c r="F837" s="21">
        <v>0</v>
      </c>
    </row>
    <row r="838" spans="1:6" x14ac:dyDescent="0.25">
      <c r="A838">
        <v>1734</v>
      </c>
      <c r="B838" s="16">
        <v>43556</v>
      </c>
      <c r="C838" t="s">
        <v>30</v>
      </c>
      <c r="D838" s="21">
        <v>7594316.1000000006</v>
      </c>
      <c r="E838" s="21">
        <v>-7594316.1000000006</v>
      </c>
      <c r="F838" s="21">
        <v>0</v>
      </c>
    </row>
    <row r="839" spans="1:6" x14ac:dyDescent="0.25">
      <c r="A839">
        <v>1734</v>
      </c>
      <c r="B839" s="16">
        <v>43586</v>
      </c>
      <c r="C839" t="s">
        <v>192</v>
      </c>
      <c r="D839" s="21">
        <v>21317351.598173514</v>
      </c>
      <c r="E839" s="21">
        <v>-21317351.598173514</v>
      </c>
      <c r="F839" s="21">
        <v>0</v>
      </c>
    </row>
    <row r="840" spans="1:6" x14ac:dyDescent="0.25">
      <c r="A840">
        <v>1734</v>
      </c>
      <c r="B840" s="16">
        <v>43586</v>
      </c>
      <c r="C840" t="s">
        <v>117</v>
      </c>
      <c r="D840" s="21">
        <v>3731425.4250000003</v>
      </c>
      <c r="E840" s="21">
        <v>-3731425.4250000003</v>
      </c>
      <c r="F840" s="21">
        <v>0</v>
      </c>
    </row>
    <row r="841" spans="1:6" x14ac:dyDescent="0.25">
      <c r="A841">
        <v>1734</v>
      </c>
      <c r="B841" s="16">
        <v>43586</v>
      </c>
      <c r="C841" t="s">
        <v>38</v>
      </c>
      <c r="D841" s="21">
        <v>4829985.3734999998</v>
      </c>
      <c r="E841" s="21">
        <v>-4829985.3734999998</v>
      </c>
      <c r="F841" s="21">
        <v>0</v>
      </c>
    </row>
    <row r="842" spans="1:6" x14ac:dyDescent="0.25">
      <c r="A842">
        <v>1734</v>
      </c>
      <c r="B842" s="16">
        <v>43586</v>
      </c>
      <c r="C842" t="s">
        <v>19</v>
      </c>
      <c r="D842" s="21">
        <v>3572100</v>
      </c>
      <c r="E842" s="21">
        <v>-3572100</v>
      </c>
      <c r="F842" s="21">
        <v>0</v>
      </c>
    </row>
    <row r="843" spans="1:6" x14ac:dyDescent="0.25">
      <c r="A843">
        <v>1734</v>
      </c>
      <c r="B843" s="16">
        <v>43586</v>
      </c>
      <c r="C843" t="s">
        <v>79</v>
      </c>
      <c r="D843" s="21">
        <v>4829985.3734999998</v>
      </c>
      <c r="E843" s="21">
        <v>-4829985.3734999998</v>
      </c>
      <c r="F843" s="21">
        <v>0</v>
      </c>
    </row>
    <row r="844" spans="1:6" x14ac:dyDescent="0.25">
      <c r="A844">
        <v>1734</v>
      </c>
      <c r="B844" s="16">
        <v>43586</v>
      </c>
      <c r="C844" t="s">
        <v>118</v>
      </c>
      <c r="D844" s="21">
        <v>3544014.6</v>
      </c>
      <c r="E844" s="21">
        <v>-3544014.6</v>
      </c>
      <c r="F844" s="21">
        <v>0</v>
      </c>
    </row>
    <row r="845" spans="1:6" x14ac:dyDescent="0.25">
      <c r="A845">
        <v>1734</v>
      </c>
      <c r="B845" s="16">
        <v>43586</v>
      </c>
      <c r="C845" t="s">
        <v>39</v>
      </c>
      <c r="D845" s="21">
        <v>7594316.1000000006</v>
      </c>
      <c r="E845" s="21">
        <v>-7594316.1000000006</v>
      </c>
      <c r="F845" s="21">
        <v>0</v>
      </c>
    </row>
    <row r="846" spans="1:6" x14ac:dyDescent="0.25">
      <c r="A846">
        <v>1734</v>
      </c>
      <c r="B846" s="16">
        <v>43586</v>
      </c>
      <c r="C846" t="s">
        <v>12</v>
      </c>
      <c r="D846" s="21">
        <v>10087875</v>
      </c>
      <c r="E846" s="21">
        <v>-10087875</v>
      </c>
      <c r="F846" s="21">
        <v>0</v>
      </c>
    </row>
    <row r="847" spans="1:6" x14ac:dyDescent="0.25">
      <c r="A847">
        <v>1734</v>
      </c>
      <c r="B847" s="16">
        <v>43586</v>
      </c>
      <c r="C847" t="s">
        <v>30</v>
      </c>
      <c r="D847" s="21">
        <v>7594316.1000000006</v>
      </c>
      <c r="E847" s="21">
        <v>-7594316.1000000006</v>
      </c>
      <c r="F847" s="21">
        <v>0</v>
      </c>
    </row>
    <row r="848" spans="1:6" x14ac:dyDescent="0.25">
      <c r="A848">
        <v>1734</v>
      </c>
      <c r="B848" s="16">
        <v>43617</v>
      </c>
      <c r="C848" t="s">
        <v>192</v>
      </c>
      <c r="D848" s="21">
        <v>22860730.593607314</v>
      </c>
      <c r="E848" s="21">
        <v>-22860730.593607314</v>
      </c>
      <c r="F848" s="21">
        <v>0</v>
      </c>
    </row>
    <row r="849" spans="1:6" x14ac:dyDescent="0.25">
      <c r="A849">
        <v>1734</v>
      </c>
      <c r="B849" s="16">
        <v>43617</v>
      </c>
      <c r="C849" t="s">
        <v>117</v>
      </c>
      <c r="D849" s="21">
        <v>3731425.4250000003</v>
      </c>
      <c r="E849" s="21">
        <v>-3731425.4250000003</v>
      </c>
      <c r="F849" s="21">
        <v>0</v>
      </c>
    </row>
    <row r="850" spans="1:6" x14ac:dyDescent="0.25">
      <c r="A850">
        <v>1734</v>
      </c>
      <c r="B850" s="16">
        <v>43617</v>
      </c>
      <c r="C850" t="s">
        <v>38</v>
      </c>
      <c r="D850" s="21">
        <v>4829985.3734999998</v>
      </c>
      <c r="E850" s="21">
        <v>-4829985.3734999998</v>
      </c>
      <c r="F850" s="21">
        <v>0</v>
      </c>
    </row>
    <row r="851" spans="1:6" x14ac:dyDescent="0.25">
      <c r="A851">
        <v>1734</v>
      </c>
      <c r="B851" s="16">
        <v>43617</v>
      </c>
      <c r="C851" t="s">
        <v>19</v>
      </c>
      <c r="D851" s="21">
        <v>3572100</v>
      </c>
      <c r="E851" s="21">
        <v>-3572100</v>
      </c>
      <c r="F851" s="21">
        <v>0</v>
      </c>
    </row>
    <row r="852" spans="1:6" x14ac:dyDescent="0.25">
      <c r="A852">
        <v>1734</v>
      </c>
      <c r="B852" s="16">
        <v>43617</v>
      </c>
      <c r="C852" t="s">
        <v>79</v>
      </c>
      <c r="D852" s="21">
        <v>4829985.3734999998</v>
      </c>
      <c r="E852" s="21">
        <v>-4829985.3734999998</v>
      </c>
      <c r="F852" s="21">
        <v>0</v>
      </c>
    </row>
    <row r="853" spans="1:6" x14ac:dyDescent="0.25">
      <c r="A853">
        <v>1734</v>
      </c>
      <c r="B853" s="16">
        <v>43617</v>
      </c>
      <c r="C853" t="s">
        <v>118</v>
      </c>
      <c r="D853" s="21">
        <v>3544014.6</v>
      </c>
      <c r="E853" s="21">
        <v>-3544014.6</v>
      </c>
      <c r="F853" s="21">
        <v>0</v>
      </c>
    </row>
    <row r="854" spans="1:6" x14ac:dyDescent="0.25">
      <c r="A854">
        <v>1734</v>
      </c>
      <c r="B854" s="16">
        <v>43617</v>
      </c>
      <c r="C854" t="s">
        <v>39</v>
      </c>
      <c r="D854" s="21">
        <v>7594316.1000000006</v>
      </c>
      <c r="E854" s="21">
        <v>-7594316.1000000006</v>
      </c>
      <c r="F854" s="21">
        <v>0</v>
      </c>
    </row>
    <row r="855" spans="1:6" x14ac:dyDescent="0.25">
      <c r="A855">
        <v>1734</v>
      </c>
      <c r="B855" s="16">
        <v>43617</v>
      </c>
      <c r="C855" t="s">
        <v>12</v>
      </c>
      <c r="D855" s="21">
        <v>10087875</v>
      </c>
      <c r="E855" s="21">
        <v>-10087875</v>
      </c>
      <c r="F855" s="21">
        <v>0</v>
      </c>
    </row>
    <row r="856" spans="1:6" x14ac:dyDescent="0.25">
      <c r="A856">
        <v>1734</v>
      </c>
      <c r="B856" s="16">
        <v>43617</v>
      </c>
      <c r="C856" t="s">
        <v>30</v>
      </c>
      <c r="D856" s="21">
        <v>7594316.1000000006</v>
      </c>
      <c r="E856" s="21">
        <v>-7594316.1000000006</v>
      </c>
      <c r="F856" s="21">
        <v>0</v>
      </c>
    </row>
    <row r="857" spans="1:6" x14ac:dyDescent="0.25">
      <c r="A857">
        <v>1734</v>
      </c>
      <c r="B857" s="16">
        <v>43647</v>
      </c>
      <c r="C857" t="s">
        <v>38</v>
      </c>
      <c r="D857" s="21">
        <v>4829985.3734999998</v>
      </c>
      <c r="E857" s="21">
        <v>-4829985.3734999998</v>
      </c>
      <c r="F857" s="21">
        <v>0</v>
      </c>
    </row>
    <row r="858" spans="1:6" x14ac:dyDescent="0.25">
      <c r="A858">
        <v>1734</v>
      </c>
      <c r="B858" s="16">
        <v>43647</v>
      </c>
      <c r="C858" t="s">
        <v>79</v>
      </c>
      <c r="D858" s="21">
        <v>4829985.3734999998</v>
      </c>
      <c r="E858" s="21">
        <v>-4829985.3734999998</v>
      </c>
      <c r="F858" s="21">
        <v>0</v>
      </c>
    </row>
    <row r="859" spans="1:6" x14ac:dyDescent="0.25">
      <c r="A859">
        <v>1734</v>
      </c>
      <c r="B859" s="16">
        <v>43647</v>
      </c>
      <c r="C859" t="s">
        <v>118</v>
      </c>
      <c r="D859" s="21">
        <v>3544014.6</v>
      </c>
      <c r="E859" s="21">
        <v>-3544014.6</v>
      </c>
      <c r="F859" s="21">
        <v>0</v>
      </c>
    </row>
    <row r="860" spans="1:6" x14ac:dyDescent="0.25">
      <c r="A860">
        <v>1734</v>
      </c>
      <c r="B860" s="16">
        <v>43647</v>
      </c>
      <c r="C860" t="s">
        <v>23</v>
      </c>
      <c r="D860" s="21">
        <v>3613544.2664999994</v>
      </c>
      <c r="E860" s="21">
        <v>-3613544.2664999994</v>
      </c>
      <c r="F860" s="21">
        <v>0</v>
      </c>
    </row>
    <row r="861" spans="1:6" x14ac:dyDescent="0.25">
      <c r="A861">
        <v>1734</v>
      </c>
      <c r="B861" s="16">
        <v>43647</v>
      </c>
      <c r="C861" t="s">
        <v>12</v>
      </c>
      <c r="D861" s="21">
        <v>10087875</v>
      </c>
      <c r="E861" s="21">
        <v>-10087875</v>
      </c>
      <c r="F861" s="21">
        <v>0</v>
      </c>
    </row>
    <row r="862" spans="1:6" x14ac:dyDescent="0.25">
      <c r="A862">
        <v>1734</v>
      </c>
      <c r="B862" s="16">
        <v>43647</v>
      </c>
      <c r="C862" t="s">
        <v>39</v>
      </c>
      <c r="D862" s="21">
        <v>7594316.1000000006</v>
      </c>
      <c r="E862" s="21">
        <v>-7594316.1000000006</v>
      </c>
      <c r="F862" s="21">
        <v>0</v>
      </c>
    </row>
    <row r="863" spans="1:6" x14ac:dyDescent="0.25">
      <c r="A863">
        <v>1734</v>
      </c>
      <c r="B863" s="16">
        <v>43647</v>
      </c>
      <c r="C863" t="s">
        <v>117</v>
      </c>
      <c r="D863" s="21">
        <v>3731425.4250000003</v>
      </c>
      <c r="E863" s="21">
        <v>-3731425.4250000003</v>
      </c>
      <c r="F863" s="21">
        <v>0</v>
      </c>
    </row>
    <row r="864" spans="1:6" x14ac:dyDescent="0.25">
      <c r="A864">
        <v>1734</v>
      </c>
      <c r="B864" s="16">
        <v>43647</v>
      </c>
      <c r="C864" t="s">
        <v>34</v>
      </c>
      <c r="D864" s="21">
        <v>7594316.1000000006</v>
      </c>
      <c r="E864" s="21">
        <v>-7594316.1000000006</v>
      </c>
      <c r="F864" s="21">
        <v>0</v>
      </c>
    </row>
    <row r="865" spans="1:6" x14ac:dyDescent="0.25">
      <c r="A865">
        <v>1734</v>
      </c>
      <c r="B865" s="16">
        <v>43647</v>
      </c>
      <c r="C865" t="s">
        <v>192</v>
      </c>
      <c r="D865" s="21">
        <v>21079908.675799087</v>
      </c>
      <c r="E865" s="21">
        <v>-21079908.675799087</v>
      </c>
      <c r="F865" s="21">
        <v>0</v>
      </c>
    </row>
    <row r="866" spans="1:6" x14ac:dyDescent="0.25">
      <c r="A866">
        <v>1734</v>
      </c>
      <c r="B866" s="16">
        <v>43647</v>
      </c>
      <c r="C866" t="s">
        <v>14</v>
      </c>
      <c r="D866" s="21">
        <v>7008008.1750000007</v>
      </c>
      <c r="E866" s="21">
        <v>-7008008.1750000007</v>
      </c>
      <c r="F866" s="21">
        <v>0</v>
      </c>
    </row>
    <row r="867" spans="1:6" x14ac:dyDescent="0.25">
      <c r="A867">
        <v>1734</v>
      </c>
      <c r="B867" s="16">
        <v>43647</v>
      </c>
      <c r="C867" t="s">
        <v>19</v>
      </c>
      <c r="D867" s="21">
        <v>3572100</v>
      </c>
      <c r="E867" s="21">
        <v>-3572100</v>
      </c>
      <c r="F867" s="21">
        <v>0</v>
      </c>
    </row>
    <row r="868" spans="1:6" x14ac:dyDescent="0.25">
      <c r="A868">
        <v>1734</v>
      </c>
      <c r="B868" s="16">
        <v>43647</v>
      </c>
      <c r="C868" t="s">
        <v>30</v>
      </c>
      <c r="D868" s="21">
        <v>7594316.1000000006</v>
      </c>
      <c r="E868" s="21">
        <v>-7594316.1000000006</v>
      </c>
      <c r="F868" s="21">
        <v>0</v>
      </c>
    </row>
    <row r="869" spans="1:6" x14ac:dyDescent="0.25">
      <c r="A869">
        <v>1734</v>
      </c>
      <c r="B869" s="16">
        <v>43678</v>
      </c>
      <c r="C869" t="s">
        <v>38</v>
      </c>
      <c r="D869" s="21">
        <v>4829985.3734999998</v>
      </c>
      <c r="E869" s="21">
        <v>-4829985.3734999998</v>
      </c>
      <c r="F869" s="21">
        <v>0</v>
      </c>
    </row>
    <row r="870" spans="1:6" x14ac:dyDescent="0.25">
      <c r="A870">
        <v>1734</v>
      </c>
      <c r="B870" s="16">
        <v>43678</v>
      </c>
      <c r="C870" t="s">
        <v>79</v>
      </c>
      <c r="D870" s="21">
        <v>4829985.3734999998</v>
      </c>
      <c r="E870" s="21">
        <v>-4829985.3734999998</v>
      </c>
      <c r="F870" s="21">
        <v>0</v>
      </c>
    </row>
    <row r="871" spans="1:6" x14ac:dyDescent="0.25">
      <c r="A871">
        <v>1734</v>
      </c>
      <c r="B871" s="16">
        <v>43678</v>
      </c>
      <c r="C871" t="s">
        <v>118</v>
      </c>
      <c r="D871" s="21">
        <v>3544014.6</v>
      </c>
      <c r="E871" s="21">
        <v>-3544014.6</v>
      </c>
      <c r="F871" s="21">
        <v>0</v>
      </c>
    </row>
    <row r="872" spans="1:6" x14ac:dyDescent="0.25">
      <c r="A872">
        <v>1734</v>
      </c>
      <c r="B872" s="16">
        <v>43678</v>
      </c>
      <c r="C872" t="s">
        <v>23</v>
      </c>
      <c r="D872" s="21">
        <v>3613544.2664999994</v>
      </c>
      <c r="E872" s="21">
        <v>-3613544.2664999994</v>
      </c>
      <c r="F872" s="21">
        <v>0</v>
      </c>
    </row>
    <row r="873" spans="1:6" x14ac:dyDescent="0.25">
      <c r="A873">
        <v>1734</v>
      </c>
      <c r="B873" s="16">
        <v>43678</v>
      </c>
      <c r="C873" t="s">
        <v>12</v>
      </c>
      <c r="D873" s="21">
        <v>10087875</v>
      </c>
      <c r="E873" s="21">
        <v>-10087875</v>
      </c>
      <c r="F873" s="21">
        <v>0</v>
      </c>
    </row>
    <row r="874" spans="1:6" x14ac:dyDescent="0.25">
      <c r="A874">
        <v>1734</v>
      </c>
      <c r="B874" s="16">
        <v>43678</v>
      </c>
      <c r="C874" t="s">
        <v>39</v>
      </c>
      <c r="D874" s="21">
        <v>7594316.1000000006</v>
      </c>
      <c r="E874" s="21">
        <v>-7594316.1000000006</v>
      </c>
      <c r="F874" s="21">
        <v>0</v>
      </c>
    </row>
    <row r="875" spans="1:6" x14ac:dyDescent="0.25">
      <c r="A875">
        <v>1734</v>
      </c>
      <c r="B875" s="16">
        <v>43678</v>
      </c>
      <c r="C875" t="s">
        <v>117</v>
      </c>
      <c r="D875" s="21">
        <v>3731425.4250000003</v>
      </c>
      <c r="E875" s="21">
        <v>-3731425.4250000003</v>
      </c>
      <c r="F875" s="21">
        <v>0</v>
      </c>
    </row>
    <row r="876" spans="1:6" x14ac:dyDescent="0.25">
      <c r="A876">
        <v>1734</v>
      </c>
      <c r="B876" s="16">
        <v>43678</v>
      </c>
      <c r="C876" t="s">
        <v>34</v>
      </c>
      <c r="D876" s="21">
        <v>7594316.1000000006</v>
      </c>
      <c r="E876" s="21">
        <v>-7594316.1000000006</v>
      </c>
      <c r="F876" s="21">
        <v>0</v>
      </c>
    </row>
    <row r="877" spans="1:6" x14ac:dyDescent="0.25">
      <c r="A877">
        <v>1734</v>
      </c>
      <c r="B877" s="16">
        <v>43678</v>
      </c>
      <c r="C877" t="s">
        <v>192</v>
      </c>
      <c r="D877" s="21">
        <v>25917808.219178069</v>
      </c>
      <c r="E877" s="21">
        <v>-25917808.219178069</v>
      </c>
      <c r="F877" s="21">
        <v>0</v>
      </c>
    </row>
    <row r="878" spans="1:6" x14ac:dyDescent="0.25">
      <c r="A878">
        <v>1734</v>
      </c>
      <c r="B878" s="16">
        <v>43678</v>
      </c>
      <c r="C878" t="s">
        <v>14</v>
      </c>
      <c r="D878" s="21">
        <v>7008008.1750000007</v>
      </c>
      <c r="E878" s="21">
        <v>-7008008.1750000007</v>
      </c>
      <c r="F878" s="21">
        <v>0</v>
      </c>
    </row>
    <row r="879" spans="1:6" x14ac:dyDescent="0.25">
      <c r="A879">
        <v>1734</v>
      </c>
      <c r="B879" s="16">
        <v>43678</v>
      </c>
      <c r="C879" t="s">
        <v>19</v>
      </c>
      <c r="D879" s="21">
        <v>3572100</v>
      </c>
      <c r="E879" s="21">
        <v>-3572100</v>
      </c>
      <c r="F879" s="21">
        <v>0</v>
      </c>
    </row>
    <row r="880" spans="1:6" x14ac:dyDescent="0.25">
      <c r="A880">
        <v>1734</v>
      </c>
      <c r="B880" s="16">
        <v>43678</v>
      </c>
      <c r="C880" t="s">
        <v>30</v>
      </c>
      <c r="D880" s="21">
        <v>7594316.1000000006</v>
      </c>
      <c r="E880" s="21">
        <v>-7594316.1000000006</v>
      </c>
      <c r="F880" s="21">
        <v>0</v>
      </c>
    </row>
    <row r="881" spans="1:6" x14ac:dyDescent="0.25">
      <c r="A881">
        <v>1734</v>
      </c>
      <c r="B881" s="16">
        <v>43709</v>
      </c>
      <c r="C881" t="s">
        <v>38</v>
      </c>
      <c r="D881" s="21">
        <v>4829985.3734999998</v>
      </c>
      <c r="E881" s="21">
        <v>-4829985.3734999998</v>
      </c>
      <c r="F881" s="21">
        <v>0</v>
      </c>
    </row>
    <row r="882" spans="1:6" x14ac:dyDescent="0.25">
      <c r="A882">
        <v>1734</v>
      </c>
      <c r="B882" s="16">
        <v>43709</v>
      </c>
      <c r="C882" t="s">
        <v>79</v>
      </c>
      <c r="D882" s="21">
        <v>4829985.3734999998</v>
      </c>
      <c r="E882" s="21">
        <v>-4829985.3734999998</v>
      </c>
      <c r="F882" s="21">
        <v>0</v>
      </c>
    </row>
    <row r="883" spans="1:6" x14ac:dyDescent="0.25">
      <c r="A883">
        <v>1734</v>
      </c>
      <c r="B883" s="16">
        <v>43709</v>
      </c>
      <c r="C883" t="s">
        <v>118</v>
      </c>
      <c r="D883" s="21">
        <v>3544014.6</v>
      </c>
      <c r="E883" s="21">
        <v>-3544014.6</v>
      </c>
      <c r="F883" s="21">
        <v>0</v>
      </c>
    </row>
    <row r="884" spans="1:6" x14ac:dyDescent="0.25">
      <c r="A884">
        <v>1734</v>
      </c>
      <c r="B884" s="16">
        <v>43709</v>
      </c>
      <c r="C884" t="s">
        <v>23</v>
      </c>
      <c r="D884" s="21">
        <v>3613544.2664999994</v>
      </c>
      <c r="E884" s="21">
        <v>-3613544.2664999994</v>
      </c>
      <c r="F884" s="21">
        <v>0</v>
      </c>
    </row>
    <row r="885" spans="1:6" x14ac:dyDescent="0.25">
      <c r="A885">
        <v>1734</v>
      </c>
      <c r="B885" s="16">
        <v>43709</v>
      </c>
      <c r="C885" t="s">
        <v>12</v>
      </c>
      <c r="D885" s="21">
        <v>10087875</v>
      </c>
      <c r="E885" s="21">
        <v>-10087875</v>
      </c>
      <c r="F885" s="21">
        <v>0</v>
      </c>
    </row>
    <row r="886" spans="1:6" x14ac:dyDescent="0.25">
      <c r="A886">
        <v>1734</v>
      </c>
      <c r="B886" s="16">
        <v>43709</v>
      </c>
      <c r="C886" t="s">
        <v>39</v>
      </c>
      <c r="D886" s="21">
        <v>7594316.1000000006</v>
      </c>
      <c r="E886" s="21">
        <v>-7594316.1000000006</v>
      </c>
      <c r="F886" s="21">
        <v>0</v>
      </c>
    </row>
    <row r="887" spans="1:6" x14ac:dyDescent="0.25">
      <c r="A887">
        <v>1734</v>
      </c>
      <c r="B887" s="16">
        <v>43709</v>
      </c>
      <c r="C887" t="s">
        <v>117</v>
      </c>
      <c r="D887" s="21">
        <v>3731425.4250000003</v>
      </c>
      <c r="E887" s="21">
        <v>-3731425.4250000003</v>
      </c>
      <c r="F887" s="21">
        <v>0</v>
      </c>
    </row>
    <row r="888" spans="1:6" x14ac:dyDescent="0.25">
      <c r="A888">
        <v>1734</v>
      </c>
      <c r="B888" s="16">
        <v>43709</v>
      </c>
      <c r="C888" t="s">
        <v>34</v>
      </c>
      <c r="D888" s="21">
        <v>7594316.1000000006</v>
      </c>
      <c r="E888" s="21">
        <v>-7594316.1000000006</v>
      </c>
      <c r="F888" s="21">
        <v>0</v>
      </c>
    </row>
    <row r="889" spans="1:6" x14ac:dyDescent="0.25">
      <c r="A889">
        <v>1734</v>
      </c>
      <c r="B889" s="16">
        <v>43709</v>
      </c>
      <c r="C889" t="s">
        <v>192</v>
      </c>
      <c r="D889" s="21">
        <v>23216894.977168947</v>
      </c>
      <c r="E889" s="21">
        <v>-23216894.977168947</v>
      </c>
      <c r="F889" s="21">
        <v>0</v>
      </c>
    </row>
    <row r="890" spans="1:6" x14ac:dyDescent="0.25">
      <c r="A890">
        <v>1734</v>
      </c>
      <c r="B890" s="16">
        <v>43709</v>
      </c>
      <c r="C890" t="s">
        <v>14</v>
      </c>
      <c r="D890" s="21">
        <v>7008008.1750000007</v>
      </c>
      <c r="E890" s="21">
        <v>-7008008.1750000007</v>
      </c>
      <c r="F890" s="21">
        <v>0</v>
      </c>
    </row>
    <row r="891" spans="1:6" x14ac:dyDescent="0.25">
      <c r="A891">
        <v>1734</v>
      </c>
      <c r="B891" s="16">
        <v>43709</v>
      </c>
      <c r="C891" t="s">
        <v>19</v>
      </c>
      <c r="D891" s="21">
        <v>3572100</v>
      </c>
      <c r="E891" s="21">
        <v>-3572100</v>
      </c>
      <c r="F891" s="21">
        <v>0</v>
      </c>
    </row>
    <row r="892" spans="1:6" x14ac:dyDescent="0.25">
      <c r="A892">
        <v>1734</v>
      </c>
      <c r="B892" s="16">
        <v>43709</v>
      </c>
      <c r="C892" t="s">
        <v>30</v>
      </c>
      <c r="D892" s="21">
        <v>7594316.1000000006</v>
      </c>
      <c r="E892" s="21">
        <v>-7594316.1000000006</v>
      </c>
      <c r="F892" s="21">
        <v>0</v>
      </c>
    </row>
    <row r="893" spans="1:6" x14ac:dyDescent="0.25">
      <c r="A893">
        <v>1734</v>
      </c>
      <c r="B893" s="16">
        <v>43739</v>
      </c>
      <c r="C893" t="s">
        <v>38</v>
      </c>
      <c r="D893" s="21">
        <v>4829985.3734999998</v>
      </c>
      <c r="E893" s="21">
        <v>-4829985.3734999998</v>
      </c>
      <c r="F893" s="21">
        <v>0</v>
      </c>
    </row>
    <row r="894" spans="1:6" x14ac:dyDescent="0.25">
      <c r="A894">
        <v>1734</v>
      </c>
      <c r="B894" s="16">
        <v>43739</v>
      </c>
      <c r="C894" t="s">
        <v>79</v>
      </c>
      <c r="D894" s="21">
        <v>4829985.3734999998</v>
      </c>
      <c r="E894" s="21">
        <v>-4829985.3734999998</v>
      </c>
      <c r="F894" s="21">
        <v>0</v>
      </c>
    </row>
    <row r="895" spans="1:6" x14ac:dyDescent="0.25">
      <c r="A895">
        <v>1734</v>
      </c>
      <c r="B895" s="16">
        <v>43739</v>
      </c>
      <c r="C895" t="s">
        <v>118</v>
      </c>
      <c r="D895" s="21">
        <v>3544014.6</v>
      </c>
      <c r="E895" s="21">
        <v>-3544014.6</v>
      </c>
      <c r="F895" s="21">
        <v>0</v>
      </c>
    </row>
    <row r="896" spans="1:6" x14ac:dyDescent="0.25">
      <c r="A896">
        <v>1734</v>
      </c>
      <c r="B896" s="16">
        <v>43739</v>
      </c>
      <c r="C896" t="s">
        <v>23</v>
      </c>
      <c r="D896" s="21">
        <v>3613544.2664999994</v>
      </c>
      <c r="E896" s="21">
        <v>-3613544.2664999994</v>
      </c>
      <c r="F896" s="21">
        <v>0</v>
      </c>
    </row>
    <row r="897" spans="1:6" x14ac:dyDescent="0.25">
      <c r="A897">
        <v>1734</v>
      </c>
      <c r="B897" s="16">
        <v>43739</v>
      </c>
      <c r="C897" t="s">
        <v>12</v>
      </c>
      <c r="D897" s="21">
        <v>10087875</v>
      </c>
      <c r="E897" s="21">
        <v>-10087875</v>
      </c>
      <c r="F897" s="21">
        <v>0</v>
      </c>
    </row>
    <row r="898" spans="1:6" x14ac:dyDescent="0.25">
      <c r="A898">
        <v>1734</v>
      </c>
      <c r="B898" s="16">
        <v>43739</v>
      </c>
      <c r="C898" t="s">
        <v>39</v>
      </c>
      <c r="D898" s="21">
        <v>7594316.1000000006</v>
      </c>
      <c r="E898" s="21">
        <v>-7594316.1000000006</v>
      </c>
      <c r="F898" s="21">
        <v>0</v>
      </c>
    </row>
    <row r="899" spans="1:6" x14ac:dyDescent="0.25">
      <c r="A899">
        <v>1734</v>
      </c>
      <c r="B899" s="16">
        <v>43739</v>
      </c>
      <c r="C899" t="s">
        <v>117</v>
      </c>
      <c r="D899" s="21">
        <v>3731425.4250000003</v>
      </c>
      <c r="E899" s="21">
        <v>-3731425.4250000003</v>
      </c>
      <c r="F899" s="21">
        <v>0</v>
      </c>
    </row>
    <row r="900" spans="1:6" x14ac:dyDescent="0.25">
      <c r="A900">
        <v>1734</v>
      </c>
      <c r="B900" s="16">
        <v>43739</v>
      </c>
      <c r="C900" t="s">
        <v>34</v>
      </c>
      <c r="D900" s="21">
        <v>7594316.1000000006</v>
      </c>
      <c r="E900" s="21">
        <v>-7594316.1000000006</v>
      </c>
      <c r="F900" s="21">
        <v>0</v>
      </c>
    </row>
    <row r="901" spans="1:6" x14ac:dyDescent="0.25">
      <c r="A901">
        <v>1734</v>
      </c>
      <c r="B901" s="16">
        <v>43739</v>
      </c>
      <c r="C901" t="s">
        <v>192</v>
      </c>
      <c r="D901" s="21">
        <v>24226027.397260282</v>
      </c>
      <c r="E901" s="21">
        <v>-24226027.397260282</v>
      </c>
      <c r="F901" s="21">
        <v>0</v>
      </c>
    </row>
    <row r="902" spans="1:6" x14ac:dyDescent="0.25">
      <c r="A902">
        <v>1734</v>
      </c>
      <c r="B902" s="16">
        <v>43739</v>
      </c>
      <c r="C902" t="s">
        <v>14</v>
      </c>
      <c r="D902" s="21">
        <v>7008008.1750000007</v>
      </c>
      <c r="E902" s="21">
        <v>-7008008.1750000007</v>
      </c>
      <c r="F902" s="21">
        <v>0</v>
      </c>
    </row>
    <row r="903" spans="1:6" x14ac:dyDescent="0.25">
      <c r="A903">
        <v>1734</v>
      </c>
      <c r="B903" s="16">
        <v>43739</v>
      </c>
      <c r="C903" t="s">
        <v>19</v>
      </c>
      <c r="D903" s="21">
        <v>3572100</v>
      </c>
      <c r="E903" s="21">
        <v>-3572100</v>
      </c>
      <c r="F903" s="21">
        <v>0</v>
      </c>
    </row>
    <row r="904" spans="1:6" x14ac:dyDescent="0.25">
      <c r="A904">
        <v>1734</v>
      </c>
      <c r="B904" s="16">
        <v>43739</v>
      </c>
      <c r="C904" t="s">
        <v>30</v>
      </c>
      <c r="D904" s="21">
        <v>7594316.1000000006</v>
      </c>
      <c r="E904" s="21">
        <v>-7594316.1000000006</v>
      </c>
      <c r="F904" s="21">
        <v>0</v>
      </c>
    </row>
    <row r="905" spans="1:6" x14ac:dyDescent="0.25">
      <c r="A905">
        <v>1734</v>
      </c>
      <c r="B905" s="16">
        <v>43770</v>
      </c>
      <c r="C905" t="s">
        <v>38</v>
      </c>
      <c r="D905" s="21">
        <v>4829985.3734999998</v>
      </c>
      <c r="E905" s="21">
        <v>-4829985.3734999998</v>
      </c>
      <c r="F905" s="21">
        <v>0</v>
      </c>
    </row>
    <row r="906" spans="1:6" x14ac:dyDescent="0.25">
      <c r="A906">
        <v>1734</v>
      </c>
      <c r="B906" s="16">
        <v>43770</v>
      </c>
      <c r="C906" t="s">
        <v>79</v>
      </c>
      <c r="D906" s="21">
        <v>4829985.3734999998</v>
      </c>
      <c r="E906" s="21">
        <v>-4829985.3734999998</v>
      </c>
      <c r="F906" s="21">
        <v>0</v>
      </c>
    </row>
    <row r="907" spans="1:6" x14ac:dyDescent="0.25">
      <c r="A907">
        <v>1734</v>
      </c>
      <c r="B907" s="16">
        <v>43770</v>
      </c>
      <c r="C907" t="s">
        <v>118</v>
      </c>
      <c r="D907" s="21">
        <v>3544014.6</v>
      </c>
      <c r="E907" s="21">
        <v>-3544014.6</v>
      </c>
      <c r="F907" s="21">
        <v>0</v>
      </c>
    </row>
    <row r="908" spans="1:6" x14ac:dyDescent="0.25">
      <c r="A908">
        <v>1734</v>
      </c>
      <c r="B908" s="16">
        <v>43770</v>
      </c>
      <c r="C908" t="s">
        <v>23</v>
      </c>
      <c r="D908" s="21">
        <v>3613544.2664999994</v>
      </c>
      <c r="E908" s="21">
        <v>-3613544.2664999994</v>
      </c>
      <c r="F908" s="21">
        <v>0</v>
      </c>
    </row>
    <row r="909" spans="1:6" x14ac:dyDescent="0.25">
      <c r="A909">
        <v>1734</v>
      </c>
      <c r="B909" s="16">
        <v>43770</v>
      </c>
      <c r="C909" t="s">
        <v>12</v>
      </c>
      <c r="D909" s="21">
        <v>10087875</v>
      </c>
      <c r="E909" s="21">
        <v>-10087875</v>
      </c>
      <c r="F909" s="21">
        <v>0</v>
      </c>
    </row>
    <row r="910" spans="1:6" x14ac:dyDescent="0.25">
      <c r="A910">
        <v>1734</v>
      </c>
      <c r="B910" s="16">
        <v>43770</v>
      </c>
      <c r="C910" t="s">
        <v>39</v>
      </c>
      <c r="D910" s="21">
        <v>7594316.1000000006</v>
      </c>
      <c r="E910" s="21">
        <v>-7594316.1000000006</v>
      </c>
      <c r="F910" s="21">
        <v>0</v>
      </c>
    </row>
    <row r="911" spans="1:6" x14ac:dyDescent="0.25">
      <c r="A911">
        <v>1734</v>
      </c>
      <c r="B911" s="16">
        <v>43770</v>
      </c>
      <c r="C911" t="s">
        <v>117</v>
      </c>
      <c r="D911" s="21">
        <v>3731425.4250000003</v>
      </c>
      <c r="E911" s="21">
        <v>-3731425.4250000003</v>
      </c>
      <c r="F911" s="21">
        <v>0</v>
      </c>
    </row>
    <row r="912" spans="1:6" x14ac:dyDescent="0.25">
      <c r="A912">
        <v>1734</v>
      </c>
      <c r="B912" s="16">
        <v>43770</v>
      </c>
      <c r="C912" t="s">
        <v>34</v>
      </c>
      <c r="D912" s="21">
        <v>7594316.1000000006</v>
      </c>
      <c r="E912" s="21">
        <v>-7594316.1000000006</v>
      </c>
      <c r="F912" s="21">
        <v>0</v>
      </c>
    </row>
    <row r="913" spans="1:6" x14ac:dyDescent="0.25">
      <c r="A913">
        <v>1734</v>
      </c>
      <c r="B913" s="16">
        <v>43770</v>
      </c>
      <c r="C913" t="s">
        <v>192</v>
      </c>
      <c r="D913" s="21">
        <v>25977168.949771687</v>
      </c>
      <c r="E913" s="21">
        <v>-25977168.949771687</v>
      </c>
      <c r="F913" s="21">
        <v>0</v>
      </c>
    </row>
    <row r="914" spans="1:6" x14ac:dyDescent="0.25">
      <c r="A914">
        <v>1734</v>
      </c>
      <c r="B914" s="16">
        <v>43770</v>
      </c>
      <c r="C914" t="s">
        <v>14</v>
      </c>
      <c r="D914" s="21">
        <v>7008008.1750000007</v>
      </c>
      <c r="E914" s="21">
        <v>-7008008.1750000007</v>
      </c>
      <c r="F914" s="21">
        <v>0</v>
      </c>
    </row>
    <row r="915" spans="1:6" x14ac:dyDescent="0.25">
      <c r="A915">
        <v>1734</v>
      </c>
      <c r="B915" s="16">
        <v>43770</v>
      </c>
      <c r="C915" t="s">
        <v>19</v>
      </c>
      <c r="D915" s="21">
        <v>3572100</v>
      </c>
      <c r="E915" s="21">
        <v>-3572100</v>
      </c>
      <c r="F915" s="21">
        <v>0</v>
      </c>
    </row>
    <row r="916" spans="1:6" x14ac:dyDescent="0.25">
      <c r="A916">
        <v>1734</v>
      </c>
      <c r="B916" s="16">
        <v>43770</v>
      </c>
      <c r="C916" t="s">
        <v>30</v>
      </c>
      <c r="D916" s="21">
        <v>7594316.1000000006</v>
      </c>
      <c r="E916" s="21">
        <v>-7594316.1000000006</v>
      </c>
      <c r="F916" s="21">
        <v>0</v>
      </c>
    </row>
    <row r="917" spans="1:6" x14ac:dyDescent="0.25">
      <c r="A917">
        <v>1734</v>
      </c>
      <c r="B917" s="16">
        <v>43800</v>
      </c>
      <c r="C917" t="s">
        <v>38</v>
      </c>
      <c r="D917" s="21">
        <v>4829985.3734999998</v>
      </c>
      <c r="E917" s="21">
        <v>-4829985.3734999998</v>
      </c>
      <c r="F917" s="21">
        <v>0</v>
      </c>
    </row>
    <row r="918" spans="1:6" x14ac:dyDescent="0.25">
      <c r="A918">
        <v>1734</v>
      </c>
      <c r="B918" s="16">
        <v>43800</v>
      </c>
      <c r="C918" t="s">
        <v>79</v>
      </c>
      <c r="D918" s="21">
        <v>4829985.3734999998</v>
      </c>
      <c r="E918" s="21">
        <v>-4829985.3734999998</v>
      </c>
      <c r="F918" s="21">
        <v>0</v>
      </c>
    </row>
    <row r="919" spans="1:6" x14ac:dyDescent="0.25">
      <c r="A919">
        <v>1734</v>
      </c>
      <c r="B919" s="16">
        <v>43800</v>
      </c>
      <c r="C919" t="s">
        <v>118</v>
      </c>
      <c r="D919" s="21">
        <v>3544014.6</v>
      </c>
      <c r="E919" s="21">
        <v>-3544014.6</v>
      </c>
      <c r="F919" s="21">
        <v>0</v>
      </c>
    </row>
    <row r="920" spans="1:6" x14ac:dyDescent="0.25">
      <c r="A920">
        <v>1734</v>
      </c>
      <c r="B920" s="16">
        <v>43800</v>
      </c>
      <c r="C920" t="s">
        <v>23</v>
      </c>
      <c r="D920" s="21">
        <v>3613544.2664999994</v>
      </c>
      <c r="E920" s="21">
        <v>-3613544.2664999994</v>
      </c>
      <c r="F920" s="21">
        <v>0</v>
      </c>
    </row>
    <row r="921" spans="1:6" x14ac:dyDescent="0.25">
      <c r="A921">
        <v>1734</v>
      </c>
      <c r="B921" s="16">
        <v>43800</v>
      </c>
      <c r="C921" t="s">
        <v>12</v>
      </c>
      <c r="D921" s="21">
        <v>10087875</v>
      </c>
      <c r="E921" s="21">
        <v>-10087875</v>
      </c>
      <c r="F921" s="21">
        <v>0</v>
      </c>
    </row>
    <row r="922" spans="1:6" x14ac:dyDescent="0.25">
      <c r="A922">
        <v>1734</v>
      </c>
      <c r="B922" s="16">
        <v>43800</v>
      </c>
      <c r="C922" t="s">
        <v>39</v>
      </c>
      <c r="D922" s="21">
        <v>7594316.1000000006</v>
      </c>
      <c r="E922" s="21">
        <v>-7594316.1000000006</v>
      </c>
      <c r="F922" s="21">
        <v>0</v>
      </c>
    </row>
    <row r="923" spans="1:6" x14ac:dyDescent="0.25">
      <c r="A923">
        <v>1734</v>
      </c>
      <c r="B923" s="16">
        <v>43800</v>
      </c>
      <c r="C923" t="s">
        <v>117</v>
      </c>
      <c r="D923" s="21">
        <v>3731425.4250000003</v>
      </c>
      <c r="E923" s="21">
        <v>-3731425.4250000003</v>
      </c>
      <c r="F923" s="21">
        <v>0</v>
      </c>
    </row>
    <row r="924" spans="1:6" x14ac:dyDescent="0.25">
      <c r="A924">
        <v>1734</v>
      </c>
      <c r="B924" s="16">
        <v>43800</v>
      </c>
      <c r="C924" t="s">
        <v>34</v>
      </c>
      <c r="D924" s="21">
        <v>7594316.1000000006</v>
      </c>
      <c r="E924" s="21">
        <v>-7594316.1000000006</v>
      </c>
      <c r="F924" s="21">
        <v>0</v>
      </c>
    </row>
    <row r="925" spans="1:6" x14ac:dyDescent="0.25">
      <c r="A925">
        <v>1734</v>
      </c>
      <c r="B925" s="16">
        <v>43800</v>
      </c>
      <c r="C925" t="s">
        <v>192</v>
      </c>
      <c r="D925" s="21">
        <v>20456621.00456623</v>
      </c>
      <c r="E925" s="21">
        <v>-20456621.00456623</v>
      </c>
      <c r="F925" s="21">
        <v>0</v>
      </c>
    </row>
    <row r="926" spans="1:6" x14ac:dyDescent="0.25">
      <c r="A926">
        <v>1734</v>
      </c>
      <c r="B926" s="16">
        <v>43800</v>
      </c>
      <c r="C926" t="s">
        <v>14</v>
      </c>
      <c r="D926" s="21">
        <v>7008008.1750000007</v>
      </c>
      <c r="E926" s="21">
        <v>-7008008.1750000007</v>
      </c>
      <c r="F926" s="21">
        <v>0</v>
      </c>
    </row>
    <row r="927" spans="1:6" x14ac:dyDescent="0.25">
      <c r="A927">
        <v>1734</v>
      </c>
      <c r="B927" s="16">
        <v>43800</v>
      </c>
      <c r="C927" t="s">
        <v>19</v>
      </c>
      <c r="D927" s="21">
        <v>3572100</v>
      </c>
      <c r="E927" s="21">
        <v>-3572100</v>
      </c>
      <c r="F927" s="21">
        <v>0</v>
      </c>
    </row>
    <row r="928" spans="1:6" x14ac:dyDescent="0.25">
      <c r="A928">
        <v>1734</v>
      </c>
      <c r="B928" s="16">
        <v>43800</v>
      </c>
      <c r="C928" t="s">
        <v>30</v>
      </c>
      <c r="D928" s="21">
        <v>7594316.1000000006</v>
      </c>
      <c r="E928" s="21">
        <v>-7594316.1000000006</v>
      </c>
      <c r="F928" s="21">
        <v>0</v>
      </c>
    </row>
    <row r="929" spans="1:6" x14ac:dyDescent="0.25">
      <c r="A929">
        <v>1734</v>
      </c>
      <c r="B929" s="16">
        <v>43831</v>
      </c>
      <c r="C929" t="s">
        <v>38</v>
      </c>
      <c r="D929" s="21">
        <v>4829985.3734999998</v>
      </c>
      <c r="E929" s="21">
        <v>-4829985.3734999998</v>
      </c>
      <c r="F929" s="21">
        <v>0</v>
      </c>
    </row>
    <row r="930" spans="1:6" x14ac:dyDescent="0.25">
      <c r="A930">
        <v>1734</v>
      </c>
      <c r="B930" s="16">
        <v>43831</v>
      </c>
      <c r="C930" t="s">
        <v>79</v>
      </c>
      <c r="D930" s="21">
        <v>4829985.3734999998</v>
      </c>
      <c r="E930" s="21">
        <v>-4829985.3734999998</v>
      </c>
      <c r="F930" s="21">
        <v>0</v>
      </c>
    </row>
    <row r="931" spans="1:6" x14ac:dyDescent="0.25">
      <c r="A931">
        <v>1734</v>
      </c>
      <c r="B931" s="16">
        <v>43831</v>
      </c>
      <c r="C931" t="s">
        <v>118</v>
      </c>
      <c r="D931" s="21">
        <v>3544014.6</v>
      </c>
      <c r="E931" s="21">
        <v>-3544014.6</v>
      </c>
      <c r="F931" s="21">
        <v>0</v>
      </c>
    </row>
    <row r="932" spans="1:6" x14ac:dyDescent="0.25">
      <c r="A932">
        <v>1734</v>
      </c>
      <c r="B932" s="16">
        <v>43831</v>
      </c>
      <c r="C932" t="s">
        <v>23</v>
      </c>
      <c r="D932" s="21">
        <v>3613544.2664999994</v>
      </c>
      <c r="E932" s="21">
        <v>-3613544.2664999994</v>
      </c>
      <c r="F932" s="21">
        <v>0</v>
      </c>
    </row>
    <row r="933" spans="1:6" x14ac:dyDescent="0.25">
      <c r="A933">
        <v>1734</v>
      </c>
      <c r="B933" s="16">
        <v>43831</v>
      </c>
      <c r="C933" t="s">
        <v>12</v>
      </c>
      <c r="D933" s="21">
        <v>10087875</v>
      </c>
      <c r="E933" s="21">
        <v>-10087875</v>
      </c>
      <c r="F933" s="21">
        <v>0</v>
      </c>
    </row>
    <row r="934" spans="1:6" x14ac:dyDescent="0.25">
      <c r="A934">
        <v>1734</v>
      </c>
      <c r="B934" s="16">
        <v>43831</v>
      </c>
      <c r="C934" t="s">
        <v>39</v>
      </c>
      <c r="D934" s="21">
        <v>7594316.1000000006</v>
      </c>
      <c r="E934" s="21">
        <v>-7594316.1000000006</v>
      </c>
      <c r="F934" s="21">
        <v>0</v>
      </c>
    </row>
    <row r="935" spans="1:6" x14ac:dyDescent="0.25">
      <c r="A935">
        <v>1734</v>
      </c>
      <c r="B935" s="16">
        <v>43831</v>
      </c>
      <c r="C935" t="s">
        <v>117</v>
      </c>
      <c r="D935" s="21">
        <v>3731425.4250000003</v>
      </c>
      <c r="E935" s="21">
        <v>-3731425.4250000003</v>
      </c>
      <c r="F935" s="21">
        <v>0</v>
      </c>
    </row>
    <row r="936" spans="1:6" x14ac:dyDescent="0.25">
      <c r="A936">
        <v>1734</v>
      </c>
      <c r="B936" s="16">
        <v>43831</v>
      </c>
      <c r="C936" t="s">
        <v>34</v>
      </c>
      <c r="D936" s="21">
        <v>7594316.1000000006</v>
      </c>
      <c r="E936" s="21">
        <v>-7594316.1000000006</v>
      </c>
      <c r="F936" s="21">
        <v>0</v>
      </c>
    </row>
    <row r="937" spans="1:6" x14ac:dyDescent="0.25">
      <c r="A937">
        <v>1734</v>
      </c>
      <c r="B937" s="16">
        <v>43831</v>
      </c>
      <c r="C937" t="s">
        <v>192</v>
      </c>
      <c r="D937" s="21">
        <v>20812785.388127822</v>
      </c>
      <c r="E937" s="21">
        <v>-20812785.388127822</v>
      </c>
      <c r="F937" s="21">
        <v>0</v>
      </c>
    </row>
    <row r="938" spans="1:6" x14ac:dyDescent="0.25">
      <c r="A938">
        <v>1734</v>
      </c>
      <c r="B938" s="16">
        <v>43831</v>
      </c>
      <c r="C938" t="s">
        <v>14</v>
      </c>
      <c r="D938" s="21">
        <v>7008008.1750000007</v>
      </c>
      <c r="E938" s="21">
        <v>-7008008.1750000007</v>
      </c>
      <c r="F938" s="21">
        <v>0</v>
      </c>
    </row>
    <row r="939" spans="1:6" x14ac:dyDescent="0.25">
      <c r="A939">
        <v>1734</v>
      </c>
      <c r="B939" s="16">
        <v>43831</v>
      </c>
      <c r="C939" t="s">
        <v>19</v>
      </c>
      <c r="D939" s="21">
        <v>3572100</v>
      </c>
      <c r="E939" s="21">
        <v>-3572100</v>
      </c>
      <c r="F939" s="21">
        <v>0</v>
      </c>
    </row>
    <row r="940" spans="1:6" x14ac:dyDescent="0.25">
      <c r="A940">
        <v>1734</v>
      </c>
      <c r="B940" s="16">
        <v>43831</v>
      </c>
      <c r="C940" t="s">
        <v>30</v>
      </c>
      <c r="D940" s="21">
        <v>7594316.1000000006</v>
      </c>
      <c r="E940" s="21">
        <v>-7594316.1000000006</v>
      </c>
      <c r="F940" s="21">
        <v>0</v>
      </c>
    </row>
    <row r="941" spans="1:6" x14ac:dyDescent="0.25">
      <c r="A941">
        <v>1734</v>
      </c>
      <c r="B941" s="16">
        <v>43862</v>
      </c>
      <c r="C941" t="s">
        <v>38</v>
      </c>
      <c r="D941" s="21">
        <v>4829985.3734999998</v>
      </c>
      <c r="E941" s="21">
        <v>-4829985.3734999998</v>
      </c>
      <c r="F941" s="21">
        <v>0</v>
      </c>
    </row>
    <row r="942" spans="1:6" x14ac:dyDescent="0.25">
      <c r="A942">
        <v>1734</v>
      </c>
      <c r="B942" s="16">
        <v>43862</v>
      </c>
      <c r="C942" t="s">
        <v>79</v>
      </c>
      <c r="D942" s="21">
        <v>4829985.3734999998</v>
      </c>
      <c r="E942" s="21">
        <v>-4829985.3734999998</v>
      </c>
      <c r="F942" s="21">
        <v>0</v>
      </c>
    </row>
    <row r="943" spans="1:6" x14ac:dyDescent="0.25">
      <c r="A943">
        <v>1734</v>
      </c>
      <c r="B943" s="16">
        <v>43862</v>
      </c>
      <c r="C943" t="s">
        <v>118</v>
      </c>
      <c r="D943" s="21">
        <v>3544014.6</v>
      </c>
      <c r="E943" s="21">
        <v>-3544014.6</v>
      </c>
      <c r="F943" s="21">
        <v>0</v>
      </c>
    </row>
    <row r="944" spans="1:6" x14ac:dyDescent="0.25">
      <c r="A944">
        <v>1734</v>
      </c>
      <c r="B944" s="16">
        <v>43862</v>
      </c>
      <c r="C944" t="s">
        <v>23</v>
      </c>
      <c r="D944" s="21">
        <v>3613544.2664999994</v>
      </c>
      <c r="E944" s="21">
        <v>-3613544.2664999994</v>
      </c>
      <c r="F944" s="21">
        <v>0</v>
      </c>
    </row>
    <row r="945" spans="1:6" x14ac:dyDescent="0.25">
      <c r="A945">
        <v>1734</v>
      </c>
      <c r="B945" s="16">
        <v>43862</v>
      </c>
      <c r="C945" t="s">
        <v>12</v>
      </c>
      <c r="D945" s="21">
        <v>10087875</v>
      </c>
      <c r="E945" s="21">
        <v>-10087875</v>
      </c>
      <c r="F945" s="21">
        <v>0</v>
      </c>
    </row>
    <row r="946" spans="1:6" x14ac:dyDescent="0.25">
      <c r="A946">
        <v>1734</v>
      </c>
      <c r="B946" s="16">
        <v>43862</v>
      </c>
      <c r="C946" t="s">
        <v>39</v>
      </c>
      <c r="D946" s="21">
        <v>7594316.1000000006</v>
      </c>
      <c r="E946" s="21">
        <v>-7594316.1000000006</v>
      </c>
      <c r="F946" s="21">
        <v>0</v>
      </c>
    </row>
    <row r="947" spans="1:6" x14ac:dyDescent="0.25">
      <c r="A947">
        <v>1734</v>
      </c>
      <c r="B947" s="16">
        <v>43862</v>
      </c>
      <c r="C947" t="s">
        <v>117</v>
      </c>
      <c r="D947" s="21">
        <v>3731425.4250000003</v>
      </c>
      <c r="E947" s="21">
        <v>-3731425.4250000003</v>
      </c>
      <c r="F947" s="21">
        <v>0</v>
      </c>
    </row>
    <row r="948" spans="1:6" x14ac:dyDescent="0.25">
      <c r="A948">
        <v>1734</v>
      </c>
      <c r="B948" s="16">
        <v>43862</v>
      </c>
      <c r="C948" t="s">
        <v>34</v>
      </c>
      <c r="D948" s="21">
        <v>7594316.1000000006</v>
      </c>
      <c r="E948" s="21">
        <v>-7594316.1000000006</v>
      </c>
      <c r="F948" s="21">
        <v>0</v>
      </c>
    </row>
    <row r="949" spans="1:6" x14ac:dyDescent="0.25">
      <c r="A949">
        <v>1734</v>
      </c>
      <c r="B949" s="16">
        <v>43862</v>
      </c>
      <c r="C949" t="s">
        <v>192</v>
      </c>
      <c r="D949" s="21">
        <v>23038812.785388142</v>
      </c>
      <c r="E949" s="21">
        <v>-23038812.785388142</v>
      </c>
      <c r="F949" s="21">
        <v>0</v>
      </c>
    </row>
    <row r="950" spans="1:6" x14ac:dyDescent="0.25">
      <c r="A950">
        <v>1734</v>
      </c>
      <c r="B950" s="16">
        <v>43862</v>
      </c>
      <c r="C950" t="s">
        <v>14</v>
      </c>
      <c r="D950" s="21">
        <v>7008008.1750000007</v>
      </c>
      <c r="E950" s="21">
        <v>-7008008.1750000007</v>
      </c>
      <c r="F950" s="21">
        <v>0</v>
      </c>
    </row>
    <row r="951" spans="1:6" x14ac:dyDescent="0.25">
      <c r="A951">
        <v>1734</v>
      </c>
      <c r="B951" s="16">
        <v>43862</v>
      </c>
      <c r="C951" t="s">
        <v>19</v>
      </c>
      <c r="D951" s="21">
        <v>3572100</v>
      </c>
      <c r="E951" s="21">
        <v>-3572100</v>
      </c>
      <c r="F951" s="21">
        <v>0</v>
      </c>
    </row>
    <row r="952" spans="1:6" x14ac:dyDescent="0.25">
      <c r="A952">
        <v>1734</v>
      </c>
      <c r="B952" s="16">
        <v>43862</v>
      </c>
      <c r="C952" t="s">
        <v>30</v>
      </c>
      <c r="D952" s="21">
        <v>7594316.1000000006</v>
      </c>
      <c r="E952" s="21">
        <v>-7594316.1000000006</v>
      </c>
      <c r="F952" s="21">
        <v>0</v>
      </c>
    </row>
    <row r="953" spans="1:6" x14ac:dyDescent="0.25">
      <c r="A953">
        <v>1734</v>
      </c>
      <c r="B953" s="16">
        <v>43891</v>
      </c>
      <c r="C953" t="s">
        <v>38</v>
      </c>
      <c r="D953" s="21">
        <v>4829985.3734999998</v>
      </c>
      <c r="E953" s="21">
        <v>-4829985.3734999998</v>
      </c>
      <c r="F953" s="21">
        <v>0</v>
      </c>
    </row>
    <row r="954" spans="1:6" x14ac:dyDescent="0.25">
      <c r="A954">
        <v>1734</v>
      </c>
      <c r="B954" s="16">
        <v>43891</v>
      </c>
      <c r="C954" t="s">
        <v>79</v>
      </c>
      <c r="D954" s="21">
        <v>4829985.3734999998</v>
      </c>
      <c r="E954" s="21">
        <v>-4829985.3734999998</v>
      </c>
      <c r="F954" s="21">
        <v>0</v>
      </c>
    </row>
    <row r="955" spans="1:6" x14ac:dyDescent="0.25">
      <c r="A955">
        <v>1734</v>
      </c>
      <c r="B955" s="16">
        <v>43891</v>
      </c>
      <c r="C955" t="s">
        <v>118</v>
      </c>
      <c r="D955" s="21">
        <v>3544014.6</v>
      </c>
      <c r="E955" s="21">
        <v>-3544014.6</v>
      </c>
      <c r="F955" s="21">
        <v>0</v>
      </c>
    </row>
    <row r="956" spans="1:6" x14ac:dyDescent="0.25">
      <c r="A956">
        <v>1734</v>
      </c>
      <c r="B956" s="16">
        <v>43891</v>
      </c>
      <c r="C956" t="s">
        <v>23</v>
      </c>
      <c r="D956" s="21">
        <v>3613544.2664999994</v>
      </c>
      <c r="E956" s="21">
        <v>-3613544.2664999994</v>
      </c>
      <c r="F956" s="21">
        <v>0</v>
      </c>
    </row>
    <row r="957" spans="1:6" x14ac:dyDescent="0.25">
      <c r="A957">
        <v>1734</v>
      </c>
      <c r="B957" s="16">
        <v>43891</v>
      </c>
      <c r="C957" t="s">
        <v>12</v>
      </c>
      <c r="D957" s="21">
        <v>10087875</v>
      </c>
      <c r="E957" s="21">
        <v>-10087875</v>
      </c>
      <c r="F957" s="21">
        <v>0</v>
      </c>
    </row>
    <row r="958" spans="1:6" x14ac:dyDescent="0.25">
      <c r="A958">
        <v>1734</v>
      </c>
      <c r="B958" s="16">
        <v>43891</v>
      </c>
      <c r="C958" t="s">
        <v>39</v>
      </c>
      <c r="D958" s="21">
        <v>7594316.1000000006</v>
      </c>
      <c r="E958" s="21">
        <v>-7594316.1000000006</v>
      </c>
      <c r="F958" s="21">
        <v>0</v>
      </c>
    </row>
    <row r="959" spans="1:6" x14ac:dyDescent="0.25">
      <c r="A959">
        <v>1734</v>
      </c>
      <c r="B959" s="16">
        <v>43891</v>
      </c>
      <c r="C959" t="s">
        <v>117</v>
      </c>
      <c r="D959" s="21">
        <v>3731425.4250000003</v>
      </c>
      <c r="E959" s="21">
        <v>-3731425.4250000003</v>
      </c>
      <c r="F959" s="21">
        <v>0</v>
      </c>
    </row>
    <row r="960" spans="1:6" x14ac:dyDescent="0.25">
      <c r="A960">
        <v>1734</v>
      </c>
      <c r="B960" s="16">
        <v>43891</v>
      </c>
      <c r="C960" t="s">
        <v>34</v>
      </c>
      <c r="D960" s="21">
        <v>7594316.1000000006</v>
      </c>
      <c r="E960" s="21">
        <v>-7594316.1000000006</v>
      </c>
      <c r="F960" s="21">
        <v>0</v>
      </c>
    </row>
    <row r="961" spans="1:6" x14ac:dyDescent="0.25">
      <c r="A961">
        <v>1734</v>
      </c>
      <c r="B961" s="16">
        <v>43891</v>
      </c>
      <c r="C961" t="s">
        <v>192</v>
      </c>
      <c r="D961" s="21">
        <v>20219178.082191784</v>
      </c>
      <c r="E961" s="21">
        <v>-20219178.082191784</v>
      </c>
      <c r="F961" s="21">
        <v>0</v>
      </c>
    </row>
    <row r="962" spans="1:6" x14ac:dyDescent="0.25">
      <c r="A962">
        <v>1734</v>
      </c>
      <c r="B962" s="16">
        <v>43891</v>
      </c>
      <c r="C962" t="s">
        <v>14</v>
      </c>
      <c r="D962" s="21">
        <v>7008008.1750000007</v>
      </c>
      <c r="E962" s="21">
        <v>-7008008.1750000007</v>
      </c>
      <c r="F962" s="21">
        <v>0</v>
      </c>
    </row>
    <row r="963" spans="1:6" x14ac:dyDescent="0.25">
      <c r="A963">
        <v>1734</v>
      </c>
      <c r="B963" s="16">
        <v>43891</v>
      </c>
      <c r="C963" t="s">
        <v>19</v>
      </c>
      <c r="D963" s="21">
        <v>3572100</v>
      </c>
      <c r="E963" s="21">
        <v>-3572100</v>
      </c>
      <c r="F963" s="21">
        <v>0</v>
      </c>
    </row>
    <row r="964" spans="1:6" x14ac:dyDescent="0.25">
      <c r="A964">
        <v>1734</v>
      </c>
      <c r="B964" s="16">
        <v>43891</v>
      </c>
      <c r="C964" t="s">
        <v>30</v>
      </c>
      <c r="D964" s="21">
        <v>7594316.1000000006</v>
      </c>
      <c r="E964" s="21">
        <v>-7594316.1000000006</v>
      </c>
      <c r="F964" s="21">
        <v>0</v>
      </c>
    </row>
    <row r="965" spans="1:6" x14ac:dyDescent="0.25">
      <c r="A965">
        <v>1734</v>
      </c>
      <c r="B965" s="16">
        <v>43922</v>
      </c>
      <c r="C965" t="s">
        <v>38</v>
      </c>
      <c r="D965" s="21">
        <v>4829985.3734999998</v>
      </c>
      <c r="E965" s="21">
        <v>-4829985.3734999998</v>
      </c>
      <c r="F965" s="21">
        <v>0</v>
      </c>
    </row>
    <row r="966" spans="1:6" x14ac:dyDescent="0.25">
      <c r="A966">
        <v>1734</v>
      </c>
      <c r="B966" s="16">
        <v>43922</v>
      </c>
      <c r="C966" t="s">
        <v>79</v>
      </c>
      <c r="D966" s="21">
        <v>4829985.3734999998</v>
      </c>
      <c r="E966" s="21">
        <v>-4829985.3734999998</v>
      </c>
      <c r="F966" s="21">
        <v>0</v>
      </c>
    </row>
    <row r="967" spans="1:6" x14ac:dyDescent="0.25">
      <c r="A967">
        <v>1734</v>
      </c>
      <c r="B967" s="16">
        <v>43922</v>
      </c>
      <c r="C967" t="s">
        <v>118</v>
      </c>
      <c r="D967" s="21">
        <v>3544014.6</v>
      </c>
      <c r="E967" s="21">
        <v>-3544014.6</v>
      </c>
      <c r="F967" s="21">
        <v>0</v>
      </c>
    </row>
    <row r="968" spans="1:6" x14ac:dyDescent="0.25">
      <c r="A968">
        <v>1734</v>
      </c>
      <c r="B968" s="16">
        <v>43922</v>
      </c>
      <c r="C968" t="s">
        <v>23</v>
      </c>
      <c r="D968" s="21">
        <v>3613544.2664999994</v>
      </c>
      <c r="E968" s="21">
        <v>-3613544.2664999994</v>
      </c>
      <c r="F968" s="21">
        <v>0</v>
      </c>
    </row>
    <row r="969" spans="1:6" x14ac:dyDescent="0.25">
      <c r="A969">
        <v>1734</v>
      </c>
      <c r="B969" s="16">
        <v>43922</v>
      </c>
      <c r="C969" t="s">
        <v>12</v>
      </c>
      <c r="D969" s="21">
        <v>10087875</v>
      </c>
      <c r="E969" s="21">
        <v>-10087875</v>
      </c>
      <c r="F969" s="21">
        <v>0</v>
      </c>
    </row>
    <row r="970" spans="1:6" x14ac:dyDescent="0.25">
      <c r="A970">
        <v>1734</v>
      </c>
      <c r="B970" s="16">
        <v>43922</v>
      </c>
      <c r="C970" t="s">
        <v>39</v>
      </c>
      <c r="D970" s="21">
        <v>7594316.1000000006</v>
      </c>
      <c r="E970" s="21">
        <v>-7594316.1000000006</v>
      </c>
      <c r="F970" s="21">
        <v>0</v>
      </c>
    </row>
    <row r="971" spans="1:6" x14ac:dyDescent="0.25">
      <c r="A971">
        <v>1734</v>
      </c>
      <c r="B971" s="16">
        <v>43922</v>
      </c>
      <c r="C971" t="s">
        <v>117</v>
      </c>
      <c r="D971" s="21">
        <v>3731425.4250000003</v>
      </c>
      <c r="E971" s="21">
        <v>-3731425.4250000003</v>
      </c>
      <c r="F971" s="21">
        <v>0</v>
      </c>
    </row>
    <row r="972" spans="1:6" x14ac:dyDescent="0.25">
      <c r="A972">
        <v>1734</v>
      </c>
      <c r="B972" s="16">
        <v>43922</v>
      </c>
      <c r="C972" t="s">
        <v>34</v>
      </c>
      <c r="D972" s="21">
        <v>7594316.1000000006</v>
      </c>
      <c r="E972" s="21">
        <v>-7594316.1000000006</v>
      </c>
      <c r="F972" s="21">
        <v>0</v>
      </c>
    </row>
    <row r="973" spans="1:6" x14ac:dyDescent="0.25">
      <c r="A973">
        <v>1734</v>
      </c>
      <c r="B973" s="16">
        <v>43922</v>
      </c>
      <c r="C973" t="s">
        <v>192</v>
      </c>
      <c r="D973" s="21">
        <v>22415525.11415524</v>
      </c>
      <c r="E973" s="21">
        <v>-22415525.11415524</v>
      </c>
      <c r="F973" s="21">
        <v>0</v>
      </c>
    </row>
    <row r="974" spans="1:6" x14ac:dyDescent="0.25">
      <c r="A974">
        <v>1734</v>
      </c>
      <c r="B974" s="16">
        <v>43922</v>
      </c>
      <c r="C974" t="s">
        <v>14</v>
      </c>
      <c r="D974" s="21">
        <v>7008008.1750000007</v>
      </c>
      <c r="E974" s="21">
        <v>-7008008.1750000007</v>
      </c>
      <c r="F974" s="21">
        <v>0</v>
      </c>
    </row>
    <row r="975" spans="1:6" x14ac:dyDescent="0.25">
      <c r="A975">
        <v>1734</v>
      </c>
      <c r="B975" s="16">
        <v>43922</v>
      </c>
      <c r="C975" t="s">
        <v>19</v>
      </c>
      <c r="D975" s="21">
        <v>3572100</v>
      </c>
      <c r="E975" s="21">
        <v>-3572100</v>
      </c>
      <c r="F975" s="21">
        <v>0</v>
      </c>
    </row>
    <row r="976" spans="1:6" x14ac:dyDescent="0.25">
      <c r="A976">
        <v>1734</v>
      </c>
      <c r="B976" s="16">
        <v>43922</v>
      </c>
      <c r="C976" t="s">
        <v>30</v>
      </c>
      <c r="D976" s="21">
        <v>7594316.1000000006</v>
      </c>
      <c r="E976" s="21">
        <v>-7594316.1000000006</v>
      </c>
      <c r="F976" s="21">
        <v>0</v>
      </c>
    </row>
    <row r="977" spans="1:6" x14ac:dyDescent="0.25">
      <c r="A977">
        <v>1734</v>
      </c>
      <c r="B977" s="16">
        <v>43952</v>
      </c>
      <c r="C977" t="s">
        <v>38</v>
      </c>
      <c r="D977" s="21">
        <v>4829985.3734999998</v>
      </c>
      <c r="E977" s="21">
        <v>-4829985.3734999998</v>
      </c>
      <c r="F977" s="21">
        <v>0</v>
      </c>
    </row>
    <row r="978" spans="1:6" x14ac:dyDescent="0.25">
      <c r="A978">
        <v>1734</v>
      </c>
      <c r="B978" s="16">
        <v>43952</v>
      </c>
      <c r="C978" t="s">
        <v>79</v>
      </c>
      <c r="D978" s="21">
        <v>4829985.3734999998</v>
      </c>
      <c r="E978" s="21">
        <v>-4829985.3734999998</v>
      </c>
      <c r="F978" s="21">
        <v>0</v>
      </c>
    </row>
    <row r="979" spans="1:6" x14ac:dyDescent="0.25">
      <c r="A979">
        <v>1734</v>
      </c>
      <c r="B979" s="16">
        <v>43952</v>
      </c>
      <c r="C979" t="s">
        <v>118</v>
      </c>
      <c r="D979" s="21">
        <v>3544014.6</v>
      </c>
      <c r="E979" s="21">
        <v>-3544014.6</v>
      </c>
      <c r="F979" s="21">
        <v>0</v>
      </c>
    </row>
    <row r="980" spans="1:6" x14ac:dyDescent="0.25">
      <c r="A980">
        <v>1734</v>
      </c>
      <c r="B980" s="16">
        <v>43952</v>
      </c>
      <c r="C980" t="s">
        <v>23</v>
      </c>
      <c r="D980" s="21">
        <v>3613544.2664999994</v>
      </c>
      <c r="E980" s="21">
        <v>-3613544.2664999994</v>
      </c>
      <c r="F980" s="21">
        <v>0</v>
      </c>
    </row>
    <row r="981" spans="1:6" x14ac:dyDescent="0.25">
      <c r="A981">
        <v>1734</v>
      </c>
      <c r="B981" s="16">
        <v>43952</v>
      </c>
      <c r="C981" t="s">
        <v>12</v>
      </c>
      <c r="D981" s="21">
        <v>10087875</v>
      </c>
      <c r="E981" s="21">
        <v>-10087875</v>
      </c>
      <c r="F981" s="21">
        <v>0</v>
      </c>
    </row>
    <row r="982" spans="1:6" x14ac:dyDescent="0.25">
      <c r="A982">
        <v>1734</v>
      </c>
      <c r="B982" s="16">
        <v>43952</v>
      </c>
      <c r="C982" t="s">
        <v>39</v>
      </c>
      <c r="D982" s="21">
        <v>7594316.1000000006</v>
      </c>
      <c r="E982" s="21">
        <v>-7594316.1000000006</v>
      </c>
      <c r="F982" s="21">
        <v>0</v>
      </c>
    </row>
    <row r="983" spans="1:6" x14ac:dyDescent="0.25">
      <c r="A983">
        <v>1734</v>
      </c>
      <c r="B983" s="16">
        <v>43952</v>
      </c>
      <c r="C983" t="s">
        <v>117</v>
      </c>
      <c r="D983" s="21">
        <v>3731425.4250000003</v>
      </c>
      <c r="E983" s="21">
        <v>-3731425.4250000003</v>
      </c>
      <c r="F983" s="21">
        <v>0</v>
      </c>
    </row>
    <row r="984" spans="1:6" x14ac:dyDescent="0.25">
      <c r="A984">
        <v>1734</v>
      </c>
      <c r="B984" s="16">
        <v>43952</v>
      </c>
      <c r="C984" t="s">
        <v>34</v>
      </c>
      <c r="D984" s="21">
        <v>7594316.1000000006</v>
      </c>
      <c r="E984" s="21">
        <v>-7594316.1000000006</v>
      </c>
      <c r="F984" s="21">
        <v>0</v>
      </c>
    </row>
    <row r="985" spans="1:6" x14ac:dyDescent="0.25">
      <c r="A985">
        <v>1734</v>
      </c>
      <c r="B985" s="16">
        <v>43952</v>
      </c>
      <c r="C985" t="s">
        <v>192</v>
      </c>
      <c r="D985" s="21">
        <v>22920091.324200906</v>
      </c>
      <c r="E985" s="21">
        <v>-22920091.324200906</v>
      </c>
      <c r="F985" s="21">
        <v>0</v>
      </c>
    </row>
    <row r="986" spans="1:6" x14ac:dyDescent="0.25">
      <c r="A986">
        <v>1734</v>
      </c>
      <c r="B986" s="16">
        <v>43952</v>
      </c>
      <c r="C986" t="s">
        <v>14</v>
      </c>
      <c r="D986" s="21">
        <v>7008008.1750000007</v>
      </c>
      <c r="E986" s="21">
        <v>-7008008.1750000007</v>
      </c>
      <c r="F986" s="21">
        <v>0</v>
      </c>
    </row>
    <row r="987" spans="1:6" x14ac:dyDescent="0.25">
      <c r="A987">
        <v>1734</v>
      </c>
      <c r="B987" s="16">
        <v>43952</v>
      </c>
      <c r="C987" t="s">
        <v>19</v>
      </c>
      <c r="D987" s="21">
        <v>3572100</v>
      </c>
      <c r="E987" s="21">
        <v>-3572100</v>
      </c>
      <c r="F987" s="21">
        <v>0</v>
      </c>
    </row>
    <row r="988" spans="1:6" x14ac:dyDescent="0.25">
      <c r="A988">
        <v>1734</v>
      </c>
      <c r="B988" s="16">
        <v>43952</v>
      </c>
      <c r="C988" t="s">
        <v>30</v>
      </c>
      <c r="D988" s="21">
        <v>7594316.1000000006</v>
      </c>
      <c r="E988" s="21">
        <v>-7594316.1000000006</v>
      </c>
      <c r="F988" s="21">
        <v>0</v>
      </c>
    </row>
    <row r="989" spans="1:6" x14ac:dyDescent="0.25">
      <c r="A989">
        <v>1734</v>
      </c>
      <c r="B989" s="16">
        <v>43983</v>
      </c>
      <c r="C989" t="s">
        <v>38</v>
      </c>
      <c r="D989" s="21">
        <v>4829985.3734999998</v>
      </c>
      <c r="E989" s="21">
        <v>-4829985.3734999998</v>
      </c>
      <c r="F989" s="21">
        <v>0</v>
      </c>
    </row>
    <row r="990" spans="1:6" x14ac:dyDescent="0.25">
      <c r="A990">
        <v>1734</v>
      </c>
      <c r="B990" s="16">
        <v>43983</v>
      </c>
      <c r="C990" t="s">
        <v>79</v>
      </c>
      <c r="D990" s="21">
        <v>4829985.3734999998</v>
      </c>
      <c r="E990" s="21">
        <v>-4829985.3734999998</v>
      </c>
      <c r="F990" s="21">
        <v>0</v>
      </c>
    </row>
    <row r="991" spans="1:6" x14ac:dyDescent="0.25">
      <c r="A991">
        <v>1734</v>
      </c>
      <c r="B991" s="16">
        <v>43983</v>
      </c>
      <c r="C991" t="s">
        <v>118</v>
      </c>
      <c r="D991" s="21">
        <v>3544014.6</v>
      </c>
      <c r="E991" s="21">
        <v>-3544014.6</v>
      </c>
      <c r="F991" s="21">
        <v>0</v>
      </c>
    </row>
    <row r="992" spans="1:6" x14ac:dyDescent="0.25">
      <c r="A992">
        <v>1734</v>
      </c>
      <c r="B992" s="16">
        <v>43983</v>
      </c>
      <c r="C992" t="s">
        <v>23</v>
      </c>
      <c r="D992" s="21">
        <v>3613544.2664999994</v>
      </c>
      <c r="E992" s="21">
        <v>-3613544.2664999994</v>
      </c>
      <c r="F992" s="21">
        <v>0</v>
      </c>
    </row>
    <row r="993" spans="1:6" x14ac:dyDescent="0.25">
      <c r="A993">
        <v>1734</v>
      </c>
      <c r="B993" s="16">
        <v>43983</v>
      </c>
      <c r="C993" t="s">
        <v>12</v>
      </c>
      <c r="D993" s="21">
        <v>10087875</v>
      </c>
      <c r="E993" s="21">
        <v>-10087875</v>
      </c>
      <c r="F993" s="21">
        <v>0</v>
      </c>
    </row>
    <row r="994" spans="1:6" x14ac:dyDescent="0.25">
      <c r="A994">
        <v>1734</v>
      </c>
      <c r="B994" s="16">
        <v>43983</v>
      </c>
      <c r="C994" t="s">
        <v>39</v>
      </c>
      <c r="D994" s="21">
        <v>7594316.1000000006</v>
      </c>
      <c r="E994" s="21">
        <v>-7594316.1000000006</v>
      </c>
      <c r="F994" s="21">
        <v>0</v>
      </c>
    </row>
    <row r="995" spans="1:6" x14ac:dyDescent="0.25">
      <c r="A995">
        <v>1734</v>
      </c>
      <c r="B995" s="16">
        <v>43983</v>
      </c>
      <c r="C995" t="s">
        <v>117</v>
      </c>
      <c r="D995" s="21">
        <v>3731425.4250000003</v>
      </c>
      <c r="E995" s="21">
        <v>-3731425.4250000003</v>
      </c>
      <c r="F995" s="21">
        <v>0</v>
      </c>
    </row>
    <row r="996" spans="1:6" x14ac:dyDescent="0.25">
      <c r="A996">
        <v>1734</v>
      </c>
      <c r="B996" s="16">
        <v>43983</v>
      </c>
      <c r="C996" t="s">
        <v>34</v>
      </c>
      <c r="D996" s="21">
        <v>7594316.1000000006</v>
      </c>
      <c r="E996" s="21">
        <v>-7594316.1000000006</v>
      </c>
      <c r="F996" s="21">
        <v>0</v>
      </c>
    </row>
    <row r="997" spans="1:6" x14ac:dyDescent="0.25">
      <c r="A997">
        <v>1734</v>
      </c>
      <c r="B997" s="16">
        <v>43983</v>
      </c>
      <c r="C997" t="s">
        <v>192</v>
      </c>
      <c r="D997" s="21">
        <v>18468036.529680401</v>
      </c>
      <c r="E997" s="21">
        <v>-18468036.529680401</v>
      </c>
      <c r="F997" s="21">
        <v>0</v>
      </c>
    </row>
    <row r="998" spans="1:6" x14ac:dyDescent="0.25">
      <c r="A998">
        <v>1734</v>
      </c>
      <c r="B998" s="16">
        <v>43983</v>
      </c>
      <c r="C998" t="s">
        <v>14</v>
      </c>
      <c r="D998" s="21">
        <v>7008008.1750000007</v>
      </c>
      <c r="E998" s="21">
        <v>-7008008.1750000007</v>
      </c>
      <c r="F998" s="21">
        <v>0</v>
      </c>
    </row>
    <row r="999" spans="1:6" x14ac:dyDescent="0.25">
      <c r="A999">
        <v>1734</v>
      </c>
      <c r="B999" s="16">
        <v>43983</v>
      </c>
      <c r="C999" t="s">
        <v>19</v>
      </c>
      <c r="D999" s="21">
        <v>3572100</v>
      </c>
      <c r="E999" s="21">
        <v>-3572100</v>
      </c>
      <c r="F999" s="21">
        <v>0</v>
      </c>
    </row>
    <row r="1000" spans="1:6" x14ac:dyDescent="0.25">
      <c r="A1000">
        <v>1734</v>
      </c>
      <c r="B1000" s="16">
        <v>43983</v>
      </c>
      <c r="C1000" t="s">
        <v>30</v>
      </c>
      <c r="D1000" s="21">
        <v>7594316.1000000006</v>
      </c>
      <c r="E1000" s="21">
        <v>-7594316.1000000006</v>
      </c>
      <c r="F1000" s="21">
        <v>0</v>
      </c>
    </row>
    <row r="1001" spans="1:6" x14ac:dyDescent="0.25">
      <c r="A1001">
        <v>1734</v>
      </c>
      <c r="B1001" s="16">
        <v>44013</v>
      </c>
      <c r="C1001" t="s">
        <v>38</v>
      </c>
      <c r="D1001" s="21">
        <v>4829985.3734999998</v>
      </c>
      <c r="E1001" s="21">
        <v>-4829985.3734999998</v>
      </c>
      <c r="F1001" s="21">
        <v>0</v>
      </c>
    </row>
    <row r="1002" spans="1:6" x14ac:dyDescent="0.25">
      <c r="A1002">
        <v>1734</v>
      </c>
      <c r="B1002" s="16">
        <v>44013</v>
      </c>
      <c r="C1002" t="s">
        <v>79</v>
      </c>
      <c r="D1002" s="21">
        <v>4829985.3734999998</v>
      </c>
      <c r="E1002" s="21">
        <v>-4829985.3734999998</v>
      </c>
      <c r="F1002" s="21">
        <v>0</v>
      </c>
    </row>
    <row r="1003" spans="1:6" x14ac:dyDescent="0.25">
      <c r="A1003">
        <v>1734</v>
      </c>
      <c r="B1003" s="16">
        <v>44013</v>
      </c>
      <c r="C1003" t="s">
        <v>118</v>
      </c>
      <c r="D1003" s="21">
        <v>3544014.6</v>
      </c>
      <c r="E1003" s="21">
        <v>-3544014.6</v>
      </c>
      <c r="F1003" s="21">
        <v>0</v>
      </c>
    </row>
    <row r="1004" spans="1:6" x14ac:dyDescent="0.25">
      <c r="A1004">
        <v>1734</v>
      </c>
      <c r="B1004" s="16">
        <v>44013</v>
      </c>
      <c r="C1004" t="s">
        <v>23</v>
      </c>
      <c r="D1004" s="21">
        <v>3613544.2664999994</v>
      </c>
      <c r="E1004" s="21">
        <v>-3613544.2664999994</v>
      </c>
      <c r="F1004" s="21">
        <v>0</v>
      </c>
    </row>
    <row r="1005" spans="1:6" x14ac:dyDescent="0.25">
      <c r="A1005">
        <v>1734</v>
      </c>
      <c r="B1005" s="16">
        <v>44013</v>
      </c>
      <c r="C1005" t="s">
        <v>12</v>
      </c>
      <c r="D1005" s="21">
        <v>10087875</v>
      </c>
      <c r="E1005" s="21">
        <v>-10087875</v>
      </c>
      <c r="F1005" s="21">
        <v>0</v>
      </c>
    </row>
    <row r="1006" spans="1:6" x14ac:dyDescent="0.25">
      <c r="A1006">
        <v>1734</v>
      </c>
      <c r="B1006" s="16">
        <v>44013</v>
      </c>
      <c r="C1006" t="s">
        <v>39</v>
      </c>
      <c r="D1006" s="21">
        <v>7594316.1000000006</v>
      </c>
      <c r="E1006" s="21">
        <v>-7594316.1000000006</v>
      </c>
      <c r="F1006" s="21">
        <v>0</v>
      </c>
    </row>
    <row r="1007" spans="1:6" x14ac:dyDescent="0.25">
      <c r="A1007">
        <v>1734</v>
      </c>
      <c r="B1007" s="16">
        <v>44013</v>
      </c>
      <c r="C1007" t="s">
        <v>117</v>
      </c>
      <c r="D1007" s="21">
        <v>3731425.4250000003</v>
      </c>
      <c r="E1007" s="21">
        <v>-3731425.4250000003</v>
      </c>
      <c r="F1007" s="21">
        <v>0</v>
      </c>
    </row>
    <row r="1008" spans="1:6" x14ac:dyDescent="0.25">
      <c r="A1008">
        <v>1734</v>
      </c>
      <c r="B1008" s="16">
        <v>44013</v>
      </c>
      <c r="C1008" t="s">
        <v>34</v>
      </c>
      <c r="D1008" s="21">
        <v>7594316.1000000006</v>
      </c>
      <c r="E1008" s="21">
        <v>-7594316.1000000006</v>
      </c>
      <c r="F1008" s="21">
        <v>0</v>
      </c>
    </row>
    <row r="1009" spans="1:6" x14ac:dyDescent="0.25">
      <c r="A1009">
        <v>1734</v>
      </c>
      <c r="B1009" s="16">
        <v>44013</v>
      </c>
      <c r="C1009" t="s">
        <v>192</v>
      </c>
      <c r="D1009" s="21">
        <v>17013698.630136952</v>
      </c>
      <c r="E1009" s="21">
        <v>-17013698.630136952</v>
      </c>
      <c r="F1009" s="21">
        <v>0</v>
      </c>
    </row>
    <row r="1010" spans="1:6" x14ac:dyDescent="0.25">
      <c r="A1010">
        <v>1734</v>
      </c>
      <c r="B1010" s="16">
        <v>44013</v>
      </c>
      <c r="C1010" t="s">
        <v>14</v>
      </c>
      <c r="D1010" s="21">
        <v>7008008.1750000007</v>
      </c>
      <c r="E1010" s="21">
        <v>-7008008.1750000007</v>
      </c>
      <c r="F1010" s="21">
        <v>0</v>
      </c>
    </row>
    <row r="1011" spans="1:6" x14ac:dyDescent="0.25">
      <c r="A1011">
        <v>1734</v>
      </c>
      <c r="B1011" s="16">
        <v>44013</v>
      </c>
      <c r="C1011" t="s">
        <v>19</v>
      </c>
      <c r="D1011" s="21">
        <v>3572100</v>
      </c>
      <c r="E1011" s="21">
        <v>-3572100</v>
      </c>
      <c r="F1011" s="21">
        <v>0</v>
      </c>
    </row>
    <row r="1012" spans="1:6" x14ac:dyDescent="0.25">
      <c r="A1012">
        <v>1734</v>
      </c>
      <c r="B1012" s="16">
        <v>44013</v>
      </c>
      <c r="C1012" t="s">
        <v>30</v>
      </c>
      <c r="D1012" s="21">
        <v>7594316.1000000006</v>
      </c>
      <c r="E1012" s="21">
        <v>-7594316.1000000006</v>
      </c>
      <c r="F1012" s="21">
        <v>0</v>
      </c>
    </row>
    <row r="1013" spans="1:6" x14ac:dyDescent="0.25">
      <c r="A1013">
        <v>1734</v>
      </c>
      <c r="B1013" s="16">
        <v>44044</v>
      </c>
      <c r="C1013" t="s">
        <v>38</v>
      </c>
      <c r="D1013" s="21">
        <v>4829985.3734999998</v>
      </c>
      <c r="E1013" s="21">
        <v>-4829985.3734999998</v>
      </c>
      <c r="F1013" s="21">
        <v>0</v>
      </c>
    </row>
    <row r="1014" spans="1:6" x14ac:dyDescent="0.25">
      <c r="A1014">
        <v>1734</v>
      </c>
      <c r="B1014" s="16">
        <v>44044</v>
      </c>
      <c r="C1014" t="s">
        <v>79</v>
      </c>
      <c r="D1014" s="21">
        <v>4829985.3734999998</v>
      </c>
      <c r="E1014" s="21">
        <v>-4829985.3734999998</v>
      </c>
      <c r="F1014" s="21">
        <v>0</v>
      </c>
    </row>
    <row r="1015" spans="1:6" x14ac:dyDescent="0.25">
      <c r="A1015">
        <v>1734</v>
      </c>
      <c r="B1015" s="16">
        <v>44044</v>
      </c>
      <c r="C1015" t="s">
        <v>118</v>
      </c>
      <c r="D1015" s="21">
        <v>3544014.6</v>
      </c>
      <c r="E1015" s="21">
        <v>-3544014.6</v>
      </c>
      <c r="F1015" s="21">
        <v>0</v>
      </c>
    </row>
    <row r="1016" spans="1:6" x14ac:dyDescent="0.25">
      <c r="A1016">
        <v>1734</v>
      </c>
      <c r="B1016" s="16">
        <v>44044</v>
      </c>
      <c r="C1016" t="s">
        <v>23</v>
      </c>
      <c r="D1016" s="21">
        <v>3613544.2664999994</v>
      </c>
      <c r="E1016" s="21">
        <v>-3613544.2664999994</v>
      </c>
      <c r="F1016" s="21">
        <v>0</v>
      </c>
    </row>
    <row r="1017" spans="1:6" x14ac:dyDescent="0.25">
      <c r="A1017">
        <v>1734</v>
      </c>
      <c r="B1017" s="16">
        <v>44044</v>
      </c>
      <c r="C1017" t="s">
        <v>12</v>
      </c>
      <c r="D1017" s="21">
        <v>10087875</v>
      </c>
      <c r="E1017" s="21">
        <v>-10087875</v>
      </c>
      <c r="F1017" s="21">
        <v>0</v>
      </c>
    </row>
    <row r="1018" spans="1:6" x14ac:dyDescent="0.25">
      <c r="A1018">
        <v>1734</v>
      </c>
      <c r="B1018" s="16">
        <v>44044</v>
      </c>
      <c r="C1018" t="s">
        <v>39</v>
      </c>
      <c r="D1018" s="21">
        <v>7594316.1000000006</v>
      </c>
      <c r="E1018" s="21">
        <v>-7594316.1000000006</v>
      </c>
      <c r="F1018" s="21">
        <v>0</v>
      </c>
    </row>
    <row r="1019" spans="1:6" x14ac:dyDescent="0.25">
      <c r="A1019">
        <v>1734</v>
      </c>
      <c r="B1019" s="16">
        <v>44044</v>
      </c>
      <c r="C1019" t="s">
        <v>117</v>
      </c>
      <c r="D1019" s="21">
        <v>3731425.4250000003</v>
      </c>
      <c r="E1019" s="21">
        <v>-3731425.4250000003</v>
      </c>
      <c r="F1019" s="21">
        <v>0</v>
      </c>
    </row>
    <row r="1020" spans="1:6" x14ac:dyDescent="0.25">
      <c r="A1020">
        <v>1734</v>
      </c>
      <c r="B1020" s="16">
        <v>44044</v>
      </c>
      <c r="C1020" t="s">
        <v>34</v>
      </c>
      <c r="D1020" s="21">
        <v>7594316.1000000006</v>
      </c>
      <c r="E1020" s="21">
        <v>-7594316.1000000006</v>
      </c>
      <c r="F1020" s="21">
        <v>0</v>
      </c>
    </row>
    <row r="1021" spans="1:6" x14ac:dyDescent="0.25">
      <c r="A1021">
        <v>1734</v>
      </c>
      <c r="B1021" s="16">
        <v>44044</v>
      </c>
      <c r="C1021" t="s">
        <v>192</v>
      </c>
      <c r="D1021" s="21">
        <v>16894977.168949805</v>
      </c>
      <c r="E1021" s="21">
        <v>-16894977.168949805</v>
      </c>
      <c r="F1021" s="21">
        <v>0</v>
      </c>
    </row>
    <row r="1022" spans="1:6" x14ac:dyDescent="0.25">
      <c r="A1022">
        <v>1734</v>
      </c>
      <c r="B1022" s="16">
        <v>44044</v>
      </c>
      <c r="C1022" t="s">
        <v>14</v>
      </c>
      <c r="D1022" s="21">
        <v>7008008.1750000007</v>
      </c>
      <c r="E1022" s="21">
        <v>-7008008.1750000007</v>
      </c>
      <c r="F1022" s="21">
        <v>0</v>
      </c>
    </row>
    <row r="1023" spans="1:6" x14ac:dyDescent="0.25">
      <c r="A1023">
        <v>1734</v>
      </c>
      <c r="B1023" s="16">
        <v>44044</v>
      </c>
      <c r="C1023" t="s">
        <v>19</v>
      </c>
      <c r="D1023" s="21">
        <v>3572100</v>
      </c>
      <c r="E1023" s="21">
        <v>-3572100</v>
      </c>
      <c r="F1023" s="21">
        <v>0</v>
      </c>
    </row>
    <row r="1024" spans="1:6" x14ac:dyDescent="0.25">
      <c r="A1024">
        <v>1734</v>
      </c>
      <c r="B1024" s="16">
        <v>44044</v>
      </c>
      <c r="C1024" t="s">
        <v>30</v>
      </c>
      <c r="D1024" s="21">
        <v>7594316.1000000006</v>
      </c>
      <c r="E1024" s="21">
        <v>-7594316.1000000006</v>
      </c>
      <c r="F1024" s="21">
        <v>0</v>
      </c>
    </row>
    <row r="1025" spans="1:6" x14ac:dyDescent="0.25">
      <c r="A1025">
        <v>1734</v>
      </c>
      <c r="B1025" s="16">
        <v>44075</v>
      </c>
      <c r="C1025" t="s">
        <v>38</v>
      </c>
      <c r="D1025" s="21">
        <v>4829985.3734999998</v>
      </c>
      <c r="E1025" s="21">
        <v>-4829985.3734999998</v>
      </c>
      <c r="F1025" s="21">
        <v>0</v>
      </c>
    </row>
    <row r="1026" spans="1:6" x14ac:dyDescent="0.25">
      <c r="A1026">
        <v>1734</v>
      </c>
      <c r="B1026" s="16">
        <v>44075</v>
      </c>
      <c r="C1026" t="s">
        <v>79</v>
      </c>
      <c r="D1026" s="21">
        <v>4829985.3734999998</v>
      </c>
      <c r="E1026" s="21">
        <v>-4829985.3734999998</v>
      </c>
      <c r="F1026" s="21">
        <v>0</v>
      </c>
    </row>
    <row r="1027" spans="1:6" x14ac:dyDescent="0.25">
      <c r="A1027">
        <v>1734</v>
      </c>
      <c r="B1027" s="16">
        <v>44075</v>
      </c>
      <c r="C1027" t="s">
        <v>118</v>
      </c>
      <c r="D1027" s="21">
        <v>3544014.6</v>
      </c>
      <c r="E1027" s="21">
        <v>-3544014.6</v>
      </c>
      <c r="F1027" s="21">
        <v>0</v>
      </c>
    </row>
    <row r="1028" spans="1:6" x14ac:dyDescent="0.25">
      <c r="A1028">
        <v>1734</v>
      </c>
      <c r="B1028" s="16">
        <v>44075</v>
      </c>
      <c r="C1028" t="s">
        <v>23</v>
      </c>
      <c r="D1028" s="21">
        <v>3613544.2664999994</v>
      </c>
      <c r="E1028" s="21">
        <v>-3613544.2664999994</v>
      </c>
      <c r="F1028" s="21">
        <v>0</v>
      </c>
    </row>
    <row r="1029" spans="1:6" x14ac:dyDescent="0.25">
      <c r="A1029">
        <v>1734</v>
      </c>
      <c r="B1029" s="16">
        <v>44075</v>
      </c>
      <c r="C1029" t="s">
        <v>12</v>
      </c>
      <c r="D1029" s="21">
        <v>10087875</v>
      </c>
      <c r="E1029" s="21">
        <v>-10087875</v>
      </c>
      <c r="F1029" s="21">
        <v>0</v>
      </c>
    </row>
    <row r="1030" spans="1:6" x14ac:dyDescent="0.25">
      <c r="A1030">
        <v>1734</v>
      </c>
      <c r="B1030" s="16">
        <v>44075</v>
      </c>
      <c r="C1030" t="s">
        <v>39</v>
      </c>
      <c r="D1030" s="21">
        <v>7594316.1000000006</v>
      </c>
      <c r="E1030" s="21">
        <v>-7594316.1000000006</v>
      </c>
      <c r="F1030" s="21">
        <v>0</v>
      </c>
    </row>
    <row r="1031" spans="1:6" x14ac:dyDescent="0.25">
      <c r="A1031">
        <v>1734</v>
      </c>
      <c r="B1031" s="16">
        <v>44075</v>
      </c>
      <c r="C1031" t="s">
        <v>117</v>
      </c>
      <c r="D1031" s="21">
        <v>3731425.4250000003</v>
      </c>
      <c r="E1031" s="21">
        <v>-3731425.4250000003</v>
      </c>
      <c r="F1031" s="21">
        <v>0</v>
      </c>
    </row>
    <row r="1032" spans="1:6" x14ac:dyDescent="0.25">
      <c r="A1032">
        <v>1734</v>
      </c>
      <c r="B1032" s="16">
        <v>44075</v>
      </c>
      <c r="C1032" t="s">
        <v>34</v>
      </c>
      <c r="D1032" s="21">
        <v>7594316.1000000006</v>
      </c>
      <c r="E1032" s="21">
        <v>-7594316.1000000006</v>
      </c>
      <c r="F1032" s="21">
        <v>0</v>
      </c>
    </row>
    <row r="1033" spans="1:6" x14ac:dyDescent="0.25">
      <c r="A1033">
        <v>1734</v>
      </c>
      <c r="B1033" s="16">
        <v>44075</v>
      </c>
      <c r="C1033" t="s">
        <v>192</v>
      </c>
      <c r="D1033" s="21">
        <v>14609589.041095892</v>
      </c>
      <c r="E1033" s="21">
        <v>-14609589.041095892</v>
      </c>
      <c r="F1033" s="21">
        <v>0</v>
      </c>
    </row>
    <row r="1034" spans="1:6" x14ac:dyDescent="0.25">
      <c r="A1034">
        <v>1734</v>
      </c>
      <c r="B1034" s="16">
        <v>44075</v>
      </c>
      <c r="C1034" t="s">
        <v>14</v>
      </c>
      <c r="D1034" s="21">
        <v>7008008.1750000007</v>
      </c>
      <c r="E1034" s="21">
        <v>-7008008.1750000007</v>
      </c>
      <c r="F1034" s="21">
        <v>0</v>
      </c>
    </row>
    <row r="1035" spans="1:6" x14ac:dyDescent="0.25">
      <c r="A1035">
        <v>1734</v>
      </c>
      <c r="B1035" s="16">
        <v>44075</v>
      </c>
      <c r="C1035" t="s">
        <v>19</v>
      </c>
      <c r="D1035" s="21">
        <v>3572100</v>
      </c>
      <c r="E1035" s="21">
        <v>-3572100</v>
      </c>
      <c r="F1035" s="21">
        <v>0</v>
      </c>
    </row>
    <row r="1036" spans="1:6" x14ac:dyDescent="0.25">
      <c r="A1036">
        <v>1734</v>
      </c>
      <c r="B1036" s="16">
        <v>44075</v>
      </c>
      <c r="C1036" t="s">
        <v>30</v>
      </c>
      <c r="D1036" s="21">
        <v>7594316.1000000006</v>
      </c>
      <c r="E1036" s="21">
        <v>-7594316.1000000006</v>
      </c>
      <c r="F1036" s="21">
        <v>0</v>
      </c>
    </row>
    <row r="1037" spans="1:6" x14ac:dyDescent="0.25">
      <c r="A1037">
        <v>1744</v>
      </c>
      <c r="B1037" s="16">
        <v>43466</v>
      </c>
      <c r="C1037" t="s">
        <v>192</v>
      </c>
      <c r="D1037" s="21">
        <v>35458635</v>
      </c>
      <c r="E1037" s="21">
        <v>-35458635</v>
      </c>
      <c r="F1037" s="21">
        <v>0</v>
      </c>
    </row>
    <row r="1038" spans="1:6" x14ac:dyDescent="0.25">
      <c r="A1038">
        <v>1744</v>
      </c>
      <c r="B1038" s="16">
        <v>43497</v>
      </c>
      <c r="C1038" t="s">
        <v>192</v>
      </c>
      <c r="D1038" s="21">
        <v>35458635</v>
      </c>
      <c r="E1038" s="21">
        <v>-35458635</v>
      </c>
      <c r="F1038" s="21">
        <v>0</v>
      </c>
    </row>
    <row r="1039" spans="1:6" x14ac:dyDescent="0.25">
      <c r="A1039">
        <v>1744</v>
      </c>
      <c r="B1039" s="16">
        <v>43525</v>
      </c>
      <c r="C1039" t="s">
        <v>192</v>
      </c>
      <c r="D1039" s="21">
        <v>35458635</v>
      </c>
      <c r="E1039" s="21">
        <v>-35458635</v>
      </c>
      <c r="F1039" s="21">
        <v>0</v>
      </c>
    </row>
    <row r="1040" spans="1:6" x14ac:dyDescent="0.25">
      <c r="A1040">
        <v>1744</v>
      </c>
      <c r="B1040" s="16">
        <v>43556</v>
      </c>
      <c r="C1040" t="s">
        <v>192</v>
      </c>
      <c r="D1040" s="21">
        <v>35458635</v>
      </c>
      <c r="E1040" s="21">
        <v>-35458635</v>
      </c>
      <c r="F1040" s="21">
        <v>0</v>
      </c>
    </row>
    <row r="1041" spans="1:6" x14ac:dyDescent="0.25">
      <c r="A1041">
        <v>1744</v>
      </c>
      <c r="B1041" s="16">
        <v>43586</v>
      </c>
      <c r="C1041" t="s">
        <v>192</v>
      </c>
      <c r="D1041" s="21">
        <v>35458635</v>
      </c>
      <c r="E1041" s="21">
        <v>-35458635</v>
      </c>
      <c r="F1041" s="21">
        <v>0</v>
      </c>
    </row>
    <row r="1042" spans="1:6" x14ac:dyDescent="0.25">
      <c r="A1042">
        <v>1744</v>
      </c>
      <c r="B1042" s="16">
        <v>43617</v>
      </c>
      <c r="C1042" t="s">
        <v>192</v>
      </c>
      <c r="D1042" s="21">
        <v>35458635</v>
      </c>
      <c r="E1042" s="21">
        <v>-35458635</v>
      </c>
      <c r="F1042" s="21">
        <v>0</v>
      </c>
    </row>
    <row r="1043" spans="1:6" x14ac:dyDescent="0.25">
      <c r="A1043">
        <v>1744</v>
      </c>
      <c r="B1043" s="16">
        <v>43647</v>
      </c>
      <c r="C1043" t="s">
        <v>192</v>
      </c>
      <c r="D1043" s="21">
        <v>35458635</v>
      </c>
      <c r="E1043" s="21">
        <v>-35458635</v>
      </c>
      <c r="F1043" s="21">
        <v>0</v>
      </c>
    </row>
    <row r="1044" spans="1:6" x14ac:dyDescent="0.25">
      <c r="A1044">
        <v>1744</v>
      </c>
      <c r="B1044" s="16">
        <v>43678</v>
      </c>
      <c r="C1044" t="s">
        <v>192</v>
      </c>
      <c r="D1044" s="21">
        <v>35458635</v>
      </c>
      <c r="E1044" s="21">
        <v>-35458635</v>
      </c>
      <c r="F1044" s="21">
        <v>0</v>
      </c>
    </row>
    <row r="1045" spans="1:6" x14ac:dyDescent="0.25">
      <c r="A1045">
        <v>1751</v>
      </c>
      <c r="B1045" s="16">
        <v>43466</v>
      </c>
      <c r="C1045" t="s">
        <v>192</v>
      </c>
      <c r="D1045" s="21">
        <v>15500000</v>
      </c>
      <c r="E1045" s="21">
        <v>-15500000</v>
      </c>
      <c r="F1045" s="21">
        <v>0</v>
      </c>
    </row>
    <row r="1046" spans="1:6" x14ac:dyDescent="0.25">
      <c r="A1046">
        <v>1751</v>
      </c>
      <c r="B1046" s="16">
        <v>43466</v>
      </c>
      <c r="C1046" t="s">
        <v>26</v>
      </c>
      <c r="D1046" s="21">
        <v>8365287.65625</v>
      </c>
      <c r="E1046" s="21">
        <v>-8365287.65625</v>
      </c>
      <c r="F1046" s="21">
        <v>0</v>
      </c>
    </row>
    <row r="1047" spans="1:6" x14ac:dyDescent="0.25">
      <c r="A1047">
        <v>1751</v>
      </c>
      <c r="B1047" s="16">
        <v>43497</v>
      </c>
      <c r="C1047" t="s">
        <v>192</v>
      </c>
      <c r="D1047" s="21">
        <v>15500000</v>
      </c>
      <c r="E1047" s="21">
        <v>-15500000</v>
      </c>
      <c r="F1047" s="21">
        <v>0</v>
      </c>
    </row>
    <row r="1048" spans="1:6" x14ac:dyDescent="0.25">
      <c r="A1048">
        <v>1751</v>
      </c>
      <c r="B1048" s="16">
        <v>43497</v>
      </c>
      <c r="C1048" t="s">
        <v>26</v>
      </c>
      <c r="D1048" s="21">
        <v>8365287.65625</v>
      </c>
      <c r="E1048" s="21">
        <v>-8365287.65625</v>
      </c>
      <c r="F1048" s="21">
        <v>0</v>
      </c>
    </row>
    <row r="1049" spans="1:6" x14ac:dyDescent="0.25">
      <c r="A1049">
        <v>1751</v>
      </c>
      <c r="B1049" s="16">
        <v>43525</v>
      </c>
      <c r="C1049" t="s">
        <v>192</v>
      </c>
      <c r="D1049" s="21">
        <v>15500000</v>
      </c>
      <c r="E1049" s="21"/>
      <c r="F1049" s="21">
        <v>15500000</v>
      </c>
    </row>
    <row r="1050" spans="1:6" x14ac:dyDescent="0.25">
      <c r="A1050">
        <v>1751</v>
      </c>
      <c r="B1050" s="16">
        <v>43556</v>
      </c>
      <c r="C1050" t="s">
        <v>192</v>
      </c>
      <c r="D1050" s="21">
        <v>15500000</v>
      </c>
      <c r="E1050" s="21"/>
      <c r="F1050" s="21">
        <v>15500000</v>
      </c>
    </row>
    <row r="1051" spans="1:6" x14ac:dyDescent="0.25">
      <c r="A1051">
        <v>1751</v>
      </c>
      <c r="B1051" s="16">
        <v>43586</v>
      </c>
      <c r="C1051" t="s">
        <v>192</v>
      </c>
      <c r="D1051" s="21">
        <v>15500000</v>
      </c>
      <c r="E1051" s="21"/>
      <c r="F1051" s="21">
        <v>15500000</v>
      </c>
    </row>
    <row r="1052" spans="1:6" x14ac:dyDescent="0.25">
      <c r="A1052">
        <v>1753</v>
      </c>
      <c r="B1052" s="16">
        <v>43466</v>
      </c>
      <c r="C1052" t="s">
        <v>192</v>
      </c>
      <c r="D1052" s="21">
        <v>10000000</v>
      </c>
      <c r="E1052" s="21">
        <v>-10000000</v>
      </c>
      <c r="F1052" s="21">
        <v>0</v>
      </c>
    </row>
    <row r="1053" spans="1:6" x14ac:dyDescent="0.25">
      <c r="A1053">
        <v>1753</v>
      </c>
      <c r="B1053" s="16">
        <v>43466</v>
      </c>
      <c r="C1053" t="s">
        <v>59</v>
      </c>
      <c r="D1053" s="21">
        <v>2504250</v>
      </c>
      <c r="E1053" s="21">
        <v>-2504250</v>
      </c>
      <c r="F1053" s="21">
        <v>0</v>
      </c>
    </row>
    <row r="1054" spans="1:6" x14ac:dyDescent="0.25">
      <c r="A1054">
        <v>1753</v>
      </c>
      <c r="B1054" s="16">
        <v>43466</v>
      </c>
      <c r="C1054" t="s">
        <v>38</v>
      </c>
      <c r="D1054" s="21">
        <v>4165803.1799999997</v>
      </c>
      <c r="E1054" s="21">
        <v>-4165803.1799999997</v>
      </c>
      <c r="F1054" s="21">
        <v>0</v>
      </c>
    </row>
    <row r="1055" spans="1:6" x14ac:dyDescent="0.25">
      <c r="A1055">
        <v>1753</v>
      </c>
      <c r="B1055" s="16">
        <v>43466</v>
      </c>
      <c r="C1055" t="s">
        <v>122</v>
      </c>
      <c r="D1055" s="21">
        <v>7324096.5</v>
      </c>
      <c r="E1055" s="21">
        <v>-7324096.5</v>
      </c>
      <c r="F1055" s="21">
        <v>0</v>
      </c>
    </row>
    <row r="1056" spans="1:6" x14ac:dyDescent="0.25">
      <c r="A1056">
        <v>1753</v>
      </c>
      <c r="B1056" s="16">
        <v>43466</v>
      </c>
      <c r="C1056" t="s">
        <v>24</v>
      </c>
      <c r="D1056" s="21">
        <v>4165803.1799999997</v>
      </c>
      <c r="E1056" s="21">
        <v>-4165803.1799999997</v>
      </c>
      <c r="F1056" s="21">
        <v>0</v>
      </c>
    </row>
    <row r="1057" spans="1:6" x14ac:dyDescent="0.25">
      <c r="A1057">
        <v>1756</v>
      </c>
      <c r="B1057" s="16">
        <v>43466</v>
      </c>
      <c r="C1057" t="s">
        <v>192</v>
      </c>
      <c r="D1057" s="21">
        <v>62778573</v>
      </c>
      <c r="E1057" s="21">
        <v>-62778573</v>
      </c>
      <c r="F1057" s="21">
        <v>0</v>
      </c>
    </row>
    <row r="1058" spans="1:6" x14ac:dyDescent="0.25">
      <c r="A1058">
        <v>1756</v>
      </c>
      <c r="B1058" s="16">
        <v>43497</v>
      </c>
      <c r="C1058" t="s">
        <v>192</v>
      </c>
      <c r="D1058" s="21">
        <v>62778573</v>
      </c>
      <c r="E1058" s="21">
        <v>-62778573</v>
      </c>
      <c r="F1058" s="21">
        <v>0</v>
      </c>
    </row>
    <row r="1059" spans="1:6" x14ac:dyDescent="0.25">
      <c r="A1059">
        <v>1756</v>
      </c>
      <c r="B1059" s="16">
        <v>43525</v>
      </c>
      <c r="C1059" t="s">
        <v>192</v>
      </c>
      <c r="D1059" s="21">
        <v>62778573</v>
      </c>
      <c r="E1059" s="21">
        <v>-62778573</v>
      </c>
      <c r="F1059" s="21">
        <v>0</v>
      </c>
    </row>
    <row r="1060" spans="1:6" x14ac:dyDescent="0.25">
      <c r="A1060">
        <v>1756</v>
      </c>
      <c r="B1060" s="16">
        <v>43556</v>
      </c>
      <c r="C1060" t="s">
        <v>192</v>
      </c>
      <c r="D1060" s="21">
        <v>62778573</v>
      </c>
      <c r="E1060" s="21">
        <v>-62778573</v>
      </c>
      <c r="F1060" s="21">
        <v>0</v>
      </c>
    </row>
    <row r="1061" spans="1:6" x14ac:dyDescent="0.25">
      <c r="A1061">
        <v>1756</v>
      </c>
      <c r="B1061" s="16">
        <v>43586</v>
      </c>
      <c r="C1061" t="s">
        <v>192</v>
      </c>
      <c r="D1061" s="21">
        <v>62778573</v>
      </c>
      <c r="E1061" s="21">
        <v>-62778573</v>
      </c>
      <c r="F1061" s="21">
        <v>0</v>
      </c>
    </row>
    <row r="1062" spans="1:6" x14ac:dyDescent="0.25">
      <c r="A1062">
        <v>1756</v>
      </c>
      <c r="B1062" s="16">
        <v>43617</v>
      </c>
      <c r="C1062" t="s">
        <v>192</v>
      </c>
      <c r="D1062" s="21">
        <v>62778573</v>
      </c>
      <c r="E1062" s="21"/>
      <c r="F1062" s="21">
        <v>62778573</v>
      </c>
    </row>
    <row r="1063" spans="1:6" x14ac:dyDescent="0.25">
      <c r="A1063">
        <v>1756</v>
      </c>
      <c r="B1063" s="16">
        <v>43647</v>
      </c>
      <c r="C1063" t="s">
        <v>192</v>
      </c>
      <c r="D1063" s="21">
        <v>62778573</v>
      </c>
      <c r="E1063" s="21"/>
      <c r="F1063" s="21">
        <v>62778573</v>
      </c>
    </row>
    <row r="1064" spans="1:6" x14ac:dyDescent="0.25">
      <c r="A1064">
        <v>1756</v>
      </c>
      <c r="B1064" s="16">
        <v>43678</v>
      </c>
      <c r="C1064" t="s">
        <v>192</v>
      </c>
      <c r="D1064" s="21">
        <v>62778573</v>
      </c>
      <c r="E1064" s="21"/>
      <c r="F1064" s="21">
        <v>62778573</v>
      </c>
    </row>
    <row r="1065" spans="1:6" x14ac:dyDescent="0.25">
      <c r="A1065">
        <v>1756</v>
      </c>
      <c r="B1065" s="16">
        <v>43709</v>
      </c>
      <c r="C1065" t="s">
        <v>192</v>
      </c>
      <c r="D1065" s="21">
        <v>62778573</v>
      </c>
      <c r="E1065" s="21"/>
      <c r="F1065" s="21">
        <v>62778573</v>
      </c>
    </row>
    <row r="1066" spans="1:6" x14ac:dyDescent="0.25">
      <c r="A1066">
        <v>1758</v>
      </c>
      <c r="B1066" s="16">
        <v>43466</v>
      </c>
      <c r="C1066" t="s">
        <v>12</v>
      </c>
      <c r="D1066" s="21">
        <v>12599152.25625</v>
      </c>
      <c r="E1066" s="21">
        <v>-12599152.25625</v>
      </c>
      <c r="F1066" s="21">
        <v>0</v>
      </c>
    </row>
    <row r="1067" spans="1:6" x14ac:dyDescent="0.25">
      <c r="A1067">
        <v>1758</v>
      </c>
      <c r="B1067" s="16">
        <v>43466</v>
      </c>
      <c r="C1067" t="s">
        <v>192</v>
      </c>
      <c r="D1067" s="21">
        <v>16500000</v>
      </c>
      <c r="E1067" s="21">
        <v>-16500000</v>
      </c>
      <c r="F1067" s="21">
        <v>0</v>
      </c>
    </row>
    <row r="1068" spans="1:6" x14ac:dyDescent="0.25">
      <c r="A1068">
        <v>1758</v>
      </c>
      <c r="B1068" s="16">
        <v>43466</v>
      </c>
      <c r="C1068" t="s">
        <v>19</v>
      </c>
      <c r="D1068" s="21">
        <v>3839596.7085000006</v>
      </c>
      <c r="E1068" s="21">
        <v>-3839596.7085000006</v>
      </c>
      <c r="F1068" s="21">
        <v>0</v>
      </c>
    </row>
    <row r="1069" spans="1:6" x14ac:dyDescent="0.25">
      <c r="A1069">
        <v>1758</v>
      </c>
      <c r="B1069" s="16">
        <v>43466</v>
      </c>
      <c r="C1069" t="s">
        <v>125</v>
      </c>
      <c r="D1069" s="21">
        <v>7005285</v>
      </c>
      <c r="E1069" s="21">
        <v>-7005285</v>
      </c>
      <c r="F1069" s="21">
        <v>0</v>
      </c>
    </row>
    <row r="1070" spans="1:6" x14ac:dyDescent="0.25">
      <c r="A1070">
        <v>1758</v>
      </c>
      <c r="B1070" s="16">
        <v>43497</v>
      </c>
      <c r="C1070" t="s">
        <v>12</v>
      </c>
      <c r="D1070" s="21">
        <v>12599152.25625</v>
      </c>
      <c r="E1070" s="21">
        <v>-12599152.25625</v>
      </c>
      <c r="F1070" s="21">
        <v>0</v>
      </c>
    </row>
    <row r="1071" spans="1:6" x14ac:dyDescent="0.25">
      <c r="A1071">
        <v>1758</v>
      </c>
      <c r="B1071" s="16">
        <v>43497</v>
      </c>
      <c r="C1071" t="s">
        <v>192</v>
      </c>
      <c r="D1071" s="21">
        <v>16500000</v>
      </c>
      <c r="E1071" s="21">
        <v>-16500000</v>
      </c>
      <c r="F1071" s="21">
        <v>0</v>
      </c>
    </row>
    <row r="1072" spans="1:6" x14ac:dyDescent="0.25">
      <c r="A1072">
        <v>1758</v>
      </c>
      <c r="B1072" s="16">
        <v>43497</v>
      </c>
      <c r="C1072" t="s">
        <v>19</v>
      </c>
      <c r="D1072" s="21">
        <v>3839596.7085000006</v>
      </c>
      <c r="E1072" s="21">
        <v>-3839596.7085000006</v>
      </c>
      <c r="F1072" s="21">
        <v>0</v>
      </c>
    </row>
    <row r="1073" spans="1:6" x14ac:dyDescent="0.25">
      <c r="A1073">
        <v>1758</v>
      </c>
      <c r="B1073" s="16">
        <v>43497</v>
      </c>
      <c r="C1073" t="s">
        <v>125</v>
      </c>
      <c r="D1073" s="21">
        <v>7005285</v>
      </c>
      <c r="E1073" s="21">
        <v>-7005285</v>
      </c>
      <c r="F1073" s="21">
        <v>0</v>
      </c>
    </row>
    <row r="1074" spans="1:6" x14ac:dyDescent="0.25">
      <c r="A1074">
        <v>1758</v>
      </c>
      <c r="B1074" s="16">
        <v>43525</v>
      </c>
      <c r="C1074" t="s">
        <v>12</v>
      </c>
      <c r="D1074" s="21">
        <v>12599152.25625</v>
      </c>
      <c r="E1074" s="21">
        <v>-12599152.25625</v>
      </c>
      <c r="F1074" s="21">
        <v>0</v>
      </c>
    </row>
    <row r="1075" spans="1:6" x14ac:dyDescent="0.25">
      <c r="A1075">
        <v>1758</v>
      </c>
      <c r="B1075" s="16">
        <v>43525</v>
      </c>
      <c r="C1075" t="s">
        <v>192</v>
      </c>
      <c r="D1075" s="21">
        <v>16500000</v>
      </c>
      <c r="E1075" s="21">
        <v>-16500000</v>
      </c>
      <c r="F1075" s="21">
        <v>0</v>
      </c>
    </row>
    <row r="1076" spans="1:6" x14ac:dyDescent="0.25">
      <c r="A1076">
        <v>1758</v>
      </c>
      <c r="B1076" s="16">
        <v>43525</v>
      </c>
      <c r="C1076" t="s">
        <v>19</v>
      </c>
      <c r="D1076" s="21">
        <v>3839596.7085000006</v>
      </c>
      <c r="E1076" s="21">
        <v>-3839596.7085000006</v>
      </c>
      <c r="F1076" s="21">
        <v>0</v>
      </c>
    </row>
    <row r="1077" spans="1:6" x14ac:dyDescent="0.25">
      <c r="A1077">
        <v>1758</v>
      </c>
      <c r="B1077" s="16">
        <v>43525</v>
      </c>
      <c r="C1077" t="s">
        <v>125</v>
      </c>
      <c r="D1077" s="21">
        <v>7005285</v>
      </c>
      <c r="E1077" s="21">
        <v>-7005285</v>
      </c>
      <c r="F1077" s="21">
        <v>0</v>
      </c>
    </row>
    <row r="1078" spans="1:6" x14ac:dyDescent="0.25">
      <c r="A1078">
        <v>1758</v>
      </c>
      <c r="B1078" s="16">
        <v>43556</v>
      </c>
      <c r="C1078" t="s">
        <v>12</v>
      </c>
      <c r="D1078" s="21">
        <v>12599152.25625</v>
      </c>
      <c r="E1078" s="21">
        <v>-12599152.25625</v>
      </c>
      <c r="F1078" s="21">
        <v>0</v>
      </c>
    </row>
    <row r="1079" spans="1:6" x14ac:dyDescent="0.25">
      <c r="A1079">
        <v>1758</v>
      </c>
      <c r="B1079" s="16">
        <v>43556</v>
      </c>
      <c r="C1079" t="s">
        <v>192</v>
      </c>
      <c r="D1079" s="21">
        <v>16500000</v>
      </c>
      <c r="E1079" s="21">
        <v>-16500000</v>
      </c>
      <c r="F1079" s="21">
        <v>0</v>
      </c>
    </row>
    <row r="1080" spans="1:6" x14ac:dyDescent="0.25">
      <c r="A1080">
        <v>1758</v>
      </c>
      <c r="B1080" s="16">
        <v>43556</v>
      </c>
      <c r="C1080" t="s">
        <v>19</v>
      </c>
      <c r="D1080" s="21">
        <v>3839596.7085000006</v>
      </c>
      <c r="E1080" s="21">
        <v>-3839596.7085000006</v>
      </c>
      <c r="F1080" s="21">
        <v>0</v>
      </c>
    </row>
    <row r="1081" spans="1:6" x14ac:dyDescent="0.25">
      <c r="A1081">
        <v>1758</v>
      </c>
      <c r="B1081" s="16">
        <v>43556</v>
      </c>
      <c r="C1081" t="s">
        <v>125</v>
      </c>
      <c r="D1081" s="21">
        <v>7005285</v>
      </c>
      <c r="E1081" s="21">
        <v>-7005285</v>
      </c>
      <c r="F1081" s="21">
        <v>0</v>
      </c>
    </row>
    <row r="1082" spans="1:6" x14ac:dyDescent="0.25">
      <c r="A1082">
        <v>1758</v>
      </c>
      <c r="B1082" s="16">
        <v>43586</v>
      </c>
      <c r="C1082" t="s">
        <v>12</v>
      </c>
      <c r="D1082" s="21">
        <v>12599152.25625</v>
      </c>
      <c r="E1082" s="21">
        <v>-12599152.25625</v>
      </c>
      <c r="F1082" s="21">
        <v>0</v>
      </c>
    </row>
    <row r="1083" spans="1:6" x14ac:dyDescent="0.25">
      <c r="A1083">
        <v>1758</v>
      </c>
      <c r="B1083" s="16">
        <v>43586</v>
      </c>
      <c r="C1083" t="s">
        <v>192</v>
      </c>
      <c r="D1083" s="21">
        <v>16500000</v>
      </c>
      <c r="E1083" s="21">
        <v>-16500000</v>
      </c>
      <c r="F1083" s="21">
        <v>0</v>
      </c>
    </row>
    <row r="1084" spans="1:6" x14ac:dyDescent="0.25">
      <c r="A1084">
        <v>1758</v>
      </c>
      <c r="B1084" s="16">
        <v>43586</v>
      </c>
      <c r="C1084" t="s">
        <v>19</v>
      </c>
      <c r="D1084" s="21">
        <v>3839596.7085000006</v>
      </c>
      <c r="E1084" s="21">
        <v>-3839596.7085000006</v>
      </c>
      <c r="F1084" s="21">
        <v>0</v>
      </c>
    </row>
    <row r="1085" spans="1:6" x14ac:dyDescent="0.25">
      <c r="A1085">
        <v>1758</v>
      </c>
      <c r="B1085" s="16">
        <v>43586</v>
      </c>
      <c r="C1085" t="s">
        <v>125</v>
      </c>
      <c r="D1085" s="21">
        <v>7005285</v>
      </c>
      <c r="E1085" s="21">
        <v>-7005285</v>
      </c>
      <c r="F1085" s="21">
        <v>0</v>
      </c>
    </row>
    <row r="1086" spans="1:6" x14ac:dyDescent="0.25">
      <c r="A1086">
        <v>1758</v>
      </c>
      <c r="B1086" s="16">
        <v>43617</v>
      </c>
      <c r="C1086" t="s">
        <v>12</v>
      </c>
      <c r="D1086" s="21">
        <v>12599152.25625</v>
      </c>
      <c r="E1086" s="21">
        <v>-12599152.25625</v>
      </c>
      <c r="F1086" s="21">
        <v>0</v>
      </c>
    </row>
    <row r="1087" spans="1:6" x14ac:dyDescent="0.25">
      <c r="A1087">
        <v>1758</v>
      </c>
      <c r="B1087" s="16">
        <v>43617</v>
      </c>
      <c r="C1087" t="s">
        <v>192</v>
      </c>
      <c r="D1087" s="21">
        <v>16500000</v>
      </c>
      <c r="E1087" s="21">
        <v>-16500000</v>
      </c>
      <c r="F1087" s="21">
        <v>0</v>
      </c>
    </row>
    <row r="1088" spans="1:6" x14ac:dyDescent="0.25">
      <c r="A1088">
        <v>1758</v>
      </c>
      <c r="B1088" s="16">
        <v>43617</v>
      </c>
      <c r="C1088" t="s">
        <v>19</v>
      </c>
      <c r="D1088" s="21">
        <v>3839596.7085000006</v>
      </c>
      <c r="E1088" s="21">
        <v>-3839596.7085000006</v>
      </c>
      <c r="F1088" s="21">
        <v>0</v>
      </c>
    </row>
    <row r="1089" spans="1:6" x14ac:dyDescent="0.25">
      <c r="A1089">
        <v>1758</v>
      </c>
      <c r="B1089" s="16">
        <v>43617</v>
      </c>
      <c r="C1089" t="s">
        <v>125</v>
      </c>
      <c r="D1089" s="21">
        <v>7005285</v>
      </c>
      <c r="E1089" s="21">
        <v>-7005285</v>
      </c>
      <c r="F1089" s="21">
        <v>0</v>
      </c>
    </row>
    <row r="1090" spans="1:6" x14ac:dyDescent="0.25">
      <c r="A1090">
        <v>1758</v>
      </c>
      <c r="B1090" s="16">
        <v>43647</v>
      </c>
      <c r="C1090" t="s">
        <v>12</v>
      </c>
      <c r="D1090" s="21">
        <v>12599152.25625</v>
      </c>
      <c r="E1090" s="21">
        <v>-12599152.25625</v>
      </c>
      <c r="F1090" s="21">
        <v>0</v>
      </c>
    </row>
    <row r="1091" spans="1:6" x14ac:dyDescent="0.25">
      <c r="A1091">
        <v>1758</v>
      </c>
      <c r="B1091" s="16">
        <v>43647</v>
      </c>
      <c r="C1091" t="s">
        <v>192</v>
      </c>
      <c r="D1091" s="21">
        <v>16500000</v>
      </c>
      <c r="E1091" s="21">
        <v>-16500000</v>
      </c>
      <c r="F1091" s="21">
        <v>0</v>
      </c>
    </row>
    <row r="1092" spans="1:6" x14ac:dyDescent="0.25">
      <c r="A1092">
        <v>1758</v>
      </c>
      <c r="B1092" s="16">
        <v>43647</v>
      </c>
      <c r="C1092" t="s">
        <v>19</v>
      </c>
      <c r="D1092" s="21">
        <v>3839596.7085000006</v>
      </c>
      <c r="E1092" s="21">
        <v>-3839596.7085000006</v>
      </c>
      <c r="F1092" s="21">
        <v>0</v>
      </c>
    </row>
    <row r="1093" spans="1:6" x14ac:dyDescent="0.25">
      <c r="A1093">
        <v>1758</v>
      </c>
      <c r="B1093" s="16">
        <v>43647</v>
      </c>
      <c r="C1093" t="s">
        <v>125</v>
      </c>
      <c r="D1093" s="21">
        <v>7005285</v>
      </c>
      <c r="E1093" s="21">
        <v>-7005285</v>
      </c>
      <c r="F1093" s="21">
        <v>0</v>
      </c>
    </row>
    <row r="1094" spans="1:6" x14ac:dyDescent="0.25">
      <c r="A1094">
        <v>1758</v>
      </c>
      <c r="B1094" s="16">
        <v>43678</v>
      </c>
      <c r="C1094" t="s">
        <v>12</v>
      </c>
      <c r="D1094" s="21">
        <v>12599152.25625</v>
      </c>
      <c r="E1094" s="21">
        <v>-12599152.25625</v>
      </c>
      <c r="F1094" s="21">
        <v>0</v>
      </c>
    </row>
    <row r="1095" spans="1:6" x14ac:dyDescent="0.25">
      <c r="A1095">
        <v>1758</v>
      </c>
      <c r="B1095" s="16">
        <v>43678</v>
      </c>
      <c r="C1095" t="s">
        <v>192</v>
      </c>
      <c r="D1095" s="21">
        <v>16500000</v>
      </c>
      <c r="E1095" s="21">
        <v>-16500000</v>
      </c>
      <c r="F1095" s="21">
        <v>0</v>
      </c>
    </row>
    <row r="1096" spans="1:6" x14ac:dyDescent="0.25">
      <c r="A1096">
        <v>1758</v>
      </c>
      <c r="B1096" s="16">
        <v>43678</v>
      </c>
      <c r="C1096" t="s">
        <v>19</v>
      </c>
      <c r="D1096" s="21">
        <v>3839596.7085000006</v>
      </c>
      <c r="E1096" s="21">
        <v>-3839596.7085000006</v>
      </c>
      <c r="F1096" s="21">
        <v>0</v>
      </c>
    </row>
    <row r="1097" spans="1:6" x14ac:dyDescent="0.25">
      <c r="A1097">
        <v>1758</v>
      </c>
      <c r="B1097" s="16">
        <v>43678</v>
      </c>
      <c r="C1097" t="s">
        <v>125</v>
      </c>
      <c r="D1097" s="21">
        <v>7005285</v>
      </c>
      <c r="E1097" s="21">
        <v>-7005285</v>
      </c>
      <c r="F1097" s="21">
        <v>0</v>
      </c>
    </row>
    <row r="1098" spans="1:6" x14ac:dyDescent="0.25">
      <c r="A1098">
        <v>1758</v>
      </c>
      <c r="B1098" s="16">
        <v>43709</v>
      </c>
      <c r="C1098" t="s">
        <v>12</v>
      </c>
      <c r="D1098" s="21">
        <v>12599152.25625</v>
      </c>
      <c r="E1098" s="21">
        <v>-12599152.25625</v>
      </c>
      <c r="F1098" s="21">
        <v>0</v>
      </c>
    </row>
    <row r="1099" spans="1:6" x14ac:dyDescent="0.25">
      <c r="A1099">
        <v>1758</v>
      </c>
      <c r="B1099" s="16">
        <v>43709</v>
      </c>
      <c r="C1099" t="s">
        <v>192</v>
      </c>
      <c r="D1099" s="21">
        <v>16500000</v>
      </c>
      <c r="E1099" s="21">
        <v>-16500000</v>
      </c>
      <c r="F1099" s="21">
        <v>0</v>
      </c>
    </row>
    <row r="1100" spans="1:6" x14ac:dyDescent="0.25">
      <c r="A1100">
        <v>1758</v>
      </c>
      <c r="B1100" s="16">
        <v>43709</v>
      </c>
      <c r="C1100" t="s">
        <v>19</v>
      </c>
      <c r="D1100" s="21">
        <v>3839596.7085000006</v>
      </c>
      <c r="E1100" s="21">
        <v>-3839596.7085000006</v>
      </c>
      <c r="F1100" s="21">
        <v>0</v>
      </c>
    </row>
    <row r="1101" spans="1:6" x14ac:dyDescent="0.25">
      <c r="A1101">
        <v>1758</v>
      </c>
      <c r="B1101" s="16">
        <v>43709</v>
      </c>
      <c r="C1101" t="s">
        <v>125</v>
      </c>
      <c r="D1101" s="21">
        <v>7005285</v>
      </c>
      <c r="E1101" s="21">
        <v>-7005285</v>
      </c>
      <c r="F1101" s="21">
        <v>0</v>
      </c>
    </row>
    <row r="1102" spans="1:6" x14ac:dyDescent="0.25">
      <c r="A1102">
        <v>1758</v>
      </c>
      <c r="B1102" s="16">
        <v>43739</v>
      </c>
      <c r="C1102" t="s">
        <v>12</v>
      </c>
      <c r="D1102" s="21">
        <v>12599152.25625</v>
      </c>
      <c r="E1102" s="21">
        <v>-12599152.25625</v>
      </c>
      <c r="F1102" s="21">
        <v>0</v>
      </c>
    </row>
    <row r="1103" spans="1:6" x14ac:dyDescent="0.25">
      <c r="A1103">
        <v>1758</v>
      </c>
      <c r="B1103" s="16">
        <v>43739</v>
      </c>
      <c r="C1103" t="s">
        <v>192</v>
      </c>
      <c r="D1103" s="21">
        <v>16500000</v>
      </c>
      <c r="E1103" s="21">
        <v>-16500000</v>
      </c>
      <c r="F1103" s="21">
        <v>0</v>
      </c>
    </row>
    <row r="1104" spans="1:6" x14ac:dyDescent="0.25">
      <c r="A1104">
        <v>1758</v>
      </c>
      <c r="B1104" s="16">
        <v>43739</v>
      </c>
      <c r="C1104" t="s">
        <v>19</v>
      </c>
      <c r="D1104" s="21">
        <v>3839596.7085000006</v>
      </c>
      <c r="E1104" s="21">
        <v>-3839596.7085000006</v>
      </c>
      <c r="F1104" s="21">
        <v>0</v>
      </c>
    </row>
    <row r="1105" spans="1:6" x14ac:dyDescent="0.25">
      <c r="A1105">
        <v>1758</v>
      </c>
      <c r="B1105" s="16">
        <v>43739</v>
      </c>
      <c r="C1105" t="s">
        <v>125</v>
      </c>
      <c r="D1105" s="21">
        <v>7005285</v>
      </c>
      <c r="E1105" s="21">
        <v>-7005285</v>
      </c>
      <c r="F1105" s="21">
        <v>0</v>
      </c>
    </row>
    <row r="1106" spans="1:6" x14ac:dyDescent="0.25">
      <c r="A1106">
        <v>1758</v>
      </c>
      <c r="B1106" s="16">
        <v>43770</v>
      </c>
      <c r="C1106" t="s">
        <v>12</v>
      </c>
      <c r="D1106" s="21">
        <v>12599152.25625</v>
      </c>
      <c r="E1106" s="21">
        <v>-12599152.25625</v>
      </c>
      <c r="F1106" s="21">
        <v>0</v>
      </c>
    </row>
    <row r="1107" spans="1:6" x14ac:dyDescent="0.25">
      <c r="A1107">
        <v>1758</v>
      </c>
      <c r="B1107" s="16">
        <v>43770</v>
      </c>
      <c r="C1107" t="s">
        <v>192</v>
      </c>
      <c r="D1107" s="21">
        <v>16500000</v>
      </c>
      <c r="E1107" s="21">
        <v>-16500000</v>
      </c>
      <c r="F1107" s="21">
        <v>0</v>
      </c>
    </row>
    <row r="1108" spans="1:6" x14ac:dyDescent="0.25">
      <c r="A1108">
        <v>1758</v>
      </c>
      <c r="B1108" s="16">
        <v>43770</v>
      </c>
      <c r="C1108" t="s">
        <v>19</v>
      </c>
      <c r="D1108" s="21">
        <v>3839596.7085000006</v>
      </c>
      <c r="E1108" s="21">
        <v>-3839596.7085000006</v>
      </c>
      <c r="F1108" s="21">
        <v>0</v>
      </c>
    </row>
    <row r="1109" spans="1:6" x14ac:dyDescent="0.25">
      <c r="A1109">
        <v>1758</v>
      </c>
      <c r="B1109" s="16">
        <v>43770</v>
      </c>
      <c r="C1109" t="s">
        <v>125</v>
      </c>
      <c r="D1109" s="21">
        <v>7005285</v>
      </c>
      <c r="E1109" s="21">
        <v>-7005285</v>
      </c>
      <c r="F1109" s="21">
        <v>0</v>
      </c>
    </row>
    <row r="1110" spans="1:6" x14ac:dyDescent="0.25">
      <c r="A1110">
        <v>1758</v>
      </c>
      <c r="B1110" s="16">
        <v>43800</v>
      </c>
      <c r="C1110" t="s">
        <v>12</v>
      </c>
      <c r="D1110" s="21">
        <v>12599152.25625</v>
      </c>
      <c r="E1110" s="21">
        <v>-12599152.25625</v>
      </c>
      <c r="F1110" s="21">
        <v>0</v>
      </c>
    </row>
    <row r="1111" spans="1:6" x14ac:dyDescent="0.25">
      <c r="A1111">
        <v>1758</v>
      </c>
      <c r="B1111" s="16">
        <v>43800</v>
      </c>
      <c r="C1111" t="s">
        <v>192</v>
      </c>
      <c r="D1111" s="21">
        <v>16500000</v>
      </c>
      <c r="E1111" s="21">
        <v>-16500000</v>
      </c>
      <c r="F1111" s="21">
        <v>0</v>
      </c>
    </row>
    <row r="1112" spans="1:6" x14ac:dyDescent="0.25">
      <c r="A1112">
        <v>1758</v>
      </c>
      <c r="B1112" s="16">
        <v>43800</v>
      </c>
      <c r="C1112" t="s">
        <v>19</v>
      </c>
      <c r="D1112" s="21">
        <v>3839596.7085000006</v>
      </c>
      <c r="E1112" s="21">
        <v>-3839596.7085000006</v>
      </c>
      <c r="F1112" s="21">
        <v>0</v>
      </c>
    </row>
    <row r="1113" spans="1:6" x14ac:dyDescent="0.25">
      <c r="A1113">
        <v>1758</v>
      </c>
      <c r="B1113" s="16">
        <v>43800</v>
      </c>
      <c r="C1113" t="s">
        <v>125</v>
      </c>
      <c r="D1113" s="21">
        <v>7005285</v>
      </c>
      <c r="E1113" s="21">
        <v>-7005285</v>
      </c>
      <c r="F1113" s="21">
        <v>0</v>
      </c>
    </row>
    <row r="1114" spans="1:6" x14ac:dyDescent="0.25">
      <c r="A1114">
        <v>1789</v>
      </c>
      <c r="B1114" s="16">
        <v>43466</v>
      </c>
      <c r="C1114" t="s">
        <v>127</v>
      </c>
      <c r="D1114" s="21">
        <v>8520078</v>
      </c>
      <c r="E1114" s="21">
        <v>-8520078</v>
      </c>
      <c r="F1114" s="21">
        <v>0</v>
      </c>
    </row>
    <row r="1115" spans="1:6" x14ac:dyDescent="0.25">
      <c r="A1115">
        <v>1789</v>
      </c>
      <c r="B1115" s="16">
        <v>43466</v>
      </c>
      <c r="C1115" t="s">
        <v>192</v>
      </c>
      <c r="D1115" s="21">
        <v>15400000</v>
      </c>
      <c r="E1115" s="21">
        <v>-15400000</v>
      </c>
      <c r="F1115" s="21">
        <v>0</v>
      </c>
    </row>
    <row r="1116" spans="1:6" x14ac:dyDescent="0.25">
      <c r="A1116">
        <v>1789</v>
      </c>
      <c r="B1116" s="16">
        <v>43466</v>
      </c>
      <c r="C1116" t="s">
        <v>126</v>
      </c>
      <c r="D1116" s="21">
        <v>8520078</v>
      </c>
      <c r="E1116" s="21">
        <v>-8520078</v>
      </c>
      <c r="F1116" s="21">
        <v>0</v>
      </c>
    </row>
    <row r="1117" spans="1:6" x14ac:dyDescent="0.25">
      <c r="A1117">
        <v>1789</v>
      </c>
      <c r="B1117" s="16">
        <v>43466</v>
      </c>
      <c r="C1117" t="s">
        <v>128</v>
      </c>
      <c r="D1117" s="21">
        <v>4462096.5</v>
      </c>
      <c r="E1117" s="21">
        <v>-4462096.5</v>
      </c>
      <c r="F1117" s="21">
        <v>0</v>
      </c>
    </row>
    <row r="1118" spans="1:6" x14ac:dyDescent="0.25">
      <c r="A1118">
        <v>1789</v>
      </c>
      <c r="B1118" s="16">
        <v>43466</v>
      </c>
      <c r="C1118" t="s">
        <v>19</v>
      </c>
      <c r="D1118" s="21">
        <v>2727772.2</v>
      </c>
      <c r="E1118" s="21">
        <v>-2727772.2</v>
      </c>
      <c r="F1118" s="21">
        <v>0</v>
      </c>
    </row>
    <row r="1119" spans="1:6" x14ac:dyDescent="0.25">
      <c r="A1119">
        <v>1789</v>
      </c>
      <c r="B1119" s="16">
        <v>43466</v>
      </c>
      <c r="C1119" t="s">
        <v>39</v>
      </c>
      <c r="D1119" s="21">
        <v>3872763</v>
      </c>
      <c r="E1119" s="21">
        <v>-3872763</v>
      </c>
      <c r="F1119" s="21">
        <v>0</v>
      </c>
    </row>
    <row r="1120" spans="1:6" x14ac:dyDescent="0.25">
      <c r="A1120">
        <v>1790</v>
      </c>
      <c r="B1120" s="16">
        <v>43556</v>
      </c>
      <c r="C1120" t="s">
        <v>135</v>
      </c>
      <c r="D1120" s="21">
        <v>3669727.95</v>
      </c>
      <c r="E1120" s="21">
        <v>-3669727.95</v>
      </c>
      <c r="F1120" s="21">
        <v>0</v>
      </c>
    </row>
    <row r="1121" spans="1:6" x14ac:dyDescent="0.25">
      <c r="A1121">
        <v>1790</v>
      </c>
      <c r="B1121" s="16">
        <v>43556</v>
      </c>
      <c r="C1121" t="s">
        <v>315</v>
      </c>
      <c r="D1121" s="21">
        <v>3916647</v>
      </c>
      <c r="E1121" s="21">
        <v>-3916647</v>
      </c>
      <c r="F1121" s="21">
        <v>0</v>
      </c>
    </row>
    <row r="1122" spans="1:6" x14ac:dyDescent="0.25">
      <c r="A1122">
        <v>1790</v>
      </c>
      <c r="B1122" s="16">
        <v>43556</v>
      </c>
      <c r="C1122" t="s">
        <v>182</v>
      </c>
      <c r="D1122" s="21">
        <v>3678242.4</v>
      </c>
      <c r="E1122" s="21">
        <v>-3678242.4</v>
      </c>
      <c r="F1122" s="21">
        <v>0</v>
      </c>
    </row>
    <row r="1123" spans="1:6" x14ac:dyDescent="0.25">
      <c r="A1123">
        <v>1790</v>
      </c>
      <c r="B1123" s="16">
        <v>43556</v>
      </c>
      <c r="C1123" t="s">
        <v>19</v>
      </c>
      <c r="D1123" s="21">
        <v>3050176.5</v>
      </c>
      <c r="E1123" s="21">
        <v>-3050176.5</v>
      </c>
      <c r="F1123" s="21">
        <v>0</v>
      </c>
    </row>
    <row r="1124" spans="1:6" x14ac:dyDescent="0.25">
      <c r="A1124">
        <v>1790</v>
      </c>
      <c r="B1124" s="16">
        <v>43556</v>
      </c>
      <c r="C1124" t="s">
        <v>318</v>
      </c>
      <c r="D1124" s="21">
        <v>3678242.4</v>
      </c>
      <c r="E1124" s="21">
        <v>-3678242.4</v>
      </c>
      <c r="F1124" s="21">
        <v>0</v>
      </c>
    </row>
    <row r="1125" spans="1:6" x14ac:dyDescent="0.25">
      <c r="A1125">
        <v>1790</v>
      </c>
      <c r="B1125" s="16">
        <v>43556</v>
      </c>
      <c r="C1125" t="s">
        <v>173</v>
      </c>
      <c r="D1125" s="21">
        <v>9883440</v>
      </c>
      <c r="E1125" s="21">
        <v>-9883440</v>
      </c>
      <c r="F1125" s="21">
        <v>0</v>
      </c>
    </row>
    <row r="1126" spans="1:6" x14ac:dyDescent="0.25">
      <c r="A1126">
        <v>1790</v>
      </c>
      <c r="B1126" s="16">
        <v>43556</v>
      </c>
      <c r="C1126" t="s">
        <v>317</v>
      </c>
      <c r="D1126" s="21">
        <v>4941720</v>
      </c>
      <c r="E1126" s="21">
        <v>-4941720</v>
      </c>
      <c r="F1126" s="21">
        <v>0</v>
      </c>
    </row>
    <row r="1127" spans="1:6" x14ac:dyDescent="0.25">
      <c r="A1127">
        <v>1790</v>
      </c>
      <c r="B1127" s="16">
        <v>43556</v>
      </c>
      <c r="C1127" t="s">
        <v>59</v>
      </c>
      <c r="D1127" s="21">
        <v>3847852</v>
      </c>
      <c r="E1127" s="21">
        <v>-3847852</v>
      </c>
      <c r="F1127" s="21">
        <v>0</v>
      </c>
    </row>
    <row r="1128" spans="1:6" x14ac:dyDescent="0.25">
      <c r="A1128">
        <v>1790</v>
      </c>
      <c r="B1128" s="16">
        <v>43556</v>
      </c>
      <c r="C1128" t="s">
        <v>174</v>
      </c>
      <c r="D1128" s="21">
        <v>4612272</v>
      </c>
      <c r="E1128" s="21">
        <v>-4612272</v>
      </c>
      <c r="F1128" s="21">
        <v>0</v>
      </c>
    </row>
    <row r="1129" spans="1:6" x14ac:dyDescent="0.25">
      <c r="A1129">
        <v>1790</v>
      </c>
      <c r="B1129" s="16">
        <v>43556</v>
      </c>
      <c r="C1129" t="s">
        <v>192</v>
      </c>
      <c r="D1129" s="21">
        <v>17160000</v>
      </c>
      <c r="E1129" s="21">
        <v>-17160000</v>
      </c>
      <c r="F1129" s="21">
        <v>0</v>
      </c>
    </row>
    <row r="1130" spans="1:6" x14ac:dyDescent="0.25">
      <c r="A1130">
        <v>1790</v>
      </c>
      <c r="B1130" s="16">
        <v>43556</v>
      </c>
      <c r="C1130" t="s">
        <v>316</v>
      </c>
      <c r="D1130" s="21">
        <v>7103634.4399999995</v>
      </c>
      <c r="E1130" s="21">
        <v>-7103634.4399999995</v>
      </c>
      <c r="F1130" s="21">
        <v>0</v>
      </c>
    </row>
    <row r="1131" spans="1:6" x14ac:dyDescent="0.25">
      <c r="A1131">
        <v>1790</v>
      </c>
      <c r="B1131" s="16">
        <v>43556</v>
      </c>
      <c r="C1131" t="s">
        <v>139</v>
      </c>
      <c r="D1131" s="21">
        <v>6012426</v>
      </c>
      <c r="E1131" s="21">
        <v>-6012426</v>
      </c>
      <c r="F1131" s="21">
        <v>0</v>
      </c>
    </row>
    <row r="1132" spans="1:6" x14ac:dyDescent="0.25">
      <c r="A1132">
        <v>1790</v>
      </c>
      <c r="B1132" s="16">
        <v>43556</v>
      </c>
      <c r="C1132" t="s">
        <v>314</v>
      </c>
      <c r="D1132" s="21">
        <v>11860128</v>
      </c>
      <c r="E1132" s="21">
        <v>-11860128</v>
      </c>
      <c r="F1132" s="21">
        <v>0</v>
      </c>
    </row>
    <row r="1133" spans="1:6" x14ac:dyDescent="0.25">
      <c r="A1133">
        <v>1790</v>
      </c>
      <c r="B1133" s="16">
        <v>43586</v>
      </c>
      <c r="C1133" t="s">
        <v>135</v>
      </c>
      <c r="D1133" s="21">
        <v>3669727.95</v>
      </c>
      <c r="E1133" s="21">
        <v>-3669727.95</v>
      </c>
      <c r="F1133" s="21">
        <v>0</v>
      </c>
    </row>
    <row r="1134" spans="1:6" x14ac:dyDescent="0.25">
      <c r="A1134">
        <v>1790</v>
      </c>
      <c r="B1134" s="16">
        <v>43586</v>
      </c>
      <c r="C1134" t="s">
        <v>315</v>
      </c>
      <c r="D1134" s="21">
        <v>3916647</v>
      </c>
      <c r="E1134" s="21">
        <v>-3916647</v>
      </c>
      <c r="F1134" s="21">
        <v>0</v>
      </c>
    </row>
    <row r="1135" spans="1:6" x14ac:dyDescent="0.25">
      <c r="A1135">
        <v>1790</v>
      </c>
      <c r="B1135" s="16">
        <v>43586</v>
      </c>
      <c r="C1135" t="s">
        <v>182</v>
      </c>
      <c r="D1135" s="21">
        <v>3678242.4</v>
      </c>
      <c r="E1135" s="21">
        <v>-3678242.4</v>
      </c>
      <c r="F1135" s="21">
        <v>0</v>
      </c>
    </row>
    <row r="1136" spans="1:6" x14ac:dyDescent="0.25">
      <c r="A1136">
        <v>1790</v>
      </c>
      <c r="B1136" s="16">
        <v>43586</v>
      </c>
      <c r="C1136" t="s">
        <v>19</v>
      </c>
      <c r="D1136" s="21">
        <v>3050176.5</v>
      </c>
      <c r="E1136" s="21">
        <v>-3050176.5</v>
      </c>
      <c r="F1136" s="21">
        <v>0</v>
      </c>
    </row>
    <row r="1137" spans="1:6" x14ac:dyDescent="0.25">
      <c r="A1137">
        <v>1790</v>
      </c>
      <c r="B1137" s="16">
        <v>43586</v>
      </c>
      <c r="C1137" t="s">
        <v>318</v>
      </c>
      <c r="D1137" s="21">
        <v>3678242.4</v>
      </c>
      <c r="E1137" s="21">
        <v>-3678242.4</v>
      </c>
      <c r="F1137" s="21">
        <v>0</v>
      </c>
    </row>
    <row r="1138" spans="1:6" x14ac:dyDescent="0.25">
      <c r="A1138">
        <v>1790</v>
      </c>
      <c r="B1138" s="16">
        <v>43586</v>
      </c>
      <c r="C1138" t="s">
        <v>173</v>
      </c>
      <c r="D1138" s="21">
        <v>9883440</v>
      </c>
      <c r="E1138" s="21">
        <v>-9883440</v>
      </c>
      <c r="F1138" s="21">
        <v>0</v>
      </c>
    </row>
    <row r="1139" spans="1:6" x14ac:dyDescent="0.25">
      <c r="A1139">
        <v>1790</v>
      </c>
      <c r="B1139" s="16">
        <v>43586</v>
      </c>
      <c r="C1139" t="s">
        <v>317</v>
      </c>
      <c r="D1139" s="21">
        <v>4941720</v>
      </c>
      <c r="E1139" s="21">
        <v>-4941720</v>
      </c>
      <c r="F1139" s="21">
        <v>0</v>
      </c>
    </row>
    <row r="1140" spans="1:6" x14ac:dyDescent="0.25">
      <c r="A1140">
        <v>1790</v>
      </c>
      <c r="B1140" s="16">
        <v>43586</v>
      </c>
      <c r="C1140" t="s">
        <v>59</v>
      </c>
      <c r="D1140" s="21">
        <v>3847852</v>
      </c>
      <c r="E1140" s="21">
        <v>-3847852</v>
      </c>
      <c r="F1140" s="21">
        <v>0</v>
      </c>
    </row>
    <row r="1141" spans="1:6" x14ac:dyDescent="0.25">
      <c r="A1141">
        <v>1790</v>
      </c>
      <c r="B1141" s="16">
        <v>43586</v>
      </c>
      <c r="C1141" t="s">
        <v>174</v>
      </c>
      <c r="D1141" s="21">
        <v>4612272</v>
      </c>
      <c r="E1141" s="21">
        <v>-4612272</v>
      </c>
      <c r="F1141" s="21">
        <v>0</v>
      </c>
    </row>
    <row r="1142" spans="1:6" x14ac:dyDescent="0.25">
      <c r="A1142">
        <v>1790</v>
      </c>
      <c r="B1142" s="16">
        <v>43586</v>
      </c>
      <c r="C1142" t="s">
        <v>192</v>
      </c>
      <c r="D1142" s="21">
        <v>17160000</v>
      </c>
      <c r="E1142" s="21">
        <v>-17160000</v>
      </c>
      <c r="F1142" s="21">
        <v>0</v>
      </c>
    </row>
    <row r="1143" spans="1:6" x14ac:dyDescent="0.25">
      <c r="A1143">
        <v>1790</v>
      </c>
      <c r="B1143" s="16">
        <v>43586</v>
      </c>
      <c r="C1143" t="s">
        <v>316</v>
      </c>
      <c r="D1143" s="21">
        <v>7103634.4399999995</v>
      </c>
      <c r="E1143" s="21">
        <v>-7103634.4399999995</v>
      </c>
      <c r="F1143" s="21">
        <v>0</v>
      </c>
    </row>
    <row r="1144" spans="1:6" x14ac:dyDescent="0.25">
      <c r="A1144">
        <v>1790</v>
      </c>
      <c r="B1144" s="16">
        <v>43586</v>
      </c>
      <c r="C1144" t="s">
        <v>139</v>
      </c>
      <c r="D1144" s="21">
        <v>6012426</v>
      </c>
      <c r="E1144" s="21">
        <v>-6012426</v>
      </c>
      <c r="F1144" s="21">
        <v>0</v>
      </c>
    </row>
    <row r="1145" spans="1:6" x14ac:dyDescent="0.25">
      <c r="A1145">
        <v>1790</v>
      </c>
      <c r="B1145" s="16">
        <v>43586</v>
      </c>
      <c r="C1145" t="s">
        <v>314</v>
      </c>
      <c r="D1145" s="21">
        <v>11860128</v>
      </c>
      <c r="E1145" s="21">
        <v>-11860128</v>
      </c>
      <c r="F1145" s="21">
        <v>0</v>
      </c>
    </row>
    <row r="1146" spans="1:6" x14ac:dyDescent="0.25">
      <c r="A1146">
        <v>1790</v>
      </c>
      <c r="B1146" s="16">
        <v>43617</v>
      </c>
      <c r="C1146" t="s">
        <v>135</v>
      </c>
      <c r="D1146" s="21">
        <v>3669727.95</v>
      </c>
      <c r="E1146" s="21">
        <v>-3669727.95</v>
      </c>
      <c r="F1146" s="21">
        <v>0</v>
      </c>
    </row>
    <row r="1147" spans="1:6" x14ac:dyDescent="0.25">
      <c r="A1147">
        <v>1790</v>
      </c>
      <c r="B1147" s="16">
        <v>43617</v>
      </c>
      <c r="C1147" t="s">
        <v>315</v>
      </c>
      <c r="D1147" s="21">
        <v>3916647</v>
      </c>
      <c r="E1147" s="21">
        <v>-3916647</v>
      </c>
      <c r="F1147" s="21">
        <v>0</v>
      </c>
    </row>
    <row r="1148" spans="1:6" x14ac:dyDescent="0.25">
      <c r="A1148">
        <v>1790</v>
      </c>
      <c r="B1148" s="16">
        <v>43617</v>
      </c>
      <c r="C1148" t="s">
        <v>182</v>
      </c>
      <c r="D1148" s="21">
        <v>3678242.4</v>
      </c>
      <c r="E1148" s="21">
        <v>-3678242.4</v>
      </c>
      <c r="F1148" s="21">
        <v>0</v>
      </c>
    </row>
    <row r="1149" spans="1:6" x14ac:dyDescent="0.25">
      <c r="A1149">
        <v>1790</v>
      </c>
      <c r="B1149" s="16">
        <v>43617</v>
      </c>
      <c r="C1149" t="s">
        <v>19</v>
      </c>
      <c r="D1149" s="21">
        <v>3050176.5</v>
      </c>
      <c r="E1149" s="21">
        <v>-3050176.5</v>
      </c>
      <c r="F1149" s="21">
        <v>0</v>
      </c>
    </row>
    <row r="1150" spans="1:6" x14ac:dyDescent="0.25">
      <c r="A1150">
        <v>1790</v>
      </c>
      <c r="B1150" s="16">
        <v>43617</v>
      </c>
      <c r="C1150" t="s">
        <v>318</v>
      </c>
      <c r="D1150" s="21">
        <v>3678242.4</v>
      </c>
      <c r="E1150" s="21">
        <v>-3678242.4</v>
      </c>
      <c r="F1150" s="21">
        <v>0</v>
      </c>
    </row>
    <row r="1151" spans="1:6" x14ac:dyDescent="0.25">
      <c r="A1151">
        <v>1790</v>
      </c>
      <c r="B1151" s="16">
        <v>43617</v>
      </c>
      <c r="C1151" t="s">
        <v>173</v>
      </c>
      <c r="D1151" s="21">
        <v>9883440</v>
      </c>
      <c r="E1151" s="21">
        <v>-9883440</v>
      </c>
      <c r="F1151" s="21">
        <v>0</v>
      </c>
    </row>
    <row r="1152" spans="1:6" x14ac:dyDescent="0.25">
      <c r="A1152">
        <v>1790</v>
      </c>
      <c r="B1152" s="16">
        <v>43617</v>
      </c>
      <c r="C1152" t="s">
        <v>317</v>
      </c>
      <c r="D1152" s="21">
        <v>4941720</v>
      </c>
      <c r="E1152" s="21">
        <v>-4941720</v>
      </c>
      <c r="F1152" s="21">
        <v>0</v>
      </c>
    </row>
    <row r="1153" spans="1:6" x14ac:dyDescent="0.25">
      <c r="A1153">
        <v>1790</v>
      </c>
      <c r="B1153" s="16">
        <v>43617</v>
      </c>
      <c r="C1153" t="s">
        <v>59</v>
      </c>
      <c r="D1153" s="21">
        <v>3847852</v>
      </c>
      <c r="E1153" s="21">
        <v>-3847852</v>
      </c>
      <c r="F1153" s="21">
        <v>0</v>
      </c>
    </row>
    <row r="1154" spans="1:6" x14ac:dyDescent="0.25">
      <c r="A1154">
        <v>1790</v>
      </c>
      <c r="B1154" s="16">
        <v>43617</v>
      </c>
      <c r="C1154" t="s">
        <v>174</v>
      </c>
      <c r="D1154" s="21">
        <v>4612272</v>
      </c>
      <c r="E1154" s="21">
        <v>-4612272</v>
      </c>
      <c r="F1154" s="21">
        <v>0</v>
      </c>
    </row>
    <row r="1155" spans="1:6" x14ac:dyDescent="0.25">
      <c r="A1155">
        <v>1790</v>
      </c>
      <c r="B1155" s="16">
        <v>43617</v>
      </c>
      <c r="C1155" t="s">
        <v>192</v>
      </c>
      <c r="D1155" s="21">
        <v>17160000</v>
      </c>
      <c r="E1155" s="21">
        <v>-17160000</v>
      </c>
      <c r="F1155" s="21">
        <v>0</v>
      </c>
    </row>
    <row r="1156" spans="1:6" x14ac:dyDescent="0.25">
      <c r="A1156">
        <v>1790</v>
      </c>
      <c r="B1156" s="16">
        <v>43617</v>
      </c>
      <c r="C1156" t="s">
        <v>316</v>
      </c>
      <c r="D1156" s="21">
        <v>7103634.4399999995</v>
      </c>
      <c r="E1156" s="21">
        <v>-7103634.4399999995</v>
      </c>
      <c r="F1156" s="21">
        <v>0</v>
      </c>
    </row>
    <row r="1157" spans="1:6" x14ac:dyDescent="0.25">
      <c r="A1157">
        <v>1790</v>
      </c>
      <c r="B1157" s="16">
        <v>43617</v>
      </c>
      <c r="C1157" t="s">
        <v>139</v>
      </c>
      <c r="D1157" s="21">
        <v>6012426</v>
      </c>
      <c r="E1157" s="21">
        <v>-6012426</v>
      </c>
      <c r="F1157" s="21">
        <v>0</v>
      </c>
    </row>
    <row r="1158" spans="1:6" x14ac:dyDescent="0.25">
      <c r="A1158">
        <v>1790</v>
      </c>
      <c r="B1158" s="16">
        <v>43617</v>
      </c>
      <c r="C1158" t="s">
        <v>314</v>
      </c>
      <c r="D1158" s="21">
        <v>11860128</v>
      </c>
      <c r="E1158" s="21">
        <v>-11860128</v>
      </c>
      <c r="F1158" s="21">
        <v>0</v>
      </c>
    </row>
    <row r="1159" spans="1:6" x14ac:dyDescent="0.25">
      <c r="A1159">
        <v>1790</v>
      </c>
      <c r="B1159" s="16">
        <v>43647</v>
      </c>
      <c r="C1159" t="s">
        <v>135</v>
      </c>
      <c r="D1159" s="21">
        <v>3669727.95</v>
      </c>
      <c r="E1159" s="21">
        <v>-3669727.95</v>
      </c>
      <c r="F1159" s="21">
        <v>0</v>
      </c>
    </row>
    <row r="1160" spans="1:6" x14ac:dyDescent="0.25">
      <c r="A1160">
        <v>1790</v>
      </c>
      <c r="B1160" s="16">
        <v>43647</v>
      </c>
      <c r="C1160" t="s">
        <v>315</v>
      </c>
      <c r="D1160" s="21">
        <v>3916647</v>
      </c>
      <c r="E1160" s="21">
        <v>-3916647</v>
      </c>
      <c r="F1160" s="21">
        <v>0</v>
      </c>
    </row>
    <row r="1161" spans="1:6" x14ac:dyDescent="0.25">
      <c r="A1161">
        <v>1790</v>
      </c>
      <c r="B1161" s="16">
        <v>43647</v>
      </c>
      <c r="C1161" t="s">
        <v>182</v>
      </c>
      <c r="D1161" s="21">
        <v>3678242.4</v>
      </c>
      <c r="E1161" s="21">
        <v>-3678242.4</v>
      </c>
      <c r="F1161" s="21">
        <v>0</v>
      </c>
    </row>
    <row r="1162" spans="1:6" x14ac:dyDescent="0.25">
      <c r="A1162">
        <v>1790</v>
      </c>
      <c r="B1162" s="16">
        <v>43647</v>
      </c>
      <c r="C1162" t="s">
        <v>19</v>
      </c>
      <c r="D1162" s="21">
        <v>3050176.5</v>
      </c>
      <c r="E1162" s="21">
        <v>-3050176.5</v>
      </c>
      <c r="F1162" s="21">
        <v>0</v>
      </c>
    </row>
    <row r="1163" spans="1:6" x14ac:dyDescent="0.25">
      <c r="A1163">
        <v>1790</v>
      </c>
      <c r="B1163" s="16">
        <v>43647</v>
      </c>
      <c r="C1163" t="s">
        <v>318</v>
      </c>
      <c r="D1163" s="21">
        <v>3678242.4</v>
      </c>
      <c r="E1163" s="21">
        <v>-3678242.4</v>
      </c>
      <c r="F1163" s="21">
        <v>0</v>
      </c>
    </row>
    <row r="1164" spans="1:6" x14ac:dyDescent="0.25">
      <c r="A1164">
        <v>1790</v>
      </c>
      <c r="B1164" s="16">
        <v>43647</v>
      </c>
      <c r="C1164" t="s">
        <v>173</v>
      </c>
      <c r="D1164" s="21">
        <v>9883440</v>
      </c>
      <c r="E1164" s="21">
        <v>-9883440</v>
      </c>
      <c r="F1164" s="21">
        <v>0</v>
      </c>
    </row>
    <row r="1165" spans="1:6" x14ac:dyDescent="0.25">
      <c r="A1165">
        <v>1790</v>
      </c>
      <c r="B1165" s="16">
        <v>43647</v>
      </c>
      <c r="C1165" t="s">
        <v>317</v>
      </c>
      <c r="D1165" s="21">
        <v>4941720</v>
      </c>
      <c r="E1165" s="21">
        <v>-4941720</v>
      </c>
      <c r="F1165" s="21">
        <v>0</v>
      </c>
    </row>
    <row r="1166" spans="1:6" x14ac:dyDescent="0.25">
      <c r="A1166">
        <v>1790</v>
      </c>
      <c r="B1166" s="16">
        <v>43647</v>
      </c>
      <c r="C1166" t="s">
        <v>59</v>
      </c>
      <c r="D1166" s="21">
        <v>3847852</v>
      </c>
      <c r="E1166" s="21">
        <v>-3847852</v>
      </c>
      <c r="F1166" s="21">
        <v>0</v>
      </c>
    </row>
    <row r="1167" spans="1:6" x14ac:dyDescent="0.25">
      <c r="A1167">
        <v>1790</v>
      </c>
      <c r="B1167" s="16">
        <v>43647</v>
      </c>
      <c r="C1167" t="s">
        <v>174</v>
      </c>
      <c r="D1167" s="21">
        <v>4612272</v>
      </c>
      <c r="E1167" s="21">
        <v>-4612272</v>
      </c>
      <c r="F1167" s="21">
        <v>0</v>
      </c>
    </row>
    <row r="1168" spans="1:6" x14ac:dyDescent="0.25">
      <c r="A1168">
        <v>1790</v>
      </c>
      <c r="B1168" s="16">
        <v>43647</v>
      </c>
      <c r="C1168" t="s">
        <v>192</v>
      </c>
      <c r="D1168" s="21">
        <v>17160000</v>
      </c>
      <c r="E1168" s="21">
        <v>-17160000</v>
      </c>
      <c r="F1168" s="21">
        <v>0</v>
      </c>
    </row>
    <row r="1169" spans="1:6" x14ac:dyDescent="0.25">
      <c r="A1169">
        <v>1790</v>
      </c>
      <c r="B1169" s="16">
        <v>43647</v>
      </c>
      <c r="C1169" t="s">
        <v>316</v>
      </c>
      <c r="D1169" s="21">
        <v>7103634.4399999995</v>
      </c>
      <c r="E1169" s="21">
        <v>-7103634.4399999995</v>
      </c>
      <c r="F1169" s="21">
        <v>0</v>
      </c>
    </row>
    <row r="1170" spans="1:6" x14ac:dyDescent="0.25">
      <c r="A1170">
        <v>1790</v>
      </c>
      <c r="B1170" s="16">
        <v>43647</v>
      </c>
      <c r="C1170" t="s">
        <v>139</v>
      </c>
      <c r="D1170" s="21">
        <v>6012426</v>
      </c>
      <c r="E1170" s="21">
        <v>-6012426</v>
      </c>
      <c r="F1170" s="21">
        <v>0</v>
      </c>
    </row>
    <row r="1171" spans="1:6" x14ac:dyDescent="0.25">
      <c r="A1171">
        <v>1790</v>
      </c>
      <c r="B1171" s="16">
        <v>43647</v>
      </c>
      <c r="C1171" t="s">
        <v>314</v>
      </c>
      <c r="D1171" s="21">
        <v>11860128</v>
      </c>
      <c r="E1171" s="21">
        <v>-11860128</v>
      </c>
      <c r="F1171" s="21">
        <v>0</v>
      </c>
    </row>
    <row r="1172" spans="1:6" x14ac:dyDescent="0.25">
      <c r="A1172">
        <v>1790</v>
      </c>
      <c r="B1172" s="16">
        <v>43678</v>
      </c>
      <c r="C1172" t="s">
        <v>135</v>
      </c>
      <c r="D1172" s="21">
        <v>3669727.95</v>
      </c>
      <c r="E1172" s="21">
        <v>-3669727.95</v>
      </c>
      <c r="F1172" s="21">
        <v>0</v>
      </c>
    </row>
    <row r="1173" spans="1:6" x14ac:dyDescent="0.25">
      <c r="A1173">
        <v>1790</v>
      </c>
      <c r="B1173" s="16">
        <v>43678</v>
      </c>
      <c r="C1173" t="s">
        <v>315</v>
      </c>
      <c r="D1173" s="21">
        <v>3916647</v>
      </c>
      <c r="E1173" s="21">
        <v>-3916647</v>
      </c>
      <c r="F1173" s="21">
        <v>0</v>
      </c>
    </row>
    <row r="1174" spans="1:6" x14ac:dyDescent="0.25">
      <c r="A1174">
        <v>1790</v>
      </c>
      <c r="B1174" s="16">
        <v>43678</v>
      </c>
      <c r="C1174" t="s">
        <v>182</v>
      </c>
      <c r="D1174" s="21">
        <v>3678242.4</v>
      </c>
      <c r="E1174" s="21">
        <v>-3678242.4</v>
      </c>
      <c r="F1174" s="21">
        <v>0</v>
      </c>
    </row>
    <row r="1175" spans="1:6" x14ac:dyDescent="0.25">
      <c r="A1175">
        <v>1790</v>
      </c>
      <c r="B1175" s="16">
        <v>43678</v>
      </c>
      <c r="C1175" t="s">
        <v>19</v>
      </c>
      <c r="D1175" s="21">
        <v>2323944</v>
      </c>
      <c r="E1175" s="21">
        <v>-2323944</v>
      </c>
      <c r="F1175" s="21">
        <v>0</v>
      </c>
    </row>
    <row r="1176" spans="1:6" x14ac:dyDescent="0.25">
      <c r="A1176">
        <v>1790</v>
      </c>
      <c r="B1176" s="16">
        <v>43678</v>
      </c>
      <c r="C1176" t="s">
        <v>318</v>
      </c>
      <c r="D1176" s="21">
        <v>3678242.4</v>
      </c>
      <c r="E1176" s="21">
        <v>-3678242.4</v>
      </c>
      <c r="F1176" s="21">
        <v>0</v>
      </c>
    </row>
    <row r="1177" spans="1:6" x14ac:dyDescent="0.25">
      <c r="A1177">
        <v>1790</v>
      </c>
      <c r="B1177" s="16">
        <v>43678</v>
      </c>
      <c r="C1177" t="s">
        <v>173</v>
      </c>
      <c r="D1177" s="21">
        <v>9883440</v>
      </c>
      <c r="E1177" s="21">
        <v>-9883440</v>
      </c>
      <c r="F1177" s="21">
        <v>0</v>
      </c>
    </row>
    <row r="1178" spans="1:6" x14ac:dyDescent="0.25">
      <c r="A1178">
        <v>1790</v>
      </c>
      <c r="B1178" s="16">
        <v>43678</v>
      </c>
      <c r="C1178" t="s">
        <v>317</v>
      </c>
      <c r="D1178" s="21">
        <v>4941720</v>
      </c>
      <c r="E1178" s="21">
        <v>-4941720</v>
      </c>
      <c r="F1178" s="21">
        <v>0</v>
      </c>
    </row>
    <row r="1179" spans="1:6" x14ac:dyDescent="0.25">
      <c r="A1179">
        <v>1790</v>
      </c>
      <c r="B1179" s="16">
        <v>43678</v>
      </c>
      <c r="C1179" t="s">
        <v>59</v>
      </c>
      <c r="D1179" s="21">
        <v>3847852</v>
      </c>
      <c r="E1179" s="21">
        <v>-3847852</v>
      </c>
      <c r="F1179" s="21">
        <v>0</v>
      </c>
    </row>
    <row r="1180" spans="1:6" x14ac:dyDescent="0.25">
      <c r="A1180">
        <v>1790</v>
      </c>
      <c r="B1180" s="16">
        <v>43678</v>
      </c>
      <c r="C1180" t="s">
        <v>174</v>
      </c>
      <c r="D1180" s="21">
        <v>4612272</v>
      </c>
      <c r="E1180" s="21">
        <v>-4612272</v>
      </c>
      <c r="F1180" s="21">
        <v>0</v>
      </c>
    </row>
    <row r="1181" spans="1:6" x14ac:dyDescent="0.25">
      <c r="A1181">
        <v>1790</v>
      </c>
      <c r="B1181" s="16">
        <v>43678</v>
      </c>
      <c r="C1181" t="s">
        <v>192</v>
      </c>
      <c r="D1181" s="21">
        <v>17160000</v>
      </c>
      <c r="E1181" s="21">
        <v>-17160000</v>
      </c>
      <c r="F1181" s="21">
        <v>0</v>
      </c>
    </row>
    <row r="1182" spans="1:6" x14ac:dyDescent="0.25">
      <c r="A1182">
        <v>1790</v>
      </c>
      <c r="B1182" s="16">
        <v>43678</v>
      </c>
      <c r="C1182" t="s">
        <v>316</v>
      </c>
      <c r="D1182" s="21">
        <v>7103634.4399999995</v>
      </c>
      <c r="E1182" s="21">
        <v>-7103634.4399999995</v>
      </c>
      <c r="F1182" s="21">
        <v>0</v>
      </c>
    </row>
    <row r="1183" spans="1:6" x14ac:dyDescent="0.25">
      <c r="A1183">
        <v>1790</v>
      </c>
      <c r="B1183" s="16">
        <v>43678</v>
      </c>
      <c r="C1183" t="s">
        <v>139</v>
      </c>
      <c r="D1183" s="21">
        <v>6012426</v>
      </c>
      <c r="E1183" s="21">
        <v>-6012426</v>
      </c>
      <c r="F1183" s="21">
        <v>0</v>
      </c>
    </row>
    <row r="1184" spans="1:6" x14ac:dyDescent="0.25">
      <c r="A1184">
        <v>1790</v>
      </c>
      <c r="B1184" s="16">
        <v>43678</v>
      </c>
      <c r="C1184" t="s">
        <v>314</v>
      </c>
      <c r="D1184" s="21">
        <v>11860128</v>
      </c>
      <c r="E1184" s="21">
        <v>-11860128</v>
      </c>
      <c r="F1184" s="21">
        <v>0</v>
      </c>
    </row>
    <row r="1185" spans="1:6" x14ac:dyDescent="0.25">
      <c r="A1185">
        <v>1790</v>
      </c>
      <c r="B1185" s="16">
        <v>43709</v>
      </c>
      <c r="C1185" t="s">
        <v>135</v>
      </c>
      <c r="D1185" s="21">
        <v>3669727.95</v>
      </c>
      <c r="E1185" s="21">
        <v>-3669727.95</v>
      </c>
      <c r="F1185" s="21">
        <v>0</v>
      </c>
    </row>
    <row r="1186" spans="1:6" x14ac:dyDescent="0.25">
      <c r="A1186">
        <v>1790</v>
      </c>
      <c r="B1186" s="16">
        <v>43709</v>
      </c>
      <c r="C1186" t="s">
        <v>315</v>
      </c>
      <c r="D1186" s="21">
        <v>3916647</v>
      </c>
      <c r="E1186" s="21">
        <v>-3916647</v>
      </c>
      <c r="F1186" s="21">
        <v>0</v>
      </c>
    </row>
    <row r="1187" spans="1:6" x14ac:dyDescent="0.25">
      <c r="A1187">
        <v>1790</v>
      </c>
      <c r="B1187" s="16">
        <v>43709</v>
      </c>
      <c r="C1187" t="s">
        <v>182</v>
      </c>
      <c r="D1187" s="21">
        <v>3678242.4</v>
      </c>
      <c r="E1187" s="21">
        <v>-3678242.4</v>
      </c>
      <c r="F1187" s="21">
        <v>0</v>
      </c>
    </row>
    <row r="1188" spans="1:6" x14ac:dyDescent="0.25">
      <c r="A1188">
        <v>1790</v>
      </c>
      <c r="B1188" s="16">
        <v>43709</v>
      </c>
      <c r="C1188" t="s">
        <v>19</v>
      </c>
      <c r="D1188" s="21">
        <v>2323944</v>
      </c>
      <c r="E1188" s="21">
        <v>-2323944</v>
      </c>
      <c r="F1188" s="21">
        <v>0</v>
      </c>
    </row>
    <row r="1189" spans="1:6" x14ac:dyDescent="0.25">
      <c r="A1189">
        <v>1790</v>
      </c>
      <c r="B1189" s="16">
        <v>43709</v>
      </c>
      <c r="C1189" t="s">
        <v>318</v>
      </c>
      <c r="D1189" s="21">
        <v>3678242.4</v>
      </c>
      <c r="E1189" s="21">
        <v>-3678242.4</v>
      </c>
      <c r="F1189" s="21">
        <v>0</v>
      </c>
    </row>
    <row r="1190" spans="1:6" x14ac:dyDescent="0.25">
      <c r="A1190">
        <v>1790</v>
      </c>
      <c r="B1190" s="16">
        <v>43709</v>
      </c>
      <c r="C1190" t="s">
        <v>173</v>
      </c>
      <c r="D1190" s="21">
        <v>9883440</v>
      </c>
      <c r="E1190" s="21">
        <v>-9883440</v>
      </c>
      <c r="F1190" s="21">
        <v>0</v>
      </c>
    </row>
    <row r="1191" spans="1:6" x14ac:dyDescent="0.25">
      <c r="A1191">
        <v>1790</v>
      </c>
      <c r="B1191" s="16">
        <v>43709</v>
      </c>
      <c r="C1191" t="s">
        <v>317</v>
      </c>
      <c r="D1191" s="21">
        <v>4941720</v>
      </c>
      <c r="E1191" s="21">
        <v>-4941720</v>
      </c>
      <c r="F1191" s="21">
        <v>0</v>
      </c>
    </row>
    <row r="1192" spans="1:6" x14ac:dyDescent="0.25">
      <c r="A1192">
        <v>1790</v>
      </c>
      <c r="B1192" s="16">
        <v>43709</v>
      </c>
      <c r="C1192" t="s">
        <v>59</v>
      </c>
      <c r="D1192" s="21">
        <v>3847852</v>
      </c>
      <c r="E1192" s="21">
        <v>-3847852</v>
      </c>
      <c r="F1192" s="21">
        <v>0</v>
      </c>
    </row>
    <row r="1193" spans="1:6" x14ac:dyDescent="0.25">
      <c r="A1193">
        <v>1790</v>
      </c>
      <c r="B1193" s="16">
        <v>43709</v>
      </c>
      <c r="C1193" t="s">
        <v>174</v>
      </c>
      <c r="D1193" s="21">
        <v>4612272</v>
      </c>
      <c r="E1193" s="21">
        <v>-4612272</v>
      </c>
      <c r="F1193" s="21">
        <v>0</v>
      </c>
    </row>
    <row r="1194" spans="1:6" x14ac:dyDescent="0.25">
      <c r="A1194">
        <v>1790</v>
      </c>
      <c r="B1194" s="16">
        <v>43709</v>
      </c>
      <c r="C1194" t="s">
        <v>192</v>
      </c>
      <c r="D1194" s="21">
        <v>17160000</v>
      </c>
      <c r="E1194" s="21">
        <v>-17160000</v>
      </c>
      <c r="F1194" s="21">
        <v>0</v>
      </c>
    </row>
    <row r="1195" spans="1:6" x14ac:dyDescent="0.25">
      <c r="A1195">
        <v>1790</v>
      </c>
      <c r="B1195" s="16">
        <v>43709</v>
      </c>
      <c r="C1195" t="s">
        <v>316</v>
      </c>
      <c r="D1195" s="21">
        <v>7103634.4399999995</v>
      </c>
      <c r="E1195" s="21">
        <v>-7103634.4399999995</v>
      </c>
      <c r="F1195" s="21">
        <v>0</v>
      </c>
    </row>
    <row r="1196" spans="1:6" x14ac:dyDescent="0.25">
      <c r="A1196">
        <v>1790</v>
      </c>
      <c r="B1196" s="16">
        <v>43709</v>
      </c>
      <c r="C1196" t="s">
        <v>139</v>
      </c>
      <c r="D1196" s="21">
        <v>6012426</v>
      </c>
      <c r="E1196" s="21">
        <v>-6012426</v>
      </c>
      <c r="F1196" s="21">
        <v>0</v>
      </c>
    </row>
    <row r="1197" spans="1:6" x14ac:dyDescent="0.25">
      <c r="A1197">
        <v>1790</v>
      </c>
      <c r="B1197" s="16">
        <v>43709</v>
      </c>
      <c r="C1197" t="s">
        <v>314</v>
      </c>
      <c r="D1197" s="21">
        <v>11860128</v>
      </c>
      <c r="E1197" s="21">
        <v>-11860128</v>
      </c>
      <c r="F1197" s="21">
        <v>0</v>
      </c>
    </row>
    <row r="1198" spans="1:6" x14ac:dyDescent="0.25">
      <c r="A1198">
        <v>1790</v>
      </c>
      <c r="B1198" s="16">
        <v>43739</v>
      </c>
      <c r="C1198" t="s">
        <v>135</v>
      </c>
      <c r="D1198" s="21">
        <v>3669727.95</v>
      </c>
      <c r="E1198" s="21">
        <v>-3669727.95</v>
      </c>
      <c r="F1198" s="21">
        <v>0</v>
      </c>
    </row>
    <row r="1199" spans="1:6" x14ac:dyDescent="0.25">
      <c r="A1199">
        <v>1790</v>
      </c>
      <c r="B1199" s="16">
        <v>43739</v>
      </c>
      <c r="C1199" t="s">
        <v>315</v>
      </c>
      <c r="D1199" s="21">
        <v>3916647</v>
      </c>
      <c r="E1199" s="21">
        <v>-3916647</v>
      </c>
      <c r="F1199" s="21">
        <v>0</v>
      </c>
    </row>
    <row r="1200" spans="1:6" x14ac:dyDescent="0.25">
      <c r="A1200">
        <v>1790</v>
      </c>
      <c r="B1200" s="16">
        <v>43739</v>
      </c>
      <c r="C1200" t="s">
        <v>182</v>
      </c>
      <c r="D1200" s="21">
        <v>3678242.4</v>
      </c>
      <c r="E1200" s="21">
        <v>-3678242.4</v>
      </c>
      <c r="F1200" s="21">
        <v>0</v>
      </c>
    </row>
    <row r="1201" spans="1:6" x14ac:dyDescent="0.25">
      <c r="A1201">
        <v>1790</v>
      </c>
      <c r="B1201" s="16">
        <v>43739</v>
      </c>
      <c r="C1201" t="s">
        <v>19</v>
      </c>
      <c r="D1201" s="21">
        <v>2323944</v>
      </c>
      <c r="E1201" s="21">
        <v>-2323944</v>
      </c>
      <c r="F1201" s="21">
        <v>0</v>
      </c>
    </row>
    <row r="1202" spans="1:6" x14ac:dyDescent="0.25">
      <c r="A1202">
        <v>1790</v>
      </c>
      <c r="B1202" s="16">
        <v>43739</v>
      </c>
      <c r="C1202" t="s">
        <v>318</v>
      </c>
      <c r="D1202" s="21">
        <v>3678242.4</v>
      </c>
      <c r="E1202" s="21">
        <v>-3678242.4</v>
      </c>
      <c r="F1202" s="21">
        <v>0</v>
      </c>
    </row>
    <row r="1203" spans="1:6" x14ac:dyDescent="0.25">
      <c r="A1203">
        <v>1790</v>
      </c>
      <c r="B1203" s="16">
        <v>43739</v>
      </c>
      <c r="C1203" t="s">
        <v>173</v>
      </c>
      <c r="D1203" s="21">
        <v>9883440</v>
      </c>
      <c r="E1203" s="21">
        <v>-9883440</v>
      </c>
      <c r="F1203" s="21">
        <v>0</v>
      </c>
    </row>
    <row r="1204" spans="1:6" x14ac:dyDescent="0.25">
      <c r="A1204">
        <v>1790</v>
      </c>
      <c r="B1204" s="16">
        <v>43739</v>
      </c>
      <c r="C1204" t="s">
        <v>317</v>
      </c>
      <c r="D1204" s="21">
        <v>4941720</v>
      </c>
      <c r="E1204" s="21">
        <v>-4941720</v>
      </c>
      <c r="F1204" s="21">
        <v>0</v>
      </c>
    </row>
    <row r="1205" spans="1:6" x14ac:dyDescent="0.25">
      <c r="A1205">
        <v>1790</v>
      </c>
      <c r="B1205" s="16">
        <v>43739</v>
      </c>
      <c r="C1205" t="s">
        <v>59</v>
      </c>
      <c r="D1205" s="21">
        <v>3847852</v>
      </c>
      <c r="E1205" s="21">
        <v>-3847852</v>
      </c>
      <c r="F1205" s="21">
        <v>0</v>
      </c>
    </row>
    <row r="1206" spans="1:6" x14ac:dyDescent="0.25">
      <c r="A1206">
        <v>1790</v>
      </c>
      <c r="B1206" s="16">
        <v>43739</v>
      </c>
      <c r="C1206" t="s">
        <v>174</v>
      </c>
      <c r="D1206" s="21">
        <v>4612272</v>
      </c>
      <c r="E1206" s="21">
        <v>-4612272</v>
      </c>
      <c r="F1206" s="21">
        <v>0</v>
      </c>
    </row>
    <row r="1207" spans="1:6" x14ac:dyDescent="0.25">
      <c r="A1207">
        <v>1790</v>
      </c>
      <c r="B1207" s="16">
        <v>43739</v>
      </c>
      <c r="C1207" t="s">
        <v>192</v>
      </c>
      <c r="D1207" s="21">
        <v>17160000</v>
      </c>
      <c r="E1207" s="21">
        <v>-17160000</v>
      </c>
      <c r="F1207" s="21">
        <v>0</v>
      </c>
    </row>
    <row r="1208" spans="1:6" x14ac:dyDescent="0.25">
      <c r="A1208">
        <v>1790</v>
      </c>
      <c r="B1208" s="16">
        <v>43739</v>
      </c>
      <c r="C1208" t="s">
        <v>316</v>
      </c>
      <c r="D1208" s="21">
        <v>7103634.4399999995</v>
      </c>
      <c r="E1208" s="21">
        <v>-7103634.4399999995</v>
      </c>
      <c r="F1208" s="21">
        <v>0</v>
      </c>
    </row>
    <row r="1209" spans="1:6" x14ac:dyDescent="0.25">
      <c r="A1209">
        <v>1790</v>
      </c>
      <c r="B1209" s="16">
        <v>43739</v>
      </c>
      <c r="C1209" t="s">
        <v>139</v>
      </c>
      <c r="D1209" s="21">
        <v>6012426</v>
      </c>
      <c r="E1209" s="21">
        <v>-6012426</v>
      </c>
      <c r="F1209" s="21">
        <v>0</v>
      </c>
    </row>
    <row r="1210" spans="1:6" x14ac:dyDescent="0.25">
      <c r="A1210">
        <v>1790</v>
      </c>
      <c r="B1210" s="16">
        <v>43739</v>
      </c>
      <c r="C1210" t="s">
        <v>314</v>
      </c>
      <c r="D1210" s="21">
        <v>11860128</v>
      </c>
      <c r="E1210" s="21">
        <v>-11860128</v>
      </c>
      <c r="F1210" s="21">
        <v>0</v>
      </c>
    </row>
    <row r="1211" spans="1:6" x14ac:dyDescent="0.25">
      <c r="A1211">
        <v>1790</v>
      </c>
      <c r="B1211" s="16">
        <v>43770</v>
      </c>
      <c r="C1211" t="s">
        <v>135</v>
      </c>
      <c r="D1211" s="21">
        <v>3669727.95</v>
      </c>
      <c r="E1211" s="21">
        <v>-3669727.95</v>
      </c>
      <c r="F1211" s="21">
        <v>0</v>
      </c>
    </row>
    <row r="1212" spans="1:6" x14ac:dyDescent="0.25">
      <c r="A1212">
        <v>1790</v>
      </c>
      <c r="B1212" s="16">
        <v>43770</v>
      </c>
      <c r="C1212" t="s">
        <v>315</v>
      </c>
      <c r="D1212" s="21">
        <v>3916647</v>
      </c>
      <c r="E1212" s="21">
        <v>-3916647</v>
      </c>
      <c r="F1212" s="21">
        <v>0</v>
      </c>
    </row>
    <row r="1213" spans="1:6" x14ac:dyDescent="0.25">
      <c r="A1213">
        <v>1790</v>
      </c>
      <c r="B1213" s="16">
        <v>43770</v>
      </c>
      <c r="C1213" t="s">
        <v>182</v>
      </c>
      <c r="D1213" s="21">
        <v>3678242.4</v>
      </c>
      <c r="E1213" s="21">
        <v>-3678242.4</v>
      </c>
      <c r="F1213" s="21">
        <v>0</v>
      </c>
    </row>
    <row r="1214" spans="1:6" x14ac:dyDescent="0.25">
      <c r="A1214">
        <v>1790</v>
      </c>
      <c r="B1214" s="16">
        <v>43770</v>
      </c>
      <c r="C1214" t="s">
        <v>19</v>
      </c>
      <c r="D1214" s="21">
        <v>2323944</v>
      </c>
      <c r="E1214" s="21">
        <v>-2323944</v>
      </c>
      <c r="F1214" s="21">
        <v>0</v>
      </c>
    </row>
    <row r="1215" spans="1:6" x14ac:dyDescent="0.25">
      <c r="A1215">
        <v>1790</v>
      </c>
      <c r="B1215" s="16">
        <v>43770</v>
      </c>
      <c r="C1215" t="s">
        <v>318</v>
      </c>
      <c r="D1215" s="21">
        <v>3678242.4</v>
      </c>
      <c r="E1215" s="21">
        <v>-3678242.4</v>
      </c>
      <c r="F1215" s="21">
        <v>0</v>
      </c>
    </row>
    <row r="1216" spans="1:6" x14ac:dyDescent="0.25">
      <c r="A1216">
        <v>1790</v>
      </c>
      <c r="B1216" s="16">
        <v>43770</v>
      </c>
      <c r="C1216" t="s">
        <v>173</v>
      </c>
      <c r="D1216" s="21">
        <v>9883440</v>
      </c>
      <c r="E1216" s="21">
        <v>-9883440</v>
      </c>
      <c r="F1216" s="21">
        <v>0</v>
      </c>
    </row>
    <row r="1217" spans="1:6" x14ac:dyDescent="0.25">
      <c r="A1217">
        <v>1790</v>
      </c>
      <c r="B1217" s="16">
        <v>43770</v>
      </c>
      <c r="C1217" t="s">
        <v>317</v>
      </c>
      <c r="D1217" s="21">
        <v>4941720</v>
      </c>
      <c r="E1217" s="21">
        <v>-4941720</v>
      </c>
      <c r="F1217" s="21">
        <v>0</v>
      </c>
    </row>
    <row r="1218" spans="1:6" x14ac:dyDescent="0.25">
      <c r="A1218">
        <v>1790</v>
      </c>
      <c r="B1218" s="16">
        <v>43770</v>
      </c>
      <c r="C1218" t="s">
        <v>59</v>
      </c>
      <c r="D1218" s="21">
        <v>3847852</v>
      </c>
      <c r="E1218" s="21">
        <v>-3847852</v>
      </c>
      <c r="F1218" s="21">
        <v>0</v>
      </c>
    </row>
    <row r="1219" spans="1:6" x14ac:dyDescent="0.25">
      <c r="A1219">
        <v>1790</v>
      </c>
      <c r="B1219" s="16">
        <v>43770</v>
      </c>
      <c r="C1219" t="s">
        <v>174</v>
      </c>
      <c r="D1219" s="21">
        <v>4612272</v>
      </c>
      <c r="E1219" s="21">
        <v>-4612272</v>
      </c>
      <c r="F1219" s="21">
        <v>0</v>
      </c>
    </row>
    <row r="1220" spans="1:6" x14ac:dyDescent="0.25">
      <c r="A1220">
        <v>1790</v>
      </c>
      <c r="B1220" s="16">
        <v>43770</v>
      </c>
      <c r="C1220" t="s">
        <v>192</v>
      </c>
      <c r="D1220" s="21">
        <v>17160000</v>
      </c>
      <c r="E1220" s="21">
        <v>-17160000</v>
      </c>
      <c r="F1220" s="21">
        <v>0</v>
      </c>
    </row>
    <row r="1221" spans="1:6" x14ac:dyDescent="0.25">
      <c r="A1221">
        <v>1790</v>
      </c>
      <c r="B1221" s="16">
        <v>43770</v>
      </c>
      <c r="C1221" t="s">
        <v>316</v>
      </c>
      <c r="D1221" s="21">
        <v>7103634.4399999995</v>
      </c>
      <c r="E1221" s="21">
        <v>-7103634.4399999995</v>
      </c>
      <c r="F1221" s="21">
        <v>0</v>
      </c>
    </row>
    <row r="1222" spans="1:6" x14ac:dyDescent="0.25">
      <c r="A1222">
        <v>1790</v>
      </c>
      <c r="B1222" s="16">
        <v>43770</v>
      </c>
      <c r="C1222" t="s">
        <v>139</v>
      </c>
      <c r="D1222" s="21">
        <v>6012426</v>
      </c>
      <c r="E1222" s="21">
        <v>-6012426</v>
      </c>
      <c r="F1222" s="21">
        <v>0</v>
      </c>
    </row>
    <row r="1223" spans="1:6" x14ac:dyDescent="0.25">
      <c r="A1223">
        <v>1790</v>
      </c>
      <c r="B1223" s="16">
        <v>43770</v>
      </c>
      <c r="C1223" t="s">
        <v>314</v>
      </c>
      <c r="D1223" s="21">
        <v>11860128</v>
      </c>
      <c r="E1223" s="21">
        <v>-11860128</v>
      </c>
      <c r="F1223" s="21">
        <v>0</v>
      </c>
    </row>
    <row r="1224" spans="1:6" x14ac:dyDescent="0.25">
      <c r="A1224">
        <v>1790</v>
      </c>
      <c r="B1224" s="16">
        <v>43800</v>
      </c>
      <c r="C1224" t="s">
        <v>135</v>
      </c>
      <c r="D1224" s="21">
        <v>3669727.95</v>
      </c>
      <c r="E1224" s="21">
        <v>-3669727.95</v>
      </c>
      <c r="F1224" s="21">
        <v>0</v>
      </c>
    </row>
    <row r="1225" spans="1:6" x14ac:dyDescent="0.25">
      <c r="A1225">
        <v>1790</v>
      </c>
      <c r="B1225" s="16">
        <v>43800</v>
      </c>
      <c r="C1225" t="s">
        <v>315</v>
      </c>
      <c r="D1225" s="21">
        <v>3916647</v>
      </c>
      <c r="E1225" s="21">
        <v>-3916647</v>
      </c>
      <c r="F1225" s="21">
        <v>0</v>
      </c>
    </row>
    <row r="1226" spans="1:6" x14ac:dyDescent="0.25">
      <c r="A1226">
        <v>1790</v>
      </c>
      <c r="B1226" s="16">
        <v>43800</v>
      </c>
      <c r="C1226" t="s">
        <v>182</v>
      </c>
      <c r="D1226" s="21">
        <v>3678242.4</v>
      </c>
      <c r="E1226" s="21">
        <v>-3678242.4</v>
      </c>
      <c r="F1226" s="21">
        <v>0</v>
      </c>
    </row>
    <row r="1227" spans="1:6" x14ac:dyDescent="0.25">
      <c r="A1227">
        <v>1790</v>
      </c>
      <c r="B1227" s="16">
        <v>43800</v>
      </c>
      <c r="C1227" t="s">
        <v>19</v>
      </c>
      <c r="D1227" s="21">
        <v>2323944</v>
      </c>
      <c r="E1227" s="21">
        <v>-2323944</v>
      </c>
      <c r="F1227" s="21">
        <v>0</v>
      </c>
    </row>
    <row r="1228" spans="1:6" x14ac:dyDescent="0.25">
      <c r="A1228">
        <v>1790</v>
      </c>
      <c r="B1228" s="16">
        <v>43800</v>
      </c>
      <c r="C1228" t="s">
        <v>318</v>
      </c>
      <c r="D1228" s="21">
        <v>3678242.4</v>
      </c>
      <c r="E1228" s="21">
        <v>-3678242.4</v>
      </c>
      <c r="F1228" s="21">
        <v>0</v>
      </c>
    </row>
    <row r="1229" spans="1:6" x14ac:dyDescent="0.25">
      <c r="A1229">
        <v>1790</v>
      </c>
      <c r="B1229" s="16">
        <v>43800</v>
      </c>
      <c r="C1229" t="s">
        <v>173</v>
      </c>
      <c r="D1229" s="21">
        <v>9883440</v>
      </c>
      <c r="E1229" s="21">
        <v>-9883440</v>
      </c>
      <c r="F1229" s="21">
        <v>0</v>
      </c>
    </row>
    <row r="1230" spans="1:6" x14ac:dyDescent="0.25">
      <c r="A1230">
        <v>1790</v>
      </c>
      <c r="B1230" s="16">
        <v>43800</v>
      </c>
      <c r="C1230" t="s">
        <v>317</v>
      </c>
      <c r="D1230" s="21">
        <v>4941720</v>
      </c>
      <c r="E1230" s="21">
        <v>-4941720</v>
      </c>
      <c r="F1230" s="21">
        <v>0</v>
      </c>
    </row>
    <row r="1231" spans="1:6" x14ac:dyDescent="0.25">
      <c r="A1231">
        <v>1790</v>
      </c>
      <c r="B1231" s="16">
        <v>43800</v>
      </c>
      <c r="C1231" t="s">
        <v>59</v>
      </c>
      <c r="D1231" s="21">
        <v>3847852</v>
      </c>
      <c r="E1231" s="21">
        <v>-3847852</v>
      </c>
      <c r="F1231" s="21">
        <v>0</v>
      </c>
    </row>
    <row r="1232" spans="1:6" x14ac:dyDescent="0.25">
      <c r="A1232">
        <v>1790</v>
      </c>
      <c r="B1232" s="16">
        <v>43800</v>
      </c>
      <c r="C1232" t="s">
        <v>174</v>
      </c>
      <c r="D1232" s="21">
        <v>4612272</v>
      </c>
      <c r="E1232" s="21">
        <v>-4612272</v>
      </c>
      <c r="F1232" s="21">
        <v>0</v>
      </c>
    </row>
    <row r="1233" spans="1:6" x14ac:dyDescent="0.25">
      <c r="A1233">
        <v>1790</v>
      </c>
      <c r="B1233" s="16">
        <v>43800</v>
      </c>
      <c r="C1233" t="s">
        <v>192</v>
      </c>
      <c r="D1233" s="21">
        <v>17160000</v>
      </c>
      <c r="E1233" s="21">
        <v>-17160000</v>
      </c>
      <c r="F1233" s="21">
        <v>0</v>
      </c>
    </row>
    <row r="1234" spans="1:6" x14ac:dyDescent="0.25">
      <c r="A1234">
        <v>1790</v>
      </c>
      <c r="B1234" s="16">
        <v>43800</v>
      </c>
      <c r="C1234" t="s">
        <v>316</v>
      </c>
      <c r="D1234" s="21">
        <v>7103634.4399999995</v>
      </c>
      <c r="E1234" s="21">
        <v>-7103634.4399999995</v>
      </c>
      <c r="F1234" s="21">
        <v>0</v>
      </c>
    </row>
    <row r="1235" spans="1:6" x14ac:dyDescent="0.25">
      <c r="A1235">
        <v>1790</v>
      </c>
      <c r="B1235" s="16">
        <v>43800</v>
      </c>
      <c r="C1235" t="s">
        <v>139</v>
      </c>
      <c r="D1235" s="21">
        <v>6012426</v>
      </c>
      <c r="E1235" s="21">
        <v>-6012426</v>
      </c>
      <c r="F1235" s="21">
        <v>0</v>
      </c>
    </row>
    <row r="1236" spans="1:6" x14ac:dyDescent="0.25">
      <c r="A1236">
        <v>1790</v>
      </c>
      <c r="B1236" s="16">
        <v>43800</v>
      </c>
      <c r="C1236" t="s">
        <v>314</v>
      </c>
      <c r="D1236" s="21">
        <v>11860128</v>
      </c>
      <c r="E1236" s="21">
        <v>-11860128</v>
      </c>
      <c r="F1236" s="21">
        <v>0</v>
      </c>
    </row>
    <row r="1237" spans="1:6" x14ac:dyDescent="0.25">
      <c r="A1237">
        <v>1790</v>
      </c>
      <c r="B1237" s="16">
        <v>43831</v>
      </c>
      <c r="C1237" t="s">
        <v>192</v>
      </c>
      <c r="D1237" s="21">
        <v>17160000</v>
      </c>
      <c r="E1237" s="21">
        <v>-17160000</v>
      </c>
      <c r="F1237" s="21">
        <v>0</v>
      </c>
    </row>
    <row r="1238" spans="1:6" x14ac:dyDescent="0.25">
      <c r="A1238">
        <v>1790</v>
      </c>
      <c r="B1238" s="16">
        <v>43831</v>
      </c>
      <c r="C1238" t="s">
        <v>135</v>
      </c>
      <c r="D1238" s="21">
        <v>3669727.95</v>
      </c>
      <c r="E1238" s="21">
        <v>-3669727.95</v>
      </c>
      <c r="F1238" s="21">
        <v>0</v>
      </c>
    </row>
    <row r="1239" spans="1:6" x14ac:dyDescent="0.25">
      <c r="A1239">
        <v>1790</v>
      </c>
      <c r="B1239" s="16">
        <v>43831</v>
      </c>
      <c r="C1239" t="s">
        <v>59</v>
      </c>
      <c r="D1239" s="21">
        <v>3847852</v>
      </c>
      <c r="E1239" s="21">
        <v>-3847852</v>
      </c>
      <c r="F1239" s="21">
        <v>0</v>
      </c>
    </row>
    <row r="1240" spans="1:6" x14ac:dyDescent="0.25">
      <c r="A1240">
        <v>1790</v>
      </c>
      <c r="B1240" s="16">
        <v>43831</v>
      </c>
      <c r="C1240" t="s">
        <v>182</v>
      </c>
      <c r="D1240" s="21">
        <v>3678242.4</v>
      </c>
      <c r="E1240" s="21">
        <v>-3678242.4</v>
      </c>
      <c r="F1240" s="21">
        <v>0</v>
      </c>
    </row>
    <row r="1241" spans="1:6" x14ac:dyDescent="0.25">
      <c r="A1241">
        <v>1790</v>
      </c>
      <c r="B1241" s="16">
        <v>43831</v>
      </c>
      <c r="C1241" t="s">
        <v>139</v>
      </c>
      <c r="D1241" s="21">
        <v>6012426</v>
      </c>
      <c r="E1241" s="21">
        <v>-6012426</v>
      </c>
      <c r="F1241" s="21">
        <v>0</v>
      </c>
    </row>
    <row r="1242" spans="1:6" x14ac:dyDescent="0.25">
      <c r="A1242">
        <v>1790</v>
      </c>
      <c r="B1242" s="16">
        <v>43831</v>
      </c>
      <c r="C1242" t="s">
        <v>317</v>
      </c>
      <c r="D1242" s="21">
        <v>4941720</v>
      </c>
      <c r="E1242" s="21">
        <v>-4941720</v>
      </c>
      <c r="F1242" s="21">
        <v>0</v>
      </c>
    </row>
    <row r="1243" spans="1:6" x14ac:dyDescent="0.25">
      <c r="A1243">
        <v>1790</v>
      </c>
      <c r="B1243" s="16">
        <v>43831</v>
      </c>
      <c r="C1243" t="s">
        <v>315</v>
      </c>
      <c r="D1243" s="21">
        <v>3916647</v>
      </c>
      <c r="E1243" s="21">
        <v>-3916647</v>
      </c>
      <c r="F1243" s="21">
        <v>0</v>
      </c>
    </row>
    <row r="1244" spans="1:6" x14ac:dyDescent="0.25">
      <c r="A1244">
        <v>1790</v>
      </c>
      <c r="B1244" s="16">
        <v>43831</v>
      </c>
      <c r="C1244" t="s">
        <v>174</v>
      </c>
      <c r="D1244" s="21">
        <v>4612272</v>
      </c>
      <c r="E1244" s="21">
        <v>-4612272</v>
      </c>
      <c r="F1244" s="21">
        <v>0</v>
      </c>
    </row>
    <row r="1245" spans="1:6" x14ac:dyDescent="0.25">
      <c r="A1245">
        <v>1790</v>
      </c>
      <c r="B1245" s="16">
        <v>43831</v>
      </c>
      <c r="C1245" t="s">
        <v>173</v>
      </c>
      <c r="D1245" s="21">
        <v>9883440</v>
      </c>
      <c r="E1245" s="21">
        <v>-9883440</v>
      </c>
      <c r="F1245" s="21">
        <v>0</v>
      </c>
    </row>
    <row r="1246" spans="1:6" x14ac:dyDescent="0.25">
      <c r="A1246">
        <v>1790</v>
      </c>
      <c r="B1246" s="16">
        <v>43831</v>
      </c>
      <c r="C1246" t="s">
        <v>316</v>
      </c>
      <c r="D1246" s="21">
        <v>7103634.4399999995</v>
      </c>
      <c r="E1246" s="21">
        <v>-7103634.4399999995</v>
      </c>
      <c r="F1246" s="21">
        <v>0</v>
      </c>
    </row>
    <row r="1247" spans="1:6" x14ac:dyDescent="0.25">
      <c r="A1247">
        <v>1790</v>
      </c>
      <c r="B1247" s="16">
        <v>43831</v>
      </c>
      <c r="C1247" t="s">
        <v>19</v>
      </c>
      <c r="D1247" s="21">
        <v>2323944</v>
      </c>
      <c r="E1247" s="21">
        <v>-2323944</v>
      </c>
      <c r="F1247" s="21">
        <v>0</v>
      </c>
    </row>
    <row r="1248" spans="1:6" x14ac:dyDescent="0.25">
      <c r="A1248">
        <v>1790</v>
      </c>
      <c r="B1248" s="16">
        <v>43831</v>
      </c>
      <c r="C1248" t="s">
        <v>314</v>
      </c>
      <c r="D1248" s="21">
        <v>11860128</v>
      </c>
      <c r="E1248" s="21">
        <v>-11860128</v>
      </c>
      <c r="F1248" s="21">
        <v>0</v>
      </c>
    </row>
    <row r="1249" spans="1:6" x14ac:dyDescent="0.25">
      <c r="A1249">
        <v>1790</v>
      </c>
      <c r="B1249" s="16">
        <v>43862</v>
      </c>
      <c r="C1249" t="s">
        <v>192</v>
      </c>
      <c r="D1249" s="21">
        <v>17160000</v>
      </c>
      <c r="E1249" s="21">
        <v>-17160000</v>
      </c>
      <c r="F1249" s="21">
        <v>0</v>
      </c>
    </row>
    <row r="1250" spans="1:6" x14ac:dyDescent="0.25">
      <c r="A1250">
        <v>1790</v>
      </c>
      <c r="B1250" s="16">
        <v>43862</v>
      </c>
      <c r="C1250" t="s">
        <v>135</v>
      </c>
      <c r="D1250" s="21">
        <v>3669727.95</v>
      </c>
      <c r="E1250" s="21">
        <v>-3669727.95</v>
      </c>
      <c r="F1250" s="21">
        <v>0</v>
      </c>
    </row>
    <row r="1251" spans="1:6" x14ac:dyDescent="0.25">
      <c r="A1251">
        <v>1790</v>
      </c>
      <c r="B1251" s="16">
        <v>43862</v>
      </c>
      <c r="C1251" t="s">
        <v>59</v>
      </c>
      <c r="D1251" s="21">
        <v>3847852</v>
      </c>
      <c r="E1251" s="21">
        <v>-3847852</v>
      </c>
      <c r="F1251" s="21">
        <v>0</v>
      </c>
    </row>
    <row r="1252" spans="1:6" x14ac:dyDescent="0.25">
      <c r="A1252">
        <v>1790</v>
      </c>
      <c r="B1252" s="16">
        <v>43862</v>
      </c>
      <c r="C1252" t="s">
        <v>182</v>
      </c>
      <c r="D1252" s="21">
        <v>3678242.4</v>
      </c>
      <c r="E1252" s="21">
        <v>-3678242.4</v>
      </c>
      <c r="F1252" s="21">
        <v>0</v>
      </c>
    </row>
    <row r="1253" spans="1:6" x14ac:dyDescent="0.25">
      <c r="A1253">
        <v>1790</v>
      </c>
      <c r="B1253" s="16">
        <v>43862</v>
      </c>
      <c r="C1253" t="s">
        <v>139</v>
      </c>
      <c r="D1253" s="21">
        <v>6012426</v>
      </c>
      <c r="E1253" s="21">
        <v>-6012426</v>
      </c>
      <c r="F1253" s="21">
        <v>0</v>
      </c>
    </row>
    <row r="1254" spans="1:6" x14ac:dyDescent="0.25">
      <c r="A1254">
        <v>1790</v>
      </c>
      <c r="B1254" s="16">
        <v>43862</v>
      </c>
      <c r="C1254" t="s">
        <v>317</v>
      </c>
      <c r="D1254" s="21">
        <v>4941720</v>
      </c>
      <c r="E1254" s="21">
        <v>-4941720</v>
      </c>
      <c r="F1254" s="21">
        <v>0</v>
      </c>
    </row>
    <row r="1255" spans="1:6" x14ac:dyDescent="0.25">
      <c r="A1255">
        <v>1790</v>
      </c>
      <c r="B1255" s="16">
        <v>43862</v>
      </c>
      <c r="C1255" t="s">
        <v>315</v>
      </c>
      <c r="D1255" s="21">
        <v>3916647</v>
      </c>
      <c r="E1255" s="21">
        <v>-3916647</v>
      </c>
      <c r="F1255" s="21">
        <v>0</v>
      </c>
    </row>
    <row r="1256" spans="1:6" x14ac:dyDescent="0.25">
      <c r="A1256">
        <v>1790</v>
      </c>
      <c r="B1256" s="16">
        <v>43862</v>
      </c>
      <c r="C1256" t="s">
        <v>174</v>
      </c>
      <c r="D1256" s="21">
        <v>4612272</v>
      </c>
      <c r="E1256" s="21">
        <v>-4612272</v>
      </c>
      <c r="F1256" s="21">
        <v>0</v>
      </c>
    </row>
    <row r="1257" spans="1:6" x14ac:dyDescent="0.25">
      <c r="A1257">
        <v>1790</v>
      </c>
      <c r="B1257" s="16">
        <v>43862</v>
      </c>
      <c r="C1257" t="s">
        <v>173</v>
      </c>
      <c r="D1257" s="21">
        <v>9883440</v>
      </c>
      <c r="E1257" s="21">
        <v>-9883440</v>
      </c>
      <c r="F1257" s="21">
        <v>0</v>
      </c>
    </row>
    <row r="1258" spans="1:6" x14ac:dyDescent="0.25">
      <c r="A1258">
        <v>1790</v>
      </c>
      <c r="B1258" s="16">
        <v>43862</v>
      </c>
      <c r="C1258" t="s">
        <v>316</v>
      </c>
      <c r="D1258" s="21">
        <v>7103634.4399999995</v>
      </c>
      <c r="E1258" s="21">
        <v>-7103634.4399999995</v>
      </c>
      <c r="F1258" s="21">
        <v>0</v>
      </c>
    </row>
    <row r="1259" spans="1:6" x14ac:dyDescent="0.25">
      <c r="A1259">
        <v>1790</v>
      </c>
      <c r="B1259" s="16">
        <v>43862</v>
      </c>
      <c r="C1259" t="s">
        <v>19</v>
      </c>
      <c r="D1259" s="21">
        <v>2323944</v>
      </c>
      <c r="E1259" s="21">
        <v>-2323944</v>
      </c>
      <c r="F1259" s="21">
        <v>0</v>
      </c>
    </row>
    <row r="1260" spans="1:6" x14ac:dyDescent="0.25">
      <c r="A1260">
        <v>1790</v>
      </c>
      <c r="B1260" s="16">
        <v>43862</v>
      </c>
      <c r="C1260" t="s">
        <v>314</v>
      </c>
      <c r="D1260" s="21">
        <v>11860128</v>
      </c>
      <c r="E1260" s="21">
        <v>-11860128</v>
      </c>
      <c r="F1260" s="21">
        <v>0</v>
      </c>
    </row>
    <row r="1261" spans="1:6" x14ac:dyDescent="0.25">
      <c r="A1261">
        <v>1790</v>
      </c>
      <c r="B1261" s="16">
        <v>43891</v>
      </c>
      <c r="C1261" t="s">
        <v>192</v>
      </c>
      <c r="D1261" s="21">
        <v>17160000</v>
      </c>
      <c r="E1261" s="21">
        <v>-17160000</v>
      </c>
      <c r="F1261" s="21">
        <v>0</v>
      </c>
    </row>
    <row r="1262" spans="1:6" x14ac:dyDescent="0.25">
      <c r="A1262">
        <v>1790</v>
      </c>
      <c r="B1262" s="16">
        <v>43891</v>
      </c>
      <c r="C1262" t="s">
        <v>135</v>
      </c>
      <c r="D1262" s="21">
        <v>3669727.95</v>
      </c>
      <c r="E1262" s="21">
        <v>-3669727.95</v>
      </c>
      <c r="F1262" s="21">
        <v>0</v>
      </c>
    </row>
    <row r="1263" spans="1:6" x14ac:dyDescent="0.25">
      <c r="A1263">
        <v>1790</v>
      </c>
      <c r="B1263" s="16">
        <v>43891</v>
      </c>
      <c r="C1263" t="s">
        <v>59</v>
      </c>
      <c r="D1263" s="21">
        <v>3847852</v>
      </c>
      <c r="E1263" s="21">
        <v>-3847852</v>
      </c>
      <c r="F1263" s="21">
        <v>0</v>
      </c>
    </row>
    <row r="1264" spans="1:6" x14ac:dyDescent="0.25">
      <c r="A1264">
        <v>1790</v>
      </c>
      <c r="B1264" s="16">
        <v>43891</v>
      </c>
      <c r="C1264" t="s">
        <v>182</v>
      </c>
      <c r="D1264" s="21">
        <v>3678242.4</v>
      </c>
      <c r="E1264" s="21">
        <v>-3678242.4</v>
      </c>
      <c r="F1264" s="21">
        <v>0</v>
      </c>
    </row>
    <row r="1265" spans="1:6" x14ac:dyDescent="0.25">
      <c r="A1265">
        <v>1790</v>
      </c>
      <c r="B1265" s="16">
        <v>43891</v>
      </c>
      <c r="C1265" t="s">
        <v>139</v>
      </c>
      <c r="D1265" s="21">
        <v>6012426</v>
      </c>
      <c r="E1265" s="21">
        <v>-6012426</v>
      </c>
      <c r="F1265" s="21">
        <v>0</v>
      </c>
    </row>
    <row r="1266" spans="1:6" x14ac:dyDescent="0.25">
      <c r="A1266">
        <v>1790</v>
      </c>
      <c r="B1266" s="16">
        <v>43891</v>
      </c>
      <c r="C1266" t="s">
        <v>317</v>
      </c>
      <c r="D1266" s="21">
        <v>4941720</v>
      </c>
      <c r="E1266" s="21">
        <v>-4941720</v>
      </c>
      <c r="F1266" s="21">
        <v>0</v>
      </c>
    </row>
    <row r="1267" spans="1:6" x14ac:dyDescent="0.25">
      <c r="A1267">
        <v>1790</v>
      </c>
      <c r="B1267" s="16">
        <v>43891</v>
      </c>
      <c r="C1267" t="s">
        <v>315</v>
      </c>
      <c r="D1267" s="21">
        <v>3916647</v>
      </c>
      <c r="E1267" s="21">
        <v>-3916647</v>
      </c>
      <c r="F1267" s="21">
        <v>0</v>
      </c>
    </row>
    <row r="1268" spans="1:6" x14ac:dyDescent="0.25">
      <c r="A1268">
        <v>1790</v>
      </c>
      <c r="B1268" s="16">
        <v>43891</v>
      </c>
      <c r="C1268" t="s">
        <v>174</v>
      </c>
      <c r="D1268" s="21">
        <v>4612272</v>
      </c>
      <c r="E1268" s="21">
        <v>-4612272</v>
      </c>
      <c r="F1268" s="21">
        <v>0</v>
      </c>
    </row>
    <row r="1269" spans="1:6" x14ac:dyDescent="0.25">
      <c r="A1269">
        <v>1790</v>
      </c>
      <c r="B1269" s="16">
        <v>43891</v>
      </c>
      <c r="C1269" t="s">
        <v>173</v>
      </c>
      <c r="D1269" s="21">
        <v>9883440</v>
      </c>
      <c r="E1269" s="21">
        <v>-9883440</v>
      </c>
      <c r="F1269" s="21">
        <v>0</v>
      </c>
    </row>
    <row r="1270" spans="1:6" x14ac:dyDescent="0.25">
      <c r="A1270">
        <v>1790</v>
      </c>
      <c r="B1270" s="16">
        <v>43891</v>
      </c>
      <c r="C1270" t="s">
        <v>316</v>
      </c>
      <c r="D1270" s="21">
        <v>7103634.4399999995</v>
      </c>
      <c r="E1270" s="21">
        <v>-7103634.4399999995</v>
      </c>
      <c r="F1270" s="21">
        <v>0</v>
      </c>
    </row>
    <row r="1271" spans="1:6" x14ac:dyDescent="0.25">
      <c r="A1271">
        <v>1790</v>
      </c>
      <c r="B1271" s="16">
        <v>43891</v>
      </c>
      <c r="C1271" t="s">
        <v>19</v>
      </c>
      <c r="D1271" s="21">
        <v>2323944</v>
      </c>
      <c r="E1271" s="21">
        <v>-2323944</v>
      </c>
      <c r="F1271" s="21">
        <v>0</v>
      </c>
    </row>
    <row r="1272" spans="1:6" x14ac:dyDescent="0.25">
      <c r="A1272">
        <v>1790</v>
      </c>
      <c r="B1272" s="16">
        <v>43891</v>
      </c>
      <c r="C1272" t="s">
        <v>314</v>
      </c>
      <c r="D1272" s="21">
        <v>11860128</v>
      </c>
      <c r="E1272" s="21">
        <v>-11860128</v>
      </c>
      <c r="F1272" s="21">
        <v>0</v>
      </c>
    </row>
    <row r="1273" spans="1:6" x14ac:dyDescent="0.25">
      <c r="A1273">
        <v>1790</v>
      </c>
      <c r="B1273" s="16">
        <v>43922</v>
      </c>
      <c r="C1273" t="s">
        <v>192</v>
      </c>
      <c r="D1273" s="21">
        <v>17160000</v>
      </c>
      <c r="E1273" s="21">
        <v>-17160000</v>
      </c>
      <c r="F1273" s="21">
        <v>0</v>
      </c>
    </row>
    <row r="1274" spans="1:6" x14ac:dyDescent="0.25">
      <c r="A1274">
        <v>1790</v>
      </c>
      <c r="B1274" s="16">
        <v>43922</v>
      </c>
      <c r="C1274" t="s">
        <v>135</v>
      </c>
      <c r="D1274" s="21">
        <v>3669727.95</v>
      </c>
      <c r="E1274" s="21">
        <v>-3669727.95</v>
      </c>
      <c r="F1274" s="21">
        <v>0</v>
      </c>
    </row>
    <row r="1275" spans="1:6" x14ac:dyDescent="0.25">
      <c r="A1275">
        <v>1790</v>
      </c>
      <c r="B1275" s="16">
        <v>43922</v>
      </c>
      <c r="C1275" t="s">
        <v>59</v>
      </c>
      <c r="D1275" s="21">
        <v>3847852</v>
      </c>
      <c r="E1275" s="21">
        <v>-3847852</v>
      </c>
      <c r="F1275" s="21">
        <v>0</v>
      </c>
    </row>
    <row r="1276" spans="1:6" x14ac:dyDescent="0.25">
      <c r="A1276">
        <v>1790</v>
      </c>
      <c r="B1276" s="16">
        <v>43922</v>
      </c>
      <c r="C1276" t="s">
        <v>182</v>
      </c>
      <c r="D1276" s="21">
        <v>3678242.4</v>
      </c>
      <c r="E1276" s="21">
        <v>-3678242.4</v>
      </c>
      <c r="F1276" s="21">
        <v>0</v>
      </c>
    </row>
    <row r="1277" spans="1:6" x14ac:dyDescent="0.25">
      <c r="A1277">
        <v>1790</v>
      </c>
      <c r="B1277" s="16">
        <v>43922</v>
      </c>
      <c r="C1277" t="s">
        <v>139</v>
      </c>
      <c r="D1277" s="21">
        <v>6012426</v>
      </c>
      <c r="E1277" s="21">
        <v>-6012426</v>
      </c>
      <c r="F1277" s="21">
        <v>0</v>
      </c>
    </row>
    <row r="1278" spans="1:6" x14ac:dyDescent="0.25">
      <c r="A1278">
        <v>1790</v>
      </c>
      <c r="B1278" s="16">
        <v>43922</v>
      </c>
      <c r="C1278" t="s">
        <v>317</v>
      </c>
      <c r="D1278" s="21">
        <v>4941720</v>
      </c>
      <c r="E1278" s="21">
        <v>-4941720</v>
      </c>
      <c r="F1278" s="21">
        <v>0</v>
      </c>
    </row>
    <row r="1279" spans="1:6" x14ac:dyDescent="0.25">
      <c r="A1279">
        <v>1790</v>
      </c>
      <c r="B1279" s="16">
        <v>43922</v>
      </c>
      <c r="C1279" t="s">
        <v>315</v>
      </c>
      <c r="D1279" s="21">
        <v>3916647</v>
      </c>
      <c r="E1279" s="21">
        <v>-3916647</v>
      </c>
      <c r="F1279" s="21">
        <v>0</v>
      </c>
    </row>
    <row r="1280" spans="1:6" x14ac:dyDescent="0.25">
      <c r="A1280">
        <v>1790</v>
      </c>
      <c r="B1280" s="16">
        <v>43922</v>
      </c>
      <c r="C1280" t="s">
        <v>174</v>
      </c>
      <c r="D1280" s="21">
        <v>4612272</v>
      </c>
      <c r="E1280" s="21">
        <v>-4612272</v>
      </c>
      <c r="F1280" s="21">
        <v>0</v>
      </c>
    </row>
    <row r="1281" spans="1:6" x14ac:dyDescent="0.25">
      <c r="A1281">
        <v>1790</v>
      </c>
      <c r="B1281" s="16">
        <v>43922</v>
      </c>
      <c r="C1281" t="s">
        <v>173</v>
      </c>
      <c r="D1281" s="21">
        <v>9883440</v>
      </c>
      <c r="E1281" s="21">
        <v>-9883440</v>
      </c>
      <c r="F1281" s="21">
        <v>0</v>
      </c>
    </row>
    <row r="1282" spans="1:6" x14ac:dyDescent="0.25">
      <c r="A1282">
        <v>1790</v>
      </c>
      <c r="B1282" s="16">
        <v>43922</v>
      </c>
      <c r="C1282" t="s">
        <v>316</v>
      </c>
      <c r="D1282" s="21">
        <v>7103634.4399999995</v>
      </c>
      <c r="E1282" s="21">
        <v>-7103634.4399999995</v>
      </c>
      <c r="F1282" s="21">
        <v>0</v>
      </c>
    </row>
    <row r="1283" spans="1:6" x14ac:dyDescent="0.25">
      <c r="A1283">
        <v>1790</v>
      </c>
      <c r="B1283" s="16">
        <v>43922</v>
      </c>
      <c r="C1283" t="s">
        <v>19</v>
      </c>
      <c r="D1283" s="21">
        <v>2323944</v>
      </c>
      <c r="E1283" s="21">
        <v>-2323944</v>
      </c>
      <c r="F1283" s="21">
        <v>0</v>
      </c>
    </row>
    <row r="1284" spans="1:6" x14ac:dyDescent="0.25">
      <c r="A1284">
        <v>1790</v>
      </c>
      <c r="B1284" s="16">
        <v>43922</v>
      </c>
      <c r="C1284" t="s">
        <v>314</v>
      </c>
      <c r="D1284" s="21">
        <v>11860128</v>
      </c>
      <c r="E1284" s="21">
        <v>-11860128</v>
      </c>
      <c r="F1284" s="21">
        <v>0</v>
      </c>
    </row>
    <row r="1285" spans="1:6" x14ac:dyDescent="0.25">
      <c r="A1285">
        <v>1791</v>
      </c>
      <c r="B1285" s="16">
        <v>43466</v>
      </c>
      <c r="C1285" t="s">
        <v>192</v>
      </c>
      <c r="D1285" s="21">
        <v>60561853.894285716</v>
      </c>
      <c r="E1285" s="21">
        <v>-60561853.894285716</v>
      </c>
      <c r="F1285" s="21">
        <v>0</v>
      </c>
    </row>
    <row r="1286" spans="1:6" x14ac:dyDescent="0.25">
      <c r="A1286">
        <v>1791</v>
      </c>
      <c r="B1286" s="16">
        <v>43497</v>
      </c>
      <c r="C1286" t="s">
        <v>192</v>
      </c>
      <c r="D1286" s="21">
        <v>60561853.894285716</v>
      </c>
      <c r="E1286" s="21">
        <v>-60561853.894285716</v>
      </c>
      <c r="F1286" s="21">
        <v>0</v>
      </c>
    </row>
    <row r="1287" spans="1:6" x14ac:dyDescent="0.25">
      <c r="A1287">
        <v>1791</v>
      </c>
      <c r="B1287" s="16">
        <v>43525</v>
      </c>
      <c r="C1287" t="s">
        <v>192</v>
      </c>
      <c r="D1287" s="21">
        <v>60561853.894285716</v>
      </c>
      <c r="E1287" s="21">
        <v>-60561853.894285716</v>
      </c>
      <c r="F1287" s="21">
        <v>0</v>
      </c>
    </row>
    <row r="1288" spans="1:6" x14ac:dyDescent="0.25">
      <c r="A1288">
        <v>1791</v>
      </c>
      <c r="B1288" s="16">
        <v>43556</v>
      </c>
      <c r="C1288" t="s">
        <v>192</v>
      </c>
      <c r="D1288" s="21">
        <v>60561853.894285716</v>
      </c>
      <c r="E1288" s="21">
        <v>-60561853.894285716</v>
      </c>
      <c r="F1288" s="21">
        <v>0</v>
      </c>
    </row>
    <row r="1289" spans="1:6" x14ac:dyDescent="0.25">
      <c r="A1289">
        <v>1791</v>
      </c>
      <c r="B1289" s="16">
        <v>43586</v>
      </c>
      <c r="C1289" t="s">
        <v>192</v>
      </c>
      <c r="D1289" s="21">
        <v>60561853.894285716</v>
      </c>
      <c r="E1289" s="21">
        <v>-60561853.894285716</v>
      </c>
      <c r="F1289" s="21">
        <v>0</v>
      </c>
    </row>
    <row r="1290" spans="1:6" x14ac:dyDescent="0.25">
      <c r="A1290">
        <v>1791</v>
      </c>
      <c r="B1290" s="16">
        <v>43617</v>
      </c>
      <c r="C1290" t="s">
        <v>192</v>
      </c>
      <c r="D1290" s="21">
        <v>60561853.894285716</v>
      </c>
      <c r="E1290" s="21">
        <v>-60561853.894285716</v>
      </c>
      <c r="F1290" s="21">
        <v>0</v>
      </c>
    </row>
    <row r="1291" spans="1:6" x14ac:dyDescent="0.25">
      <c r="A1291">
        <v>1791</v>
      </c>
      <c r="B1291" s="16">
        <v>43647</v>
      </c>
      <c r="C1291" t="s">
        <v>192</v>
      </c>
      <c r="D1291" s="21">
        <v>60561853.894285716</v>
      </c>
      <c r="E1291" s="21">
        <v>-60561853.894285716</v>
      </c>
      <c r="F1291" s="21">
        <v>0</v>
      </c>
    </row>
    <row r="1292" spans="1:6" x14ac:dyDescent="0.25">
      <c r="A1292">
        <v>1791</v>
      </c>
      <c r="B1292" s="16">
        <v>43678</v>
      </c>
      <c r="C1292" t="s">
        <v>192</v>
      </c>
      <c r="D1292" s="21">
        <v>60561853.894285716</v>
      </c>
      <c r="E1292" s="21">
        <v>-60561853.894285716</v>
      </c>
      <c r="F1292" s="21">
        <v>0</v>
      </c>
    </row>
    <row r="1293" spans="1:6" x14ac:dyDescent="0.25">
      <c r="A1293">
        <v>1791</v>
      </c>
      <c r="B1293" s="16">
        <v>43709</v>
      </c>
      <c r="C1293" t="s">
        <v>192</v>
      </c>
      <c r="D1293" s="21">
        <v>60561853.894285716</v>
      </c>
      <c r="E1293" s="21">
        <v>-60561853.894285716</v>
      </c>
      <c r="F1293" s="21">
        <v>0</v>
      </c>
    </row>
    <row r="1294" spans="1:6" x14ac:dyDescent="0.25">
      <c r="A1294">
        <v>1791</v>
      </c>
      <c r="B1294" s="16">
        <v>43739</v>
      </c>
      <c r="C1294" t="s">
        <v>192</v>
      </c>
      <c r="D1294" s="21">
        <v>60561853.894285716</v>
      </c>
      <c r="E1294" s="21">
        <v>-60561853.894285716</v>
      </c>
      <c r="F1294" s="21">
        <v>0</v>
      </c>
    </row>
    <row r="1295" spans="1:6" x14ac:dyDescent="0.25">
      <c r="A1295">
        <v>1791</v>
      </c>
      <c r="B1295" s="16">
        <v>43770</v>
      </c>
      <c r="C1295" t="s">
        <v>192</v>
      </c>
      <c r="D1295" s="21">
        <v>60561853.894285716</v>
      </c>
      <c r="E1295" s="21">
        <v>-60561853.894285716</v>
      </c>
      <c r="F1295" s="21">
        <v>0</v>
      </c>
    </row>
    <row r="1296" spans="1:6" x14ac:dyDescent="0.25">
      <c r="A1296">
        <v>1791</v>
      </c>
      <c r="B1296" s="16">
        <v>43800</v>
      </c>
      <c r="C1296" t="s">
        <v>192</v>
      </c>
      <c r="D1296" s="21">
        <v>60561853.894285716</v>
      </c>
      <c r="E1296" s="21">
        <v>-60561853.894285716</v>
      </c>
      <c r="F1296" s="21">
        <v>0</v>
      </c>
    </row>
    <row r="1297" spans="1:6" x14ac:dyDescent="0.25">
      <c r="A1297">
        <v>1802</v>
      </c>
      <c r="B1297" s="16">
        <v>43466</v>
      </c>
      <c r="C1297" t="s">
        <v>38</v>
      </c>
      <c r="D1297" s="21">
        <v>3810634.5847499999</v>
      </c>
      <c r="E1297" s="21">
        <v>-3810634.5847499999</v>
      </c>
      <c r="F1297" s="21">
        <v>0</v>
      </c>
    </row>
    <row r="1298" spans="1:6" x14ac:dyDescent="0.25">
      <c r="A1298">
        <v>1802</v>
      </c>
      <c r="B1298" s="16">
        <v>43466</v>
      </c>
      <c r="C1298" t="s">
        <v>39</v>
      </c>
      <c r="D1298" s="21">
        <v>5301459.45</v>
      </c>
      <c r="E1298" s="21">
        <v>-5301459.45</v>
      </c>
      <c r="F1298" s="21">
        <v>0</v>
      </c>
    </row>
    <row r="1299" spans="1:6" x14ac:dyDescent="0.25">
      <c r="A1299">
        <v>1802</v>
      </c>
      <c r="B1299" s="16">
        <v>43466</v>
      </c>
      <c r="C1299" t="s">
        <v>192</v>
      </c>
      <c r="D1299" s="21">
        <v>21063300</v>
      </c>
      <c r="E1299" s="21">
        <v>-21063300</v>
      </c>
      <c r="F1299" s="21">
        <v>0</v>
      </c>
    </row>
    <row r="1300" spans="1:6" x14ac:dyDescent="0.25">
      <c r="A1300">
        <v>1802</v>
      </c>
      <c r="B1300" s="16">
        <v>43466</v>
      </c>
      <c r="C1300" t="s">
        <v>69</v>
      </c>
      <c r="D1300" s="21">
        <v>4777683.75</v>
      </c>
      <c r="E1300" s="21">
        <v>-4777683.75</v>
      </c>
      <c r="F1300" s="21">
        <v>0</v>
      </c>
    </row>
    <row r="1301" spans="1:6" x14ac:dyDescent="0.25">
      <c r="A1301">
        <v>1802</v>
      </c>
      <c r="B1301" s="16">
        <v>43466</v>
      </c>
      <c r="C1301" t="s">
        <v>12</v>
      </c>
      <c r="D1301" s="21">
        <v>11721250.800000001</v>
      </c>
      <c r="E1301" s="21">
        <v>-11721250.800000001</v>
      </c>
      <c r="F1301" s="21">
        <v>0</v>
      </c>
    </row>
    <row r="1302" spans="1:6" x14ac:dyDescent="0.25">
      <c r="A1302">
        <v>1802</v>
      </c>
      <c r="B1302" s="16">
        <v>43466</v>
      </c>
      <c r="C1302" t="s">
        <v>26</v>
      </c>
      <c r="D1302" s="21">
        <v>7255001.25</v>
      </c>
      <c r="E1302" s="21">
        <v>-7255001.25</v>
      </c>
      <c r="F1302" s="21">
        <v>0</v>
      </c>
    </row>
    <row r="1303" spans="1:6" x14ac:dyDescent="0.25">
      <c r="A1303">
        <v>1802</v>
      </c>
      <c r="B1303" s="16">
        <v>43497</v>
      </c>
      <c r="C1303" t="s">
        <v>38</v>
      </c>
      <c r="D1303" s="21">
        <v>3810634.5847499999</v>
      </c>
      <c r="E1303" s="21">
        <v>-3810634.5847499999</v>
      </c>
      <c r="F1303" s="21">
        <v>0</v>
      </c>
    </row>
    <row r="1304" spans="1:6" x14ac:dyDescent="0.25">
      <c r="A1304">
        <v>1802</v>
      </c>
      <c r="B1304" s="16">
        <v>43497</v>
      </c>
      <c r="C1304" t="s">
        <v>39</v>
      </c>
      <c r="D1304" s="21">
        <v>5301459.45</v>
      </c>
      <c r="E1304" s="21">
        <v>-5301459.45</v>
      </c>
      <c r="F1304" s="21">
        <v>0</v>
      </c>
    </row>
    <row r="1305" spans="1:6" x14ac:dyDescent="0.25">
      <c r="A1305">
        <v>1802</v>
      </c>
      <c r="B1305" s="16">
        <v>43497</v>
      </c>
      <c r="C1305" t="s">
        <v>192</v>
      </c>
      <c r="D1305" s="21">
        <v>21063300</v>
      </c>
      <c r="E1305" s="21">
        <v>-21063300</v>
      </c>
      <c r="F1305" s="21">
        <v>0</v>
      </c>
    </row>
    <row r="1306" spans="1:6" x14ac:dyDescent="0.25">
      <c r="A1306">
        <v>1802</v>
      </c>
      <c r="B1306" s="16">
        <v>43497</v>
      </c>
      <c r="C1306" t="s">
        <v>69</v>
      </c>
      <c r="D1306" s="21">
        <v>4777683.75</v>
      </c>
      <c r="E1306" s="21">
        <v>-4777683.75</v>
      </c>
      <c r="F1306" s="21">
        <v>0</v>
      </c>
    </row>
    <row r="1307" spans="1:6" x14ac:dyDescent="0.25">
      <c r="A1307">
        <v>1802</v>
      </c>
      <c r="B1307" s="16">
        <v>43497</v>
      </c>
      <c r="C1307" t="s">
        <v>12</v>
      </c>
      <c r="D1307" s="21">
        <v>11721250.800000001</v>
      </c>
      <c r="E1307" s="21">
        <v>-11721250.800000001</v>
      </c>
      <c r="F1307" s="21">
        <v>0</v>
      </c>
    </row>
    <row r="1308" spans="1:6" x14ac:dyDescent="0.25">
      <c r="A1308">
        <v>1802</v>
      </c>
      <c r="B1308" s="16">
        <v>43497</v>
      </c>
      <c r="C1308" t="s">
        <v>26</v>
      </c>
      <c r="D1308" s="21">
        <v>7255001.25</v>
      </c>
      <c r="E1308" s="21">
        <v>-7255001.25</v>
      </c>
      <c r="F1308" s="21">
        <v>0</v>
      </c>
    </row>
    <row r="1309" spans="1:6" x14ac:dyDescent="0.25">
      <c r="A1309">
        <v>1802</v>
      </c>
      <c r="B1309" s="16">
        <v>43525</v>
      </c>
      <c r="C1309" t="s">
        <v>38</v>
      </c>
      <c r="D1309" s="21">
        <v>3810634.5847499999</v>
      </c>
      <c r="E1309" s="21">
        <v>-3810634.5847499999</v>
      </c>
      <c r="F1309" s="21">
        <v>0</v>
      </c>
    </row>
    <row r="1310" spans="1:6" x14ac:dyDescent="0.25">
      <c r="A1310">
        <v>1802</v>
      </c>
      <c r="B1310" s="16">
        <v>43525</v>
      </c>
      <c r="C1310" t="s">
        <v>39</v>
      </c>
      <c r="D1310" s="21">
        <v>5301459.45</v>
      </c>
      <c r="E1310" s="21">
        <v>-5301459.45</v>
      </c>
      <c r="F1310" s="21">
        <v>0</v>
      </c>
    </row>
    <row r="1311" spans="1:6" x14ac:dyDescent="0.25">
      <c r="A1311">
        <v>1802</v>
      </c>
      <c r="B1311" s="16">
        <v>43525</v>
      </c>
      <c r="C1311" t="s">
        <v>192</v>
      </c>
      <c r="D1311" s="21">
        <v>21063300</v>
      </c>
      <c r="E1311" s="21">
        <v>-21063300</v>
      </c>
      <c r="F1311" s="21">
        <v>0</v>
      </c>
    </row>
    <row r="1312" spans="1:6" x14ac:dyDescent="0.25">
      <c r="A1312">
        <v>1802</v>
      </c>
      <c r="B1312" s="16">
        <v>43525</v>
      </c>
      <c r="C1312" t="s">
        <v>69</v>
      </c>
      <c r="D1312" s="21">
        <v>4777683.75</v>
      </c>
      <c r="E1312" s="21">
        <v>-4777683.75</v>
      </c>
      <c r="F1312" s="21">
        <v>0</v>
      </c>
    </row>
    <row r="1313" spans="1:6" x14ac:dyDescent="0.25">
      <c r="A1313">
        <v>1802</v>
      </c>
      <c r="B1313" s="16">
        <v>43525</v>
      </c>
      <c r="C1313" t="s">
        <v>12</v>
      </c>
      <c r="D1313" s="21">
        <v>11721250.800000001</v>
      </c>
      <c r="E1313" s="21">
        <v>-11721250.800000001</v>
      </c>
      <c r="F1313" s="21">
        <v>0</v>
      </c>
    </row>
    <row r="1314" spans="1:6" x14ac:dyDescent="0.25">
      <c r="A1314">
        <v>1802</v>
      </c>
      <c r="B1314" s="16">
        <v>43525</v>
      </c>
      <c r="C1314" t="s">
        <v>26</v>
      </c>
      <c r="D1314" s="21">
        <v>7255001.25</v>
      </c>
      <c r="E1314" s="21">
        <v>-7255001.25</v>
      </c>
      <c r="F1314" s="21">
        <v>0</v>
      </c>
    </row>
    <row r="1315" spans="1:6" x14ac:dyDescent="0.25">
      <c r="A1315">
        <v>1802</v>
      </c>
      <c r="B1315" s="16">
        <v>43556</v>
      </c>
      <c r="C1315" t="s">
        <v>38</v>
      </c>
      <c r="D1315" s="21">
        <v>3810634.5847499999</v>
      </c>
      <c r="E1315" s="21">
        <v>-3810634.5847499999</v>
      </c>
      <c r="F1315" s="21">
        <v>0</v>
      </c>
    </row>
    <row r="1316" spans="1:6" x14ac:dyDescent="0.25">
      <c r="A1316">
        <v>1802</v>
      </c>
      <c r="B1316" s="16">
        <v>43556</v>
      </c>
      <c r="C1316" t="s">
        <v>39</v>
      </c>
      <c r="D1316" s="21">
        <v>5301459.45</v>
      </c>
      <c r="E1316" s="21">
        <v>-5301459.45</v>
      </c>
      <c r="F1316" s="21">
        <v>0</v>
      </c>
    </row>
    <row r="1317" spans="1:6" x14ac:dyDescent="0.25">
      <c r="A1317">
        <v>1802</v>
      </c>
      <c r="B1317" s="16">
        <v>43556</v>
      </c>
      <c r="C1317" t="s">
        <v>192</v>
      </c>
      <c r="D1317" s="21">
        <v>21063300</v>
      </c>
      <c r="E1317" s="21">
        <v>-21063300</v>
      </c>
      <c r="F1317" s="21">
        <v>0</v>
      </c>
    </row>
    <row r="1318" spans="1:6" x14ac:dyDescent="0.25">
      <c r="A1318">
        <v>1802</v>
      </c>
      <c r="B1318" s="16">
        <v>43556</v>
      </c>
      <c r="C1318" t="s">
        <v>69</v>
      </c>
      <c r="D1318" s="21">
        <v>4777683.75</v>
      </c>
      <c r="E1318" s="21">
        <v>-4777683.75</v>
      </c>
      <c r="F1318" s="21">
        <v>0</v>
      </c>
    </row>
    <row r="1319" spans="1:6" x14ac:dyDescent="0.25">
      <c r="A1319">
        <v>1802</v>
      </c>
      <c r="B1319" s="16">
        <v>43556</v>
      </c>
      <c r="C1319" t="s">
        <v>12</v>
      </c>
      <c r="D1319" s="21">
        <v>11721250.800000001</v>
      </c>
      <c r="E1319" s="21">
        <v>-11721250.800000001</v>
      </c>
      <c r="F1319" s="21">
        <v>0</v>
      </c>
    </row>
    <row r="1320" spans="1:6" x14ac:dyDescent="0.25">
      <c r="A1320">
        <v>1802</v>
      </c>
      <c r="B1320" s="16">
        <v>43556</v>
      </c>
      <c r="C1320" t="s">
        <v>26</v>
      </c>
      <c r="D1320" s="21">
        <v>7255001.25</v>
      </c>
      <c r="E1320" s="21">
        <v>-7255001.25</v>
      </c>
      <c r="F1320" s="21">
        <v>0</v>
      </c>
    </row>
    <row r="1321" spans="1:6" x14ac:dyDescent="0.25">
      <c r="A1321">
        <v>1802</v>
      </c>
      <c r="B1321" s="16">
        <v>43586</v>
      </c>
      <c r="C1321" t="s">
        <v>38</v>
      </c>
      <c r="D1321" s="21">
        <v>3810634.5847499999</v>
      </c>
      <c r="E1321" s="21">
        <v>-3810634.5847499999</v>
      </c>
      <c r="F1321" s="21">
        <v>0</v>
      </c>
    </row>
    <row r="1322" spans="1:6" x14ac:dyDescent="0.25">
      <c r="A1322">
        <v>1802</v>
      </c>
      <c r="B1322" s="16">
        <v>43586</v>
      </c>
      <c r="C1322" t="s">
        <v>39</v>
      </c>
      <c r="D1322" s="21">
        <v>5301459.45</v>
      </c>
      <c r="E1322" s="21">
        <v>-5301459.45</v>
      </c>
      <c r="F1322" s="21">
        <v>0</v>
      </c>
    </row>
    <row r="1323" spans="1:6" x14ac:dyDescent="0.25">
      <c r="A1323">
        <v>1802</v>
      </c>
      <c r="B1323" s="16">
        <v>43586</v>
      </c>
      <c r="C1323" t="s">
        <v>192</v>
      </c>
      <c r="D1323" s="21">
        <v>21063300</v>
      </c>
      <c r="E1323" s="21">
        <v>-21063300</v>
      </c>
      <c r="F1323" s="21">
        <v>0</v>
      </c>
    </row>
    <row r="1324" spans="1:6" x14ac:dyDescent="0.25">
      <c r="A1324">
        <v>1802</v>
      </c>
      <c r="B1324" s="16">
        <v>43586</v>
      </c>
      <c r="C1324" t="s">
        <v>69</v>
      </c>
      <c r="D1324" s="21">
        <v>4777683.75</v>
      </c>
      <c r="E1324" s="21">
        <v>-4777683.75</v>
      </c>
      <c r="F1324" s="21">
        <v>0</v>
      </c>
    </row>
    <row r="1325" spans="1:6" x14ac:dyDescent="0.25">
      <c r="A1325">
        <v>1802</v>
      </c>
      <c r="B1325" s="16">
        <v>43586</v>
      </c>
      <c r="C1325" t="s">
        <v>12</v>
      </c>
      <c r="D1325" s="21">
        <v>11721250.800000001</v>
      </c>
      <c r="E1325" s="21">
        <v>-11721250.800000001</v>
      </c>
      <c r="F1325" s="21">
        <v>0</v>
      </c>
    </row>
    <row r="1326" spans="1:6" x14ac:dyDescent="0.25">
      <c r="A1326">
        <v>1802</v>
      </c>
      <c r="B1326" s="16">
        <v>43586</v>
      </c>
      <c r="C1326" t="s">
        <v>26</v>
      </c>
      <c r="D1326" s="21">
        <v>7255001.25</v>
      </c>
      <c r="E1326" s="21">
        <v>-7255001.25</v>
      </c>
      <c r="F1326" s="21">
        <v>0</v>
      </c>
    </row>
    <row r="1327" spans="1:6" x14ac:dyDescent="0.25">
      <c r="A1327">
        <v>1802</v>
      </c>
      <c r="B1327" s="16">
        <v>43617</v>
      </c>
      <c r="C1327" t="s">
        <v>38</v>
      </c>
      <c r="D1327" s="21">
        <v>3810634.5847499999</v>
      </c>
      <c r="E1327" s="21">
        <v>-3810634.5847499999</v>
      </c>
      <c r="F1327" s="21">
        <v>0</v>
      </c>
    </row>
    <row r="1328" spans="1:6" x14ac:dyDescent="0.25">
      <c r="A1328">
        <v>1802</v>
      </c>
      <c r="B1328" s="16">
        <v>43617</v>
      </c>
      <c r="C1328" t="s">
        <v>39</v>
      </c>
      <c r="D1328" s="21">
        <v>5301459.45</v>
      </c>
      <c r="E1328" s="21">
        <v>-5301459.45</v>
      </c>
      <c r="F1328" s="21">
        <v>0</v>
      </c>
    </row>
    <row r="1329" spans="1:6" x14ac:dyDescent="0.25">
      <c r="A1329">
        <v>1802</v>
      </c>
      <c r="B1329" s="16">
        <v>43617</v>
      </c>
      <c r="C1329" t="s">
        <v>192</v>
      </c>
      <c r="D1329" s="21">
        <v>21063300</v>
      </c>
      <c r="E1329" s="21">
        <v>-21063300</v>
      </c>
      <c r="F1329" s="21">
        <v>0</v>
      </c>
    </row>
    <row r="1330" spans="1:6" x14ac:dyDescent="0.25">
      <c r="A1330">
        <v>1802</v>
      </c>
      <c r="B1330" s="16">
        <v>43617</v>
      </c>
      <c r="C1330" t="s">
        <v>69</v>
      </c>
      <c r="D1330" s="21">
        <v>4777683.75</v>
      </c>
      <c r="E1330" s="21">
        <v>-4777683.75</v>
      </c>
      <c r="F1330" s="21">
        <v>0</v>
      </c>
    </row>
    <row r="1331" spans="1:6" x14ac:dyDescent="0.25">
      <c r="A1331">
        <v>1802</v>
      </c>
      <c r="B1331" s="16">
        <v>43617</v>
      </c>
      <c r="C1331" t="s">
        <v>12</v>
      </c>
      <c r="D1331" s="21">
        <v>11721250.800000001</v>
      </c>
      <c r="E1331" s="21">
        <v>-11721250.800000001</v>
      </c>
      <c r="F1331" s="21">
        <v>0</v>
      </c>
    </row>
    <row r="1332" spans="1:6" x14ac:dyDescent="0.25">
      <c r="A1332">
        <v>1802</v>
      </c>
      <c r="B1332" s="16">
        <v>43617</v>
      </c>
      <c r="C1332" t="s">
        <v>26</v>
      </c>
      <c r="D1332" s="21">
        <v>7255001.25</v>
      </c>
      <c r="E1332" s="21">
        <v>-7255001.25</v>
      </c>
      <c r="F1332" s="21">
        <v>0</v>
      </c>
    </row>
    <row r="1333" spans="1:6" x14ac:dyDescent="0.25">
      <c r="A1333">
        <v>1802</v>
      </c>
      <c r="B1333" s="16">
        <v>43647</v>
      </c>
      <c r="C1333" t="s">
        <v>38</v>
      </c>
      <c r="D1333" s="21">
        <v>3810634.5847499999</v>
      </c>
      <c r="E1333" s="21">
        <v>-3810634.5847499999</v>
      </c>
      <c r="F1333" s="21">
        <v>0</v>
      </c>
    </row>
    <row r="1334" spans="1:6" x14ac:dyDescent="0.25">
      <c r="A1334">
        <v>1802</v>
      </c>
      <c r="B1334" s="16">
        <v>43647</v>
      </c>
      <c r="C1334" t="s">
        <v>39</v>
      </c>
      <c r="D1334" s="21">
        <v>5301459.45</v>
      </c>
      <c r="E1334" s="21">
        <v>-5301459.45</v>
      </c>
      <c r="F1334" s="21">
        <v>0</v>
      </c>
    </row>
    <row r="1335" spans="1:6" x14ac:dyDescent="0.25">
      <c r="A1335">
        <v>1802</v>
      </c>
      <c r="B1335" s="16">
        <v>43647</v>
      </c>
      <c r="C1335" t="s">
        <v>192</v>
      </c>
      <c r="D1335" s="21">
        <v>21063300</v>
      </c>
      <c r="E1335" s="21">
        <v>-21063300</v>
      </c>
      <c r="F1335" s="21">
        <v>0</v>
      </c>
    </row>
    <row r="1336" spans="1:6" x14ac:dyDescent="0.25">
      <c r="A1336">
        <v>1802</v>
      </c>
      <c r="B1336" s="16">
        <v>43647</v>
      </c>
      <c r="C1336" t="s">
        <v>69</v>
      </c>
      <c r="D1336" s="21">
        <v>4777683.75</v>
      </c>
      <c r="E1336" s="21">
        <v>-4777683.75</v>
      </c>
      <c r="F1336" s="21">
        <v>0</v>
      </c>
    </row>
    <row r="1337" spans="1:6" x14ac:dyDescent="0.25">
      <c r="A1337">
        <v>1802</v>
      </c>
      <c r="B1337" s="16">
        <v>43647</v>
      </c>
      <c r="C1337" t="s">
        <v>12</v>
      </c>
      <c r="D1337" s="21">
        <v>11721250.800000001</v>
      </c>
      <c r="E1337" s="21">
        <v>-11721250.800000001</v>
      </c>
      <c r="F1337" s="21">
        <v>0</v>
      </c>
    </row>
    <row r="1338" spans="1:6" x14ac:dyDescent="0.25">
      <c r="A1338">
        <v>1802</v>
      </c>
      <c r="B1338" s="16">
        <v>43647</v>
      </c>
      <c r="C1338" t="s">
        <v>26</v>
      </c>
      <c r="D1338" s="21">
        <v>7255001.25</v>
      </c>
      <c r="E1338" s="21">
        <v>-7255001.25</v>
      </c>
      <c r="F1338" s="21">
        <v>0</v>
      </c>
    </row>
    <row r="1339" spans="1:6" x14ac:dyDescent="0.25">
      <c r="A1339">
        <v>1802</v>
      </c>
      <c r="B1339" s="16">
        <v>43678</v>
      </c>
      <c r="C1339" t="s">
        <v>192</v>
      </c>
      <c r="D1339" s="21">
        <v>21063300</v>
      </c>
      <c r="E1339" s="21">
        <v>-21063300</v>
      </c>
      <c r="F1339" s="21">
        <v>0</v>
      </c>
    </row>
    <row r="1340" spans="1:6" x14ac:dyDescent="0.25">
      <c r="A1340">
        <v>1802</v>
      </c>
      <c r="B1340" s="16">
        <v>43678</v>
      </c>
      <c r="C1340" t="s">
        <v>39</v>
      </c>
      <c r="D1340" s="21">
        <v>5301459.45</v>
      </c>
      <c r="E1340" s="21">
        <v>-5301459.45</v>
      </c>
      <c r="F1340" s="21">
        <v>0</v>
      </c>
    </row>
    <row r="1341" spans="1:6" x14ac:dyDescent="0.25">
      <c r="A1341">
        <v>1802</v>
      </c>
      <c r="B1341" s="16">
        <v>43678</v>
      </c>
      <c r="C1341" t="s">
        <v>12</v>
      </c>
      <c r="D1341" s="21">
        <v>11721250.800000001</v>
      </c>
      <c r="E1341" s="21">
        <v>-11721250.800000001</v>
      </c>
      <c r="F1341" s="21">
        <v>0</v>
      </c>
    </row>
    <row r="1342" spans="1:6" x14ac:dyDescent="0.25">
      <c r="A1342">
        <v>1802</v>
      </c>
      <c r="B1342" s="16">
        <v>43678</v>
      </c>
      <c r="C1342" t="s">
        <v>26</v>
      </c>
      <c r="D1342" s="21">
        <v>7255001.25</v>
      </c>
      <c r="E1342" s="21">
        <v>-7255001.25</v>
      </c>
      <c r="F1342" s="21">
        <v>0</v>
      </c>
    </row>
    <row r="1343" spans="1:6" x14ac:dyDescent="0.25">
      <c r="A1343">
        <v>1802</v>
      </c>
      <c r="B1343" s="16">
        <v>43709</v>
      </c>
      <c r="C1343" t="s">
        <v>192</v>
      </c>
      <c r="D1343" s="21">
        <v>21063300</v>
      </c>
      <c r="E1343" s="21">
        <v>-21063300</v>
      </c>
      <c r="F1343" s="21">
        <v>0</v>
      </c>
    </row>
    <row r="1344" spans="1:6" x14ac:dyDescent="0.25">
      <c r="A1344">
        <v>1802</v>
      </c>
      <c r="B1344" s="16">
        <v>43709</v>
      </c>
      <c r="C1344" t="s">
        <v>26</v>
      </c>
      <c r="D1344" s="21">
        <v>7255001.25</v>
      </c>
      <c r="E1344" s="21">
        <v>-7255001.25</v>
      </c>
      <c r="F1344" s="21">
        <v>0</v>
      </c>
    </row>
    <row r="1345" spans="1:6" x14ac:dyDescent="0.25">
      <c r="A1345">
        <v>1802</v>
      </c>
      <c r="B1345" s="16">
        <v>43739</v>
      </c>
      <c r="C1345" t="s">
        <v>192</v>
      </c>
      <c r="D1345" s="21">
        <v>21063300</v>
      </c>
      <c r="E1345" s="21">
        <v>-21063300</v>
      </c>
      <c r="F1345" s="21">
        <v>0</v>
      </c>
    </row>
    <row r="1346" spans="1:6" x14ac:dyDescent="0.25">
      <c r="A1346">
        <v>1802</v>
      </c>
      <c r="B1346" s="16">
        <v>43739</v>
      </c>
      <c r="C1346" t="s">
        <v>26</v>
      </c>
      <c r="D1346" s="21">
        <v>7255001.25</v>
      </c>
      <c r="E1346" s="21">
        <v>-7255001.25</v>
      </c>
      <c r="F1346" s="21">
        <v>0</v>
      </c>
    </row>
    <row r="1347" spans="1:6" x14ac:dyDescent="0.25">
      <c r="A1347">
        <v>1802</v>
      </c>
      <c r="B1347" s="16">
        <v>43770</v>
      </c>
      <c r="C1347" t="s">
        <v>192</v>
      </c>
      <c r="D1347" s="21">
        <v>21063300</v>
      </c>
      <c r="E1347" s="21">
        <v>-21063300</v>
      </c>
      <c r="F1347" s="21">
        <v>0</v>
      </c>
    </row>
    <row r="1348" spans="1:6" x14ac:dyDescent="0.25">
      <c r="A1348">
        <v>1802</v>
      </c>
      <c r="B1348" s="16">
        <v>43770</v>
      </c>
      <c r="C1348" t="s">
        <v>26</v>
      </c>
      <c r="D1348" s="21">
        <v>7255001.25</v>
      </c>
      <c r="E1348" s="21">
        <v>-7255001.25</v>
      </c>
      <c r="F1348" s="21">
        <v>0</v>
      </c>
    </row>
    <row r="1349" spans="1:6" x14ac:dyDescent="0.25">
      <c r="A1349">
        <v>1802</v>
      </c>
      <c r="B1349" s="16">
        <v>43800</v>
      </c>
      <c r="C1349" t="s">
        <v>192</v>
      </c>
      <c r="D1349" s="21">
        <v>21063300</v>
      </c>
      <c r="E1349" s="21">
        <v>-21063300</v>
      </c>
      <c r="F1349" s="21">
        <v>0</v>
      </c>
    </row>
    <row r="1350" spans="1:6" x14ac:dyDescent="0.25">
      <c r="A1350">
        <v>1802</v>
      </c>
      <c r="B1350" s="16">
        <v>43800</v>
      </c>
      <c r="C1350" t="s">
        <v>26</v>
      </c>
      <c r="D1350" s="21">
        <v>7255001.25</v>
      </c>
      <c r="E1350" s="21">
        <v>-7255001.25</v>
      </c>
      <c r="F1350" s="21">
        <v>0</v>
      </c>
    </row>
    <row r="1351" spans="1:6" x14ac:dyDescent="0.25">
      <c r="A1351">
        <v>1802</v>
      </c>
      <c r="B1351" s="16">
        <v>43831</v>
      </c>
      <c r="C1351" t="s">
        <v>192</v>
      </c>
      <c r="D1351" s="21">
        <v>21063300</v>
      </c>
      <c r="E1351" s="21">
        <v>-21063300</v>
      </c>
      <c r="F1351" s="21">
        <v>0</v>
      </c>
    </row>
    <row r="1352" spans="1:6" x14ac:dyDescent="0.25">
      <c r="A1352">
        <v>1802</v>
      </c>
      <c r="B1352" s="16">
        <v>43862</v>
      </c>
      <c r="C1352" t="s">
        <v>192</v>
      </c>
      <c r="D1352" s="21">
        <v>21063300</v>
      </c>
      <c r="E1352" s="21">
        <v>-21063300</v>
      </c>
      <c r="F1352" s="21">
        <v>0</v>
      </c>
    </row>
    <row r="1353" spans="1:6" x14ac:dyDescent="0.25">
      <c r="A1353">
        <v>1804</v>
      </c>
      <c r="B1353" s="16">
        <v>43466</v>
      </c>
      <c r="C1353" t="s">
        <v>192</v>
      </c>
      <c r="D1353" s="21">
        <v>29813870</v>
      </c>
      <c r="E1353" s="21">
        <v>-29813870</v>
      </c>
      <c r="F1353" s="21">
        <v>0</v>
      </c>
    </row>
    <row r="1354" spans="1:6" x14ac:dyDescent="0.25">
      <c r="A1354">
        <v>1804</v>
      </c>
      <c r="B1354" s="16">
        <v>43497</v>
      </c>
      <c r="C1354" t="s">
        <v>192</v>
      </c>
      <c r="D1354" s="21">
        <v>29813870</v>
      </c>
      <c r="E1354" s="21"/>
      <c r="F1354" s="21">
        <v>29813870</v>
      </c>
    </row>
    <row r="1355" spans="1:6" x14ac:dyDescent="0.25">
      <c r="A1355">
        <v>1804</v>
      </c>
      <c r="B1355" s="16">
        <v>43525</v>
      </c>
      <c r="C1355" t="s">
        <v>192</v>
      </c>
      <c r="D1355" s="21">
        <v>29813870</v>
      </c>
      <c r="E1355" s="21"/>
      <c r="F1355" s="21">
        <v>29813870</v>
      </c>
    </row>
    <row r="1356" spans="1:6" x14ac:dyDescent="0.25">
      <c r="A1356">
        <v>1806</v>
      </c>
      <c r="B1356" s="16">
        <v>43466</v>
      </c>
      <c r="C1356" t="s">
        <v>192</v>
      </c>
      <c r="D1356" s="21">
        <v>50000000</v>
      </c>
      <c r="E1356" s="21">
        <v>-50000000</v>
      </c>
      <c r="F1356" s="21">
        <v>0</v>
      </c>
    </row>
    <row r="1357" spans="1:6" x14ac:dyDescent="0.25">
      <c r="A1357">
        <v>1806</v>
      </c>
      <c r="B1357" s="16">
        <v>43497</v>
      </c>
      <c r="C1357" t="s">
        <v>192</v>
      </c>
      <c r="D1357" s="21">
        <v>50000000</v>
      </c>
      <c r="E1357" s="21">
        <v>-50000000</v>
      </c>
      <c r="F1357" s="21">
        <v>0</v>
      </c>
    </row>
    <row r="1358" spans="1:6" x14ac:dyDescent="0.25">
      <c r="A1358">
        <v>1806</v>
      </c>
      <c r="B1358" s="16">
        <v>43525</v>
      </c>
      <c r="C1358" t="s">
        <v>192</v>
      </c>
      <c r="D1358" s="21">
        <v>50000000</v>
      </c>
      <c r="E1358" s="21">
        <v>-50000000</v>
      </c>
      <c r="F1358" s="21">
        <v>0</v>
      </c>
    </row>
    <row r="1359" spans="1:6" x14ac:dyDescent="0.25">
      <c r="A1359">
        <v>1806</v>
      </c>
      <c r="B1359" s="16">
        <v>43556</v>
      </c>
      <c r="C1359" t="s">
        <v>192</v>
      </c>
      <c r="D1359" s="21">
        <v>50000000</v>
      </c>
      <c r="E1359" s="21">
        <v>-50000000</v>
      </c>
      <c r="F1359" s="21">
        <v>0</v>
      </c>
    </row>
    <row r="1360" spans="1:6" x14ac:dyDescent="0.25">
      <c r="A1360">
        <v>1806</v>
      </c>
      <c r="B1360" s="16">
        <v>43586</v>
      </c>
      <c r="C1360" t="s">
        <v>192</v>
      </c>
      <c r="D1360" s="21">
        <v>50000000</v>
      </c>
      <c r="E1360" s="21">
        <v>-50000000</v>
      </c>
      <c r="F1360" s="21">
        <v>0</v>
      </c>
    </row>
    <row r="1361" spans="1:6" x14ac:dyDescent="0.25">
      <c r="A1361">
        <v>1813</v>
      </c>
      <c r="B1361" s="16">
        <v>43466</v>
      </c>
      <c r="C1361" t="s">
        <v>192</v>
      </c>
      <c r="D1361" s="21">
        <v>126579869.80723679</v>
      </c>
      <c r="E1361" s="21">
        <v>-126579869.80723679</v>
      </c>
      <c r="F1361" s="21">
        <v>0</v>
      </c>
    </row>
    <row r="1362" spans="1:6" x14ac:dyDescent="0.25">
      <c r="A1362">
        <v>1813</v>
      </c>
      <c r="B1362" s="16">
        <v>43497</v>
      </c>
      <c r="C1362" t="s">
        <v>192</v>
      </c>
      <c r="D1362" s="21">
        <v>126579869.80723679</v>
      </c>
      <c r="E1362" s="21">
        <v>-126579869.80723679</v>
      </c>
      <c r="F1362" s="21">
        <v>0</v>
      </c>
    </row>
    <row r="1363" spans="1:6" x14ac:dyDescent="0.25">
      <c r="A1363">
        <v>1813</v>
      </c>
      <c r="B1363" s="16">
        <v>43525</v>
      </c>
      <c r="C1363" t="s">
        <v>192</v>
      </c>
      <c r="D1363" s="21">
        <v>126579869.80723679</v>
      </c>
      <c r="E1363" s="21">
        <v>-126579869.80723679</v>
      </c>
      <c r="F1363" s="21">
        <v>0</v>
      </c>
    </row>
    <row r="1364" spans="1:6" x14ac:dyDescent="0.25">
      <c r="A1364">
        <v>1813</v>
      </c>
      <c r="B1364" s="16">
        <v>43556</v>
      </c>
      <c r="C1364" t="s">
        <v>192</v>
      </c>
      <c r="D1364" s="21">
        <v>126579869.80723679</v>
      </c>
      <c r="E1364" s="21">
        <v>-126579869.80723679</v>
      </c>
      <c r="F1364" s="21">
        <v>0</v>
      </c>
    </row>
    <row r="1365" spans="1:6" x14ac:dyDescent="0.25">
      <c r="A1365">
        <v>1813</v>
      </c>
      <c r="B1365" s="16">
        <v>43586</v>
      </c>
      <c r="C1365" t="s">
        <v>192</v>
      </c>
      <c r="D1365" s="21">
        <v>126579869.80723679</v>
      </c>
      <c r="E1365" s="21"/>
      <c r="F1365" s="21">
        <v>126579869.80723679</v>
      </c>
    </row>
    <row r="1366" spans="1:6" x14ac:dyDescent="0.25">
      <c r="A1366">
        <v>1818</v>
      </c>
      <c r="B1366" s="16">
        <v>43466</v>
      </c>
      <c r="C1366" t="s">
        <v>192</v>
      </c>
      <c r="D1366" s="21">
        <v>14500000</v>
      </c>
      <c r="E1366" s="21">
        <v>-14500000</v>
      </c>
      <c r="F1366" s="21">
        <v>0</v>
      </c>
    </row>
    <row r="1367" spans="1:6" x14ac:dyDescent="0.25">
      <c r="A1367">
        <v>1818</v>
      </c>
      <c r="B1367" s="16">
        <v>43466</v>
      </c>
      <c r="C1367" t="s">
        <v>19</v>
      </c>
      <c r="D1367" s="21">
        <v>4704455.7</v>
      </c>
      <c r="E1367" s="21">
        <v>-4704455.7</v>
      </c>
      <c r="F1367" s="21">
        <v>0</v>
      </c>
    </row>
    <row r="1368" spans="1:6" x14ac:dyDescent="0.25">
      <c r="A1368">
        <v>1818</v>
      </c>
      <c r="B1368" s="16">
        <v>43466</v>
      </c>
      <c r="C1368" t="s">
        <v>38</v>
      </c>
      <c r="D1368" s="21">
        <v>3786425.9999999995</v>
      </c>
      <c r="E1368" s="21">
        <v>-3786425.9999999995</v>
      </c>
      <c r="F1368" s="21">
        <v>0</v>
      </c>
    </row>
    <row r="1369" spans="1:6" x14ac:dyDescent="0.25">
      <c r="A1369">
        <v>1818</v>
      </c>
      <c r="B1369" s="16">
        <v>43466</v>
      </c>
      <c r="C1369" t="s">
        <v>132</v>
      </c>
      <c r="D1369" s="21">
        <v>2356593.75</v>
      </c>
      <c r="E1369" s="21">
        <v>-2356593.75</v>
      </c>
      <c r="F1369" s="21">
        <v>0</v>
      </c>
    </row>
    <row r="1370" spans="1:6" x14ac:dyDescent="0.25">
      <c r="A1370">
        <v>1818</v>
      </c>
      <c r="B1370" s="16">
        <v>43466</v>
      </c>
      <c r="C1370" t="s">
        <v>16</v>
      </c>
      <c r="D1370" s="21">
        <v>380362.5</v>
      </c>
      <c r="E1370" s="21">
        <v>-380362.5</v>
      </c>
      <c r="F1370" s="21">
        <v>0</v>
      </c>
    </row>
    <row r="1371" spans="1:6" x14ac:dyDescent="0.25">
      <c r="A1371">
        <v>1818</v>
      </c>
      <c r="B1371" s="16">
        <v>43466</v>
      </c>
      <c r="C1371" t="s">
        <v>12</v>
      </c>
      <c r="D1371" s="21">
        <v>8351437.5</v>
      </c>
      <c r="E1371" s="21">
        <v>-8351437.5</v>
      </c>
      <c r="F1371" s="21">
        <v>0</v>
      </c>
    </row>
    <row r="1372" spans="1:6" x14ac:dyDescent="0.25">
      <c r="A1372">
        <v>1818</v>
      </c>
      <c r="B1372" s="16">
        <v>43466</v>
      </c>
      <c r="C1372" t="s">
        <v>39</v>
      </c>
      <c r="D1372" s="21">
        <v>3853237.5</v>
      </c>
      <c r="E1372" s="21">
        <v>-3853237.5</v>
      </c>
      <c r="F1372" s="21">
        <v>0</v>
      </c>
    </row>
    <row r="1373" spans="1:6" x14ac:dyDescent="0.25">
      <c r="A1373">
        <v>1818</v>
      </c>
      <c r="B1373" s="16">
        <v>43497</v>
      </c>
      <c r="C1373" t="s">
        <v>192</v>
      </c>
      <c r="D1373" s="21">
        <v>14500000</v>
      </c>
      <c r="E1373" s="21">
        <v>-14500000</v>
      </c>
      <c r="F1373" s="21">
        <v>0</v>
      </c>
    </row>
    <row r="1374" spans="1:6" x14ac:dyDescent="0.25">
      <c r="A1374">
        <v>1818</v>
      </c>
      <c r="B1374" s="16">
        <v>43497</v>
      </c>
      <c r="C1374" t="s">
        <v>19</v>
      </c>
      <c r="D1374" s="21">
        <v>4704455.7</v>
      </c>
      <c r="E1374" s="21">
        <v>-4704455.7</v>
      </c>
      <c r="F1374" s="21">
        <v>0</v>
      </c>
    </row>
    <row r="1375" spans="1:6" x14ac:dyDescent="0.25">
      <c r="A1375">
        <v>1818</v>
      </c>
      <c r="B1375" s="16">
        <v>43497</v>
      </c>
      <c r="C1375" t="s">
        <v>38</v>
      </c>
      <c r="D1375" s="21">
        <v>3786425.9999999995</v>
      </c>
      <c r="E1375" s="21">
        <v>-3786425.9999999995</v>
      </c>
      <c r="F1375" s="21">
        <v>0</v>
      </c>
    </row>
    <row r="1376" spans="1:6" x14ac:dyDescent="0.25">
      <c r="A1376">
        <v>1818</v>
      </c>
      <c r="B1376" s="16">
        <v>43497</v>
      </c>
      <c r="C1376" t="s">
        <v>132</v>
      </c>
      <c r="D1376" s="21">
        <v>2356593.75</v>
      </c>
      <c r="E1376" s="21">
        <v>-2356593.75</v>
      </c>
      <c r="F1376" s="21">
        <v>0</v>
      </c>
    </row>
    <row r="1377" spans="1:6" x14ac:dyDescent="0.25">
      <c r="A1377">
        <v>1818</v>
      </c>
      <c r="B1377" s="16">
        <v>43497</v>
      </c>
      <c r="C1377" t="s">
        <v>16</v>
      </c>
      <c r="D1377" s="21">
        <v>380362.5</v>
      </c>
      <c r="E1377" s="21">
        <v>-380362.5</v>
      </c>
      <c r="F1377" s="21">
        <v>0</v>
      </c>
    </row>
    <row r="1378" spans="1:6" x14ac:dyDescent="0.25">
      <c r="A1378">
        <v>1818</v>
      </c>
      <c r="B1378" s="16">
        <v>43497</v>
      </c>
      <c r="C1378" t="s">
        <v>12</v>
      </c>
      <c r="D1378" s="21">
        <v>8351437.5</v>
      </c>
      <c r="E1378" s="21">
        <v>-8351437.5</v>
      </c>
      <c r="F1378" s="21">
        <v>0</v>
      </c>
    </row>
    <row r="1379" spans="1:6" x14ac:dyDescent="0.25">
      <c r="A1379">
        <v>1818</v>
      </c>
      <c r="B1379" s="16">
        <v>43497</v>
      </c>
      <c r="C1379" t="s">
        <v>39</v>
      </c>
      <c r="D1379" s="21">
        <v>3853237.5</v>
      </c>
      <c r="E1379" s="21">
        <v>-3853237.5</v>
      </c>
      <c r="F1379" s="21">
        <v>0</v>
      </c>
    </row>
    <row r="1380" spans="1:6" x14ac:dyDescent="0.25">
      <c r="A1380">
        <v>1818</v>
      </c>
      <c r="B1380" s="16">
        <v>43525</v>
      </c>
      <c r="C1380" t="s">
        <v>192</v>
      </c>
      <c r="D1380" s="21">
        <v>14500000</v>
      </c>
      <c r="E1380" s="21">
        <v>-14500000</v>
      </c>
      <c r="F1380" s="21">
        <v>0</v>
      </c>
    </row>
    <row r="1381" spans="1:6" x14ac:dyDescent="0.25">
      <c r="A1381">
        <v>1818</v>
      </c>
      <c r="B1381" s="16">
        <v>43525</v>
      </c>
      <c r="C1381" t="s">
        <v>19</v>
      </c>
      <c r="D1381" s="21">
        <v>4704455.7</v>
      </c>
      <c r="E1381" s="21">
        <v>-4704455.7</v>
      </c>
      <c r="F1381" s="21">
        <v>0</v>
      </c>
    </row>
    <row r="1382" spans="1:6" x14ac:dyDescent="0.25">
      <c r="A1382">
        <v>1818</v>
      </c>
      <c r="B1382" s="16">
        <v>43525</v>
      </c>
      <c r="C1382" t="s">
        <v>38</v>
      </c>
      <c r="D1382" s="21">
        <v>3786425.9999999995</v>
      </c>
      <c r="E1382" s="21">
        <v>-3786425.9999999995</v>
      </c>
      <c r="F1382" s="21">
        <v>0</v>
      </c>
    </row>
    <row r="1383" spans="1:6" x14ac:dyDescent="0.25">
      <c r="A1383">
        <v>1818</v>
      </c>
      <c r="B1383" s="16">
        <v>43525</v>
      </c>
      <c r="C1383" t="s">
        <v>132</v>
      </c>
      <c r="D1383" s="21">
        <v>2356593.75</v>
      </c>
      <c r="E1383" s="21">
        <v>-2356593.75</v>
      </c>
      <c r="F1383" s="21">
        <v>0</v>
      </c>
    </row>
    <row r="1384" spans="1:6" x14ac:dyDescent="0.25">
      <c r="A1384">
        <v>1818</v>
      </c>
      <c r="B1384" s="16">
        <v>43525</v>
      </c>
      <c r="C1384" t="s">
        <v>16</v>
      </c>
      <c r="D1384" s="21">
        <v>380362.5</v>
      </c>
      <c r="E1384" s="21">
        <v>-380362.5</v>
      </c>
      <c r="F1384" s="21">
        <v>0</v>
      </c>
    </row>
    <row r="1385" spans="1:6" x14ac:dyDescent="0.25">
      <c r="A1385">
        <v>1818</v>
      </c>
      <c r="B1385" s="16">
        <v>43525</v>
      </c>
      <c r="C1385" t="s">
        <v>12</v>
      </c>
      <c r="D1385" s="21">
        <v>8351437.5</v>
      </c>
      <c r="E1385" s="21">
        <v>-8351437.5</v>
      </c>
      <c r="F1385" s="21">
        <v>0</v>
      </c>
    </row>
    <row r="1386" spans="1:6" x14ac:dyDescent="0.25">
      <c r="A1386">
        <v>1818</v>
      </c>
      <c r="B1386" s="16">
        <v>43525</v>
      </c>
      <c r="C1386" t="s">
        <v>39</v>
      </c>
      <c r="D1386" s="21">
        <v>3853237.5</v>
      </c>
      <c r="E1386" s="21">
        <v>-3853237.5</v>
      </c>
      <c r="F1386" s="21">
        <v>0</v>
      </c>
    </row>
    <row r="1387" spans="1:6" x14ac:dyDescent="0.25">
      <c r="A1387">
        <v>1818</v>
      </c>
      <c r="B1387" s="16">
        <v>43556</v>
      </c>
      <c r="C1387" t="s">
        <v>192</v>
      </c>
      <c r="D1387" s="21">
        <v>14500000</v>
      </c>
      <c r="E1387" s="21">
        <v>-14500000</v>
      </c>
      <c r="F1387" s="21">
        <v>0</v>
      </c>
    </row>
    <row r="1388" spans="1:6" x14ac:dyDescent="0.25">
      <c r="A1388">
        <v>1818</v>
      </c>
      <c r="B1388" s="16">
        <v>43556</v>
      </c>
      <c r="C1388" t="s">
        <v>19</v>
      </c>
      <c r="D1388" s="21">
        <v>4704455.7</v>
      </c>
      <c r="E1388" s="21">
        <v>-4704455.7</v>
      </c>
      <c r="F1388" s="21">
        <v>0</v>
      </c>
    </row>
    <row r="1389" spans="1:6" x14ac:dyDescent="0.25">
      <c r="A1389">
        <v>1818</v>
      </c>
      <c r="B1389" s="16">
        <v>43556</v>
      </c>
      <c r="C1389" t="s">
        <v>38</v>
      </c>
      <c r="D1389" s="21">
        <v>3786425.9999999995</v>
      </c>
      <c r="E1389" s="21">
        <v>-3786425.9999999995</v>
      </c>
      <c r="F1389" s="21">
        <v>0</v>
      </c>
    </row>
    <row r="1390" spans="1:6" x14ac:dyDescent="0.25">
      <c r="A1390">
        <v>1818</v>
      </c>
      <c r="B1390" s="16">
        <v>43556</v>
      </c>
      <c r="C1390" t="s">
        <v>132</v>
      </c>
      <c r="D1390" s="21">
        <v>2356593.75</v>
      </c>
      <c r="E1390" s="21">
        <v>-2356593.75</v>
      </c>
      <c r="F1390" s="21">
        <v>0</v>
      </c>
    </row>
    <row r="1391" spans="1:6" x14ac:dyDescent="0.25">
      <c r="A1391">
        <v>1818</v>
      </c>
      <c r="B1391" s="16">
        <v>43556</v>
      </c>
      <c r="C1391" t="s">
        <v>16</v>
      </c>
      <c r="D1391" s="21">
        <v>380362.5</v>
      </c>
      <c r="E1391" s="21">
        <v>-380362.5</v>
      </c>
      <c r="F1391" s="21">
        <v>0</v>
      </c>
    </row>
    <row r="1392" spans="1:6" x14ac:dyDescent="0.25">
      <c r="A1392">
        <v>1818</v>
      </c>
      <c r="B1392" s="16">
        <v>43556</v>
      </c>
      <c r="C1392" t="s">
        <v>12</v>
      </c>
      <c r="D1392" s="21">
        <v>8351437.5</v>
      </c>
      <c r="E1392" s="21">
        <v>-8351437.5</v>
      </c>
      <c r="F1392" s="21">
        <v>0</v>
      </c>
    </row>
    <row r="1393" spans="1:6" x14ac:dyDescent="0.25">
      <c r="A1393">
        <v>1818</v>
      </c>
      <c r="B1393" s="16">
        <v>43556</v>
      </c>
      <c r="C1393" t="s">
        <v>39</v>
      </c>
      <c r="D1393" s="21">
        <v>3853237.5</v>
      </c>
      <c r="E1393" s="21">
        <v>-3853237.5</v>
      </c>
      <c r="F1393" s="21">
        <v>0</v>
      </c>
    </row>
    <row r="1394" spans="1:6" x14ac:dyDescent="0.25">
      <c r="A1394">
        <v>1818</v>
      </c>
      <c r="B1394" s="16">
        <v>43586</v>
      </c>
      <c r="C1394" t="s">
        <v>192</v>
      </c>
      <c r="D1394" s="21">
        <v>14500000</v>
      </c>
      <c r="E1394" s="21">
        <v>-14500000</v>
      </c>
      <c r="F1394" s="21">
        <v>0</v>
      </c>
    </row>
    <row r="1395" spans="1:6" x14ac:dyDescent="0.25">
      <c r="A1395">
        <v>1818</v>
      </c>
      <c r="B1395" s="16">
        <v>43586</v>
      </c>
      <c r="C1395" t="s">
        <v>19</v>
      </c>
      <c r="D1395" s="21">
        <v>4704455.7</v>
      </c>
      <c r="E1395" s="21">
        <v>-4704455.7</v>
      </c>
      <c r="F1395" s="21">
        <v>0</v>
      </c>
    </row>
    <row r="1396" spans="1:6" x14ac:dyDescent="0.25">
      <c r="A1396">
        <v>1818</v>
      </c>
      <c r="B1396" s="16">
        <v>43586</v>
      </c>
      <c r="C1396" t="s">
        <v>38</v>
      </c>
      <c r="D1396" s="21">
        <v>3786425.9999999995</v>
      </c>
      <c r="E1396" s="21">
        <v>-3786425.9999999995</v>
      </c>
      <c r="F1396" s="21">
        <v>0</v>
      </c>
    </row>
    <row r="1397" spans="1:6" x14ac:dyDescent="0.25">
      <c r="A1397">
        <v>1818</v>
      </c>
      <c r="B1397" s="16">
        <v>43586</v>
      </c>
      <c r="C1397" t="s">
        <v>132</v>
      </c>
      <c r="D1397" s="21">
        <v>2356593.75</v>
      </c>
      <c r="E1397" s="21">
        <v>-2356593.75</v>
      </c>
      <c r="F1397" s="21">
        <v>0</v>
      </c>
    </row>
    <row r="1398" spans="1:6" x14ac:dyDescent="0.25">
      <c r="A1398">
        <v>1818</v>
      </c>
      <c r="B1398" s="16">
        <v>43586</v>
      </c>
      <c r="C1398" t="s">
        <v>16</v>
      </c>
      <c r="D1398" s="21">
        <v>380362.5</v>
      </c>
      <c r="E1398" s="21">
        <v>-380362.5</v>
      </c>
      <c r="F1398" s="21">
        <v>0</v>
      </c>
    </row>
    <row r="1399" spans="1:6" x14ac:dyDescent="0.25">
      <c r="A1399">
        <v>1818</v>
      </c>
      <c r="B1399" s="16">
        <v>43586</v>
      </c>
      <c r="C1399" t="s">
        <v>12</v>
      </c>
      <c r="D1399" s="21">
        <v>8351437.5</v>
      </c>
      <c r="E1399" s="21">
        <v>-8351437.5</v>
      </c>
      <c r="F1399" s="21">
        <v>0</v>
      </c>
    </row>
    <row r="1400" spans="1:6" x14ac:dyDescent="0.25">
      <c r="A1400">
        <v>1818</v>
      </c>
      <c r="B1400" s="16">
        <v>43586</v>
      </c>
      <c r="C1400" t="s">
        <v>39</v>
      </c>
      <c r="D1400" s="21">
        <v>3853237.5</v>
      </c>
      <c r="E1400" s="21">
        <v>-3853237.5</v>
      </c>
      <c r="F1400" s="21">
        <v>0</v>
      </c>
    </row>
    <row r="1401" spans="1:6" x14ac:dyDescent="0.25">
      <c r="A1401">
        <v>1818</v>
      </c>
      <c r="B1401" s="16">
        <v>43617</v>
      </c>
      <c r="C1401" t="s">
        <v>192</v>
      </c>
      <c r="D1401" s="21">
        <v>14500000</v>
      </c>
      <c r="E1401" s="21">
        <v>-14500000</v>
      </c>
      <c r="F1401" s="21">
        <v>0</v>
      </c>
    </row>
    <row r="1402" spans="1:6" x14ac:dyDescent="0.25">
      <c r="A1402">
        <v>1818</v>
      </c>
      <c r="B1402" s="16">
        <v>43617</v>
      </c>
      <c r="C1402" t="s">
        <v>19</v>
      </c>
      <c r="D1402" s="21">
        <v>4704455.7</v>
      </c>
      <c r="E1402" s="21">
        <v>-4704455.7</v>
      </c>
      <c r="F1402" s="21">
        <v>0</v>
      </c>
    </row>
    <row r="1403" spans="1:6" x14ac:dyDescent="0.25">
      <c r="A1403">
        <v>1818</v>
      </c>
      <c r="B1403" s="16">
        <v>43617</v>
      </c>
      <c r="C1403" t="s">
        <v>38</v>
      </c>
      <c r="D1403" s="21">
        <v>3786425.9999999995</v>
      </c>
      <c r="E1403" s="21">
        <v>-3786425.9999999995</v>
      </c>
      <c r="F1403" s="21">
        <v>0</v>
      </c>
    </row>
    <row r="1404" spans="1:6" x14ac:dyDescent="0.25">
      <c r="A1404">
        <v>1818</v>
      </c>
      <c r="B1404" s="16">
        <v>43617</v>
      </c>
      <c r="C1404" t="s">
        <v>132</v>
      </c>
      <c r="D1404" s="21">
        <v>2356593.75</v>
      </c>
      <c r="E1404" s="21">
        <v>-2356593.75</v>
      </c>
      <c r="F1404" s="21">
        <v>0</v>
      </c>
    </row>
    <row r="1405" spans="1:6" x14ac:dyDescent="0.25">
      <c r="A1405">
        <v>1818</v>
      </c>
      <c r="B1405" s="16">
        <v>43617</v>
      </c>
      <c r="C1405" t="s">
        <v>16</v>
      </c>
      <c r="D1405" s="21">
        <v>380362.5</v>
      </c>
      <c r="E1405" s="21">
        <v>-380362.5</v>
      </c>
      <c r="F1405" s="21">
        <v>0</v>
      </c>
    </row>
    <row r="1406" spans="1:6" x14ac:dyDescent="0.25">
      <c r="A1406">
        <v>1818</v>
      </c>
      <c r="B1406" s="16">
        <v>43617</v>
      </c>
      <c r="C1406" t="s">
        <v>12</v>
      </c>
      <c r="D1406" s="21">
        <v>8351437.5</v>
      </c>
      <c r="E1406" s="21">
        <v>-8351437.5</v>
      </c>
      <c r="F1406" s="21">
        <v>0</v>
      </c>
    </row>
    <row r="1407" spans="1:6" x14ac:dyDescent="0.25">
      <c r="A1407">
        <v>1818</v>
      </c>
      <c r="B1407" s="16">
        <v>43617</v>
      </c>
      <c r="C1407" t="s">
        <v>39</v>
      </c>
      <c r="D1407" s="21">
        <v>3853237.5</v>
      </c>
      <c r="E1407" s="21">
        <v>-3853237.5</v>
      </c>
      <c r="F1407" s="21">
        <v>0</v>
      </c>
    </row>
    <row r="1408" spans="1:6" x14ac:dyDescent="0.25">
      <c r="A1408">
        <v>1818</v>
      </c>
      <c r="B1408" s="16">
        <v>43647</v>
      </c>
      <c r="C1408" t="s">
        <v>192</v>
      </c>
      <c r="D1408" s="21">
        <v>14500000</v>
      </c>
      <c r="E1408" s="21">
        <v>-14500000</v>
      </c>
      <c r="F1408" s="21">
        <v>0</v>
      </c>
    </row>
    <row r="1409" spans="1:6" x14ac:dyDescent="0.25">
      <c r="A1409">
        <v>1818</v>
      </c>
      <c r="B1409" s="16">
        <v>43647</v>
      </c>
      <c r="C1409" t="s">
        <v>38</v>
      </c>
      <c r="D1409" s="21">
        <v>3786425.9999999995</v>
      </c>
      <c r="E1409" s="21">
        <v>-3786425.9999999995</v>
      </c>
      <c r="F1409" s="21">
        <v>0</v>
      </c>
    </row>
    <row r="1410" spans="1:6" x14ac:dyDescent="0.25">
      <c r="A1410">
        <v>1818</v>
      </c>
      <c r="B1410" s="16">
        <v>43647</v>
      </c>
      <c r="C1410" t="s">
        <v>12</v>
      </c>
      <c r="D1410" s="21">
        <v>8351437.5</v>
      </c>
      <c r="E1410" s="21">
        <v>-8351437.5</v>
      </c>
      <c r="F1410" s="21">
        <v>0</v>
      </c>
    </row>
    <row r="1411" spans="1:6" x14ac:dyDescent="0.25">
      <c r="A1411">
        <v>1818</v>
      </c>
      <c r="B1411" s="16">
        <v>43647</v>
      </c>
      <c r="C1411" t="s">
        <v>16</v>
      </c>
      <c r="D1411" s="21">
        <v>380362.5</v>
      </c>
      <c r="E1411" s="21">
        <v>-380362.5</v>
      </c>
      <c r="F1411" s="21">
        <v>0</v>
      </c>
    </row>
    <row r="1412" spans="1:6" x14ac:dyDescent="0.25">
      <c r="A1412">
        <v>1818</v>
      </c>
      <c r="B1412" s="16">
        <v>43647</v>
      </c>
      <c r="C1412" t="s">
        <v>19</v>
      </c>
      <c r="D1412" s="21">
        <v>4704455.7</v>
      </c>
      <c r="E1412" s="21">
        <v>-4704455.7</v>
      </c>
      <c r="F1412" s="21">
        <v>0</v>
      </c>
    </row>
    <row r="1413" spans="1:6" x14ac:dyDescent="0.25">
      <c r="A1413">
        <v>1818</v>
      </c>
      <c r="B1413" s="16">
        <v>43647</v>
      </c>
      <c r="C1413" t="s">
        <v>39</v>
      </c>
      <c r="D1413" s="21">
        <v>3853237.5</v>
      </c>
      <c r="E1413" s="21">
        <v>-3853237.5</v>
      </c>
      <c r="F1413" s="21">
        <v>0</v>
      </c>
    </row>
    <row r="1414" spans="1:6" x14ac:dyDescent="0.25">
      <c r="A1414">
        <v>1818</v>
      </c>
      <c r="B1414" s="16">
        <v>43678</v>
      </c>
      <c r="C1414" t="s">
        <v>192</v>
      </c>
      <c r="D1414" s="21">
        <v>14500000</v>
      </c>
      <c r="E1414" s="21">
        <v>-14500000</v>
      </c>
      <c r="F1414" s="21">
        <v>0</v>
      </c>
    </row>
    <row r="1415" spans="1:6" x14ac:dyDescent="0.25">
      <c r="A1415">
        <v>1818</v>
      </c>
      <c r="B1415" s="16">
        <v>43678</v>
      </c>
      <c r="C1415" t="s">
        <v>38</v>
      </c>
      <c r="D1415" s="21">
        <v>3786425.9999999995</v>
      </c>
      <c r="E1415" s="21">
        <v>-3786425.9999999995</v>
      </c>
      <c r="F1415" s="21">
        <v>0</v>
      </c>
    </row>
    <row r="1416" spans="1:6" x14ac:dyDescent="0.25">
      <c r="A1416">
        <v>1818</v>
      </c>
      <c r="B1416" s="16">
        <v>43678</v>
      </c>
      <c r="C1416" t="s">
        <v>12</v>
      </c>
      <c r="D1416" s="21">
        <v>8351437.5</v>
      </c>
      <c r="E1416" s="21">
        <v>-8351437.5</v>
      </c>
      <c r="F1416" s="21">
        <v>0</v>
      </c>
    </row>
    <row r="1417" spans="1:6" x14ac:dyDescent="0.25">
      <c r="A1417">
        <v>1818</v>
      </c>
      <c r="B1417" s="16">
        <v>43678</v>
      </c>
      <c r="C1417" t="s">
        <v>16</v>
      </c>
      <c r="D1417" s="21">
        <v>380362.5</v>
      </c>
      <c r="E1417" s="21">
        <v>-380362.5</v>
      </c>
      <c r="F1417" s="21">
        <v>0</v>
      </c>
    </row>
    <row r="1418" spans="1:6" x14ac:dyDescent="0.25">
      <c r="A1418">
        <v>1818</v>
      </c>
      <c r="B1418" s="16">
        <v>43678</v>
      </c>
      <c r="C1418" t="s">
        <v>19</v>
      </c>
      <c r="D1418" s="21">
        <v>4704455.7</v>
      </c>
      <c r="E1418" s="21">
        <v>-4704455.7</v>
      </c>
      <c r="F1418" s="21">
        <v>0</v>
      </c>
    </row>
    <row r="1419" spans="1:6" x14ac:dyDescent="0.25">
      <c r="A1419">
        <v>1818</v>
      </c>
      <c r="B1419" s="16">
        <v>43678</v>
      </c>
      <c r="C1419" t="s">
        <v>39</v>
      </c>
      <c r="D1419" s="21">
        <v>3853237.5</v>
      </c>
      <c r="E1419" s="21">
        <v>-3853237.5</v>
      </c>
      <c r="F1419" s="21">
        <v>0</v>
      </c>
    </row>
    <row r="1420" spans="1:6" x14ac:dyDescent="0.25">
      <c r="A1420">
        <v>1818</v>
      </c>
      <c r="B1420" s="16">
        <v>43709</v>
      </c>
      <c r="C1420" t="s">
        <v>192</v>
      </c>
      <c r="D1420" s="21">
        <v>14500000</v>
      </c>
      <c r="E1420" s="21">
        <v>-14500000</v>
      </c>
      <c r="F1420" s="21">
        <v>0</v>
      </c>
    </row>
    <row r="1421" spans="1:6" x14ac:dyDescent="0.25">
      <c r="A1421">
        <v>1818</v>
      </c>
      <c r="B1421" s="16">
        <v>43709</v>
      </c>
      <c r="C1421" t="s">
        <v>19</v>
      </c>
      <c r="D1421" s="21">
        <v>4704455.7</v>
      </c>
      <c r="E1421" s="21">
        <v>-4704455.7</v>
      </c>
      <c r="F1421" s="21">
        <v>0</v>
      </c>
    </row>
    <row r="1422" spans="1:6" x14ac:dyDescent="0.25">
      <c r="A1422">
        <v>1818</v>
      </c>
      <c r="B1422" s="16">
        <v>43709</v>
      </c>
      <c r="C1422" t="s">
        <v>38</v>
      </c>
      <c r="D1422" s="21">
        <v>3786425.9999999995</v>
      </c>
      <c r="E1422" s="21">
        <v>-3786425.9999999995</v>
      </c>
      <c r="F1422" s="21">
        <v>0</v>
      </c>
    </row>
    <row r="1423" spans="1:6" x14ac:dyDescent="0.25">
      <c r="A1423">
        <v>1818</v>
      </c>
      <c r="B1423" s="16">
        <v>43709</v>
      </c>
      <c r="C1423" t="s">
        <v>12</v>
      </c>
      <c r="D1423" s="21">
        <v>8351437.5</v>
      </c>
      <c r="E1423" s="21">
        <v>-8351437.5</v>
      </c>
      <c r="F1423" s="21">
        <v>0</v>
      </c>
    </row>
    <row r="1424" spans="1:6" x14ac:dyDescent="0.25">
      <c r="A1424">
        <v>1818</v>
      </c>
      <c r="B1424" s="16">
        <v>43709</v>
      </c>
      <c r="C1424" t="s">
        <v>39</v>
      </c>
      <c r="D1424" s="21">
        <v>3853237.5</v>
      </c>
      <c r="E1424" s="21">
        <v>-3853237.5</v>
      </c>
      <c r="F1424" s="21">
        <v>0</v>
      </c>
    </row>
    <row r="1425" spans="1:6" x14ac:dyDescent="0.25">
      <c r="A1425">
        <v>1818</v>
      </c>
      <c r="B1425" s="16">
        <v>43739</v>
      </c>
      <c r="C1425" t="s">
        <v>192</v>
      </c>
      <c r="D1425" s="21">
        <v>14500000</v>
      </c>
      <c r="E1425" s="21">
        <v>-14500000</v>
      </c>
      <c r="F1425" s="21">
        <v>0</v>
      </c>
    </row>
    <row r="1426" spans="1:6" x14ac:dyDescent="0.25">
      <c r="A1426">
        <v>1818</v>
      </c>
      <c r="B1426" s="16">
        <v>43739</v>
      </c>
      <c r="C1426" t="s">
        <v>19</v>
      </c>
      <c r="D1426" s="21">
        <v>4704455.7</v>
      </c>
      <c r="E1426" s="21">
        <v>-4704455.7</v>
      </c>
      <c r="F1426" s="21">
        <v>0</v>
      </c>
    </row>
    <row r="1427" spans="1:6" x14ac:dyDescent="0.25">
      <c r="A1427">
        <v>1818</v>
      </c>
      <c r="B1427" s="16">
        <v>43739</v>
      </c>
      <c r="C1427" t="s">
        <v>38</v>
      </c>
      <c r="D1427" s="21">
        <v>3786425.9999999995</v>
      </c>
      <c r="E1427" s="21">
        <v>-3786425.9999999995</v>
      </c>
      <c r="F1427" s="21">
        <v>0</v>
      </c>
    </row>
    <row r="1428" spans="1:6" x14ac:dyDescent="0.25">
      <c r="A1428">
        <v>1818</v>
      </c>
      <c r="B1428" s="16">
        <v>43739</v>
      </c>
      <c r="C1428" t="s">
        <v>12</v>
      </c>
      <c r="D1428" s="21">
        <v>8351437.5</v>
      </c>
      <c r="E1428" s="21">
        <v>-8351437.5</v>
      </c>
      <c r="F1428" s="21">
        <v>0</v>
      </c>
    </row>
    <row r="1429" spans="1:6" x14ac:dyDescent="0.25">
      <c r="A1429">
        <v>1818</v>
      </c>
      <c r="B1429" s="16">
        <v>43739</v>
      </c>
      <c r="C1429" t="s">
        <v>39</v>
      </c>
      <c r="D1429" s="21">
        <v>3853237.5</v>
      </c>
      <c r="E1429" s="21">
        <v>-3853237.5</v>
      </c>
      <c r="F1429" s="21">
        <v>0</v>
      </c>
    </row>
    <row r="1430" spans="1:6" x14ac:dyDescent="0.25">
      <c r="A1430">
        <v>1818</v>
      </c>
      <c r="B1430" s="16">
        <v>43770</v>
      </c>
      <c r="C1430" t="s">
        <v>192</v>
      </c>
      <c r="D1430" s="21">
        <v>14500000</v>
      </c>
      <c r="E1430" s="21">
        <v>-14500000</v>
      </c>
      <c r="F1430" s="21">
        <v>0</v>
      </c>
    </row>
    <row r="1431" spans="1:6" x14ac:dyDescent="0.25">
      <c r="A1431">
        <v>1818</v>
      </c>
      <c r="B1431" s="16">
        <v>43770</v>
      </c>
      <c r="C1431" t="s">
        <v>19</v>
      </c>
      <c r="D1431" s="21">
        <v>4704455.7</v>
      </c>
      <c r="E1431" s="21">
        <v>-4704455.7</v>
      </c>
      <c r="F1431" s="21">
        <v>0</v>
      </c>
    </row>
    <row r="1432" spans="1:6" x14ac:dyDescent="0.25">
      <c r="A1432">
        <v>1818</v>
      </c>
      <c r="B1432" s="16">
        <v>43770</v>
      </c>
      <c r="C1432" t="s">
        <v>38</v>
      </c>
      <c r="D1432" s="21">
        <v>3786425.9999999995</v>
      </c>
      <c r="E1432" s="21">
        <v>-3786425.9999999995</v>
      </c>
      <c r="F1432" s="21">
        <v>0</v>
      </c>
    </row>
    <row r="1433" spans="1:6" x14ac:dyDescent="0.25">
      <c r="A1433">
        <v>1818</v>
      </c>
      <c r="B1433" s="16">
        <v>43770</v>
      </c>
      <c r="C1433" t="s">
        <v>12</v>
      </c>
      <c r="D1433" s="21">
        <v>8351437.5</v>
      </c>
      <c r="E1433" s="21">
        <v>-8351437.5</v>
      </c>
      <c r="F1433" s="21">
        <v>0</v>
      </c>
    </row>
    <row r="1434" spans="1:6" x14ac:dyDescent="0.25">
      <c r="A1434">
        <v>1818</v>
      </c>
      <c r="B1434" s="16">
        <v>43770</v>
      </c>
      <c r="C1434" t="s">
        <v>39</v>
      </c>
      <c r="D1434" s="21">
        <v>3853237.5</v>
      </c>
      <c r="E1434" s="21">
        <v>-3853237.5</v>
      </c>
      <c r="F1434" s="21">
        <v>0</v>
      </c>
    </row>
    <row r="1435" spans="1:6" x14ac:dyDescent="0.25">
      <c r="A1435">
        <v>1818</v>
      </c>
      <c r="B1435" s="16">
        <v>43800</v>
      </c>
      <c r="C1435" t="s">
        <v>12</v>
      </c>
      <c r="D1435" s="21">
        <v>8351437.5</v>
      </c>
      <c r="E1435" s="21">
        <v>-8351437.5</v>
      </c>
      <c r="F1435" s="21">
        <v>0</v>
      </c>
    </row>
    <row r="1436" spans="1:6" x14ac:dyDescent="0.25">
      <c r="A1436">
        <v>1818</v>
      </c>
      <c r="B1436" s="16">
        <v>43800</v>
      </c>
      <c r="C1436" t="s">
        <v>192</v>
      </c>
      <c r="D1436" s="21">
        <v>14500000</v>
      </c>
      <c r="E1436" s="21">
        <v>-14500000</v>
      </c>
      <c r="F1436" s="21">
        <v>0</v>
      </c>
    </row>
    <row r="1437" spans="1:6" x14ac:dyDescent="0.25">
      <c r="A1437">
        <v>1818</v>
      </c>
      <c r="B1437" s="16">
        <v>43800</v>
      </c>
      <c r="C1437" t="s">
        <v>19</v>
      </c>
      <c r="D1437" s="21">
        <v>4704455.7</v>
      </c>
      <c r="E1437" s="21">
        <v>-4704455.7</v>
      </c>
      <c r="F1437" s="21">
        <v>0</v>
      </c>
    </row>
    <row r="1438" spans="1:6" x14ac:dyDescent="0.25">
      <c r="A1438">
        <v>1818</v>
      </c>
      <c r="B1438" s="16">
        <v>43800</v>
      </c>
      <c r="C1438" t="s">
        <v>39</v>
      </c>
      <c r="D1438" s="21">
        <v>3853237.5</v>
      </c>
      <c r="E1438" s="21">
        <v>-3853237.5</v>
      </c>
      <c r="F1438" s="21">
        <v>0</v>
      </c>
    </row>
    <row r="1439" spans="1:6" x14ac:dyDescent="0.25">
      <c r="A1439">
        <v>1824</v>
      </c>
      <c r="B1439" s="16">
        <v>43466</v>
      </c>
      <c r="C1439" t="s">
        <v>192</v>
      </c>
      <c r="D1439" s="21">
        <v>48166666.666666664</v>
      </c>
      <c r="E1439" s="21">
        <v>-48166666.666666664</v>
      </c>
      <c r="F1439" s="21">
        <v>0</v>
      </c>
    </row>
    <row r="1440" spans="1:6" x14ac:dyDescent="0.25">
      <c r="A1440">
        <v>1824</v>
      </c>
      <c r="B1440" s="16">
        <v>43497</v>
      </c>
      <c r="C1440" t="s">
        <v>192</v>
      </c>
      <c r="D1440" s="21">
        <v>48166666.666666664</v>
      </c>
      <c r="E1440" s="21">
        <v>-48166666.666666664</v>
      </c>
      <c r="F1440" s="21">
        <v>0</v>
      </c>
    </row>
    <row r="1441" spans="1:6" x14ac:dyDescent="0.25">
      <c r="A1441">
        <v>1824</v>
      </c>
      <c r="B1441" s="16">
        <v>43525</v>
      </c>
      <c r="C1441" t="s">
        <v>192</v>
      </c>
      <c r="D1441" s="21">
        <v>48166666.666666664</v>
      </c>
      <c r="E1441" s="21">
        <v>-48166666.666666664</v>
      </c>
      <c r="F1441" s="21">
        <v>0</v>
      </c>
    </row>
    <row r="1442" spans="1:6" x14ac:dyDescent="0.25">
      <c r="A1442">
        <v>1824</v>
      </c>
      <c r="B1442" s="16">
        <v>43556</v>
      </c>
      <c r="C1442" t="s">
        <v>192</v>
      </c>
      <c r="D1442" s="21">
        <v>48166666.666666664</v>
      </c>
      <c r="E1442" s="21">
        <v>-48166666.666666664</v>
      </c>
      <c r="F1442" s="21">
        <v>0</v>
      </c>
    </row>
    <row r="1443" spans="1:6" x14ac:dyDescent="0.25">
      <c r="A1443">
        <v>1824</v>
      </c>
      <c r="B1443" s="16">
        <v>43586</v>
      </c>
      <c r="C1443" t="s">
        <v>192</v>
      </c>
      <c r="D1443" s="21">
        <v>48166666.666666664</v>
      </c>
      <c r="E1443" s="21">
        <v>-48166666.666666664</v>
      </c>
      <c r="F1443" s="21">
        <v>0</v>
      </c>
    </row>
    <row r="1444" spans="1:6" x14ac:dyDescent="0.25">
      <c r="A1444">
        <v>1824</v>
      </c>
      <c r="B1444" s="16">
        <v>43617</v>
      </c>
      <c r="C1444" t="s">
        <v>192</v>
      </c>
      <c r="D1444" s="21">
        <v>48166666.666666664</v>
      </c>
      <c r="E1444" s="21">
        <v>-48166666.666666664</v>
      </c>
      <c r="F1444" s="21">
        <v>0</v>
      </c>
    </row>
    <row r="1445" spans="1:6" x14ac:dyDescent="0.25">
      <c r="A1445">
        <v>1826</v>
      </c>
      <c r="B1445" s="16">
        <v>43466</v>
      </c>
      <c r="C1445" t="s">
        <v>192</v>
      </c>
      <c r="D1445" s="21">
        <v>20341421</v>
      </c>
      <c r="E1445" s="21">
        <v>-20341421</v>
      </c>
      <c r="F1445" s="21">
        <v>0</v>
      </c>
    </row>
    <row r="1446" spans="1:6" x14ac:dyDescent="0.25">
      <c r="A1446">
        <v>1826</v>
      </c>
      <c r="B1446" s="16">
        <v>43497</v>
      </c>
      <c r="C1446" t="s">
        <v>192</v>
      </c>
      <c r="D1446" s="21">
        <v>20341421</v>
      </c>
      <c r="E1446" s="21">
        <v>-20341421</v>
      </c>
      <c r="F1446" s="21">
        <v>0</v>
      </c>
    </row>
    <row r="1447" spans="1:6" x14ac:dyDescent="0.25">
      <c r="A1447">
        <v>1826</v>
      </c>
      <c r="B1447" s="16">
        <v>43525</v>
      </c>
      <c r="C1447" t="s">
        <v>192</v>
      </c>
      <c r="D1447" s="21">
        <v>20341421</v>
      </c>
      <c r="E1447" s="21">
        <v>-20341421</v>
      </c>
      <c r="F1447" s="21">
        <v>0</v>
      </c>
    </row>
    <row r="1448" spans="1:6" x14ac:dyDescent="0.25">
      <c r="A1448">
        <v>1829</v>
      </c>
      <c r="B1448" s="16">
        <v>43466</v>
      </c>
      <c r="C1448" t="s">
        <v>192</v>
      </c>
      <c r="D1448" s="21">
        <v>15730394.957983194</v>
      </c>
      <c r="E1448" s="21">
        <v>-15730394.957983194</v>
      </c>
      <c r="F1448" s="21">
        <v>0</v>
      </c>
    </row>
    <row r="1449" spans="1:6" x14ac:dyDescent="0.25">
      <c r="A1449">
        <v>1829</v>
      </c>
      <c r="B1449" s="16">
        <v>43466</v>
      </c>
      <c r="C1449" t="s">
        <v>142</v>
      </c>
      <c r="D1449" s="21">
        <v>4154801.1749999998</v>
      </c>
      <c r="E1449" s="21">
        <v>-4154801.1749999998</v>
      </c>
      <c r="F1449" s="21">
        <v>0</v>
      </c>
    </row>
    <row r="1450" spans="1:6" x14ac:dyDescent="0.25">
      <c r="A1450">
        <v>1829</v>
      </c>
      <c r="B1450" s="16">
        <v>43466</v>
      </c>
      <c r="C1450" t="s">
        <v>19</v>
      </c>
      <c r="D1450" s="21">
        <v>3811675.6440000003</v>
      </c>
      <c r="E1450" s="21">
        <v>-3811675.6440000003</v>
      </c>
      <c r="F1450" s="21">
        <v>0</v>
      </c>
    </row>
    <row r="1451" spans="1:6" x14ac:dyDescent="0.25">
      <c r="A1451">
        <v>1829</v>
      </c>
      <c r="B1451" s="16">
        <v>43466</v>
      </c>
      <c r="C1451" t="s">
        <v>140</v>
      </c>
      <c r="D1451" s="21">
        <v>5821058.25</v>
      </c>
      <c r="E1451" s="21">
        <v>-5821058.25</v>
      </c>
      <c r="F1451" s="21">
        <v>0</v>
      </c>
    </row>
    <row r="1452" spans="1:6" x14ac:dyDescent="0.25">
      <c r="A1452">
        <v>1829</v>
      </c>
      <c r="B1452" s="16">
        <v>43466</v>
      </c>
      <c r="C1452" t="s">
        <v>12</v>
      </c>
      <c r="D1452" s="21">
        <v>17112910.5</v>
      </c>
      <c r="E1452" s="21">
        <v>-17112910.5</v>
      </c>
      <c r="F1452" s="21">
        <v>0</v>
      </c>
    </row>
    <row r="1453" spans="1:6" x14ac:dyDescent="0.25">
      <c r="A1453">
        <v>1829</v>
      </c>
      <c r="B1453" s="16">
        <v>43466</v>
      </c>
      <c r="C1453" t="s">
        <v>39</v>
      </c>
      <c r="D1453" s="21">
        <v>3886265.25</v>
      </c>
      <c r="E1453" s="21">
        <v>-3886265.25</v>
      </c>
      <c r="F1453" s="21">
        <v>0</v>
      </c>
    </row>
    <row r="1454" spans="1:6" x14ac:dyDescent="0.25">
      <c r="A1454">
        <v>1829</v>
      </c>
      <c r="B1454" s="16">
        <v>43466</v>
      </c>
      <c r="C1454" t="s">
        <v>139</v>
      </c>
      <c r="D1454" s="21">
        <v>7505662.5</v>
      </c>
      <c r="E1454" s="21">
        <v>-7505662.5</v>
      </c>
      <c r="F1454" s="21">
        <v>0</v>
      </c>
    </row>
    <row r="1455" spans="1:6" x14ac:dyDescent="0.25">
      <c r="A1455">
        <v>1829</v>
      </c>
      <c r="B1455" s="16">
        <v>43466</v>
      </c>
      <c r="C1455" t="s">
        <v>136</v>
      </c>
      <c r="D1455" s="21">
        <v>6004530</v>
      </c>
      <c r="E1455" s="21">
        <v>-6004530</v>
      </c>
      <c r="F1455" s="21">
        <v>0</v>
      </c>
    </row>
    <row r="1456" spans="1:6" x14ac:dyDescent="0.25">
      <c r="A1456">
        <v>1829</v>
      </c>
      <c r="B1456" s="16">
        <v>43466</v>
      </c>
      <c r="C1456" t="s">
        <v>59</v>
      </c>
      <c r="D1456" s="21">
        <v>1667925</v>
      </c>
      <c r="E1456" s="21">
        <v>-1667925</v>
      </c>
      <c r="F1456" s="21">
        <v>0</v>
      </c>
    </row>
    <row r="1457" spans="1:6" x14ac:dyDescent="0.25">
      <c r="A1457">
        <v>1829</v>
      </c>
      <c r="B1457" s="16">
        <v>43466</v>
      </c>
      <c r="C1457" t="s">
        <v>143</v>
      </c>
      <c r="D1457" s="21">
        <v>6004530</v>
      </c>
      <c r="E1457" s="21">
        <v>-6004530</v>
      </c>
      <c r="F1457" s="21">
        <v>0</v>
      </c>
    </row>
    <row r="1458" spans="1:6" x14ac:dyDescent="0.25">
      <c r="A1458">
        <v>1829</v>
      </c>
      <c r="B1458" s="16">
        <v>43497</v>
      </c>
      <c r="C1458" t="s">
        <v>192</v>
      </c>
      <c r="D1458" s="21">
        <v>15730394.957983194</v>
      </c>
      <c r="E1458" s="21">
        <v>-15730394.957983194</v>
      </c>
      <c r="F1458" s="21">
        <v>0</v>
      </c>
    </row>
    <row r="1459" spans="1:6" x14ac:dyDescent="0.25">
      <c r="A1459">
        <v>1829</v>
      </c>
      <c r="B1459" s="16">
        <v>43497</v>
      </c>
      <c r="C1459" t="s">
        <v>142</v>
      </c>
      <c r="D1459" s="21">
        <v>4154801.1749999998</v>
      </c>
      <c r="E1459" s="21">
        <v>-4154801.1749999998</v>
      </c>
      <c r="F1459" s="21">
        <v>0</v>
      </c>
    </row>
    <row r="1460" spans="1:6" x14ac:dyDescent="0.25">
      <c r="A1460">
        <v>1829</v>
      </c>
      <c r="B1460" s="16">
        <v>43497</v>
      </c>
      <c r="C1460" t="s">
        <v>19</v>
      </c>
      <c r="D1460" s="21">
        <v>3811675.6440000003</v>
      </c>
      <c r="E1460" s="21">
        <v>-3811675.6440000003</v>
      </c>
      <c r="F1460" s="21">
        <v>0</v>
      </c>
    </row>
    <row r="1461" spans="1:6" x14ac:dyDescent="0.25">
      <c r="A1461">
        <v>1829</v>
      </c>
      <c r="B1461" s="16">
        <v>43497</v>
      </c>
      <c r="C1461" t="s">
        <v>140</v>
      </c>
      <c r="D1461" s="21">
        <v>5821058.25</v>
      </c>
      <c r="E1461" s="21">
        <v>-5821058.25</v>
      </c>
      <c r="F1461" s="21">
        <v>0</v>
      </c>
    </row>
    <row r="1462" spans="1:6" x14ac:dyDescent="0.25">
      <c r="A1462">
        <v>1829</v>
      </c>
      <c r="B1462" s="16">
        <v>43497</v>
      </c>
      <c r="C1462" t="s">
        <v>12</v>
      </c>
      <c r="D1462" s="21">
        <v>17112910.5</v>
      </c>
      <c r="E1462" s="21">
        <v>-17112910.5</v>
      </c>
      <c r="F1462" s="21">
        <v>0</v>
      </c>
    </row>
    <row r="1463" spans="1:6" x14ac:dyDescent="0.25">
      <c r="A1463">
        <v>1829</v>
      </c>
      <c r="B1463" s="16">
        <v>43497</v>
      </c>
      <c r="C1463" t="s">
        <v>39</v>
      </c>
      <c r="D1463" s="21">
        <v>3886265.25</v>
      </c>
      <c r="E1463" s="21">
        <v>-3886265.25</v>
      </c>
      <c r="F1463" s="21">
        <v>0</v>
      </c>
    </row>
    <row r="1464" spans="1:6" x14ac:dyDescent="0.25">
      <c r="A1464">
        <v>1829</v>
      </c>
      <c r="B1464" s="16">
        <v>43497</v>
      </c>
      <c r="C1464" t="s">
        <v>139</v>
      </c>
      <c r="D1464" s="21">
        <v>7505662.5</v>
      </c>
      <c r="E1464" s="21">
        <v>-7505662.5</v>
      </c>
      <c r="F1464" s="21">
        <v>0</v>
      </c>
    </row>
    <row r="1465" spans="1:6" x14ac:dyDescent="0.25">
      <c r="A1465">
        <v>1829</v>
      </c>
      <c r="B1465" s="16">
        <v>43497</v>
      </c>
      <c r="C1465" t="s">
        <v>136</v>
      </c>
      <c r="D1465" s="21">
        <v>6004530</v>
      </c>
      <c r="E1465" s="21">
        <v>-6004530</v>
      </c>
      <c r="F1465" s="21">
        <v>0</v>
      </c>
    </row>
    <row r="1466" spans="1:6" x14ac:dyDescent="0.25">
      <c r="A1466">
        <v>1829</v>
      </c>
      <c r="B1466" s="16">
        <v>43497</v>
      </c>
      <c r="C1466" t="s">
        <v>59</v>
      </c>
      <c r="D1466" s="21">
        <v>1667925</v>
      </c>
      <c r="E1466" s="21">
        <v>-1667925</v>
      </c>
      <c r="F1466" s="21">
        <v>0</v>
      </c>
    </row>
    <row r="1467" spans="1:6" x14ac:dyDescent="0.25">
      <c r="A1467">
        <v>1829</v>
      </c>
      <c r="B1467" s="16">
        <v>43497</v>
      </c>
      <c r="C1467" t="s">
        <v>143</v>
      </c>
      <c r="D1467" s="21">
        <v>6004530</v>
      </c>
      <c r="E1467" s="21">
        <v>-6004530</v>
      </c>
      <c r="F1467" s="21">
        <v>0</v>
      </c>
    </row>
    <row r="1468" spans="1:6" x14ac:dyDescent="0.25">
      <c r="A1468">
        <v>1829</v>
      </c>
      <c r="B1468" s="16">
        <v>43525</v>
      </c>
      <c r="C1468" t="s">
        <v>192</v>
      </c>
      <c r="D1468" s="21">
        <v>15730394.957983194</v>
      </c>
      <c r="E1468" s="21">
        <v>-15730394.957983194</v>
      </c>
      <c r="F1468" s="21">
        <v>0</v>
      </c>
    </row>
    <row r="1469" spans="1:6" x14ac:dyDescent="0.25">
      <c r="A1469">
        <v>1829</v>
      </c>
      <c r="B1469" s="16">
        <v>43525</v>
      </c>
      <c r="C1469" t="s">
        <v>142</v>
      </c>
      <c r="D1469" s="21">
        <v>4154801.1749999998</v>
      </c>
      <c r="E1469" s="21">
        <v>-4154801.1749999998</v>
      </c>
      <c r="F1469" s="21">
        <v>0</v>
      </c>
    </row>
    <row r="1470" spans="1:6" x14ac:dyDescent="0.25">
      <c r="A1470">
        <v>1829</v>
      </c>
      <c r="B1470" s="16">
        <v>43525</v>
      </c>
      <c r="C1470" t="s">
        <v>19</v>
      </c>
      <c r="D1470" s="21">
        <v>3811675.6440000003</v>
      </c>
      <c r="E1470" s="21">
        <v>-3811675.6440000003</v>
      </c>
      <c r="F1470" s="21">
        <v>0</v>
      </c>
    </row>
    <row r="1471" spans="1:6" x14ac:dyDescent="0.25">
      <c r="A1471">
        <v>1829</v>
      </c>
      <c r="B1471" s="16">
        <v>43525</v>
      </c>
      <c r="C1471" t="s">
        <v>140</v>
      </c>
      <c r="D1471" s="21">
        <v>5821058.25</v>
      </c>
      <c r="E1471" s="21">
        <v>-5821058.25</v>
      </c>
      <c r="F1471" s="21">
        <v>0</v>
      </c>
    </row>
    <row r="1472" spans="1:6" x14ac:dyDescent="0.25">
      <c r="A1472">
        <v>1829</v>
      </c>
      <c r="B1472" s="16">
        <v>43525</v>
      </c>
      <c r="C1472" t="s">
        <v>12</v>
      </c>
      <c r="D1472" s="21">
        <v>17112910.5</v>
      </c>
      <c r="E1472" s="21">
        <v>-17112910.5</v>
      </c>
      <c r="F1472" s="21">
        <v>0</v>
      </c>
    </row>
    <row r="1473" spans="1:6" x14ac:dyDescent="0.25">
      <c r="A1473">
        <v>1829</v>
      </c>
      <c r="B1473" s="16">
        <v>43525</v>
      </c>
      <c r="C1473" t="s">
        <v>39</v>
      </c>
      <c r="D1473" s="21">
        <v>3886265.25</v>
      </c>
      <c r="E1473" s="21">
        <v>-3886265.25</v>
      </c>
      <c r="F1473" s="21">
        <v>0</v>
      </c>
    </row>
    <row r="1474" spans="1:6" x14ac:dyDescent="0.25">
      <c r="A1474">
        <v>1829</v>
      </c>
      <c r="B1474" s="16">
        <v>43525</v>
      </c>
      <c r="C1474" t="s">
        <v>139</v>
      </c>
      <c r="D1474" s="21">
        <v>7505662.5</v>
      </c>
      <c r="E1474" s="21">
        <v>-7505662.5</v>
      </c>
      <c r="F1474" s="21">
        <v>0</v>
      </c>
    </row>
    <row r="1475" spans="1:6" x14ac:dyDescent="0.25">
      <c r="A1475">
        <v>1829</v>
      </c>
      <c r="B1475" s="16">
        <v>43525</v>
      </c>
      <c r="C1475" t="s">
        <v>136</v>
      </c>
      <c r="D1475" s="21">
        <v>6004530</v>
      </c>
      <c r="E1475" s="21">
        <v>-6004530</v>
      </c>
      <c r="F1475" s="21">
        <v>0</v>
      </c>
    </row>
    <row r="1476" spans="1:6" x14ac:dyDescent="0.25">
      <c r="A1476">
        <v>1829</v>
      </c>
      <c r="B1476" s="16">
        <v>43525</v>
      </c>
      <c r="C1476" t="s">
        <v>59</v>
      </c>
      <c r="D1476" s="21">
        <v>1667925</v>
      </c>
      <c r="E1476" s="21">
        <v>-1667925</v>
      </c>
      <c r="F1476" s="21">
        <v>0</v>
      </c>
    </row>
    <row r="1477" spans="1:6" x14ac:dyDescent="0.25">
      <c r="A1477">
        <v>1829</v>
      </c>
      <c r="B1477" s="16">
        <v>43525</v>
      </c>
      <c r="C1477" t="s">
        <v>143</v>
      </c>
      <c r="D1477" s="21">
        <v>6004530</v>
      </c>
      <c r="E1477" s="21">
        <v>-6004530</v>
      </c>
      <c r="F1477" s="21">
        <v>0</v>
      </c>
    </row>
    <row r="1478" spans="1:6" x14ac:dyDescent="0.25">
      <c r="A1478">
        <v>1829</v>
      </c>
      <c r="B1478" s="16">
        <v>43556</v>
      </c>
      <c r="C1478" t="s">
        <v>192</v>
      </c>
      <c r="D1478" s="21">
        <v>15730394.957983194</v>
      </c>
      <c r="E1478" s="21">
        <v>-15730394.957983194</v>
      </c>
      <c r="F1478" s="21">
        <v>0</v>
      </c>
    </row>
    <row r="1479" spans="1:6" x14ac:dyDescent="0.25">
      <c r="A1479">
        <v>1829</v>
      </c>
      <c r="B1479" s="16">
        <v>43556</v>
      </c>
      <c r="C1479" t="s">
        <v>142</v>
      </c>
      <c r="D1479" s="21">
        <v>4154801.1749999998</v>
      </c>
      <c r="E1479" s="21">
        <v>-4154801.1749999998</v>
      </c>
      <c r="F1479" s="21">
        <v>0</v>
      </c>
    </row>
    <row r="1480" spans="1:6" x14ac:dyDescent="0.25">
      <c r="A1480">
        <v>1829</v>
      </c>
      <c r="B1480" s="16">
        <v>43556</v>
      </c>
      <c r="C1480" t="s">
        <v>19</v>
      </c>
      <c r="D1480" s="21">
        <v>3811675.6440000003</v>
      </c>
      <c r="E1480" s="21">
        <v>-3811675.6440000003</v>
      </c>
      <c r="F1480" s="21">
        <v>0</v>
      </c>
    </row>
    <row r="1481" spans="1:6" x14ac:dyDescent="0.25">
      <c r="A1481">
        <v>1829</v>
      </c>
      <c r="B1481" s="16">
        <v>43556</v>
      </c>
      <c r="C1481" t="s">
        <v>140</v>
      </c>
      <c r="D1481" s="21">
        <v>5821058.25</v>
      </c>
      <c r="E1481" s="21">
        <v>-5821058.25</v>
      </c>
      <c r="F1481" s="21">
        <v>0</v>
      </c>
    </row>
    <row r="1482" spans="1:6" x14ac:dyDescent="0.25">
      <c r="A1482">
        <v>1829</v>
      </c>
      <c r="B1482" s="16">
        <v>43556</v>
      </c>
      <c r="C1482" t="s">
        <v>12</v>
      </c>
      <c r="D1482" s="21">
        <v>17112910.5</v>
      </c>
      <c r="E1482" s="21">
        <v>-17112910.5</v>
      </c>
      <c r="F1482" s="21">
        <v>0</v>
      </c>
    </row>
    <row r="1483" spans="1:6" x14ac:dyDescent="0.25">
      <c r="A1483">
        <v>1829</v>
      </c>
      <c r="B1483" s="16">
        <v>43556</v>
      </c>
      <c r="C1483" t="s">
        <v>39</v>
      </c>
      <c r="D1483" s="21">
        <v>3886265.25</v>
      </c>
      <c r="E1483" s="21">
        <v>-3886265.25</v>
      </c>
      <c r="F1483" s="21">
        <v>0</v>
      </c>
    </row>
    <row r="1484" spans="1:6" x14ac:dyDescent="0.25">
      <c r="A1484">
        <v>1829</v>
      </c>
      <c r="B1484" s="16">
        <v>43556</v>
      </c>
      <c r="C1484" t="s">
        <v>139</v>
      </c>
      <c r="D1484" s="21">
        <v>7505662.5</v>
      </c>
      <c r="E1484" s="21">
        <v>-7505662.5</v>
      </c>
      <c r="F1484" s="21">
        <v>0</v>
      </c>
    </row>
    <row r="1485" spans="1:6" x14ac:dyDescent="0.25">
      <c r="A1485">
        <v>1829</v>
      </c>
      <c r="B1485" s="16">
        <v>43556</v>
      </c>
      <c r="C1485" t="s">
        <v>136</v>
      </c>
      <c r="D1485" s="21">
        <v>6004530</v>
      </c>
      <c r="E1485" s="21">
        <v>-6004530</v>
      </c>
      <c r="F1485" s="21">
        <v>0</v>
      </c>
    </row>
    <row r="1486" spans="1:6" x14ac:dyDescent="0.25">
      <c r="A1486">
        <v>1829</v>
      </c>
      <c r="B1486" s="16">
        <v>43556</v>
      </c>
      <c r="C1486" t="s">
        <v>59</v>
      </c>
      <c r="D1486" s="21">
        <v>1667925</v>
      </c>
      <c r="E1486" s="21">
        <v>-1667925</v>
      </c>
      <c r="F1486" s="21">
        <v>0</v>
      </c>
    </row>
    <row r="1487" spans="1:6" x14ac:dyDescent="0.25">
      <c r="A1487">
        <v>1829</v>
      </c>
      <c r="B1487" s="16">
        <v>43556</v>
      </c>
      <c r="C1487" t="s">
        <v>143</v>
      </c>
      <c r="D1487" s="21">
        <v>6004530</v>
      </c>
      <c r="E1487" s="21">
        <v>-6004530</v>
      </c>
      <c r="F1487" s="21">
        <v>0</v>
      </c>
    </row>
    <row r="1488" spans="1:6" x14ac:dyDescent="0.25">
      <c r="A1488">
        <v>1829</v>
      </c>
      <c r="B1488" s="16">
        <v>43586</v>
      </c>
      <c r="C1488" t="s">
        <v>192</v>
      </c>
      <c r="D1488" s="21">
        <v>15730394.957983194</v>
      </c>
      <c r="E1488" s="21">
        <v>-15730394.957983194</v>
      </c>
      <c r="F1488" s="21">
        <v>0</v>
      </c>
    </row>
    <row r="1489" spans="1:6" x14ac:dyDescent="0.25">
      <c r="A1489">
        <v>1829</v>
      </c>
      <c r="B1489" s="16">
        <v>43586</v>
      </c>
      <c r="C1489" t="s">
        <v>142</v>
      </c>
      <c r="D1489" s="21">
        <v>4154801.1749999998</v>
      </c>
      <c r="E1489" s="21">
        <v>-4154801.1749999998</v>
      </c>
      <c r="F1489" s="21">
        <v>0</v>
      </c>
    </row>
    <row r="1490" spans="1:6" x14ac:dyDescent="0.25">
      <c r="A1490">
        <v>1829</v>
      </c>
      <c r="B1490" s="16">
        <v>43586</v>
      </c>
      <c r="C1490" t="s">
        <v>19</v>
      </c>
      <c r="D1490" s="21">
        <v>3811675.6440000003</v>
      </c>
      <c r="E1490" s="21">
        <v>-3811675.6440000003</v>
      </c>
      <c r="F1490" s="21">
        <v>0</v>
      </c>
    </row>
    <row r="1491" spans="1:6" x14ac:dyDescent="0.25">
      <c r="A1491">
        <v>1829</v>
      </c>
      <c r="B1491" s="16">
        <v>43586</v>
      </c>
      <c r="C1491" t="s">
        <v>140</v>
      </c>
      <c r="D1491" s="21">
        <v>5821058.25</v>
      </c>
      <c r="E1491" s="21">
        <v>-5821058.25</v>
      </c>
      <c r="F1491" s="21">
        <v>0</v>
      </c>
    </row>
    <row r="1492" spans="1:6" x14ac:dyDescent="0.25">
      <c r="A1492">
        <v>1829</v>
      </c>
      <c r="B1492" s="16">
        <v>43586</v>
      </c>
      <c r="C1492" t="s">
        <v>12</v>
      </c>
      <c r="D1492" s="21">
        <v>17112910.5</v>
      </c>
      <c r="E1492" s="21">
        <v>-17112910.5</v>
      </c>
      <c r="F1492" s="21">
        <v>0</v>
      </c>
    </row>
    <row r="1493" spans="1:6" x14ac:dyDescent="0.25">
      <c r="A1493">
        <v>1829</v>
      </c>
      <c r="B1493" s="16">
        <v>43586</v>
      </c>
      <c r="C1493" t="s">
        <v>39</v>
      </c>
      <c r="D1493" s="21">
        <v>3886265.25</v>
      </c>
      <c r="E1493" s="21">
        <v>-3886265.25</v>
      </c>
      <c r="F1493" s="21">
        <v>0</v>
      </c>
    </row>
    <row r="1494" spans="1:6" x14ac:dyDescent="0.25">
      <c r="A1494">
        <v>1829</v>
      </c>
      <c r="B1494" s="16">
        <v>43586</v>
      </c>
      <c r="C1494" t="s">
        <v>139</v>
      </c>
      <c r="D1494" s="21">
        <v>7505662.5</v>
      </c>
      <c r="E1494" s="21">
        <v>-7505662.5</v>
      </c>
      <c r="F1494" s="21">
        <v>0</v>
      </c>
    </row>
    <row r="1495" spans="1:6" x14ac:dyDescent="0.25">
      <c r="A1495">
        <v>1829</v>
      </c>
      <c r="B1495" s="16">
        <v>43586</v>
      </c>
      <c r="C1495" t="s">
        <v>136</v>
      </c>
      <c r="D1495" s="21">
        <v>6004530</v>
      </c>
      <c r="E1495" s="21">
        <v>-6004530</v>
      </c>
      <c r="F1495" s="21">
        <v>0</v>
      </c>
    </row>
    <row r="1496" spans="1:6" x14ac:dyDescent="0.25">
      <c r="A1496">
        <v>1829</v>
      </c>
      <c r="B1496" s="16">
        <v>43586</v>
      </c>
      <c r="C1496" t="s">
        <v>59</v>
      </c>
      <c r="D1496" s="21">
        <v>1667925</v>
      </c>
      <c r="E1496" s="21">
        <v>-1667925</v>
      </c>
      <c r="F1496" s="21">
        <v>0</v>
      </c>
    </row>
    <row r="1497" spans="1:6" x14ac:dyDescent="0.25">
      <c r="A1497">
        <v>1829</v>
      </c>
      <c r="B1497" s="16">
        <v>43586</v>
      </c>
      <c r="C1497" t="s">
        <v>143</v>
      </c>
      <c r="D1497" s="21">
        <v>6004530</v>
      </c>
      <c r="E1497" s="21">
        <v>-6004530</v>
      </c>
      <c r="F1497" s="21">
        <v>0</v>
      </c>
    </row>
    <row r="1498" spans="1:6" x14ac:dyDescent="0.25">
      <c r="A1498">
        <v>1829</v>
      </c>
      <c r="B1498" s="16">
        <v>43617</v>
      </c>
      <c r="C1498" t="s">
        <v>192</v>
      </c>
      <c r="D1498" s="21">
        <v>15730394.957983194</v>
      </c>
      <c r="E1498" s="21">
        <v>-15730394.957983194</v>
      </c>
      <c r="F1498" s="21">
        <v>0</v>
      </c>
    </row>
    <row r="1499" spans="1:6" x14ac:dyDescent="0.25">
      <c r="A1499">
        <v>1829</v>
      </c>
      <c r="B1499" s="16">
        <v>43617</v>
      </c>
      <c r="C1499" t="s">
        <v>142</v>
      </c>
      <c r="D1499" s="21">
        <v>4154801.1749999998</v>
      </c>
      <c r="E1499" s="21">
        <v>-4154801.1749999998</v>
      </c>
      <c r="F1499" s="21">
        <v>0</v>
      </c>
    </row>
    <row r="1500" spans="1:6" x14ac:dyDescent="0.25">
      <c r="A1500">
        <v>1829</v>
      </c>
      <c r="B1500" s="16">
        <v>43617</v>
      </c>
      <c r="C1500" t="s">
        <v>19</v>
      </c>
      <c r="D1500" s="21">
        <v>3811675.6440000003</v>
      </c>
      <c r="E1500" s="21">
        <v>-3811675.6440000003</v>
      </c>
      <c r="F1500" s="21">
        <v>0</v>
      </c>
    </row>
    <row r="1501" spans="1:6" x14ac:dyDescent="0.25">
      <c r="A1501">
        <v>1829</v>
      </c>
      <c r="B1501" s="16">
        <v>43617</v>
      </c>
      <c r="C1501" t="s">
        <v>140</v>
      </c>
      <c r="D1501" s="21">
        <v>5821058.25</v>
      </c>
      <c r="E1501" s="21">
        <v>-5821058.25</v>
      </c>
      <c r="F1501" s="21">
        <v>0</v>
      </c>
    </row>
    <row r="1502" spans="1:6" x14ac:dyDescent="0.25">
      <c r="A1502">
        <v>1829</v>
      </c>
      <c r="B1502" s="16">
        <v>43617</v>
      </c>
      <c r="C1502" t="s">
        <v>12</v>
      </c>
      <c r="D1502" s="21">
        <v>17112910.5</v>
      </c>
      <c r="E1502" s="21">
        <v>-17112910.5</v>
      </c>
      <c r="F1502" s="21">
        <v>0</v>
      </c>
    </row>
    <row r="1503" spans="1:6" x14ac:dyDescent="0.25">
      <c r="A1503">
        <v>1829</v>
      </c>
      <c r="B1503" s="16">
        <v>43617</v>
      </c>
      <c r="C1503" t="s">
        <v>39</v>
      </c>
      <c r="D1503" s="21">
        <v>3886265.25</v>
      </c>
      <c r="E1503" s="21">
        <v>-3886265.25</v>
      </c>
      <c r="F1503" s="21">
        <v>0</v>
      </c>
    </row>
    <row r="1504" spans="1:6" x14ac:dyDescent="0.25">
      <c r="A1504">
        <v>1829</v>
      </c>
      <c r="B1504" s="16">
        <v>43617</v>
      </c>
      <c r="C1504" t="s">
        <v>139</v>
      </c>
      <c r="D1504" s="21">
        <v>7505662.5</v>
      </c>
      <c r="E1504" s="21">
        <v>-7505662.5</v>
      </c>
      <c r="F1504" s="21">
        <v>0</v>
      </c>
    </row>
    <row r="1505" spans="1:6" x14ac:dyDescent="0.25">
      <c r="A1505">
        <v>1829</v>
      </c>
      <c r="B1505" s="16">
        <v>43617</v>
      </c>
      <c r="C1505" t="s">
        <v>136</v>
      </c>
      <c r="D1505" s="21">
        <v>6004530</v>
      </c>
      <c r="E1505" s="21">
        <v>-6004530</v>
      </c>
      <c r="F1505" s="21">
        <v>0</v>
      </c>
    </row>
    <row r="1506" spans="1:6" x14ac:dyDescent="0.25">
      <c r="A1506">
        <v>1829</v>
      </c>
      <c r="B1506" s="16">
        <v>43617</v>
      </c>
      <c r="C1506" t="s">
        <v>59</v>
      </c>
      <c r="D1506" s="21">
        <v>1667925</v>
      </c>
      <c r="E1506" s="21">
        <v>-1667925</v>
      </c>
      <c r="F1506" s="21">
        <v>0</v>
      </c>
    </row>
    <row r="1507" spans="1:6" x14ac:dyDescent="0.25">
      <c r="A1507">
        <v>1829</v>
      </c>
      <c r="B1507" s="16">
        <v>43617</v>
      </c>
      <c r="C1507" t="s">
        <v>143</v>
      </c>
      <c r="D1507" s="21">
        <v>6004530</v>
      </c>
      <c r="E1507" s="21">
        <v>-6004530</v>
      </c>
      <c r="F1507" s="21">
        <v>0</v>
      </c>
    </row>
    <row r="1508" spans="1:6" x14ac:dyDescent="0.25">
      <c r="A1508">
        <v>1829</v>
      </c>
      <c r="B1508" s="16">
        <v>43647</v>
      </c>
      <c r="C1508" t="s">
        <v>192</v>
      </c>
      <c r="D1508" s="21">
        <v>15730394.957983194</v>
      </c>
      <c r="E1508" s="21">
        <v>-15730394.957983194</v>
      </c>
      <c r="F1508" s="21">
        <v>0</v>
      </c>
    </row>
    <row r="1509" spans="1:6" x14ac:dyDescent="0.25">
      <c r="A1509">
        <v>1829</v>
      </c>
      <c r="B1509" s="16">
        <v>43647</v>
      </c>
      <c r="C1509" t="s">
        <v>142</v>
      </c>
      <c r="D1509" s="21">
        <v>4154801.1749999998</v>
      </c>
      <c r="E1509" s="21">
        <v>-4154801.1749999998</v>
      </c>
      <c r="F1509" s="21">
        <v>0</v>
      </c>
    </row>
    <row r="1510" spans="1:6" x14ac:dyDescent="0.25">
      <c r="A1510">
        <v>1829</v>
      </c>
      <c r="B1510" s="16">
        <v>43647</v>
      </c>
      <c r="C1510" t="s">
        <v>19</v>
      </c>
      <c r="D1510" s="21">
        <v>3811675.6440000003</v>
      </c>
      <c r="E1510" s="21">
        <v>-3811675.6440000003</v>
      </c>
      <c r="F1510" s="21">
        <v>0</v>
      </c>
    </row>
    <row r="1511" spans="1:6" x14ac:dyDescent="0.25">
      <c r="A1511">
        <v>1829</v>
      </c>
      <c r="B1511" s="16">
        <v>43647</v>
      </c>
      <c r="C1511" t="s">
        <v>140</v>
      </c>
      <c r="D1511" s="21">
        <v>5821058.25</v>
      </c>
      <c r="E1511" s="21">
        <v>-5821058.25</v>
      </c>
      <c r="F1511" s="21">
        <v>0</v>
      </c>
    </row>
    <row r="1512" spans="1:6" x14ac:dyDescent="0.25">
      <c r="A1512">
        <v>1829</v>
      </c>
      <c r="B1512" s="16">
        <v>43647</v>
      </c>
      <c r="C1512" t="s">
        <v>12</v>
      </c>
      <c r="D1512" s="21">
        <v>17112910.5</v>
      </c>
      <c r="E1512" s="21">
        <v>-17112910.5</v>
      </c>
      <c r="F1512" s="21">
        <v>0</v>
      </c>
    </row>
    <row r="1513" spans="1:6" x14ac:dyDescent="0.25">
      <c r="A1513">
        <v>1829</v>
      </c>
      <c r="B1513" s="16">
        <v>43647</v>
      </c>
      <c r="C1513" t="s">
        <v>39</v>
      </c>
      <c r="D1513" s="21">
        <v>3886265.25</v>
      </c>
      <c r="E1513" s="21">
        <v>-3886265.25</v>
      </c>
      <c r="F1513" s="21">
        <v>0</v>
      </c>
    </row>
    <row r="1514" spans="1:6" x14ac:dyDescent="0.25">
      <c r="A1514">
        <v>1829</v>
      </c>
      <c r="B1514" s="16">
        <v>43647</v>
      </c>
      <c r="C1514" t="s">
        <v>139</v>
      </c>
      <c r="D1514" s="21">
        <v>7505662.5</v>
      </c>
      <c r="E1514" s="21">
        <v>-7505662.5</v>
      </c>
      <c r="F1514" s="21">
        <v>0</v>
      </c>
    </row>
    <row r="1515" spans="1:6" x14ac:dyDescent="0.25">
      <c r="A1515">
        <v>1829</v>
      </c>
      <c r="B1515" s="16">
        <v>43647</v>
      </c>
      <c r="C1515" t="s">
        <v>136</v>
      </c>
      <c r="D1515" s="21">
        <v>6004530</v>
      </c>
      <c r="E1515" s="21">
        <v>-6004530</v>
      </c>
      <c r="F1515" s="21">
        <v>0</v>
      </c>
    </row>
    <row r="1516" spans="1:6" x14ac:dyDescent="0.25">
      <c r="A1516">
        <v>1829</v>
      </c>
      <c r="B1516" s="16">
        <v>43647</v>
      </c>
      <c r="C1516" t="s">
        <v>59</v>
      </c>
      <c r="D1516" s="21">
        <v>1667925</v>
      </c>
      <c r="E1516" s="21">
        <v>-1667925</v>
      </c>
      <c r="F1516" s="21">
        <v>0</v>
      </c>
    </row>
    <row r="1517" spans="1:6" x14ac:dyDescent="0.25">
      <c r="A1517">
        <v>1829</v>
      </c>
      <c r="B1517" s="16">
        <v>43647</v>
      </c>
      <c r="C1517" t="s">
        <v>143</v>
      </c>
      <c r="D1517" s="21">
        <v>6004530</v>
      </c>
      <c r="E1517" s="21">
        <v>-6004530</v>
      </c>
      <c r="F1517" s="21">
        <v>0</v>
      </c>
    </row>
    <row r="1518" spans="1:6" x14ac:dyDescent="0.25">
      <c r="A1518">
        <v>1829</v>
      </c>
      <c r="B1518" s="16">
        <v>43678</v>
      </c>
      <c r="C1518" t="s">
        <v>192</v>
      </c>
      <c r="D1518" s="21">
        <v>15730394.957983194</v>
      </c>
      <c r="E1518" s="21">
        <v>-15730394.957983194</v>
      </c>
      <c r="F1518" s="21">
        <v>0</v>
      </c>
    </row>
    <row r="1519" spans="1:6" x14ac:dyDescent="0.25">
      <c r="A1519">
        <v>1829</v>
      </c>
      <c r="B1519" s="16">
        <v>43678</v>
      </c>
      <c r="C1519" t="s">
        <v>142</v>
      </c>
      <c r="D1519" s="21">
        <v>4154801.1749999998</v>
      </c>
      <c r="E1519" s="21">
        <v>-4154801.1749999998</v>
      </c>
      <c r="F1519" s="21">
        <v>0</v>
      </c>
    </row>
    <row r="1520" spans="1:6" x14ac:dyDescent="0.25">
      <c r="A1520">
        <v>1829</v>
      </c>
      <c r="B1520" s="16">
        <v>43678</v>
      </c>
      <c r="C1520" t="s">
        <v>19</v>
      </c>
      <c r="D1520" s="21">
        <v>3811675.6440000003</v>
      </c>
      <c r="E1520" s="21">
        <v>-3811675.6440000003</v>
      </c>
      <c r="F1520" s="21">
        <v>0</v>
      </c>
    </row>
    <row r="1521" spans="1:6" x14ac:dyDescent="0.25">
      <c r="A1521">
        <v>1829</v>
      </c>
      <c r="B1521" s="16">
        <v>43678</v>
      </c>
      <c r="C1521" t="s">
        <v>140</v>
      </c>
      <c r="D1521" s="21">
        <v>5821058.25</v>
      </c>
      <c r="E1521" s="21">
        <v>-5821058.25</v>
      </c>
      <c r="F1521" s="21">
        <v>0</v>
      </c>
    </row>
    <row r="1522" spans="1:6" x14ac:dyDescent="0.25">
      <c r="A1522">
        <v>1829</v>
      </c>
      <c r="B1522" s="16">
        <v>43678</v>
      </c>
      <c r="C1522" t="s">
        <v>12</v>
      </c>
      <c r="D1522" s="21">
        <v>17112910.5</v>
      </c>
      <c r="E1522" s="21">
        <v>-17112910.5</v>
      </c>
      <c r="F1522" s="21">
        <v>0</v>
      </c>
    </row>
    <row r="1523" spans="1:6" x14ac:dyDescent="0.25">
      <c r="A1523">
        <v>1829</v>
      </c>
      <c r="B1523" s="16">
        <v>43678</v>
      </c>
      <c r="C1523" t="s">
        <v>39</v>
      </c>
      <c r="D1523" s="21">
        <v>3886265.25</v>
      </c>
      <c r="E1523" s="21">
        <v>-3886265.25</v>
      </c>
      <c r="F1523" s="21">
        <v>0</v>
      </c>
    </row>
    <row r="1524" spans="1:6" x14ac:dyDescent="0.25">
      <c r="A1524">
        <v>1829</v>
      </c>
      <c r="B1524" s="16">
        <v>43678</v>
      </c>
      <c r="C1524" t="s">
        <v>139</v>
      </c>
      <c r="D1524" s="21">
        <v>7505662.5</v>
      </c>
      <c r="E1524" s="21">
        <v>-7505662.5</v>
      </c>
      <c r="F1524" s="21">
        <v>0</v>
      </c>
    </row>
    <row r="1525" spans="1:6" x14ac:dyDescent="0.25">
      <c r="A1525">
        <v>1829</v>
      </c>
      <c r="B1525" s="16">
        <v>43678</v>
      </c>
      <c r="C1525" t="s">
        <v>136</v>
      </c>
      <c r="D1525" s="21">
        <v>6004530</v>
      </c>
      <c r="E1525" s="21">
        <v>-6004530</v>
      </c>
      <c r="F1525" s="21">
        <v>0</v>
      </c>
    </row>
    <row r="1526" spans="1:6" x14ac:dyDescent="0.25">
      <c r="A1526">
        <v>1829</v>
      </c>
      <c r="B1526" s="16">
        <v>43678</v>
      </c>
      <c r="C1526" t="s">
        <v>59</v>
      </c>
      <c r="D1526" s="21">
        <v>1667925</v>
      </c>
      <c r="E1526" s="21">
        <v>-1667925</v>
      </c>
      <c r="F1526" s="21">
        <v>0</v>
      </c>
    </row>
    <row r="1527" spans="1:6" x14ac:dyDescent="0.25">
      <c r="A1527">
        <v>1829</v>
      </c>
      <c r="B1527" s="16">
        <v>43678</v>
      </c>
      <c r="C1527" t="s">
        <v>143</v>
      </c>
      <c r="D1527" s="21">
        <v>6004530</v>
      </c>
      <c r="E1527" s="21">
        <v>-6004530</v>
      </c>
      <c r="F1527" s="21">
        <v>0</v>
      </c>
    </row>
    <row r="1528" spans="1:6" x14ac:dyDescent="0.25">
      <c r="A1528">
        <v>1829</v>
      </c>
      <c r="B1528" s="16">
        <v>43709</v>
      </c>
      <c r="C1528" t="s">
        <v>192</v>
      </c>
      <c r="D1528" s="21">
        <v>15730394.957983194</v>
      </c>
      <c r="E1528" s="21">
        <v>-15730394.957983194</v>
      </c>
      <c r="F1528" s="21">
        <v>0</v>
      </c>
    </row>
    <row r="1529" spans="1:6" x14ac:dyDescent="0.25">
      <c r="A1529">
        <v>1829</v>
      </c>
      <c r="B1529" s="16">
        <v>43709</v>
      </c>
      <c r="C1529" t="s">
        <v>142</v>
      </c>
      <c r="D1529" s="21">
        <v>4154801.1749999998</v>
      </c>
      <c r="E1529" s="21">
        <v>-4154801.1749999998</v>
      </c>
      <c r="F1529" s="21">
        <v>0</v>
      </c>
    </row>
    <row r="1530" spans="1:6" x14ac:dyDescent="0.25">
      <c r="A1530">
        <v>1829</v>
      </c>
      <c r="B1530" s="16">
        <v>43709</v>
      </c>
      <c r="C1530" t="s">
        <v>19</v>
      </c>
      <c r="D1530" s="21">
        <v>3811675.6440000003</v>
      </c>
      <c r="E1530" s="21">
        <v>-3811675.6440000003</v>
      </c>
      <c r="F1530" s="21">
        <v>0</v>
      </c>
    </row>
    <row r="1531" spans="1:6" x14ac:dyDescent="0.25">
      <c r="A1531">
        <v>1829</v>
      </c>
      <c r="B1531" s="16">
        <v>43709</v>
      </c>
      <c r="C1531" t="s">
        <v>140</v>
      </c>
      <c r="D1531" s="21">
        <v>5821058.25</v>
      </c>
      <c r="E1531" s="21">
        <v>-5821058.25</v>
      </c>
      <c r="F1531" s="21">
        <v>0</v>
      </c>
    </row>
    <row r="1532" spans="1:6" x14ac:dyDescent="0.25">
      <c r="A1532">
        <v>1829</v>
      </c>
      <c r="B1532" s="16">
        <v>43709</v>
      </c>
      <c r="C1532" t="s">
        <v>12</v>
      </c>
      <c r="D1532" s="21">
        <v>17112910.5</v>
      </c>
      <c r="E1532" s="21">
        <v>-17112910.5</v>
      </c>
      <c r="F1532" s="21">
        <v>0</v>
      </c>
    </row>
    <row r="1533" spans="1:6" x14ac:dyDescent="0.25">
      <c r="A1533">
        <v>1829</v>
      </c>
      <c r="B1533" s="16">
        <v>43709</v>
      </c>
      <c r="C1533" t="s">
        <v>39</v>
      </c>
      <c r="D1533" s="21">
        <v>3886265.25</v>
      </c>
      <c r="E1533" s="21">
        <v>-3886265.25</v>
      </c>
      <c r="F1533" s="21">
        <v>0</v>
      </c>
    </row>
    <row r="1534" spans="1:6" x14ac:dyDescent="0.25">
      <c r="A1534">
        <v>1829</v>
      </c>
      <c r="B1534" s="16">
        <v>43709</v>
      </c>
      <c r="C1534" t="s">
        <v>139</v>
      </c>
      <c r="D1534" s="21">
        <v>7505662.5</v>
      </c>
      <c r="E1534" s="21">
        <v>-7505662.5</v>
      </c>
      <c r="F1534" s="21">
        <v>0</v>
      </c>
    </row>
    <row r="1535" spans="1:6" x14ac:dyDescent="0.25">
      <c r="A1535">
        <v>1829</v>
      </c>
      <c r="B1535" s="16">
        <v>43709</v>
      </c>
      <c r="C1535" t="s">
        <v>136</v>
      </c>
      <c r="D1535" s="21">
        <v>6004530</v>
      </c>
      <c r="E1535" s="21">
        <v>-6004530</v>
      </c>
      <c r="F1535" s="21">
        <v>0</v>
      </c>
    </row>
    <row r="1536" spans="1:6" x14ac:dyDescent="0.25">
      <c r="A1536">
        <v>1829</v>
      </c>
      <c r="B1536" s="16">
        <v>43709</v>
      </c>
      <c r="C1536" t="s">
        <v>59</v>
      </c>
      <c r="D1536" s="21">
        <v>1667925</v>
      </c>
      <c r="E1536" s="21">
        <v>-1667925</v>
      </c>
      <c r="F1536" s="21">
        <v>0</v>
      </c>
    </row>
    <row r="1537" spans="1:6" x14ac:dyDescent="0.25">
      <c r="A1537">
        <v>1829</v>
      </c>
      <c r="B1537" s="16">
        <v>43709</v>
      </c>
      <c r="C1537" t="s">
        <v>143</v>
      </c>
      <c r="D1537" s="21">
        <v>6004530</v>
      </c>
      <c r="E1537" s="21">
        <v>-6004530</v>
      </c>
      <c r="F1537" s="21">
        <v>0</v>
      </c>
    </row>
    <row r="1538" spans="1:6" x14ac:dyDescent="0.25">
      <c r="A1538">
        <v>1829</v>
      </c>
      <c r="B1538" s="16">
        <v>43739</v>
      </c>
      <c r="C1538" t="s">
        <v>192</v>
      </c>
      <c r="D1538" s="21">
        <v>15730394.957983194</v>
      </c>
      <c r="E1538" s="21">
        <v>-15730394.957983194</v>
      </c>
      <c r="F1538" s="21">
        <v>0</v>
      </c>
    </row>
    <row r="1539" spans="1:6" x14ac:dyDescent="0.25">
      <c r="A1539">
        <v>1829</v>
      </c>
      <c r="B1539" s="16">
        <v>43739</v>
      </c>
      <c r="C1539" t="s">
        <v>142</v>
      </c>
      <c r="D1539" s="21">
        <v>4154801.1749999998</v>
      </c>
      <c r="E1539" s="21">
        <v>-4154801.1749999998</v>
      </c>
      <c r="F1539" s="21">
        <v>0</v>
      </c>
    </row>
    <row r="1540" spans="1:6" x14ac:dyDescent="0.25">
      <c r="A1540">
        <v>1829</v>
      </c>
      <c r="B1540" s="16">
        <v>43739</v>
      </c>
      <c r="C1540" t="s">
        <v>19</v>
      </c>
      <c r="D1540" s="21">
        <v>3811675.6440000003</v>
      </c>
      <c r="E1540" s="21">
        <v>-3811675.6440000003</v>
      </c>
      <c r="F1540" s="21">
        <v>0</v>
      </c>
    </row>
    <row r="1541" spans="1:6" x14ac:dyDescent="0.25">
      <c r="A1541">
        <v>1829</v>
      </c>
      <c r="B1541" s="16">
        <v>43739</v>
      </c>
      <c r="C1541" t="s">
        <v>140</v>
      </c>
      <c r="D1541" s="21">
        <v>5821058.25</v>
      </c>
      <c r="E1541" s="21">
        <v>-5821058.25</v>
      </c>
      <c r="F1541" s="21">
        <v>0</v>
      </c>
    </row>
    <row r="1542" spans="1:6" x14ac:dyDescent="0.25">
      <c r="A1542">
        <v>1829</v>
      </c>
      <c r="B1542" s="16">
        <v>43739</v>
      </c>
      <c r="C1542" t="s">
        <v>12</v>
      </c>
      <c r="D1542" s="21">
        <v>17112910.5</v>
      </c>
      <c r="E1542" s="21">
        <v>-17112910.5</v>
      </c>
      <c r="F1542" s="21">
        <v>0</v>
      </c>
    </row>
    <row r="1543" spans="1:6" x14ac:dyDescent="0.25">
      <c r="A1543">
        <v>1829</v>
      </c>
      <c r="B1543" s="16">
        <v>43739</v>
      </c>
      <c r="C1543" t="s">
        <v>39</v>
      </c>
      <c r="D1543" s="21">
        <v>3886265.25</v>
      </c>
      <c r="E1543" s="21">
        <v>-3886265.25</v>
      </c>
      <c r="F1543" s="21">
        <v>0</v>
      </c>
    </row>
    <row r="1544" spans="1:6" x14ac:dyDescent="0.25">
      <c r="A1544">
        <v>1829</v>
      </c>
      <c r="B1544" s="16">
        <v>43739</v>
      </c>
      <c r="C1544" t="s">
        <v>139</v>
      </c>
      <c r="D1544" s="21">
        <v>7505662.5</v>
      </c>
      <c r="E1544" s="21">
        <v>-7505662.5</v>
      </c>
      <c r="F1544" s="21">
        <v>0</v>
      </c>
    </row>
    <row r="1545" spans="1:6" x14ac:dyDescent="0.25">
      <c r="A1545">
        <v>1829</v>
      </c>
      <c r="B1545" s="16">
        <v>43739</v>
      </c>
      <c r="C1545" t="s">
        <v>136</v>
      </c>
      <c r="D1545" s="21">
        <v>6004530</v>
      </c>
      <c r="E1545" s="21">
        <v>-6004530</v>
      </c>
      <c r="F1545" s="21">
        <v>0</v>
      </c>
    </row>
    <row r="1546" spans="1:6" x14ac:dyDescent="0.25">
      <c r="A1546">
        <v>1829</v>
      </c>
      <c r="B1546" s="16">
        <v>43739</v>
      </c>
      <c r="C1546" t="s">
        <v>59</v>
      </c>
      <c r="D1546" s="21">
        <v>1667925</v>
      </c>
      <c r="E1546" s="21">
        <v>-1667925</v>
      </c>
      <c r="F1546" s="21">
        <v>0</v>
      </c>
    </row>
    <row r="1547" spans="1:6" x14ac:dyDescent="0.25">
      <c r="A1547">
        <v>1829</v>
      </c>
      <c r="B1547" s="16">
        <v>43739</v>
      </c>
      <c r="C1547" t="s">
        <v>143</v>
      </c>
      <c r="D1547" s="21">
        <v>6004530</v>
      </c>
      <c r="E1547" s="21">
        <v>-6004530</v>
      </c>
      <c r="F1547" s="21">
        <v>0</v>
      </c>
    </row>
    <row r="1548" spans="1:6" x14ac:dyDescent="0.25">
      <c r="A1548">
        <v>1829</v>
      </c>
      <c r="B1548" s="16">
        <v>43770</v>
      </c>
      <c r="C1548" t="s">
        <v>192</v>
      </c>
      <c r="D1548" s="21">
        <v>15730394.957983194</v>
      </c>
      <c r="E1548" s="21">
        <v>-15730394.957983194</v>
      </c>
      <c r="F1548" s="21">
        <v>0</v>
      </c>
    </row>
    <row r="1549" spans="1:6" x14ac:dyDescent="0.25">
      <c r="A1549">
        <v>1829</v>
      </c>
      <c r="B1549" s="16">
        <v>43770</v>
      </c>
      <c r="C1549" t="s">
        <v>142</v>
      </c>
      <c r="D1549" s="21">
        <v>4154801.1749999998</v>
      </c>
      <c r="E1549" s="21">
        <v>-4154801.1749999998</v>
      </c>
      <c r="F1549" s="21">
        <v>0</v>
      </c>
    </row>
    <row r="1550" spans="1:6" x14ac:dyDescent="0.25">
      <c r="A1550">
        <v>1829</v>
      </c>
      <c r="B1550" s="16">
        <v>43770</v>
      </c>
      <c r="C1550" t="s">
        <v>19</v>
      </c>
      <c r="D1550" s="21">
        <v>3811675.6440000003</v>
      </c>
      <c r="E1550" s="21">
        <v>-3811675.6440000003</v>
      </c>
      <c r="F1550" s="21">
        <v>0</v>
      </c>
    </row>
    <row r="1551" spans="1:6" x14ac:dyDescent="0.25">
      <c r="A1551">
        <v>1829</v>
      </c>
      <c r="B1551" s="16">
        <v>43770</v>
      </c>
      <c r="C1551" t="s">
        <v>140</v>
      </c>
      <c r="D1551" s="21">
        <v>5821058.25</v>
      </c>
      <c r="E1551" s="21">
        <v>-5821058.25</v>
      </c>
      <c r="F1551" s="21">
        <v>0</v>
      </c>
    </row>
    <row r="1552" spans="1:6" x14ac:dyDescent="0.25">
      <c r="A1552">
        <v>1829</v>
      </c>
      <c r="B1552" s="16">
        <v>43770</v>
      </c>
      <c r="C1552" t="s">
        <v>12</v>
      </c>
      <c r="D1552" s="21">
        <v>17112910.5</v>
      </c>
      <c r="E1552" s="21">
        <v>-17112910.5</v>
      </c>
      <c r="F1552" s="21">
        <v>0</v>
      </c>
    </row>
    <row r="1553" spans="1:6" x14ac:dyDescent="0.25">
      <c r="A1553">
        <v>1829</v>
      </c>
      <c r="B1553" s="16">
        <v>43770</v>
      </c>
      <c r="C1553" t="s">
        <v>39</v>
      </c>
      <c r="D1553" s="21">
        <v>3886265.25</v>
      </c>
      <c r="E1553" s="21">
        <v>-3886265.25</v>
      </c>
      <c r="F1553" s="21">
        <v>0</v>
      </c>
    </row>
    <row r="1554" spans="1:6" x14ac:dyDescent="0.25">
      <c r="A1554">
        <v>1829</v>
      </c>
      <c r="B1554" s="16">
        <v>43770</v>
      </c>
      <c r="C1554" t="s">
        <v>139</v>
      </c>
      <c r="D1554" s="21">
        <v>7505662.5</v>
      </c>
      <c r="E1554" s="21">
        <v>-7505662.5</v>
      </c>
      <c r="F1554" s="21">
        <v>0</v>
      </c>
    </row>
    <row r="1555" spans="1:6" x14ac:dyDescent="0.25">
      <c r="A1555">
        <v>1829</v>
      </c>
      <c r="B1555" s="16">
        <v>43770</v>
      </c>
      <c r="C1555" t="s">
        <v>136</v>
      </c>
      <c r="D1555" s="21">
        <v>6004530</v>
      </c>
      <c r="E1555" s="21">
        <v>-6004530</v>
      </c>
      <c r="F1555" s="21">
        <v>0</v>
      </c>
    </row>
    <row r="1556" spans="1:6" x14ac:dyDescent="0.25">
      <c r="A1556">
        <v>1829</v>
      </c>
      <c r="B1556" s="16">
        <v>43770</v>
      </c>
      <c r="C1556" t="s">
        <v>59</v>
      </c>
      <c r="D1556" s="21">
        <v>1667925</v>
      </c>
      <c r="E1556" s="21">
        <v>-1667925</v>
      </c>
      <c r="F1556" s="21">
        <v>0</v>
      </c>
    </row>
    <row r="1557" spans="1:6" x14ac:dyDescent="0.25">
      <c r="A1557">
        <v>1829</v>
      </c>
      <c r="B1557" s="16">
        <v>43770</v>
      </c>
      <c r="C1557" t="s">
        <v>143</v>
      </c>
      <c r="D1557" s="21">
        <v>6004530</v>
      </c>
      <c r="E1557" s="21">
        <v>-6004530</v>
      </c>
      <c r="F1557" s="21">
        <v>0</v>
      </c>
    </row>
    <row r="1558" spans="1:6" x14ac:dyDescent="0.25">
      <c r="A1558">
        <v>1829</v>
      </c>
      <c r="B1558" s="16">
        <v>43800</v>
      </c>
      <c r="C1558" t="s">
        <v>192</v>
      </c>
      <c r="D1558" s="21">
        <v>15730394.957983194</v>
      </c>
      <c r="E1558" s="21">
        <v>-15730394.957983194</v>
      </c>
      <c r="F1558" s="21">
        <v>0</v>
      </c>
    </row>
    <row r="1559" spans="1:6" x14ac:dyDescent="0.25">
      <c r="A1559">
        <v>1829</v>
      </c>
      <c r="B1559" s="16">
        <v>43800</v>
      </c>
      <c r="C1559" t="s">
        <v>142</v>
      </c>
      <c r="D1559" s="21">
        <v>4154801.1749999998</v>
      </c>
      <c r="E1559" s="21">
        <v>-4154801.1749999998</v>
      </c>
      <c r="F1559" s="21">
        <v>0</v>
      </c>
    </row>
    <row r="1560" spans="1:6" x14ac:dyDescent="0.25">
      <c r="A1560">
        <v>1829</v>
      </c>
      <c r="B1560" s="16">
        <v>43800</v>
      </c>
      <c r="C1560" t="s">
        <v>19</v>
      </c>
      <c r="D1560" s="21">
        <v>3811675.6440000003</v>
      </c>
      <c r="E1560" s="21">
        <v>-3811675.6440000003</v>
      </c>
      <c r="F1560" s="21">
        <v>0</v>
      </c>
    </row>
    <row r="1561" spans="1:6" x14ac:dyDescent="0.25">
      <c r="A1561">
        <v>1829</v>
      </c>
      <c r="B1561" s="16">
        <v>43800</v>
      </c>
      <c r="C1561" t="s">
        <v>140</v>
      </c>
      <c r="D1561" s="21">
        <v>5821058.25</v>
      </c>
      <c r="E1561" s="21">
        <v>-5821058.25</v>
      </c>
      <c r="F1561" s="21">
        <v>0</v>
      </c>
    </row>
    <row r="1562" spans="1:6" x14ac:dyDescent="0.25">
      <c r="A1562">
        <v>1829</v>
      </c>
      <c r="B1562" s="16">
        <v>43800</v>
      </c>
      <c r="C1562" t="s">
        <v>12</v>
      </c>
      <c r="D1562" s="21">
        <v>17112910.5</v>
      </c>
      <c r="E1562" s="21">
        <v>-17112910.5</v>
      </c>
      <c r="F1562" s="21">
        <v>0</v>
      </c>
    </row>
    <row r="1563" spans="1:6" x14ac:dyDescent="0.25">
      <c r="A1563">
        <v>1829</v>
      </c>
      <c r="B1563" s="16">
        <v>43800</v>
      </c>
      <c r="C1563" t="s">
        <v>39</v>
      </c>
      <c r="D1563" s="21">
        <v>3886265.25</v>
      </c>
      <c r="E1563" s="21">
        <v>-3886265.25</v>
      </c>
      <c r="F1563" s="21">
        <v>0</v>
      </c>
    </row>
    <row r="1564" spans="1:6" x14ac:dyDescent="0.25">
      <c r="A1564">
        <v>1829</v>
      </c>
      <c r="B1564" s="16">
        <v>43800</v>
      </c>
      <c r="C1564" t="s">
        <v>139</v>
      </c>
      <c r="D1564" s="21">
        <v>7505662.5</v>
      </c>
      <c r="E1564" s="21">
        <v>-7505662.5</v>
      </c>
      <c r="F1564" s="21">
        <v>0</v>
      </c>
    </row>
    <row r="1565" spans="1:6" x14ac:dyDescent="0.25">
      <c r="A1565">
        <v>1829</v>
      </c>
      <c r="B1565" s="16">
        <v>43800</v>
      </c>
      <c r="C1565" t="s">
        <v>136</v>
      </c>
      <c r="D1565" s="21">
        <v>6004530</v>
      </c>
      <c r="E1565" s="21">
        <v>-6004530</v>
      </c>
      <c r="F1565" s="21">
        <v>0</v>
      </c>
    </row>
    <row r="1566" spans="1:6" x14ac:dyDescent="0.25">
      <c r="A1566">
        <v>1829</v>
      </c>
      <c r="B1566" s="16">
        <v>43800</v>
      </c>
      <c r="C1566" t="s">
        <v>59</v>
      </c>
      <c r="D1566" s="21">
        <v>1667925</v>
      </c>
      <c r="E1566" s="21">
        <v>-1667925</v>
      </c>
      <c r="F1566" s="21">
        <v>0</v>
      </c>
    </row>
    <row r="1567" spans="1:6" x14ac:dyDescent="0.25">
      <c r="A1567">
        <v>1829</v>
      </c>
      <c r="B1567" s="16">
        <v>43800</v>
      </c>
      <c r="C1567" t="s">
        <v>143</v>
      </c>
      <c r="D1567" s="21">
        <v>6004530</v>
      </c>
      <c r="E1567" s="21">
        <v>-6004530</v>
      </c>
      <c r="F1567" s="21">
        <v>0</v>
      </c>
    </row>
    <row r="1568" spans="1:6" x14ac:dyDescent="0.25">
      <c r="A1568">
        <v>1829</v>
      </c>
      <c r="B1568" s="16">
        <v>43831</v>
      </c>
      <c r="C1568" t="s">
        <v>192</v>
      </c>
      <c r="D1568" s="21">
        <v>15730394.957983194</v>
      </c>
      <c r="E1568" s="21">
        <v>-15730394.957983194</v>
      </c>
      <c r="F1568" s="21">
        <v>0</v>
      </c>
    </row>
    <row r="1569" spans="1:6" x14ac:dyDescent="0.25">
      <c r="A1569">
        <v>1829</v>
      </c>
      <c r="B1569" s="16">
        <v>43831</v>
      </c>
      <c r="C1569" t="s">
        <v>59</v>
      </c>
      <c r="D1569" s="21">
        <v>1667925</v>
      </c>
      <c r="E1569" s="21">
        <v>-1667925</v>
      </c>
      <c r="F1569" s="21">
        <v>0</v>
      </c>
    </row>
    <row r="1570" spans="1:6" x14ac:dyDescent="0.25">
      <c r="A1570">
        <v>1829</v>
      </c>
      <c r="B1570" s="16">
        <v>43831</v>
      </c>
      <c r="C1570" t="s">
        <v>142</v>
      </c>
      <c r="D1570" s="21">
        <v>4154801.1749999998</v>
      </c>
      <c r="E1570" s="21">
        <v>-4154801.1749999998</v>
      </c>
      <c r="F1570" s="21">
        <v>0</v>
      </c>
    </row>
    <row r="1571" spans="1:6" x14ac:dyDescent="0.25">
      <c r="A1571">
        <v>1829</v>
      </c>
      <c r="B1571" s="16">
        <v>43831</v>
      </c>
      <c r="C1571" t="s">
        <v>139</v>
      </c>
      <c r="D1571" s="21">
        <v>7505662.5</v>
      </c>
      <c r="E1571" s="21">
        <v>-7505662.5</v>
      </c>
      <c r="F1571" s="21">
        <v>0</v>
      </c>
    </row>
    <row r="1572" spans="1:6" x14ac:dyDescent="0.25">
      <c r="A1572">
        <v>1829</v>
      </c>
      <c r="B1572" s="16">
        <v>43831</v>
      </c>
      <c r="C1572" t="s">
        <v>39</v>
      </c>
      <c r="D1572" s="21">
        <v>3886265.25</v>
      </c>
      <c r="E1572" s="21">
        <v>-3886265.25</v>
      </c>
      <c r="F1572" s="21">
        <v>0</v>
      </c>
    </row>
    <row r="1573" spans="1:6" x14ac:dyDescent="0.25">
      <c r="A1573">
        <v>1829</v>
      </c>
      <c r="B1573" s="16">
        <v>43831</v>
      </c>
      <c r="C1573" t="s">
        <v>19</v>
      </c>
      <c r="D1573" s="21">
        <v>3811675.6440000003</v>
      </c>
      <c r="E1573" s="21">
        <v>-3811675.6440000003</v>
      </c>
      <c r="F1573" s="21">
        <v>0</v>
      </c>
    </row>
    <row r="1574" spans="1:6" x14ac:dyDescent="0.25">
      <c r="A1574">
        <v>1829</v>
      </c>
      <c r="B1574" s="16">
        <v>43831</v>
      </c>
      <c r="C1574" t="s">
        <v>136</v>
      </c>
      <c r="D1574" s="21">
        <v>6004530</v>
      </c>
      <c r="E1574" s="21">
        <v>-6004530</v>
      </c>
      <c r="F1574" s="21">
        <v>0</v>
      </c>
    </row>
    <row r="1575" spans="1:6" x14ac:dyDescent="0.25">
      <c r="A1575">
        <v>1829</v>
      </c>
      <c r="B1575" s="16">
        <v>43831</v>
      </c>
      <c r="C1575" t="s">
        <v>12</v>
      </c>
      <c r="D1575" s="21">
        <v>17112910.5</v>
      </c>
      <c r="E1575" s="21">
        <v>-17112910.5</v>
      </c>
      <c r="F1575" s="21">
        <v>0</v>
      </c>
    </row>
    <row r="1576" spans="1:6" x14ac:dyDescent="0.25">
      <c r="A1576">
        <v>1829</v>
      </c>
      <c r="B1576" s="16">
        <v>43831</v>
      </c>
      <c r="C1576" t="s">
        <v>143</v>
      </c>
      <c r="D1576" s="21">
        <v>6004530</v>
      </c>
      <c r="E1576" s="21">
        <v>-6004530</v>
      </c>
      <c r="F1576" s="21">
        <v>0</v>
      </c>
    </row>
    <row r="1577" spans="1:6" x14ac:dyDescent="0.25">
      <c r="A1577">
        <v>1829</v>
      </c>
      <c r="B1577" s="16">
        <v>43862</v>
      </c>
      <c r="C1577" t="s">
        <v>192</v>
      </c>
      <c r="D1577" s="21">
        <v>15730394.957983194</v>
      </c>
      <c r="E1577" s="21">
        <v>-15730394.957983194</v>
      </c>
      <c r="F1577" s="21">
        <v>0</v>
      </c>
    </row>
    <row r="1578" spans="1:6" x14ac:dyDescent="0.25">
      <c r="A1578">
        <v>1829</v>
      </c>
      <c r="B1578" s="16">
        <v>43862</v>
      </c>
      <c r="C1578" t="s">
        <v>59</v>
      </c>
      <c r="D1578" s="21">
        <v>1667925</v>
      </c>
      <c r="E1578" s="21">
        <v>-1667925</v>
      </c>
      <c r="F1578" s="21">
        <v>0</v>
      </c>
    </row>
    <row r="1579" spans="1:6" x14ac:dyDescent="0.25">
      <c r="A1579">
        <v>1829</v>
      </c>
      <c r="B1579" s="16">
        <v>43862</v>
      </c>
      <c r="C1579" t="s">
        <v>142</v>
      </c>
      <c r="D1579" s="21">
        <v>4154801.1749999998</v>
      </c>
      <c r="E1579" s="21">
        <v>-4154801.1749999998</v>
      </c>
      <c r="F1579" s="21">
        <v>0</v>
      </c>
    </row>
    <row r="1580" spans="1:6" x14ac:dyDescent="0.25">
      <c r="A1580">
        <v>1829</v>
      </c>
      <c r="B1580" s="16">
        <v>43862</v>
      </c>
      <c r="C1580" t="s">
        <v>139</v>
      </c>
      <c r="D1580" s="21">
        <v>7505662.5</v>
      </c>
      <c r="E1580" s="21">
        <v>-7505662.5</v>
      </c>
      <c r="F1580" s="21">
        <v>0</v>
      </c>
    </row>
    <row r="1581" spans="1:6" x14ac:dyDescent="0.25">
      <c r="A1581">
        <v>1829</v>
      </c>
      <c r="B1581" s="16">
        <v>43862</v>
      </c>
      <c r="C1581" t="s">
        <v>39</v>
      </c>
      <c r="D1581" s="21">
        <v>3886265.25</v>
      </c>
      <c r="E1581" s="21">
        <v>-3886265.25</v>
      </c>
      <c r="F1581" s="21">
        <v>0</v>
      </c>
    </row>
    <row r="1582" spans="1:6" x14ac:dyDescent="0.25">
      <c r="A1582">
        <v>1829</v>
      </c>
      <c r="B1582" s="16">
        <v>43862</v>
      </c>
      <c r="C1582" t="s">
        <v>19</v>
      </c>
      <c r="D1582" s="21">
        <v>3811675.6440000003</v>
      </c>
      <c r="E1582" s="21">
        <v>-3811675.6440000003</v>
      </c>
      <c r="F1582" s="21">
        <v>0</v>
      </c>
    </row>
    <row r="1583" spans="1:6" x14ac:dyDescent="0.25">
      <c r="A1583">
        <v>1829</v>
      </c>
      <c r="B1583" s="16">
        <v>43862</v>
      </c>
      <c r="C1583" t="s">
        <v>136</v>
      </c>
      <c r="D1583" s="21">
        <v>6004530</v>
      </c>
      <c r="E1583" s="21">
        <v>-6004530</v>
      </c>
      <c r="F1583" s="21">
        <v>0</v>
      </c>
    </row>
    <row r="1584" spans="1:6" x14ac:dyDescent="0.25">
      <c r="A1584">
        <v>1829</v>
      </c>
      <c r="B1584" s="16">
        <v>43862</v>
      </c>
      <c r="C1584" t="s">
        <v>12</v>
      </c>
      <c r="D1584" s="21">
        <v>17112910.5</v>
      </c>
      <c r="E1584" s="21">
        <v>-17112910.5</v>
      </c>
      <c r="F1584" s="21">
        <v>0</v>
      </c>
    </row>
    <row r="1585" spans="1:6" x14ac:dyDescent="0.25">
      <c r="A1585">
        <v>1829</v>
      </c>
      <c r="B1585" s="16">
        <v>43862</v>
      </c>
      <c r="C1585" t="s">
        <v>143</v>
      </c>
      <c r="D1585" s="21">
        <v>6004530</v>
      </c>
      <c r="E1585" s="21">
        <v>-6004530</v>
      </c>
      <c r="F1585" s="21">
        <v>0</v>
      </c>
    </row>
    <row r="1586" spans="1:6" x14ac:dyDescent="0.25">
      <c r="A1586">
        <v>1829</v>
      </c>
      <c r="B1586" s="16">
        <v>43891</v>
      </c>
      <c r="C1586" t="s">
        <v>12</v>
      </c>
      <c r="D1586" s="21">
        <v>17112910.5</v>
      </c>
      <c r="E1586" s="21">
        <v>-17112910.5</v>
      </c>
      <c r="F1586" s="21">
        <v>0</v>
      </c>
    </row>
    <row r="1587" spans="1:6" x14ac:dyDescent="0.25">
      <c r="A1587">
        <v>1829</v>
      </c>
      <c r="B1587" s="16">
        <v>43891</v>
      </c>
      <c r="C1587" t="s">
        <v>192</v>
      </c>
      <c r="D1587" s="21">
        <v>15730394.957983194</v>
      </c>
      <c r="E1587" s="21">
        <v>-15730394.957983194</v>
      </c>
      <c r="F1587" s="21">
        <v>0</v>
      </c>
    </row>
    <row r="1588" spans="1:6" x14ac:dyDescent="0.25">
      <c r="A1588">
        <v>1829</v>
      </c>
      <c r="B1588" s="16">
        <v>43891</v>
      </c>
      <c r="C1588" t="s">
        <v>19</v>
      </c>
      <c r="D1588" s="21">
        <v>3811675.6440000003</v>
      </c>
      <c r="E1588" s="21">
        <v>-3811675.6440000003</v>
      </c>
      <c r="F1588" s="21">
        <v>0</v>
      </c>
    </row>
    <row r="1589" spans="1:6" x14ac:dyDescent="0.25">
      <c r="A1589">
        <v>1829</v>
      </c>
      <c r="B1589" s="16">
        <v>43891</v>
      </c>
      <c r="C1589" t="s">
        <v>39</v>
      </c>
      <c r="D1589" s="21">
        <v>3886265.25</v>
      </c>
      <c r="E1589" s="21">
        <v>-3886265.25</v>
      </c>
      <c r="F1589" s="21">
        <v>0</v>
      </c>
    </row>
    <row r="1590" spans="1:6" x14ac:dyDescent="0.25">
      <c r="A1590">
        <v>1829</v>
      </c>
      <c r="B1590" s="16">
        <v>43891</v>
      </c>
      <c r="C1590" t="s">
        <v>59</v>
      </c>
      <c r="D1590" s="21">
        <v>1667925</v>
      </c>
      <c r="E1590" s="21">
        <v>-1667925</v>
      </c>
      <c r="F1590" s="21">
        <v>0</v>
      </c>
    </row>
    <row r="1591" spans="1:6" x14ac:dyDescent="0.25">
      <c r="A1591">
        <v>1829</v>
      </c>
      <c r="B1591" s="16">
        <v>43891</v>
      </c>
      <c r="C1591" t="s">
        <v>136</v>
      </c>
      <c r="D1591" s="21">
        <v>6004530</v>
      </c>
      <c r="E1591" s="21">
        <v>-6004530</v>
      </c>
      <c r="F1591" s="21">
        <v>0</v>
      </c>
    </row>
    <row r="1592" spans="1:6" x14ac:dyDescent="0.25">
      <c r="A1592">
        <v>1829</v>
      </c>
      <c r="B1592" s="16">
        <v>43891</v>
      </c>
      <c r="C1592" t="s">
        <v>139</v>
      </c>
      <c r="D1592" s="21">
        <v>7505662.5</v>
      </c>
      <c r="E1592" s="21">
        <v>-7505662.5</v>
      </c>
      <c r="F1592" s="21">
        <v>0</v>
      </c>
    </row>
    <row r="1593" spans="1:6" x14ac:dyDescent="0.25">
      <c r="A1593">
        <v>1829</v>
      </c>
      <c r="B1593" s="16">
        <v>43891</v>
      </c>
      <c r="C1593" t="s">
        <v>143</v>
      </c>
      <c r="D1593" s="21">
        <v>6004530</v>
      </c>
      <c r="E1593" s="21">
        <v>-6004530</v>
      </c>
      <c r="F1593" s="21">
        <v>0</v>
      </c>
    </row>
    <row r="1594" spans="1:6" x14ac:dyDescent="0.25">
      <c r="A1594">
        <v>1829</v>
      </c>
      <c r="B1594" s="16">
        <v>43922</v>
      </c>
      <c r="C1594" t="s">
        <v>139</v>
      </c>
      <c r="D1594" s="21">
        <v>7505662.5</v>
      </c>
      <c r="E1594" s="21">
        <v>-7505662.5</v>
      </c>
      <c r="F1594" s="21">
        <v>0</v>
      </c>
    </row>
    <row r="1595" spans="1:6" x14ac:dyDescent="0.25">
      <c r="A1595">
        <v>1829</v>
      </c>
      <c r="B1595" s="16">
        <v>43922</v>
      </c>
      <c r="C1595" t="s">
        <v>12</v>
      </c>
      <c r="D1595" s="21">
        <v>17112910.5</v>
      </c>
      <c r="E1595" s="21">
        <v>-17112910.5</v>
      </c>
      <c r="F1595" s="21">
        <v>0</v>
      </c>
    </row>
    <row r="1596" spans="1:6" x14ac:dyDescent="0.25">
      <c r="A1596">
        <v>1829</v>
      </c>
      <c r="B1596" s="16">
        <v>43922</v>
      </c>
      <c r="C1596" t="s">
        <v>19</v>
      </c>
      <c r="D1596" s="21">
        <v>3811675.6440000003</v>
      </c>
      <c r="E1596" s="21">
        <v>-3811675.6440000003</v>
      </c>
      <c r="F1596" s="21">
        <v>0</v>
      </c>
    </row>
    <row r="1597" spans="1:6" x14ac:dyDescent="0.25">
      <c r="A1597">
        <v>1829</v>
      </c>
      <c r="B1597" s="16">
        <v>43922</v>
      </c>
      <c r="C1597" t="s">
        <v>192</v>
      </c>
      <c r="D1597" s="21">
        <v>15730394.957983194</v>
      </c>
      <c r="E1597" s="21">
        <v>-15730394.957983194</v>
      </c>
      <c r="F1597" s="21">
        <v>0</v>
      </c>
    </row>
    <row r="1598" spans="1:6" x14ac:dyDescent="0.25">
      <c r="A1598">
        <v>1829</v>
      </c>
      <c r="B1598" s="16">
        <v>43922</v>
      </c>
      <c r="C1598" t="s">
        <v>59</v>
      </c>
      <c r="D1598" s="21">
        <v>1667925</v>
      </c>
      <c r="E1598" s="21">
        <v>-1667925</v>
      </c>
      <c r="F1598" s="21">
        <v>0</v>
      </c>
    </row>
    <row r="1599" spans="1:6" x14ac:dyDescent="0.25">
      <c r="A1599">
        <v>1829</v>
      </c>
      <c r="B1599" s="16">
        <v>43922</v>
      </c>
      <c r="C1599" t="s">
        <v>39</v>
      </c>
      <c r="D1599" s="21">
        <v>3886265.25</v>
      </c>
      <c r="E1599" s="21">
        <v>-3886265.25</v>
      </c>
      <c r="F1599" s="21">
        <v>0</v>
      </c>
    </row>
    <row r="1600" spans="1:6" x14ac:dyDescent="0.25">
      <c r="A1600">
        <v>1829</v>
      </c>
      <c r="B1600" s="16">
        <v>43952</v>
      </c>
      <c r="C1600" t="s">
        <v>12</v>
      </c>
      <c r="D1600" s="21">
        <v>17112910.5</v>
      </c>
      <c r="E1600" s="21">
        <v>-17112910.5</v>
      </c>
      <c r="F1600" s="21">
        <v>0</v>
      </c>
    </row>
    <row r="1601" spans="1:6" x14ac:dyDescent="0.25">
      <c r="A1601">
        <v>1829</v>
      </c>
      <c r="B1601" s="16">
        <v>43952</v>
      </c>
      <c r="C1601" t="s">
        <v>19</v>
      </c>
      <c r="D1601" s="21">
        <v>3811675.6440000003</v>
      </c>
      <c r="E1601" s="21">
        <v>-3811675.6440000003</v>
      </c>
      <c r="F1601" s="21">
        <v>0</v>
      </c>
    </row>
    <row r="1602" spans="1:6" x14ac:dyDescent="0.25">
      <c r="A1602">
        <v>1829</v>
      </c>
      <c r="B1602" s="16">
        <v>43952</v>
      </c>
      <c r="C1602" t="s">
        <v>192</v>
      </c>
      <c r="D1602" s="21">
        <v>15730394.957983194</v>
      </c>
      <c r="E1602" s="21">
        <v>-15730394.957983194</v>
      </c>
      <c r="F1602" s="21">
        <v>0</v>
      </c>
    </row>
    <row r="1603" spans="1:6" x14ac:dyDescent="0.25">
      <c r="A1603">
        <v>1829</v>
      </c>
      <c r="B1603" s="16">
        <v>43952</v>
      </c>
      <c r="C1603" t="s">
        <v>139</v>
      </c>
      <c r="D1603" s="21">
        <v>7505662.5</v>
      </c>
      <c r="E1603" s="21">
        <v>-7505662.5</v>
      </c>
      <c r="F1603" s="21">
        <v>0</v>
      </c>
    </row>
    <row r="1604" spans="1:6" x14ac:dyDescent="0.25">
      <c r="A1604">
        <v>1829</v>
      </c>
      <c r="B1604" s="16">
        <v>43952</v>
      </c>
      <c r="C1604" t="s">
        <v>39</v>
      </c>
      <c r="D1604" s="21">
        <v>3886265.25</v>
      </c>
      <c r="E1604" s="21">
        <v>-3886265.25</v>
      </c>
      <c r="F1604" s="21">
        <v>0</v>
      </c>
    </row>
    <row r="1605" spans="1:6" x14ac:dyDescent="0.25">
      <c r="A1605">
        <v>1829</v>
      </c>
      <c r="B1605" s="16">
        <v>43983</v>
      </c>
      <c r="C1605" t="s">
        <v>12</v>
      </c>
      <c r="D1605" s="21">
        <v>17112910.5</v>
      </c>
      <c r="E1605" s="21">
        <v>-17112910.5</v>
      </c>
      <c r="F1605" s="21">
        <v>0</v>
      </c>
    </row>
    <row r="1606" spans="1:6" x14ac:dyDescent="0.25">
      <c r="A1606">
        <v>1829</v>
      </c>
      <c r="B1606" s="16">
        <v>43983</v>
      </c>
      <c r="C1606" t="s">
        <v>192</v>
      </c>
      <c r="D1606" s="21">
        <v>15730394.957983194</v>
      </c>
      <c r="E1606" s="21">
        <v>-15730394.957983194</v>
      </c>
      <c r="F1606" s="21">
        <v>0</v>
      </c>
    </row>
    <row r="1607" spans="1:6" x14ac:dyDescent="0.25">
      <c r="A1607">
        <v>1829</v>
      </c>
      <c r="B1607" s="16">
        <v>43983</v>
      </c>
      <c r="C1607" t="s">
        <v>19</v>
      </c>
      <c r="D1607" s="21">
        <v>3811675.6440000003</v>
      </c>
      <c r="E1607" s="21">
        <v>-3811675.6440000003</v>
      </c>
      <c r="F1607" s="21">
        <v>0</v>
      </c>
    </row>
    <row r="1608" spans="1:6" x14ac:dyDescent="0.25">
      <c r="A1608">
        <v>1829</v>
      </c>
      <c r="B1608" s="16">
        <v>43983</v>
      </c>
      <c r="C1608" t="s">
        <v>39</v>
      </c>
      <c r="D1608" s="21">
        <v>3886265.25</v>
      </c>
      <c r="E1608" s="21">
        <v>-3886265.25</v>
      </c>
      <c r="F1608" s="21">
        <v>0</v>
      </c>
    </row>
    <row r="1609" spans="1:6" x14ac:dyDescent="0.25">
      <c r="A1609">
        <v>1837</v>
      </c>
      <c r="B1609" s="16">
        <v>43466</v>
      </c>
      <c r="C1609" t="s">
        <v>164</v>
      </c>
      <c r="D1609" s="21">
        <v>964096.875</v>
      </c>
      <c r="E1609" s="21">
        <v>-964096.875</v>
      </c>
      <c r="F1609" s="21">
        <v>0</v>
      </c>
    </row>
    <row r="1610" spans="1:6" x14ac:dyDescent="0.25">
      <c r="A1610">
        <v>1837</v>
      </c>
      <c r="B1610" s="16">
        <v>43466</v>
      </c>
      <c r="C1610" t="s">
        <v>290</v>
      </c>
      <c r="D1610" s="21">
        <v>1778395.5</v>
      </c>
      <c r="E1610" s="21">
        <v>-1778395.5</v>
      </c>
      <c r="F1610" s="21">
        <v>0</v>
      </c>
    </row>
    <row r="1611" spans="1:6" x14ac:dyDescent="0.25">
      <c r="A1611">
        <v>1837</v>
      </c>
      <c r="B1611" s="16">
        <v>43466</v>
      </c>
      <c r="C1611" t="s">
        <v>192</v>
      </c>
      <c r="D1611" s="21">
        <v>10500000</v>
      </c>
      <c r="E1611" s="21">
        <v>-10500000</v>
      </c>
      <c r="F1611" s="21">
        <v>0</v>
      </c>
    </row>
    <row r="1612" spans="1:6" x14ac:dyDescent="0.25">
      <c r="A1612">
        <v>1837</v>
      </c>
      <c r="B1612" s="16">
        <v>43466</v>
      </c>
      <c r="C1612" t="s">
        <v>122</v>
      </c>
      <c r="D1612" s="21">
        <v>7426125</v>
      </c>
      <c r="E1612" s="21">
        <v>-7426125</v>
      </c>
      <c r="F1612" s="21">
        <v>0</v>
      </c>
    </row>
    <row r="1613" spans="1:6" x14ac:dyDescent="0.25">
      <c r="A1613">
        <v>1837</v>
      </c>
      <c r="B1613" s="16">
        <v>43466</v>
      </c>
      <c r="C1613" t="s">
        <v>135</v>
      </c>
      <c r="D1613" s="21">
        <v>3764722.4999999995</v>
      </c>
      <c r="E1613" s="21">
        <v>-3764722.4999999995</v>
      </c>
      <c r="F1613" s="21">
        <v>0</v>
      </c>
    </row>
    <row r="1614" spans="1:6" x14ac:dyDescent="0.25">
      <c r="A1614">
        <v>1837</v>
      </c>
      <c r="B1614" s="16">
        <v>43497</v>
      </c>
      <c r="C1614" t="s">
        <v>164</v>
      </c>
      <c r="D1614" s="21">
        <v>964096.875</v>
      </c>
      <c r="E1614" s="21">
        <v>-964096.875</v>
      </c>
      <c r="F1614" s="21">
        <v>0</v>
      </c>
    </row>
    <row r="1615" spans="1:6" x14ac:dyDescent="0.25">
      <c r="A1615">
        <v>1837</v>
      </c>
      <c r="B1615" s="16">
        <v>43497</v>
      </c>
      <c r="C1615" t="s">
        <v>290</v>
      </c>
      <c r="D1615" s="21">
        <v>1778395.5</v>
      </c>
      <c r="E1615" s="21">
        <v>-1778395.5</v>
      </c>
      <c r="F1615" s="21">
        <v>0</v>
      </c>
    </row>
    <row r="1616" spans="1:6" x14ac:dyDescent="0.25">
      <c r="A1616">
        <v>1837</v>
      </c>
      <c r="B1616" s="16">
        <v>43497</v>
      </c>
      <c r="C1616" t="s">
        <v>192</v>
      </c>
      <c r="D1616" s="21">
        <v>10500000</v>
      </c>
      <c r="E1616" s="21">
        <v>-10500000</v>
      </c>
      <c r="F1616" s="21">
        <v>0</v>
      </c>
    </row>
    <row r="1617" spans="1:6" x14ac:dyDescent="0.25">
      <c r="A1617">
        <v>1837</v>
      </c>
      <c r="B1617" s="16">
        <v>43497</v>
      </c>
      <c r="C1617" t="s">
        <v>122</v>
      </c>
      <c r="D1617" s="21">
        <v>7426125</v>
      </c>
      <c r="E1617" s="21">
        <v>-7426125</v>
      </c>
      <c r="F1617" s="21">
        <v>0</v>
      </c>
    </row>
    <row r="1618" spans="1:6" x14ac:dyDescent="0.25">
      <c r="A1618">
        <v>1837</v>
      </c>
      <c r="B1618" s="16">
        <v>43497</v>
      </c>
      <c r="C1618" t="s">
        <v>135</v>
      </c>
      <c r="D1618" s="21">
        <v>3764722.4999999995</v>
      </c>
      <c r="E1618" s="21">
        <v>-3764722.4999999995</v>
      </c>
      <c r="F1618" s="21">
        <v>0</v>
      </c>
    </row>
    <row r="1619" spans="1:6" x14ac:dyDescent="0.25">
      <c r="A1619">
        <v>1838</v>
      </c>
      <c r="B1619" s="16">
        <v>43466</v>
      </c>
      <c r="C1619" t="s">
        <v>83</v>
      </c>
      <c r="D1619" s="21">
        <v>1129511.25</v>
      </c>
      <c r="E1619" s="21">
        <v>-1129511.25</v>
      </c>
      <c r="F1619" s="21">
        <v>0</v>
      </c>
    </row>
    <row r="1620" spans="1:6" x14ac:dyDescent="0.25">
      <c r="A1620">
        <v>1838</v>
      </c>
      <c r="B1620" s="16">
        <v>43466</v>
      </c>
      <c r="C1620" t="s">
        <v>192</v>
      </c>
      <c r="D1620" s="21">
        <v>5797541</v>
      </c>
      <c r="E1620" s="21">
        <v>-5797541</v>
      </c>
      <c r="F1620" s="21">
        <v>0</v>
      </c>
    </row>
    <row r="1621" spans="1:6" x14ac:dyDescent="0.25">
      <c r="A1621">
        <v>1838</v>
      </c>
      <c r="B1621" s="16">
        <v>43466</v>
      </c>
      <c r="C1621" t="s">
        <v>144</v>
      </c>
      <c r="D1621" s="21">
        <v>1289925</v>
      </c>
      <c r="E1621" s="21">
        <v>-1289925</v>
      </c>
      <c r="F1621" s="21">
        <v>0</v>
      </c>
    </row>
    <row r="1622" spans="1:6" x14ac:dyDescent="0.25">
      <c r="A1622">
        <v>1838</v>
      </c>
      <c r="B1622" s="16">
        <v>43466</v>
      </c>
      <c r="C1622" t="s">
        <v>119</v>
      </c>
      <c r="D1622" s="21">
        <v>7607250</v>
      </c>
      <c r="E1622" s="21">
        <v>-7607250</v>
      </c>
      <c r="F1622" s="21">
        <v>0</v>
      </c>
    </row>
    <row r="1623" spans="1:6" x14ac:dyDescent="0.25">
      <c r="A1623">
        <v>1838</v>
      </c>
      <c r="B1623" s="16">
        <v>43497</v>
      </c>
      <c r="C1623" t="s">
        <v>83</v>
      </c>
      <c r="D1623" s="21">
        <v>1129511.25</v>
      </c>
      <c r="E1623" s="21">
        <v>-1129511.25</v>
      </c>
      <c r="F1623" s="21">
        <v>0</v>
      </c>
    </row>
    <row r="1624" spans="1:6" x14ac:dyDescent="0.25">
      <c r="A1624">
        <v>1838</v>
      </c>
      <c r="B1624" s="16">
        <v>43497</v>
      </c>
      <c r="C1624" t="s">
        <v>192</v>
      </c>
      <c r="D1624" s="21">
        <v>5797541</v>
      </c>
      <c r="E1624" s="21">
        <v>-5797541</v>
      </c>
      <c r="F1624" s="21">
        <v>0</v>
      </c>
    </row>
    <row r="1625" spans="1:6" x14ac:dyDescent="0.25">
      <c r="A1625">
        <v>1838</v>
      </c>
      <c r="B1625" s="16">
        <v>43497</v>
      </c>
      <c r="C1625" t="s">
        <v>144</v>
      </c>
      <c r="D1625" s="21">
        <v>1289925</v>
      </c>
      <c r="E1625" s="21">
        <v>-1289925</v>
      </c>
      <c r="F1625" s="21">
        <v>0</v>
      </c>
    </row>
    <row r="1626" spans="1:6" x14ac:dyDescent="0.25">
      <c r="A1626">
        <v>1838</v>
      </c>
      <c r="B1626" s="16">
        <v>43497</v>
      </c>
      <c r="C1626" t="s">
        <v>119</v>
      </c>
      <c r="D1626" s="21">
        <v>7607250</v>
      </c>
      <c r="E1626" s="21">
        <v>-7607250</v>
      </c>
      <c r="F1626" s="21">
        <v>0</v>
      </c>
    </row>
    <row r="1627" spans="1:6" x14ac:dyDescent="0.25">
      <c r="A1627">
        <v>1838</v>
      </c>
      <c r="B1627" s="16">
        <v>43525</v>
      </c>
      <c r="C1627" t="s">
        <v>83</v>
      </c>
      <c r="D1627" s="21">
        <v>1129511.25</v>
      </c>
      <c r="E1627" s="21">
        <v>-1129511.25</v>
      </c>
      <c r="F1627" s="21">
        <v>0</v>
      </c>
    </row>
    <row r="1628" spans="1:6" x14ac:dyDescent="0.25">
      <c r="A1628">
        <v>1838</v>
      </c>
      <c r="B1628" s="16">
        <v>43525</v>
      </c>
      <c r="C1628" t="s">
        <v>192</v>
      </c>
      <c r="D1628" s="21">
        <v>5797541</v>
      </c>
      <c r="E1628" s="21">
        <v>-5797541</v>
      </c>
      <c r="F1628" s="21">
        <v>0</v>
      </c>
    </row>
    <row r="1629" spans="1:6" x14ac:dyDescent="0.25">
      <c r="A1629">
        <v>1838</v>
      </c>
      <c r="B1629" s="16">
        <v>43525</v>
      </c>
      <c r="C1629" t="s">
        <v>144</v>
      </c>
      <c r="D1629" s="21">
        <v>1289925</v>
      </c>
      <c r="E1629" s="21">
        <v>-1289925</v>
      </c>
      <c r="F1629" s="21">
        <v>0</v>
      </c>
    </row>
    <row r="1630" spans="1:6" x14ac:dyDescent="0.25">
      <c r="A1630">
        <v>1838</v>
      </c>
      <c r="B1630" s="16">
        <v>43525</v>
      </c>
      <c r="C1630" t="s">
        <v>119</v>
      </c>
      <c r="D1630" s="21">
        <v>7607250</v>
      </c>
      <c r="E1630" s="21">
        <v>-7607250</v>
      </c>
      <c r="F1630" s="21">
        <v>0</v>
      </c>
    </row>
    <row r="1631" spans="1:6" x14ac:dyDescent="0.25">
      <c r="A1631">
        <v>1845</v>
      </c>
      <c r="B1631" s="16">
        <v>43497</v>
      </c>
      <c r="C1631" t="s">
        <v>192</v>
      </c>
      <c r="D1631" s="21">
        <v>22250000</v>
      </c>
      <c r="E1631" s="21">
        <v>-22250000</v>
      </c>
      <c r="F1631" s="21">
        <v>0</v>
      </c>
    </row>
    <row r="1632" spans="1:6" x14ac:dyDescent="0.25">
      <c r="A1632">
        <v>1845</v>
      </c>
      <c r="B1632" s="16">
        <v>43497</v>
      </c>
      <c r="C1632" t="s">
        <v>38</v>
      </c>
      <c r="D1632" s="21">
        <v>3855251.3759999997</v>
      </c>
      <c r="E1632" s="21">
        <v>-3855251.3759999997</v>
      </c>
      <c r="F1632" s="21">
        <v>0</v>
      </c>
    </row>
    <row r="1633" spans="1:6" x14ac:dyDescent="0.25">
      <c r="A1633">
        <v>1845</v>
      </c>
      <c r="B1633" s="16">
        <v>43497</v>
      </c>
      <c r="C1633" t="s">
        <v>122</v>
      </c>
      <c r="D1633" s="21">
        <v>6750000</v>
      </c>
      <c r="E1633" s="21">
        <v>-6750000</v>
      </c>
      <c r="F1633" s="21">
        <v>0</v>
      </c>
    </row>
    <row r="1634" spans="1:6" x14ac:dyDescent="0.25">
      <c r="A1634">
        <v>1845</v>
      </c>
      <c r="B1634" s="16">
        <v>43497</v>
      </c>
      <c r="C1634" t="s">
        <v>29</v>
      </c>
      <c r="D1634" s="21">
        <v>1961638.6500000001</v>
      </c>
      <c r="E1634" s="21">
        <v>-1961638.6500000001</v>
      </c>
      <c r="F1634" s="21">
        <v>0</v>
      </c>
    </row>
    <row r="1635" spans="1:6" x14ac:dyDescent="0.25">
      <c r="A1635">
        <v>1845</v>
      </c>
      <c r="B1635" s="16">
        <v>43497</v>
      </c>
      <c r="C1635" t="s">
        <v>19</v>
      </c>
      <c r="D1635" s="21">
        <v>3818881.08</v>
      </c>
      <c r="E1635" s="21">
        <v>-3818881.08</v>
      </c>
      <c r="F1635" s="21">
        <v>0</v>
      </c>
    </row>
    <row r="1636" spans="1:6" x14ac:dyDescent="0.25">
      <c r="A1636">
        <v>1845</v>
      </c>
      <c r="B1636" s="16">
        <v>43497</v>
      </c>
      <c r="C1636" t="s">
        <v>39</v>
      </c>
      <c r="D1636" s="21">
        <v>5271741.5887850448</v>
      </c>
      <c r="E1636" s="21">
        <v>-5271741.5887850448</v>
      </c>
      <c r="F1636" s="21">
        <v>0</v>
      </c>
    </row>
    <row r="1637" spans="1:6" x14ac:dyDescent="0.25">
      <c r="A1637">
        <v>1845</v>
      </c>
      <c r="B1637" s="16">
        <v>43525</v>
      </c>
      <c r="C1637" t="s">
        <v>192</v>
      </c>
      <c r="D1637" s="21">
        <v>22250000</v>
      </c>
      <c r="E1637" s="21">
        <v>-22250000</v>
      </c>
      <c r="F1637" s="21">
        <v>0</v>
      </c>
    </row>
    <row r="1638" spans="1:6" x14ac:dyDescent="0.25">
      <c r="A1638">
        <v>1845</v>
      </c>
      <c r="B1638" s="16">
        <v>43525</v>
      </c>
      <c r="C1638" t="s">
        <v>38</v>
      </c>
      <c r="D1638" s="21">
        <v>3855251.3759999997</v>
      </c>
      <c r="E1638" s="21">
        <v>-3855251.3759999997</v>
      </c>
      <c r="F1638" s="21">
        <v>0</v>
      </c>
    </row>
    <row r="1639" spans="1:6" x14ac:dyDescent="0.25">
      <c r="A1639">
        <v>1845</v>
      </c>
      <c r="B1639" s="16">
        <v>43525</v>
      </c>
      <c r="C1639" t="s">
        <v>122</v>
      </c>
      <c r="D1639" s="21">
        <v>6750000</v>
      </c>
      <c r="E1639" s="21">
        <v>-6750000</v>
      </c>
      <c r="F1639" s="21">
        <v>0</v>
      </c>
    </row>
    <row r="1640" spans="1:6" x14ac:dyDescent="0.25">
      <c r="A1640">
        <v>1845</v>
      </c>
      <c r="B1640" s="16">
        <v>43525</v>
      </c>
      <c r="C1640" t="s">
        <v>29</v>
      </c>
      <c r="D1640" s="21">
        <v>1961638.6500000001</v>
      </c>
      <c r="E1640" s="21">
        <v>-1961638.6500000001</v>
      </c>
      <c r="F1640" s="21">
        <v>0</v>
      </c>
    </row>
    <row r="1641" spans="1:6" x14ac:dyDescent="0.25">
      <c r="A1641">
        <v>1845</v>
      </c>
      <c r="B1641" s="16">
        <v>43525</v>
      </c>
      <c r="C1641" t="s">
        <v>19</v>
      </c>
      <c r="D1641" s="21">
        <v>3818881.08</v>
      </c>
      <c r="E1641" s="21">
        <v>-3818881.08</v>
      </c>
      <c r="F1641" s="21">
        <v>0</v>
      </c>
    </row>
    <row r="1642" spans="1:6" x14ac:dyDescent="0.25">
      <c r="A1642">
        <v>1845</v>
      </c>
      <c r="B1642" s="16">
        <v>43525</v>
      </c>
      <c r="C1642" t="s">
        <v>39</v>
      </c>
      <c r="D1642" s="21">
        <v>5271741.5887850448</v>
      </c>
      <c r="E1642" s="21">
        <v>-5271741.5887850448</v>
      </c>
      <c r="F1642" s="21">
        <v>0</v>
      </c>
    </row>
    <row r="1643" spans="1:6" x14ac:dyDescent="0.25">
      <c r="A1643">
        <v>1845</v>
      </c>
      <c r="B1643" s="16">
        <v>43556</v>
      </c>
      <c r="C1643" t="s">
        <v>192</v>
      </c>
      <c r="D1643" s="21">
        <v>22250000</v>
      </c>
      <c r="E1643" s="21">
        <v>-22250000</v>
      </c>
      <c r="F1643" s="21">
        <v>0</v>
      </c>
    </row>
    <row r="1644" spans="1:6" x14ac:dyDescent="0.25">
      <c r="A1644">
        <v>1845</v>
      </c>
      <c r="B1644" s="16">
        <v>43556</v>
      </c>
      <c r="C1644" t="s">
        <v>38</v>
      </c>
      <c r="D1644" s="21">
        <v>3855251.3759999997</v>
      </c>
      <c r="E1644" s="21">
        <v>-3855251.3759999997</v>
      </c>
      <c r="F1644" s="21">
        <v>0</v>
      </c>
    </row>
    <row r="1645" spans="1:6" x14ac:dyDescent="0.25">
      <c r="A1645">
        <v>1845</v>
      </c>
      <c r="B1645" s="16">
        <v>43556</v>
      </c>
      <c r="C1645" t="s">
        <v>122</v>
      </c>
      <c r="D1645" s="21">
        <v>6750000</v>
      </c>
      <c r="E1645" s="21">
        <v>-6750000</v>
      </c>
      <c r="F1645" s="21">
        <v>0</v>
      </c>
    </row>
    <row r="1646" spans="1:6" x14ac:dyDescent="0.25">
      <c r="A1646">
        <v>1845</v>
      </c>
      <c r="B1646" s="16">
        <v>43556</v>
      </c>
      <c r="C1646" t="s">
        <v>29</v>
      </c>
      <c r="D1646" s="21">
        <v>1961638.6500000001</v>
      </c>
      <c r="E1646" s="21">
        <v>-1961638.6500000001</v>
      </c>
      <c r="F1646" s="21">
        <v>0</v>
      </c>
    </row>
    <row r="1647" spans="1:6" x14ac:dyDescent="0.25">
      <c r="A1647">
        <v>1845</v>
      </c>
      <c r="B1647" s="16">
        <v>43556</v>
      </c>
      <c r="C1647" t="s">
        <v>19</v>
      </c>
      <c r="D1647" s="21">
        <v>3818881.08</v>
      </c>
      <c r="E1647" s="21">
        <v>-3818881.08</v>
      </c>
      <c r="F1647" s="21">
        <v>0</v>
      </c>
    </row>
    <row r="1648" spans="1:6" x14ac:dyDescent="0.25">
      <c r="A1648">
        <v>1845</v>
      </c>
      <c r="B1648" s="16">
        <v>43556</v>
      </c>
      <c r="C1648" t="s">
        <v>39</v>
      </c>
      <c r="D1648" s="21">
        <v>5271741.5887850448</v>
      </c>
      <c r="E1648" s="21">
        <v>-5271741.5887850448</v>
      </c>
      <c r="F1648" s="21">
        <v>0</v>
      </c>
    </row>
    <row r="1649" spans="1:6" x14ac:dyDescent="0.25">
      <c r="A1649">
        <v>1845</v>
      </c>
      <c r="B1649" s="16">
        <v>43586</v>
      </c>
      <c r="C1649" t="s">
        <v>192</v>
      </c>
      <c r="D1649" s="21">
        <v>22250000</v>
      </c>
      <c r="E1649" s="21">
        <v>-22250000</v>
      </c>
      <c r="F1649" s="21">
        <v>0</v>
      </c>
    </row>
    <row r="1650" spans="1:6" x14ac:dyDescent="0.25">
      <c r="A1650">
        <v>1845</v>
      </c>
      <c r="B1650" s="16">
        <v>43586</v>
      </c>
      <c r="C1650" t="s">
        <v>38</v>
      </c>
      <c r="D1650" s="21">
        <v>3855251.3759999997</v>
      </c>
      <c r="E1650" s="21">
        <v>-3855251.3759999997</v>
      </c>
      <c r="F1650" s="21">
        <v>0</v>
      </c>
    </row>
    <row r="1651" spans="1:6" x14ac:dyDescent="0.25">
      <c r="A1651">
        <v>1845</v>
      </c>
      <c r="B1651" s="16">
        <v>43586</v>
      </c>
      <c r="C1651" t="s">
        <v>122</v>
      </c>
      <c r="D1651" s="21">
        <v>6750000</v>
      </c>
      <c r="E1651" s="21">
        <v>-6750000</v>
      </c>
      <c r="F1651" s="21">
        <v>0</v>
      </c>
    </row>
    <row r="1652" spans="1:6" x14ac:dyDescent="0.25">
      <c r="A1652">
        <v>1845</v>
      </c>
      <c r="B1652" s="16">
        <v>43586</v>
      </c>
      <c r="C1652" t="s">
        <v>29</v>
      </c>
      <c r="D1652" s="21">
        <v>1961638.6500000001</v>
      </c>
      <c r="E1652" s="21">
        <v>-1961638.6500000001</v>
      </c>
      <c r="F1652" s="21">
        <v>0</v>
      </c>
    </row>
    <row r="1653" spans="1:6" x14ac:dyDescent="0.25">
      <c r="A1653">
        <v>1845</v>
      </c>
      <c r="B1653" s="16">
        <v>43586</v>
      </c>
      <c r="C1653" t="s">
        <v>19</v>
      </c>
      <c r="D1653" s="21">
        <v>3818881.08</v>
      </c>
      <c r="E1653" s="21">
        <v>-3818881.08</v>
      </c>
      <c r="F1653" s="21">
        <v>0</v>
      </c>
    </row>
    <row r="1654" spans="1:6" x14ac:dyDescent="0.25">
      <c r="A1654">
        <v>1845</v>
      </c>
      <c r="B1654" s="16">
        <v>43586</v>
      </c>
      <c r="C1654" t="s">
        <v>39</v>
      </c>
      <c r="D1654" s="21">
        <v>5271741.5887850448</v>
      </c>
      <c r="E1654" s="21">
        <v>-5271741.5887850448</v>
      </c>
      <c r="F1654" s="21">
        <v>0</v>
      </c>
    </row>
    <row r="1655" spans="1:6" x14ac:dyDescent="0.25">
      <c r="A1655">
        <v>1845</v>
      </c>
      <c r="B1655" s="16">
        <v>43617</v>
      </c>
      <c r="C1655" t="s">
        <v>192</v>
      </c>
      <c r="D1655" s="21">
        <v>22250000</v>
      </c>
      <c r="E1655" s="21">
        <v>-22250000</v>
      </c>
      <c r="F1655" s="21">
        <v>0</v>
      </c>
    </row>
    <row r="1656" spans="1:6" x14ac:dyDescent="0.25">
      <c r="A1656">
        <v>1845</v>
      </c>
      <c r="B1656" s="16">
        <v>43617</v>
      </c>
      <c r="C1656" t="s">
        <v>38</v>
      </c>
      <c r="D1656" s="21">
        <v>3855251.3759999997</v>
      </c>
      <c r="E1656" s="21">
        <v>-3855251.3759999997</v>
      </c>
      <c r="F1656" s="21">
        <v>0</v>
      </c>
    </row>
    <row r="1657" spans="1:6" x14ac:dyDescent="0.25">
      <c r="A1657">
        <v>1845</v>
      </c>
      <c r="B1657" s="16">
        <v>43617</v>
      </c>
      <c r="C1657" t="s">
        <v>122</v>
      </c>
      <c r="D1657" s="21">
        <v>6750000</v>
      </c>
      <c r="E1657" s="21">
        <v>-6750000</v>
      </c>
      <c r="F1657" s="21">
        <v>0</v>
      </c>
    </row>
    <row r="1658" spans="1:6" x14ac:dyDescent="0.25">
      <c r="A1658">
        <v>1845</v>
      </c>
      <c r="B1658" s="16">
        <v>43617</v>
      </c>
      <c r="C1658" t="s">
        <v>29</v>
      </c>
      <c r="D1658" s="21">
        <v>1961638.6500000001</v>
      </c>
      <c r="E1658" s="21">
        <v>-1961638.6500000001</v>
      </c>
      <c r="F1658" s="21">
        <v>0</v>
      </c>
    </row>
    <row r="1659" spans="1:6" x14ac:dyDescent="0.25">
      <c r="A1659">
        <v>1845</v>
      </c>
      <c r="B1659" s="16">
        <v>43617</v>
      </c>
      <c r="C1659" t="s">
        <v>19</v>
      </c>
      <c r="D1659" s="21">
        <v>3818881.08</v>
      </c>
      <c r="E1659" s="21">
        <v>-3818881.08</v>
      </c>
      <c r="F1659" s="21">
        <v>0</v>
      </c>
    </row>
    <row r="1660" spans="1:6" x14ac:dyDescent="0.25">
      <c r="A1660">
        <v>1845</v>
      </c>
      <c r="B1660" s="16">
        <v>43617</v>
      </c>
      <c r="C1660" t="s">
        <v>39</v>
      </c>
      <c r="D1660" s="21">
        <v>5271741.5887850448</v>
      </c>
      <c r="E1660" s="21">
        <v>-5271741.5887850448</v>
      </c>
      <c r="F1660" s="21">
        <v>0</v>
      </c>
    </row>
    <row r="1661" spans="1:6" x14ac:dyDescent="0.25">
      <c r="A1661">
        <v>1845</v>
      </c>
      <c r="B1661" s="16">
        <v>43647</v>
      </c>
      <c r="C1661" t="s">
        <v>192</v>
      </c>
      <c r="D1661" s="21">
        <v>22250000</v>
      </c>
      <c r="E1661" s="21">
        <v>-22250000</v>
      </c>
      <c r="F1661" s="21">
        <v>0</v>
      </c>
    </row>
    <row r="1662" spans="1:6" x14ac:dyDescent="0.25">
      <c r="A1662">
        <v>1845</v>
      </c>
      <c r="B1662" s="16">
        <v>43647</v>
      </c>
      <c r="C1662" t="s">
        <v>38</v>
      </c>
      <c r="D1662" s="21">
        <v>3855251.3759999997</v>
      </c>
      <c r="E1662" s="21">
        <v>-3855251.3759999997</v>
      </c>
      <c r="F1662" s="21">
        <v>0</v>
      </c>
    </row>
    <row r="1663" spans="1:6" x14ac:dyDescent="0.25">
      <c r="A1663">
        <v>1845</v>
      </c>
      <c r="B1663" s="16">
        <v>43647</v>
      </c>
      <c r="C1663" t="s">
        <v>122</v>
      </c>
      <c r="D1663" s="21">
        <v>6750000</v>
      </c>
      <c r="E1663" s="21">
        <v>-6750000</v>
      </c>
      <c r="F1663" s="21">
        <v>0</v>
      </c>
    </row>
    <row r="1664" spans="1:6" x14ac:dyDescent="0.25">
      <c r="A1664">
        <v>1845</v>
      </c>
      <c r="B1664" s="16">
        <v>43647</v>
      </c>
      <c r="C1664" t="s">
        <v>29</v>
      </c>
      <c r="D1664" s="21">
        <v>1961638.6500000001</v>
      </c>
      <c r="E1664" s="21">
        <v>-1961638.6500000001</v>
      </c>
      <c r="F1664" s="21">
        <v>0</v>
      </c>
    </row>
    <row r="1665" spans="1:6" x14ac:dyDescent="0.25">
      <c r="A1665">
        <v>1845</v>
      </c>
      <c r="B1665" s="16">
        <v>43647</v>
      </c>
      <c r="C1665" t="s">
        <v>19</v>
      </c>
      <c r="D1665" s="21">
        <v>3818881.08</v>
      </c>
      <c r="E1665" s="21">
        <v>-3818881.08</v>
      </c>
      <c r="F1665" s="21">
        <v>0</v>
      </c>
    </row>
    <row r="1666" spans="1:6" x14ac:dyDescent="0.25">
      <c r="A1666">
        <v>1845</v>
      </c>
      <c r="B1666" s="16">
        <v>43647</v>
      </c>
      <c r="C1666" t="s">
        <v>39</v>
      </c>
      <c r="D1666" s="21">
        <v>5271741.5887850448</v>
      </c>
      <c r="E1666" s="21">
        <v>-5271741.5887850448</v>
      </c>
      <c r="F1666" s="21">
        <v>0</v>
      </c>
    </row>
    <row r="1667" spans="1:6" x14ac:dyDescent="0.25">
      <c r="A1667">
        <v>1845</v>
      </c>
      <c r="B1667" s="16">
        <v>43678</v>
      </c>
      <c r="C1667" t="s">
        <v>192</v>
      </c>
      <c r="D1667" s="21">
        <v>22250000</v>
      </c>
      <c r="E1667" s="21">
        <v>-22250000</v>
      </c>
      <c r="F1667" s="21">
        <v>0</v>
      </c>
    </row>
    <row r="1668" spans="1:6" x14ac:dyDescent="0.25">
      <c r="A1668">
        <v>1845</v>
      </c>
      <c r="B1668" s="16">
        <v>43678</v>
      </c>
      <c r="C1668" t="s">
        <v>38</v>
      </c>
      <c r="D1668" s="21">
        <v>3855251.3759999997</v>
      </c>
      <c r="E1668" s="21">
        <v>-3855251.3759999997</v>
      </c>
      <c r="F1668" s="21">
        <v>0</v>
      </c>
    </row>
    <row r="1669" spans="1:6" x14ac:dyDescent="0.25">
      <c r="A1669">
        <v>1845</v>
      </c>
      <c r="B1669" s="16">
        <v>43678</v>
      </c>
      <c r="C1669" t="s">
        <v>122</v>
      </c>
      <c r="D1669" s="21">
        <v>6750000</v>
      </c>
      <c r="E1669" s="21">
        <v>-6750000</v>
      </c>
      <c r="F1669" s="21">
        <v>0</v>
      </c>
    </row>
    <row r="1670" spans="1:6" x14ac:dyDescent="0.25">
      <c r="A1670">
        <v>1845</v>
      </c>
      <c r="B1670" s="16">
        <v>43678</v>
      </c>
      <c r="C1670" t="s">
        <v>29</v>
      </c>
      <c r="D1670" s="21">
        <v>1961638.6500000001</v>
      </c>
      <c r="E1670" s="21">
        <v>-1961638.6500000001</v>
      </c>
      <c r="F1670" s="21">
        <v>0</v>
      </c>
    </row>
    <row r="1671" spans="1:6" x14ac:dyDescent="0.25">
      <c r="A1671">
        <v>1845</v>
      </c>
      <c r="B1671" s="16">
        <v>43678</v>
      </c>
      <c r="C1671" t="s">
        <v>19</v>
      </c>
      <c r="D1671" s="21">
        <v>3818881.08</v>
      </c>
      <c r="E1671" s="21">
        <v>-3818881.08</v>
      </c>
      <c r="F1671" s="21">
        <v>0</v>
      </c>
    </row>
    <row r="1672" spans="1:6" x14ac:dyDescent="0.25">
      <c r="A1672">
        <v>1845</v>
      </c>
      <c r="B1672" s="16">
        <v>43678</v>
      </c>
      <c r="C1672" t="s">
        <v>39</v>
      </c>
      <c r="D1672" s="21">
        <v>5271741.5887850448</v>
      </c>
      <c r="E1672" s="21">
        <v>-5271741.5887850448</v>
      </c>
      <c r="F1672" s="21">
        <v>0</v>
      </c>
    </row>
    <row r="1673" spans="1:6" x14ac:dyDescent="0.25">
      <c r="A1673">
        <v>1846</v>
      </c>
      <c r="B1673" s="16">
        <v>43466</v>
      </c>
      <c r="C1673" t="s">
        <v>154</v>
      </c>
      <c r="D1673" s="21">
        <v>3213000</v>
      </c>
      <c r="E1673" s="21">
        <v>-3213000</v>
      </c>
      <c r="F1673" s="21">
        <v>0</v>
      </c>
    </row>
    <row r="1674" spans="1:6" x14ac:dyDescent="0.25">
      <c r="A1674">
        <v>1846</v>
      </c>
      <c r="B1674" s="16">
        <v>43466</v>
      </c>
      <c r="C1674" t="s">
        <v>145</v>
      </c>
      <c r="D1674" s="21">
        <v>3780000</v>
      </c>
      <c r="E1674" s="21">
        <v>-3780000</v>
      </c>
      <c r="F1674" s="21">
        <v>0</v>
      </c>
    </row>
    <row r="1675" spans="1:6" x14ac:dyDescent="0.25">
      <c r="A1675">
        <v>1846</v>
      </c>
      <c r="B1675" s="16">
        <v>43466</v>
      </c>
      <c r="C1675" t="s">
        <v>155</v>
      </c>
      <c r="D1675" s="21">
        <v>2173500</v>
      </c>
      <c r="E1675" s="21">
        <v>-2173500</v>
      </c>
      <c r="F1675" s="21">
        <v>0</v>
      </c>
    </row>
    <row r="1676" spans="1:6" x14ac:dyDescent="0.25">
      <c r="A1676">
        <v>1846</v>
      </c>
      <c r="B1676" s="16">
        <v>43466</v>
      </c>
      <c r="C1676" t="s">
        <v>12</v>
      </c>
      <c r="D1676" s="21">
        <v>19561500</v>
      </c>
      <c r="E1676" s="21">
        <v>-19561500</v>
      </c>
      <c r="F1676" s="21">
        <v>0</v>
      </c>
    </row>
    <row r="1677" spans="1:6" x14ac:dyDescent="0.25">
      <c r="A1677">
        <v>1846</v>
      </c>
      <c r="B1677" s="16">
        <v>43466</v>
      </c>
      <c r="C1677" t="s">
        <v>156</v>
      </c>
      <c r="D1677" s="21">
        <v>3780000</v>
      </c>
      <c r="E1677" s="21">
        <v>-3780000</v>
      </c>
      <c r="F1677" s="21">
        <v>0</v>
      </c>
    </row>
    <row r="1678" spans="1:6" x14ac:dyDescent="0.25">
      <c r="A1678">
        <v>1846</v>
      </c>
      <c r="B1678" s="16">
        <v>43466</v>
      </c>
      <c r="C1678" t="s">
        <v>271</v>
      </c>
      <c r="D1678" s="21">
        <v>1449000</v>
      </c>
      <c r="E1678" s="21">
        <v>-1449000</v>
      </c>
      <c r="F1678" s="21">
        <v>0</v>
      </c>
    </row>
    <row r="1679" spans="1:6" x14ac:dyDescent="0.25">
      <c r="A1679">
        <v>1846</v>
      </c>
      <c r="B1679" s="16">
        <v>43466</v>
      </c>
      <c r="C1679" t="s">
        <v>157</v>
      </c>
      <c r="D1679" s="21">
        <v>1890000</v>
      </c>
      <c r="E1679" s="21">
        <v>-1890000</v>
      </c>
      <c r="F1679" s="21">
        <v>0</v>
      </c>
    </row>
    <row r="1680" spans="1:6" x14ac:dyDescent="0.25">
      <c r="A1680">
        <v>1846</v>
      </c>
      <c r="B1680" s="16">
        <v>43466</v>
      </c>
      <c r="C1680" t="s">
        <v>149</v>
      </c>
      <c r="D1680" s="21">
        <v>5868450</v>
      </c>
      <c r="E1680" s="21">
        <v>-5868450</v>
      </c>
      <c r="F1680" s="21">
        <v>0</v>
      </c>
    </row>
    <row r="1681" spans="1:6" x14ac:dyDescent="0.25">
      <c r="A1681">
        <v>1846</v>
      </c>
      <c r="B1681" s="16">
        <v>43466</v>
      </c>
      <c r="C1681" t="s">
        <v>192</v>
      </c>
      <c r="D1681" s="21">
        <v>29900000</v>
      </c>
      <c r="E1681" s="21">
        <v>-29900000</v>
      </c>
      <c r="F1681" s="21">
        <v>0</v>
      </c>
    </row>
    <row r="1682" spans="1:6" x14ac:dyDescent="0.25">
      <c r="A1682">
        <v>1846</v>
      </c>
      <c r="B1682" s="16">
        <v>43466</v>
      </c>
      <c r="C1682" t="s">
        <v>151</v>
      </c>
      <c r="D1682" s="21">
        <v>3780000</v>
      </c>
      <c r="E1682" s="21">
        <v>-3780000</v>
      </c>
      <c r="F1682" s="21">
        <v>0</v>
      </c>
    </row>
    <row r="1683" spans="1:6" x14ac:dyDescent="0.25">
      <c r="A1683">
        <v>1846</v>
      </c>
      <c r="B1683" s="16">
        <v>43466</v>
      </c>
      <c r="C1683" t="s">
        <v>158</v>
      </c>
      <c r="D1683" s="21">
        <v>1265688.9000000001</v>
      </c>
      <c r="E1683" s="21">
        <v>-1265688.9000000001</v>
      </c>
      <c r="F1683" s="21">
        <v>0</v>
      </c>
    </row>
    <row r="1684" spans="1:6" x14ac:dyDescent="0.25">
      <c r="A1684">
        <v>1846</v>
      </c>
      <c r="B1684" s="16">
        <v>43466</v>
      </c>
      <c r="C1684" t="s">
        <v>153</v>
      </c>
      <c r="D1684" s="21">
        <v>5460525</v>
      </c>
      <c r="E1684" s="21">
        <v>-5460525</v>
      </c>
      <c r="F1684" s="21">
        <v>0</v>
      </c>
    </row>
    <row r="1685" spans="1:6" x14ac:dyDescent="0.25">
      <c r="A1685">
        <v>1846</v>
      </c>
      <c r="B1685" s="16">
        <v>43466</v>
      </c>
      <c r="C1685" t="s">
        <v>273</v>
      </c>
      <c r="D1685" s="21">
        <v>8437922.3250000011</v>
      </c>
      <c r="E1685" s="21">
        <v>-8437922.3250000011</v>
      </c>
      <c r="F1685" s="21">
        <v>0</v>
      </c>
    </row>
    <row r="1686" spans="1:6" x14ac:dyDescent="0.25">
      <c r="A1686">
        <v>1846</v>
      </c>
      <c r="B1686" s="16">
        <v>43466</v>
      </c>
      <c r="C1686" t="s">
        <v>83</v>
      </c>
      <c r="D1686" s="21">
        <v>19561500</v>
      </c>
      <c r="E1686" s="21">
        <v>-19561500</v>
      </c>
      <c r="F1686" s="21">
        <v>0</v>
      </c>
    </row>
    <row r="1687" spans="1:6" x14ac:dyDescent="0.25">
      <c r="A1687">
        <v>1846</v>
      </c>
      <c r="B1687" s="16">
        <v>43466</v>
      </c>
      <c r="C1687" t="s">
        <v>140</v>
      </c>
      <c r="D1687" s="21">
        <v>6177149.9999999991</v>
      </c>
      <c r="E1687" s="21">
        <v>-6177149.9999999991</v>
      </c>
      <c r="F1687" s="21">
        <v>0</v>
      </c>
    </row>
    <row r="1688" spans="1:6" x14ac:dyDescent="0.25">
      <c r="A1688">
        <v>1846</v>
      </c>
      <c r="B1688" s="16">
        <v>43466</v>
      </c>
      <c r="C1688" t="s">
        <v>150</v>
      </c>
      <c r="D1688" s="21">
        <v>2531377.8000000003</v>
      </c>
      <c r="E1688" s="21">
        <v>-2531377.8000000003</v>
      </c>
      <c r="F1688" s="21">
        <v>0</v>
      </c>
    </row>
    <row r="1689" spans="1:6" x14ac:dyDescent="0.25">
      <c r="A1689">
        <v>1846</v>
      </c>
      <c r="B1689" s="16">
        <v>43466</v>
      </c>
      <c r="C1689" t="s">
        <v>159</v>
      </c>
      <c r="D1689" s="21">
        <v>5827500</v>
      </c>
      <c r="E1689" s="21">
        <v>-5827500</v>
      </c>
      <c r="F1689" s="21">
        <v>0</v>
      </c>
    </row>
    <row r="1690" spans="1:6" x14ac:dyDescent="0.25">
      <c r="A1690">
        <v>1846</v>
      </c>
      <c r="B1690" s="16">
        <v>43466</v>
      </c>
      <c r="C1690" t="s">
        <v>146</v>
      </c>
      <c r="D1690" s="21">
        <v>5868450</v>
      </c>
      <c r="E1690" s="21">
        <v>-5868450</v>
      </c>
      <c r="F1690" s="21">
        <v>0</v>
      </c>
    </row>
    <row r="1691" spans="1:6" x14ac:dyDescent="0.25">
      <c r="A1691">
        <v>1846</v>
      </c>
      <c r="B1691" s="16">
        <v>43466</v>
      </c>
      <c r="C1691" t="s">
        <v>160</v>
      </c>
      <c r="D1691" s="21">
        <v>5118750</v>
      </c>
      <c r="E1691" s="21">
        <v>-5118750</v>
      </c>
      <c r="F1691" s="21">
        <v>0</v>
      </c>
    </row>
    <row r="1692" spans="1:6" x14ac:dyDescent="0.25">
      <c r="A1692">
        <v>1846</v>
      </c>
      <c r="B1692" s="16">
        <v>43466</v>
      </c>
      <c r="C1692" t="s">
        <v>152</v>
      </c>
      <c r="D1692" s="21">
        <v>2173500</v>
      </c>
      <c r="E1692" s="21">
        <v>-2173500</v>
      </c>
      <c r="F1692" s="21">
        <v>0</v>
      </c>
    </row>
    <row r="1693" spans="1:6" x14ac:dyDescent="0.25">
      <c r="A1693">
        <v>1846</v>
      </c>
      <c r="B1693" s="16">
        <v>43466</v>
      </c>
      <c r="C1693" t="s">
        <v>88</v>
      </c>
      <c r="D1693" s="21">
        <v>7245000</v>
      </c>
      <c r="E1693" s="21">
        <v>-7245000</v>
      </c>
      <c r="F1693" s="21">
        <v>0</v>
      </c>
    </row>
    <row r="1694" spans="1:6" x14ac:dyDescent="0.25">
      <c r="A1694">
        <v>1846</v>
      </c>
      <c r="B1694" s="16">
        <v>43466</v>
      </c>
      <c r="C1694" t="s">
        <v>148</v>
      </c>
      <c r="D1694" s="21">
        <v>2835913.5</v>
      </c>
      <c r="E1694" s="21">
        <v>-2835913.5</v>
      </c>
      <c r="F1694" s="21">
        <v>0</v>
      </c>
    </row>
    <row r="1695" spans="1:6" x14ac:dyDescent="0.25">
      <c r="A1695">
        <v>1846</v>
      </c>
      <c r="B1695" s="16">
        <v>43466</v>
      </c>
      <c r="C1695" t="s">
        <v>161</v>
      </c>
      <c r="D1695" s="21">
        <v>5118750</v>
      </c>
      <c r="E1695" s="21">
        <v>-5118750</v>
      </c>
      <c r="F1695" s="21">
        <v>0</v>
      </c>
    </row>
    <row r="1696" spans="1:6" x14ac:dyDescent="0.25">
      <c r="A1696">
        <v>1846</v>
      </c>
      <c r="B1696" s="16">
        <v>43497</v>
      </c>
      <c r="C1696" t="s">
        <v>154</v>
      </c>
      <c r="D1696" s="21">
        <v>3213000</v>
      </c>
      <c r="E1696" s="21">
        <v>-3213000</v>
      </c>
      <c r="F1696" s="21">
        <v>0</v>
      </c>
    </row>
    <row r="1697" spans="1:6" x14ac:dyDescent="0.25">
      <c r="A1697">
        <v>1846</v>
      </c>
      <c r="B1697" s="16">
        <v>43497</v>
      </c>
      <c r="C1697" t="s">
        <v>155</v>
      </c>
      <c r="D1697" s="21">
        <v>2173500</v>
      </c>
      <c r="E1697" s="21">
        <v>-2173500</v>
      </c>
      <c r="F1697" s="21">
        <v>0</v>
      </c>
    </row>
    <row r="1698" spans="1:6" x14ac:dyDescent="0.25">
      <c r="A1698">
        <v>1846</v>
      </c>
      <c r="B1698" s="16">
        <v>43497</v>
      </c>
      <c r="C1698" t="s">
        <v>146</v>
      </c>
      <c r="D1698" s="21">
        <v>5868450</v>
      </c>
      <c r="E1698" s="21">
        <v>-5868450</v>
      </c>
      <c r="F1698" s="21">
        <v>0</v>
      </c>
    </row>
    <row r="1699" spans="1:6" x14ac:dyDescent="0.25">
      <c r="A1699">
        <v>1846</v>
      </c>
      <c r="B1699" s="16">
        <v>43497</v>
      </c>
      <c r="C1699" t="s">
        <v>156</v>
      </c>
      <c r="D1699" s="21">
        <v>3780000</v>
      </c>
      <c r="E1699" s="21">
        <v>-3780000</v>
      </c>
      <c r="F1699" s="21">
        <v>0</v>
      </c>
    </row>
    <row r="1700" spans="1:6" x14ac:dyDescent="0.25">
      <c r="A1700">
        <v>1846</v>
      </c>
      <c r="B1700" s="16">
        <v>43497</v>
      </c>
      <c r="C1700" t="s">
        <v>83</v>
      </c>
      <c r="D1700" s="21">
        <v>19561500</v>
      </c>
      <c r="E1700" s="21">
        <v>-19561500</v>
      </c>
      <c r="F1700" s="21">
        <v>0</v>
      </c>
    </row>
    <row r="1701" spans="1:6" x14ac:dyDescent="0.25">
      <c r="A1701">
        <v>1846</v>
      </c>
      <c r="B1701" s="16">
        <v>43497</v>
      </c>
      <c r="C1701" t="s">
        <v>157</v>
      </c>
      <c r="D1701" s="21">
        <v>1890000</v>
      </c>
      <c r="E1701" s="21">
        <v>-1890000</v>
      </c>
      <c r="F1701" s="21">
        <v>0</v>
      </c>
    </row>
    <row r="1702" spans="1:6" x14ac:dyDescent="0.25">
      <c r="A1702">
        <v>1846</v>
      </c>
      <c r="B1702" s="16">
        <v>43497</v>
      </c>
      <c r="C1702" t="s">
        <v>149</v>
      </c>
      <c r="D1702" s="21">
        <v>5868450</v>
      </c>
      <c r="E1702" s="21">
        <v>-5868450</v>
      </c>
      <c r="F1702" s="21">
        <v>0</v>
      </c>
    </row>
    <row r="1703" spans="1:6" x14ac:dyDescent="0.25">
      <c r="A1703">
        <v>1846</v>
      </c>
      <c r="B1703" s="16">
        <v>43497</v>
      </c>
      <c r="C1703" t="s">
        <v>192</v>
      </c>
      <c r="D1703" s="21">
        <v>29900000</v>
      </c>
      <c r="E1703" s="21">
        <v>-29900000</v>
      </c>
      <c r="F1703" s="21">
        <v>0</v>
      </c>
    </row>
    <row r="1704" spans="1:6" x14ac:dyDescent="0.25">
      <c r="A1704">
        <v>1846</v>
      </c>
      <c r="B1704" s="16">
        <v>43497</v>
      </c>
      <c r="C1704" t="s">
        <v>151</v>
      </c>
      <c r="D1704" s="21">
        <v>3780000</v>
      </c>
      <c r="E1704" s="21">
        <v>-3780000</v>
      </c>
      <c r="F1704" s="21">
        <v>0</v>
      </c>
    </row>
    <row r="1705" spans="1:6" x14ac:dyDescent="0.25">
      <c r="A1705">
        <v>1846</v>
      </c>
      <c r="B1705" s="16">
        <v>43497</v>
      </c>
      <c r="C1705" t="s">
        <v>158</v>
      </c>
      <c r="D1705" s="21">
        <v>1265688.9000000001</v>
      </c>
      <c r="E1705" s="21">
        <v>-1265688.9000000001</v>
      </c>
      <c r="F1705" s="21">
        <v>0</v>
      </c>
    </row>
    <row r="1706" spans="1:6" x14ac:dyDescent="0.25">
      <c r="A1706">
        <v>1846</v>
      </c>
      <c r="B1706" s="16">
        <v>43497</v>
      </c>
      <c r="C1706" t="s">
        <v>153</v>
      </c>
      <c r="D1706" s="21">
        <v>5460525</v>
      </c>
      <c r="E1706" s="21">
        <v>-5460525</v>
      </c>
      <c r="F1706" s="21">
        <v>0</v>
      </c>
    </row>
    <row r="1707" spans="1:6" x14ac:dyDescent="0.25">
      <c r="A1707">
        <v>1846</v>
      </c>
      <c r="B1707" s="16">
        <v>43497</v>
      </c>
      <c r="C1707" t="s">
        <v>273</v>
      </c>
      <c r="D1707" s="21">
        <v>8437922.3250000011</v>
      </c>
      <c r="E1707" s="21">
        <v>-8437922.3250000011</v>
      </c>
      <c r="F1707" s="21">
        <v>0</v>
      </c>
    </row>
    <row r="1708" spans="1:6" x14ac:dyDescent="0.25">
      <c r="A1708">
        <v>1846</v>
      </c>
      <c r="B1708" s="16">
        <v>43497</v>
      </c>
      <c r="C1708" t="s">
        <v>12</v>
      </c>
      <c r="D1708" s="21">
        <v>19561500</v>
      </c>
      <c r="E1708" s="21">
        <v>-19561500</v>
      </c>
      <c r="F1708" s="21">
        <v>0</v>
      </c>
    </row>
    <row r="1709" spans="1:6" x14ac:dyDescent="0.25">
      <c r="A1709">
        <v>1846</v>
      </c>
      <c r="B1709" s="16">
        <v>43497</v>
      </c>
      <c r="C1709" t="s">
        <v>140</v>
      </c>
      <c r="D1709" s="21">
        <v>6177149.9999999991</v>
      </c>
      <c r="E1709" s="21">
        <v>-6177149.9999999991</v>
      </c>
      <c r="F1709" s="21">
        <v>0</v>
      </c>
    </row>
    <row r="1710" spans="1:6" x14ac:dyDescent="0.25">
      <c r="A1710">
        <v>1846</v>
      </c>
      <c r="B1710" s="16">
        <v>43497</v>
      </c>
      <c r="C1710" t="s">
        <v>150</v>
      </c>
      <c r="D1710" s="21">
        <v>2531377.8000000003</v>
      </c>
      <c r="E1710" s="21">
        <v>-2531377.8000000003</v>
      </c>
      <c r="F1710" s="21">
        <v>0</v>
      </c>
    </row>
    <row r="1711" spans="1:6" x14ac:dyDescent="0.25">
      <c r="A1711">
        <v>1846</v>
      </c>
      <c r="B1711" s="16">
        <v>43497</v>
      </c>
      <c r="C1711" t="s">
        <v>159</v>
      </c>
      <c r="D1711" s="21">
        <v>5827500</v>
      </c>
      <c r="E1711" s="21">
        <v>-5827500</v>
      </c>
      <c r="F1711" s="21">
        <v>0</v>
      </c>
    </row>
    <row r="1712" spans="1:6" x14ac:dyDescent="0.25">
      <c r="A1712">
        <v>1846</v>
      </c>
      <c r="B1712" s="16">
        <v>43497</v>
      </c>
      <c r="C1712" t="s">
        <v>145</v>
      </c>
      <c r="D1712" s="21">
        <v>3780000</v>
      </c>
      <c r="E1712" s="21">
        <v>-3780000</v>
      </c>
      <c r="F1712" s="21">
        <v>0</v>
      </c>
    </row>
    <row r="1713" spans="1:6" x14ac:dyDescent="0.25">
      <c r="A1713">
        <v>1846</v>
      </c>
      <c r="B1713" s="16">
        <v>43497</v>
      </c>
      <c r="C1713" t="s">
        <v>160</v>
      </c>
      <c r="D1713" s="21">
        <v>5118750</v>
      </c>
      <c r="E1713" s="21">
        <v>-5118750</v>
      </c>
      <c r="F1713" s="21">
        <v>0</v>
      </c>
    </row>
    <row r="1714" spans="1:6" x14ac:dyDescent="0.25">
      <c r="A1714">
        <v>1846</v>
      </c>
      <c r="B1714" s="16">
        <v>43497</v>
      </c>
      <c r="C1714" t="s">
        <v>152</v>
      </c>
      <c r="D1714" s="21">
        <v>2173500</v>
      </c>
      <c r="E1714" s="21">
        <v>-2173500</v>
      </c>
      <c r="F1714" s="21">
        <v>0</v>
      </c>
    </row>
    <row r="1715" spans="1:6" x14ac:dyDescent="0.25">
      <c r="A1715">
        <v>1846</v>
      </c>
      <c r="B1715" s="16">
        <v>43497</v>
      </c>
      <c r="C1715" t="s">
        <v>88</v>
      </c>
      <c r="D1715" s="21">
        <v>7245000</v>
      </c>
      <c r="E1715" s="21">
        <v>-7245000</v>
      </c>
      <c r="F1715" s="21">
        <v>0</v>
      </c>
    </row>
    <row r="1716" spans="1:6" x14ac:dyDescent="0.25">
      <c r="A1716">
        <v>1846</v>
      </c>
      <c r="B1716" s="16">
        <v>43497</v>
      </c>
      <c r="C1716" t="s">
        <v>148</v>
      </c>
      <c r="D1716" s="21">
        <v>2835913.5</v>
      </c>
      <c r="E1716" s="21">
        <v>-2835913.5</v>
      </c>
      <c r="F1716" s="21">
        <v>0</v>
      </c>
    </row>
    <row r="1717" spans="1:6" x14ac:dyDescent="0.25">
      <c r="A1717">
        <v>1846</v>
      </c>
      <c r="B1717" s="16">
        <v>43497</v>
      </c>
      <c r="C1717" t="s">
        <v>161</v>
      </c>
      <c r="D1717" s="21">
        <v>5118750</v>
      </c>
      <c r="E1717" s="21">
        <v>-5118750</v>
      </c>
      <c r="F1717" s="21">
        <v>0</v>
      </c>
    </row>
    <row r="1718" spans="1:6" x14ac:dyDescent="0.25">
      <c r="A1718">
        <v>1846</v>
      </c>
      <c r="B1718" s="16">
        <v>43525</v>
      </c>
      <c r="C1718" t="s">
        <v>152</v>
      </c>
      <c r="D1718" s="21">
        <v>2173500</v>
      </c>
      <c r="E1718" s="21">
        <v>-2173500</v>
      </c>
      <c r="F1718" s="21">
        <v>0</v>
      </c>
    </row>
    <row r="1719" spans="1:6" x14ac:dyDescent="0.25">
      <c r="A1719">
        <v>1846</v>
      </c>
      <c r="B1719" s="16">
        <v>43525</v>
      </c>
      <c r="C1719" t="s">
        <v>153</v>
      </c>
      <c r="D1719" s="21">
        <v>5460525</v>
      </c>
      <c r="E1719" s="21">
        <v>-5460525</v>
      </c>
      <c r="F1719" s="21">
        <v>0</v>
      </c>
    </row>
    <row r="1720" spans="1:6" x14ac:dyDescent="0.25">
      <c r="A1720">
        <v>1846</v>
      </c>
      <c r="B1720" s="16">
        <v>43525</v>
      </c>
      <c r="C1720" t="s">
        <v>146</v>
      </c>
      <c r="D1720" s="21">
        <v>5868450</v>
      </c>
      <c r="E1720" s="21">
        <v>-5868450</v>
      </c>
      <c r="F1720" s="21">
        <v>0</v>
      </c>
    </row>
    <row r="1721" spans="1:6" x14ac:dyDescent="0.25">
      <c r="A1721">
        <v>1846</v>
      </c>
      <c r="B1721" s="16">
        <v>43525</v>
      </c>
      <c r="C1721" t="s">
        <v>154</v>
      </c>
      <c r="D1721" s="21">
        <v>3213000</v>
      </c>
      <c r="E1721" s="21">
        <v>-3213000</v>
      </c>
      <c r="F1721" s="21">
        <v>0</v>
      </c>
    </row>
    <row r="1722" spans="1:6" x14ac:dyDescent="0.25">
      <c r="A1722">
        <v>1846</v>
      </c>
      <c r="B1722" s="16">
        <v>43525</v>
      </c>
      <c r="C1722" t="s">
        <v>12</v>
      </c>
      <c r="D1722" s="21">
        <v>19561500</v>
      </c>
      <c r="E1722" s="21">
        <v>-19561500</v>
      </c>
      <c r="F1722" s="21">
        <v>0</v>
      </c>
    </row>
    <row r="1723" spans="1:6" x14ac:dyDescent="0.25">
      <c r="A1723">
        <v>1846</v>
      </c>
      <c r="B1723" s="16">
        <v>43525</v>
      </c>
      <c r="C1723" t="s">
        <v>155</v>
      </c>
      <c r="D1723" s="21">
        <v>2173500</v>
      </c>
      <c r="E1723" s="21">
        <v>-2173500</v>
      </c>
      <c r="F1723" s="21">
        <v>0</v>
      </c>
    </row>
    <row r="1724" spans="1:6" x14ac:dyDescent="0.25">
      <c r="A1724">
        <v>1846</v>
      </c>
      <c r="B1724" s="16">
        <v>43525</v>
      </c>
      <c r="C1724" t="s">
        <v>150</v>
      </c>
      <c r="D1724" s="21">
        <v>2531377.8000000003</v>
      </c>
      <c r="E1724" s="21">
        <v>-2531377.8000000003</v>
      </c>
      <c r="F1724" s="21">
        <v>0</v>
      </c>
    </row>
    <row r="1725" spans="1:6" x14ac:dyDescent="0.25">
      <c r="A1725">
        <v>1846</v>
      </c>
      <c r="B1725" s="16">
        <v>43525</v>
      </c>
      <c r="C1725" t="s">
        <v>156</v>
      </c>
      <c r="D1725" s="21">
        <v>3780000</v>
      </c>
      <c r="E1725" s="21">
        <v>-3780000</v>
      </c>
      <c r="F1725" s="21">
        <v>0</v>
      </c>
    </row>
    <row r="1726" spans="1:6" x14ac:dyDescent="0.25">
      <c r="A1726">
        <v>1846</v>
      </c>
      <c r="B1726" s="16">
        <v>43525</v>
      </c>
      <c r="C1726" t="s">
        <v>145</v>
      </c>
      <c r="D1726" s="21">
        <v>3780000</v>
      </c>
      <c r="E1726" s="21">
        <v>-3780000</v>
      </c>
      <c r="F1726" s="21">
        <v>0</v>
      </c>
    </row>
    <row r="1727" spans="1:6" x14ac:dyDescent="0.25">
      <c r="A1727">
        <v>1846</v>
      </c>
      <c r="B1727" s="16">
        <v>43525</v>
      </c>
      <c r="C1727" t="s">
        <v>157</v>
      </c>
      <c r="D1727" s="21">
        <v>1890000</v>
      </c>
      <c r="E1727" s="21">
        <v>-1890000</v>
      </c>
      <c r="F1727" s="21">
        <v>0</v>
      </c>
    </row>
    <row r="1728" spans="1:6" x14ac:dyDescent="0.25">
      <c r="A1728">
        <v>1846</v>
      </c>
      <c r="B1728" s="16">
        <v>43525</v>
      </c>
      <c r="C1728" t="s">
        <v>149</v>
      </c>
      <c r="D1728" s="21">
        <v>5868450</v>
      </c>
      <c r="E1728" s="21">
        <v>-5868450</v>
      </c>
      <c r="F1728" s="21">
        <v>0</v>
      </c>
    </row>
    <row r="1729" spans="1:6" x14ac:dyDescent="0.25">
      <c r="A1729">
        <v>1846</v>
      </c>
      <c r="B1729" s="16">
        <v>43525</v>
      </c>
      <c r="C1729" t="s">
        <v>192</v>
      </c>
      <c r="D1729" s="21">
        <v>29900000</v>
      </c>
      <c r="E1729" s="21">
        <v>-29900000</v>
      </c>
      <c r="F1729" s="21">
        <v>0</v>
      </c>
    </row>
    <row r="1730" spans="1:6" x14ac:dyDescent="0.25">
      <c r="A1730">
        <v>1846</v>
      </c>
      <c r="B1730" s="16">
        <v>43525</v>
      </c>
      <c r="C1730" t="s">
        <v>147</v>
      </c>
      <c r="D1730" s="21">
        <v>1535625</v>
      </c>
      <c r="E1730" s="21">
        <v>-1535625</v>
      </c>
      <c r="F1730" s="21">
        <v>0</v>
      </c>
    </row>
    <row r="1731" spans="1:6" x14ac:dyDescent="0.25">
      <c r="A1731">
        <v>1846</v>
      </c>
      <c r="B1731" s="16">
        <v>43525</v>
      </c>
      <c r="C1731" t="s">
        <v>158</v>
      </c>
      <c r="D1731" s="21">
        <v>1265688.9000000001</v>
      </c>
      <c r="E1731" s="21">
        <v>-1265688.9000000001</v>
      </c>
      <c r="F1731" s="21">
        <v>0</v>
      </c>
    </row>
    <row r="1732" spans="1:6" x14ac:dyDescent="0.25">
      <c r="A1732">
        <v>1846</v>
      </c>
      <c r="B1732" s="16">
        <v>43525</v>
      </c>
      <c r="C1732" t="s">
        <v>151</v>
      </c>
      <c r="D1732" s="21">
        <v>3780000</v>
      </c>
      <c r="E1732" s="21">
        <v>-3780000</v>
      </c>
      <c r="F1732" s="21">
        <v>0</v>
      </c>
    </row>
    <row r="1733" spans="1:6" x14ac:dyDescent="0.25">
      <c r="A1733">
        <v>1846</v>
      </c>
      <c r="B1733" s="16">
        <v>43525</v>
      </c>
      <c r="C1733" t="s">
        <v>159</v>
      </c>
      <c r="D1733" s="21">
        <v>5827500</v>
      </c>
      <c r="E1733" s="21">
        <v>-5827500</v>
      </c>
      <c r="F1733" s="21">
        <v>0</v>
      </c>
    </row>
    <row r="1734" spans="1:6" x14ac:dyDescent="0.25">
      <c r="A1734">
        <v>1846</v>
      </c>
      <c r="B1734" s="16">
        <v>43556</v>
      </c>
      <c r="C1734" t="s">
        <v>12</v>
      </c>
      <c r="D1734" s="21">
        <v>19561500</v>
      </c>
      <c r="E1734" s="21">
        <v>-19561500</v>
      </c>
      <c r="F1734" s="21">
        <v>0</v>
      </c>
    </row>
    <row r="1735" spans="1:6" x14ac:dyDescent="0.25">
      <c r="A1735">
        <v>1848</v>
      </c>
      <c r="B1735" s="16">
        <v>43466</v>
      </c>
      <c r="C1735" t="s">
        <v>192</v>
      </c>
      <c r="D1735" s="21">
        <v>12773052.833333334</v>
      </c>
      <c r="E1735" s="21">
        <v>-12773052.833333334</v>
      </c>
      <c r="F1735" s="21">
        <v>0</v>
      </c>
    </row>
    <row r="1736" spans="1:6" x14ac:dyDescent="0.25">
      <c r="A1736">
        <v>1848</v>
      </c>
      <c r="B1736" s="16">
        <v>43497</v>
      </c>
      <c r="C1736" t="s">
        <v>192</v>
      </c>
      <c r="D1736" s="21">
        <v>12773052.833333334</v>
      </c>
      <c r="E1736" s="21">
        <v>-12773052.833333334</v>
      </c>
      <c r="F1736" s="21">
        <v>0</v>
      </c>
    </row>
    <row r="1737" spans="1:6" x14ac:dyDescent="0.25">
      <c r="A1737">
        <v>1848</v>
      </c>
      <c r="B1737" s="16">
        <v>43525</v>
      </c>
      <c r="C1737" t="s">
        <v>192</v>
      </c>
      <c r="D1737" s="21">
        <v>12773052.833333334</v>
      </c>
      <c r="E1737" s="21">
        <v>-12773052.833333334</v>
      </c>
      <c r="F1737" s="21">
        <v>0</v>
      </c>
    </row>
    <row r="1738" spans="1:6" x14ac:dyDescent="0.25">
      <c r="A1738">
        <v>1848</v>
      </c>
      <c r="B1738" s="16">
        <v>43556</v>
      </c>
      <c r="C1738" t="s">
        <v>192</v>
      </c>
      <c r="D1738" s="21">
        <v>12773052.833333334</v>
      </c>
      <c r="E1738" s="21">
        <v>-12773052.833333334</v>
      </c>
      <c r="F1738" s="21">
        <v>0</v>
      </c>
    </row>
    <row r="1739" spans="1:6" x14ac:dyDescent="0.25">
      <c r="A1739">
        <v>1848</v>
      </c>
      <c r="B1739" s="16">
        <v>43586</v>
      </c>
      <c r="C1739" t="s">
        <v>192</v>
      </c>
      <c r="D1739" s="21">
        <v>12773052.833333334</v>
      </c>
      <c r="E1739" s="21">
        <v>-12773052.833333334</v>
      </c>
      <c r="F1739" s="21">
        <v>0</v>
      </c>
    </row>
    <row r="1740" spans="1:6" x14ac:dyDescent="0.25">
      <c r="A1740">
        <v>1848</v>
      </c>
      <c r="B1740" s="16">
        <v>43617</v>
      </c>
      <c r="C1740" t="s">
        <v>192</v>
      </c>
      <c r="D1740" s="21">
        <v>12773052.833333334</v>
      </c>
      <c r="E1740" s="21">
        <v>-12773052.833333334</v>
      </c>
      <c r="F1740" s="21">
        <v>0</v>
      </c>
    </row>
    <row r="1741" spans="1:6" x14ac:dyDescent="0.25">
      <c r="A1741">
        <v>1848</v>
      </c>
      <c r="B1741" s="16">
        <v>43647</v>
      </c>
      <c r="C1741" t="s">
        <v>192</v>
      </c>
      <c r="D1741" s="21">
        <v>12773052.833333334</v>
      </c>
      <c r="E1741" s="21">
        <v>-12773052.833333334</v>
      </c>
      <c r="F1741" s="21">
        <v>0</v>
      </c>
    </row>
    <row r="1742" spans="1:6" x14ac:dyDescent="0.25">
      <c r="A1742">
        <v>1848</v>
      </c>
      <c r="B1742" s="16">
        <v>43678</v>
      </c>
      <c r="C1742" t="s">
        <v>192</v>
      </c>
      <c r="D1742" s="21">
        <v>12773052.833333334</v>
      </c>
      <c r="E1742" s="21">
        <v>-12773052.833333334</v>
      </c>
      <c r="F1742" s="21">
        <v>0</v>
      </c>
    </row>
    <row r="1743" spans="1:6" x14ac:dyDescent="0.25">
      <c r="A1743">
        <v>1848</v>
      </c>
      <c r="B1743" s="16">
        <v>43709</v>
      </c>
      <c r="C1743" t="s">
        <v>192</v>
      </c>
      <c r="D1743" s="21">
        <v>12773052.833333334</v>
      </c>
      <c r="E1743" s="21">
        <v>-12773052.833333334</v>
      </c>
      <c r="F1743" s="21">
        <v>0</v>
      </c>
    </row>
    <row r="1744" spans="1:6" x14ac:dyDescent="0.25">
      <c r="A1744">
        <v>1848</v>
      </c>
      <c r="B1744" s="16">
        <v>43739</v>
      </c>
      <c r="C1744" t="s">
        <v>192</v>
      </c>
      <c r="D1744" s="21">
        <v>12773052.833333334</v>
      </c>
      <c r="E1744" s="21">
        <v>-12773052.833333334</v>
      </c>
      <c r="F1744" s="21">
        <v>0</v>
      </c>
    </row>
    <row r="1745" spans="1:6" x14ac:dyDescent="0.25">
      <c r="A1745">
        <v>1848</v>
      </c>
      <c r="B1745" s="16">
        <v>43770</v>
      </c>
      <c r="C1745" t="s">
        <v>192</v>
      </c>
      <c r="D1745" s="21">
        <v>12773052.833333334</v>
      </c>
      <c r="E1745" s="21">
        <v>-12773052.833333334</v>
      </c>
      <c r="F1745" s="21">
        <v>0</v>
      </c>
    </row>
    <row r="1746" spans="1:6" x14ac:dyDescent="0.25">
      <c r="A1746">
        <v>1856</v>
      </c>
      <c r="B1746" s="16">
        <v>43466</v>
      </c>
      <c r="C1746" t="s">
        <v>163</v>
      </c>
      <c r="D1746" s="21">
        <v>3984270.0974999997</v>
      </c>
      <c r="E1746" s="21">
        <v>-3984270.0974999997</v>
      </c>
      <c r="F1746" s="21">
        <v>0</v>
      </c>
    </row>
    <row r="1747" spans="1:6" x14ac:dyDescent="0.25">
      <c r="A1747">
        <v>1856</v>
      </c>
      <c r="B1747" s="16">
        <v>43466</v>
      </c>
      <c r="C1747" t="s">
        <v>12</v>
      </c>
      <c r="D1747" s="21">
        <v>9910003.9500000011</v>
      </c>
      <c r="E1747" s="21">
        <v>-9910003.9500000011</v>
      </c>
      <c r="F1747" s="21">
        <v>0</v>
      </c>
    </row>
    <row r="1748" spans="1:6" x14ac:dyDescent="0.25">
      <c r="A1748">
        <v>1856</v>
      </c>
      <c r="B1748" s="16">
        <v>43466</v>
      </c>
      <c r="C1748" t="s">
        <v>162</v>
      </c>
      <c r="D1748" s="21">
        <v>5019615.5309999995</v>
      </c>
      <c r="E1748" s="21">
        <v>-5019615.5309999995</v>
      </c>
      <c r="F1748" s="21">
        <v>0</v>
      </c>
    </row>
    <row r="1749" spans="1:6" x14ac:dyDescent="0.25">
      <c r="A1749">
        <v>1856</v>
      </c>
      <c r="B1749" s="16">
        <v>43466</v>
      </c>
      <c r="C1749" t="s">
        <v>76</v>
      </c>
      <c r="D1749" s="21">
        <v>4260730.9499999993</v>
      </c>
      <c r="E1749" s="21">
        <v>-4260730.9499999993</v>
      </c>
      <c r="F1749" s="21">
        <v>0</v>
      </c>
    </row>
    <row r="1750" spans="1:6" x14ac:dyDescent="0.25">
      <c r="A1750">
        <v>1856</v>
      </c>
      <c r="B1750" s="16">
        <v>43466</v>
      </c>
      <c r="C1750" t="s">
        <v>24</v>
      </c>
      <c r="D1750" s="21">
        <v>3771772.7985</v>
      </c>
      <c r="E1750" s="21">
        <v>-3771772.7985</v>
      </c>
      <c r="F1750" s="21">
        <v>0</v>
      </c>
    </row>
    <row r="1751" spans="1:6" x14ac:dyDescent="0.25">
      <c r="A1751">
        <v>1856</v>
      </c>
      <c r="B1751" s="16">
        <v>43466</v>
      </c>
      <c r="C1751" t="s">
        <v>192</v>
      </c>
      <c r="D1751" s="21">
        <v>20000000</v>
      </c>
      <c r="E1751" s="21">
        <v>-20000000</v>
      </c>
      <c r="F1751" s="21">
        <v>0</v>
      </c>
    </row>
    <row r="1752" spans="1:6" x14ac:dyDescent="0.25">
      <c r="A1752">
        <v>1856</v>
      </c>
      <c r="B1752" s="16">
        <v>43466</v>
      </c>
      <c r="C1752" t="s">
        <v>39</v>
      </c>
      <c r="D1752" s="21">
        <v>4205787.0750000002</v>
      </c>
      <c r="E1752" s="21">
        <v>-4205787.0750000002</v>
      </c>
      <c r="F1752" s="21">
        <v>0</v>
      </c>
    </row>
    <row r="1753" spans="1:6" x14ac:dyDescent="0.25">
      <c r="A1753">
        <v>1856</v>
      </c>
      <c r="B1753" s="16">
        <v>43497</v>
      </c>
      <c r="C1753" t="s">
        <v>76</v>
      </c>
      <c r="D1753" s="21">
        <v>4260730.9499999993</v>
      </c>
      <c r="E1753" s="21">
        <v>-4260730.9499999993</v>
      </c>
      <c r="F1753" s="21">
        <v>0</v>
      </c>
    </row>
    <row r="1754" spans="1:6" x14ac:dyDescent="0.25">
      <c r="A1754">
        <v>1856</v>
      </c>
      <c r="B1754" s="16">
        <v>43497</v>
      </c>
      <c r="C1754" t="s">
        <v>162</v>
      </c>
      <c r="D1754" s="21">
        <v>5019615.5309999995</v>
      </c>
      <c r="E1754" s="21">
        <v>-5019615.5309999995</v>
      </c>
      <c r="F1754" s="21">
        <v>0</v>
      </c>
    </row>
    <row r="1755" spans="1:6" x14ac:dyDescent="0.25">
      <c r="A1755">
        <v>1856</v>
      </c>
      <c r="B1755" s="16">
        <v>43497</v>
      </c>
      <c r="C1755" t="s">
        <v>192</v>
      </c>
      <c r="D1755" s="21">
        <v>20000000</v>
      </c>
      <c r="E1755" s="21">
        <v>-20000000</v>
      </c>
      <c r="F1755" s="21">
        <v>0</v>
      </c>
    </row>
    <row r="1756" spans="1:6" x14ac:dyDescent="0.25">
      <c r="A1756">
        <v>1856</v>
      </c>
      <c r="B1756" s="16">
        <v>43497</v>
      </c>
      <c r="C1756" t="s">
        <v>24</v>
      </c>
      <c r="D1756" s="21">
        <v>3771772.7985</v>
      </c>
      <c r="E1756" s="21">
        <v>-3771772.7985</v>
      </c>
      <c r="F1756" s="21">
        <v>0</v>
      </c>
    </row>
    <row r="1757" spans="1:6" x14ac:dyDescent="0.25">
      <c r="A1757">
        <v>1856</v>
      </c>
      <c r="B1757" s="16">
        <v>43497</v>
      </c>
      <c r="C1757" t="s">
        <v>12</v>
      </c>
      <c r="D1757" s="21">
        <v>9910003.9500000011</v>
      </c>
      <c r="E1757" s="21">
        <v>-9910003.9500000011</v>
      </c>
      <c r="F1757" s="21">
        <v>0</v>
      </c>
    </row>
    <row r="1758" spans="1:6" x14ac:dyDescent="0.25">
      <c r="A1758">
        <v>1856</v>
      </c>
      <c r="B1758" s="16">
        <v>43497</v>
      </c>
      <c r="C1758" t="s">
        <v>39</v>
      </c>
      <c r="D1758" s="21">
        <v>4205787.0750000002</v>
      </c>
      <c r="E1758" s="21">
        <v>-4205787.0750000002</v>
      </c>
      <c r="F1758" s="21">
        <v>0</v>
      </c>
    </row>
    <row r="1759" spans="1:6" x14ac:dyDescent="0.25">
      <c r="A1759">
        <v>1856</v>
      </c>
      <c r="B1759" s="16">
        <v>43525</v>
      </c>
      <c r="C1759" t="s">
        <v>76</v>
      </c>
      <c r="D1759" s="21">
        <v>4260730.9499999993</v>
      </c>
      <c r="E1759" s="21">
        <v>-4260730.9499999993</v>
      </c>
      <c r="F1759" s="21">
        <v>0</v>
      </c>
    </row>
    <row r="1760" spans="1:6" x14ac:dyDescent="0.25">
      <c r="A1760">
        <v>1856</v>
      </c>
      <c r="B1760" s="16">
        <v>43525</v>
      </c>
      <c r="C1760" t="s">
        <v>162</v>
      </c>
      <c r="D1760" s="21">
        <v>5019615.5309999995</v>
      </c>
      <c r="E1760" s="21">
        <v>-5019615.5309999995</v>
      </c>
      <c r="F1760" s="21">
        <v>0</v>
      </c>
    </row>
    <row r="1761" spans="1:6" x14ac:dyDescent="0.25">
      <c r="A1761">
        <v>1856</v>
      </c>
      <c r="B1761" s="16">
        <v>43525</v>
      </c>
      <c r="C1761" t="s">
        <v>192</v>
      </c>
      <c r="D1761" s="21">
        <v>20000000</v>
      </c>
      <c r="E1761" s="21">
        <v>-20000000</v>
      </c>
      <c r="F1761" s="21">
        <v>0</v>
      </c>
    </row>
    <row r="1762" spans="1:6" x14ac:dyDescent="0.25">
      <c r="A1762">
        <v>1856</v>
      </c>
      <c r="B1762" s="16">
        <v>43525</v>
      </c>
      <c r="C1762" t="s">
        <v>24</v>
      </c>
      <c r="D1762" s="21">
        <v>3771772.7985</v>
      </c>
      <c r="E1762" s="21">
        <v>-3771772.7985</v>
      </c>
      <c r="F1762" s="21">
        <v>0</v>
      </c>
    </row>
    <row r="1763" spans="1:6" x14ac:dyDescent="0.25">
      <c r="A1763">
        <v>1856</v>
      </c>
      <c r="B1763" s="16">
        <v>43525</v>
      </c>
      <c r="C1763" t="s">
        <v>12</v>
      </c>
      <c r="D1763" s="21">
        <v>9910003.9500000011</v>
      </c>
      <c r="E1763" s="21">
        <v>-9910003.9500000011</v>
      </c>
      <c r="F1763" s="21">
        <v>0</v>
      </c>
    </row>
    <row r="1764" spans="1:6" x14ac:dyDescent="0.25">
      <c r="A1764">
        <v>1856</v>
      </c>
      <c r="B1764" s="16">
        <v>43525</v>
      </c>
      <c r="C1764" t="s">
        <v>39</v>
      </c>
      <c r="D1764" s="21">
        <v>4205787.0750000002</v>
      </c>
      <c r="E1764" s="21">
        <v>-4205787.0750000002</v>
      </c>
      <c r="F1764" s="21">
        <v>0</v>
      </c>
    </row>
    <row r="1765" spans="1:6" x14ac:dyDescent="0.25">
      <c r="A1765">
        <v>1856</v>
      </c>
      <c r="B1765" s="16">
        <v>43556</v>
      </c>
      <c r="C1765" t="s">
        <v>162</v>
      </c>
      <c r="D1765" s="21">
        <v>5019615.5309999995</v>
      </c>
      <c r="E1765" s="21">
        <v>-5019615.5309999995</v>
      </c>
      <c r="F1765" s="21">
        <v>0</v>
      </c>
    </row>
    <row r="1766" spans="1:6" x14ac:dyDescent="0.25">
      <c r="A1766">
        <v>1856</v>
      </c>
      <c r="B1766" s="16">
        <v>43556</v>
      </c>
      <c r="C1766" t="s">
        <v>12</v>
      </c>
      <c r="D1766" s="21">
        <v>9910003.9500000011</v>
      </c>
      <c r="E1766" s="21">
        <v>-9910003.9500000011</v>
      </c>
      <c r="F1766" s="21">
        <v>0</v>
      </c>
    </row>
    <row r="1767" spans="1:6" x14ac:dyDescent="0.25">
      <c r="A1767">
        <v>1856</v>
      </c>
      <c r="B1767" s="16">
        <v>43556</v>
      </c>
      <c r="C1767" t="s">
        <v>24</v>
      </c>
      <c r="D1767" s="21">
        <v>3771772.7985</v>
      </c>
      <c r="E1767" s="21">
        <v>-3771772.7985</v>
      </c>
      <c r="F1767" s="21">
        <v>0</v>
      </c>
    </row>
    <row r="1768" spans="1:6" x14ac:dyDescent="0.25">
      <c r="A1768">
        <v>1856</v>
      </c>
      <c r="B1768" s="16">
        <v>43556</v>
      </c>
      <c r="C1768" t="s">
        <v>76</v>
      </c>
      <c r="D1768" s="21">
        <v>4260730.9499999993</v>
      </c>
      <c r="E1768" s="21">
        <v>-4260730.9499999993</v>
      </c>
      <c r="F1768" s="21">
        <v>0</v>
      </c>
    </row>
    <row r="1769" spans="1:6" x14ac:dyDescent="0.25">
      <c r="A1769">
        <v>1856</v>
      </c>
      <c r="B1769" s="16">
        <v>43556</v>
      </c>
      <c r="C1769" t="s">
        <v>39</v>
      </c>
      <c r="D1769" s="21">
        <v>4205787.0750000002</v>
      </c>
      <c r="E1769" s="21">
        <v>-4205787.0750000002</v>
      </c>
      <c r="F1769" s="21">
        <v>0</v>
      </c>
    </row>
    <row r="1770" spans="1:6" x14ac:dyDescent="0.25">
      <c r="A1770">
        <v>1856</v>
      </c>
      <c r="B1770" s="16">
        <v>43556</v>
      </c>
      <c r="C1770" t="s">
        <v>192</v>
      </c>
      <c r="D1770" s="21">
        <v>20000000</v>
      </c>
      <c r="E1770" s="21">
        <v>-20000000</v>
      </c>
      <c r="F1770" s="21">
        <v>0</v>
      </c>
    </row>
    <row r="1771" spans="1:6" x14ac:dyDescent="0.25">
      <c r="A1771">
        <v>1856</v>
      </c>
      <c r="B1771" s="16">
        <v>43556</v>
      </c>
      <c r="C1771" t="s">
        <v>26</v>
      </c>
      <c r="D1771" s="21">
        <v>6444668.4750000006</v>
      </c>
      <c r="E1771" s="21">
        <v>-6444668.4750000006</v>
      </c>
      <c r="F1771" s="21">
        <v>0</v>
      </c>
    </row>
    <row r="1772" spans="1:6" x14ac:dyDescent="0.25">
      <c r="A1772">
        <v>1856</v>
      </c>
      <c r="B1772" s="16">
        <v>43586</v>
      </c>
      <c r="C1772" t="s">
        <v>162</v>
      </c>
      <c r="D1772" s="21">
        <v>5019615.5309999995</v>
      </c>
      <c r="E1772" s="21">
        <v>-5019615.5309999995</v>
      </c>
      <c r="F1772" s="21">
        <v>0</v>
      </c>
    </row>
    <row r="1773" spans="1:6" x14ac:dyDescent="0.25">
      <c r="A1773">
        <v>1856</v>
      </c>
      <c r="B1773" s="16">
        <v>43586</v>
      </c>
      <c r="C1773" t="s">
        <v>12</v>
      </c>
      <c r="D1773" s="21">
        <v>9910003.9500000011</v>
      </c>
      <c r="E1773" s="21">
        <v>-9910003.9500000011</v>
      </c>
      <c r="F1773" s="21">
        <v>0</v>
      </c>
    </row>
    <row r="1774" spans="1:6" x14ac:dyDescent="0.25">
      <c r="A1774">
        <v>1856</v>
      </c>
      <c r="B1774" s="16">
        <v>43586</v>
      </c>
      <c r="C1774" t="s">
        <v>24</v>
      </c>
      <c r="D1774" s="21">
        <v>3771772.7985</v>
      </c>
      <c r="E1774" s="21">
        <v>-3771772.7985</v>
      </c>
      <c r="F1774" s="21">
        <v>0</v>
      </c>
    </row>
    <row r="1775" spans="1:6" x14ac:dyDescent="0.25">
      <c r="A1775">
        <v>1856</v>
      </c>
      <c r="B1775" s="16">
        <v>43586</v>
      </c>
      <c r="C1775" t="s">
        <v>76</v>
      </c>
      <c r="D1775" s="21">
        <v>4260730.9499999993</v>
      </c>
      <c r="E1775" s="21">
        <v>-4260730.9499999993</v>
      </c>
      <c r="F1775" s="21">
        <v>0</v>
      </c>
    </row>
    <row r="1776" spans="1:6" x14ac:dyDescent="0.25">
      <c r="A1776">
        <v>1856</v>
      </c>
      <c r="B1776" s="16">
        <v>43586</v>
      </c>
      <c r="C1776" t="s">
        <v>39</v>
      </c>
      <c r="D1776" s="21">
        <v>4205787.0750000002</v>
      </c>
      <c r="E1776" s="21">
        <v>-4205787.0750000002</v>
      </c>
      <c r="F1776" s="21">
        <v>0</v>
      </c>
    </row>
    <row r="1777" spans="1:6" x14ac:dyDescent="0.25">
      <c r="A1777">
        <v>1856</v>
      </c>
      <c r="B1777" s="16">
        <v>43586</v>
      </c>
      <c r="C1777" t="s">
        <v>192</v>
      </c>
      <c r="D1777" s="21">
        <v>20000000</v>
      </c>
      <c r="E1777" s="21">
        <v>-20000000</v>
      </c>
      <c r="F1777" s="21">
        <v>0</v>
      </c>
    </row>
    <row r="1778" spans="1:6" x14ac:dyDescent="0.25">
      <c r="A1778">
        <v>1856</v>
      </c>
      <c r="B1778" s="16">
        <v>43586</v>
      </c>
      <c r="C1778" t="s">
        <v>26</v>
      </c>
      <c r="D1778" s="21">
        <v>6444668.4750000006</v>
      </c>
      <c r="E1778" s="21">
        <v>-6444668.4750000006</v>
      </c>
      <c r="F1778" s="21">
        <v>0</v>
      </c>
    </row>
    <row r="1779" spans="1:6" x14ac:dyDescent="0.25">
      <c r="A1779">
        <v>1856</v>
      </c>
      <c r="B1779" s="16">
        <v>43617</v>
      </c>
      <c r="C1779" t="s">
        <v>162</v>
      </c>
      <c r="D1779" s="21">
        <v>5019615.5309999995</v>
      </c>
      <c r="E1779" s="21">
        <v>-5019615.5309999995</v>
      </c>
      <c r="F1779" s="21">
        <v>0</v>
      </c>
    </row>
    <row r="1780" spans="1:6" x14ac:dyDescent="0.25">
      <c r="A1780">
        <v>1856</v>
      </c>
      <c r="B1780" s="16">
        <v>43617</v>
      </c>
      <c r="C1780" t="s">
        <v>12</v>
      </c>
      <c r="D1780" s="21">
        <v>9910003.9500000011</v>
      </c>
      <c r="E1780" s="21">
        <v>-9910003.9500000011</v>
      </c>
      <c r="F1780" s="21">
        <v>0</v>
      </c>
    </row>
    <row r="1781" spans="1:6" x14ac:dyDescent="0.25">
      <c r="A1781">
        <v>1856</v>
      </c>
      <c r="B1781" s="16">
        <v>43617</v>
      </c>
      <c r="C1781" t="s">
        <v>24</v>
      </c>
      <c r="D1781" s="21">
        <v>3771772.7985</v>
      </c>
      <c r="E1781" s="21">
        <v>-3771772.7985</v>
      </c>
      <c r="F1781" s="21">
        <v>0</v>
      </c>
    </row>
    <row r="1782" spans="1:6" x14ac:dyDescent="0.25">
      <c r="A1782">
        <v>1856</v>
      </c>
      <c r="B1782" s="16">
        <v>43617</v>
      </c>
      <c r="C1782" t="s">
        <v>76</v>
      </c>
      <c r="D1782" s="21">
        <v>4260730.9499999993</v>
      </c>
      <c r="E1782" s="21">
        <v>-4260730.9499999993</v>
      </c>
      <c r="F1782" s="21">
        <v>0</v>
      </c>
    </row>
    <row r="1783" spans="1:6" x14ac:dyDescent="0.25">
      <c r="A1783">
        <v>1856</v>
      </c>
      <c r="B1783" s="16">
        <v>43617</v>
      </c>
      <c r="C1783" t="s">
        <v>39</v>
      </c>
      <c r="D1783" s="21">
        <v>4205787.0750000002</v>
      </c>
      <c r="E1783" s="21">
        <v>-4205787.0750000002</v>
      </c>
      <c r="F1783" s="21">
        <v>0</v>
      </c>
    </row>
    <row r="1784" spans="1:6" x14ac:dyDescent="0.25">
      <c r="A1784">
        <v>1856</v>
      </c>
      <c r="B1784" s="16">
        <v>43617</v>
      </c>
      <c r="C1784" t="s">
        <v>192</v>
      </c>
      <c r="D1784" s="21">
        <v>20000000</v>
      </c>
      <c r="E1784" s="21">
        <v>-20000000</v>
      </c>
      <c r="F1784" s="21">
        <v>0</v>
      </c>
    </row>
    <row r="1785" spans="1:6" x14ac:dyDescent="0.25">
      <c r="A1785">
        <v>1856</v>
      </c>
      <c r="B1785" s="16">
        <v>43617</v>
      </c>
      <c r="C1785" t="s">
        <v>26</v>
      </c>
      <c r="D1785" s="21">
        <v>6444668.4750000006</v>
      </c>
      <c r="E1785" s="21">
        <v>-6444668.4750000006</v>
      </c>
      <c r="F1785" s="21">
        <v>0</v>
      </c>
    </row>
    <row r="1786" spans="1:6" x14ac:dyDescent="0.25">
      <c r="A1786">
        <v>1856</v>
      </c>
      <c r="B1786" s="16">
        <v>43647</v>
      </c>
      <c r="C1786" t="s">
        <v>162</v>
      </c>
      <c r="D1786" s="21">
        <v>5019615.5309999995</v>
      </c>
      <c r="E1786" s="21">
        <v>-5019615.5309999995</v>
      </c>
      <c r="F1786" s="21">
        <v>0</v>
      </c>
    </row>
    <row r="1787" spans="1:6" x14ac:dyDescent="0.25">
      <c r="A1787">
        <v>1856</v>
      </c>
      <c r="B1787" s="16">
        <v>43647</v>
      </c>
      <c r="C1787" t="s">
        <v>12</v>
      </c>
      <c r="D1787" s="21">
        <v>9910003.9500000011</v>
      </c>
      <c r="E1787" s="21">
        <v>-9910003.9500000011</v>
      </c>
      <c r="F1787" s="21">
        <v>0</v>
      </c>
    </row>
    <row r="1788" spans="1:6" x14ac:dyDescent="0.25">
      <c r="A1788">
        <v>1856</v>
      </c>
      <c r="B1788" s="16">
        <v>43647</v>
      </c>
      <c r="C1788" t="s">
        <v>24</v>
      </c>
      <c r="D1788" s="21">
        <v>3771772.7985</v>
      </c>
      <c r="E1788" s="21">
        <v>-3771772.7985</v>
      </c>
      <c r="F1788" s="21">
        <v>0</v>
      </c>
    </row>
    <row r="1789" spans="1:6" x14ac:dyDescent="0.25">
      <c r="A1789">
        <v>1856</v>
      </c>
      <c r="B1789" s="16">
        <v>43647</v>
      </c>
      <c r="C1789" t="s">
        <v>76</v>
      </c>
      <c r="D1789" s="21">
        <v>4260730.9499999993</v>
      </c>
      <c r="E1789" s="21">
        <v>-4260730.9499999993</v>
      </c>
      <c r="F1789" s="21">
        <v>0</v>
      </c>
    </row>
    <row r="1790" spans="1:6" x14ac:dyDescent="0.25">
      <c r="A1790">
        <v>1856</v>
      </c>
      <c r="B1790" s="16">
        <v>43647</v>
      </c>
      <c r="C1790" t="s">
        <v>39</v>
      </c>
      <c r="D1790" s="21">
        <v>4205787.0750000002</v>
      </c>
      <c r="E1790" s="21">
        <v>-4205787.0750000002</v>
      </c>
      <c r="F1790" s="21">
        <v>0</v>
      </c>
    </row>
    <row r="1791" spans="1:6" x14ac:dyDescent="0.25">
      <c r="A1791">
        <v>1856</v>
      </c>
      <c r="B1791" s="16">
        <v>43647</v>
      </c>
      <c r="C1791" t="s">
        <v>192</v>
      </c>
      <c r="D1791" s="21">
        <v>20000000</v>
      </c>
      <c r="E1791" s="21">
        <v>-20000000</v>
      </c>
      <c r="F1791" s="21">
        <v>0</v>
      </c>
    </row>
    <row r="1792" spans="1:6" x14ac:dyDescent="0.25">
      <c r="A1792">
        <v>1856</v>
      </c>
      <c r="B1792" s="16">
        <v>43647</v>
      </c>
      <c r="C1792" t="s">
        <v>26</v>
      </c>
      <c r="D1792" s="21">
        <v>6444668.4750000006</v>
      </c>
      <c r="E1792" s="21">
        <v>-6444668.4750000006</v>
      </c>
      <c r="F1792" s="21">
        <v>0</v>
      </c>
    </row>
    <row r="1793" spans="1:6" x14ac:dyDescent="0.25">
      <c r="A1793">
        <v>1856</v>
      </c>
      <c r="B1793" s="16">
        <v>43678</v>
      </c>
      <c r="C1793" t="s">
        <v>162</v>
      </c>
      <c r="D1793" s="21">
        <v>5019615.5309999995</v>
      </c>
      <c r="E1793" s="21">
        <v>-5019615.5309999995</v>
      </c>
      <c r="F1793" s="21">
        <v>0</v>
      </c>
    </row>
    <row r="1794" spans="1:6" x14ac:dyDescent="0.25">
      <c r="A1794">
        <v>1856</v>
      </c>
      <c r="B1794" s="16">
        <v>43678</v>
      </c>
      <c r="C1794" t="s">
        <v>12</v>
      </c>
      <c r="D1794" s="21">
        <v>9910003.9500000011</v>
      </c>
      <c r="E1794" s="21">
        <v>-9910003.9500000011</v>
      </c>
      <c r="F1794" s="21">
        <v>0</v>
      </c>
    </row>
    <row r="1795" spans="1:6" x14ac:dyDescent="0.25">
      <c r="A1795">
        <v>1856</v>
      </c>
      <c r="B1795" s="16">
        <v>43678</v>
      </c>
      <c r="C1795" t="s">
        <v>24</v>
      </c>
      <c r="D1795" s="21">
        <v>3771772.7985</v>
      </c>
      <c r="E1795" s="21">
        <v>-3771772.7985</v>
      </c>
      <c r="F1795" s="21">
        <v>0</v>
      </c>
    </row>
    <row r="1796" spans="1:6" x14ac:dyDescent="0.25">
      <c r="A1796">
        <v>1856</v>
      </c>
      <c r="B1796" s="16">
        <v>43678</v>
      </c>
      <c r="C1796" t="s">
        <v>76</v>
      </c>
      <c r="D1796" s="21">
        <v>4260730.9499999993</v>
      </c>
      <c r="E1796" s="21">
        <v>-4260730.9499999993</v>
      </c>
      <c r="F1796" s="21">
        <v>0</v>
      </c>
    </row>
    <row r="1797" spans="1:6" x14ac:dyDescent="0.25">
      <c r="A1797">
        <v>1856</v>
      </c>
      <c r="B1797" s="16">
        <v>43678</v>
      </c>
      <c r="C1797" t="s">
        <v>39</v>
      </c>
      <c r="D1797" s="21">
        <v>4205787.0750000002</v>
      </c>
      <c r="E1797" s="21">
        <v>-4205787.0750000002</v>
      </c>
      <c r="F1797" s="21">
        <v>0</v>
      </c>
    </row>
    <row r="1798" spans="1:6" x14ac:dyDescent="0.25">
      <c r="A1798">
        <v>1856</v>
      </c>
      <c r="B1798" s="16">
        <v>43678</v>
      </c>
      <c r="C1798" t="s">
        <v>192</v>
      </c>
      <c r="D1798" s="21">
        <v>20000000</v>
      </c>
      <c r="E1798" s="21">
        <v>-20000000</v>
      </c>
      <c r="F1798" s="21">
        <v>0</v>
      </c>
    </row>
    <row r="1799" spans="1:6" x14ac:dyDescent="0.25">
      <c r="A1799">
        <v>1856</v>
      </c>
      <c r="B1799" s="16">
        <v>43678</v>
      </c>
      <c r="C1799" t="s">
        <v>26</v>
      </c>
      <c r="D1799" s="21">
        <v>6444668.4750000006</v>
      </c>
      <c r="E1799" s="21">
        <v>-6444668.4750000006</v>
      </c>
      <c r="F1799" s="21">
        <v>0</v>
      </c>
    </row>
    <row r="1800" spans="1:6" x14ac:dyDescent="0.25">
      <c r="A1800">
        <v>1856</v>
      </c>
      <c r="B1800" s="16">
        <v>43709</v>
      </c>
      <c r="C1800" t="s">
        <v>162</v>
      </c>
      <c r="D1800" s="21">
        <v>5019615.5309999995</v>
      </c>
      <c r="E1800" s="21">
        <v>-5019615.5309999995</v>
      </c>
      <c r="F1800" s="21">
        <v>0</v>
      </c>
    </row>
    <row r="1801" spans="1:6" x14ac:dyDescent="0.25">
      <c r="A1801">
        <v>1856</v>
      </c>
      <c r="B1801" s="16">
        <v>43709</v>
      </c>
      <c r="C1801" t="s">
        <v>24</v>
      </c>
      <c r="D1801" s="21">
        <v>3771772.7985</v>
      </c>
      <c r="E1801" s="21">
        <v>-3771772.7985</v>
      </c>
      <c r="F1801" s="21">
        <v>0</v>
      </c>
    </row>
    <row r="1802" spans="1:6" x14ac:dyDescent="0.25">
      <c r="A1802">
        <v>1856</v>
      </c>
      <c r="B1802" s="16">
        <v>43709</v>
      </c>
      <c r="C1802" t="s">
        <v>192</v>
      </c>
      <c r="D1802" s="21">
        <v>20000000</v>
      </c>
      <c r="E1802" s="21">
        <v>-20000000</v>
      </c>
      <c r="F1802" s="21">
        <v>0</v>
      </c>
    </row>
    <row r="1803" spans="1:6" x14ac:dyDescent="0.25">
      <c r="A1803">
        <v>1856</v>
      </c>
      <c r="B1803" s="16">
        <v>43709</v>
      </c>
      <c r="C1803" t="s">
        <v>39</v>
      </c>
      <c r="D1803" s="21">
        <v>4205787.0750000002</v>
      </c>
      <c r="E1803" s="21">
        <v>-4205787.0750000002</v>
      </c>
      <c r="F1803" s="21">
        <v>0</v>
      </c>
    </row>
    <row r="1804" spans="1:6" x14ac:dyDescent="0.25">
      <c r="A1804">
        <v>1856</v>
      </c>
      <c r="B1804" s="16">
        <v>43709</v>
      </c>
      <c r="C1804" t="s">
        <v>12</v>
      </c>
      <c r="D1804" s="21">
        <v>9910003.9500000011</v>
      </c>
      <c r="E1804" s="21">
        <v>-9910003.9500000011</v>
      </c>
      <c r="F1804" s="21">
        <v>0</v>
      </c>
    </row>
    <row r="1805" spans="1:6" x14ac:dyDescent="0.25">
      <c r="A1805">
        <v>1856</v>
      </c>
      <c r="B1805" s="16">
        <v>43709</v>
      </c>
      <c r="C1805" t="s">
        <v>26</v>
      </c>
      <c r="D1805" s="21">
        <v>6444668.4750000006</v>
      </c>
      <c r="E1805" s="21">
        <v>-6444668.4750000006</v>
      </c>
      <c r="F1805" s="21">
        <v>0</v>
      </c>
    </row>
    <row r="1806" spans="1:6" x14ac:dyDescent="0.25">
      <c r="A1806">
        <v>1856</v>
      </c>
      <c r="B1806" s="16">
        <v>43739</v>
      </c>
      <c r="C1806" t="s">
        <v>162</v>
      </c>
      <c r="D1806" s="21">
        <v>5019615.5309999995</v>
      </c>
      <c r="E1806" s="21">
        <v>-5019615.5309999995</v>
      </c>
      <c r="F1806" s="21">
        <v>0</v>
      </c>
    </row>
    <row r="1807" spans="1:6" x14ac:dyDescent="0.25">
      <c r="A1807">
        <v>1856</v>
      </c>
      <c r="B1807" s="16">
        <v>43739</v>
      </c>
      <c r="C1807" t="s">
        <v>24</v>
      </c>
      <c r="D1807" s="21">
        <v>3771772.7985</v>
      </c>
      <c r="E1807" s="21">
        <v>-3771772.7985</v>
      </c>
      <c r="F1807" s="21">
        <v>0</v>
      </c>
    </row>
    <row r="1808" spans="1:6" x14ac:dyDescent="0.25">
      <c r="A1808">
        <v>1856</v>
      </c>
      <c r="B1808" s="16">
        <v>43739</v>
      </c>
      <c r="C1808" t="s">
        <v>192</v>
      </c>
      <c r="D1808" s="21">
        <v>20000000</v>
      </c>
      <c r="E1808" s="21">
        <v>-20000000</v>
      </c>
      <c r="F1808" s="21">
        <v>0</v>
      </c>
    </row>
    <row r="1809" spans="1:6" x14ac:dyDescent="0.25">
      <c r="A1809">
        <v>1856</v>
      </c>
      <c r="B1809" s="16">
        <v>43739</v>
      </c>
      <c r="C1809" t="s">
        <v>39</v>
      </c>
      <c r="D1809" s="21">
        <v>4205787.0750000002</v>
      </c>
      <c r="E1809" s="21">
        <v>-4205787.0750000002</v>
      </c>
      <c r="F1809" s="21">
        <v>0</v>
      </c>
    </row>
    <row r="1810" spans="1:6" x14ac:dyDescent="0.25">
      <c r="A1810">
        <v>1856</v>
      </c>
      <c r="B1810" s="16">
        <v>43739</v>
      </c>
      <c r="C1810" t="s">
        <v>12</v>
      </c>
      <c r="D1810" s="21">
        <v>9910003.9500000011</v>
      </c>
      <c r="E1810" s="21">
        <v>-9910003.9500000011</v>
      </c>
      <c r="F1810" s="21">
        <v>0</v>
      </c>
    </row>
    <row r="1811" spans="1:6" x14ac:dyDescent="0.25">
      <c r="A1811">
        <v>1856</v>
      </c>
      <c r="B1811" s="16">
        <v>43739</v>
      </c>
      <c r="C1811" t="s">
        <v>26</v>
      </c>
      <c r="D1811" s="21">
        <v>6444668.4750000006</v>
      </c>
      <c r="E1811" s="21">
        <v>-6444668.4750000006</v>
      </c>
      <c r="F1811" s="21">
        <v>0</v>
      </c>
    </row>
    <row r="1812" spans="1:6" x14ac:dyDescent="0.25">
      <c r="A1812">
        <v>1856</v>
      </c>
      <c r="B1812" s="16">
        <v>43770</v>
      </c>
      <c r="C1812" t="s">
        <v>162</v>
      </c>
      <c r="D1812" s="21">
        <v>5019615.5309999995</v>
      </c>
      <c r="E1812" s="21">
        <v>-5019615.5309999995</v>
      </c>
      <c r="F1812" s="21">
        <v>0</v>
      </c>
    </row>
    <row r="1813" spans="1:6" x14ac:dyDescent="0.25">
      <c r="A1813">
        <v>1856</v>
      </c>
      <c r="B1813" s="16">
        <v>43770</v>
      </c>
      <c r="C1813" t="s">
        <v>24</v>
      </c>
      <c r="D1813" s="21">
        <v>3771772.7985</v>
      </c>
      <c r="E1813" s="21">
        <v>-3771772.7985</v>
      </c>
      <c r="F1813" s="21">
        <v>0</v>
      </c>
    </row>
    <row r="1814" spans="1:6" x14ac:dyDescent="0.25">
      <c r="A1814">
        <v>1856</v>
      </c>
      <c r="B1814" s="16">
        <v>43770</v>
      </c>
      <c r="C1814" t="s">
        <v>192</v>
      </c>
      <c r="D1814" s="21">
        <v>20000000</v>
      </c>
      <c r="E1814" s="21">
        <v>-20000000</v>
      </c>
      <c r="F1814" s="21">
        <v>0</v>
      </c>
    </row>
    <row r="1815" spans="1:6" x14ac:dyDescent="0.25">
      <c r="A1815">
        <v>1856</v>
      </c>
      <c r="B1815" s="16">
        <v>43770</v>
      </c>
      <c r="C1815" t="s">
        <v>39</v>
      </c>
      <c r="D1815" s="21">
        <v>4205787.0750000002</v>
      </c>
      <c r="E1815" s="21">
        <v>-4205787.0750000002</v>
      </c>
      <c r="F1815" s="21">
        <v>0</v>
      </c>
    </row>
    <row r="1816" spans="1:6" x14ac:dyDescent="0.25">
      <c r="A1816">
        <v>1856</v>
      </c>
      <c r="B1816" s="16">
        <v>43770</v>
      </c>
      <c r="C1816" t="s">
        <v>12</v>
      </c>
      <c r="D1816" s="21">
        <v>9910003.9500000011</v>
      </c>
      <c r="E1816" s="21">
        <v>-9910003.9500000011</v>
      </c>
      <c r="F1816" s="21">
        <v>0</v>
      </c>
    </row>
    <row r="1817" spans="1:6" x14ac:dyDescent="0.25">
      <c r="A1817">
        <v>1856</v>
      </c>
      <c r="B1817" s="16">
        <v>43770</v>
      </c>
      <c r="C1817" t="s">
        <v>26</v>
      </c>
      <c r="D1817" s="21">
        <v>6444668.4750000006</v>
      </c>
      <c r="E1817" s="21">
        <v>-6444668.4750000006</v>
      </c>
      <c r="F1817" s="21">
        <v>0</v>
      </c>
    </row>
    <row r="1818" spans="1:6" x14ac:dyDescent="0.25">
      <c r="A1818">
        <v>1856</v>
      </c>
      <c r="B1818" s="16">
        <v>43800</v>
      </c>
      <c r="C1818" t="s">
        <v>162</v>
      </c>
      <c r="D1818" s="21">
        <v>5019615.5309999995</v>
      </c>
      <c r="E1818" s="21">
        <v>-5019615.5309999995</v>
      </c>
      <c r="F1818" s="21">
        <v>0</v>
      </c>
    </row>
    <row r="1819" spans="1:6" x14ac:dyDescent="0.25">
      <c r="A1819">
        <v>1856</v>
      </c>
      <c r="B1819" s="16">
        <v>43800</v>
      </c>
      <c r="C1819" t="s">
        <v>24</v>
      </c>
      <c r="D1819" s="21">
        <v>3771772.7985</v>
      </c>
      <c r="E1819" s="21">
        <v>-3771772.7985</v>
      </c>
      <c r="F1819" s="21">
        <v>0</v>
      </c>
    </row>
    <row r="1820" spans="1:6" x14ac:dyDescent="0.25">
      <c r="A1820">
        <v>1856</v>
      </c>
      <c r="B1820" s="16">
        <v>43800</v>
      </c>
      <c r="C1820" t="s">
        <v>192</v>
      </c>
      <c r="D1820" s="21">
        <v>20000000</v>
      </c>
      <c r="E1820" s="21">
        <v>-20000000</v>
      </c>
      <c r="F1820" s="21">
        <v>0</v>
      </c>
    </row>
    <row r="1821" spans="1:6" x14ac:dyDescent="0.25">
      <c r="A1821">
        <v>1856</v>
      </c>
      <c r="B1821" s="16">
        <v>43800</v>
      </c>
      <c r="C1821" t="s">
        <v>39</v>
      </c>
      <c r="D1821" s="21">
        <v>4205787.0750000002</v>
      </c>
      <c r="E1821" s="21">
        <v>-4205787.0750000002</v>
      </c>
      <c r="F1821" s="21">
        <v>0</v>
      </c>
    </row>
    <row r="1822" spans="1:6" x14ac:dyDescent="0.25">
      <c r="A1822">
        <v>1856</v>
      </c>
      <c r="B1822" s="16">
        <v>43800</v>
      </c>
      <c r="C1822" t="s">
        <v>12</v>
      </c>
      <c r="D1822" s="21">
        <v>9910003.9500000011</v>
      </c>
      <c r="E1822" s="21">
        <v>-9910003.9500000011</v>
      </c>
      <c r="F1822" s="21">
        <v>0</v>
      </c>
    </row>
    <row r="1823" spans="1:6" x14ac:dyDescent="0.25">
      <c r="A1823">
        <v>1856</v>
      </c>
      <c r="B1823" s="16">
        <v>43800</v>
      </c>
      <c r="C1823" t="s">
        <v>26</v>
      </c>
      <c r="D1823" s="21">
        <v>6444668.4750000006</v>
      </c>
      <c r="E1823" s="21">
        <v>-6444668.4750000006</v>
      </c>
      <c r="F1823" s="21">
        <v>0</v>
      </c>
    </row>
    <row r="1824" spans="1:6" x14ac:dyDescent="0.25">
      <c r="A1824">
        <v>1856</v>
      </c>
      <c r="B1824" s="16">
        <v>43831</v>
      </c>
      <c r="C1824" t="s">
        <v>162</v>
      </c>
      <c r="D1824" s="21">
        <v>5019615.5309999995</v>
      </c>
      <c r="E1824" s="21">
        <v>-5019615.5309999995</v>
      </c>
      <c r="F1824" s="21">
        <v>0</v>
      </c>
    </row>
    <row r="1825" spans="1:6" x14ac:dyDescent="0.25">
      <c r="A1825">
        <v>1856</v>
      </c>
      <c r="B1825" s="16">
        <v>43831</v>
      </c>
      <c r="C1825" t="s">
        <v>24</v>
      </c>
      <c r="D1825" s="21">
        <v>3771772.7985</v>
      </c>
      <c r="E1825" s="21">
        <v>-3771772.7985</v>
      </c>
      <c r="F1825" s="21">
        <v>0</v>
      </c>
    </row>
    <row r="1826" spans="1:6" x14ac:dyDescent="0.25">
      <c r="A1826">
        <v>1856</v>
      </c>
      <c r="B1826" s="16">
        <v>43831</v>
      </c>
      <c r="C1826" t="s">
        <v>192</v>
      </c>
      <c r="D1826" s="21">
        <v>20000000</v>
      </c>
      <c r="E1826" s="21">
        <v>-20000000</v>
      </c>
      <c r="F1826" s="21">
        <v>0</v>
      </c>
    </row>
    <row r="1827" spans="1:6" x14ac:dyDescent="0.25">
      <c r="A1827">
        <v>1856</v>
      </c>
      <c r="B1827" s="16">
        <v>43831</v>
      </c>
      <c r="C1827" t="s">
        <v>39</v>
      </c>
      <c r="D1827" s="21">
        <v>4205787.0750000002</v>
      </c>
      <c r="E1827" s="21">
        <v>-4205787.0750000002</v>
      </c>
      <c r="F1827" s="21">
        <v>0</v>
      </c>
    </row>
    <row r="1828" spans="1:6" x14ac:dyDescent="0.25">
      <c r="A1828">
        <v>1856</v>
      </c>
      <c r="B1828" s="16">
        <v>43831</v>
      </c>
      <c r="C1828" t="s">
        <v>12</v>
      </c>
      <c r="D1828" s="21">
        <v>9910003.9500000011</v>
      </c>
      <c r="E1828" s="21">
        <v>-9910003.9500000011</v>
      </c>
      <c r="F1828" s="21">
        <v>0</v>
      </c>
    </row>
    <row r="1829" spans="1:6" x14ac:dyDescent="0.25">
      <c r="A1829">
        <v>1856</v>
      </c>
      <c r="B1829" s="16">
        <v>43831</v>
      </c>
      <c r="C1829" t="s">
        <v>26</v>
      </c>
      <c r="D1829" s="21">
        <v>6444668.4750000006</v>
      </c>
      <c r="E1829" s="21">
        <v>-6444668.4750000006</v>
      </c>
      <c r="F1829" s="21">
        <v>0</v>
      </c>
    </row>
    <row r="1830" spans="1:6" x14ac:dyDescent="0.25">
      <c r="A1830">
        <v>1856</v>
      </c>
      <c r="B1830" s="16">
        <v>43862</v>
      </c>
      <c r="C1830" t="s">
        <v>162</v>
      </c>
      <c r="D1830" s="21">
        <v>5019615.5309999995</v>
      </c>
      <c r="E1830" s="21">
        <v>-5019615.5309999995</v>
      </c>
      <c r="F1830" s="21">
        <v>0</v>
      </c>
    </row>
    <row r="1831" spans="1:6" x14ac:dyDescent="0.25">
      <c r="A1831">
        <v>1856</v>
      </c>
      <c r="B1831" s="16">
        <v>43862</v>
      </c>
      <c r="C1831" t="s">
        <v>24</v>
      </c>
      <c r="D1831" s="21">
        <v>3771772.7985</v>
      </c>
      <c r="E1831" s="21">
        <v>-3771772.7985</v>
      </c>
      <c r="F1831" s="21">
        <v>0</v>
      </c>
    </row>
    <row r="1832" spans="1:6" x14ac:dyDescent="0.25">
      <c r="A1832">
        <v>1856</v>
      </c>
      <c r="B1832" s="16">
        <v>43862</v>
      </c>
      <c r="C1832" t="s">
        <v>192</v>
      </c>
      <c r="D1832" s="21">
        <v>20000000</v>
      </c>
      <c r="E1832" s="21">
        <v>-20000000</v>
      </c>
      <c r="F1832" s="21">
        <v>0</v>
      </c>
    </row>
    <row r="1833" spans="1:6" x14ac:dyDescent="0.25">
      <c r="A1833">
        <v>1856</v>
      </c>
      <c r="B1833" s="16">
        <v>43862</v>
      </c>
      <c r="C1833" t="s">
        <v>39</v>
      </c>
      <c r="D1833" s="21">
        <v>4205787.0750000002</v>
      </c>
      <c r="E1833" s="21">
        <v>-4205787.0750000002</v>
      </c>
      <c r="F1833" s="21">
        <v>0</v>
      </c>
    </row>
    <row r="1834" spans="1:6" x14ac:dyDescent="0.25">
      <c r="A1834">
        <v>1856</v>
      </c>
      <c r="B1834" s="16">
        <v>43862</v>
      </c>
      <c r="C1834" t="s">
        <v>12</v>
      </c>
      <c r="D1834" s="21">
        <v>9910003.9500000011</v>
      </c>
      <c r="E1834" s="21">
        <v>-9910003.9500000011</v>
      </c>
      <c r="F1834" s="21">
        <v>0</v>
      </c>
    </row>
    <row r="1835" spans="1:6" x14ac:dyDescent="0.25">
      <c r="A1835">
        <v>1856</v>
      </c>
      <c r="B1835" s="16">
        <v>43862</v>
      </c>
      <c r="C1835" t="s">
        <v>26</v>
      </c>
      <c r="D1835" s="21">
        <v>6444668.4750000006</v>
      </c>
      <c r="E1835" s="21">
        <v>-6444668.4750000006</v>
      </c>
      <c r="F1835" s="21">
        <v>0</v>
      </c>
    </row>
    <row r="1836" spans="1:6" x14ac:dyDescent="0.25">
      <c r="A1836">
        <v>1856</v>
      </c>
      <c r="B1836" s="16">
        <v>43891</v>
      </c>
      <c r="C1836" t="s">
        <v>162</v>
      </c>
      <c r="D1836" s="21">
        <v>5019615.5309999995</v>
      </c>
      <c r="E1836" s="21">
        <v>-5019615.5309999995</v>
      </c>
      <c r="F1836" s="21">
        <v>0</v>
      </c>
    </row>
    <row r="1837" spans="1:6" x14ac:dyDescent="0.25">
      <c r="A1837">
        <v>1856</v>
      </c>
      <c r="B1837" s="16">
        <v>43891</v>
      </c>
      <c r="C1837" t="s">
        <v>24</v>
      </c>
      <c r="D1837" s="21">
        <v>3771772.7985</v>
      </c>
      <c r="E1837" s="21">
        <v>-3771772.7985</v>
      </c>
      <c r="F1837" s="21">
        <v>0</v>
      </c>
    </row>
    <row r="1838" spans="1:6" x14ac:dyDescent="0.25">
      <c r="A1838">
        <v>1856</v>
      </c>
      <c r="B1838" s="16">
        <v>43891</v>
      </c>
      <c r="C1838" t="s">
        <v>192</v>
      </c>
      <c r="D1838" s="21">
        <v>20000000</v>
      </c>
      <c r="E1838" s="21">
        <v>-20000000</v>
      </c>
      <c r="F1838" s="21">
        <v>0</v>
      </c>
    </row>
    <row r="1839" spans="1:6" x14ac:dyDescent="0.25">
      <c r="A1839">
        <v>1856</v>
      </c>
      <c r="B1839" s="16">
        <v>43891</v>
      </c>
      <c r="C1839" t="s">
        <v>39</v>
      </c>
      <c r="D1839" s="21">
        <v>4205787.0750000002</v>
      </c>
      <c r="E1839" s="21">
        <v>-4205787.0750000002</v>
      </c>
      <c r="F1839" s="21">
        <v>0</v>
      </c>
    </row>
    <row r="1840" spans="1:6" x14ac:dyDescent="0.25">
      <c r="A1840">
        <v>1856</v>
      </c>
      <c r="B1840" s="16">
        <v>43891</v>
      </c>
      <c r="C1840" t="s">
        <v>12</v>
      </c>
      <c r="D1840" s="21">
        <v>9910003.9500000011</v>
      </c>
      <c r="E1840" s="21">
        <v>-9910003.9500000011</v>
      </c>
      <c r="F1840" s="21">
        <v>0</v>
      </c>
    </row>
    <row r="1841" spans="1:6" x14ac:dyDescent="0.25">
      <c r="A1841">
        <v>1856</v>
      </c>
      <c r="B1841" s="16">
        <v>43891</v>
      </c>
      <c r="C1841" t="s">
        <v>26</v>
      </c>
      <c r="D1841" s="21">
        <v>6444668.4750000006</v>
      </c>
      <c r="E1841" s="21">
        <v>-6444668.4750000006</v>
      </c>
      <c r="F1841" s="21">
        <v>0</v>
      </c>
    </row>
    <row r="1842" spans="1:6" x14ac:dyDescent="0.25">
      <c r="A1842">
        <v>1856</v>
      </c>
      <c r="B1842" s="16">
        <v>43922</v>
      </c>
      <c r="C1842" t="s">
        <v>162</v>
      </c>
      <c r="D1842" s="21">
        <v>5019615.5309999995</v>
      </c>
      <c r="E1842" s="21">
        <v>-5019615.5309999995</v>
      </c>
      <c r="F1842" s="21">
        <v>0</v>
      </c>
    </row>
    <row r="1843" spans="1:6" x14ac:dyDescent="0.25">
      <c r="A1843">
        <v>1856</v>
      </c>
      <c r="B1843" s="16">
        <v>43922</v>
      </c>
      <c r="C1843" t="s">
        <v>24</v>
      </c>
      <c r="D1843" s="21">
        <v>3771772.7985</v>
      </c>
      <c r="E1843" s="21">
        <v>-3771772.7985</v>
      </c>
      <c r="F1843" s="21">
        <v>0</v>
      </c>
    </row>
    <row r="1844" spans="1:6" x14ac:dyDescent="0.25">
      <c r="A1844">
        <v>1856</v>
      </c>
      <c r="B1844" s="16">
        <v>43922</v>
      </c>
      <c r="C1844" t="s">
        <v>192</v>
      </c>
      <c r="D1844" s="21">
        <v>20000000</v>
      </c>
      <c r="E1844" s="21">
        <v>-20000000</v>
      </c>
      <c r="F1844" s="21">
        <v>0</v>
      </c>
    </row>
    <row r="1845" spans="1:6" x14ac:dyDescent="0.25">
      <c r="A1845">
        <v>1856</v>
      </c>
      <c r="B1845" s="16">
        <v>43922</v>
      </c>
      <c r="C1845" t="s">
        <v>39</v>
      </c>
      <c r="D1845" s="21">
        <v>4205787.0750000002</v>
      </c>
      <c r="E1845" s="21">
        <v>-4205787.0750000002</v>
      </c>
      <c r="F1845" s="21">
        <v>0</v>
      </c>
    </row>
    <row r="1846" spans="1:6" x14ac:dyDescent="0.25">
      <c r="A1846">
        <v>1856</v>
      </c>
      <c r="B1846" s="16">
        <v>43922</v>
      </c>
      <c r="C1846" t="s">
        <v>12</v>
      </c>
      <c r="D1846" s="21">
        <v>9910003.9500000011</v>
      </c>
      <c r="E1846" s="21">
        <v>-9910003.9500000011</v>
      </c>
      <c r="F1846" s="21">
        <v>0</v>
      </c>
    </row>
    <row r="1847" spans="1:6" x14ac:dyDescent="0.25">
      <c r="A1847">
        <v>1856</v>
      </c>
      <c r="B1847" s="16">
        <v>43922</v>
      </c>
      <c r="C1847" t="s">
        <v>26</v>
      </c>
      <c r="D1847" s="21">
        <v>6444668.4750000006</v>
      </c>
      <c r="E1847" s="21">
        <v>-6444668.4750000006</v>
      </c>
      <c r="F1847" s="21">
        <v>0</v>
      </c>
    </row>
    <row r="1848" spans="1:6" x14ac:dyDescent="0.25">
      <c r="A1848">
        <v>1856</v>
      </c>
      <c r="B1848" s="16">
        <v>43952</v>
      </c>
      <c r="C1848" t="s">
        <v>162</v>
      </c>
      <c r="D1848" s="21">
        <v>5019615.5309999995</v>
      </c>
      <c r="E1848" s="21">
        <v>-5019615.5309999995</v>
      </c>
      <c r="F1848" s="21">
        <v>0</v>
      </c>
    </row>
    <row r="1849" spans="1:6" x14ac:dyDescent="0.25">
      <c r="A1849">
        <v>1856</v>
      </c>
      <c r="B1849" s="16">
        <v>43952</v>
      </c>
      <c r="C1849" t="s">
        <v>24</v>
      </c>
      <c r="D1849" s="21">
        <v>3771772.7985</v>
      </c>
      <c r="E1849" s="21">
        <v>-3771772.7985</v>
      </c>
      <c r="F1849" s="21">
        <v>0</v>
      </c>
    </row>
    <row r="1850" spans="1:6" x14ac:dyDescent="0.25">
      <c r="A1850">
        <v>1856</v>
      </c>
      <c r="B1850" s="16">
        <v>43952</v>
      </c>
      <c r="C1850" t="s">
        <v>192</v>
      </c>
      <c r="D1850" s="21">
        <v>20000000</v>
      </c>
      <c r="E1850" s="21">
        <v>-20000000</v>
      </c>
      <c r="F1850" s="21">
        <v>0</v>
      </c>
    </row>
    <row r="1851" spans="1:6" x14ac:dyDescent="0.25">
      <c r="A1851">
        <v>1856</v>
      </c>
      <c r="B1851" s="16">
        <v>43952</v>
      </c>
      <c r="C1851" t="s">
        <v>39</v>
      </c>
      <c r="D1851" s="21">
        <v>4205787.0750000002</v>
      </c>
      <c r="E1851" s="21">
        <v>-4205787.0750000002</v>
      </c>
      <c r="F1851" s="21">
        <v>0</v>
      </c>
    </row>
    <row r="1852" spans="1:6" x14ac:dyDescent="0.25">
      <c r="A1852">
        <v>1856</v>
      </c>
      <c r="B1852" s="16">
        <v>43952</v>
      </c>
      <c r="C1852" t="s">
        <v>12</v>
      </c>
      <c r="D1852" s="21">
        <v>9910003.9500000011</v>
      </c>
      <c r="E1852" s="21">
        <v>-9910003.9500000011</v>
      </c>
      <c r="F1852" s="21">
        <v>0</v>
      </c>
    </row>
    <row r="1853" spans="1:6" x14ac:dyDescent="0.25">
      <c r="A1853">
        <v>1856</v>
      </c>
      <c r="B1853" s="16">
        <v>43952</v>
      </c>
      <c r="C1853" t="s">
        <v>26</v>
      </c>
      <c r="D1853" s="21">
        <v>6444668.4750000006</v>
      </c>
      <c r="E1853" s="21">
        <v>-6444668.4750000006</v>
      </c>
      <c r="F1853" s="21">
        <v>0</v>
      </c>
    </row>
    <row r="1854" spans="1:6" x14ac:dyDescent="0.25">
      <c r="A1854">
        <v>1856</v>
      </c>
      <c r="B1854" s="16">
        <v>43983</v>
      </c>
      <c r="C1854" t="s">
        <v>162</v>
      </c>
      <c r="D1854" s="21">
        <v>5019615.5309999995</v>
      </c>
      <c r="E1854" s="21">
        <v>-5019615.5309999995</v>
      </c>
      <c r="F1854" s="21">
        <v>0</v>
      </c>
    </row>
    <row r="1855" spans="1:6" x14ac:dyDescent="0.25">
      <c r="A1855">
        <v>1856</v>
      </c>
      <c r="B1855" s="16">
        <v>43983</v>
      </c>
      <c r="C1855" t="s">
        <v>24</v>
      </c>
      <c r="D1855" s="21">
        <v>3771772.7985</v>
      </c>
      <c r="E1855" s="21">
        <v>-3771772.7985</v>
      </c>
      <c r="F1855" s="21">
        <v>0</v>
      </c>
    </row>
    <row r="1856" spans="1:6" x14ac:dyDescent="0.25">
      <c r="A1856">
        <v>1856</v>
      </c>
      <c r="B1856" s="16">
        <v>43983</v>
      </c>
      <c r="C1856" t="s">
        <v>192</v>
      </c>
      <c r="D1856" s="21">
        <v>20000000</v>
      </c>
      <c r="E1856" s="21">
        <v>-20000000</v>
      </c>
      <c r="F1856" s="21">
        <v>0</v>
      </c>
    </row>
    <row r="1857" spans="1:6" x14ac:dyDescent="0.25">
      <c r="A1857">
        <v>1856</v>
      </c>
      <c r="B1857" s="16">
        <v>43983</v>
      </c>
      <c r="C1857" t="s">
        <v>39</v>
      </c>
      <c r="D1857" s="21">
        <v>4205787.0750000002</v>
      </c>
      <c r="E1857" s="21">
        <v>-4205787.0750000002</v>
      </c>
      <c r="F1857" s="21">
        <v>0</v>
      </c>
    </row>
    <row r="1858" spans="1:6" x14ac:dyDescent="0.25">
      <c r="A1858">
        <v>1856</v>
      </c>
      <c r="B1858" s="16">
        <v>43983</v>
      </c>
      <c r="C1858" t="s">
        <v>12</v>
      </c>
      <c r="D1858" s="21">
        <v>9910003.9500000011</v>
      </c>
      <c r="E1858" s="21">
        <v>-9910003.9500000011</v>
      </c>
      <c r="F1858" s="21">
        <v>0</v>
      </c>
    </row>
    <row r="1859" spans="1:6" x14ac:dyDescent="0.25">
      <c r="A1859">
        <v>1856</v>
      </c>
      <c r="B1859" s="16">
        <v>43983</v>
      </c>
      <c r="C1859" t="s">
        <v>26</v>
      </c>
      <c r="D1859" s="21">
        <v>6444668.4750000006</v>
      </c>
      <c r="E1859" s="21">
        <v>-6444668.4750000006</v>
      </c>
      <c r="F1859" s="21">
        <v>0</v>
      </c>
    </row>
    <row r="1860" spans="1:6" x14ac:dyDescent="0.25">
      <c r="A1860">
        <v>1856</v>
      </c>
      <c r="B1860" s="16">
        <v>44013</v>
      </c>
      <c r="C1860" t="s">
        <v>162</v>
      </c>
      <c r="D1860" s="21">
        <v>5019615.5309999995</v>
      </c>
      <c r="E1860" s="21">
        <v>-5019615.5309999995</v>
      </c>
      <c r="F1860" s="21">
        <v>0</v>
      </c>
    </row>
    <row r="1861" spans="1:6" x14ac:dyDescent="0.25">
      <c r="A1861">
        <v>1856</v>
      </c>
      <c r="B1861" s="16">
        <v>44013</v>
      </c>
      <c r="C1861" t="s">
        <v>24</v>
      </c>
      <c r="D1861" s="21">
        <v>3771772.7985</v>
      </c>
      <c r="E1861" s="21">
        <v>-3771772.7985</v>
      </c>
      <c r="F1861" s="21">
        <v>0</v>
      </c>
    </row>
    <row r="1862" spans="1:6" x14ac:dyDescent="0.25">
      <c r="A1862">
        <v>1856</v>
      </c>
      <c r="B1862" s="16">
        <v>44013</v>
      </c>
      <c r="C1862" t="s">
        <v>192</v>
      </c>
      <c r="D1862" s="21">
        <v>20000000</v>
      </c>
      <c r="E1862" s="21">
        <v>-20000000</v>
      </c>
      <c r="F1862" s="21">
        <v>0</v>
      </c>
    </row>
    <row r="1863" spans="1:6" x14ac:dyDescent="0.25">
      <c r="A1863">
        <v>1856</v>
      </c>
      <c r="B1863" s="16">
        <v>44013</v>
      </c>
      <c r="C1863" t="s">
        <v>39</v>
      </c>
      <c r="D1863" s="21">
        <v>4205787.0750000002</v>
      </c>
      <c r="E1863" s="21">
        <v>-4205787.0750000002</v>
      </c>
      <c r="F1863" s="21">
        <v>0</v>
      </c>
    </row>
    <row r="1864" spans="1:6" x14ac:dyDescent="0.25">
      <c r="A1864">
        <v>1856</v>
      </c>
      <c r="B1864" s="16">
        <v>44013</v>
      </c>
      <c r="C1864" t="s">
        <v>12</v>
      </c>
      <c r="D1864" s="21">
        <v>9910003.9500000011</v>
      </c>
      <c r="E1864" s="21">
        <v>-9910003.9500000011</v>
      </c>
      <c r="F1864" s="21">
        <v>0</v>
      </c>
    </row>
    <row r="1865" spans="1:6" x14ac:dyDescent="0.25">
      <c r="A1865">
        <v>1856</v>
      </c>
      <c r="B1865" s="16">
        <v>44013</v>
      </c>
      <c r="C1865" t="s">
        <v>26</v>
      </c>
      <c r="D1865" s="21">
        <v>6444668.4750000006</v>
      </c>
      <c r="E1865" s="21">
        <v>-6444668.4750000006</v>
      </c>
      <c r="F1865" s="21">
        <v>0</v>
      </c>
    </row>
    <row r="1866" spans="1:6" x14ac:dyDescent="0.25">
      <c r="A1866">
        <v>1856</v>
      </c>
      <c r="B1866" s="16">
        <v>44044</v>
      </c>
      <c r="C1866" t="s">
        <v>162</v>
      </c>
      <c r="D1866" s="21">
        <v>5019615.5309999995</v>
      </c>
      <c r="E1866" s="21">
        <v>-5019615.5309999995</v>
      </c>
      <c r="F1866" s="21">
        <v>0</v>
      </c>
    </row>
    <row r="1867" spans="1:6" x14ac:dyDescent="0.25">
      <c r="A1867">
        <v>1856</v>
      </c>
      <c r="B1867" s="16">
        <v>44044</v>
      </c>
      <c r="C1867" t="s">
        <v>24</v>
      </c>
      <c r="D1867" s="21">
        <v>3771772.7985</v>
      </c>
      <c r="E1867" s="21">
        <v>-3771772.7985</v>
      </c>
      <c r="F1867" s="21">
        <v>0</v>
      </c>
    </row>
    <row r="1868" spans="1:6" x14ac:dyDescent="0.25">
      <c r="A1868">
        <v>1856</v>
      </c>
      <c r="B1868" s="16">
        <v>44044</v>
      </c>
      <c r="C1868" t="s">
        <v>192</v>
      </c>
      <c r="D1868" s="21">
        <v>20000000</v>
      </c>
      <c r="E1868" s="21">
        <v>-20000000</v>
      </c>
      <c r="F1868" s="21">
        <v>0</v>
      </c>
    </row>
    <row r="1869" spans="1:6" x14ac:dyDescent="0.25">
      <c r="A1869">
        <v>1856</v>
      </c>
      <c r="B1869" s="16">
        <v>44044</v>
      </c>
      <c r="C1869" t="s">
        <v>39</v>
      </c>
      <c r="D1869" s="21">
        <v>4205787.0750000002</v>
      </c>
      <c r="E1869" s="21">
        <v>-4205787.0750000002</v>
      </c>
      <c r="F1869" s="21">
        <v>0</v>
      </c>
    </row>
    <row r="1870" spans="1:6" x14ac:dyDescent="0.25">
      <c r="A1870">
        <v>1856</v>
      </c>
      <c r="B1870" s="16">
        <v>44044</v>
      </c>
      <c r="C1870" t="s">
        <v>12</v>
      </c>
      <c r="D1870" s="21">
        <v>9910003.9500000011</v>
      </c>
      <c r="E1870" s="21">
        <v>-9910003.9500000011</v>
      </c>
      <c r="F1870" s="21">
        <v>0</v>
      </c>
    </row>
    <row r="1871" spans="1:6" x14ac:dyDescent="0.25">
      <c r="A1871">
        <v>1856</v>
      </c>
      <c r="B1871" s="16">
        <v>44044</v>
      </c>
      <c r="C1871" t="s">
        <v>26</v>
      </c>
      <c r="D1871" s="21">
        <v>6444668.4750000006</v>
      </c>
      <c r="E1871" s="21">
        <v>-6444668.4750000006</v>
      </c>
      <c r="F1871" s="21">
        <v>0</v>
      </c>
    </row>
    <row r="1872" spans="1:6" x14ac:dyDescent="0.25">
      <c r="A1872">
        <v>1856</v>
      </c>
      <c r="B1872" s="16">
        <v>44075</v>
      </c>
      <c r="C1872" t="s">
        <v>162</v>
      </c>
      <c r="D1872" s="21">
        <v>5019615.5309999995</v>
      </c>
      <c r="E1872" s="21">
        <v>-5019615.5309999995</v>
      </c>
      <c r="F1872" s="21">
        <v>0</v>
      </c>
    </row>
    <row r="1873" spans="1:6" x14ac:dyDescent="0.25">
      <c r="A1873">
        <v>1856</v>
      </c>
      <c r="B1873" s="16">
        <v>44075</v>
      </c>
      <c r="C1873" t="s">
        <v>24</v>
      </c>
      <c r="D1873" s="21">
        <v>3771772.7985</v>
      </c>
      <c r="E1873" s="21">
        <v>-3771772.7985</v>
      </c>
      <c r="F1873" s="21">
        <v>0</v>
      </c>
    </row>
    <row r="1874" spans="1:6" x14ac:dyDescent="0.25">
      <c r="A1874">
        <v>1856</v>
      </c>
      <c r="B1874" s="16">
        <v>44075</v>
      </c>
      <c r="C1874" t="s">
        <v>192</v>
      </c>
      <c r="D1874" s="21">
        <v>20000000</v>
      </c>
      <c r="E1874" s="21">
        <v>-20000000</v>
      </c>
      <c r="F1874" s="21">
        <v>0</v>
      </c>
    </row>
    <row r="1875" spans="1:6" x14ac:dyDescent="0.25">
      <c r="A1875">
        <v>1856</v>
      </c>
      <c r="B1875" s="16">
        <v>44075</v>
      </c>
      <c r="C1875" t="s">
        <v>39</v>
      </c>
      <c r="D1875" s="21">
        <v>4205787.0750000002</v>
      </c>
      <c r="E1875" s="21">
        <v>-4205787.0750000002</v>
      </c>
      <c r="F1875" s="21">
        <v>0</v>
      </c>
    </row>
    <row r="1876" spans="1:6" x14ac:dyDescent="0.25">
      <c r="A1876">
        <v>1856</v>
      </c>
      <c r="B1876" s="16">
        <v>44075</v>
      </c>
      <c r="C1876" t="s">
        <v>12</v>
      </c>
      <c r="D1876" s="21">
        <v>9910003.9500000011</v>
      </c>
      <c r="E1876" s="21">
        <v>-9910003.9500000011</v>
      </c>
      <c r="F1876" s="21">
        <v>0</v>
      </c>
    </row>
    <row r="1877" spans="1:6" x14ac:dyDescent="0.25">
      <c r="A1877">
        <v>1856</v>
      </c>
      <c r="B1877" s="16">
        <v>44075</v>
      </c>
      <c r="C1877" t="s">
        <v>26</v>
      </c>
      <c r="D1877" s="21">
        <v>6444668.4750000006</v>
      </c>
      <c r="E1877" s="21">
        <v>-6444668.4750000006</v>
      </c>
      <c r="F1877" s="21">
        <v>0</v>
      </c>
    </row>
    <row r="1878" spans="1:6" x14ac:dyDescent="0.25">
      <c r="A1878">
        <v>1856</v>
      </c>
      <c r="B1878" s="16">
        <v>44105</v>
      </c>
      <c r="C1878" t="s">
        <v>162</v>
      </c>
      <c r="D1878" s="21">
        <v>5019615.5309999995</v>
      </c>
      <c r="E1878" s="21">
        <v>-5019615.5309999995</v>
      </c>
      <c r="F1878" s="21">
        <v>0</v>
      </c>
    </row>
    <row r="1879" spans="1:6" x14ac:dyDescent="0.25">
      <c r="A1879">
        <v>1856</v>
      </c>
      <c r="B1879" s="16">
        <v>44105</v>
      </c>
      <c r="C1879" t="s">
        <v>24</v>
      </c>
      <c r="D1879" s="21">
        <v>3771772.7985</v>
      </c>
      <c r="E1879" s="21">
        <v>-3771772.7985</v>
      </c>
      <c r="F1879" s="21">
        <v>0</v>
      </c>
    </row>
    <row r="1880" spans="1:6" x14ac:dyDescent="0.25">
      <c r="A1880">
        <v>1856</v>
      </c>
      <c r="B1880" s="16">
        <v>44105</v>
      </c>
      <c r="C1880" t="s">
        <v>192</v>
      </c>
      <c r="D1880" s="21">
        <v>20000000</v>
      </c>
      <c r="E1880" s="21">
        <v>-20000000</v>
      </c>
      <c r="F1880" s="21">
        <v>0</v>
      </c>
    </row>
    <row r="1881" spans="1:6" x14ac:dyDescent="0.25">
      <c r="A1881">
        <v>1856</v>
      </c>
      <c r="B1881" s="16">
        <v>44105</v>
      </c>
      <c r="C1881" t="s">
        <v>39</v>
      </c>
      <c r="D1881" s="21">
        <v>4205787.0750000002</v>
      </c>
      <c r="E1881" s="21">
        <v>-4205787.0750000002</v>
      </c>
      <c r="F1881" s="21">
        <v>0</v>
      </c>
    </row>
    <row r="1882" spans="1:6" x14ac:dyDescent="0.25">
      <c r="A1882">
        <v>1856</v>
      </c>
      <c r="B1882" s="16">
        <v>44105</v>
      </c>
      <c r="C1882" t="s">
        <v>12</v>
      </c>
      <c r="D1882" s="21">
        <v>9910003.9500000011</v>
      </c>
      <c r="E1882" s="21">
        <v>-9910003.9500000011</v>
      </c>
      <c r="F1882" s="21">
        <v>0</v>
      </c>
    </row>
    <row r="1883" spans="1:6" x14ac:dyDescent="0.25">
      <c r="A1883">
        <v>1856</v>
      </c>
      <c r="B1883" s="16">
        <v>44105</v>
      </c>
      <c r="C1883" t="s">
        <v>26</v>
      </c>
      <c r="D1883" s="21">
        <v>6444668.4750000006</v>
      </c>
      <c r="E1883" s="21">
        <v>-6444668.4750000006</v>
      </c>
      <c r="F1883" s="21">
        <v>0</v>
      </c>
    </row>
    <row r="1884" spans="1:6" x14ac:dyDescent="0.25">
      <c r="A1884">
        <v>1856</v>
      </c>
      <c r="B1884" s="16">
        <v>44136</v>
      </c>
      <c r="C1884" t="s">
        <v>162</v>
      </c>
      <c r="D1884" s="21">
        <v>5019615.5309999995</v>
      </c>
      <c r="E1884" s="21">
        <v>-5019615.5309999995</v>
      </c>
      <c r="F1884" s="21">
        <v>0</v>
      </c>
    </row>
    <row r="1885" spans="1:6" x14ac:dyDescent="0.25">
      <c r="A1885">
        <v>1856</v>
      </c>
      <c r="B1885" s="16">
        <v>44136</v>
      </c>
      <c r="C1885" t="s">
        <v>24</v>
      </c>
      <c r="D1885" s="21">
        <v>3771772.7985</v>
      </c>
      <c r="E1885" s="21">
        <v>-3771772.7985</v>
      </c>
      <c r="F1885" s="21">
        <v>0</v>
      </c>
    </row>
    <row r="1886" spans="1:6" x14ac:dyDescent="0.25">
      <c r="A1886">
        <v>1856</v>
      </c>
      <c r="B1886" s="16">
        <v>44136</v>
      </c>
      <c r="C1886" t="s">
        <v>192</v>
      </c>
      <c r="D1886" s="21">
        <v>20000000</v>
      </c>
      <c r="E1886" s="21">
        <v>-20000000</v>
      </c>
      <c r="F1886" s="21">
        <v>0</v>
      </c>
    </row>
    <row r="1887" spans="1:6" x14ac:dyDescent="0.25">
      <c r="A1887">
        <v>1856</v>
      </c>
      <c r="B1887" s="16">
        <v>44136</v>
      </c>
      <c r="C1887" t="s">
        <v>39</v>
      </c>
      <c r="D1887" s="21">
        <v>4205787.0750000002</v>
      </c>
      <c r="E1887" s="21">
        <v>-4205787.0750000002</v>
      </c>
      <c r="F1887" s="21">
        <v>0</v>
      </c>
    </row>
    <row r="1888" spans="1:6" x14ac:dyDescent="0.25">
      <c r="A1888">
        <v>1856</v>
      </c>
      <c r="B1888" s="16">
        <v>44136</v>
      </c>
      <c r="C1888" t="s">
        <v>12</v>
      </c>
      <c r="D1888" s="21">
        <v>9910003.9500000011</v>
      </c>
      <c r="E1888" s="21">
        <v>-9910003.9500000011</v>
      </c>
      <c r="F1888" s="21">
        <v>0</v>
      </c>
    </row>
    <row r="1889" spans="1:6" x14ac:dyDescent="0.25">
      <c r="A1889">
        <v>1856</v>
      </c>
      <c r="B1889" s="16">
        <v>44136</v>
      </c>
      <c r="C1889" t="s">
        <v>26</v>
      </c>
      <c r="D1889" s="21">
        <v>6444668.4750000006</v>
      </c>
      <c r="E1889" s="21">
        <v>-6444668.4750000006</v>
      </c>
      <c r="F1889" s="21">
        <v>0</v>
      </c>
    </row>
    <row r="1890" spans="1:6" x14ac:dyDescent="0.25">
      <c r="A1890">
        <v>1856</v>
      </c>
      <c r="B1890" s="16">
        <v>44166</v>
      </c>
      <c r="C1890" t="s">
        <v>162</v>
      </c>
      <c r="D1890" s="21">
        <v>5019615.5309999995</v>
      </c>
      <c r="E1890" s="21">
        <v>-5019615.5309999995</v>
      </c>
      <c r="F1890" s="21">
        <v>0</v>
      </c>
    </row>
    <row r="1891" spans="1:6" x14ac:dyDescent="0.25">
      <c r="A1891">
        <v>1856</v>
      </c>
      <c r="B1891" s="16">
        <v>44166</v>
      </c>
      <c r="C1891" t="s">
        <v>24</v>
      </c>
      <c r="D1891" s="21">
        <v>3771772.7985</v>
      </c>
      <c r="E1891" s="21">
        <v>-3771772.7985</v>
      </c>
      <c r="F1891" s="21">
        <v>0</v>
      </c>
    </row>
    <row r="1892" spans="1:6" x14ac:dyDescent="0.25">
      <c r="A1892">
        <v>1856</v>
      </c>
      <c r="B1892" s="16">
        <v>44166</v>
      </c>
      <c r="C1892" t="s">
        <v>192</v>
      </c>
      <c r="D1892" s="21">
        <v>20000000</v>
      </c>
      <c r="E1892" s="21">
        <v>-20000000</v>
      </c>
      <c r="F1892" s="21">
        <v>0</v>
      </c>
    </row>
    <row r="1893" spans="1:6" x14ac:dyDescent="0.25">
      <c r="A1893">
        <v>1856</v>
      </c>
      <c r="B1893" s="16">
        <v>44166</v>
      </c>
      <c r="C1893" t="s">
        <v>39</v>
      </c>
      <c r="D1893" s="21">
        <v>4205787.0750000002</v>
      </c>
      <c r="E1893" s="21">
        <v>-4205787.0750000002</v>
      </c>
      <c r="F1893" s="21">
        <v>0</v>
      </c>
    </row>
    <row r="1894" spans="1:6" x14ac:dyDescent="0.25">
      <c r="A1894">
        <v>1856</v>
      </c>
      <c r="B1894" s="16">
        <v>44166</v>
      </c>
      <c r="C1894" t="s">
        <v>12</v>
      </c>
      <c r="D1894" s="21">
        <v>9910003.9500000011</v>
      </c>
      <c r="E1894" s="21">
        <v>-9910003.9500000011</v>
      </c>
      <c r="F1894" s="21">
        <v>0</v>
      </c>
    </row>
    <row r="1895" spans="1:6" x14ac:dyDescent="0.25">
      <c r="A1895">
        <v>1856</v>
      </c>
      <c r="B1895" s="16">
        <v>44166</v>
      </c>
      <c r="C1895" t="s">
        <v>26</v>
      </c>
      <c r="D1895" s="21">
        <v>6444668.4750000006</v>
      </c>
      <c r="E1895" s="21">
        <v>-6444668.4750000006</v>
      </c>
      <c r="F1895" s="21">
        <v>0</v>
      </c>
    </row>
    <row r="1896" spans="1:6" x14ac:dyDescent="0.25">
      <c r="A1896">
        <v>1856</v>
      </c>
      <c r="B1896" s="16">
        <v>44197</v>
      </c>
      <c r="C1896" t="s">
        <v>162</v>
      </c>
      <c r="D1896" s="21">
        <v>5019615.5309999995</v>
      </c>
      <c r="E1896" s="21">
        <v>-5019615.5309999995</v>
      </c>
      <c r="F1896" s="21">
        <v>0</v>
      </c>
    </row>
    <row r="1897" spans="1:6" x14ac:dyDescent="0.25">
      <c r="A1897">
        <v>1856</v>
      </c>
      <c r="B1897" s="16">
        <v>44197</v>
      </c>
      <c r="C1897" t="s">
        <v>24</v>
      </c>
      <c r="D1897" s="21">
        <v>3771772.7985</v>
      </c>
      <c r="E1897" s="21">
        <v>-3771772.7985</v>
      </c>
      <c r="F1897" s="21">
        <v>0</v>
      </c>
    </row>
    <row r="1898" spans="1:6" x14ac:dyDescent="0.25">
      <c r="A1898">
        <v>1856</v>
      </c>
      <c r="B1898" s="16">
        <v>44197</v>
      </c>
      <c r="C1898" t="s">
        <v>192</v>
      </c>
      <c r="D1898" s="21">
        <v>20000000</v>
      </c>
      <c r="E1898" s="21">
        <v>-20000000</v>
      </c>
      <c r="F1898" s="21">
        <v>0</v>
      </c>
    </row>
    <row r="1899" spans="1:6" x14ac:dyDescent="0.25">
      <c r="A1899">
        <v>1856</v>
      </c>
      <c r="B1899" s="16">
        <v>44197</v>
      </c>
      <c r="C1899" t="s">
        <v>39</v>
      </c>
      <c r="D1899" s="21">
        <v>4205787.0750000002</v>
      </c>
      <c r="E1899" s="21">
        <v>-4205787.0750000002</v>
      </c>
      <c r="F1899" s="21">
        <v>0</v>
      </c>
    </row>
    <row r="1900" spans="1:6" x14ac:dyDescent="0.25">
      <c r="A1900">
        <v>1856</v>
      </c>
      <c r="B1900" s="16">
        <v>44197</v>
      </c>
      <c r="C1900" t="s">
        <v>12</v>
      </c>
      <c r="D1900" s="21">
        <v>9910003.9500000011</v>
      </c>
      <c r="E1900" s="21">
        <v>-9910003.9500000011</v>
      </c>
      <c r="F1900" s="21">
        <v>0</v>
      </c>
    </row>
    <row r="1901" spans="1:6" x14ac:dyDescent="0.25">
      <c r="A1901">
        <v>1856</v>
      </c>
      <c r="B1901" s="16">
        <v>44197</v>
      </c>
      <c r="C1901" t="s">
        <v>26</v>
      </c>
      <c r="D1901" s="21">
        <v>6444668.4750000006</v>
      </c>
      <c r="E1901" s="21">
        <v>-6444668.4750000006</v>
      </c>
      <c r="F1901" s="21">
        <v>0</v>
      </c>
    </row>
    <row r="1902" spans="1:6" x14ac:dyDescent="0.25">
      <c r="A1902">
        <v>1856</v>
      </c>
      <c r="B1902" s="16">
        <v>44228</v>
      </c>
      <c r="C1902" t="s">
        <v>12</v>
      </c>
      <c r="D1902" s="21">
        <v>9910003.9500000011</v>
      </c>
      <c r="E1902" s="21">
        <v>-9910003.9500000011</v>
      </c>
      <c r="F1902" s="21">
        <v>0</v>
      </c>
    </row>
    <row r="1903" spans="1:6" x14ac:dyDescent="0.25">
      <c r="A1903">
        <v>1857</v>
      </c>
      <c r="B1903" s="16">
        <v>43466</v>
      </c>
      <c r="C1903" t="s">
        <v>192</v>
      </c>
      <c r="D1903" s="21">
        <v>9800000</v>
      </c>
      <c r="E1903" s="21">
        <v>-9800000</v>
      </c>
      <c r="F1903" s="21">
        <v>0</v>
      </c>
    </row>
    <row r="1904" spans="1:6" x14ac:dyDescent="0.25">
      <c r="A1904">
        <v>1857</v>
      </c>
      <c r="B1904" s="16">
        <v>43497</v>
      </c>
      <c r="C1904" t="s">
        <v>192</v>
      </c>
      <c r="D1904" s="21">
        <v>9800000</v>
      </c>
      <c r="E1904" s="21">
        <v>-9800000</v>
      </c>
      <c r="F1904" s="21">
        <v>0</v>
      </c>
    </row>
    <row r="1905" spans="1:6" x14ac:dyDescent="0.25">
      <c r="A1905">
        <v>1857</v>
      </c>
      <c r="B1905" s="16">
        <v>43525</v>
      </c>
      <c r="C1905" t="s">
        <v>192</v>
      </c>
      <c r="D1905" s="21">
        <v>9800000</v>
      </c>
      <c r="E1905" s="21">
        <v>-9800000</v>
      </c>
      <c r="F1905" s="21">
        <v>0</v>
      </c>
    </row>
    <row r="1906" spans="1:6" x14ac:dyDescent="0.25">
      <c r="A1906">
        <v>1857</v>
      </c>
      <c r="B1906" s="16">
        <v>43556</v>
      </c>
      <c r="C1906" t="s">
        <v>192</v>
      </c>
      <c r="D1906" s="21">
        <v>9800000</v>
      </c>
      <c r="E1906" s="21">
        <v>-9800000</v>
      </c>
      <c r="F1906" s="21">
        <v>0</v>
      </c>
    </row>
    <row r="1907" spans="1:6" x14ac:dyDescent="0.25">
      <c r="A1907">
        <v>1857</v>
      </c>
      <c r="B1907" s="16">
        <v>43586</v>
      </c>
      <c r="C1907" t="s">
        <v>192</v>
      </c>
      <c r="D1907" s="21">
        <v>9800000</v>
      </c>
      <c r="E1907" s="21">
        <v>-9800000</v>
      </c>
      <c r="F1907" s="21">
        <v>0</v>
      </c>
    </row>
    <row r="1908" spans="1:6" x14ac:dyDescent="0.25">
      <c r="A1908">
        <v>1857</v>
      </c>
      <c r="B1908" s="16">
        <v>43617</v>
      </c>
      <c r="C1908" t="s">
        <v>192</v>
      </c>
      <c r="D1908" s="21">
        <v>9800000</v>
      </c>
      <c r="E1908" s="21">
        <v>-9800000</v>
      </c>
      <c r="F1908" s="21">
        <v>0</v>
      </c>
    </row>
    <row r="1909" spans="1:6" x14ac:dyDescent="0.25">
      <c r="A1909">
        <v>1857</v>
      </c>
      <c r="B1909" s="16">
        <v>43647</v>
      </c>
      <c r="C1909" t="s">
        <v>192</v>
      </c>
      <c r="D1909" s="21">
        <v>9800000</v>
      </c>
      <c r="E1909" s="21">
        <v>-9800000</v>
      </c>
      <c r="F1909" s="21">
        <v>0</v>
      </c>
    </row>
    <row r="1910" spans="1:6" x14ac:dyDescent="0.25">
      <c r="A1910">
        <v>1857</v>
      </c>
      <c r="B1910" s="16">
        <v>43678</v>
      </c>
      <c r="C1910" t="s">
        <v>192</v>
      </c>
      <c r="D1910" s="21">
        <v>9800000</v>
      </c>
      <c r="E1910" s="21">
        <v>-9800000</v>
      </c>
      <c r="F1910" s="21">
        <v>0</v>
      </c>
    </row>
    <row r="1911" spans="1:6" x14ac:dyDescent="0.25">
      <c r="A1911">
        <v>1857</v>
      </c>
      <c r="B1911" s="16">
        <v>43709</v>
      </c>
      <c r="C1911" t="s">
        <v>192</v>
      </c>
      <c r="D1911" s="21">
        <v>9800000</v>
      </c>
      <c r="E1911" s="21">
        <v>-9800000</v>
      </c>
      <c r="F1911" s="21">
        <v>0</v>
      </c>
    </row>
    <row r="1912" spans="1:6" x14ac:dyDescent="0.25">
      <c r="A1912">
        <v>1858</v>
      </c>
      <c r="B1912" s="16">
        <v>43466</v>
      </c>
      <c r="C1912" t="s">
        <v>192</v>
      </c>
      <c r="D1912" s="21">
        <v>118601976.15000001</v>
      </c>
      <c r="E1912" s="21">
        <v>-118601976.15000001</v>
      </c>
      <c r="F1912" s="21">
        <v>0</v>
      </c>
    </row>
    <row r="1913" spans="1:6" x14ac:dyDescent="0.25">
      <c r="A1913">
        <v>1858</v>
      </c>
      <c r="B1913" s="16">
        <v>43497</v>
      </c>
      <c r="C1913" t="s">
        <v>192</v>
      </c>
      <c r="D1913" s="21">
        <v>197669960.25</v>
      </c>
      <c r="E1913" s="21">
        <v>-197669960.25</v>
      </c>
      <c r="F1913" s="21">
        <v>0</v>
      </c>
    </row>
    <row r="1914" spans="1:6" x14ac:dyDescent="0.25">
      <c r="A1914">
        <v>1858</v>
      </c>
      <c r="B1914" s="16">
        <v>43525</v>
      </c>
      <c r="C1914" t="s">
        <v>192</v>
      </c>
      <c r="D1914" s="21">
        <v>171313965.55000007</v>
      </c>
      <c r="E1914" s="21">
        <v>-171313965.55000007</v>
      </c>
      <c r="F1914" s="21">
        <v>0</v>
      </c>
    </row>
    <row r="1915" spans="1:6" x14ac:dyDescent="0.25">
      <c r="A1915">
        <v>1858</v>
      </c>
      <c r="B1915" s="16">
        <v>43556</v>
      </c>
      <c r="C1915" t="s">
        <v>192</v>
      </c>
      <c r="D1915" s="21">
        <v>210847957.5999999</v>
      </c>
      <c r="E1915" s="21">
        <v>-210847957.5999999</v>
      </c>
      <c r="F1915" s="21">
        <v>0</v>
      </c>
    </row>
    <row r="1916" spans="1:6" x14ac:dyDescent="0.25">
      <c r="A1916">
        <v>1860</v>
      </c>
      <c r="B1916" s="16">
        <v>43466</v>
      </c>
      <c r="C1916" t="s">
        <v>192</v>
      </c>
      <c r="D1916" s="21">
        <v>7700000</v>
      </c>
      <c r="E1916" s="21">
        <v>-7700000</v>
      </c>
      <c r="F1916" s="21">
        <v>0</v>
      </c>
    </row>
    <row r="1917" spans="1:6" x14ac:dyDescent="0.25">
      <c r="A1917">
        <v>1860</v>
      </c>
      <c r="B1917" s="16">
        <v>43466</v>
      </c>
      <c r="C1917" t="s">
        <v>162</v>
      </c>
      <c r="D1917" s="21">
        <v>4758075</v>
      </c>
      <c r="E1917" s="21">
        <v>-4758075</v>
      </c>
      <c r="F1917" s="21">
        <v>0</v>
      </c>
    </row>
    <row r="1918" spans="1:6" x14ac:dyDescent="0.25">
      <c r="A1918">
        <v>1860</v>
      </c>
      <c r="B1918" s="16">
        <v>43466</v>
      </c>
      <c r="C1918" t="s">
        <v>19</v>
      </c>
      <c r="D1918" s="21">
        <v>1905120.0000000002</v>
      </c>
      <c r="E1918" s="21">
        <v>-1905120.0000000002</v>
      </c>
      <c r="F1918" s="21">
        <v>0</v>
      </c>
    </row>
    <row r="1919" spans="1:6" x14ac:dyDescent="0.25">
      <c r="A1919">
        <v>1860</v>
      </c>
      <c r="B1919" s="16">
        <v>43466</v>
      </c>
      <c r="C1919" t="s">
        <v>26</v>
      </c>
      <c r="D1919" s="21">
        <v>5985000</v>
      </c>
      <c r="E1919" s="21">
        <v>-5985000</v>
      </c>
      <c r="F1919" s="21">
        <v>0</v>
      </c>
    </row>
    <row r="1920" spans="1:6" x14ac:dyDescent="0.25">
      <c r="A1920">
        <v>1860</v>
      </c>
      <c r="B1920" s="16">
        <v>43497</v>
      </c>
      <c r="C1920" t="s">
        <v>192</v>
      </c>
      <c r="D1920" s="21">
        <v>7700000</v>
      </c>
      <c r="E1920" s="21">
        <v>-7700000</v>
      </c>
      <c r="F1920" s="21">
        <v>0</v>
      </c>
    </row>
    <row r="1921" spans="1:6" x14ac:dyDescent="0.25">
      <c r="A1921">
        <v>1860</v>
      </c>
      <c r="B1921" s="16">
        <v>43497</v>
      </c>
      <c r="C1921" t="s">
        <v>162</v>
      </c>
      <c r="D1921" s="21">
        <v>4758075</v>
      </c>
      <c r="E1921" s="21">
        <v>-4758075</v>
      </c>
      <c r="F1921" s="21">
        <v>0</v>
      </c>
    </row>
    <row r="1922" spans="1:6" x14ac:dyDescent="0.25">
      <c r="A1922">
        <v>1860</v>
      </c>
      <c r="B1922" s="16">
        <v>43497</v>
      </c>
      <c r="C1922" t="s">
        <v>19</v>
      </c>
      <c r="D1922" s="21">
        <v>1905120.0000000002</v>
      </c>
      <c r="E1922" s="21">
        <v>-1905120.0000000002</v>
      </c>
      <c r="F1922" s="21">
        <v>0</v>
      </c>
    </row>
    <row r="1923" spans="1:6" x14ac:dyDescent="0.25">
      <c r="A1923">
        <v>1860</v>
      </c>
      <c r="B1923" s="16">
        <v>43497</v>
      </c>
      <c r="C1923" t="s">
        <v>26</v>
      </c>
      <c r="D1923" s="21">
        <v>5985000</v>
      </c>
      <c r="E1923" s="21">
        <v>-5985000</v>
      </c>
      <c r="F1923" s="21">
        <v>0</v>
      </c>
    </row>
    <row r="1924" spans="1:6" x14ac:dyDescent="0.25">
      <c r="A1924">
        <v>1860</v>
      </c>
      <c r="B1924" s="16">
        <v>43525</v>
      </c>
      <c r="C1924" t="s">
        <v>192</v>
      </c>
      <c r="D1924" s="21">
        <v>7700000</v>
      </c>
      <c r="E1924" s="21">
        <v>-7700000</v>
      </c>
      <c r="F1924" s="21">
        <v>0</v>
      </c>
    </row>
    <row r="1925" spans="1:6" x14ac:dyDescent="0.25">
      <c r="A1925">
        <v>1860</v>
      </c>
      <c r="B1925" s="16">
        <v>43525</v>
      </c>
      <c r="C1925" t="s">
        <v>162</v>
      </c>
      <c r="D1925" s="21">
        <v>4758075</v>
      </c>
      <c r="E1925" s="21">
        <v>-4758075</v>
      </c>
      <c r="F1925" s="21">
        <v>0</v>
      </c>
    </row>
    <row r="1926" spans="1:6" x14ac:dyDescent="0.25">
      <c r="A1926">
        <v>1860</v>
      </c>
      <c r="B1926" s="16">
        <v>43525</v>
      </c>
      <c r="C1926" t="s">
        <v>19</v>
      </c>
      <c r="D1926" s="21">
        <v>1905120.0000000002</v>
      </c>
      <c r="E1926" s="21">
        <v>-1905120.0000000002</v>
      </c>
      <c r="F1926" s="21">
        <v>0</v>
      </c>
    </row>
    <row r="1927" spans="1:6" x14ac:dyDescent="0.25">
      <c r="A1927">
        <v>1860</v>
      </c>
      <c r="B1927" s="16">
        <v>43525</v>
      </c>
      <c r="C1927" t="s">
        <v>26</v>
      </c>
      <c r="D1927" s="21">
        <v>5985000</v>
      </c>
      <c r="E1927" s="21">
        <v>-5985000</v>
      </c>
      <c r="F1927" s="21">
        <v>0</v>
      </c>
    </row>
    <row r="1928" spans="1:6" x14ac:dyDescent="0.25">
      <c r="A1928">
        <v>1860</v>
      </c>
      <c r="B1928" s="16">
        <v>43556</v>
      </c>
      <c r="C1928" t="s">
        <v>192</v>
      </c>
      <c r="D1928" s="21">
        <v>7700000</v>
      </c>
      <c r="E1928" s="21">
        <v>-7700000</v>
      </c>
      <c r="F1928" s="21">
        <v>0</v>
      </c>
    </row>
    <row r="1929" spans="1:6" x14ac:dyDescent="0.25">
      <c r="A1929">
        <v>1860</v>
      </c>
      <c r="B1929" s="16">
        <v>43556</v>
      </c>
      <c r="C1929" t="s">
        <v>162</v>
      </c>
      <c r="D1929" s="21">
        <v>4758075</v>
      </c>
      <c r="E1929" s="21">
        <v>-4758075</v>
      </c>
      <c r="F1929" s="21">
        <v>0</v>
      </c>
    </row>
    <row r="1930" spans="1:6" x14ac:dyDescent="0.25">
      <c r="A1930">
        <v>1860</v>
      </c>
      <c r="B1930" s="16">
        <v>43556</v>
      </c>
      <c r="C1930" t="s">
        <v>19</v>
      </c>
      <c r="D1930" s="21">
        <v>1905120.0000000002</v>
      </c>
      <c r="E1930" s="21">
        <v>-1905120.0000000002</v>
      </c>
      <c r="F1930" s="21">
        <v>0</v>
      </c>
    </row>
    <row r="1931" spans="1:6" x14ac:dyDescent="0.25">
      <c r="A1931">
        <v>1860</v>
      </c>
      <c r="B1931" s="16">
        <v>43556</v>
      </c>
      <c r="C1931" t="s">
        <v>26</v>
      </c>
      <c r="D1931" s="21">
        <v>5985000</v>
      </c>
      <c r="E1931" s="21">
        <v>-5985000</v>
      </c>
      <c r="F1931" s="21">
        <v>0</v>
      </c>
    </row>
    <row r="1932" spans="1:6" x14ac:dyDescent="0.25">
      <c r="A1932">
        <v>1860</v>
      </c>
      <c r="B1932" s="16">
        <v>43586</v>
      </c>
      <c r="C1932" t="s">
        <v>192</v>
      </c>
      <c r="D1932" s="21">
        <v>7700000</v>
      </c>
      <c r="E1932" s="21">
        <v>-7700000</v>
      </c>
      <c r="F1932" s="21">
        <v>0</v>
      </c>
    </row>
    <row r="1933" spans="1:6" x14ac:dyDescent="0.25">
      <c r="A1933">
        <v>1860</v>
      </c>
      <c r="B1933" s="16">
        <v>43586</v>
      </c>
      <c r="C1933" t="s">
        <v>162</v>
      </c>
      <c r="D1933" s="21">
        <v>4758075</v>
      </c>
      <c r="E1933" s="21">
        <v>-4758075</v>
      </c>
      <c r="F1933" s="21">
        <v>0</v>
      </c>
    </row>
    <row r="1934" spans="1:6" x14ac:dyDescent="0.25">
      <c r="A1934">
        <v>1860</v>
      </c>
      <c r="B1934" s="16">
        <v>43586</v>
      </c>
      <c r="C1934" t="s">
        <v>19</v>
      </c>
      <c r="D1934" s="21">
        <v>1905120.0000000002</v>
      </c>
      <c r="E1934" s="21">
        <v>-1905120.0000000002</v>
      </c>
      <c r="F1934" s="21">
        <v>0</v>
      </c>
    </row>
    <row r="1935" spans="1:6" x14ac:dyDescent="0.25">
      <c r="A1935">
        <v>1860</v>
      </c>
      <c r="B1935" s="16">
        <v>43586</v>
      </c>
      <c r="C1935" t="s">
        <v>26</v>
      </c>
      <c r="D1935" s="21">
        <v>5985000</v>
      </c>
      <c r="E1935" s="21">
        <v>-5985000</v>
      </c>
      <c r="F1935" s="21">
        <v>0</v>
      </c>
    </row>
    <row r="1936" spans="1:6" x14ac:dyDescent="0.25">
      <c r="A1936">
        <v>1860</v>
      </c>
      <c r="B1936" s="16">
        <v>43617</v>
      </c>
      <c r="C1936" t="s">
        <v>192</v>
      </c>
      <c r="D1936" s="21">
        <v>7700000</v>
      </c>
      <c r="E1936" s="21">
        <v>-7700000</v>
      </c>
      <c r="F1936" s="21">
        <v>0</v>
      </c>
    </row>
    <row r="1937" spans="1:6" x14ac:dyDescent="0.25">
      <c r="A1937">
        <v>1860</v>
      </c>
      <c r="B1937" s="16">
        <v>43617</v>
      </c>
      <c r="C1937" t="s">
        <v>162</v>
      </c>
      <c r="D1937" s="21">
        <v>4758075</v>
      </c>
      <c r="E1937" s="21">
        <v>-4758075</v>
      </c>
      <c r="F1937" s="21">
        <v>0</v>
      </c>
    </row>
    <row r="1938" spans="1:6" x14ac:dyDescent="0.25">
      <c r="A1938">
        <v>1860</v>
      </c>
      <c r="B1938" s="16">
        <v>43617</v>
      </c>
      <c r="C1938" t="s">
        <v>19</v>
      </c>
      <c r="D1938" s="21">
        <v>1905120.0000000002</v>
      </c>
      <c r="E1938" s="21">
        <v>-1905120.0000000002</v>
      </c>
      <c r="F1938" s="21">
        <v>0</v>
      </c>
    </row>
    <row r="1939" spans="1:6" x14ac:dyDescent="0.25">
      <c r="A1939">
        <v>1860</v>
      </c>
      <c r="B1939" s="16">
        <v>43617</v>
      </c>
      <c r="C1939" t="s">
        <v>26</v>
      </c>
      <c r="D1939" s="21">
        <v>5985000</v>
      </c>
      <c r="E1939" s="21">
        <v>-5985000</v>
      </c>
      <c r="F1939" s="21">
        <v>0</v>
      </c>
    </row>
    <row r="1940" spans="1:6" x14ac:dyDescent="0.25">
      <c r="A1940">
        <v>1860</v>
      </c>
      <c r="B1940" s="16">
        <v>43647</v>
      </c>
      <c r="C1940" t="s">
        <v>192</v>
      </c>
      <c r="D1940" s="21">
        <v>7700000</v>
      </c>
      <c r="E1940" s="21">
        <v>-7700000</v>
      </c>
      <c r="F1940" s="21">
        <v>0</v>
      </c>
    </row>
    <row r="1941" spans="1:6" x14ac:dyDescent="0.25">
      <c r="A1941">
        <v>1860</v>
      </c>
      <c r="B1941" s="16">
        <v>43647</v>
      </c>
      <c r="C1941" t="s">
        <v>162</v>
      </c>
      <c r="D1941" s="21">
        <v>4758075</v>
      </c>
      <c r="E1941" s="21">
        <v>-4758075</v>
      </c>
      <c r="F1941" s="21">
        <v>0</v>
      </c>
    </row>
    <row r="1942" spans="1:6" x14ac:dyDescent="0.25">
      <c r="A1942">
        <v>1860</v>
      </c>
      <c r="B1942" s="16">
        <v>43647</v>
      </c>
      <c r="C1942" t="s">
        <v>19</v>
      </c>
      <c r="D1942" s="21">
        <v>1905120.0000000002</v>
      </c>
      <c r="E1942" s="21">
        <v>-1905120.0000000002</v>
      </c>
      <c r="F1942" s="21">
        <v>0</v>
      </c>
    </row>
    <row r="1943" spans="1:6" x14ac:dyDescent="0.25">
      <c r="A1943">
        <v>1860</v>
      </c>
      <c r="B1943" s="16">
        <v>43647</v>
      </c>
      <c r="C1943" t="s">
        <v>26</v>
      </c>
      <c r="D1943" s="21">
        <v>5985000</v>
      </c>
      <c r="E1943" s="21">
        <v>-5985000</v>
      </c>
      <c r="F1943" s="21">
        <v>0</v>
      </c>
    </row>
    <row r="1944" spans="1:6" x14ac:dyDescent="0.25">
      <c r="A1944">
        <v>1860</v>
      </c>
      <c r="B1944" s="16">
        <v>43678</v>
      </c>
      <c r="C1944" t="s">
        <v>192</v>
      </c>
      <c r="D1944" s="21">
        <v>7700000</v>
      </c>
      <c r="E1944" s="21">
        <v>-7700000</v>
      </c>
      <c r="F1944" s="21">
        <v>0</v>
      </c>
    </row>
    <row r="1945" spans="1:6" x14ac:dyDescent="0.25">
      <c r="A1945">
        <v>1860</v>
      </c>
      <c r="B1945" s="16">
        <v>43678</v>
      </c>
      <c r="C1945" t="s">
        <v>162</v>
      </c>
      <c r="D1945" s="21">
        <v>4758075</v>
      </c>
      <c r="E1945" s="21">
        <v>-4758075</v>
      </c>
      <c r="F1945" s="21">
        <v>0</v>
      </c>
    </row>
    <row r="1946" spans="1:6" x14ac:dyDescent="0.25">
      <c r="A1946">
        <v>1860</v>
      </c>
      <c r="B1946" s="16">
        <v>43678</v>
      </c>
      <c r="C1946" t="s">
        <v>19</v>
      </c>
      <c r="D1946" s="21">
        <v>1905120.0000000002</v>
      </c>
      <c r="E1946" s="21">
        <v>-1905120.0000000002</v>
      </c>
      <c r="F1946" s="21">
        <v>0</v>
      </c>
    </row>
    <row r="1947" spans="1:6" x14ac:dyDescent="0.25">
      <c r="A1947">
        <v>1860</v>
      </c>
      <c r="B1947" s="16">
        <v>43678</v>
      </c>
      <c r="C1947" t="s">
        <v>26</v>
      </c>
      <c r="D1947" s="21">
        <v>5985000</v>
      </c>
      <c r="E1947" s="21">
        <v>-5985000</v>
      </c>
      <c r="F1947" s="21">
        <v>0</v>
      </c>
    </row>
    <row r="1948" spans="1:6" x14ac:dyDescent="0.25">
      <c r="A1948">
        <v>1860</v>
      </c>
      <c r="B1948" s="16">
        <v>43709</v>
      </c>
      <c r="C1948" t="s">
        <v>192</v>
      </c>
      <c r="D1948" s="21">
        <v>7700000</v>
      </c>
      <c r="E1948" s="21">
        <v>-7700000</v>
      </c>
      <c r="F1948" s="21">
        <v>0</v>
      </c>
    </row>
    <row r="1949" spans="1:6" x14ac:dyDescent="0.25">
      <c r="A1949">
        <v>1860</v>
      </c>
      <c r="B1949" s="16">
        <v>43709</v>
      </c>
      <c r="C1949" t="s">
        <v>162</v>
      </c>
      <c r="D1949" s="21">
        <v>4758075</v>
      </c>
      <c r="E1949" s="21">
        <v>-4758075</v>
      </c>
      <c r="F1949" s="21">
        <v>0</v>
      </c>
    </row>
    <row r="1950" spans="1:6" x14ac:dyDescent="0.25">
      <c r="A1950">
        <v>1860</v>
      </c>
      <c r="B1950" s="16">
        <v>43709</v>
      </c>
      <c r="C1950" t="s">
        <v>19</v>
      </c>
      <c r="D1950" s="21">
        <v>1905120.0000000002</v>
      </c>
      <c r="E1950" s="21">
        <v>-1905120.0000000002</v>
      </c>
      <c r="F1950" s="21">
        <v>0</v>
      </c>
    </row>
    <row r="1951" spans="1:6" x14ac:dyDescent="0.25">
      <c r="A1951">
        <v>1860</v>
      </c>
      <c r="B1951" s="16">
        <v>43709</v>
      </c>
      <c r="C1951" t="s">
        <v>26</v>
      </c>
      <c r="D1951" s="21">
        <v>5985000</v>
      </c>
      <c r="E1951" s="21">
        <v>-5985000</v>
      </c>
      <c r="F1951" s="21">
        <v>0</v>
      </c>
    </row>
    <row r="1952" spans="1:6" x14ac:dyDescent="0.25">
      <c r="A1952">
        <v>1860</v>
      </c>
      <c r="B1952" s="16">
        <v>43739</v>
      </c>
      <c r="C1952" t="s">
        <v>192</v>
      </c>
      <c r="D1952" s="21">
        <v>7700000</v>
      </c>
      <c r="E1952" s="21">
        <v>-7700000</v>
      </c>
      <c r="F1952" s="21">
        <v>0</v>
      </c>
    </row>
    <row r="1953" spans="1:6" x14ac:dyDescent="0.25">
      <c r="A1953">
        <v>1860</v>
      </c>
      <c r="B1953" s="16">
        <v>43739</v>
      </c>
      <c r="C1953" t="s">
        <v>162</v>
      </c>
      <c r="D1953" s="21">
        <v>4758075</v>
      </c>
      <c r="E1953" s="21">
        <v>-4758075</v>
      </c>
      <c r="F1953" s="21">
        <v>0</v>
      </c>
    </row>
    <row r="1954" spans="1:6" x14ac:dyDescent="0.25">
      <c r="A1954">
        <v>1860</v>
      </c>
      <c r="B1954" s="16">
        <v>43739</v>
      </c>
      <c r="C1954" t="s">
        <v>19</v>
      </c>
      <c r="D1954" s="21">
        <v>1905120.0000000002</v>
      </c>
      <c r="E1954" s="21">
        <v>-1905120.0000000002</v>
      </c>
      <c r="F1954" s="21">
        <v>0</v>
      </c>
    </row>
    <row r="1955" spans="1:6" x14ac:dyDescent="0.25">
      <c r="A1955">
        <v>1860</v>
      </c>
      <c r="B1955" s="16">
        <v>43739</v>
      </c>
      <c r="C1955" t="s">
        <v>26</v>
      </c>
      <c r="D1955" s="21">
        <v>5985000</v>
      </c>
      <c r="E1955" s="21">
        <v>-5985000</v>
      </c>
      <c r="F1955" s="21">
        <v>0</v>
      </c>
    </row>
    <row r="1956" spans="1:6" x14ac:dyDescent="0.25">
      <c r="A1956">
        <v>1860</v>
      </c>
      <c r="B1956" s="16">
        <v>43770</v>
      </c>
      <c r="C1956" t="s">
        <v>192</v>
      </c>
      <c r="D1956" s="21">
        <v>7700000</v>
      </c>
      <c r="E1956" s="21">
        <v>-7700000</v>
      </c>
      <c r="F1956" s="21">
        <v>0</v>
      </c>
    </row>
    <row r="1957" spans="1:6" x14ac:dyDescent="0.25">
      <c r="A1957">
        <v>1860</v>
      </c>
      <c r="B1957" s="16">
        <v>43770</v>
      </c>
      <c r="C1957" t="s">
        <v>162</v>
      </c>
      <c r="D1957" s="21">
        <v>4758075</v>
      </c>
      <c r="E1957" s="21">
        <v>-4758075</v>
      </c>
      <c r="F1957" s="21">
        <v>0</v>
      </c>
    </row>
    <row r="1958" spans="1:6" x14ac:dyDescent="0.25">
      <c r="A1958">
        <v>1860</v>
      </c>
      <c r="B1958" s="16">
        <v>43770</v>
      </c>
      <c r="C1958" t="s">
        <v>19</v>
      </c>
      <c r="D1958" s="21">
        <v>1905120.0000000002</v>
      </c>
      <c r="E1958" s="21">
        <v>-1905120.0000000002</v>
      </c>
      <c r="F1958" s="21">
        <v>0</v>
      </c>
    </row>
    <row r="1959" spans="1:6" x14ac:dyDescent="0.25">
      <c r="A1959">
        <v>1860</v>
      </c>
      <c r="B1959" s="16">
        <v>43770</v>
      </c>
      <c r="C1959" t="s">
        <v>26</v>
      </c>
      <c r="D1959" s="21">
        <v>5985000</v>
      </c>
      <c r="E1959" s="21">
        <v>-5985000</v>
      </c>
      <c r="F1959" s="21">
        <v>0</v>
      </c>
    </row>
    <row r="1960" spans="1:6" x14ac:dyDescent="0.25">
      <c r="A1960">
        <v>1860</v>
      </c>
      <c r="B1960" s="16">
        <v>43800</v>
      </c>
      <c r="C1960" t="s">
        <v>192</v>
      </c>
      <c r="D1960" s="21">
        <v>7700000</v>
      </c>
      <c r="E1960" s="21">
        <v>-7700000</v>
      </c>
      <c r="F1960" s="21">
        <v>0</v>
      </c>
    </row>
    <row r="1961" spans="1:6" x14ac:dyDescent="0.25">
      <c r="A1961">
        <v>1860</v>
      </c>
      <c r="B1961" s="16">
        <v>43800</v>
      </c>
      <c r="C1961" t="s">
        <v>162</v>
      </c>
      <c r="D1961" s="21">
        <v>4758075</v>
      </c>
      <c r="E1961" s="21">
        <v>-4758075</v>
      </c>
      <c r="F1961" s="21">
        <v>0</v>
      </c>
    </row>
    <row r="1962" spans="1:6" x14ac:dyDescent="0.25">
      <c r="A1962">
        <v>1860</v>
      </c>
      <c r="B1962" s="16">
        <v>43800</v>
      </c>
      <c r="C1962" t="s">
        <v>19</v>
      </c>
      <c r="D1962" s="21">
        <v>1905120.0000000002</v>
      </c>
      <c r="E1962" s="21">
        <v>-1905120.0000000002</v>
      </c>
      <c r="F1962" s="21">
        <v>0</v>
      </c>
    </row>
    <row r="1963" spans="1:6" x14ac:dyDescent="0.25">
      <c r="A1963">
        <v>1860</v>
      </c>
      <c r="B1963" s="16">
        <v>43800</v>
      </c>
      <c r="C1963" t="s">
        <v>26</v>
      </c>
      <c r="D1963" s="21">
        <v>5985000</v>
      </c>
      <c r="E1963" s="21">
        <v>-5985000</v>
      </c>
      <c r="F1963" s="21">
        <v>0</v>
      </c>
    </row>
    <row r="1964" spans="1:6" x14ac:dyDescent="0.25">
      <c r="A1964">
        <v>1860</v>
      </c>
      <c r="B1964" s="16">
        <v>43831</v>
      </c>
      <c r="C1964" t="s">
        <v>192</v>
      </c>
      <c r="D1964" s="21">
        <v>7700000</v>
      </c>
      <c r="E1964" s="21">
        <v>-7700000</v>
      </c>
      <c r="F1964" s="21">
        <v>0</v>
      </c>
    </row>
    <row r="1965" spans="1:6" x14ac:dyDescent="0.25">
      <c r="A1965">
        <v>1860</v>
      </c>
      <c r="B1965" s="16">
        <v>43831</v>
      </c>
      <c r="C1965" t="s">
        <v>162</v>
      </c>
      <c r="D1965" s="21">
        <v>4758075</v>
      </c>
      <c r="E1965" s="21">
        <v>-4758075</v>
      </c>
      <c r="F1965" s="21">
        <v>0</v>
      </c>
    </row>
    <row r="1966" spans="1:6" x14ac:dyDescent="0.25">
      <c r="A1966">
        <v>1860</v>
      </c>
      <c r="B1966" s="16">
        <v>43831</v>
      </c>
      <c r="C1966" t="s">
        <v>19</v>
      </c>
      <c r="D1966" s="21">
        <v>1905120.0000000002</v>
      </c>
      <c r="E1966" s="21">
        <v>-1905120.0000000002</v>
      </c>
      <c r="F1966" s="21">
        <v>0</v>
      </c>
    </row>
    <row r="1967" spans="1:6" x14ac:dyDescent="0.25">
      <c r="A1967">
        <v>1860</v>
      </c>
      <c r="B1967" s="16">
        <v>43831</v>
      </c>
      <c r="C1967" t="s">
        <v>26</v>
      </c>
      <c r="D1967" s="21">
        <v>5985000</v>
      </c>
      <c r="E1967" s="21">
        <v>-5985000</v>
      </c>
      <c r="F1967" s="21">
        <v>0</v>
      </c>
    </row>
    <row r="1968" spans="1:6" x14ac:dyDescent="0.25">
      <c r="A1968">
        <v>1860</v>
      </c>
      <c r="B1968" s="16">
        <v>43862</v>
      </c>
      <c r="C1968" t="s">
        <v>192</v>
      </c>
      <c r="D1968" s="21">
        <v>7700000</v>
      </c>
      <c r="E1968" s="21">
        <v>-7700000</v>
      </c>
      <c r="F1968" s="21">
        <v>0</v>
      </c>
    </row>
    <row r="1969" spans="1:6" x14ac:dyDescent="0.25">
      <c r="A1969">
        <v>1860</v>
      </c>
      <c r="B1969" s="16">
        <v>43862</v>
      </c>
      <c r="C1969" t="s">
        <v>162</v>
      </c>
      <c r="D1969" s="21">
        <v>4758075</v>
      </c>
      <c r="E1969" s="21">
        <v>-4758075</v>
      </c>
      <c r="F1969" s="21">
        <v>0</v>
      </c>
    </row>
    <row r="1970" spans="1:6" x14ac:dyDescent="0.25">
      <c r="A1970">
        <v>1860</v>
      </c>
      <c r="B1970" s="16">
        <v>43862</v>
      </c>
      <c r="C1970" t="s">
        <v>19</v>
      </c>
      <c r="D1970" s="21">
        <v>1905120.0000000002</v>
      </c>
      <c r="E1970" s="21">
        <v>-1905120.0000000002</v>
      </c>
      <c r="F1970" s="21">
        <v>0</v>
      </c>
    </row>
    <row r="1971" spans="1:6" x14ac:dyDescent="0.25">
      <c r="A1971">
        <v>1860</v>
      </c>
      <c r="B1971" s="16">
        <v>43862</v>
      </c>
      <c r="C1971" t="s">
        <v>26</v>
      </c>
      <c r="D1971" s="21">
        <v>5985000</v>
      </c>
      <c r="E1971" s="21">
        <v>-5985000</v>
      </c>
      <c r="F1971" s="21">
        <v>0</v>
      </c>
    </row>
    <row r="1972" spans="1:6" x14ac:dyDescent="0.25">
      <c r="A1972">
        <v>1860</v>
      </c>
      <c r="B1972" s="16">
        <v>43891</v>
      </c>
      <c r="C1972" t="s">
        <v>192</v>
      </c>
      <c r="D1972" s="21">
        <v>7700000</v>
      </c>
      <c r="E1972" s="21">
        <v>-7700000</v>
      </c>
      <c r="F1972" s="21">
        <v>0</v>
      </c>
    </row>
    <row r="1973" spans="1:6" x14ac:dyDescent="0.25">
      <c r="A1973">
        <v>1860</v>
      </c>
      <c r="B1973" s="16">
        <v>43891</v>
      </c>
      <c r="C1973" t="s">
        <v>162</v>
      </c>
      <c r="D1973" s="21">
        <v>4758075</v>
      </c>
      <c r="E1973" s="21">
        <v>-4758075</v>
      </c>
      <c r="F1973" s="21">
        <v>0</v>
      </c>
    </row>
    <row r="1974" spans="1:6" x14ac:dyDescent="0.25">
      <c r="A1974">
        <v>1860</v>
      </c>
      <c r="B1974" s="16">
        <v>43891</v>
      </c>
      <c r="C1974" t="s">
        <v>19</v>
      </c>
      <c r="D1974" s="21">
        <v>1905120.0000000002</v>
      </c>
      <c r="E1974" s="21">
        <v>-1905120.0000000002</v>
      </c>
      <c r="F1974" s="21">
        <v>0</v>
      </c>
    </row>
    <row r="1975" spans="1:6" x14ac:dyDescent="0.25">
      <c r="A1975">
        <v>1860</v>
      </c>
      <c r="B1975" s="16">
        <v>43891</v>
      </c>
      <c r="C1975" t="s">
        <v>26</v>
      </c>
      <c r="D1975" s="21">
        <v>5985000</v>
      </c>
      <c r="E1975" s="21">
        <v>-5985000</v>
      </c>
      <c r="F1975" s="21">
        <v>0</v>
      </c>
    </row>
    <row r="1976" spans="1:6" x14ac:dyDescent="0.25">
      <c r="A1976">
        <v>1860</v>
      </c>
      <c r="B1976" s="16">
        <v>43922</v>
      </c>
      <c r="C1976" t="s">
        <v>192</v>
      </c>
      <c r="D1976" s="21">
        <v>7700000</v>
      </c>
      <c r="E1976" s="21">
        <v>-7700000</v>
      </c>
      <c r="F1976" s="21">
        <v>0</v>
      </c>
    </row>
    <row r="1977" spans="1:6" x14ac:dyDescent="0.25">
      <c r="A1977">
        <v>1860</v>
      </c>
      <c r="B1977" s="16">
        <v>43922</v>
      </c>
      <c r="C1977" t="s">
        <v>162</v>
      </c>
      <c r="D1977" s="21">
        <v>4758075</v>
      </c>
      <c r="E1977" s="21">
        <v>-4758075</v>
      </c>
      <c r="F1977" s="21">
        <v>0</v>
      </c>
    </row>
    <row r="1978" spans="1:6" x14ac:dyDescent="0.25">
      <c r="A1978">
        <v>1860</v>
      </c>
      <c r="B1978" s="16">
        <v>43922</v>
      </c>
      <c r="C1978" t="s">
        <v>19</v>
      </c>
      <c r="D1978" s="21">
        <v>1905120.0000000002</v>
      </c>
      <c r="E1978" s="21">
        <v>-1905120.0000000002</v>
      </c>
      <c r="F1978" s="21">
        <v>0</v>
      </c>
    </row>
    <row r="1979" spans="1:6" x14ac:dyDescent="0.25">
      <c r="A1979">
        <v>1860</v>
      </c>
      <c r="B1979" s="16">
        <v>43922</v>
      </c>
      <c r="C1979" t="s">
        <v>26</v>
      </c>
      <c r="D1979" s="21">
        <v>5985000</v>
      </c>
      <c r="E1979" s="21">
        <v>-5985000</v>
      </c>
      <c r="F1979" s="21">
        <v>0</v>
      </c>
    </row>
    <row r="1980" spans="1:6" x14ac:dyDescent="0.25">
      <c r="A1980">
        <v>1860</v>
      </c>
      <c r="B1980" s="16">
        <v>43952</v>
      </c>
      <c r="C1980" t="s">
        <v>192</v>
      </c>
      <c r="D1980" s="21">
        <v>7700000</v>
      </c>
      <c r="E1980" s="21">
        <v>-7700000</v>
      </c>
      <c r="F1980" s="21">
        <v>0</v>
      </c>
    </row>
    <row r="1981" spans="1:6" x14ac:dyDescent="0.25">
      <c r="A1981">
        <v>1860</v>
      </c>
      <c r="B1981" s="16">
        <v>43952</v>
      </c>
      <c r="C1981" t="s">
        <v>162</v>
      </c>
      <c r="D1981" s="21">
        <v>4758075</v>
      </c>
      <c r="E1981" s="21">
        <v>-4758075</v>
      </c>
      <c r="F1981" s="21">
        <v>0</v>
      </c>
    </row>
    <row r="1982" spans="1:6" x14ac:dyDescent="0.25">
      <c r="A1982">
        <v>1860</v>
      </c>
      <c r="B1982" s="16">
        <v>43952</v>
      </c>
      <c r="C1982" t="s">
        <v>19</v>
      </c>
      <c r="D1982" s="21">
        <v>1905120.0000000002</v>
      </c>
      <c r="E1982" s="21">
        <v>-1905120.0000000002</v>
      </c>
      <c r="F1982" s="21">
        <v>0</v>
      </c>
    </row>
    <row r="1983" spans="1:6" x14ac:dyDescent="0.25">
      <c r="A1983">
        <v>1860</v>
      </c>
      <c r="B1983" s="16">
        <v>43952</v>
      </c>
      <c r="C1983" t="s">
        <v>26</v>
      </c>
      <c r="D1983" s="21">
        <v>5985000</v>
      </c>
      <c r="E1983" s="21">
        <v>-5985000</v>
      </c>
      <c r="F1983" s="21">
        <v>0</v>
      </c>
    </row>
    <row r="1984" spans="1:6" x14ac:dyDescent="0.25">
      <c r="A1984">
        <v>1860</v>
      </c>
      <c r="B1984" s="16">
        <v>43983</v>
      </c>
      <c r="C1984" t="s">
        <v>192</v>
      </c>
      <c r="D1984" s="21">
        <v>7700000</v>
      </c>
      <c r="E1984" s="21">
        <v>-7700000</v>
      </c>
      <c r="F1984" s="21">
        <v>0</v>
      </c>
    </row>
    <row r="1985" spans="1:6" x14ac:dyDescent="0.25">
      <c r="A1985">
        <v>1860</v>
      </c>
      <c r="B1985" s="16">
        <v>43983</v>
      </c>
      <c r="C1985" t="s">
        <v>162</v>
      </c>
      <c r="D1985" s="21">
        <v>4758075</v>
      </c>
      <c r="E1985" s="21">
        <v>-4758075</v>
      </c>
      <c r="F1985" s="21">
        <v>0</v>
      </c>
    </row>
    <row r="1986" spans="1:6" x14ac:dyDescent="0.25">
      <c r="A1986">
        <v>1860</v>
      </c>
      <c r="B1986" s="16">
        <v>43983</v>
      </c>
      <c r="C1986" t="s">
        <v>19</v>
      </c>
      <c r="D1986" s="21">
        <v>1905120.0000000002</v>
      </c>
      <c r="E1986" s="21">
        <v>-1905120.0000000002</v>
      </c>
      <c r="F1986" s="21">
        <v>0</v>
      </c>
    </row>
    <row r="1987" spans="1:6" x14ac:dyDescent="0.25">
      <c r="A1987">
        <v>1860</v>
      </c>
      <c r="B1987" s="16">
        <v>43983</v>
      </c>
      <c r="C1987" t="s">
        <v>26</v>
      </c>
      <c r="D1987" s="21">
        <v>5985000</v>
      </c>
      <c r="E1987" s="21">
        <v>-5985000</v>
      </c>
      <c r="F1987" s="21">
        <v>0</v>
      </c>
    </row>
    <row r="1988" spans="1:6" x14ac:dyDescent="0.25">
      <c r="A1988">
        <v>1860</v>
      </c>
      <c r="B1988" s="16">
        <v>44013</v>
      </c>
      <c r="C1988" t="s">
        <v>192</v>
      </c>
      <c r="D1988" s="21">
        <v>7700000</v>
      </c>
      <c r="E1988" s="21">
        <v>-7700000</v>
      </c>
      <c r="F1988" s="21">
        <v>0</v>
      </c>
    </row>
    <row r="1989" spans="1:6" x14ac:dyDescent="0.25">
      <c r="A1989">
        <v>1860</v>
      </c>
      <c r="B1989" s="16">
        <v>44013</v>
      </c>
      <c r="C1989" t="s">
        <v>162</v>
      </c>
      <c r="D1989" s="21">
        <v>4758075</v>
      </c>
      <c r="E1989" s="21">
        <v>-4758075</v>
      </c>
      <c r="F1989" s="21">
        <v>0</v>
      </c>
    </row>
    <row r="1990" spans="1:6" x14ac:dyDescent="0.25">
      <c r="A1990">
        <v>1860</v>
      </c>
      <c r="B1990" s="16">
        <v>44013</v>
      </c>
      <c r="C1990" t="s">
        <v>19</v>
      </c>
      <c r="D1990" s="21">
        <v>1905120.0000000002</v>
      </c>
      <c r="E1990" s="21">
        <v>-1905120.0000000002</v>
      </c>
      <c r="F1990" s="21">
        <v>0</v>
      </c>
    </row>
    <row r="1991" spans="1:6" x14ac:dyDescent="0.25">
      <c r="A1991">
        <v>1860</v>
      </c>
      <c r="B1991" s="16">
        <v>44013</v>
      </c>
      <c r="C1991" t="s">
        <v>26</v>
      </c>
      <c r="D1991" s="21">
        <v>5985000</v>
      </c>
      <c r="E1991" s="21">
        <v>-5985000</v>
      </c>
      <c r="F1991" s="21">
        <v>0</v>
      </c>
    </row>
    <row r="1992" spans="1:6" x14ac:dyDescent="0.25">
      <c r="A1992">
        <v>1860</v>
      </c>
      <c r="B1992" s="16">
        <v>44044</v>
      </c>
      <c r="C1992" t="s">
        <v>76</v>
      </c>
      <c r="D1992" s="21">
        <v>3923324.9999999995</v>
      </c>
      <c r="E1992" s="21">
        <v>-3923324.9999999995</v>
      </c>
      <c r="F1992" s="21">
        <v>0</v>
      </c>
    </row>
    <row r="1993" spans="1:6" x14ac:dyDescent="0.25">
      <c r="A1993">
        <v>1860</v>
      </c>
      <c r="B1993" s="16">
        <v>44044</v>
      </c>
      <c r="C1993" t="s">
        <v>19</v>
      </c>
      <c r="D1993" s="21">
        <v>1905120.0000000002</v>
      </c>
      <c r="E1993" s="21">
        <v>-1905120.0000000002</v>
      </c>
      <c r="F1993" s="21">
        <v>0</v>
      </c>
    </row>
    <row r="1994" spans="1:6" x14ac:dyDescent="0.25">
      <c r="A1994">
        <v>1860</v>
      </c>
      <c r="B1994" s="16">
        <v>44044</v>
      </c>
      <c r="C1994" t="s">
        <v>162</v>
      </c>
      <c r="D1994" s="21">
        <v>4758075</v>
      </c>
      <c r="E1994" s="21">
        <v>-4758075</v>
      </c>
      <c r="F1994" s="21">
        <v>0</v>
      </c>
    </row>
    <row r="1995" spans="1:6" x14ac:dyDescent="0.25">
      <c r="A1995">
        <v>1860</v>
      </c>
      <c r="B1995" s="16">
        <v>44044</v>
      </c>
      <c r="C1995" t="s">
        <v>192</v>
      </c>
      <c r="D1995" s="21">
        <v>7700000</v>
      </c>
      <c r="E1995" s="21">
        <v>-7700000</v>
      </c>
      <c r="F1995" s="21">
        <v>0</v>
      </c>
    </row>
    <row r="1996" spans="1:6" x14ac:dyDescent="0.25">
      <c r="A1996">
        <v>1860</v>
      </c>
      <c r="B1996" s="16">
        <v>44044</v>
      </c>
      <c r="C1996" t="s">
        <v>26</v>
      </c>
      <c r="D1996" s="21">
        <v>5985000</v>
      </c>
      <c r="E1996" s="21">
        <v>-5985000</v>
      </c>
      <c r="F1996" s="21">
        <v>0</v>
      </c>
    </row>
    <row r="1997" spans="1:6" x14ac:dyDescent="0.25">
      <c r="A1997">
        <v>1860</v>
      </c>
      <c r="B1997" s="16">
        <v>44075</v>
      </c>
      <c r="C1997" t="s">
        <v>76</v>
      </c>
      <c r="D1997" s="21">
        <v>3923324.9999999995</v>
      </c>
      <c r="E1997" s="21">
        <v>-3923324.9999999995</v>
      </c>
      <c r="F1997" s="21">
        <v>0</v>
      </c>
    </row>
    <row r="1998" spans="1:6" x14ac:dyDescent="0.25">
      <c r="A1998">
        <v>1860</v>
      </c>
      <c r="B1998" s="16">
        <v>44075</v>
      </c>
      <c r="C1998" t="s">
        <v>19</v>
      </c>
      <c r="D1998" s="21">
        <v>1905120.0000000002</v>
      </c>
      <c r="E1998" s="21">
        <v>-1905120.0000000002</v>
      </c>
      <c r="F1998" s="21">
        <v>0</v>
      </c>
    </row>
    <row r="1999" spans="1:6" x14ac:dyDescent="0.25">
      <c r="A1999">
        <v>1860</v>
      </c>
      <c r="B1999" s="16">
        <v>44075</v>
      </c>
      <c r="C1999" t="s">
        <v>162</v>
      </c>
      <c r="D1999" s="21">
        <v>4758075</v>
      </c>
      <c r="E1999" s="21">
        <v>-4758075</v>
      </c>
      <c r="F1999" s="21">
        <v>0</v>
      </c>
    </row>
    <row r="2000" spans="1:6" x14ac:dyDescent="0.25">
      <c r="A2000">
        <v>1860</v>
      </c>
      <c r="B2000" s="16">
        <v>44075</v>
      </c>
      <c r="C2000" t="s">
        <v>192</v>
      </c>
      <c r="D2000" s="21">
        <v>7700000</v>
      </c>
      <c r="E2000" s="21">
        <v>-7700000</v>
      </c>
      <c r="F2000" s="21">
        <v>0</v>
      </c>
    </row>
    <row r="2001" spans="1:6" x14ac:dyDescent="0.25">
      <c r="A2001">
        <v>1860</v>
      </c>
      <c r="B2001" s="16">
        <v>44075</v>
      </c>
      <c r="C2001" t="s">
        <v>26</v>
      </c>
      <c r="D2001" s="21">
        <v>5985000</v>
      </c>
      <c r="E2001" s="21">
        <v>-5985000</v>
      </c>
      <c r="F2001" s="21">
        <v>0</v>
      </c>
    </row>
    <row r="2002" spans="1:6" x14ac:dyDescent="0.25">
      <c r="A2002">
        <v>1860</v>
      </c>
      <c r="B2002" s="16">
        <v>44105</v>
      </c>
      <c r="C2002" t="s">
        <v>76</v>
      </c>
      <c r="D2002" s="21">
        <v>3923324.9999999995</v>
      </c>
      <c r="E2002" s="21">
        <v>-3923324.9999999995</v>
      </c>
      <c r="F2002" s="21">
        <v>0</v>
      </c>
    </row>
    <row r="2003" spans="1:6" x14ac:dyDescent="0.25">
      <c r="A2003">
        <v>1860</v>
      </c>
      <c r="B2003" s="16">
        <v>44105</v>
      </c>
      <c r="C2003" t="s">
        <v>19</v>
      </c>
      <c r="D2003" s="21">
        <v>1905120.0000000002</v>
      </c>
      <c r="E2003" s="21">
        <v>-1905120.0000000002</v>
      </c>
      <c r="F2003" s="21">
        <v>0</v>
      </c>
    </row>
    <row r="2004" spans="1:6" x14ac:dyDescent="0.25">
      <c r="A2004">
        <v>1860</v>
      </c>
      <c r="B2004" s="16">
        <v>44105</v>
      </c>
      <c r="C2004" t="s">
        <v>162</v>
      </c>
      <c r="D2004" s="21">
        <v>4758075</v>
      </c>
      <c r="E2004" s="21">
        <v>-4758075</v>
      </c>
      <c r="F2004" s="21">
        <v>0</v>
      </c>
    </row>
    <row r="2005" spans="1:6" x14ac:dyDescent="0.25">
      <c r="A2005">
        <v>1860</v>
      </c>
      <c r="B2005" s="16">
        <v>44105</v>
      </c>
      <c r="C2005" t="s">
        <v>192</v>
      </c>
      <c r="D2005" s="21">
        <v>7700000</v>
      </c>
      <c r="E2005" s="21">
        <v>-7700000</v>
      </c>
      <c r="F2005" s="21">
        <v>0</v>
      </c>
    </row>
    <row r="2006" spans="1:6" x14ac:dyDescent="0.25">
      <c r="A2006">
        <v>1860</v>
      </c>
      <c r="B2006" s="16">
        <v>44105</v>
      </c>
      <c r="C2006" t="s">
        <v>26</v>
      </c>
      <c r="D2006" s="21">
        <v>5985000</v>
      </c>
      <c r="E2006" s="21">
        <v>-5985000</v>
      </c>
      <c r="F2006" s="21">
        <v>0</v>
      </c>
    </row>
    <row r="2007" spans="1:6" x14ac:dyDescent="0.25">
      <c r="A2007">
        <v>1860</v>
      </c>
      <c r="B2007" s="16">
        <v>44136</v>
      </c>
      <c r="C2007" t="s">
        <v>76</v>
      </c>
      <c r="D2007" s="21">
        <v>3923324.9999999995</v>
      </c>
      <c r="E2007" s="21">
        <v>-3923324.9999999995</v>
      </c>
      <c r="F2007" s="21">
        <v>0</v>
      </c>
    </row>
    <row r="2008" spans="1:6" x14ac:dyDescent="0.25">
      <c r="A2008">
        <v>1860</v>
      </c>
      <c r="B2008" s="16">
        <v>44136</v>
      </c>
      <c r="C2008" t="s">
        <v>19</v>
      </c>
      <c r="D2008" s="21">
        <v>1905120.0000000002</v>
      </c>
      <c r="E2008" s="21">
        <v>-1905120.0000000002</v>
      </c>
      <c r="F2008" s="21">
        <v>0</v>
      </c>
    </row>
    <row r="2009" spans="1:6" x14ac:dyDescent="0.25">
      <c r="A2009">
        <v>1860</v>
      </c>
      <c r="B2009" s="16">
        <v>44136</v>
      </c>
      <c r="C2009" t="s">
        <v>162</v>
      </c>
      <c r="D2009" s="21">
        <v>4758075</v>
      </c>
      <c r="E2009" s="21">
        <v>-4758075</v>
      </c>
      <c r="F2009" s="21">
        <v>0</v>
      </c>
    </row>
    <row r="2010" spans="1:6" x14ac:dyDescent="0.25">
      <c r="A2010">
        <v>1860</v>
      </c>
      <c r="B2010" s="16">
        <v>44136</v>
      </c>
      <c r="C2010" t="s">
        <v>192</v>
      </c>
      <c r="D2010" s="21">
        <v>7700000</v>
      </c>
      <c r="E2010" s="21">
        <v>-7700000</v>
      </c>
      <c r="F2010" s="21">
        <v>0</v>
      </c>
    </row>
    <row r="2011" spans="1:6" x14ac:dyDescent="0.25">
      <c r="A2011">
        <v>1860</v>
      </c>
      <c r="B2011" s="16">
        <v>44136</v>
      </c>
      <c r="C2011" t="s">
        <v>26</v>
      </c>
      <c r="D2011" s="21">
        <v>5985000</v>
      </c>
      <c r="E2011" s="21">
        <v>-5985000</v>
      </c>
      <c r="F2011" s="21">
        <v>0</v>
      </c>
    </row>
    <row r="2012" spans="1:6" x14ac:dyDescent="0.25">
      <c r="A2012">
        <v>1860</v>
      </c>
      <c r="B2012" s="16">
        <v>44166</v>
      </c>
      <c r="C2012" t="s">
        <v>76</v>
      </c>
      <c r="D2012" s="21">
        <v>3923324.9999999995</v>
      </c>
      <c r="E2012" s="21">
        <v>-3923324.9999999995</v>
      </c>
      <c r="F2012" s="21">
        <v>0</v>
      </c>
    </row>
    <row r="2013" spans="1:6" x14ac:dyDescent="0.25">
      <c r="A2013">
        <v>1860</v>
      </c>
      <c r="B2013" s="16">
        <v>44166</v>
      </c>
      <c r="C2013" t="s">
        <v>19</v>
      </c>
      <c r="D2013" s="21">
        <v>1905120.0000000002</v>
      </c>
      <c r="E2013" s="21">
        <v>-1905120.0000000002</v>
      </c>
      <c r="F2013" s="21">
        <v>0</v>
      </c>
    </row>
    <row r="2014" spans="1:6" x14ac:dyDescent="0.25">
      <c r="A2014">
        <v>1860</v>
      </c>
      <c r="B2014" s="16">
        <v>44166</v>
      </c>
      <c r="C2014" t="s">
        <v>162</v>
      </c>
      <c r="D2014" s="21">
        <v>4758075</v>
      </c>
      <c r="E2014" s="21">
        <v>-4758075</v>
      </c>
      <c r="F2014" s="21">
        <v>0</v>
      </c>
    </row>
    <row r="2015" spans="1:6" x14ac:dyDescent="0.25">
      <c r="A2015">
        <v>1860</v>
      </c>
      <c r="B2015" s="16">
        <v>44166</v>
      </c>
      <c r="C2015" t="s">
        <v>192</v>
      </c>
      <c r="D2015" s="21">
        <v>7700000</v>
      </c>
      <c r="E2015" s="21">
        <v>-7700000</v>
      </c>
      <c r="F2015" s="21">
        <v>0</v>
      </c>
    </row>
    <row r="2016" spans="1:6" x14ac:dyDescent="0.25">
      <c r="A2016">
        <v>1860</v>
      </c>
      <c r="B2016" s="16">
        <v>44166</v>
      </c>
      <c r="C2016" t="s">
        <v>26</v>
      </c>
      <c r="D2016" s="21">
        <v>5985000</v>
      </c>
      <c r="E2016" s="21">
        <v>-5985000</v>
      </c>
      <c r="F2016" s="21">
        <v>0</v>
      </c>
    </row>
    <row r="2017" spans="1:6" x14ac:dyDescent="0.25">
      <c r="A2017">
        <v>1860</v>
      </c>
      <c r="B2017" s="16">
        <v>44197</v>
      </c>
      <c r="C2017" t="s">
        <v>76</v>
      </c>
      <c r="D2017" s="21">
        <v>3923324.9999999995</v>
      </c>
      <c r="E2017" s="21">
        <v>-3923324.9999999995</v>
      </c>
      <c r="F2017" s="21">
        <v>0</v>
      </c>
    </row>
    <row r="2018" spans="1:6" x14ac:dyDescent="0.25">
      <c r="A2018">
        <v>1860</v>
      </c>
      <c r="B2018" s="16">
        <v>44197</v>
      </c>
      <c r="C2018" t="s">
        <v>19</v>
      </c>
      <c r="D2018" s="21">
        <v>1905120.0000000002</v>
      </c>
      <c r="E2018" s="21">
        <v>-1905120.0000000002</v>
      </c>
      <c r="F2018" s="21">
        <v>0</v>
      </c>
    </row>
    <row r="2019" spans="1:6" x14ac:dyDescent="0.25">
      <c r="A2019">
        <v>1860</v>
      </c>
      <c r="B2019" s="16">
        <v>44197</v>
      </c>
      <c r="C2019" t="s">
        <v>162</v>
      </c>
      <c r="D2019" s="21">
        <v>4758075</v>
      </c>
      <c r="E2019" s="21">
        <v>-4758075</v>
      </c>
      <c r="F2019" s="21">
        <v>0</v>
      </c>
    </row>
    <row r="2020" spans="1:6" x14ac:dyDescent="0.25">
      <c r="A2020">
        <v>1860</v>
      </c>
      <c r="B2020" s="16">
        <v>44197</v>
      </c>
      <c r="C2020" t="s">
        <v>192</v>
      </c>
      <c r="D2020" s="21">
        <v>7700000</v>
      </c>
      <c r="E2020" s="21">
        <v>-7700000</v>
      </c>
      <c r="F2020" s="21">
        <v>0</v>
      </c>
    </row>
    <row r="2021" spans="1:6" x14ac:dyDescent="0.25">
      <c r="A2021">
        <v>1860</v>
      </c>
      <c r="B2021" s="16">
        <v>44197</v>
      </c>
      <c r="C2021" t="s">
        <v>26</v>
      </c>
      <c r="D2021" s="21">
        <v>5985000</v>
      </c>
      <c r="E2021" s="21">
        <v>-5985000</v>
      </c>
      <c r="F2021" s="21">
        <v>0</v>
      </c>
    </row>
    <row r="2022" spans="1:6" x14ac:dyDescent="0.25">
      <c r="A2022">
        <v>1860</v>
      </c>
      <c r="B2022" s="16">
        <v>44228</v>
      </c>
      <c r="C2022" t="s">
        <v>76</v>
      </c>
      <c r="D2022" s="21">
        <v>3923324.9999999995</v>
      </c>
      <c r="E2022" s="21">
        <v>-3923324.9999999995</v>
      </c>
      <c r="F2022" s="21">
        <v>0</v>
      </c>
    </row>
    <row r="2023" spans="1:6" x14ac:dyDescent="0.25">
      <c r="A2023">
        <v>1860</v>
      </c>
      <c r="B2023" s="16">
        <v>44228</v>
      </c>
      <c r="C2023" t="s">
        <v>19</v>
      </c>
      <c r="D2023" s="21">
        <v>1905120.0000000002</v>
      </c>
      <c r="E2023" s="21">
        <v>-1905120.0000000002</v>
      </c>
      <c r="F2023" s="21">
        <v>0</v>
      </c>
    </row>
    <row r="2024" spans="1:6" x14ac:dyDescent="0.25">
      <c r="A2024">
        <v>1860</v>
      </c>
      <c r="B2024" s="16">
        <v>44228</v>
      </c>
      <c r="C2024" t="s">
        <v>162</v>
      </c>
      <c r="D2024" s="21">
        <v>4758075</v>
      </c>
      <c r="E2024" s="21">
        <v>-4758075</v>
      </c>
      <c r="F2024" s="21">
        <v>0</v>
      </c>
    </row>
    <row r="2025" spans="1:6" x14ac:dyDescent="0.25">
      <c r="A2025">
        <v>1860</v>
      </c>
      <c r="B2025" s="16">
        <v>44228</v>
      </c>
      <c r="C2025" t="s">
        <v>192</v>
      </c>
      <c r="D2025" s="21">
        <v>7700000</v>
      </c>
      <c r="E2025" s="21">
        <v>-7700000</v>
      </c>
      <c r="F2025" s="21">
        <v>0</v>
      </c>
    </row>
    <row r="2026" spans="1:6" x14ac:dyDescent="0.25">
      <c r="A2026">
        <v>1860</v>
      </c>
      <c r="B2026" s="16">
        <v>44228</v>
      </c>
      <c r="C2026" t="s">
        <v>26</v>
      </c>
      <c r="D2026" s="21">
        <v>5985000</v>
      </c>
      <c r="E2026" s="21">
        <v>-5985000</v>
      </c>
      <c r="F2026" s="21">
        <v>0</v>
      </c>
    </row>
    <row r="2027" spans="1:6" x14ac:dyDescent="0.25">
      <c r="A2027">
        <v>1860</v>
      </c>
      <c r="B2027" s="16">
        <v>44256</v>
      </c>
      <c r="C2027" t="s">
        <v>76</v>
      </c>
      <c r="D2027" s="21">
        <v>3923324.9999999995</v>
      </c>
      <c r="E2027" s="21">
        <v>-3923324.9999999995</v>
      </c>
      <c r="F2027" s="21">
        <v>0</v>
      </c>
    </row>
    <row r="2028" spans="1:6" x14ac:dyDescent="0.25">
      <c r="A2028">
        <v>1860</v>
      </c>
      <c r="B2028" s="16">
        <v>44256</v>
      </c>
      <c r="C2028" t="s">
        <v>19</v>
      </c>
      <c r="D2028" s="21">
        <v>1905120.0000000002</v>
      </c>
      <c r="E2028" s="21">
        <v>-1905120.0000000002</v>
      </c>
      <c r="F2028" s="21">
        <v>0</v>
      </c>
    </row>
    <row r="2029" spans="1:6" x14ac:dyDescent="0.25">
      <c r="A2029">
        <v>1860</v>
      </c>
      <c r="B2029" s="16">
        <v>44256</v>
      </c>
      <c r="C2029" t="s">
        <v>162</v>
      </c>
      <c r="D2029" s="21">
        <v>4758075</v>
      </c>
      <c r="E2029" s="21">
        <v>-4758075</v>
      </c>
      <c r="F2029" s="21">
        <v>0</v>
      </c>
    </row>
    <row r="2030" spans="1:6" x14ac:dyDescent="0.25">
      <c r="A2030">
        <v>1860</v>
      </c>
      <c r="B2030" s="16">
        <v>44256</v>
      </c>
      <c r="C2030" t="s">
        <v>192</v>
      </c>
      <c r="D2030" s="21">
        <v>7700000</v>
      </c>
      <c r="E2030" s="21">
        <v>-7700000</v>
      </c>
      <c r="F2030" s="21">
        <v>0</v>
      </c>
    </row>
    <row r="2031" spans="1:6" x14ac:dyDescent="0.25">
      <c r="A2031">
        <v>1860</v>
      </c>
      <c r="B2031" s="16">
        <v>44256</v>
      </c>
      <c r="C2031" t="s">
        <v>26</v>
      </c>
      <c r="D2031" s="21">
        <v>5985000</v>
      </c>
      <c r="E2031" s="21">
        <v>-5985000</v>
      </c>
      <c r="F2031" s="21">
        <v>0</v>
      </c>
    </row>
    <row r="2032" spans="1:6" x14ac:dyDescent="0.25">
      <c r="A2032">
        <v>1860</v>
      </c>
      <c r="B2032" s="16">
        <v>44287</v>
      </c>
      <c r="C2032" t="s">
        <v>192</v>
      </c>
      <c r="D2032" s="21">
        <v>7700000</v>
      </c>
      <c r="E2032" s="21">
        <v>-7700000</v>
      </c>
      <c r="F2032" s="21">
        <v>0</v>
      </c>
    </row>
    <row r="2033" spans="1:6" x14ac:dyDescent="0.25">
      <c r="A2033">
        <v>1860</v>
      </c>
      <c r="B2033" s="16">
        <v>44287</v>
      </c>
      <c r="C2033" t="s">
        <v>76</v>
      </c>
      <c r="D2033" s="21">
        <v>3923324.9999999995</v>
      </c>
      <c r="E2033" s="21">
        <v>-3923324.9999999995</v>
      </c>
      <c r="F2033" s="21">
        <v>0</v>
      </c>
    </row>
    <row r="2034" spans="1:6" x14ac:dyDescent="0.25">
      <c r="A2034">
        <v>1860</v>
      </c>
      <c r="B2034" s="16">
        <v>44287</v>
      </c>
      <c r="C2034" t="s">
        <v>19</v>
      </c>
      <c r="D2034" s="21">
        <v>1905120.0000000002</v>
      </c>
      <c r="E2034" s="21">
        <v>-1905120.0000000002</v>
      </c>
      <c r="F2034" s="21">
        <v>0</v>
      </c>
    </row>
    <row r="2035" spans="1:6" x14ac:dyDescent="0.25">
      <c r="A2035">
        <v>1860</v>
      </c>
      <c r="B2035" s="16">
        <v>44287</v>
      </c>
      <c r="C2035" t="s">
        <v>26</v>
      </c>
      <c r="D2035" s="21">
        <v>5985000</v>
      </c>
      <c r="E2035" s="21">
        <v>-5985000</v>
      </c>
      <c r="F2035" s="21">
        <v>0</v>
      </c>
    </row>
    <row r="2036" spans="1:6" x14ac:dyDescent="0.25">
      <c r="A2036">
        <v>1860</v>
      </c>
      <c r="B2036" s="16">
        <v>44317</v>
      </c>
      <c r="C2036" t="s">
        <v>76</v>
      </c>
      <c r="D2036" s="21">
        <v>3923324.9999999995</v>
      </c>
      <c r="E2036" s="21">
        <v>-3923324.9999999995</v>
      </c>
      <c r="F2036" s="21">
        <v>0</v>
      </c>
    </row>
    <row r="2037" spans="1:6" x14ac:dyDescent="0.25">
      <c r="A2037">
        <v>1860</v>
      </c>
      <c r="B2037" s="16">
        <v>44348</v>
      </c>
      <c r="C2037" t="s">
        <v>76</v>
      </c>
      <c r="D2037" s="21">
        <v>3923324.9999999995</v>
      </c>
      <c r="E2037" s="21">
        <v>-3923324.9999999995</v>
      </c>
      <c r="F2037" s="21">
        <v>0</v>
      </c>
    </row>
    <row r="2038" spans="1:6" x14ac:dyDescent="0.25">
      <c r="A2038">
        <v>1860</v>
      </c>
      <c r="B2038" s="16">
        <v>44378</v>
      </c>
      <c r="C2038" t="s">
        <v>76</v>
      </c>
      <c r="D2038" s="21">
        <v>3923324.9999999995</v>
      </c>
      <c r="E2038" s="21">
        <v>-3923324.9999999995</v>
      </c>
      <c r="F2038" s="21">
        <v>0</v>
      </c>
    </row>
    <row r="2039" spans="1:6" x14ac:dyDescent="0.25">
      <c r="A2039">
        <v>1861</v>
      </c>
      <c r="B2039" s="16">
        <v>43466</v>
      </c>
      <c r="C2039" t="s">
        <v>168</v>
      </c>
      <c r="D2039" s="21">
        <v>8677969.1774999984</v>
      </c>
      <c r="E2039" s="21">
        <v>-8677969.1774999984</v>
      </c>
      <c r="F2039" s="21">
        <v>0</v>
      </c>
    </row>
    <row r="2040" spans="1:6" x14ac:dyDescent="0.25">
      <c r="A2040">
        <v>1861</v>
      </c>
      <c r="B2040" s="16">
        <v>43466</v>
      </c>
      <c r="C2040" t="s">
        <v>165</v>
      </c>
      <c r="D2040" s="21">
        <v>4120018.875</v>
      </c>
      <c r="E2040" s="21">
        <v>-4120018.875</v>
      </c>
      <c r="F2040" s="21">
        <v>0</v>
      </c>
    </row>
    <row r="2041" spans="1:6" x14ac:dyDescent="0.25">
      <c r="A2041">
        <v>1861</v>
      </c>
      <c r="B2041" s="16">
        <v>43466</v>
      </c>
      <c r="C2041" t="s">
        <v>29</v>
      </c>
      <c r="D2041" s="21">
        <v>5731070.625</v>
      </c>
      <c r="E2041" s="21">
        <v>-5731070.625</v>
      </c>
      <c r="F2041" s="21">
        <v>0</v>
      </c>
    </row>
    <row r="2042" spans="1:6" x14ac:dyDescent="0.25">
      <c r="A2042">
        <v>1861</v>
      </c>
      <c r="B2042" s="16">
        <v>43466</v>
      </c>
      <c r="C2042" t="s">
        <v>12</v>
      </c>
      <c r="D2042" s="21">
        <v>11280052.350000001</v>
      </c>
      <c r="E2042" s="21">
        <v>-11280052.350000001</v>
      </c>
      <c r="F2042" s="21">
        <v>0</v>
      </c>
    </row>
    <row r="2043" spans="1:6" x14ac:dyDescent="0.25">
      <c r="A2043">
        <v>1861</v>
      </c>
      <c r="B2043" s="16">
        <v>43466</v>
      </c>
      <c r="C2043" t="s">
        <v>166</v>
      </c>
      <c r="D2043" s="21">
        <v>11621230.425000001</v>
      </c>
      <c r="E2043" s="21">
        <v>-11621230.425000001</v>
      </c>
      <c r="F2043" s="21">
        <v>0</v>
      </c>
    </row>
    <row r="2044" spans="1:6" x14ac:dyDescent="0.25">
      <c r="A2044">
        <v>1861</v>
      </c>
      <c r="B2044" s="16">
        <v>43466</v>
      </c>
      <c r="C2044" t="s">
        <v>167</v>
      </c>
      <c r="D2044" s="21">
        <v>10969973.972999999</v>
      </c>
      <c r="E2044" s="21">
        <v>-10969973.972999999</v>
      </c>
      <c r="F2044" s="21">
        <v>0</v>
      </c>
    </row>
    <row r="2045" spans="1:6" x14ac:dyDescent="0.25">
      <c r="A2045">
        <v>1861</v>
      </c>
      <c r="B2045" s="16">
        <v>43466</v>
      </c>
      <c r="C2045" t="s">
        <v>39</v>
      </c>
      <c r="D2045" s="21">
        <v>5532675.75</v>
      </c>
      <c r="E2045" s="21">
        <v>-5532675.75</v>
      </c>
      <c r="F2045" s="21">
        <v>0</v>
      </c>
    </row>
    <row r="2046" spans="1:6" x14ac:dyDescent="0.25">
      <c r="A2046">
        <v>1861</v>
      </c>
      <c r="B2046" s="16">
        <v>43466</v>
      </c>
      <c r="C2046" t="s">
        <v>192</v>
      </c>
      <c r="D2046" s="21">
        <v>112841000</v>
      </c>
      <c r="E2046" s="21">
        <v>-112841000</v>
      </c>
      <c r="F2046" s="21">
        <v>0</v>
      </c>
    </row>
    <row r="2047" spans="1:6" x14ac:dyDescent="0.25">
      <c r="A2047">
        <v>1861</v>
      </c>
      <c r="B2047" s="16">
        <v>43466</v>
      </c>
      <c r="C2047" t="s">
        <v>170</v>
      </c>
      <c r="D2047" s="21">
        <v>5735067.9750000006</v>
      </c>
      <c r="E2047" s="21">
        <v>-5735067.9750000006</v>
      </c>
      <c r="F2047" s="21">
        <v>0</v>
      </c>
    </row>
    <row r="2048" spans="1:6" x14ac:dyDescent="0.25">
      <c r="A2048">
        <v>1861</v>
      </c>
      <c r="B2048" s="16">
        <v>43466</v>
      </c>
      <c r="C2048" t="s">
        <v>19</v>
      </c>
      <c r="D2048" s="21">
        <v>6263286.4602000006</v>
      </c>
      <c r="E2048" s="21">
        <v>-6263286.4602000006</v>
      </c>
      <c r="F2048" s="21">
        <v>0</v>
      </c>
    </row>
    <row r="2049" spans="1:6" x14ac:dyDescent="0.25">
      <c r="A2049">
        <v>1861</v>
      </c>
      <c r="B2049" s="16">
        <v>43466</v>
      </c>
      <c r="C2049" t="s">
        <v>171</v>
      </c>
      <c r="D2049" s="21">
        <v>12956261.850000001</v>
      </c>
      <c r="E2049" s="21">
        <v>-12956261.850000001</v>
      </c>
      <c r="F2049" s="21">
        <v>0</v>
      </c>
    </row>
    <row r="2050" spans="1:6" x14ac:dyDescent="0.25">
      <c r="A2050">
        <v>1861</v>
      </c>
      <c r="B2050" s="16">
        <v>43497</v>
      </c>
      <c r="C2050" t="s">
        <v>168</v>
      </c>
      <c r="D2050" s="21">
        <v>8677969.1774999984</v>
      </c>
      <c r="E2050" s="21">
        <v>-8677969.1774999984</v>
      </c>
      <c r="F2050" s="21">
        <v>0</v>
      </c>
    </row>
    <row r="2051" spans="1:6" x14ac:dyDescent="0.25">
      <c r="A2051">
        <v>1861</v>
      </c>
      <c r="B2051" s="16">
        <v>43497</v>
      </c>
      <c r="C2051" t="s">
        <v>165</v>
      </c>
      <c r="D2051" s="21">
        <v>4120018.875</v>
      </c>
      <c r="E2051" s="21">
        <v>-4120018.875</v>
      </c>
      <c r="F2051" s="21">
        <v>0</v>
      </c>
    </row>
    <row r="2052" spans="1:6" x14ac:dyDescent="0.25">
      <c r="A2052">
        <v>1861</v>
      </c>
      <c r="B2052" s="16">
        <v>43497</v>
      </c>
      <c r="C2052" t="s">
        <v>29</v>
      </c>
      <c r="D2052" s="21">
        <v>5731070.625</v>
      </c>
      <c r="E2052" s="21">
        <v>-5731070.625</v>
      </c>
      <c r="F2052" s="21">
        <v>0</v>
      </c>
    </row>
    <row r="2053" spans="1:6" x14ac:dyDescent="0.25">
      <c r="A2053">
        <v>1861</v>
      </c>
      <c r="B2053" s="16">
        <v>43497</v>
      </c>
      <c r="C2053" t="s">
        <v>12</v>
      </c>
      <c r="D2053" s="21">
        <v>11280052.350000001</v>
      </c>
      <c r="E2053" s="21">
        <v>-11280052.350000001</v>
      </c>
      <c r="F2053" s="21">
        <v>0</v>
      </c>
    </row>
    <row r="2054" spans="1:6" x14ac:dyDescent="0.25">
      <c r="A2054">
        <v>1861</v>
      </c>
      <c r="B2054" s="16">
        <v>43497</v>
      </c>
      <c r="C2054" t="s">
        <v>166</v>
      </c>
      <c r="D2054" s="21">
        <v>11621230.425000001</v>
      </c>
      <c r="E2054" s="21">
        <v>-11621230.425000001</v>
      </c>
      <c r="F2054" s="21">
        <v>0</v>
      </c>
    </row>
    <row r="2055" spans="1:6" x14ac:dyDescent="0.25">
      <c r="A2055">
        <v>1861</v>
      </c>
      <c r="B2055" s="16">
        <v>43497</v>
      </c>
      <c r="C2055" t="s">
        <v>167</v>
      </c>
      <c r="D2055" s="21">
        <v>10969973.972999999</v>
      </c>
      <c r="E2055" s="21">
        <v>-10969973.972999999</v>
      </c>
      <c r="F2055" s="21">
        <v>0</v>
      </c>
    </row>
    <row r="2056" spans="1:6" x14ac:dyDescent="0.25">
      <c r="A2056">
        <v>1861</v>
      </c>
      <c r="B2056" s="16">
        <v>43497</v>
      </c>
      <c r="C2056" t="s">
        <v>39</v>
      </c>
      <c r="D2056" s="21">
        <v>5532675.75</v>
      </c>
      <c r="E2056" s="21">
        <v>-5532675.75</v>
      </c>
      <c r="F2056" s="21">
        <v>0</v>
      </c>
    </row>
    <row r="2057" spans="1:6" x14ac:dyDescent="0.25">
      <c r="A2057">
        <v>1861</v>
      </c>
      <c r="B2057" s="16">
        <v>43497</v>
      </c>
      <c r="C2057" t="s">
        <v>192</v>
      </c>
      <c r="D2057" s="21">
        <v>112841000</v>
      </c>
      <c r="E2057" s="21">
        <v>-112841000</v>
      </c>
      <c r="F2057" s="21">
        <v>0</v>
      </c>
    </row>
    <row r="2058" spans="1:6" x14ac:dyDescent="0.25">
      <c r="A2058">
        <v>1861</v>
      </c>
      <c r="B2058" s="16">
        <v>43497</v>
      </c>
      <c r="C2058" t="s">
        <v>170</v>
      </c>
      <c r="D2058" s="21">
        <v>5735067.9750000006</v>
      </c>
      <c r="E2058" s="21">
        <v>-5735067.9750000006</v>
      </c>
      <c r="F2058" s="21">
        <v>0</v>
      </c>
    </row>
    <row r="2059" spans="1:6" x14ac:dyDescent="0.25">
      <c r="A2059">
        <v>1861</v>
      </c>
      <c r="B2059" s="16">
        <v>43497</v>
      </c>
      <c r="C2059" t="s">
        <v>19</v>
      </c>
      <c r="D2059" s="21">
        <v>6263286.4602000006</v>
      </c>
      <c r="E2059" s="21">
        <v>-6263286.4602000006</v>
      </c>
      <c r="F2059" s="21">
        <v>0</v>
      </c>
    </row>
    <row r="2060" spans="1:6" x14ac:dyDescent="0.25">
      <c r="A2060">
        <v>1861</v>
      </c>
      <c r="B2060" s="16">
        <v>43497</v>
      </c>
      <c r="C2060" t="s">
        <v>171</v>
      </c>
      <c r="D2060" s="21">
        <v>12956261.850000001</v>
      </c>
      <c r="E2060" s="21">
        <v>-12956261.850000001</v>
      </c>
      <c r="F2060" s="21">
        <v>0</v>
      </c>
    </row>
    <row r="2061" spans="1:6" x14ac:dyDescent="0.25">
      <c r="A2061">
        <v>1861</v>
      </c>
      <c r="B2061" s="16">
        <v>43525</v>
      </c>
      <c r="C2061" t="s">
        <v>168</v>
      </c>
      <c r="D2061" s="21">
        <v>8677969.1774999984</v>
      </c>
      <c r="E2061" s="21">
        <v>-8677969.1774999984</v>
      </c>
      <c r="F2061" s="21">
        <v>0</v>
      </c>
    </row>
    <row r="2062" spans="1:6" x14ac:dyDescent="0.25">
      <c r="A2062">
        <v>1861</v>
      </c>
      <c r="B2062" s="16">
        <v>43525</v>
      </c>
      <c r="C2062" t="s">
        <v>165</v>
      </c>
      <c r="D2062" s="21">
        <v>4120018.875</v>
      </c>
      <c r="E2062" s="21">
        <v>-4120018.875</v>
      </c>
      <c r="F2062" s="21">
        <v>0</v>
      </c>
    </row>
    <row r="2063" spans="1:6" x14ac:dyDescent="0.25">
      <c r="A2063">
        <v>1861</v>
      </c>
      <c r="B2063" s="16">
        <v>43525</v>
      </c>
      <c r="C2063" t="s">
        <v>29</v>
      </c>
      <c r="D2063" s="21">
        <v>5731070.625</v>
      </c>
      <c r="E2063" s="21">
        <v>-5731070.625</v>
      </c>
      <c r="F2063" s="21">
        <v>0</v>
      </c>
    </row>
    <row r="2064" spans="1:6" x14ac:dyDescent="0.25">
      <c r="A2064">
        <v>1861</v>
      </c>
      <c r="B2064" s="16">
        <v>43525</v>
      </c>
      <c r="C2064" t="s">
        <v>12</v>
      </c>
      <c r="D2064" s="21">
        <v>11280052.350000001</v>
      </c>
      <c r="E2064" s="21">
        <v>-11280052.350000001</v>
      </c>
      <c r="F2064" s="21">
        <v>0</v>
      </c>
    </row>
    <row r="2065" spans="1:6" x14ac:dyDescent="0.25">
      <c r="A2065">
        <v>1861</v>
      </c>
      <c r="B2065" s="16">
        <v>43525</v>
      </c>
      <c r="C2065" t="s">
        <v>166</v>
      </c>
      <c r="D2065" s="21">
        <v>11621230.425000001</v>
      </c>
      <c r="E2065" s="21">
        <v>-11621230.425000001</v>
      </c>
      <c r="F2065" s="21">
        <v>0</v>
      </c>
    </row>
    <row r="2066" spans="1:6" x14ac:dyDescent="0.25">
      <c r="A2066">
        <v>1861</v>
      </c>
      <c r="B2066" s="16">
        <v>43525</v>
      </c>
      <c r="C2066" t="s">
        <v>167</v>
      </c>
      <c r="D2066" s="21">
        <v>10969973.972999999</v>
      </c>
      <c r="E2066" s="21">
        <v>-10969973.972999999</v>
      </c>
      <c r="F2066" s="21">
        <v>0</v>
      </c>
    </row>
    <row r="2067" spans="1:6" x14ac:dyDescent="0.25">
      <c r="A2067">
        <v>1861</v>
      </c>
      <c r="B2067" s="16">
        <v>43525</v>
      </c>
      <c r="C2067" t="s">
        <v>39</v>
      </c>
      <c r="D2067" s="21">
        <v>5532675.75</v>
      </c>
      <c r="E2067" s="21">
        <v>-5532675.75</v>
      </c>
      <c r="F2067" s="21">
        <v>0</v>
      </c>
    </row>
    <row r="2068" spans="1:6" x14ac:dyDescent="0.25">
      <c r="A2068">
        <v>1861</v>
      </c>
      <c r="B2068" s="16">
        <v>43525</v>
      </c>
      <c r="C2068" t="s">
        <v>192</v>
      </c>
      <c r="D2068" s="21">
        <v>112841000</v>
      </c>
      <c r="E2068" s="21">
        <v>-112841000</v>
      </c>
      <c r="F2068" s="21">
        <v>0</v>
      </c>
    </row>
    <row r="2069" spans="1:6" x14ac:dyDescent="0.25">
      <c r="A2069">
        <v>1861</v>
      </c>
      <c r="B2069" s="16">
        <v>43525</v>
      </c>
      <c r="C2069" t="s">
        <v>170</v>
      </c>
      <c r="D2069" s="21">
        <v>5735067.9750000006</v>
      </c>
      <c r="E2069" s="21">
        <v>-5735067.9750000006</v>
      </c>
      <c r="F2069" s="21">
        <v>0</v>
      </c>
    </row>
    <row r="2070" spans="1:6" x14ac:dyDescent="0.25">
      <c r="A2070">
        <v>1861</v>
      </c>
      <c r="B2070" s="16">
        <v>43525</v>
      </c>
      <c r="C2070" t="s">
        <v>19</v>
      </c>
      <c r="D2070" s="21">
        <v>6263286.4602000006</v>
      </c>
      <c r="E2070" s="21">
        <v>-6263286.4602000006</v>
      </c>
      <c r="F2070" s="21">
        <v>0</v>
      </c>
    </row>
    <row r="2071" spans="1:6" x14ac:dyDescent="0.25">
      <c r="A2071">
        <v>1861</v>
      </c>
      <c r="B2071" s="16">
        <v>43525</v>
      </c>
      <c r="C2071" t="s">
        <v>171</v>
      </c>
      <c r="D2071" s="21">
        <v>12956261.850000001</v>
      </c>
      <c r="E2071" s="21">
        <v>-12956261.850000001</v>
      </c>
      <c r="F2071" s="21">
        <v>0</v>
      </c>
    </row>
    <row r="2072" spans="1:6" x14ac:dyDescent="0.25">
      <c r="A2072">
        <v>1861</v>
      </c>
      <c r="B2072" s="16">
        <v>43556</v>
      </c>
      <c r="C2072" t="s">
        <v>168</v>
      </c>
      <c r="D2072" s="21">
        <v>8677969.1774999984</v>
      </c>
      <c r="E2072" s="21">
        <v>-8677969.1774999984</v>
      </c>
      <c r="F2072" s="21">
        <v>0</v>
      </c>
    </row>
    <row r="2073" spans="1:6" x14ac:dyDescent="0.25">
      <c r="A2073">
        <v>1861</v>
      </c>
      <c r="B2073" s="16">
        <v>43556</v>
      </c>
      <c r="C2073" t="s">
        <v>165</v>
      </c>
      <c r="D2073" s="21">
        <v>4120018.875</v>
      </c>
      <c r="E2073" s="21">
        <v>-4120018.875</v>
      </c>
      <c r="F2073" s="21">
        <v>0</v>
      </c>
    </row>
    <row r="2074" spans="1:6" x14ac:dyDescent="0.25">
      <c r="A2074">
        <v>1861</v>
      </c>
      <c r="B2074" s="16">
        <v>43556</v>
      </c>
      <c r="C2074" t="s">
        <v>29</v>
      </c>
      <c r="D2074" s="21">
        <v>5731070.625</v>
      </c>
      <c r="E2074" s="21">
        <v>-5731070.625</v>
      </c>
      <c r="F2074" s="21">
        <v>0</v>
      </c>
    </row>
    <row r="2075" spans="1:6" x14ac:dyDescent="0.25">
      <c r="A2075">
        <v>1861</v>
      </c>
      <c r="B2075" s="16">
        <v>43556</v>
      </c>
      <c r="C2075" t="s">
        <v>12</v>
      </c>
      <c r="D2075" s="21">
        <v>11280052.350000001</v>
      </c>
      <c r="E2075" s="21">
        <v>-11280052.350000001</v>
      </c>
      <c r="F2075" s="21">
        <v>0</v>
      </c>
    </row>
    <row r="2076" spans="1:6" x14ac:dyDescent="0.25">
      <c r="A2076">
        <v>1861</v>
      </c>
      <c r="B2076" s="16">
        <v>43556</v>
      </c>
      <c r="C2076" t="s">
        <v>166</v>
      </c>
      <c r="D2076" s="21">
        <v>11621230.425000001</v>
      </c>
      <c r="E2076" s="21">
        <v>-11621230.425000001</v>
      </c>
      <c r="F2076" s="21">
        <v>0</v>
      </c>
    </row>
    <row r="2077" spans="1:6" x14ac:dyDescent="0.25">
      <c r="A2077">
        <v>1861</v>
      </c>
      <c r="B2077" s="16">
        <v>43556</v>
      </c>
      <c r="C2077" t="s">
        <v>167</v>
      </c>
      <c r="D2077" s="21">
        <v>10969973.972999999</v>
      </c>
      <c r="E2077" s="21">
        <v>-10969973.972999999</v>
      </c>
      <c r="F2077" s="21">
        <v>0</v>
      </c>
    </row>
    <row r="2078" spans="1:6" x14ac:dyDescent="0.25">
      <c r="A2078">
        <v>1861</v>
      </c>
      <c r="B2078" s="16">
        <v>43556</v>
      </c>
      <c r="C2078" t="s">
        <v>39</v>
      </c>
      <c r="D2078" s="21">
        <v>5532675.75</v>
      </c>
      <c r="E2078" s="21">
        <v>-5532675.75</v>
      </c>
      <c r="F2078" s="21">
        <v>0</v>
      </c>
    </row>
    <row r="2079" spans="1:6" x14ac:dyDescent="0.25">
      <c r="A2079">
        <v>1861</v>
      </c>
      <c r="B2079" s="16">
        <v>43556</v>
      </c>
      <c r="C2079" t="s">
        <v>192</v>
      </c>
      <c r="D2079" s="21">
        <v>48811000</v>
      </c>
      <c r="E2079" s="21">
        <v>-48811000</v>
      </c>
      <c r="F2079" s="21">
        <v>0</v>
      </c>
    </row>
    <row r="2080" spans="1:6" x14ac:dyDescent="0.25">
      <c r="A2080">
        <v>1861</v>
      </c>
      <c r="B2080" s="16">
        <v>43556</v>
      </c>
      <c r="C2080" t="s">
        <v>170</v>
      </c>
      <c r="D2080" s="21">
        <v>5735067.9750000006</v>
      </c>
      <c r="E2080" s="21">
        <v>-5735067.9750000006</v>
      </c>
      <c r="F2080" s="21">
        <v>0</v>
      </c>
    </row>
    <row r="2081" spans="1:6" x14ac:dyDescent="0.25">
      <c r="A2081">
        <v>1861</v>
      </c>
      <c r="B2081" s="16">
        <v>43556</v>
      </c>
      <c r="C2081" t="s">
        <v>19</v>
      </c>
      <c r="D2081" s="21">
        <v>6263286.4602000006</v>
      </c>
      <c r="E2081" s="21">
        <v>-6263286.4602000006</v>
      </c>
      <c r="F2081" s="21">
        <v>0</v>
      </c>
    </row>
    <row r="2082" spans="1:6" x14ac:dyDescent="0.25">
      <c r="A2082">
        <v>1861</v>
      </c>
      <c r="B2082" s="16">
        <v>43556</v>
      </c>
      <c r="C2082" t="s">
        <v>171</v>
      </c>
      <c r="D2082" s="21">
        <v>12956261.850000001</v>
      </c>
      <c r="E2082" s="21">
        <v>-12956261.850000001</v>
      </c>
      <c r="F2082" s="21">
        <v>0</v>
      </c>
    </row>
    <row r="2083" spans="1:6" x14ac:dyDescent="0.25">
      <c r="A2083">
        <v>1861</v>
      </c>
      <c r="B2083" s="16">
        <v>43586</v>
      </c>
      <c r="C2083" t="s">
        <v>168</v>
      </c>
      <c r="D2083" s="21">
        <v>8677969.1774999984</v>
      </c>
      <c r="E2083" s="21">
        <v>-8677969.1774999984</v>
      </c>
      <c r="F2083" s="21">
        <v>0</v>
      </c>
    </row>
    <row r="2084" spans="1:6" x14ac:dyDescent="0.25">
      <c r="A2084">
        <v>1861</v>
      </c>
      <c r="B2084" s="16">
        <v>43586</v>
      </c>
      <c r="C2084" t="s">
        <v>165</v>
      </c>
      <c r="D2084" s="21">
        <v>4120018.875</v>
      </c>
      <c r="E2084" s="21">
        <v>-4120018.875</v>
      </c>
      <c r="F2084" s="21">
        <v>0</v>
      </c>
    </row>
    <row r="2085" spans="1:6" x14ac:dyDescent="0.25">
      <c r="A2085">
        <v>1861</v>
      </c>
      <c r="B2085" s="16">
        <v>43586</v>
      </c>
      <c r="C2085" t="s">
        <v>29</v>
      </c>
      <c r="D2085" s="21">
        <v>5731070.625</v>
      </c>
      <c r="E2085" s="21">
        <v>-5731070.625</v>
      </c>
      <c r="F2085" s="21">
        <v>0</v>
      </c>
    </row>
    <row r="2086" spans="1:6" x14ac:dyDescent="0.25">
      <c r="A2086">
        <v>1861</v>
      </c>
      <c r="B2086" s="16">
        <v>43586</v>
      </c>
      <c r="C2086" t="s">
        <v>12</v>
      </c>
      <c r="D2086" s="21">
        <v>11280052.350000001</v>
      </c>
      <c r="E2086" s="21">
        <v>-11280052.350000001</v>
      </c>
      <c r="F2086" s="21">
        <v>0</v>
      </c>
    </row>
    <row r="2087" spans="1:6" x14ac:dyDescent="0.25">
      <c r="A2087">
        <v>1861</v>
      </c>
      <c r="B2087" s="16">
        <v>43586</v>
      </c>
      <c r="C2087" t="s">
        <v>166</v>
      </c>
      <c r="D2087" s="21">
        <v>11621230.425000001</v>
      </c>
      <c r="E2087" s="21">
        <v>-11621230.425000001</v>
      </c>
      <c r="F2087" s="21">
        <v>0</v>
      </c>
    </row>
    <row r="2088" spans="1:6" x14ac:dyDescent="0.25">
      <c r="A2088">
        <v>1861</v>
      </c>
      <c r="B2088" s="16">
        <v>43586</v>
      </c>
      <c r="C2088" t="s">
        <v>167</v>
      </c>
      <c r="D2088" s="21">
        <v>10969973.972999999</v>
      </c>
      <c r="E2088" s="21">
        <v>-10969973.972999999</v>
      </c>
      <c r="F2088" s="21">
        <v>0</v>
      </c>
    </row>
    <row r="2089" spans="1:6" x14ac:dyDescent="0.25">
      <c r="A2089">
        <v>1861</v>
      </c>
      <c r="B2089" s="16">
        <v>43586</v>
      </c>
      <c r="C2089" t="s">
        <v>39</v>
      </c>
      <c r="D2089" s="21">
        <v>5532675.75</v>
      </c>
      <c r="E2089" s="21">
        <v>-5532675.75</v>
      </c>
      <c r="F2089" s="21">
        <v>0</v>
      </c>
    </row>
    <row r="2090" spans="1:6" x14ac:dyDescent="0.25">
      <c r="A2090">
        <v>1861</v>
      </c>
      <c r="B2090" s="16">
        <v>43586</v>
      </c>
      <c r="C2090" t="s">
        <v>192</v>
      </c>
      <c r="D2090" s="21">
        <v>48811000</v>
      </c>
      <c r="E2090" s="21">
        <v>-48811000</v>
      </c>
      <c r="F2090" s="21">
        <v>0</v>
      </c>
    </row>
    <row r="2091" spans="1:6" x14ac:dyDescent="0.25">
      <c r="A2091">
        <v>1861</v>
      </c>
      <c r="B2091" s="16">
        <v>43586</v>
      </c>
      <c r="C2091" t="s">
        <v>170</v>
      </c>
      <c r="D2091" s="21">
        <v>5735067.9750000006</v>
      </c>
      <c r="E2091" s="21">
        <v>-5735067.9750000006</v>
      </c>
      <c r="F2091" s="21">
        <v>0</v>
      </c>
    </row>
    <row r="2092" spans="1:6" x14ac:dyDescent="0.25">
      <c r="A2092">
        <v>1861</v>
      </c>
      <c r="B2092" s="16">
        <v>43586</v>
      </c>
      <c r="C2092" t="s">
        <v>19</v>
      </c>
      <c r="D2092" s="21">
        <v>6263286.4602000006</v>
      </c>
      <c r="E2092" s="21">
        <v>-6263286.4602000006</v>
      </c>
      <c r="F2092" s="21">
        <v>0</v>
      </c>
    </row>
    <row r="2093" spans="1:6" x14ac:dyDescent="0.25">
      <c r="A2093">
        <v>1861</v>
      </c>
      <c r="B2093" s="16">
        <v>43586</v>
      </c>
      <c r="C2093" t="s">
        <v>171</v>
      </c>
      <c r="D2093" s="21">
        <v>12956261.850000001</v>
      </c>
      <c r="E2093" s="21">
        <v>-12956261.850000001</v>
      </c>
      <c r="F2093" s="21">
        <v>0</v>
      </c>
    </row>
    <row r="2094" spans="1:6" x14ac:dyDescent="0.25">
      <c r="A2094">
        <v>1861</v>
      </c>
      <c r="B2094" s="16">
        <v>43617</v>
      </c>
      <c r="C2094" t="s">
        <v>168</v>
      </c>
      <c r="D2094" s="21">
        <v>8677969.1774999984</v>
      </c>
      <c r="E2094" s="21">
        <v>-8677969.1774999984</v>
      </c>
      <c r="F2094" s="21">
        <v>0</v>
      </c>
    </row>
    <row r="2095" spans="1:6" x14ac:dyDescent="0.25">
      <c r="A2095">
        <v>1861</v>
      </c>
      <c r="B2095" s="16">
        <v>43617</v>
      </c>
      <c r="C2095" t="s">
        <v>165</v>
      </c>
      <c r="D2095" s="21">
        <v>4120018.875</v>
      </c>
      <c r="E2095" s="21">
        <v>-4120018.875</v>
      </c>
      <c r="F2095" s="21">
        <v>0</v>
      </c>
    </row>
    <row r="2096" spans="1:6" x14ac:dyDescent="0.25">
      <c r="A2096">
        <v>1861</v>
      </c>
      <c r="B2096" s="16">
        <v>43617</v>
      </c>
      <c r="C2096" t="s">
        <v>29</v>
      </c>
      <c r="D2096" s="21">
        <v>5731070.625</v>
      </c>
      <c r="E2096" s="21">
        <v>-5731070.625</v>
      </c>
      <c r="F2096" s="21">
        <v>0</v>
      </c>
    </row>
    <row r="2097" spans="1:6" x14ac:dyDescent="0.25">
      <c r="A2097">
        <v>1861</v>
      </c>
      <c r="B2097" s="16">
        <v>43617</v>
      </c>
      <c r="C2097" t="s">
        <v>12</v>
      </c>
      <c r="D2097" s="21">
        <v>11280052.350000001</v>
      </c>
      <c r="E2097" s="21">
        <v>-11280052.350000001</v>
      </c>
      <c r="F2097" s="21">
        <v>0</v>
      </c>
    </row>
    <row r="2098" spans="1:6" x14ac:dyDescent="0.25">
      <c r="A2098">
        <v>1861</v>
      </c>
      <c r="B2098" s="16">
        <v>43617</v>
      </c>
      <c r="C2098" t="s">
        <v>166</v>
      </c>
      <c r="D2098" s="21">
        <v>11621230.425000001</v>
      </c>
      <c r="E2098" s="21">
        <v>-11621230.425000001</v>
      </c>
      <c r="F2098" s="21">
        <v>0</v>
      </c>
    </row>
    <row r="2099" spans="1:6" x14ac:dyDescent="0.25">
      <c r="A2099">
        <v>1861</v>
      </c>
      <c r="B2099" s="16">
        <v>43617</v>
      </c>
      <c r="C2099" t="s">
        <v>167</v>
      </c>
      <c r="D2099" s="21">
        <v>10969973.972999999</v>
      </c>
      <c r="E2099" s="21">
        <v>-10969973.972999999</v>
      </c>
      <c r="F2099" s="21">
        <v>0</v>
      </c>
    </row>
    <row r="2100" spans="1:6" x14ac:dyDescent="0.25">
      <c r="A2100">
        <v>1861</v>
      </c>
      <c r="B2100" s="16">
        <v>43617</v>
      </c>
      <c r="C2100" t="s">
        <v>39</v>
      </c>
      <c r="D2100" s="21">
        <v>5532675.75</v>
      </c>
      <c r="E2100" s="21">
        <v>-5532675.75</v>
      </c>
      <c r="F2100" s="21">
        <v>0</v>
      </c>
    </row>
    <row r="2101" spans="1:6" x14ac:dyDescent="0.25">
      <c r="A2101">
        <v>1861</v>
      </c>
      <c r="B2101" s="16">
        <v>43617</v>
      </c>
      <c r="C2101" t="s">
        <v>192</v>
      </c>
      <c r="D2101" s="21">
        <v>48811000</v>
      </c>
      <c r="E2101" s="21">
        <v>-48811000</v>
      </c>
      <c r="F2101" s="21">
        <v>0</v>
      </c>
    </row>
    <row r="2102" spans="1:6" x14ac:dyDescent="0.25">
      <c r="A2102">
        <v>1861</v>
      </c>
      <c r="B2102" s="16">
        <v>43617</v>
      </c>
      <c r="C2102" t="s">
        <v>170</v>
      </c>
      <c r="D2102" s="21">
        <v>5735067.9750000006</v>
      </c>
      <c r="E2102" s="21">
        <v>-5735067.9750000006</v>
      </c>
      <c r="F2102" s="21">
        <v>0</v>
      </c>
    </row>
    <row r="2103" spans="1:6" x14ac:dyDescent="0.25">
      <c r="A2103">
        <v>1861</v>
      </c>
      <c r="B2103" s="16">
        <v>43617</v>
      </c>
      <c r="C2103" t="s">
        <v>19</v>
      </c>
      <c r="D2103" s="21">
        <v>6263286.4602000006</v>
      </c>
      <c r="E2103" s="21">
        <v>-6263286.4602000006</v>
      </c>
      <c r="F2103" s="21">
        <v>0</v>
      </c>
    </row>
    <row r="2104" spans="1:6" x14ac:dyDescent="0.25">
      <c r="A2104">
        <v>1861</v>
      </c>
      <c r="B2104" s="16">
        <v>43617</v>
      </c>
      <c r="C2104" t="s">
        <v>171</v>
      </c>
      <c r="D2104" s="21">
        <v>12956261.850000001</v>
      </c>
      <c r="E2104" s="21">
        <v>-12956261.850000001</v>
      </c>
      <c r="F2104" s="21">
        <v>0</v>
      </c>
    </row>
    <row r="2105" spans="1:6" x14ac:dyDescent="0.25">
      <c r="A2105">
        <v>1861</v>
      </c>
      <c r="B2105" s="16">
        <v>43647</v>
      </c>
      <c r="C2105" t="s">
        <v>168</v>
      </c>
      <c r="D2105" s="21">
        <v>8677969.1774999984</v>
      </c>
      <c r="E2105" s="21">
        <v>-8677969.1774999984</v>
      </c>
      <c r="F2105" s="21">
        <v>0</v>
      </c>
    </row>
    <row r="2106" spans="1:6" x14ac:dyDescent="0.25">
      <c r="A2106">
        <v>1861</v>
      </c>
      <c r="B2106" s="16">
        <v>43647</v>
      </c>
      <c r="C2106" t="s">
        <v>165</v>
      </c>
      <c r="D2106" s="21">
        <v>4120018.875</v>
      </c>
      <c r="E2106" s="21">
        <v>-4120018.875</v>
      </c>
      <c r="F2106" s="21">
        <v>0</v>
      </c>
    </row>
    <row r="2107" spans="1:6" x14ac:dyDescent="0.25">
      <c r="A2107">
        <v>1861</v>
      </c>
      <c r="B2107" s="16">
        <v>43647</v>
      </c>
      <c r="C2107" t="s">
        <v>29</v>
      </c>
      <c r="D2107" s="21">
        <v>5731070.625</v>
      </c>
      <c r="E2107" s="21">
        <v>-5731070.625</v>
      </c>
      <c r="F2107" s="21">
        <v>0</v>
      </c>
    </row>
    <row r="2108" spans="1:6" x14ac:dyDescent="0.25">
      <c r="A2108">
        <v>1861</v>
      </c>
      <c r="B2108" s="16">
        <v>43647</v>
      </c>
      <c r="C2108" t="s">
        <v>12</v>
      </c>
      <c r="D2108" s="21">
        <v>11280052.350000001</v>
      </c>
      <c r="E2108" s="21">
        <v>-11280052.350000001</v>
      </c>
      <c r="F2108" s="21">
        <v>0</v>
      </c>
    </row>
    <row r="2109" spans="1:6" x14ac:dyDescent="0.25">
      <c r="A2109">
        <v>1861</v>
      </c>
      <c r="B2109" s="16">
        <v>43647</v>
      </c>
      <c r="C2109" t="s">
        <v>166</v>
      </c>
      <c r="D2109" s="21">
        <v>11621230.425000001</v>
      </c>
      <c r="E2109" s="21">
        <v>-11621230.425000001</v>
      </c>
      <c r="F2109" s="21">
        <v>0</v>
      </c>
    </row>
    <row r="2110" spans="1:6" x14ac:dyDescent="0.25">
      <c r="A2110">
        <v>1861</v>
      </c>
      <c r="B2110" s="16">
        <v>43647</v>
      </c>
      <c r="C2110" t="s">
        <v>167</v>
      </c>
      <c r="D2110" s="21">
        <v>10969973.972999999</v>
      </c>
      <c r="E2110" s="21">
        <v>-10969973.972999999</v>
      </c>
      <c r="F2110" s="21">
        <v>0</v>
      </c>
    </row>
    <row r="2111" spans="1:6" x14ac:dyDescent="0.25">
      <c r="A2111">
        <v>1861</v>
      </c>
      <c r="B2111" s="16">
        <v>43647</v>
      </c>
      <c r="C2111" t="s">
        <v>39</v>
      </c>
      <c r="D2111" s="21">
        <v>5532675.75</v>
      </c>
      <c r="E2111" s="21">
        <v>-5532675.75</v>
      </c>
      <c r="F2111" s="21">
        <v>0</v>
      </c>
    </row>
    <row r="2112" spans="1:6" x14ac:dyDescent="0.25">
      <c r="A2112">
        <v>1861</v>
      </c>
      <c r="B2112" s="16">
        <v>43647</v>
      </c>
      <c r="C2112" t="s">
        <v>192</v>
      </c>
      <c r="D2112" s="21">
        <v>48811000</v>
      </c>
      <c r="E2112" s="21">
        <v>-48811000</v>
      </c>
      <c r="F2112" s="21">
        <v>0</v>
      </c>
    </row>
    <row r="2113" spans="1:6" x14ac:dyDescent="0.25">
      <c r="A2113">
        <v>1861</v>
      </c>
      <c r="B2113" s="16">
        <v>43647</v>
      </c>
      <c r="C2113" t="s">
        <v>170</v>
      </c>
      <c r="D2113" s="21">
        <v>5735067.9750000006</v>
      </c>
      <c r="E2113" s="21">
        <v>-5735067.9750000006</v>
      </c>
      <c r="F2113" s="21">
        <v>0</v>
      </c>
    </row>
    <row r="2114" spans="1:6" x14ac:dyDescent="0.25">
      <c r="A2114">
        <v>1861</v>
      </c>
      <c r="B2114" s="16">
        <v>43647</v>
      </c>
      <c r="C2114" t="s">
        <v>19</v>
      </c>
      <c r="D2114" s="21">
        <v>6263286.4602000006</v>
      </c>
      <c r="E2114" s="21">
        <v>-6263286.4602000006</v>
      </c>
      <c r="F2114" s="21">
        <v>0</v>
      </c>
    </row>
    <row r="2115" spans="1:6" x14ac:dyDescent="0.25">
      <c r="A2115">
        <v>1861</v>
      </c>
      <c r="B2115" s="16">
        <v>43647</v>
      </c>
      <c r="C2115" t="s">
        <v>171</v>
      </c>
      <c r="D2115" s="21">
        <v>12956261.850000001</v>
      </c>
      <c r="E2115" s="21">
        <v>-12956261.850000001</v>
      </c>
      <c r="F2115" s="21">
        <v>0</v>
      </c>
    </row>
    <row r="2116" spans="1:6" x14ac:dyDescent="0.25">
      <c r="A2116">
        <v>1861</v>
      </c>
      <c r="B2116" s="16">
        <v>43678</v>
      </c>
      <c r="C2116" t="s">
        <v>168</v>
      </c>
      <c r="D2116" s="21">
        <v>8677969.1774999984</v>
      </c>
      <c r="E2116" s="21">
        <v>-8677969.1774999984</v>
      </c>
      <c r="F2116" s="21">
        <v>0</v>
      </c>
    </row>
    <row r="2117" spans="1:6" x14ac:dyDescent="0.25">
      <c r="A2117">
        <v>1861</v>
      </c>
      <c r="B2117" s="16">
        <v>43678</v>
      </c>
      <c r="C2117" t="s">
        <v>165</v>
      </c>
      <c r="D2117" s="21">
        <v>4120018.875</v>
      </c>
      <c r="E2117" s="21">
        <v>-4120018.875</v>
      </c>
      <c r="F2117" s="21">
        <v>0</v>
      </c>
    </row>
    <row r="2118" spans="1:6" x14ac:dyDescent="0.25">
      <c r="A2118">
        <v>1861</v>
      </c>
      <c r="B2118" s="16">
        <v>43678</v>
      </c>
      <c r="C2118" t="s">
        <v>29</v>
      </c>
      <c r="D2118" s="21">
        <v>5731070.625</v>
      </c>
      <c r="E2118" s="21">
        <v>-5731070.625</v>
      </c>
      <c r="F2118" s="21">
        <v>0</v>
      </c>
    </row>
    <row r="2119" spans="1:6" x14ac:dyDescent="0.25">
      <c r="A2119">
        <v>1861</v>
      </c>
      <c r="B2119" s="16">
        <v>43678</v>
      </c>
      <c r="C2119" t="s">
        <v>12</v>
      </c>
      <c r="D2119" s="21">
        <v>11280052.350000001</v>
      </c>
      <c r="E2119" s="21">
        <v>-11280052.350000001</v>
      </c>
      <c r="F2119" s="21">
        <v>0</v>
      </c>
    </row>
    <row r="2120" spans="1:6" x14ac:dyDescent="0.25">
      <c r="A2120">
        <v>1861</v>
      </c>
      <c r="B2120" s="16">
        <v>43678</v>
      </c>
      <c r="C2120" t="s">
        <v>166</v>
      </c>
      <c r="D2120" s="21">
        <v>11621230.425000001</v>
      </c>
      <c r="E2120" s="21">
        <v>-11621230.425000001</v>
      </c>
      <c r="F2120" s="21">
        <v>0</v>
      </c>
    </row>
    <row r="2121" spans="1:6" x14ac:dyDescent="0.25">
      <c r="A2121">
        <v>1861</v>
      </c>
      <c r="B2121" s="16">
        <v>43678</v>
      </c>
      <c r="C2121" t="s">
        <v>167</v>
      </c>
      <c r="D2121" s="21">
        <v>10969973.972999999</v>
      </c>
      <c r="E2121" s="21">
        <v>-10969973.972999999</v>
      </c>
      <c r="F2121" s="21">
        <v>0</v>
      </c>
    </row>
    <row r="2122" spans="1:6" x14ac:dyDescent="0.25">
      <c r="A2122">
        <v>1861</v>
      </c>
      <c r="B2122" s="16">
        <v>43678</v>
      </c>
      <c r="C2122" t="s">
        <v>39</v>
      </c>
      <c r="D2122" s="21">
        <v>5532675.75</v>
      </c>
      <c r="E2122" s="21">
        <v>-5532675.75</v>
      </c>
      <c r="F2122" s="21">
        <v>0</v>
      </c>
    </row>
    <row r="2123" spans="1:6" x14ac:dyDescent="0.25">
      <c r="A2123">
        <v>1861</v>
      </c>
      <c r="B2123" s="16">
        <v>43678</v>
      </c>
      <c r="C2123" t="s">
        <v>192</v>
      </c>
      <c r="D2123" s="21">
        <v>48811000</v>
      </c>
      <c r="E2123" s="21">
        <v>-48811000</v>
      </c>
      <c r="F2123" s="21">
        <v>0</v>
      </c>
    </row>
    <row r="2124" spans="1:6" x14ac:dyDescent="0.25">
      <c r="A2124">
        <v>1861</v>
      </c>
      <c r="B2124" s="16">
        <v>43678</v>
      </c>
      <c r="C2124" t="s">
        <v>170</v>
      </c>
      <c r="D2124" s="21">
        <v>5735067.9750000006</v>
      </c>
      <c r="E2124" s="21">
        <v>-5735067.9750000006</v>
      </c>
      <c r="F2124" s="21">
        <v>0</v>
      </c>
    </row>
    <row r="2125" spans="1:6" x14ac:dyDescent="0.25">
      <c r="A2125">
        <v>1861</v>
      </c>
      <c r="B2125" s="16">
        <v>43678</v>
      </c>
      <c r="C2125" t="s">
        <v>19</v>
      </c>
      <c r="D2125" s="21">
        <v>6263286.4602000006</v>
      </c>
      <c r="E2125" s="21">
        <v>-6263286.4602000006</v>
      </c>
      <c r="F2125" s="21">
        <v>0</v>
      </c>
    </row>
    <row r="2126" spans="1:6" x14ac:dyDescent="0.25">
      <c r="A2126">
        <v>1861</v>
      </c>
      <c r="B2126" s="16">
        <v>43678</v>
      </c>
      <c r="C2126" t="s">
        <v>171</v>
      </c>
      <c r="D2126" s="21">
        <v>12956261.850000001</v>
      </c>
      <c r="E2126" s="21">
        <v>-12956261.850000001</v>
      </c>
      <c r="F2126" s="21">
        <v>0</v>
      </c>
    </row>
    <row r="2127" spans="1:6" x14ac:dyDescent="0.25">
      <c r="A2127">
        <v>1861</v>
      </c>
      <c r="B2127" s="16">
        <v>43709</v>
      </c>
      <c r="C2127" t="s">
        <v>168</v>
      </c>
      <c r="D2127" s="21">
        <v>8677969.1774999984</v>
      </c>
      <c r="E2127" s="21">
        <v>-8677969.1774999984</v>
      </c>
      <c r="F2127" s="21">
        <v>0</v>
      </c>
    </row>
    <row r="2128" spans="1:6" x14ac:dyDescent="0.25">
      <c r="A2128">
        <v>1861</v>
      </c>
      <c r="B2128" s="16">
        <v>43709</v>
      </c>
      <c r="C2128" t="s">
        <v>165</v>
      </c>
      <c r="D2128" s="21">
        <v>4120018.875</v>
      </c>
      <c r="E2128" s="21">
        <v>-4120018.875</v>
      </c>
      <c r="F2128" s="21">
        <v>0</v>
      </c>
    </row>
    <row r="2129" spans="1:6" x14ac:dyDescent="0.25">
      <c r="A2129">
        <v>1861</v>
      </c>
      <c r="B2129" s="16">
        <v>43709</v>
      </c>
      <c r="C2129" t="s">
        <v>29</v>
      </c>
      <c r="D2129" s="21">
        <v>5731070.625</v>
      </c>
      <c r="E2129" s="21">
        <v>-5731070.625</v>
      </c>
      <c r="F2129" s="21">
        <v>0</v>
      </c>
    </row>
    <row r="2130" spans="1:6" x14ac:dyDescent="0.25">
      <c r="A2130">
        <v>1861</v>
      </c>
      <c r="B2130" s="16">
        <v>43709</v>
      </c>
      <c r="C2130" t="s">
        <v>12</v>
      </c>
      <c r="D2130" s="21">
        <v>11280052.350000001</v>
      </c>
      <c r="E2130" s="21">
        <v>-11280052.350000001</v>
      </c>
      <c r="F2130" s="21">
        <v>0</v>
      </c>
    </row>
    <row r="2131" spans="1:6" x14ac:dyDescent="0.25">
      <c r="A2131">
        <v>1861</v>
      </c>
      <c r="B2131" s="16">
        <v>43709</v>
      </c>
      <c r="C2131" t="s">
        <v>166</v>
      </c>
      <c r="D2131" s="21">
        <v>11621230.425000001</v>
      </c>
      <c r="E2131" s="21">
        <v>-11621230.425000001</v>
      </c>
      <c r="F2131" s="21">
        <v>0</v>
      </c>
    </row>
    <row r="2132" spans="1:6" x14ac:dyDescent="0.25">
      <c r="A2132">
        <v>1861</v>
      </c>
      <c r="B2132" s="16">
        <v>43709</v>
      </c>
      <c r="C2132" t="s">
        <v>167</v>
      </c>
      <c r="D2132" s="21">
        <v>10969973.972999999</v>
      </c>
      <c r="E2132" s="21">
        <v>-10969973.972999999</v>
      </c>
      <c r="F2132" s="21">
        <v>0</v>
      </c>
    </row>
    <row r="2133" spans="1:6" x14ac:dyDescent="0.25">
      <c r="A2133">
        <v>1861</v>
      </c>
      <c r="B2133" s="16">
        <v>43709</v>
      </c>
      <c r="C2133" t="s">
        <v>39</v>
      </c>
      <c r="D2133" s="21">
        <v>5532675.75</v>
      </c>
      <c r="E2133" s="21">
        <v>-5532675.75</v>
      </c>
      <c r="F2133" s="21">
        <v>0</v>
      </c>
    </row>
    <row r="2134" spans="1:6" x14ac:dyDescent="0.25">
      <c r="A2134">
        <v>1861</v>
      </c>
      <c r="B2134" s="16">
        <v>43709</v>
      </c>
      <c r="C2134" t="s">
        <v>192</v>
      </c>
      <c r="D2134" s="21">
        <v>48811000</v>
      </c>
      <c r="E2134" s="21">
        <v>-48811000</v>
      </c>
      <c r="F2134" s="21">
        <v>0</v>
      </c>
    </row>
    <row r="2135" spans="1:6" x14ac:dyDescent="0.25">
      <c r="A2135">
        <v>1861</v>
      </c>
      <c r="B2135" s="16">
        <v>43709</v>
      </c>
      <c r="C2135" t="s">
        <v>170</v>
      </c>
      <c r="D2135" s="21">
        <v>5735067.9750000006</v>
      </c>
      <c r="E2135" s="21">
        <v>-5735067.9750000006</v>
      </c>
      <c r="F2135" s="21">
        <v>0</v>
      </c>
    </row>
    <row r="2136" spans="1:6" x14ac:dyDescent="0.25">
      <c r="A2136">
        <v>1861</v>
      </c>
      <c r="B2136" s="16">
        <v>43709</v>
      </c>
      <c r="C2136" t="s">
        <v>19</v>
      </c>
      <c r="D2136" s="21">
        <v>6263286.4602000006</v>
      </c>
      <c r="E2136" s="21">
        <v>-6263286.4602000006</v>
      </c>
      <c r="F2136" s="21">
        <v>0</v>
      </c>
    </row>
    <row r="2137" spans="1:6" x14ac:dyDescent="0.25">
      <c r="A2137">
        <v>1861</v>
      </c>
      <c r="B2137" s="16">
        <v>43709</v>
      </c>
      <c r="C2137" t="s">
        <v>171</v>
      </c>
      <c r="D2137" s="21">
        <v>12956261.850000001</v>
      </c>
      <c r="E2137" s="21">
        <v>-12956261.850000001</v>
      </c>
      <c r="F2137" s="21">
        <v>0</v>
      </c>
    </row>
    <row r="2138" spans="1:6" x14ac:dyDescent="0.25">
      <c r="A2138">
        <v>1861</v>
      </c>
      <c r="B2138" s="16">
        <v>43739</v>
      </c>
      <c r="C2138" t="s">
        <v>168</v>
      </c>
      <c r="D2138" s="21">
        <v>8677969.1774999984</v>
      </c>
      <c r="E2138" s="21">
        <v>-8677969.1774999984</v>
      </c>
      <c r="F2138" s="21">
        <v>0</v>
      </c>
    </row>
    <row r="2139" spans="1:6" x14ac:dyDescent="0.25">
      <c r="A2139">
        <v>1861</v>
      </c>
      <c r="B2139" s="16">
        <v>43739</v>
      </c>
      <c r="C2139" t="s">
        <v>165</v>
      </c>
      <c r="D2139" s="21">
        <v>4120018.875</v>
      </c>
      <c r="E2139" s="21">
        <v>-4120018.875</v>
      </c>
      <c r="F2139" s="21">
        <v>0</v>
      </c>
    </row>
    <row r="2140" spans="1:6" x14ac:dyDescent="0.25">
      <c r="A2140">
        <v>1861</v>
      </c>
      <c r="B2140" s="16">
        <v>43739</v>
      </c>
      <c r="C2140" t="s">
        <v>29</v>
      </c>
      <c r="D2140" s="21">
        <v>5731070.625</v>
      </c>
      <c r="E2140" s="21">
        <v>-5731070.625</v>
      </c>
      <c r="F2140" s="21">
        <v>0</v>
      </c>
    </row>
    <row r="2141" spans="1:6" x14ac:dyDescent="0.25">
      <c r="A2141">
        <v>1861</v>
      </c>
      <c r="B2141" s="16">
        <v>43739</v>
      </c>
      <c r="C2141" t="s">
        <v>12</v>
      </c>
      <c r="D2141" s="21">
        <v>11280052.350000001</v>
      </c>
      <c r="E2141" s="21">
        <v>-11280052.350000001</v>
      </c>
      <c r="F2141" s="21">
        <v>0</v>
      </c>
    </row>
    <row r="2142" spans="1:6" x14ac:dyDescent="0.25">
      <c r="A2142">
        <v>1861</v>
      </c>
      <c r="B2142" s="16">
        <v>43739</v>
      </c>
      <c r="C2142" t="s">
        <v>166</v>
      </c>
      <c r="D2142" s="21">
        <v>11621230.425000001</v>
      </c>
      <c r="E2142" s="21">
        <v>-11621230.425000001</v>
      </c>
      <c r="F2142" s="21">
        <v>0</v>
      </c>
    </row>
    <row r="2143" spans="1:6" x14ac:dyDescent="0.25">
      <c r="A2143">
        <v>1861</v>
      </c>
      <c r="B2143" s="16">
        <v>43739</v>
      </c>
      <c r="C2143" t="s">
        <v>167</v>
      </c>
      <c r="D2143" s="21">
        <v>10969973.972999999</v>
      </c>
      <c r="E2143" s="21">
        <v>-10969973.972999999</v>
      </c>
      <c r="F2143" s="21">
        <v>0</v>
      </c>
    </row>
    <row r="2144" spans="1:6" x14ac:dyDescent="0.25">
      <c r="A2144">
        <v>1861</v>
      </c>
      <c r="B2144" s="16">
        <v>43739</v>
      </c>
      <c r="C2144" t="s">
        <v>39</v>
      </c>
      <c r="D2144" s="21">
        <v>5532675.75</v>
      </c>
      <c r="E2144" s="21">
        <v>-5532675.75</v>
      </c>
      <c r="F2144" s="21">
        <v>0</v>
      </c>
    </row>
    <row r="2145" spans="1:6" x14ac:dyDescent="0.25">
      <c r="A2145">
        <v>1861</v>
      </c>
      <c r="B2145" s="16">
        <v>43739</v>
      </c>
      <c r="C2145" t="s">
        <v>192</v>
      </c>
      <c r="D2145" s="21">
        <v>48811000</v>
      </c>
      <c r="E2145" s="21">
        <v>-48811000</v>
      </c>
      <c r="F2145" s="21">
        <v>0</v>
      </c>
    </row>
    <row r="2146" spans="1:6" x14ac:dyDescent="0.25">
      <c r="A2146">
        <v>1861</v>
      </c>
      <c r="B2146" s="16">
        <v>43739</v>
      </c>
      <c r="C2146" t="s">
        <v>170</v>
      </c>
      <c r="D2146" s="21">
        <v>5735067.9750000006</v>
      </c>
      <c r="E2146" s="21">
        <v>-5735067.9750000006</v>
      </c>
      <c r="F2146" s="21">
        <v>0</v>
      </c>
    </row>
    <row r="2147" spans="1:6" x14ac:dyDescent="0.25">
      <c r="A2147">
        <v>1861</v>
      </c>
      <c r="B2147" s="16">
        <v>43739</v>
      </c>
      <c r="C2147" t="s">
        <v>19</v>
      </c>
      <c r="D2147" s="21">
        <v>6263286.4602000006</v>
      </c>
      <c r="E2147" s="21">
        <v>-6263286.4602000006</v>
      </c>
      <c r="F2147" s="21">
        <v>0</v>
      </c>
    </row>
    <row r="2148" spans="1:6" x14ac:dyDescent="0.25">
      <c r="A2148">
        <v>1861</v>
      </c>
      <c r="B2148" s="16">
        <v>43739</v>
      </c>
      <c r="C2148" t="s">
        <v>171</v>
      </c>
      <c r="D2148" s="21">
        <v>12956261.850000001</v>
      </c>
      <c r="E2148" s="21">
        <v>-12956261.850000001</v>
      </c>
      <c r="F2148" s="21">
        <v>0</v>
      </c>
    </row>
    <row r="2149" spans="1:6" x14ac:dyDescent="0.25">
      <c r="A2149">
        <v>1861</v>
      </c>
      <c r="B2149" s="16">
        <v>43770</v>
      </c>
      <c r="C2149" t="s">
        <v>168</v>
      </c>
      <c r="D2149" s="21">
        <v>8677969.1774999984</v>
      </c>
      <c r="E2149" s="21">
        <v>-8677969.1774999984</v>
      </c>
      <c r="F2149" s="21">
        <v>0</v>
      </c>
    </row>
    <row r="2150" spans="1:6" x14ac:dyDescent="0.25">
      <c r="A2150">
        <v>1861</v>
      </c>
      <c r="B2150" s="16">
        <v>43770</v>
      </c>
      <c r="C2150" t="s">
        <v>165</v>
      </c>
      <c r="D2150" s="21">
        <v>4120018.875</v>
      </c>
      <c r="E2150" s="21">
        <v>-4120018.875</v>
      </c>
      <c r="F2150" s="21">
        <v>0</v>
      </c>
    </row>
    <row r="2151" spans="1:6" x14ac:dyDescent="0.25">
      <c r="A2151">
        <v>1861</v>
      </c>
      <c r="B2151" s="16">
        <v>43770</v>
      </c>
      <c r="C2151" t="s">
        <v>29</v>
      </c>
      <c r="D2151" s="21">
        <v>5731070.625</v>
      </c>
      <c r="E2151" s="21">
        <v>-5731070.625</v>
      </c>
      <c r="F2151" s="21">
        <v>0</v>
      </c>
    </row>
    <row r="2152" spans="1:6" x14ac:dyDescent="0.25">
      <c r="A2152">
        <v>1861</v>
      </c>
      <c r="B2152" s="16">
        <v>43770</v>
      </c>
      <c r="C2152" t="s">
        <v>12</v>
      </c>
      <c r="D2152" s="21">
        <v>11280052.350000001</v>
      </c>
      <c r="E2152" s="21">
        <v>-11280052.350000001</v>
      </c>
      <c r="F2152" s="21">
        <v>0</v>
      </c>
    </row>
    <row r="2153" spans="1:6" x14ac:dyDescent="0.25">
      <c r="A2153">
        <v>1861</v>
      </c>
      <c r="B2153" s="16">
        <v>43770</v>
      </c>
      <c r="C2153" t="s">
        <v>166</v>
      </c>
      <c r="D2153" s="21">
        <v>11621230.425000001</v>
      </c>
      <c r="E2153" s="21">
        <v>-11621230.425000001</v>
      </c>
      <c r="F2153" s="21">
        <v>0</v>
      </c>
    </row>
    <row r="2154" spans="1:6" x14ac:dyDescent="0.25">
      <c r="A2154">
        <v>1861</v>
      </c>
      <c r="B2154" s="16">
        <v>43770</v>
      </c>
      <c r="C2154" t="s">
        <v>167</v>
      </c>
      <c r="D2154" s="21">
        <v>10969973.972999999</v>
      </c>
      <c r="E2154" s="21">
        <v>-10969973.972999999</v>
      </c>
      <c r="F2154" s="21">
        <v>0</v>
      </c>
    </row>
    <row r="2155" spans="1:6" x14ac:dyDescent="0.25">
      <c r="A2155">
        <v>1861</v>
      </c>
      <c r="B2155" s="16">
        <v>43770</v>
      </c>
      <c r="C2155" t="s">
        <v>39</v>
      </c>
      <c r="D2155" s="21">
        <v>5532675.75</v>
      </c>
      <c r="E2155" s="21">
        <v>-5532675.75</v>
      </c>
      <c r="F2155" s="21">
        <v>0</v>
      </c>
    </row>
    <row r="2156" spans="1:6" x14ac:dyDescent="0.25">
      <c r="A2156">
        <v>1861</v>
      </c>
      <c r="B2156" s="16">
        <v>43770</v>
      </c>
      <c r="C2156" t="s">
        <v>192</v>
      </c>
      <c r="D2156" s="21">
        <v>48811000</v>
      </c>
      <c r="E2156" s="21">
        <v>-48811000</v>
      </c>
      <c r="F2156" s="21">
        <v>0</v>
      </c>
    </row>
    <row r="2157" spans="1:6" x14ac:dyDescent="0.25">
      <c r="A2157">
        <v>1861</v>
      </c>
      <c r="B2157" s="16">
        <v>43770</v>
      </c>
      <c r="C2157" t="s">
        <v>170</v>
      </c>
      <c r="D2157" s="21">
        <v>5735067.9750000006</v>
      </c>
      <c r="E2157" s="21">
        <v>-5735067.9750000006</v>
      </c>
      <c r="F2157" s="21">
        <v>0</v>
      </c>
    </row>
    <row r="2158" spans="1:6" x14ac:dyDescent="0.25">
      <c r="A2158">
        <v>1861</v>
      </c>
      <c r="B2158" s="16">
        <v>43770</v>
      </c>
      <c r="C2158" t="s">
        <v>19</v>
      </c>
      <c r="D2158" s="21">
        <v>6263286.4602000006</v>
      </c>
      <c r="E2158" s="21">
        <v>-6263286.4602000006</v>
      </c>
      <c r="F2158" s="21">
        <v>0</v>
      </c>
    </row>
    <row r="2159" spans="1:6" x14ac:dyDescent="0.25">
      <c r="A2159">
        <v>1861</v>
      </c>
      <c r="B2159" s="16">
        <v>43770</v>
      </c>
      <c r="C2159" t="s">
        <v>171</v>
      </c>
      <c r="D2159" s="21">
        <v>12956261.850000001</v>
      </c>
      <c r="E2159" s="21">
        <v>-12956261.850000001</v>
      </c>
      <c r="F2159" s="21">
        <v>0</v>
      </c>
    </row>
    <row r="2160" spans="1:6" x14ac:dyDescent="0.25">
      <c r="A2160">
        <v>1861</v>
      </c>
      <c r="B2160" s="16">
        <v>43800</v>
      </c>
      <c r="C2160" t="s">
        <v>168</v>
      </c>
      <c r="D2160" s="21">
        <v>8677969.1774999984</v>
      </c>
      <c r="E2160" s="21">
        <v>-8677969.1774999984</v>
      </c>
      <c r="F2160" s="21">
        <v>0</v>
      </c>
    </row>
    <row r="2161" spans="1:6" x14ac:dyDescent="0.25">
      <c r="A2161">
        <v>1861</v>
      </c>
      <c r="B2161" s="16">
        <v>43800</v>
      </c>
      <c r="C2161" t="s">
        <v>165</v>
      </c>
      <c r="D2161" s="21">
        <v>4120018.875</v>
      </c>
      <c r="E2161" s="21">
        <v>-4120018.875</v>
      </c>
      <c r="F2161" s="21">
        <v>0</v>
      </c>
    </row>
    <row r="2162" spans="1:6" x14ac:dyDescent="0.25">
      <c r="A2162">
        <v>1861</v>
      </c>
      <c r="B2162" s="16">
        <v>43800</v>
      </c>
      <c r="C2162" t="s">
        <v>29</v>
      </c>
      <c r="D2162" s="21">
        <v>5731070.625</v>
      </c>
      <c r="E2162" s="21">
        <v>-5731070.625</v>
      </c>
      <c r="F2162" s="21">
        <v>0</v>
      </c>
    </row>
    <row r="2163" spans="1:6" x14ac:dyDescent="0.25">
      <c r="A2163">
        <v>1861</v>
      </c>
      <c r="B2163" s="16">
        <v>43800</v>
      </c>
      <c r="C2163" t="s">
        <v>12</v>
      </c>
      <c r="D2163" s="21">
        <v>11280052.350000001</v>
      </c>
      <c r="E2163" s="21">
        <v>-11280052.350000001</v>
      </c>
      <c r="F2163" s="21">
        <v>0</v>
      </c>
    </row>
    <row r="2164" spans="1:6" x14ac:dyDescent="0.25">
      <c r="A2164">
        <v>1861</v>
      </c>
      <c r="B2164" s="16">
        <v>43800</v>
      </c>
      <c r="C2164" t="s">
        <v>166</v>
      </c>
      <c r="D2164" s="21">
        <v>11621230.425000001</v>
      </c>
      <c r="E2164" s="21">
        <v>-11621230.425000001</v>
      </c>
      <c r="F2164" s="21">
        <v>0</v>
      </c>
    </row>
    <row r="2165" spans="1:6" x14ac:dyDescent="0.25">
      <c r="A2165">
        <v>1861</v>
      </c>
      <c r="B2165" s="16">
        <v>43800</v>
      </c>
      <c r="C2165" t="s">
        <v>167</v>
      </c>
      <c r="D2165" s="21">
        <v>10969973.972999999</v>
      </c>
      <c r="E2165" s="21">
        <v>-10969973.972999999</v>
      </c>
      <c r="F2165" s="21">
        <v>0</v>
      </c>
    </row>
    <row r="2166" spans="1:6" x14ac:dyDescent="0.25">
      <c r="A2166">
        <v>1861</v>
      </c>
      <c r="B2166" s="16">
        <v>43800</v>
      </c>
      <c r="C2166" t="s">
        <v>39</v>
      </c>
      <c r="D2166" s="21">
        <v>5532675.75</v>
      </c>
      <c r="E2166" s="21">
        <v>-5532675.75</v>
      </c>
      <c r="F2166" s="21">
        <v>0</v>
      </c>
    </row>
    <row r="2167" spans="1:6" x14ac:dyDescent="0.25">
      <c r="A2167">
        <v>1861</v>
      </c>
      <c r="B2167" s="16">
        <v>43800</v>
      </c>
      <c r="C2167" t="s">
        <v>192</v>
      </c>
      <c r="D2167" s="21">
        <v>48811000</v>
      </c>
      <c r="E2167" s="21">
        <v>-48811000</v>
      </c>
      <c r="F2167" s="21">
        <v>0</v>
      </c>
    </row>
    <row r="2168" spans="1:6" x14ac:dyDescent="0.25">
      <c r="A2168">
        <v>1861</v>
      </c>
      <c r="B2168" s="16">
        <v>43800</v>
      </c>
      <c r="C2168" t="s">
        <v>170</v>
      </c>
      <c r="D2168" s="21">
        <v>5735067.9750000006</v>
      </c>
      <c r="E2168" s="21">
        <v>-5735067.9750000006</v>
      </c>
      <c r="F2168" s="21">
        <v>0</v>
      </c>
    </row>
    <row r="2169" spans="1:6" x14ac:dyDescent="0.25">
      <c r="A2169">
        <v>1861</v>
      </c>
      <c r="B2169" s="16">
        <v>43800</v>
      </c>
      <c r="C2169" t="s">
        <v>19</v>
      </c>
      <c r="D2169" s="21">
        <v>6263286.4602000006</v>
      </c>
      <c r="E2169" s="21">
        <v>-6263286.4602000006</v>
      </c>
      <c r="F2169" s="21">
        <v>0</v>
      </c>
    </row>
    <row r="2170" spans="1:6" x14ac:dyDescent="0.25">
      <c r="A2170">
        <v>1861</v>
      </c>
      <c r="B2170" s="16">
        <v>43800</v>
      </c>
      <c r="C2170" t="s">
        <v>171</v>
      </c>
      <c r="D2170" s="21">
        <v>12956261.850000001</v>
      </c>
      <c r="E2170" s="21">
        <v>-12956261.850000001</v>
      </c>
      <c r="F2170" s="21">
        <v>0</v>
      </c>
    </row>
    <row r="2171" spans="1:6" x14ac:dyDescent="0.25">
      <c r="A2171">
        <v>1861</v>
      </c>
      <c r="B2171" s="16">
        <v>43831</v>
      </c>
      <c r="C2171" t="s">
        <v>168</v>
      </c>
      <c r="D2171" s="21">
        <v>4314814.4024999999</v>
      </c>
      <c r="E2171" s="21">
        <v>-4314814.4024999999</v>
      </c>
      <c r="F2171" s="21">
        <v>0</v>
      </c>
    </row>
    <row r="2172" spans="1:6" x14ac:dyDescent="0.25">
      <c r="A2172">
        <v>1861</v>
      </c>
      <c r="B2172" s="16">
        <v>43831</v>
      </c>
      <c r="C2172" t="s">
        <v>165</v>
      </c>
      <c r="D2172" s="21">
        <v>4120018.875</v>
      </c>
      <c r="E2172" s="21">
        <v>-4120018.875</v>
      </c>
      <c r="F2172" s="21">
        <v>0</v>
      </c>
    </row>
    <row r="2173" spans="1:6" x14ac:dyDescent="0.25">
      <c r="A2173">
        <v>1861</v>
      </c>
      <c r="B2173" s="16">
        <v>43831</v>
      </c>
      <c r="C2173" t="s">
        <v>29</v>
      </c>
      <c r="D2173" s="21">
        <v>5731070.625</v>
      </c>
      <c r="E2173" s="21">
        <v>-5731070.625</v>
      </c>
      <c r="F2173" s="21">
        <v>0</v>
      </c>
    </row>
    <row r="2174" spans="1:6" x14ac:dyDescent="0.25">
      <c r="A2174">
        <v>1861</v>
      </c>
      <c r="B2174" s="16">
        <v>43831</v>
      </c>
      <c r="C2174" t="s">
        <v>12</v>
      </c>
      <c r="D2174" s="21">
        <v>11280052.350000001</v>
      </c>
      <c r="E2174" s="21">
        <v>-11280052.350000001</v>
      </c>
      <c r="F2174" s="21">
        <v>0</v>
      </c>
    </row>
    <row r="2175" spans="1:6" x14ac:dyDescent="0.25">
      <c r="A2175">
        <v>1861</v>
      </c>
      <c r="B2175" s="16">
        <v>43831</v>
      </c>
      <c r="C2175" t="s">
        <v>166</v>
      </c>
      <c r="D2175" s="21">
        <v>11621230.425000001</v>
      </c>
      <c r="E2175" s="21">
        <v>-11621230.425000001</v>
      </c>
      <c r="F2175" s="21">
        <v>0</v>
      </c>
    </row>
    <row r="2176" spans="1:6" x14ac:dyDescent="0.25">
      <c r="A2176">
        <v>1861</v>
      </c>
      <c r="B2176" s="16">
        <v>43831</v>
      </c>
      <c r="C2176" t="s">
        <v>167</v>
      </c>
      <c r="D2176" s="21">
        <v>10969973.972999999</v>
      </c>
      <c r="E2176" s="21">
        <v>-10969973.972999999</v>
      </c>
      <c r="F2176" s="21">
        <v>0</v>
      </c>
    </row>
    <row r="2177" spans="1:6" x14ac:dyDescent="0.25">
      <c r="A2177">
        <v>1861</v>
      </c>
      <c r="B2177" s="16">
        <v>43831</v>
      </c>
      <c r="C2177" t="s">
        <v>39</v>
      </c>
      <c r="D2177" s="21">
        <v>5532675.75</v>
      </c>
      <c r="E2177" s="21">
        <v>-5532675.75</v>
      </c>
      <c r="F2177" s="21">
        <v>0</v>
      </c>
    </row>
    <row r="2178" spans="1:6" x14ac:dyDescent="0.25">
      <c r="A2178">
        <v>1861</v>
      </c>
      <c r="B2178" s="16">
        <v>43831</v>
      </c>
      <c r="C2178" t="s">
        <v>192</v>
      </c>
      <c r="D2178" s="21">
        <v>48811000</v>
      </c>
      <c r="E2178" s="21">
        <v>-48811000</v>
      </c>
      <c r="F2178" s="21">
        <v>0</v>
      </c>
    </row>
    <row r="2179" spans="1:6" x14ac:dyDescent="0.25">
      <c r="A2179">
        <v>1861</v>
      </c>
      <c r="B2179" s="16">
        <v>43831</v>
      </c>
      <c r="C2179" t="s">
        <v>170</v>
      </c>
      <c r="D2179" s="21">
        <v>5735067.9750000006</v>
      </c>
      <c r="E2179" s="21">
        <v>-5735067.9750000006</v>
      </c>
      <c r="F2179" s="21">
        <v>0</v>
      </c>
    </row>
    <row r="2180" spans="1:6" x14ac:dyDescent="0.25">
      <c r="A2180">
        <v>1861</v>
      </c>
      <c r="B2180" s="16">
        <v>43831</v>
      </c>
      <c r="C2180" t="s">
        <v>19</v>
      </c>
      <c r="D2180" s="21">
        <v>6263286.4602000006</v>
      </c>
      <c r="E2180" s="21">
        <v>-6263286.4602000006</v>
      </c>
      <c r="F2180" s="21">
        <v>0</v>
      </c>
    </row>
    <row r="2181" spans="1:6" x14ac:dyDescent="0.25">
      <c r="A2181">
        <v>1861</v>
      </c>
      <c r="B2181" s="16">
        <v>43831</v>
      </c>
      <c r="C2181" t="s">
        <v>171</v>
      </c>
      <c r="D2181" s="21">
        <v>12956261.850000001</v>
      </c>
      <c r="E2181" s="21">
        <v>-12956261.850000001</v>
      </c>
      <c r="F2181" s="21">
        <v>0</v>
      </c>
    </row>
    <row r="2182" spans="1:6" x14ac:dyDescent="0.25">
      <c r="A2182">
        <v>1861</v>
      </c>
      <c r="B2182" s="16">
        <v>43862</v>
      </c>
      <c r="C2182" t="s">
        <v>168</v>
      </c>
      <c r="D2182" s="21">
        <v>4314814.4024999999</v>
      </c>
      <c r="E2182" s="21">
        <v>-4314814.4024999999</v>
      </c>
      <c r="F2182" s="21">
        <v>0</v>
      </c>
    </row>
    <row r="2183" spans="1:6" x14ac:dyDescent="0.25">
      <c r="A2183">
        <v>1861</v>
      </c>
      <c r="B2183" s="16">
        <v>43862</v>
      </c>
      <c r="C2183" t="s">
        <v>165</v>
      </c>
      <c r="D2183" s="21">
        <v>4120018.875</v>
      </c>
      <c r="E2183" s="21">
        <v>-4120018.875</v>
      </c>
      <c r="F2183" s="21">
        <v>0</v>
      </c>
    </row>
    <row r="2184" spans="1:6" x14ac:dyDescent="0.25">
      <c r="A2184">
        <v>1861</v>
      </c>
      <c r="B2184" s="16">
        <v>43862</v>
      </c>
      <c r="C2184" t="s">
        <v>29</v>
      </c>
      <c r="D2184" s="21">
        <v>5731070.625</v>
      </c>
      <c r="E2184" s="21">
        <v>-5731070.625</v>
      </c>
      <c r="F2184" s="21">
        <v>0</v>
      </c>
    </row>
    <row r="2185" spans="1:6" x14ac:dyDescent="0.25">
      <c r="A2185">
        <v>1861</v>
      </c>
      <c r="B2185" s="16">
        <v>43862</v>
      </c>
      <c r="C2185" t="s">
        <v>12</v>
      </c>
      <c r="D2185" s="21">
        <v>11280052.350000001</v>
      </c>
      <c r="E2185" s="21">
        <v>-11280052.350000001</v>
      </c>
      <c r="F2185" s="21">
        <v>0</v>
      </c>
    </row>
    <row r="2186" spans="1:6" x14ac:dyDescent="0.25">
      <c r="A2186">
        <v>1861</v>
      </c>
      <c r="B2186" s="16">
        <v>43862</v>
      </c>
      <c r="C2186" t="s">
        <v>166</v>
      </c>
      <c r="D2186" s="21">
        <v>11621230.425000001</v>
      </c>
      <c r="E2186" s="21">
        <v>-11621230.425000001</v>
      </c>
      <c r="F2186" s="21">
        <v>0</v>
      </c>
    </row>
    <row r="2187" spans="1:6" x14ac:dyDescent="0.25">
      <c r="A2187">
        <v>1861</v>
      </c>
      <c r="B2187" s="16">
        <v>43862</v>
      </c>
      <c r="C2187" t="s">
        <v>167</v>
      </c>
      <c r="D2187" s="21">
        <v>10969973.972999999</v>
      </c>
      <c r="E2187" s="21">
        <v>-10969973.972999999</v>
      </c>
      <c r="F2187" s="21">
        <v>0</v>
      </c>
    </row>
    <row r="2188" spans="1:6" x14ac:dyDescent="0.25">
      <c r="A2188">
        <v>1861</v>
      </c>
      <c r="B2188" s="16">
        <v>43862</v>
      </c>
      <c r="C2188" t="s">
        <v>39</v>
      </c>
      <c r="D2188" s="21">
        <v>5532675.75</v>
      </c>
      <c r="E2188" s="21">
        <v>-5532675.75</v>
      </c>
      <c r="F2188" s="21">
        <v>0</v>
      </c>
    </row>
    <row r="2189" spans="1:6" x14ac:dyDescent="0.25">
      <c r="A2189">
        <v>1861</v>
      </c>
      <c r="B2189" s="16">
        <v>43862</v>
      </c>
      <c r="C2189" t="s">
        <v>192</v>
      </c>
      <c r="D2189" s="21">
        <v>48811000</v>
      </c>
      <c r="E2189" s="21">
        <v>-48811000</v>
      </c>
      <c r="F2189" s="21">
        <v>0</v>
      </c>
    </row>
    <row r="2190" spans="1:6" x14ac:dyDescent="0.25">
      <c r="A2190">
        <v>1861</v>
      </c>
      <c r="B2190" s="16">
        <v>43862</v>
      </c>
      <c r="C2190" t="s">
        <v>170</v>
      </c>
      <c r="D2190" s="21">
        <v>5735067.9750000006</v>
      </c>
      <c r="E2190" s="21">
        <v>-5735067.9750000006</v>
      </c>
      <c r="F2190" s="21">
        <v>0</v>
      </c>
    </row>
    <row r="2191" spans="1:6" x14ac:dyDescent="0.25">
      <c r="A2191">
        <v>1861</v>
      </c>
      <c r="B2191" s="16">
        <v>43862</v>
      </c>
      <c r="C2191" t="s">
        <v>19</v>
      </c>
      <c r="D2191" s="21">
        <v>6263286.4602000006</v>
      </c>
      <c r="E2191" s="21">
        <v>-6263286.4602000006</v>
      </c>
      <c r="F2191" s="21">
        <v>0</v>
      </c>
    </row>
    <row r="2192" spans="1:6" x14ac:dyDescent="0.25">
      <c r="A2192">
        <v>1861</v>
      </c>
      <c r="B2192" s="16">
        <v>43862</v>
      </c>
      <c r="C2192" t="s">
        <v>171</v>
      </c>
      <c r="D2192" s="21">
        <v>12956261.850000001</v>
      </c>
      <c r="E2192" s="21">
        <v>-12956261.850000001</v>
      </c>
      <c r="F2192" s="21">
        <v>0</v>
      </c>
    </row>
    <row r="2193" spans="1:6" x14ac:dyDescent="0.25">
      <c r="A2193">
        <v>1861</v>
      </c>
      <c r="B2193" s="16">
        <v>43891</v>
      </c>
      <c r="C2193" t="s">
        <v>168</v>
      </c>
      <c r="D2193" s="21">
        <v>4314814.4024999999</v>
      </c>
      <c r="E2193" s="21">
        <v>-4314814.4024999999</v>
      </c>
      <c r="F2193" s="21">
        <v>0</v>
      </c>
    </row>
    <row r="2194" spans="1:6" x14ac:dyDescent="0.25">
      <c r="A2194">
        <v>1861</v>
      </c>
      <c r="B2194" s="16">
        <v>43891</v>
      </c>
      <c r="C2194" t="s">
        <v>165</v>
      </c>
      <c r="D2194" s="21">
        <v>4120018.875</v>
      </c>
      <c r="E2194" s="21">
        <v>-4120018.875</v>
      </c>
      <c r="F2194" s="21">
        <v>0</v>
      </c>
    </row>
    <row r="2195" spans="1:6" x14ac:dyDescent="0.25">
      <c r="A2195">
        <v>1861</v>
      </c>
      <c r="B2195" s="16">
        <v>43891</v>
      </c>
      <c r="C2195" t="s">
        <v>29</v>
      </c>
      <c r="D2195" s="21">
        <v>5731070.625</v>
      </c>
      <c r="E2195" s="21">
        <v>-5731070.625</v>
      </c>
      <c r="F2195" s="21">
        <v>0</v>
      </c>
    </row>
    <row r="2196" spans="1:6" x14ac:dyDescent="0.25">
      <c r="A2196">
        <v>1861</v>
      </c>
      <c r="B2196" s="16">
        <v>43891</v>
      </c>
      <c r="C2196" t="s">
        <v>12</v>
      </c>
      <c r="D2196" s="21">
        <v>11280052.350000001</v>
      </c>
      <c r="E2196" s="21">
        <v>-11280052.350000001</v>
      </c>
      <c r="F2196" s="21">
        <v>0</v>
      </c>
    </row>
    <row r="2197" spans="1:6" x14ac:dyDescent="0.25">
      <c r="A2197">
        <v>1861</v>
      </c>
      <c r="B2197" s="16">
        <v>43891</v>
      </c>
      <c r="C2197" t="s">
        <v>166</v>
      </c>
      <c r="D2197" s="21">
        <v>11621230.425000001</v>
      </c>
      <c r="E2197" s="21">
        <v>-11621230.425000001</v>
      </c>
      <c r="F2197" s="21">
        <v>0</v>
      </c>
    </row>
    <row r="2198" spans="1:6" x14ac:dyDescent="0.25">
      <c r="A2198">
        <v>1861</v>
      </c>
      <c r="B2198" s="16">
        <v>43891</v>
      </c>
      <c r="C2198" t="s">
        <v>167</v>
      </c>
      <c r="D2198" s="21">
        <v>10969973.972999999</v>
      </c>
      <c r="E2198" s="21">
        <v>-10969973.972999999</v>
      </c>
      <c r="F2198" s="21">
        <v>0</v>
      </c>
    </row>
    <row r="2199" spans="1:6" x14ac:dyDescent="0.25">
      <c r="A2199">
        <v>1861</v>
      </c>
      <c r="B2199" s="16">
        <v>43891</v>
      </c>
      <c r="C2199" t="s">
        <v>39</v>
      </c>
      <c r="D2199" s="21">
        <v>5532675.75</v>
      </c>
      <c r="E2199" s="21">
        <v>-5532675.75</v>
      </c>
      <c r="F2199" s="21">
        <v>0</v>
      </c>
    </row>
    <row r="2200" spans="1:6" x14ac:dyDescent="0.25">
      <c r="A2200">
        <v>1861</v>
      </c>
      <c r="B2200" s="16">
        <v>43891</v>
      </c>
      <c r="C2200" t="s">
        <v>192</v>
      </c>
      <c r="D2200" s="21">
        <v>48811000</v>
      </c>
      <c r="E2200" s="21">
        <v>-48811000</v>
      </c>
      <c r="F2200" s="21">
        <v>0</v>
      </c>
    </row>
    <row r="2201" spans="1:6" x14ac:dyDescent="0.25">
      <c r="A2201">
        <v>1861</v>
      </c>
      <c r="B2201" s="16">
        <v>43891</v>
      </c>
      <c r="C2201" t="s">
        <v>170</v>
      </c>
      <c r="D2201" s="21">
        <v>5735067.9750000006</v>
      </c>
      <c r="E2201" s="21">
        <v>-5735067.9750000006</v>
      </c>
      <c r="F2201" s="21">
        <v>0</v>
      </c>
    </row>
    <row r="2202" spans="1:6" x14ac:dyDescent="0.25">
      <c r="A2202">
        <v>1861</v>
      </c>
      <c r="B2202" s="16">
        <v>43891</v>
      </c>
      <c r="C2202" t="s">
        <v>19</v>
      </c>
      <c r="D2202" s="21">
        <v>6263286.4602000006</v>
      </c>
      <c r="E2202" s="21">
        <v>-6263286.4602000006</v>
      </c>
      <c r="F2202" s="21">
        <v>0</v>
      </c>
    </row>
    <row r="2203" spans="1:6" x14ac:dyDescent="0.25">
      <c r="A2203">
        <v>1861</v>
      </c>
      <c r="B2203" s="16">
        <v>43891</v>
      </c>
      <c r="C2203" t="s">
        <v>171</v>
      </c>
      <c r="D2203" s="21">
        <v>12956261.850000001</v>
      </c>
      <c r="E2203" s="21">
        <v>-12956261.850000001</v>
      </c>
      <c r="F2203" s="21">
        <v>0</v>
      </c>
    </row>
    <row r="2204" spans="1:6" x14ac:dyDescent="0.25">
      <c r="A2204">
        <v>1861</v>
      </c>
      <c r="B2204" s="16">
        <v>43922</v>
      </c>
      <c r="C2204" t="s">
        <v>168</v>
      </c>
      <c r="D2204" s="21">
        <v>4314814.4024999999</v>
      </c>
      <c r="E2204" s="21">
        <v>-4314814.4024999999</v>
      </c>
      <c r="F2204" s="21">
        <v>0</v>
      </c>
    </row>
    <row r="2205" spans="1:6" x14ac:dyDescent="0.25">
      <c r="A2205">
        <v>1861</v>
      </c>
      <c r="B2205" s="16">
        <v>43922</v>
      </c>
      <c r="C2205" t="s">
        <v>165</v>
      </c>
      <c r="D2205" s="21">
        <v>4120018.875</v>
      </c>
      <c r="E2205" s="21">
        <v>-4120018.875</v>
      </c>
      <c r="F2205" s="21">
        <v>0</v>
      </c>
    </row>
    <row r="2206" spans="1:6" x14ac:dyDescent="0.25">
      <c r="A2206">
        <v>1861</v>
      </c>
      <c r="B2206" s="16">
        <v>43922</v>
      </c>
      <c r="C2206" t="s">
        <v>29</v>
      </c>
      <c r="D2206" s="21">
        <v>5731070.625</v>
      </c>
      <c r="E2206" s="21">
        <v>-5731070.625</v>
      </c>
      <c r="F2206" s="21">
        <v>0</v>
      </c>
    </row>
    <row r="2207" spans="1:6" x14ac:dyDescent="0.25">
      <c r="A2207">
        <v>1861</v>
      </c>
      <c r="B2207" s="16">
        <v>43922</v>
      </c>
      <c r="C2207" t="s">
        <v>12</v>
      </c>
      <c r="D2207" s="21">
        <v>11280052.350000001</v>
      </c>
      <c r="E2207" s="21">
        <v>-11280052.350000001</v>
      </c>
      <c r="F2207" s="21">
        <v>0</v>
      </c>
    </row>
    <row r="2208" spans="1:6" x14ac:dyDescent="0.25">
      <c r="A2208">
        <v>1861</v>
      </c>
      <c r="B2208" s="16">
        <v>43922</v>
      </c>
      <c r="C2208" t="s">
        <v>166</v>
      </c>
      <c r="D2208" s="21">
        <v>11621230.425000001</v>
      </c>
      <c r="E2208" s="21">
        <v>-11621230.425000001</v>
      </c>
      <c r="F2208" s="21">
        <v>0</v>
      </c>
    </row>
    <row r="2209" spans="1:6" x14ac:dyDescent="0.25">
      <c r="A2209">
        <v>1861</v>
      </c>
      <c r="B2209" s="16">
        <v>43922</v>
      </c>
      <c r="C2209" t="s">
        <v>167</v>
      </c>
      <c r="D2209" s="21">
        <v>10969973.972999999</v>
      </c>
      <c r="E2209" s="21">
        <v>-10969973.972999999</v>
      </c>
      <c r="F2209" s="21">
        <v>0</v>
      </c>
    </row>
    <row r="2210" spans="1:6" x14ac:dyDescent="0.25">
      <c r="A2210">
        <v>1861</v>
      </c>
      <c r="B2210" s="16">
        <v>43922</v>
      </c>
      <c r="C2210" t="s">
        <v>39</v>
      </c>
      <c r="D2210" s="21">
        <v>5532675.75</v>
      </c>
      <c r="E2210" s="21">
        <v>-5532675.75</v>
      </c>
      <c r="F2210" s="21">
        <v>0</v>
      </c>
    </row>
    <row r="2211" spans="1:6" x14ac:dyDescent="0.25">
      <c r="A2211">
        <v>1861</v>
      </c>
      <c r="B2211" s="16">
        <v>43922</v>
      </c>
      <c r="C2211" t="s">
        <v>192</v>
      </c>
      <c r="D2211" s="21">
        <v>48811000</v>
      </c>
      <c r="E2211" s="21">
        <v>-48811000</v>
      </c>
      <c r="F2211" s="21">
        <v>0</v>
      </c>
    </row>
    <row r="2212" spans="1:6" x14ac:dyDescent="0.25">
      <c r="A2212">
        <v>1861</v>
      </c>
      <c r="B2212" s="16">
        <v>43922</v>
      </c>
      <c r="C2212" t="s">
        <v>170</v>
      </c>
      <c r="D2212" s="21">
        <v>5735067.9750000006</v>
      </c>
      <c r="E2212" s="21">
        <v>-5735067.9750000006</v>
      </c>
      <c r="F2212" s="21">
        <v>0</v>
      </c>
    </row>
    <row r="2213" spans="1:6" x14ac:dyDescent="0.25">
      <c r="A2213">
        <v>1861</v>
      </c>
      <c r="B2213" s="16">
        <v>43922</v>
      </c>
      <c r="C2213" t="s">
        <v>19</v>
      </c>
      <c r="D2213" s="21">
        <v>6263286.4602000006</v>
      </c>
      <c r="E2213" s="21">
        <v>-6263286.4602000006</v>
      </c>
      <c r="F2213" s="21">
        <v>0</v>
      </c>
    </row>
    <row r="2214" spans="1:6" x14ac:dyDescent="0.25">
      <c r="A2214">
        <v>1861</v>
      </c>
      <c r="B2214" s="16">
        <v>43922</v>
      </c>
      <c r="C2214" t="s">
        <v>171</v>
      </c>
      <c r="D2214" s="21">
        <v>12956261.850000001</v>
      </c>
      <c r="E2214" s="21">
        <v>-12956261.850000001</v>
      </c>
      <c r="F2214" s="21">
        <v>0</v>
      </c>
    </row>
    <row r="2215" spans="1:6" x14ac:dyDescent="0.25">
      <c r="A2215">
        <v>1861</v>
      </c>
      <c r="B2215" s="16">
        <v>43952</v>
      </c>
      <c r="C2215" t="s">
        <v>168</v>
      </c>
      <c r="D2215" s="21">
        <v>4314814.4024999999</v>
      </c>
      <c r="E2215" s="21">
        <v>-4314814.4024999999</v>
      </c>
      <c r="F2215" s="21">
        <v>0</v>
      </c>
    </row>
    <row r="2216" spans="1:6" x14ac:dyDescent="0.25">
      <c r="A2216">
        <v>1861</v>
      </c>
      <c r="B2216" s="16">
        <v>43952</v>
      </c>
      <c r="C2216" t="s">
        <v>165</v>
      </c>
      <c r="D2216" s="21">
        <v>4120018.875</v>
      </c>
      <c r="E2216" s="21">
        <v>-4120018.875</v>
      </c>
      <c r="F2216" s="21">
        <v>0</v>
      </c>
    </row>
    <row r="2217" spans="1:6" x14ac:dyDescent="0.25">
      <c r="A2217">
        <v>1861</v>
      </c>
      <c r="B2217" s="16">
        <v>43952</v>
      </c>
      <c r="C2217" t="s">
        <v>29</v>
      </c>
      <c r="D2217" s="21">
        <v>5731070.625</v>
      </c>
      <c r="E2217" s="21">
        <v>-5731070.625</v>
      </c>
      <c r="F2217" s="21">
        <v>0</v>
      </c>
    </row>
    <row r="2218" spans="1:6" x14ac:dyDescent="0.25">
      <c r="A2218">
        <v>1861</v>
      </c>
      <c r="B2218" s="16">
        <v>43952</v>
      </c>
      <c r="C2218" t="s">
        <v>12</v>
      </c>
      <c r="D2218" s="21">
        <v>11280052.350000001</v>
      </c>
      <c r="E2218" s="21">
        <v>-11280052.350000001</v>
      </c>
      <c r="F2218" s="21">
        <v>0</v>
      </c>
    </row>
    <row r="2219" spans="1:6" x14ac:dyDescent="0.25">
      <c r="A2219">
        <v>1861</v>
      </c>
      <c r="B2219" s="16">
        <v>43952</v>
      </c>
      <c r="C2219" t="s">
        <v>166</v>
      </c>
      <c r="D2219" s="21">
        <v>11621230.425000001</v>
      </c>
      <c r="E2219" s="21">
        <v>-11621230.425000001</v>
      </c>
      <c r="F2219" s="21">
        <v>0</v>
      </c>
    </row>
    <row r="2220" spans="1:6" x14ac:dyDescent="0.25">
      <c r="A2220">
        <v>1861</v>
      </c>
      <c r="B2220" s="16">
        <v>43952</v>
      </c>
      <c r="C2220" t="s">
        <v>167</v>
      </c>
      <c r="D2220" s="21">
        <v>10969973.972999999</v>
      </c>
      <c r="E2220" s="21">
        <v>-10969973.972999999</v>
      </c>
      <c r="F2220" s="21">
        <v>0</v>
      </c>
    </row>
    <row r="2221" spans="1:6" x14ac:dyDescent="0.25">
      <c r="A2221">
        <v>1861</v>
      </c>
      <c r="B2221" s="16">
        <v>43952</v>
      </c>
      <c r="C2221" t="s">
        <v>39</v>
      </c>
      <c r="D2221" s="21">
        <v>5532675.75</v>
      </c>
      <c r="E2221" s="21">
        <v>-5532675.75</v>
      </c>
      <c r="F2221" s="21">
        <v>0</v>
      </c>
    </row>
    <row r="2222" spans="1:6" x14ac:dyDescent="0.25">
      <c r="A2222">
        <v>1861</v>
      </c>
      <c r="B2222" s="16">
        <v>43952</v>
      </c>
      <c r="C2222" t="s">
        <v>192</v>
      </c>
      <c r="D2222" s="21">
        <v>48811000</v>
      </c>
      <c r="E2222" s="21">
        <v>-48811000</v>
      </c>
      <c r="F2222" s="21">
        <v>0</v>
      </c>
    </row>
    <row r="2223" spans="1:6" x14ac:dyDescent="0.25">
      <c r="A2223">
        <v>1861</v>
      </c>
      <c r="B2223" s="16">
        <v>43952</v>
      </c>
      <c r="C2223" t="s">
        <v>170</v>
      </c>
      <c r="D2223" s="21">
        <v>5735067.9750000006</v>
      </c>
      <c r="E2223" s="21">
        <v>-5735067.9750000006</v>
      </c>
      <c r="F2223" s="21">
        <v>0</v>
      </c>
    </row>
    <row r="2224" spans="1:6" x14ac:dyDescent="0.25">
      <c r="A2224">
        <v>1861</v>
      </c>
      <c r="B2224" s="16">
        <v>43952</v>
      </c>
      <c r="C2224" t="s">
        <v>19</v>
      </c>
      <c r="D2224" s="21">
        <v>6263286.4602000006</v>
      </c>
      <c r="E2224" s="21">
        <v>-6263286.4602000006</v>
      </c>
      <c r="F2224" s="21">
        <v>0</v>
      </c>
    </row>
    <row r="2225" spans="1:6" x14ac:dyDescent="0.25">
      <c r="A2225">
        <v>1861</v>
      </c>
      <c r="B2225" s="16">
        <v>43952</v>
      </c>
      <c r="C2225" t="s">
        <v>171</v>
      </c>
      <c r="D2225" s="21">
        <v>12956261.850000001</v>
      </c>
      <c r="E2225" s="21">
        <v>-12956261.850000001</v>
      </c>
      <c r="F2225" s="21">
        <v>0</v>
      </c>
    </row>
    <row r="2226" spans="1:6" x14ac:dyDescent="0.25">
      <c r="A2226">
        <v>1861</v>
      </c>
      <c r="B2226" s="16">
        <v>43983</v>
      </c>
      <c r="C2226" t="s">
        <v>168</v>
      </c>
      <c r="D2226" s="21">
        <v>4314814.4024999999</v>
      </c>
      <c r="E2226" s="21">
        <v>-4314814.4024999999</v>
      </c>
      <c r="F2226" s="21">
        <v>0</v>
      </c>
    </row>
    <row r="2227" spans="1:6" x14ac:dyDescent="0.25">
      <c r="A2227">
        <v>1861</v>
      </c>
      <c r="B2227" s="16">
        <v>43983</v>
      </c>
      <c r="C2227" t="s">
        <v>165</v>
      </c>
      <c r="D2227" s="21">
        <v>4120018.875</v>
      </c>
      <c r="E2227" s="21">
        <v>-4120018.875</v>
      </c>
      <c r="F2227" s="21">
        <v>0</v>
      </c>
    </row>
    <row r="2228" spans="1:6" x14ac:dyDescent="0.25">
      <c r="A2228">
        <v>1861</v>
      </c>
      <c r="B2228" s="16">
        <v>43983</v>
      </c>
      <c r="C2228" t="s">
        <v>29</v>
      </c>
      <c r="D2228" s="21">
        <v>5731070.625</v>
      </c>
      <c r="E2228" s="21">
        <v>-5731070.625</v>
      </c>
      <c r="F2228" s="21">
        <v>0</v>
      </c>
    </row>
    <row r="2229" spans="1:6" x14ac:dyDescent="0.25">
      <c r="A2229">
        <v>1861</v>
      </c>
      <c r="B2229" s="16">
        <v>43983</v>
      </c>
      <c r="C2229" t="s">
        <v>12</v>
      </c>
      <c r="D2229" s="21">
        <v>11280052.350000001</v>
      </c>
      <c r="E2229" s="21">
        <v>-11280052.350000001</v>
      </c>
      <c r="F2229" s="21">
        <v>0</v>
      </c>
    </row>
    <row r="2230" spans="1:6" x14ac:dyDescent="0.25">
      <c r="A2230">
        <v>1861</v>
      </c>
      <c r="B2230" s="16">
        <v>43983</v>
      </c>
      <c r="C2230" t="s">
        <v>166</v>
      </c>
      <c r="D2230" s="21">
        <v>5768028</v>
      </c>
      <c r="E2230" s="21">
        <v>-5768028</v>
      </c>
      <c r="F2230" s="21">
        <v>0</v>
      </c>
    </row>
    <row r="2231" spans="1:6" x14ac:dyDescent="0.25">
      <c r="A2231">
        <v>1861</v>
      </c>
      <c r="B2231" s="16">
        <v>43983</v>
      </c>
      <c r="C2231" t="s">
        <v>167</v>
      </c>
      <c r="D2231" s="21">
        <v>4765579.4024999999</v>
      </c>
      <c r="E2231" s="21">
        <v>-4765579.4024999999</v>
      </c>
      <c r="F2231" s="21">
        <v>0</v>
      </c>
    </row>
    <row r="2232" spans="1:6" x14ac:dyDescent="0.25">
      <c r="A2232">
        <v>1861</v>
      </c>
      <c r="B2232" s="16">
        <v>43983</v>
      </c>
      <c r="C2232" t="s">
        <v>39</v>
      </c>
      <c r="D2232" s="21">
        <v>5532675.75</v>
      </c>
      <c r="E2232" s="21">
        <v>-5532675.75</v>
      </c>
      <c r="F2232" s="21">
        <v>0</v>
      </c>
    </row>
    <row r="2233" spans="1:6" x14ac:dyDescent="0.25">
      <c r="A2233">
        <v>1861</v>
      </c>
      <c r="B2233" s="16">
        <v>43983</v>
      </c>
      <c r="C2233" t="s">
        <v>192</v>
      </c>
      <c r="D2233" s="21">
        <v>48811000</v>
      </c>
      <c r="E2233" s="21">
        <v>-48811000</v>
      </c>
      <c r="F2233" s="21">
        <v>0</v>
      </c>
    </row>
    <row r="2234" spans="1:6" x14ac:dyDescent="0.25">
      <c r="A2234">
        <v>1861</v>
      </c>
      <c r="B2234" s="16">
        <v>43983</v>
      </c>
      <c r="C2234" t="s">
        <v>170</v>
      </c>
      <c r="D2234" s="21">
        <v>5735067.9750000006</v>
      </c>
      <c r="E2234" s="21">
        <v>-5735067.9750000006</v>
      </c>
      <c r="F2234" s="21">
        <v>0</v>
      </c>
    </row>
    <row r="2235" spans="1:6" x14ac:dyDescent="0.25">
      <c r="A2235">
        <v>1861</v>
      </c>
      <c r="B2235" s="16">
        <v>43983</v>
      </c>
      <c r="C2235" t="s">
        <v>19</v>
      </c>
      <c r="D2235" s="21">
        <v>6263286.4602000006</v>
      </c>
      <c r="E2235" s="21">
        <v>-6263286.4602000006</v>
      </c>
      <c r="F2235" s="21">
        <v>0</v>
      </c>
    </row>
    <row r="2236" spans="1:6" x14ac:dyDescent="0.25">
      <c r="A2236">
        <v>1861</v>
      </c>
      <c r="B2236" s="16">
        <v>43983</v>
      </c>
      <c r="C2236" t="s">
        <v>171</v>
      </c>
      <c r="D2236" s="21">
        <v>12956261.850000001</v>
      </c>
      <c r="E2236" s="21">
        <v>-12956261.850000001</v>
      </c>
      <c r="F2236" s="21">
        <v>0</v>
      </c>
    </row>
    <row r="2237" spans="1:6" x14ac:dyDescent="0.25">
      <c r="A2237">
        <v>1861</v>
      </c>
      <c r="B2237" s="16">
        <v>44013</v>
      </c>
      <c r="C2237" t="s">
        <v>168</v>
      </c>
      <c r="D2237" s="21">
        <v>4314814.4024999999</v>
      </c>
      <c r="E2237" s="21">
        <v>-4314814.4024999999</v>
      </c>
      <c r="F2237" s="21">
        <v>0</v>
      </c>
    </row>
    <row r="2238" spans="1:6" x14ac:dyDescent="0.25">
      <c r="A2238">
        <v>1861</v>
      </c>
      <c r="B2238" s="16">
        <v>44013</v>
      </c>
      <c r="C2238" t="s">
        <v>165</v>
      </c>
      <c r="D2238" s="21">
        <v>4120018.875</v>
      </c>
      <c r="E2238" s="21">
        <v>-4120018.875</v>
      </c>
      <c r="F2238" s="21">
        <v>0</v>
      </c>
    </row>
    <row r="2239" spans="1:6" x14ac:dyDescent="0.25">
      <c r="A2239">
        <v>1861</v>
      </c>
      <c r="B2239" s="16">
        <v>44013</v>
      </c>
      <c r="C2239" t="s">
        <v>29</v>
      </c>
      <c r="D2239" s="21">
        <v>5731070.625</v>
      </c>
      <c r="E2239" s="21">
        <v>-5731070.625</v>
      </c>
      <c r="F2239" s="21">
        <v>0</v>
      </c>
    </row>
    <row r="2240" spans="1:6" x14ac:dyDescent="0.25">
      <c r="A2240">
        <v>1861</v>
      </c>
      <c r="B2240" s="16">
        <v>44013</v>
      </c>
      <c r="C2240" t="s">
        <v>12</v>
      </c>
      <c r="D2240" s="21">
        <v>11280052.350000001</v>
      </c>
      <c r="E2240" s="21">
        <v>-11280052.350000001</v>
      </c>
      <c r="F2240" s="21">
        <v>0</v>
      </c>
    </row>
    <row r="2241" spans="1:6" x14ac:dyDescent="0.25">
      <c r="A2241">
        <v>1861</v>
      </c>
      <c r="B2241" s="16">
        <v>44013</v>
      </c>
      <c r="C2241" t="s">
        <v>166</v>
      </c>
      <c r="D2241" s="21">
        <v>5768028</v>
      </c>
      <c r="E2241" s="21">
        <v>-5768028</v>
      </c>
      <c r="F2241" s="21">
        <v>0</v>
      </c>
    </row>
    <row r="2242" spans="1:6" x14ac:dyDescent="0.25">
      <c r="A2242">
        <v>1861</v>
      </c>
      <c r="B2242" s="16">
        <v>44013</v>
      </c>
      <c r="C2242" t="s">
        <v>167</v>
      </c>
      <c r="D2242" s="21">
        <v>4765579.4024999999</v>
      </c>
      <c r="E2242" s="21">
        <v>-4765579.4024999999</v>
      </c>
      <c r="F2242" s="21">
        <v>0</v>
      </c>
    </row>
    <row r="2243" spans="1:6" x14ac:dyDescent="0.25">
      <c r="A2243">
        <v>1861</v>
      </c>
      <c r="B2243" s="16">
        <v>44013</v>
      </c>
      <c r="C2243" t="s">
        <v>39</v>
      </c>
      <c r="D2243" s="21">
        <v>5532675.75</v>
      </c>
      <c r="E2243" s="21">
        <v>-5532675.75</v>
      </c>
      <c r="F2243" s="21">
        <v>0</v>
      </c>
    </row>
    <row r="2244" spans="1:6" x14ac:dyDescent="0.25">
      <c r="A2244">
        <v>1861</v>
      </c>
      <c r="B2244" s="16">
        <v>44013</v>
      </c>
      <c r="C2244" t="s">
        <v>192</v>
      </c>
      <c r="D2244" s="21">
        <v>48811000</v>
      </c>
      <c r="E2244" s="21">
        <v>-48811000</v>
      </c>
      <c r="F2244" s="21">
        <v>0</v>
      </c>
    </row>
    <row r="2245" spans="1:6" x14ac:dyDescent="0.25">
      <c r="A2245">
        <v>1861</v>
      </c>
      <c r="B2245" s="16">
        <v>44013</v>
      </c>
      <c r="C2245" t="s">
        <v>170</v>
      </c>
      <c r="D2245" s="21">
        <v>5735067.9750000006</v>
      </c>
      <c r="E2245" s="21">
        <v>-5735067.9750000006</v>
      </c>
      <c r="F2245" s="21">
        <v>0</v>
      </c>
    </row>
    <row r="2246" spans="1:6" x14ac:dyDescent="0.25">
      <c r="A2246">
        <v>1861</v>
      </c>
      <c r="B2246" s="16">
        <v>44013</v>
      </c>
      <c r="C2246" t="s">
        <v>19</v>
      </c>
      <c r="D2246" s="21">
        <v>6263286.4602000006</v>
      </c>
      <c r="E2246" s="21">
        <v>-6263286.4602000006</v>
      </c>
      <c r="F2246" s="21">
        <v>0</v>
      </c>
    </row>
    <row r="2247" spans="1:6" x14ac:dyDescent="0.25">
      <c r="A2247">
        <v>1861</v>
      </c>
      <c r="B2247" s="16">
        <v>44013</v>
      </c>
      <c r="C2247" t="s">
        <v>171</v>
      </c>
      <c r="D2247" s="21">
        <v>12956261.850000001</v>
      </c>
      <c r="E2247" s="21">
        <v>-12956261.850000001</v>
      </c>
      <c r="F2247" s="21">
        <v>0</v>
      </c>
    </row>
    <row r="2248" spans="1:6" x14ac:dyDescent="0.25">
      <c r="A2248">
        <v>1861</v>
      </c>
      <c r="B2248" s="16">
        <v>44044</v>
      </c>
      <c r="C2248" t="s">
        <v>167</v>
      </c>
      <c r="D2248" s="21">
        <v>4765579.4024999999</v>
      </c>
      <c r="E2248" s="21">
        <v>-4765579.4024999999</v>
      </c>
      <c r="F2248" s="21">
        <v>0</v>
      </c>
    </row>
    <row r="2249" spans="1:6" x14ac:dyDescent="0.25">
      <c r="A2249">
        <v>1861</v>
      </c>
      <c r="B2249" s="16">
        <v>44044</v>
      </c>
      <c r="C2249" t="s">
        <v>168</v>
      </c>
      <c r="D2249" s="21">
        <v>4314814.4024999999</v>
      </c>
      <c r="E2249" s="21">
        <v>-4314814.4024999999</v>
      </c>
      <c r="F2249" s="21">
        <v>0</v>
      </c>
    </row>
    <row r="2250" spans="1:6" x14ac:dyDescent="0.25">
      <c r="A2250">
        <v>1861</v>
      </c>
      <c r="B2250" s="16">
        <v>44044</v>
      </c>
      <c r="C2250" t="s">
        <v>19</v>
      </c>
      <c r="D2250" s="21">
        <v>6263286.4602000006</v>
      </c>
      <c r="E2250" s="21">
        <v>-6263286.4602000006</v>
      </c>
      <c r="F2250" s="21">
        <v>0</v>
      </c>
    </row>
    <row r="2251" spans="1:6" x14ac:dyDescent="0.25">
      <c r="A2251">
        <v>1861</v>
      </c>
      <c r="B2251" s="16">
        <v>44044</v>
      </c>
      <c r="C2251" t="s">
        <v>166</v>
      </c>
      <c r="D2251" s="21">
        <v>5768028</v>
      </c>
      <c r="E2251" s="21">
        <v>-5768028</v>
      </c>
      <c r="F2251" s="21">
        <v>0</v>
      </c>
    </row>
    <row r="2252" spans="1:6" x14ac:dyDescent="0.25">
      <c r="A2252">
        <v>1861</v>
      </c>
      <c r="B2252" s="16">
        <v>44044</v>
      </c>
      <c r="C2252" t="s">
        <v>192</v>
      </c>
      <c r="D2252" s="21">
        <v>48811000</v>
      </c>
      <c r="E2252" s="21">
        <v>-48811000</v>
      </c>
      <c r="F2252" s="21">
        <v>0</v>
      </c>
    </row>
    <row r="2253" spans="1:6" x14ac:dyDescent="0.25">
      <c r="A2253">
        <v>1861</v>
      </c>
      <c r="B2253" s="16">
        <v>44044</v>
      </c>
      <c r="C2253" t="s">
        <v>39</v>
      </c>
      <c r="D2253" s="21">
        <v>5532675.75</v>
      </c>
      <c r="E2253" s="21">
        <v>-5532675.75</v>
      </c>
      <c r="F2253" s="21">
        <v>0</v>
      </c>
    </row>
    <row r="2254" spans="1:6" x14ac:dyDescent="0.25">
      <c r="A2254">
        <v>1861</v>
      </c>
      <c r="B2254" s="16">
        <v>44044</v>
      </c>
      <c r="C2254" t="s">
        <v>12</v>
      </c>
      <c r="D2254" s="21">
        <v>11280052.350000001</v>
      </c>
      <c r="E2254" s="21">
        <v>-11280052.350000001</v>
      </c>
      <c r="F2254" s="21">
        <v>0</v>
      </c>
    </row>
    <row r="2255" spans="1:6" x14ac:dyDescent="0.25">
      <c r="A2255">
        <v>1861</v>
      </c>
      <c r="B2255" s="16">
        <v>44044</v>
      </c>
      <c r="C2255" t="s">
        <v>170</v>
      </c>
      <c r="D2255" s="21">
        <v>5735067.9750000006</v>
      </c>
      <c r="E2255" s="21">
        <v>-5735067.9750000006</v>
      </c>
      <c r="F2255" s="21">
        <v>0</v>
      </c>
    </row>
    <row r="2256" spans="1:6" x14ac:dyDescent="0.25">
      <c r="A2256">
        <v>1861</v>
      </c>
      <c r="B2256" s="16">
        <v>44044</v>
      </c>
      <c r="C2256" t="s">
        <v>165</v>
      </c>
      <c r="D2256" s="21">
        <v>4120018.875</v>
      </c>
      <c r="E2256" s="21">
        <v>-4120018.875</v>
      </c>
      <c r="F2256" s="21">
        <v>0</v>
      </c>
    </row>
    <row r="2257" spans="1:6" x14ac:dyDescent="0.25">
      <c r="A2257">
        <v>1861</v>
      </c>
      <c r="B2257" s="16">
        <v>44044</v>
      </c>
      <c r="C2257" t="s">
        <v>171</v>
      </c>
      <c r="D2257" s="21">
        <v>12956261.850000001</v>
      </c>
      <c r="E2257" s="21">
        <v>-12956261.850000001</v>
      </c>
      <c r="F2257" s="21">
        <v>0</v>
      </c>
    </row>
    <row r="2258" spans="1:6" x14ac:dyDescent="0.25">
      <c r="A2258">
        <v>1861</v>
      </c>
      <c r="B2258" s="16">
        <v>44075</v>
      </c>
      <c r="C2258" t="s">
        <v>168</v>
      </c>
      <c r="D2258" s="21">
        <v>4314814.4024999999</v>
      </c>
      <c r="E2258" s="21">
        <v>-4314814.4024999999</v>
      </c>
      <c r="F2258" s="21">
        <v>0</v>
      </c>
    </row>
    <row r="2259" spans="1:6" x14ac:dyDescent="0.25">
      <c r="A2259">
        <v>1861</v>
      </c>
      <c r="B2259" s="16">
        <v>44075</v>
      </c>
      <c r="C2259" t="s">
        <v>165</v>
      </c>
      <c r="D2259" s="21">
        <v>4120018.875</v>
      </c>
      <c r="E2259" s="21">
        <v>-4120018.875</v>
      </c>
      <c r="F2259" s="21">
        <v>0</v>
      </c>
    </row>
    <row r="2260" spans="1:6" x14ac:dyDescent="0.25">
      <c r="A2260">
        <v>1861</v>
      </c>
      <c r="B2260" s="16">
        <v>44075</v>
      </c>
      <c r="C2260" t="s">
        <v>166</v>
      </c>
      <c r="D2260" s="21">
        <v>5768028</v>
      </c>
      <c r="E2260" s="21">
        <v>-5768028</v>
      </c>
      <c r="F2260" s="21">
        <v>0</v>
      </c>
    </row>
    <row r="2261" spans="1:6" x14ac:dyDescent="0.25">
      <c r="A2261">
        <v>1861</v>
      </c>
      <c r="B2261" s="16">
        <v>44075</v>
      </c>
      <c r="C2261" t="s">
        <v>192</v>
      </c>
      <c r="D2261" s="21">
        <v>48811000</v>
      </c>
      <c r="E2261" s="21">
        <v>-48811000</v>
      </c>
      <c r="F2261" s="21">
        <v>0</v>
      </c>
    </row>
    <row r="2262" spans="1:6" x14ac:dyDescent="0.25">
      <c r="A2262">
        <v>1861</v>
      </c>
      <c r="B2262" s="16">
        <v>44075</v>
      </c>
      <c r="C2262" t="s">
        <v>39</v>
      </c>
      <c r="D2262" s="21">
        <v>5532675.75</v>
      </c>
      <c r="E2262" s="21">
        <v>-5532675.75</v>
      </c>
      <c r="F2262" s="21">
        <v>0</v>
      </c>
    </row>
    <row r="2263" spans="1:6" x14ac:dyDescent="0.25">
      <c r="A2263">
        <v>1861</v>
      </c>
      <c r="B2263" s="16">
        <v>44075</v>
      </c>
      <c r="C2263" t="s">
        <v>12</v>
      </c>
      <c r="D2263" s="21">
        <v>11280052.350000001</v>
      </c>
      <c r="E2263" s="21">
        <v>-11280052.350000001</v>
      </c>
      <c r="F2263" s="21">
        <v>0</v>
      </c>
    </row>
    <row r="2264" spans="1:6" x14ac:dyDescent="0.25">
      <c r="A2264">
        <v>1861</v>
      </c>
      <c r="B2264" s="16">
        <v>44075</v>
      </c>
      <c r="C2264" t="s">
        <v>170</v>
      </c>
      <c r="D2264" s="21">
        <v>5735067.9750000006</v>
      </c>
      <c r="E2264" s="21">
        <v>-5735067.9750000006</v>
      </c>
      <c r="F2264" s="21">
        <v>0</v>
      </c>
    </row>
    <row r="2265" spans="1:6" x14ac:dyDescent="0.25">
      <c r="A2265">
        <v>1861</v>
      </c>
      <c r="B2265" s="16">
        <v>44075</v>
      </c>
      <c r="C2265" t="s">
        <v>167</v>
      </c>
      <c r="D2265" s="21">
        <v>4765579.4024999999</v>
      </c>
      <c r="E2265" s="21">
        <v>-4765579.4024999999</v>
      </c>
      <c r="F2265" s="21">
        <v>0</v>
      </c>
    </row>
    <row r="2266" spans="1:6" x14ac:dyDescent="0.25">
      <c r="A2266">
        <v>1861</v>
      </c>
      <c r="B2266" s="16">
        <v>44075</v>
      </c>
      <c r="C2266" t="s">
        <v>171</v>
      </c>
      <c r="D2266" s="21">
        <v>12956261.850000001</v>
      </c>
      <c r="E2266" s="21">
        <v>-12956261.850000001</v>
      </c>
      <c r="F2266" s="21">
        <v>0</v>
      </c>
    </row>
    <row r="2267" spans="1:6" x14ac:dyDescent="0.25">
      <c r="A2267">
        <v>1861</v>
      </c>
      <c r="B2267" s="16">
        <v>44105</v>
      </c>
      <c r="C2267" t="s">
        <v>168</v>
      </c>
      <c r="D2267" s="21">
        <v>4314814.4024999999</v>
      </c>
      <c r="E2267" s="21">
        <v>-4314814.4024999999</v>
      </c>
      <c r="F2267" s="21">
        <v>0</v>
      </c>
    </row>
    <row r="2268" spans="1:6" x14ac:dyDescent="0.25">
      <c r="A2268">
        <v>1861</v>
      </c>
      <c r="B2268" s="16">
        <v>44105</v>
      </c>
      <c r="C2268" t="s">
        <v>166</v>
      </c>
      <c r="D2268" s="21">
        <v>5768028</v>
      </c>
      <c r="E2268" s="21">
        <v>-5768028</v>
      </c>
      <c r="F2268" s="21">
        <v>0</v>
      </c>
    </row>
    <row r="2269" spans="1:6" x14ac:dyDescent="0.25">
      <c r="A2269">
        <v>1861</v>
      </c>
      <c r="B2269" s="16">
        <v>44105</v>
      </c>
      <c r="C2269" t="s">
        <v>192</v>
      </c>
      <c r="D2269" s="21">
        <v>48811000</v>
      </c>
      <c r="E2269" s="21">
        <v>-48811000</v>
      </c>
      <c r="F2269" s="21">
        <v>0</v>
      </c>
    </row>
    <row r="2270" spans="1:6" x14ac:dyDescent="0.25">
      <c r="A2270">
        <v>1861</v>
      </c>
      <c r="B2270" s="16">
        <v>44105</v>
      </c>
      <c r="C2270" t="s">
        <v>39</v>
      </c>
      <c r="D2270" s="21">
        <v>5532675.75</v>
      </c>
      <c r="E2270" s="21">
        <v>-5532675.75</v>
      </c>
      <c r="F2270" s="21">
        <v>0</v>
      </c>
    </row>
    <row r="2271" spans="1:6" x14ac:dyDescent="0.25">
      <c r="A2271">
        <v>1861</v>
      </c>
      <c r="B2271" s="16">
        <v>44105</v>
      </c>
      <c r="C2271" t="s">
        <v>165</v>
      </c>
      <c r="D2271" s="21">
        <v>4120018.875</v>
      </c>
      <c r="E2271" s="21">
        <v>-4120018.875</v>
      </c>
      <c r="F2271" s="21">
        <v>0</v>
      </c>
    </row>
    <row r="2272" spans="1:6" x14ac:dyDescent="0.25">
      <c r="A2272">
        <v>1861</v>
      </c>
      <c r="B2272" s="16">
        <v>44105</v>
      </c>
      <c r="C2272" t="s">
        <v>170</v>
      </c>
      <c r="D2272" s="21">
        <v>5735067.9750000006</v>
      </c>
      <c r="E2272" s="21">
        <v>-5735067.9750000006</v>
      </c>
      <c r="F2272" s="21">
        <v>0</v>
      </c>
    </row>
    <row r="2273" spans="1:6" x14ac:dyDescent="0.25">
      <c r="A2273">
        <v>1861</v>
      </c>
      <c r="B2273" s="16">
        <v>44105</v>
      </c>
      <c r="C2273" t="s">
        <v>167</v>
      </c>
      <c r="D2273" s="21">
        <v>4765579.4024999999</v>
      </c>
      <c r="E2273" s="21">
        <v>-4765579.4024999999</v>
      </c>
      <c r="F2273" s="21">
        <v>0</v>
      </c>
    </row>
    <row r="2274" spans="1:6" x14ac:dyDescent="0.25">
      <c r="A2274">
        <v>1861</v>
      </c>
      <c r="B2274" s="16">
        <v>44105</v>
      </c>
      <c r="C2274" t="s">
        <v>171</v>
      </c>
      <c r="D2274" s="21">
        <v>12956261.850000001</v>
      </c>
      <c r="E2274" s="21">
        <v>-12956261.850000001</v>
      </c>
      <c r="F2274" s="21">
        <v>0</v>
      </c>
    </row>
    <row r="2275" spans="1:6" x14ac:dyDescent="0.25">
      <c r="A2275">
        <v>1861</v>
      </c>
      <c r="B2275" s="16">
        <v>44136</v>
      </c>
      <c r="C2275" t="s">
        <v>168</v>
      </c>
      <c r="D2275" s="21">
        <v>4314814.4024999999</v>
      </c>
      <c r="E2275" s="21">
        <v>-4314814.4024999999</v>
      </c>
      <c r="F2275" s="21">
        <v>0</v>
      </c>
    </row>
    <row r="2276" spans="1:6" x14ac:dyDescent="0.25">
      <c r="A2276">
        <v>1861</v>
      </c>
      <c r="B2276" s="16">
        <v>44136</v>
      </c>
      <c r="C2276" t="s">
        <v>166</v>
      </c>
      <c r="D2276" s="21">
        <v>5768028</v>
      </c>
      <c r="E2276" s="21">
        <v>-5768028</v>
      </c>
      <c r="F2276" s="21">
        <v>0</v>
      </c>
    </row>
    <row r="2277" spans="1:6" x14ac:dyDescent="0.25">
      <c r="A2277">
        <v>1861</v>
      </c>
      <c r="B2277" s="16">
        <v>44136</v>
      </c>
      <c r="C2277" t="s">
        <v>192</v>
      </c>
      <c r="D2277" s="21">
        <v>48811000</v>
      </c>
      <c r="E2277" s="21">
        <v>-48811000</v>
      </c>
      <c r="F2277" s="21">
        <v>0</v>
      </c>
    </row>
    <row r="2278" spans="1:6" x14ac:dyDescent="0.25">
      <c r="A2278">
        <v>1861</v>
      </c>
      <c r="B2278" s="16">
        <v>44136</v>
      </c>
      <c r="C2278" t="s">
        <v>39</v>
      </c>
      <c r="D2278" s="21">
        <v>5532675.75</v>
      </c>
      <c r="E2278" s="21">
        <v>-5532675.75</v>
      </c>
      <c r="F2278" s="21">
        <v>0</v>
      </c>
    </row>
    <row r="2279" spans="1:6" x14ac:dyDescent="0.25">
      <c r="A2279">
        <v>1861</v>
      </c>
      <c r="B2279" s="16">
        <v>44136</v>
      </c>
      <c r="C2279" t="s">
        <v>165</v>
      </c>
      <c r="D2279" s="21">
        <v>4120018.875</v>
      </c>
      <c r="E2279" s="21">
        <v>-4120018.875</v>
      </c>
      <c r="F2279" s="21">
        <v>0</v>
      </c>
    </row>
    <row r="2280" spans="1:6" x14ac:dyDescent="0.25">
      <c r="A2280">
        <v>1861</v>
      </c>
      <c r="B2280" s="16">
        <v>44136</v>
      </c>
      <c r="C2280" t="s">
        <v>170</v>
      </c>
      <c r="D2280" s="21">
        <v>5735067.9750000006</v>
      </c>
      <c r="E2280" s="21">
        <v>-5735067.9750000006</v>
      </c>
      <c r="F2280" s="21">
        <v>0</v>
      </c>
    </row>
    <row r="2281" spans="1:6" x14ac:dyDescent="0.25">
      <c r="A2281">
        <v>1861</v>
      </c>
      <c r="B2281" s="16">
        <v>44136</v>
      </c>
      <c r="C2281" t="s">
        <v>167</v>
      </c>
      <c r="D2281" s="21">
        <v>4765579.4024999999</v>
      </c>
      <c r="E2281" s="21">
        <v>-4765579.4024999999</v>
      </c>
      <c r="F2281" s="21">
        <v>0</v>
      </c>
    </row>
    <row r="2282" spans="1:6" x14ac:dyDescent="0.25">
      <c r="A2282">
        <v>1861</v>
      </c>
      <c r="B2282" s="16">
        <v>44136</v>
      </c>
      <c r="C2282" t="s">
        <v>171</v>
      </c>
      <c r="D2282" s="21">
        <v>12956261.850000001</v>
      </c>
      <c r="E2282" s="21">
        <v>-12956261.850000001</v>
      </c>
      <c r="F2282" s="21">
        <v>0</v>
      </c>
    </row>
    <row r="2283" spans="1:6" x14ac:dyDescent="0.25">
      <c r="A2283">
        <v>1861</v>
      </c>
      <c r="B2283" s="16">
        <v>44166</v>
      </c>
      <c r="C2283" t="s">
        <v>192</v>
      </c>
      <c r="D2283" s="21">
        <v>48811000</v>
      </c>
      <c r="E2283" s="21">
        <v>-48811000</v>
      </c>
      <c r="F2283" s="21">
        <v>0</v>
      </c>
    </row>
    <row r="2284" spans="1:6" x14ac:dyDescent="0.25">
      <c r="A2284">
        <v>1861</v>
      </c>
      <c r="B2284" s="16">
        <v>44166</v>
      </c>
      <c r="C2284" t="s">
        <v>39</v>
      </c>
      <c r="D2284" s="21">
        <v>5532675.75</v>
      </c>
      <c r="E2284" s="21">
        <v>-5532675.75</v>
      </c>
      <c r="F2284" s="21">
        <v>0</v>
      </c>
    </row>
    <row r="2285" spans="1:6" x14ac:dyDescent="0.25">
      <c r="A2285">
        <v>1866</v>
      </c>
      <c r="B2285" s="16">
        <v>43497</v>
      </c>
      <c r="C2285" t="s">
        <v>192</v>
      </c>
      <c r="D2285" s="21">
        <v>9800000</v>
      </c>
      <c r="E2285" s="21">
        <v>-9800000</v>
      </c>
      <c r="F2285" s="21">
        <v>0</v>
      </c>
    </row>
    <row r="2286" spans="1:6" x14ac:dyDescent="0.25">
      <c r="A2286">
        <v>1866</v>
      </c>
      <c r="B2286" s="16">
        <v>43525</v>
      </c>
      <c r="C2286" t="s">
        <v>192</v>
      </c>
      <c r="D2286" s="21">
        <v>9800000</v>
      </c>
      <c r="E2286" s="21">
        <v>-9800000</v>
      </c>
      <c r="F2286" s="21">
        <v>0</v>
      </c>
    </row>
    <row r="2287" spans="1:6" x14ac:dyDescent="0.25">
      <c r="A2287">
        <v>1866</v>
      </c>
      <c r="B2287" s="16">
        <v>43556</v>
      </c>
      <c r="C2287" t="s">
        <v>192</v>
      </c>
      <c r="D2287" s="21">
        <v>9800000</v>
      </c>
      <c r="E2287" s="21">
        <v>-9800000</v>
      </c>
      <c r="F2287" s="21">
        <v>0</v>
      </c>
    </row>
    <row r="2288" spans="1:6" x14ac:dyDescent="0.25">
      <c r="A2288">
        <v>1866</v>
      </c>
      <c r="B2288" s="16">
        <v>43586</v>
      </c>
      <c r="C2288" t="s">
        <v>192</v>
      </c>
      <c r="D2288" s="21">
        <v>9800000</v>
      </c>
      <c r="E2288" s="21">
        <v>-9800000</v>
      </c>
      <c r="F2288" s="21">
        <v>0</v>
      </c>
    </row>
    <row r="2289" spans="1:6" x14ac:dyDescent="0.25">
      <c r="A2289">
        <v>1866</v>
      </c>
      <c r="B2289" s="16">
        <v>43617</v>
      </c>
      <c r="C2289" t="s">
        <v>192</v>
      </c>
      <c r="D2289" s="21">
        <v>9800000</v>
      </c>
      <c r="E2289" s="21">
        <v>-9800000</v>
      </c>
      <c r="F2289" s="21">
        <v>0</v>
      </c>
    </row>
    <row r="2290" spans="1:6" x14ac:dyDescent="0.25">
      <c r="A2290">
        <v>1866</v>
      </c>
      <c r="B2290" s="16">
        <v>43647</v>
      </c>
      <c r="C2290" t="s">
        <v>192</v>
      </c>
      <c r="D2290" s="21">
        <v>9800000</v>
      </c>
      <c r="E2290" s="21">
        <v>-9800000</v>
      </c>
      <c r="F2290" s="21">
        <v>0</v>
      </c>
    </row>
    <row r="2291" spans="1:6" x14ac:dyDescent="0.25">
      <c r="A2291">
        <v>1866</v>
      </c>
      <c r="B2291" s="16">
        <v>43678</v>
      </c>
      <c r="C2291" t="s">
        <v>192</v>
      </c>
      <c r="D2291" s="21">
        <v>9800000</v>
      </c>
      <c r="E2291" s="21">
        <v>-9800000</v>
      </c>
      <c r="F2291" s="21">
        <v>0</v>
      </c>
    </row>
    <row r="2292" spans="1:6" x14ac:dyDescent="0.25">
      <c r="A2292">
        <v>1866</v>
      </c>
      <c r="B2292" s="16">
        <v>43709</v>
      </c>
      <c r="C2292" t="s">
        <v>192</v>
      </c>
      <c r="D2292" s="21">
        <v>9800000</v>
      </c>
      <c r="E2292" s="21">
        <v>-9800000</v>
      </c>
      <c r="F2292" s="21">
        <v>0</v>
      </c>
    </row>
    <row r="2293" spans="1:6" x14ac:dyDescent="0.25">
      <c r="A2293">
        <v>1866</v>
      </c>
      <c r="B2293" s="16">
        <v>43739</v>
      </c>
      <c r="C2293" t="s">
        <v>192</v>
      </c>
      <c r="D2293" s="21">
        <v>9800000</v>
      </c>
      <c r="E2293" s="21">
        <v>-9800000</v>
      </c>
      <c r="F2293" s="21">
        <v>0</v>
      </c>
    </row>
    <row r="2294" spans="1:6" x14ac:dyDescent="0.25">
      <c r="A2294">
        <v>1866</v>
      </c>
      <c r="B2294" s="16">
        <v>43770</v>
      </c>
      <c r="C2294" t="s">
        <v>192</v>
      </c>
      <c r="D2294" s="21">
        <v>9800000</v>
      </c>
      <c r="E2294" s="21">
        <v>-9800000</v>
      </c>
      <c r="F2294" s="21">
        <v>0</v>
      </c>
    </row>
    <row r="2295" spans="1:6" x14ac:dyDescent="0.25">
      <c r="A2295">
        <v>1866</v>
      </c>
      <c r="B2295" s="16">
        <v>43800</v>
      </c>
      <c r="C2295" t="s">
        <v>192</v>
      </c>
      <c r="D2295" s="21">
        <v>9800000</v>
      </c>
      <c r="E2295" s="21">
        <v>-9800000</v>
      </c>
      <c r="F2295" s="21">
        <v>0</v>
      </c>
    </row>
    <row r="2296" spans="1:6" x14ac:dyDescent="0.25">
      <c r="A2296">
        <v>1866</v>
      </c>
      <c r="B2296" s="16">
        <v>43831</v>
      </c>
      <c r="C2296" t="s">
        <v>192</v>
      </c>
      <c r="D2296" s="21">
        <v>9800000</v>
      </c>
      <c r="E2296" s="21">
        <v>-9800000</v>
      </c>
      <c r="F2296" s="21">
        <v>0</v>
      </c>
    </row>
    <row r="2297" spans="1:6" x14ac:dyDescent="0.25">
      <c r="A2297">
        <v>1866</v>
      </c>
      <c r="B2297" s="16">
        <v>43862</v>
      </c>
      <c r="C2297" t="s">
        <v>192</v>
      </c>
      <c r="D2297" s="21">
        <v>9800000</v>
      </c>
      <c r="E2297" s="21">
        <v>-9800000</v>
      </c>
      <c r="F2297" s="21">
        <v>0</v>
      </c>
    </row>
    <row r="2298" spans="1:6" x14ac:dyDescent="0.25">
      <c r="A2298">
        <v>1866</v>
      </c>
      <c r="B2298" s="16">
        <v>43891</v>
      </c>
      <c r="C2298" t="s">
        <v>192</v>
      </c>
      <c r="D2298" s="21">
        <v>9800000</v>
      </c>
      <c r="E2298" s="21">
        <v>-9800000</v>
      </c>
      <c r="F2298" s="21">
        <v>0</v>
      </c>
    </row>
    <row r="2299" spans="1:6" x14ac:dyDescent="0.25">
      <c r="A2299">
        <v>1873</v>
      </c>
      <c r="B2299" s="16">
        <v>43466</v>
      </c>
      <c r="C2299" t="s">
        <v>38</v>
      </c>
      <c r="D2299" s="21">
        <v>4123664.9999999995</v>
      </c>
      <c r="E2299" s="21">
        <v>-4123664.9999999995</v>
      </c>
      <c r="F2299" s="21">
        <v>0</v>
      </c>
    </row>
    <row r="2300" spans="1:6" x14ac:dyDescent="0.25">
      <c r="A2300">
        <v>1873</v>
      </c>
      <c r="B2300" s="16">
        <v>43466</v>
      </c>
      <c r="C2300" t="s">
        <v>19</v>
      </c>
      <c r="D2300" s="21">
        <v>2806650</v>
      </c>
      <c r="E2300" s="21">
        <v>-2806650</v>
      </c>
      <c r="F2300" s="21">
        <v>0</v>
      </c>
    </row>
    <row r="2301" spans="1:6" x14ac:dyDescent="0.25">
      <c r="A2301">
        <v>1873</v>
      </c>
      <c r="B2301" s="16">
        <v>43466</v>
      </c>
      <c r="C2301" t="s">
        <v>172</v>
      </c>
      <c r="D2301" s="21">
        <v>4123666.6694999998</v>
      </c>
      <c r="E2301" s="21">
        <v>-4123666.6694999998</v>
      </c>
      <c r="F2301" s="21">
        <v>0</v>
      </c>
    </row>
    <row r="2302" spans="1:6" x14ac:dyDescent="0.25">
      <c r="A2302">
        <v>1873</v>
      </c>
      <c r="B2302" s="16">
        <v>43466</v>
      </c>
      <c r="C2302" t="s">
        <v>192</v>
      </c>
      <c r="D2302" s="21">
        <v>6950000</v>
      </c>
      <c r="E2302" s="21">
        <v>-6950000</v>
      </c>
      <c r="F2302" s="21">
        <v>0</v>
      </c>
    </row>
    <row r="2303" spans="1:6" x14ac:dyDescent="0.25">
      <c r="A2303">
        <v>1873</v>
      </c>
      <c r="B2303" s="16">
        <v>43466</v>
      </c>
      <c r="C2303" t="s">
        <v>26</v>
      </c>
      <c r="D2303" s="21">
        <v>5355000</v>
      </c>
      <c r="E2303" s="21">
        <v>-5355000</v>
      </c>
      <c r="F2303" s="21">
        <v>0</v>
      </c>
    </row>
    <row r="2304" spans="1:6" x14ac:dyDescent="0.25">
      <c r="A2304">
        <v>1873</v>
      </c>
      <c r="B2304" s="16">
        <v>43497</v>
      </c>
      <c r="C2304" t="s">
        <v>38</v>
      </c>
      <c r="D2304" s="21">
        <v>4123664.9999999995</v>
      </c>
      <c r="E2304" s="21">
        <v>-4123664.9999999995</v>
      </c>
      <c r="F2304" s="21">
        <v>0</v>
      </c>
    </row>
    <row r="2305" spans="1:6" x14ac:dyDescent="0.25">
      <c r="A2305">
        <v>1873</v>
      </c>
      <c r="B2305" s="16">
        <v>43497</v>
      </c>
      <c r="C2305" t="s">
        <v>19</v>
      </c>
      <c r="D2305" s="21">
        <v>2806650</v>
      </c>
      <c r="E2305" s="21">
        <v>-2806650</v>
      </c>
      <c r="F2305" s="21">
        <v>0</v>
      </c>
    </row>
    <row r="2306" spans="1:6" x14ac:dyDescent="0.25">
      <c r="A2306">
        <v>1873</v>
      </c>
      <c r="B2306" s="16">
        <v>43497</v>
      </c>
      <c r="C2306" t="s">
        <v>172</v>
      </c>
      <c r="D2306" s="21">
        <v>4123666.6694999998</v>
      </c>
      <c r="E2306" s="21">
        <v>-4123666.6694999998</v>
      </c>
      <c r="F2306" s="21">
        <v>0</v>
      </c>
    </row>
    <row r="2307" spans="1:6" x14ac:dyDescent="0.25">
      <c r="A2307">
        <v>1873</v>
      </c>
      <c r="B2307" s="16">
        <v>43497</v>
      </c>
      <c r="C2307" t="s">
        <v>192</v>
      </c>
      <c r="D2307" s="21">
        <v>6950000</v>
      </c>
      <c r="E2307" s="21">
        <v>-6950000</v>
      </c>
      <c r="F2307" s="21">
        <v>0</v>
      </c>
    </row>
    <row r="2308" spans="1:6" x14ac:dyDescent="0.25">
      <c r="A2308">
        <v>1873</v>
      </c>
      <c r="B2308" s="16">
        <v>43497</v>
      </c>
      <c r="C2308" t="s">
        <v>26</v>
      </c>
      <c r="D2308" s="21">
        <v>5355000</v>
      </c>
      <c r="E2308" s="21">
        <v>-5355000</v>
      </c>
      <c r="F2308" s="21">
        <v>0</v>
      </c>
    </row>
    <row r="2309" spans="1:6" x14ac:dyDescent="0.25">
      <c r="A2309">
        <v>1873</v>
      </c>
      <c r="B2309" s="16">
        <v>43525</v>
      </c>
      <c r="C2309" t="s">
        <v>192</v>
      </c>
      <c r="D2309" s="21">
        <v>6950000</v>
      </c>
      <c r="E2309" s="21">
        <v>-6950000</v>
      </c>
      <c r="F2309" s="21">
        <v>0</v>
      </c>
    </row>
    <row r="2310" spans="1:6" x14ac:dyDescent="0.25">
      <c r="A2310">
        <v>1873</v>
      </c>
      <c r="B2310" s="16">
        <v>43525</v>
      </c>
      <c r="C2310" t="s">
        <v>38</v>
      </c>
      <c r="D2310" s="21">
        <v>4123664.9999999995</v>
      </c>
      <c r="E2310" s="21">
        <v>-4123664.9999999995</v>
      </c>
      <c r="F2310" s="21">
        <v>0</v>
      </c>
    </row>
    <row r="2311" spans="1:6" x14ac:dyDescent="0.25">
      <c r="A2311">
        <v>1873</v>
      </c>
      <c r="B2311" s="16">
        <v>43525</v>
      </c>
      <c r="C2311" t="s">
        <v>19</v>
      </c>
      <c r="D2311" s="21">
        <v>2806650</v>
      </c>
      <c r="E2311" s="21">
        <v>-2806650</v>
      </c>
      <c r="F2311" s="21">
        <v>0</v>
      </c>
    </row>
    <row r="2312" spans="1:6" x14ac:dyDescent="0.25">
      <c r="A2312">
        <v>1873</v>
      </c>
      <c r="B2312" s="16">
        <v>43525</v>
      </c>
      <c r="C2312" t="s">
        <v>26</v>
      </c>
      <c r="D2312" s="21">
        <v>5355000</v>
      </c>
      <c r="E2312" s="21">
        <v>-5355000</v>
      </c>
      <c r="F2312" s="21">
        <v>0</v>
      </c>
    </row>
    <row r="2313" spans="1:6" x14ac:dyDescent="0.25">
      <c r="A2313">
        <v>1873</v>
      </c>
      <c r="B2313" s="16">
        <v>43556</v>
      </c>
      <c r="C2313" t="s">
        <v>192</v>
      </c>
      <c r="D2313" s="21">
        <v>6950000</v>
      </c>
      <c r="E2313" s="21">
        <v>-6950000</v>
      </c>
      <c r="F2313" s="21">
        <v>0</v>
      </c>
    </row>
    <row r="2314" spans="1:6" x14ac:dyDescent="0.25">
      <c r="A2314">
        <v>1873</v>
      </c>
      <c r="B2314" s="16">
        <v>43556</v>
      </c>
      <c r="C2314" t="s">
        <v>38</v>
      </c>
      <c r="D2314" s="21">
        <v>4123664.9999999995</v>
      </c>
      <c r="E2314" s="21">
        <v>-4123664.9999999995</v>
      </c>
      <c r="F2314" s="21">
        <v>0</v>
      </c>
    </row>
    <row r="2315" spans="1:6" x14ac:dyDescent="0.25">
      <c r="A2315">
        <v>1873</v>
      </c>
      <c r="B2315" s="16">
        <v>43556</v>
      </c>
      <c r="C2315" t="s">
        <v>19</v>
      </c>
      <c r="D2315" s="21">
        <v>2806650</v>
      </c>
      <c r="E2315" s="21">
        <v>-2806650</v>
      </c>
      <c r="F2315" s="21">
        <v>0</v>
      </c>
    </row>
    <row r="2316" spans="1:6" x14ac:dyDescent="0.25">
      <c r="A2316">
        <v>1873</v>
      </c>
      <c r="B2316" s="16">
        <v>43556</v>
      </c>
      <c r="C2316" t="s">
        <v>26</v>
      </c>
      <c r="D2316" s="21">
        <v>5355000</v>
      </c>
      <c r="E2316" s="21">
        <v>-5355000</v>
      </c>
      <c r="F2316" s="21">
        <v>0</v>
      </c>
    </row>
    <row r="2317" spans="1:6" x14ac:dyDescent="0.25">
      <c r="A2317">
        <v>1873</v>
      </c>
      <c r="B2317" s="16">
        <v>43586</v>
      </c>
      <c r="C2317" t="s">
        <v>192</v>
      </c>
      <c r="D2317" s="21">
        <v>6950000</v>
      </c>
      <c r="E2317" s="21">
        <v>-6950000</v>
      </c>
      <c r="F2317" s="21">
        <v>0</v>
      </c>
    </row>
    <row r="2318" spans="1:6" x14ac:dyDescent="0.25">
      <c r="A2318">
        <v>1873</v>
      </c>
      <c r="B2318" s="16">
        <v>43586</v>
      </c>
      <c r="C2318" t="s">
        <v>38</v>
      </c>
      <c r="D2318" s="21">
        <v>4123664.9999999995</v>
      </c>
      <c r="E2318" s="21">
        <v>-4123664.9999999995</v>
      </c>
      <c r="F2318" s="21">
        <v>0</v>
      </c>
    </row>
    <row r="2319" spans="1:6" x14ac:dyDescent="0.25">
      <c r="A2319">
        <v>1873</v>
      </c>
      <c r="B2319" s="16">
        <v>43586</v>
      </c>
      <c r="C2319" t="s">
        <v>19</v>
      </c>
      <c r="D2319" s="21">
        <v>2806650</v>
      </c>
      <c r="E2319" s="21">
        <v>-2806650</v>
      </c>
      <c r="F2319" s="21">
        <v>0</v>
      </c>
    </row>
    <row r="2320" spans="1:6" x14ac:dyDescent="0.25">
      <c r="A2320">
        <v>1873</v>
      </c>
      <c r="B2320" s="16">
        <v>43586</v>
      </c>
      <c r="C2320" t="s">
        <v>26</v>
      </c>
      <c r="D2320" s="21">
        <v>5355000</v>
      </c>
      <c r="E2320" s="21">
        <v>-5355000</v>
      </c>
      <c r="F2320" s="21">
        <v>0</v>
      </c>
    </row>
    <row r="2321" spans="1:6" x14ac:dyDescent="0.25">
      <c r="A2321">
        <v>1873</v>
      </c>
      <c r="B2321" s="16">
        <v>43617</v>
      </c>
      <c r="C2321" t="s">
        <v>192</v>
      </c>
      <c r="D2321" s="21">
        <v>6950000</v>
      </c>
      <c r="E2321" s="21">
        <v>-6950000</v>
      </c>
      <c r="F2321" s="21">
        <v>0</v>
      </c>
    </row>
    <row r="2322" spans="1:6" x14ac:dyDescent="0.25">
      <c r="A2322">
        <v>1873</v>
      </c>
      <c r="B2322" s="16">
        <v>43617</v>
      </c>
      <c r="C2322" t="s">
        <v>38</v>
      </c>
      <c r="D2322" s="21">
        <v>4123664.9999999995</v>
      </c>
      <c r="E2322" s="21">
        <v>-4123664.9999999995</v>
      </c>
      <c r="F2322" s="21">
        <v>0</v>
      </c>
    </row>
    <row r="2323" spans="1:6" x14ac:dyDescent="0.25">
      <c r="A2323">
        <v>1873</v>
      </c>
      <c r="B2323" s="16">
        <v>43617</v>
      </c>
      <c r="C2323" t="s">
        <v>19</v>
      </c>
      <c r="D2323" s="21">
        <v>2806650</v>
      </c>
      <c r="E2323" s="21">
        <v>-2806650</v>
      </c>
      <c r="F2323" s="21">
        <v>0</v>
      </c>
    </row>
    <row r="2324" spans="1:6" x14ac:dyDescent="0.25">
      <c r="A2324">
        <v>1873</v>
      </c>
      <c r="B2324" s="16">
        <v>43617</v>
      </c>
      <c r="C2324" t="s">
        <v>26</v>
      </c>
      <c r="D2324" s="21">
        <v>5355000</v>
      </c>
      <c r="E2324" s="21">
        <v>-5355000</v>
      </c>
      <c r="F2324" s="21">
        <v>0</v>
      </c>
    </row>
    <row r="2325" spans="1:6" x14ac:dyDescent="0.25">
      <c r="A2325">
        <v>1873</v>
      </c>
      <c r="B2325" s="16">
        <v>43647</v>
      </c>
      <c r="C2325" t="s">
        <v>192</v>
      </c>
      <c r="D2325" s="21">
        <v>6950000</v>
      </c>
      <c r="E2325" s="21">
        <v>-6950000</v>
      </c>
      <c r="F2325" s="21">
        <v>0</v>
      </c>
    </row>
    <row r="2326" spans="1:6" x14ac:dyDescent="0.25">
      <c r="A2326">
        <v>1873</v>
      </c>
      <c r="B2326" s="16">
        <v>43647</v>
      </c>
      <c r="C2326" t="s">
        <v>38</v>
      </c>
      <c r="D2326" s="21">
        <v>4123664.9999999995</v>
      </c>
      <c r="E2326" s="21">
        <v>-4123664.9999999995</v>
      </c>
      <c r="F2326" s="21">
        <v>0</v>
      </c>
    </row>
    <row r="2327" spans="1:6" x14ac:dyDescent="0.25">
      <c r="A2327">
        <v>1873</v>
      </c>
      <c r="B2327" s="16">
        <v>43647</v>
      </c>
      <c r="C2327" t="s">
        <v>19</v>
      </c>
      <c r="D2327" s="21">
        <v>2806650</v>
      </c>
      <c r="E2327" s="21">
        <v>-2806650</v>
      </c>
      <c r="F2327" s="21">
        <v>0</v>
      </c>
    </row>
    <row r="2328" spans="1:6" x14ac:dyDescent="0.25">
      <c r="A2328">
        <v>1873</v>
      </c>
      <c r="B2328" s="16">
        <v>43647</v>
      </c>
      <c r="C2328" t="s">
        <v>26</v>
      </c>
      <c r="D2328" s="21">
        <v>5355000</v>
      </c>
      <c r="E2328" s="21">
        <v>-5355000</v>
      </c>
      <c r="F2328" s="21">
        <v>0</v>
      </c>
    </row>
    <row r="2329" spans="1:6" x14ac:dyDescent="0.25">
      <c r="A2329">
        <v>1873</v>
      </c>
      <c r="B2329" s="16">
        <v>43678</v>
      </c>
      <c r="C2329" t="s">
        <v>192</v>
      </c>
      <c r="D2329" s="21">
        <v>6950000</v>
      </c>
      <c r="E2329" s="21">
        <v>-6950000</v>
      </c>
      <c r="F2329" s="21">
        <v>0</v>
      </c>
    </row>
    <row r="2330" spans="1:6" x14ac:dyDescent="0.25">
      <c r="A2330">
        <v>1873</v>
      </c>
      <c r="B2330" s="16">
        <v>43678</v>
      </c>
      <c r="C2330" t="s">
        <v>38</v>
      </c>
      <c r="D2330" s="21">
        <v>4123664.9999999995</v>
      </c>
      <c r="E2330" s="21">
        <v>-4123664.9999999995</v>
      </c>
      <c r="F2330" s="21">
        <v>0</v>
      </c>
    </row>
    <row r="2331" spans="1:6" x14ac:dyDescent="0.25">
      <c r="A2331">
        <v>1873</v>
      </c>
      <c r="B2331" s="16">
        <v>43678</v>
      </c>
      <c r="C2331" t="s">
        <v>19</v>
      </c>
      <c r="D2331" s="21">
        <v>2806650</v>
      </c>
      <c r="E2331" s="21">
        <v>-2806650</v>
      </c>
      <c r="F2331" s="21">
        <v>0</v>
      </c>
    </row>
    <row r="2332" spans="1:6" x14ac:dyDescent="0.25">
      <c r="A2332">
        <v>1873</v>
      </c>
      <c r="B2332" s="16">
        <v>43678</v>
      </c>
      <c r="C2332" t="s">
        <v>26</v>
      </c>
      <c r="D2332" s="21">
        <v>5355000</v>
      </c>
      <c r="E2332" s="21">
        <v>-5355000</v>
      </c>
      <c r="F2332" s="21">
        <v>0</v>
      </c>
    </row>
    <row r="2333" spans="1:6" x14ac:dyDescent="0.25">
      <c r="A2333">
        <v>1873</v>
      </c>
      <c r="B2333" s="16">
        <v>43709</v>
      </c>
      <c r="C2333" t="s">
        <v>192</v>
      </c>
      <c r="D2333" s="21">
        <v>6950000</v>
      </c>
      <c r="E2333" s="21">
        <v>-6950000</v>
      </c>
      <c r="F2333" s="21">
        <v>0</v>
      </c>
    </row>
    <row r="2334" spans="1:6" x14ac:dyDescent="0.25">
      <c r="A2334">
        <v>1873</v>
      </c>
      <c r="B2334" s="16">
        <v>43709</v>
      </c>
      <c r="C2334" t="s">
        <v>19</v>
      </c>
      <c r="D2334" s="21">
        <v>2806650</v>
      </c>
      <c r="E2334" s="21">
        <v>-2806650</v>
      </c>
      <c r="F2334" s="21">
        <v>0</v>
      </c>
    </row>
    <row r="2335" spans="1:6" x14ac:dyDescent="0.25">
      <c r="A2335">
        <v>1873</v>
      </c>
      <c r="B2335" s="16">
        <v>43709</v>
      </c>
      <c r="C2335" t="s">
        <v>26</v>
      </c>
      <c r="D2335" s="21">
        <v>5355000</v>
      </c>
      <c r="E2335" s="21">
        <v>-5355000</v>
      </c>
      <c r="F2335" s="21">
        <v>0</v>
      </c>
    </row>
    <row r="2336" spans="1:6" x14ac:dyDescent="0.25">
      <c r="A2336">
        <v>1873</v>
      </c>
      <c r="B2336" s="16">
        <v>43739</v>
      </c>
      <c r="C2336" t="s">
        <v>192</v>
      </c>
      <c r="D2336" s="21">
        <v>6950000</v>
      </c>
      <c r="E2336" s="21">
        <v>-6950000</v>
      </c>
      <c r="F2336" s="21">
        <v>0</v>
      </c>
    </row>
    <row r="2337" spans="1:6" x14ac:dyDescent="0.25">
      <c r="A2337">
        <v>1873</v>
      </c>
      <c r="B2337" s="16">
        <v>43739</v>
      </c>
      <c r="C2337" t="s">
        <v>19</v>
      </c>
      <c r="D2337" s="21">
        <v>2806650</v>
      </c>
      <c r="E2337" s="21">
        <v>-2806650</v>
      </c>
      <c r="F2337" s="21">
        <v>0</v>
      </c>
    </row>
    <row r="2338" spans="1:6" x14ac:dyDescent="0.25">
      <c r="A2338">
        <v>1873</v>
      </c>
      <c r="B2338" s="16">
        <v>43739</v>
      </c>
      <c r="C2338" t="s">
        <v>26</v>
      </c>
      <c r="D2338" s="21">
        <v>5355000</v>
      </c>
      <c r="E2338" s="21">
        <v>-5355000</v>
      </c>
      <c r="F2338" s="21">
        <v>0</v>
      </c>
    </row>
    <row r="2339" spans="1:6" x14ac:dyDescent="0.25">
      <c r="A2339">
        <v>1873</v>
      </c>
      <c r="B2339" s="16">
        <v>43770</v>
      </c>
      <c r="C2339" t="s">
        <v>192</v>
      </c>
      <c r="D2339" s="21">
        <v>6950000</v>
      </c>
      <c r="E2339" s="21">
        <v>-6950000</v>
      </c>
      <c r="F2339" s="21">
        <v>0</v>
      </c>
    </row>
    <row r="2340" spans="1:6" x14ac:dyDescent="0.25">
      <c r="A2340">
        <v>1873</v>
      </c>
      <c r="B2340" s="16">
        <v>43770</v>
      </c>
      <c r="C2340" t="s">
        <v>19</v>
      </c>
      <c r="D2340" s="21">
        <v>2806650</v>
      </c>
      <c r="E2340" s="21">
        <v>-2806650</v>
      </c>
      <c r="F2340" s="21">
        <v>0</v>
      </c>
    </row>
    <row r="2341" spans="1:6" x14ac:dyDescent="0.25">
      <c r="A2341">
        <v>1873</v>
      </c>
      <c r="B2341" s="16">
        <v>43770</v>
      </c>
      <c r="C2341" t="s">
        <v>26</v>
      </c>
      <c r="D2341" s="21">
        <v>5355000</v>
      </c>
      <c r="E2341" s="21">
        <v>-5355000</v>
      </c>
      <c r="F2341" s="21">
        <v>0</v>
      </c>
    </row>
    <row r="2342" spans="1:6" x14ac:dyDescent="0.25">
      <c r="A2342">
        <v>1873</v>
      </c>
      <c r="B2342" s="16">
        <v>43800</v>
      </c>
      <c r="C2342" t="s">
        <v>192</v>
      </c>
      <c r="D2342" s="21">
        <v>6950000</v>
      </c>
      <c r="E2342" s="21">
        <v>-6950000</v>
      </c>
      <c r="F2342" s="21">
        <v>0</v>
      </c>
    </row>
    <row r="2343" spans="1:6" x14ac:dyDescent="0.25">
      <c r="A2343">
        <v>1874</v>
      </c>
      <c r="B2343" s="16">
        <v>43466</v>
      </c>
      <c r="C2343" t="s">
        <v>175</v>
      </c>
      <c r="D2343" s="21">
        <v>3916091.0564999999</v>
      </c>
      <c r="E2343" s="21">
        <v>-3916091.0564999999</v>
      </c>
      <c r="F2343" s="21">
        <v>0</v>
      </c>
    </row>
    <row r="2344" spans="1:6" x14ac:dyDescent="0.25">
      <c r="A2344">
        <v>1874</v>
      </c>
      <c r="B2344" s="16">
        <v>43466</v>
      </c>
      <c r="C2344" t="s">
        <v>173</v>
      </c>
      <c r="D2344" s="21">
        <v>10415999.475</v>
      </c>
      <c r="E2344" s="21">
        <v>-10415999.475</v>
      </c>
      <c r="F2344" s="21">
        <v>0</v>
      </c>
    </row>
    <row r="2345" spans="1:6" x14ac:dyDescent="0.25">
      <c r="A2345">
        <v>1874</v>
      </c>
      <c r="B2345" s="16">
        <v>43466</v>
      </c>
      <c r="C2345" t="s">
        <v>123</v>
      </c>
      <c r="D2345" s="21">
        <v>7207200</v>
      </c>
      <c r="E2345" s="21">
        <v>-7207200</v>
      </c>
      <c r="F2345" s="21">
        <v>0</v>
      </c>
    </row>
    <row r="2346" spans="1:6" x14ac:dyDescent="0.25">
      <c r="A2346">
        <v>1874</v>
      </c>
      <c r="B2346" s="16">
        <v>43466</v>
      </c>
      <c r="C2346" t="s">
        <v>192</v>
      </c>
      <c r="D2346" s="21">
        <v>19400000</v>
      </c>
      <c r="E2346" s="21">
        <v>-19400000</v>
      </c>
      <c r="F2346" s="21">
        <v>0</v>
      </c>
    </row>
    <row r="2347" spans="1:6" x14ac:dyDescent="0.25">
      <c r="A2347">
        <v>1874</v>
      </c>
      <c r="B2347" s="16">
        <v>43466</v>
      </c>
      <c r="C2347" t="s">
        <v>174</v>
      </c>
      <c r="D2347" s="21">
        <v>4866750</v>
      </c>
      <c r="E2347" s="21">
        <v>-4866750</v>
      </c>
      <c r="F2347" s="21">
        <v>0</v>
      </c>
    </row>
    <row r="2348" spans="1:6" x14ac:dyDescent="0.25">
      <c r="A2348">
        <v>1874</v>
      </c>
      <c r="B2348" s="16">
        <v>43497</v>
      </c>
      <c r="C2348" t="s">
        <v>175</v>
      </c>
      <c r="D2348" s="21">
        <v>3916091.0564999999</v>
      </c>
      <c r="E2348" s="21">
        <v>-3916091.0564999999</v>
      </c>
      <c r="F2348" s="21">
        <v>0</v>
      </c>
    </row>
    <row r="2349" spans="1:6" x14ac:dyDescent="0.25">
      <c r="A2349">
        <v>1874</v>
      </c>
      <c r="B2349" s="16">
        <v>43497</v>
      </c>
      <c r="C2349" t="s">
        <v>173</v>
      </c>
      <c r="D2349" s="21">
        <v>10415999.475</v>
      </c>
      <c r="E2349" s="21">
        <v>-10415999.475</v>
      </c>
      <c r="F2349" s="21">
        <v>0</v>
      </c>
    </row>
    <row r="2350" spans="1:6" x14ac:dyDescent="0.25">
      <c r="A2350">
        <v>1874</v>
      </c>
      <c r="B2350" s="16">
        <v>43497</v>
      </c>
      <c r="C2350" t="s">
        <v>123</v>
      </c>
      <c r="D2350" s="21">
        <v>7207200</v>
      </c>
      <c r="E2350" s="21">
        <v>-7207200</v>
      </c>
      <c r="F2350" s="21">
        <v>0</v>
      </c>
    </row>
    <row r="2351" spans="1:6" x14ac:dyDescent="0.25">
      <c r="A2351">
        <v>1874</v>
      </c>
      <c r="B2351" s="16">
        <v>43497</v>
      </c>
      <c r="C2351" t="s">
        <v>192</v>
      </c>
      <c r="D2351" s="21">
        <v>19400000</v>
      </c>
      <c r="E2351" s="21">
        <v>-19400000</v>
      </c>
      <c r="F2351" s="21">
        <v>0</v>
      </c>
    </row>
    <row r="2352" spans="1:6" x14ac:dyDescent="0.25">
      <c r="A2352">
        <v>1874</v>
      </c>
      <c r="B2352" s="16">
        <v>43497</v>
      </c>
      <c r="C2352" t="s">
        <v>174</v>
      </c>
      <c r="D2352" s="21">
        <v>4866750</v>
      </c>
      <c r="E2352" s="21">
        <v>-4866750</v>
      </c>
      <c r="F2352" s="21">
        <v>0</v>
      </c>
    </row>
    <row r="2353" spans="1:6" x14ac:dyDescent="0.25">
      <c r="A2353">
        <v>1874</v>
      </c>
      <c r="B2353" s="16">
        <v>43525</v>
      </c>
      <c r="C2353" t="s">
        <v>175</v>
      </c>
      <c r="D2353" s="21">
        <v>3916091.0564999999</v>
      </c>
      <c r="E2353" s="21">
        <v>-3916091.0564999999</v>
      </c>
      <c r="F2353" s="21">
        <v>0</v>
      </c>
    </row>
    <row r="2354" spans="1:6" x14ac:dyDescent="0.25">
      <c r="A2354">
        <v>1874</v>
      </c>
      <c r="B2354" s="16">
        <v>43525</v>
      </c>
      <c r="C2354" t="s">
        <v>173</v>
      </c>
      <c r="D2354" s="21">
        <v>10415999.475</v>
      </c>
      <c r="E2354" s="21">
        <v>-10415999.475</v>
      </c>
      <c r="F2354" s="21">
        <v>0</v>
      </c>
    </row>
    <row r="2355" spans="1:6" x14ac:dyDescent="0.25">
      <c r="A2355">
        <v>1874</v>
      </c>
      <c r="B2355" s="16">
        <v>43525</v>
      </c>
      <c r="C2355" t="s">
        <v>123</v>
      </c>
      <c r="D2355" s="21">
        <v>7207200</v>
      </c>
      <c r="E2355" s="21">
        <v>-7207200</v>
      </c>
      <c r="F2355" s="21">
        <v>0</v>
      </c>
    </row>
    <row r="2356" spans="1:6" x14ac:dyDescent="0.25">
      <c r="A2356">
        <v>1874</v>
      </c>
      <c r="B2356" s="16">
        <v>43525</v>
      </c>
      <c r="C2356" t="s">
        <v>192</v>
      </c>
      <c r="D2356" s="21">
        <v>19400000</v>
      </c>
      <c r="E2356" s="21">
        <v>-19400000</v>
      </c>
      <c r="F2356" s="21">
        <v>0</v>
      </c>
    </row>
    <row r="2357" spans="1:6" x14ac:dyDescent="0.25">
      <c r="A2357">
        <v>1874</v>
      </c>
      <c r="B2357" s="16">
        <v>43525</v>
      </c>
      <c r="C2357" t="s">
        <v>174</v>
      </c>
      <c r="D2357" s="21">
        <v>4866750</v>
      </c>
      <c r="E2357" s="21">
        <v>-4866750</v>
      </c>
      <c r="F2357" s="21">
        <v>0</v>
      </c>
    </row>
    <row r="2358" spans="1:6" x14ac:dyDescent="0.25">
      <c r="A2358">
        <v>1874</v>
      </c>
      <c r="B2358" s="16">
        <v>43556</v>
      </c>
      <c r="C2358" t="s">
        <v>175</v>
      </c>
      <c r="D2358" s="21">
        <v>3916091.0564999999</v>
      </c>
      <c r="E2358" s="21">
        <v>-3916091.0564999999</v>
      </c>
      <c r="F2358" s="21">
        <v>0</v>
      </c>
    </row>
    <row r="2359" spans="1:6" x14ac:dyDescent="0.25">
      <c r="A2359">
        <v>1874</v>
      </c>
      <c r="B2359" s="16">
        <v>43556</v>
      </c>
      <c r="C2359" t="s">
        <v>173</v>
      </c>
      <c r="D2359" s="21">
        <v>10415999.475</v>
      </c>
      <c r="E2359" s="21">
        <v>-10415999.475</v>
      </c>
      <c r="F2359" s="21">
        <v>0</v>
      </c>
    </row>
    <row r="2360" spans="1:6" x14ac:dyDescent="0.25">
      <c r="A2360">
        <v>1874</v>
      </c>
      <c r="B2360" s="16">
        <v>43556</v>
      </c>
      <c r="C2360" t="s">
        <v>123</v>
      </c>
      <c r="D2360" s="21">
        <v>7207200</v>
      </c>
      <c r="E2360" s="21">
        <v>-7207200</v>
      </c>
      <c r="F2360" s="21">
        <v>0</v>
      </c>
    </row>
    <row r="2361" spans="1:6" x14ac:dyDescent="0.25">
      <c r="A2361">
        <v>1874</v>
      </c>
      <c r="B2361" s="16">
        <v>43556</v>
      </c>
      <c r="C2361" t="s">
        <v>192</v>
      </c>
      <c r="D2361" s="21">
        <v>19400000</v>
      </c>
      <c r="E2361" s="21">
        <v>-19400000</v>
      </c>
      <c r="F2361" s="21">
        <v>0</v>
      </c>
    </row>
    <row r="2362" spans="1:6" x14ac:dyDescent="0.25">
      <c r="A2362">
        <v>1874</v>
      </c>
      <c r="B2362" s="16">
        <v>43556</v>
      </c>
      <c r="C2362" t="s">
        <v>174</v>
      </c>
      <c r="D2362" s="21">
        <v>4866750</v>
      </c>
      <c r="E2362" s="21">
        <v>-4866750</v>
      </c>
      <c r="F2362" s="21">
        <v>0</v>
      </c>
    </row>
    <row r="2363" spans="1:6" x14ac:dyDescent="0.25">
      <c r="A2363">
        <v>1874</v>
      </c>
      <c r="B2363" s="16">
        <v>43586</v>
      </c>
      <c r="C2363" t="s">
        <v>175</v>
      </c>
      <c r="D2363" s="21">
        <v>3916091.0564999999</v>
      </c>
      <c r="E2363" s="21">
        <v>-3916091.0564999999</v>
      </c>
      <c r="F2363" s="21">
        <v>0</v>
      </c>
    </row>
    <row r="2364" spans="1:6" x14ac:dyDescent="0.25">
      <c r="A2364">
        <v>1874</v>
      </c>
      <c r="B2364" s="16">
        <v>43586</v>
      </c>
      <c r="C2364" t="s">
        <v>173</v>
      </c>
      <c r="D2364" s="21">
        <v>10415999.475</v>
      </c>
      <c r="E2364" s="21">
        <v>-10415999.475</v>
      </c>
      <c r="F2364" s="21">
        <v>0</v>
      </c>
    </row>
    <row r="2365" spans="1:6" x14ac:dyDescent="0.25">
      <c r="A2365">
        <v>1874</v>
      </c>
      <c r="B2365" s="16">
        <v>43586</v>
      </c>
      <c r="C2365" t="s">
        <v>123</v>
      </c>
      <c r="D2365" s="21">
        <v>7207200</v>
      </c>
      <c r="E2365" s="21">
        <v>-7207200</v>
      </c>
      <c r="F2365" s="21">
        <v>0</v>
      </c>
    </row>
    <row r="2366" spans="1:6" x14ac:dyDescent="0.25">
      <c r="A2366">
        <v>1874</v>
      </c>
      <c r="B2366" s="16">
        <v>43586</v>
      </c>
      <c r="C2366" t="s">
        <v>192</v>
      </c>
      <c r="D2366" s="21">
        <v>19400000</v>
      </c>
      <c r="E2366" s="21">
        <v>-19400000</v>
      </c>
      <c r="F2366" s="21">
        <v>0</v>
      </c>
    </row>
    <row r="2367" spans="1:6" x14ac:dyDescent="0.25">
      <c r="A2367">
        <v>1874</v>
      </c>
      <c r="B2367" s="16">
        <v>43586</v>
      </c>
      <c r="C2367" t="s">
        <v>174</v>
      </c>
      <c r="D2367" s="21">
        <v>4866750</v>
      </c>
      <c r="E2367" s="21">
        <v>-4866750</v>
      </c>
      <c r="F2367" s="21">
        <v>0</v>
      </c>
    </row>
    <row r="2368" spans="1:6" x14ac:dyDescent="0.25">
      <c r="A2368">
        <v>1874</v>
      </c>
      <c r="B2368" s="16">
        <v>43617</v>
      </c>
      <c r="C2368" t="s">
        <v>175</v>
      </c>
      <c r="D2368" s="21">
        <v>3916091.0564999999</v>
      </c>
      <c r="E2368" s="21">
        <v>-3916091.0564999999</v>
      </c>
      <c r="F2368" s="21">
        <v>0</v>
      </c>
    </row>
    <row r="2369" spans="1:6" x14ac:dyDescent="0.25">
      <c r="A2369">
        <v>1874</v>
      </c>
      <c r="B2369" s="16">
        <v>43617</v>
      </c>
      <c r="C2369" t="s">
        <v>173</v>
      </c>
      <c r="D2369" s="21">
        <v>10415999.475</v>
      </c>
      <c r="E2369" s="21">
        <v>-10415999.475</v>
      </c>
      <c r="F2369" s="21">
        <v>0</v>
      </c>
    </row>
    <row r="2370" spans="1:6" x14ac:dyDescent="0.25">
      <c r="A2370">
        <v>1874</v>
      </c>
      <c r="B2370" s="16">
        <v>43617</v>
      </c>
      <c r="C2370" t="s">
        <v>123</v>
      </c>
      <c r="D2370" s="21">
        <v>7207200</v>
      </c>
      <c r="E2370" s="21">
        <v>-7207200</v>
      </c>
      <c r="F2370" s="21">
        <v>0</v>
      </c>
    </row>
    <row r="2371" spans="1:6" x14ac:dyDescent="0.25">
      <c r="A2371">
        <v>1874</v>
      </c>
      <c r="B2371" s="16">
        <v>43617</v>
      </c>
      <c r="C2371" t="s">
        <v>192</v>
      </c>
      <c r="D2371" s="21">
        <v>19400000</v>
      </c>
      <c r="E2371" s="21">
        <v>-19400000</v>
      </c>
      <c r="F2371" s="21">
        <v>0</v>
      </c>
    </row>
    <row r="2372" spans="1:6" x14ac:dyDescent="0.25">
      <c r="A2372">
        <v>1874</v>
      </c>
      <c r="B2372" s="16">
        <v>43617</v>
      </c>
      <c r="C2372" t="s">
        <v>174</v>
      </c>
      <c r="D2372" s="21">
        <v>4866750</v>
      </c>
      <c r="E2372" s="21">
        <v>-4866750</v>
      </c>
      <c r="F2372" s="21">
        <v>0</v>
      </c>
    </row>
    <row r="2373" spans="1:6" x14ac:dyDescent="0.25">
      <c r="A2373">
        <v>1874</v>
      </c>
      <c r="B2373" s="16">
        <v>43647</v>
      </c>
      <c r="C2373" t="s">
        <v>175</v>
      </c>
      <c r="D2373" s="21">
        <v>3916091.0564999999</v>
      </c>
      <c r="E2373" s="21">
        <v>-3916091.0564999999</v>
      </c>
      <c r="F2373" s="21">
        <v>0</v>
      </c>
    </row>
    <row r="2374" spans="1:6" x14ac:dyDescent="0.25">
      <c r="A2374">
        <v>1874</v>
      </c>
      <c r="B2374" s="16">
        <v>43647</v>
      </c>
      <c r="C2374" t="s">
        <v>173</v>
      </c>
      <c r="D2374" s="21">
        <v>10415999.475</v>
      </c>
      <c r="E2374" s="21">
        <v>-10415999.475</v>
      </c>
      <c r="F2374" s="21">
        <v>0</v>
      </c>
    </row>
    <row r="2375" spans="1:6" x14ac:dyDescent="0.25">
      <c r="A2375">
        <v>1874</v>
      </c>
      <c r="B2375" s="16">
        <v>43647</v>
      </c>
      <c r="C2375" t="s">
        <v>123</v>
      </c>
      <c r="D2375" s="21">
        <v>7207200</v>
      </c>
      <c r="E2375" s="21">
        <v>-7207200</v>
      </c>
      <c r="F2375" s="21">
        <v>0</v>
      </c>
    </row>
    <row r="2376" spans="1:6" x14ac:dyDescent="0.25">
      <c r="A2376">
        <v>1874</v>
      </c>
      <c r="B2376" s="16">
        <v>43647</v>
      </c>
      <c r="C2376" t="s">
        <v>192</v>
      </c>
      <c r="D2376" s="21">
        <v>19400000</v>
      </c>
      <c r="E2376" s="21">
        <v>-19400000</v>
      </c>
      <c r="F2376" s="21">
        <v>0</v>
      </c>
    </row>
    <row r="2377" spans="1:6" x14ac:dyDescent="0.25">
      <c r="A2377">
        <v>1874</v>
      </c>
      <c r="B2377" s="16">
        <v>43647</v>
      </c>
      <c r="C2377" t="s">
        <v>174</v>
      </c>
      <c r="D2377" s="21">
        <v>4866750</v>
      </c>
      <c r="E2377" s="21">
        <v>-4866750</v>
      </c>
      <c r="F2377" s="21">
        <v>0</v>
      </c>
    </row>
    <row r="2378" spans="1:6" x14ac:dyDescent="0.25">
      <c r="A2378">
        <v>1874</v>
      </c>
      <c r="B2378" s="16">
        <v>43678</v>
      </c>
      <c r="C2378" t="s">
        <v>175</v>
      </c>
      <c r="D2378" s="21">
        <v>3916091.0564999999</v>
      </c>
      <c r="E2378" s="21">
        <v>-3916091.0564999999</v>
      </c>
      <c r="F2378" s="21">
        <v>0</v>
      </c>
    </row>
    <row r="2379" spans="1:6" x14ac:dyDescent="0.25">
      <c r="A2379">
        <v>1874</v>
      </c>
      <c r="B2379" s="16">
        <v>43678</v>
      </c>
      <c r="C2379" t="s">
        <v>173</v>
      </c>
      <c r="D2379" s="21">
        <v>10415999.475</v>
      </c>
      <c r="E2379" s="21">
        <v>-10415999.475</v>
      </c>
      <c r="F2379" s="21">
        <v>0</v>
      </c>
    </row>
    <row r="2380" spans="1:6" x14ac:dyDescent="0.25">
      <c r="A2380">
        <v>1874</v>
      </c>
      <c r="B2380" s="16">
        <v>43678</v>
      </c>
      <c r="C2380" t="s">
        <v>123</v>
      </c>
      <c r="D2380" s="21">
        <v>7207200</v>
      </c>
      <c r="E2380" s="21">
        <v>-7207200</v>
      </c>
      <c r="F2380" s="21">
        <v>0</v>
      </c>
    </row>
    <row r="2381" spans="1:6" x14ac:dyDescent="0.25">
      <c r="A2381">
        <v>1874</v>
      </c>
      <c r="B2381" s="16">
        <v>43678</v>
      </c>
      <c r="C2381" t="s">
        <v>192</v>
      </c>
      <c r="D2381" s="21">
        <v>19400000</v>
      </c>
      <c r="E2381" s="21">
        <v>-19400000</v>
      </c>
      <c r="F2381" s="21">
        <v>0</v>
      </c>
    </row>
    <row r="2382" spans="1:6" x14ac:dyDescent="0.25">
      <c r="A2382">
        <v>1874</v>
      </c>
      <c r="B2382" s="16">
        <v>43678</v>
      </c>
      <c r="C2382" t="s">
        <v>174</v>
      </c>
      <c r="D2382" s="21">
        <v>4866750</v>
      </c>
      <c r="E2382" s="21">
        <v>-4866750</v>
      </c>
      <c r="F2382" s="21">
        <v>0</v>
      </c>
    </row>
    <row r="2383" spans="1:6" x14ac:dyDescent="0.25">
      <c r="A2383">
        <v>1874</v>
      </c>
      <c r="B2383" s="16">
        <v>43709</v>
      </c>
      <c r="C2383" t="s">
        <v>192</v>
      </c>
      <c r="D2383" s="21">
        <v>19400000</v>
      </c>
      <c r="E2383" s="21">
        <v>-19400000</v>
      </c>
      <c r="F2383" s="21">
        <v>0</v>
      </c>
    </row>
    <row r="2384" spans="1:6" x14ac:dyDescent="0.25">
      <c r="A2384">
        <v>1874</v>
      </c>
      <c r="B2384" s="16">
        <v>43709</v>
      </c>
      <c r="C2384" t="s">
        <v>173</v>
      </c>
      <c r="D2384" s="21">
        <v>10415999.475</v>
      </c>
      <c r="E2384" s="21">
        <v>-10415999.475</v>
      </c>
      <c r="F2384" s="21">
        <v>0</v>
      </c>
    </row>
    <row r="2385" spans="1:6" x14ac:dyDescent="0.25">
      <c r="A2385">
        <v>1874</v>
      </c>
      <c r="B2385" s="16">
        <v>43709</v>
      </c>
      <c r="C2385" t="s">
        <v>175</v>
      </c>
      <c r="D2385" s="21">
        <v>3916091.0564999999</v>
      </c>
      <c r="E2385" s="21">
        <v>-3916091.0564999999</v>
      </c>
      <c r="F2385" s="21">
        <v>0</v>
      </c>
    </row>
    <row r="2386" spans="1:6" x14ac:dyDescent="0.25">
      <c r="A2386">
        <v>1874</v>
      </c>
      <c r="B2386" s="16">
        <v>43739</v>
      </c>
      <c r="C2386" t="s">
        <v>192</v>
      </c>
      <c r="D2386" s="21">
        <v>19400000</v>
      </c>
      <c r="E2386" s="21">
        <v>-19400000</v>
      </c>
      <c r="F2386" s="21">
        <v>0</v>
      </c>
    </row>
    <row r="2387" spans="1:6" x14ac:dyDescent="0.25">
      <c r="A2387">
        <v>1874</v>
      </c>
      <c r="B2387" s="16">
        <v>43739</v>
      </c>
      <c r="C2387" t="s">
        <v>173</v>
      </c>
      <c r="D2387" s="21">
        <v>10415999.475</v>
      </c>
      <c r="E2387" s="21">
        <v>-10415999.475</v>
      </c>
      <c r="F2387" s="21">
        <v>0</v>
      </c>
    </row>
    <row r="2388" spans="1:6" x14ac:dyDescent="0.25">
      <c r="A2388">
        <v>1874</v>
      </c>
      <c r="B2388" s="16">
        <v>43739</v>
      </c>
      <c r="C2388" t="s">
        <v>175</v>
      </c>
      <c r="D2388" s="21">
        <v>3916091.0564999999</v>
      </c>
      <c r="E2388" s="21">
        <v>-3916091.0564999999</v>
      </c>
      <c r="F2388" s="21">
        <v>0</v>
      </c>
    </row>
    <row r="2389" spans="1:6" x14ac:dyDescent="0.25">
      <c r="A2389">
        <v>1877</v>
      </c>
      <c r="B2389" s="16">
        <v>43466</v>
      </c>
      <c r="C2389" t="s">
        <v>24</v>
      </c>
      <c r="D2389" s="21">
        <v>4935876.75</v>
      </c>
      <c r="E2389" s="21">
        <v>-4935876.75</v>
      </c>
      <c r="F2389" s="21">
        <v>0</v>
      </c>
    </row>
    <row r="2390" spans="1:6" x14ac:dyDescent="0.25">
      <c r="A2390">
        <v>1877</v>
      </c>
      <c r="B2390" s="16">
        <v>43466</v>
      </c>
      <c r="C2390" t="s">
        <v>12</v>
      </c>
      <c r="D2390" s="21">
        <v>11163096</v>
      </c>
      <c r="E2390" s="21">
        <v>-11163096</v>
      </c>
      <c r="F2390" s="21">
        <v>0</v>
      </c>
    </row>
    <row r="2391" spans="1:6" x14ac:dyDescent="0.25">
      <c r="A2391">
        <v>1877</v>
      </c>
      <c r="B2391" s="16">
        <v>43466</v>
      </c>
      <c r="C2391" t="s">
        <v>39</v>
      </c>
      <c r="D2391" s="21">
        <v>5049009</v>
      </c>
      <c r="E2391" s="21">
        <v>-5049009</v>
      </c>
      <c r="F2391" s="21">
        <v>0</v>
      </c>
    </row>
    <row r="2392" spans="1:6" x14ac:dyDescent="0.25">
      <c r="A2392">
        <v>1877</v>
      </c>
      <c r="B2392" s="16">
        <v>43466</v>
      </c>
      <c r="C2392" t="s">
        <v>135</v>
      </c>
      <c r="D2392" s="21">
        <v>3629175.7949999999</v>
      </c>
      <c r="E2392" s="21">
        <v>-3629175.7949999999</v>
      </c>
      <c r="F2392" s="21">
        <v>0</v>
      </c>
    </row>
    <row r="2393" spans="1:6" x14ac:dyDescent="0.25">
      <c r="A2393">
        <v>1877</v>
      </c>
      <c r="B2393" s="16">
        <v>43466</v>
      </c>
      <c r="C2393" t="s">
        <v>178</v>
      </c>
      <c r="D2393" s="21">
        <v>4550175</v>
      </c>
      <c r="E2393" s="21">
        <v>-4550175</v>
      </c>
      <c r="F2393" s="21">
        <v>0</v>
      </c>
    </row>
    <row r="2394" spans="1:6" x14ac:dyDescent="0.25">
      <c r="A2394">
        <v>1877</v>
      </c>
      <c r="B2394" s="16">
        <v>43466</v>
      </c>
      <c r="C2394" t="s">
        <v>180</v>
      </c>
      <c r="D2394" s="21">
        <v>4899387.3232500004</v>
      </c>
      <c r="E2394" s="21">
        <v>-4899387.3232500004</v>
      </c>
      <c r="F2394" s="21">
        <v>0</v>
      </c>
    </row>
    <row r="2395" spans="1:6" x14ac:dyDescent="0.25">
      <c r="A2395">
        <v>1877</v>
      </c>
      <c r="B2395" s="16">
        <v>43466</v>
      </c>
      <c r="C2395" t="s">
        <v>176</v>
      </c>
      <c r="D2395" s="21">
        <v>6909525</v>
      </c>
      <c r="E2395" s="21">
        <v>-6909525</v>
      </c>
      <c r="F2395" s="21">
        <v>0</v>
      </c>
    </row>
    <row r="2396" spans="1:6" x14ac:dyDescent="0.25">
      <c r="A2396">
        <v>1877</v>
      </c>
      <c r="B2396" s="16">
        <v>43466</v>
      </c>
      <c r="C2396" t="s">
        <v>192</v>
      </c>
      <c r="D2396" s="21">
        <v>27800000</v>
      </c>
      <c r="E2396" s="21">
        <v>-27800000</v>
      </c>
      <c r="F2396" s="21">
        <v>0</v>
      </c>
    </row>
    <row r="2397" spans="1:6" x14ac:dyDescent="0.25">
      <c r="A2397">
        <v>1877</v>
      </c>
      <c r="B2397" s="16">
        <v>43466</v>
      </c>
      <c r="C2397" t="s">
        <v>177</v>
      </c>
      <c r="D2397" s="21">
        <v>6909525</v>
      </c>
      <c r="E2397" s="21">
        <v>-6909525</v>
      </c>
      <c r="F2397" s="21">
        <v>0</v>
      </c>
    </row>
    <row r="2398" spans="1:6" x14ac:dyDescent="0.25">
      <c r="A2398">
        <v>1877</v>
      </c>
      <c r="B2398" s="16">
        <v>43466</v>
      </c>
      <c r="C2398" t="s">
        <v>181</v>
      </c>
      <c r="D2398" s="21">
        <v>4899387.3232500004</v>
      </c>
      <c r="E2398" s="21">
        <v>-4899387.3232500004</v>
      </c>
      <c r="F2398" s="21">
        <v>0</v>
      </c>
    </row>
    <row r="2399" spans="1:6" x14ac:dyDescent="0.25">
      <c r="A2399">
        <v>1877</v>
      </c>
      <c r="B2399" s="16">
        <v>43466</v>
      </c>
      <c r="C2399" t="s">
        <v>41</v>
      </c>
      <c r="D2399" s="21">
        <v>9327858.75</v>
      </c>
      <c r="E2399" s="21">
        <v>-9327858.75</v>
      </c>
      <c r="F2399" s="21">
        <v>0</v>
      </c>
    </row>
    <row r="2400" spans="1:6" x14ac:dyDescent="0.25">
      <c r="A2400">
        <v>1877</v>
      </c>
      <c r="B2400" s="16">
        <v>43466</v>
      </c>
      <c r="C2400" t="s">
        <v>182</v>
      </c>
      <c r="D2400" s="21">
        <v>3690632.1209625001</v>
      </c>
      <c r="E2400" s="21">
        <v>-3690632.1209625001</v>
      </c>
      <c r="F2400" s="21">
        <v>0</v>
      </c>
    </row>
    <row r="2401" spans="1:6" x14ac:dyDescent="0.25">
      <c r="A2401">
        <v>1877</v>
      </c>
      <c r="B2401" s="16">
        <v>43466</v>
      </c>
      <c r="C2401" t="s">
        <v>179</v>
      </c>
      <c r="D2401" s="21">
        <v>9327858.75</v>
      </c>
      <c r="E2401" s="21">
        <v>-9327858.75</v>
      </c>
      <c r="F2401" s="21">
        <v>0</v>
      </c>
    </row>
    <row r="2402" spans="1:6" x14ac:dyDescent="0.25">
      <c r="A2402">
        <v>1877</v>
      </c>
      <c r="B2402" s="16">
        <v>43497</v>
      </c>
      <c r="C2402" t="s">
        <v>24</v>
      </c>
      <c r="D2402" s="21">
        <v>4935876.75</v>
      </c>
      <c r="E2402" s="21">
        <v>-4935876.75</v>
      </c>
      <c r="F2402" s="21">
        <v>0</v>
      </c>
    </row>
    <row r="2403" spans="1:6" x14ac:dyDescent="0.25">
      <c r="A2403">
        <v>1877</v>
      </c>
      <c r="B2403" s="16">
        <v>43497</v>
      </c>
      <c r="C2403" t="s">
        <v>12</v>
      </c>
      <c r="D2403" s="21">
        <v>11163096</v>
      </c>
      <c r="E2403" s="21">
        <v>-11163096</v>
      </c>
      <c r="F2403" s="21">
        <v>0</v>
      </c>
    </row>
    <row r="2404" spans="1:6" x14ac:dyDescent="0.25">
      <c r="A2404">
        <v>1877</v>
      </c>
      <c r="B2404" s="16">
        <v>43497</v>
      </c>
      <c r="C2404" t="s">
        <v>39</v>
      </c>
      <c r="D2404" s="21">
        <v>5049009</v>
      </c>
      <c r="E2404" s="21">
        <v>-5049009</v>
      </c>
      <c r="F2404" s="21">
        <v>0</v>
      </c>
    </row>
    <row r="2405" spans="1:6" x14ac:dyDescent="0.25">
      <c r="A2405">
        <v>1877</v>
      </c>
      <c r="B2405" s="16">
        <v>43497</v>
      </c>
      <c r="C2405" t="s">
        <v>135</v>
      </c>
      <c r="D2405" s="21">
        <v>3629175.7949999999</v>
      </c>
      <c r="E2405" s="21">
        <v>-3629175.7949999999</v>
      </c>
      <c r="F2405" s="21">
        <v>0</v>
      </c>
    </row>
    <row r="2406" spans="1:6" x14ac:dyDescent="0.25">
      <c r="A2406">
        <v>1877</v>
      </c>
      <c r="B2406" s="16">
        <v>43497</v>
      </c>
      <c r="C2406" t="s">
        <v>178</v>
      </c>
      <c r="D2406" s="21">
        <v>4550175</v>
      </c>
      <c r="E2406" s="21">
        <v>-4550175</v>
      </c>
      <c r="F2406" s="21">
        <v>0</v>
      </c>
    </row>
    <row r="2407" spans="1:6" x14ac:dyDescent="0.25">
      <c r="A2407">
        <v>1877</v>
      </c>
      <c r="B2407" s="16">
        <v>43497</v>
      </c>
      <c r="C2407" t="s">
        <v>180</v>
      </c>
      <c r="D2407" s="21">
        <v>4899387.3232500004</v>
      </c>
      <c r="E2407" s="21">
        <v>-4899387.3232500004</v>
      </c>
      <c r="F2407" s="21">
        <v>0</v>
      </c>
    </row>
    <row r="2408" spans="1:6" x14ac:dyDescent="0.25">
      <c r="A2408">
        <v>1877</v>
      </c>
      <c r="B2408" s="16">
        <v>43497</v>
      </c>
      <c r="C2408" t="s">
        <v>176</v>
      </c>
      <c r="D2408" s="21">
        <v>6909525</v>
      </c>
      <c r="E2408" s="21">
        <v>-6909525</v>
      </c>
      <c r="F2408" s="21">
        <v>0</v>
      </c>
    </row>
    <row r="2409" spans="1:6" x14ac:dyDescent="0.25">
      <c r="A2409">
        <v>1877</v>
      </c>
      <c r="B2409" s="16">
        <v>43497</v>
      </c>
      <c r="C2409" t="s">
        <v>192</v>
      </c>
      <c r="D2409" s="21">
        <v>27800000</v>
      </c>
      <c r="E2409" s="21">
        <v>-27800000</v>
      </c>
      <c r="F2409" s="21">
        <v>0</v>
      </c>
    </row>
    <row r="2410" spans="1:6" x14ac:dyDescent="0.25">
      <c r="A2410">
        <v>1877</v>
      </c>
      <c r="B2410" s="16">
        <v>43497</v>
      </c>
      <c r="C2410" t="s">
        <v>177</v>
      </c>
      <c r="D2410" s="21">
        <v>6909525</v>
      </c>
      <c r="E2410" s="21">
        <v>-6909525</v>
      </c>
      <c r="F2410" s="21">
        <v>0</v>
      </c>
    </row>
    <row r="2411" spans="1:6" x14ac:dyDescent="0.25">
      <c r="A2411">
        <v>1877</v>
      </c>
      <c r="B2411" s="16">
        <v>43497</v>
      </c>
      <c r="C2411" t="s">
        <v>181</v>
      </c>
      <c r="D2411" s="21">
        <v>4899387.3232500004</v>
      </c>
      <c r="E2411" s="21">
        <v>-4899387.3232500004</v>
      </c>
      <c r="F2411" s="21">
        <v>0</v>
      </c>
    </row>
    <row r="2412" spans="1:6" x14ac:dyDescent="0.25">
      <c r="A2412">
        <v>1877</v>
      </c>
      <c r="B2412" s="16">
        <v>43497</v>
      </c>
      <c r="C2412" t="s">
        <v>41</v>
      </c>
      <c r="D2412" s="21">
        <v>9327858.75</v>
      </c>
      <c r="E2412" s="21">
        <v>-9327858.75</v>
      </c>
      <c r="F2412" s="21">
        <v>0</v>
      </c>
    </row>
    <row r="2413" spans="1:6" x14ac:dyDescent="0.25">
      <c r="A2413">
        <v>1877</v>
      </c>
      <c r="B2413" s="16">
        <v>43497</v>
      </c>
      <c r="C2413" t="s">
        <v>182</v>
      </c>
      <c r="D2413" s="21">
        <v>3690632.1209625001</v>
      </c>
      <c r="E2413" s="21">
        <v>-3690632.1209625001</v>
      </c>
      <c r="F2413" s="21">
        <v>0</v>
      </c>
    </row>
    <row r="2414" spans="1:6" x14ac:dyDescent="0.25">
      <c r="A2414">
        <v>1877</v>
      </c>
      <c r="B2414" s="16">
        <v>43497</v>
      </c>
      <c r="C2414" t="s">
        <v>179</v>
      </c>
      <c r="D2414" s="21">
        <v>9327858.75</v>
      </c>
      <c r="E2414" s="21">
        <v>-9327858.75</v>
      </c>
      <c r="F2414" s="21">
        <v>0</v>
      </c>
    </row>
    <row r="2415" spans="1:6" x14ac:dyDescent="0.25">
      <c r="A2415">
        <v>1877</v>
      </c>
      <c r="B2415" s="16">
        <v>43525</v>
      </c>
      <c r="C2415" t="s">
        <v>181</v>
      </c>
      <c r="D2415" s="21">
        <v>4899387.3232500004</v>
      </c>
      <c r="E2415" s="21">
        <v>-4899387.3232500004</v>
      </c>
      <c r="F2415" s="21">
        <v>0</v>
      </c>
    </row>
    <row r="2416" spans="1:6" x14ac:dyDescent="0.25">
      <c r="A2416">
        <v>1877</v>
      </c>
      <c r="B2416" s="16">
        <v>43525</v>
      </c>
      <c r="C2416" t="s">
        <v>24</v>
      </c>
      <c r="D2416" s="21">
        <v>4935876.75</v>
      </c>
      <c r="E2416" s="21">
        <v>-4935876.75</v>
      </c>
      <c r="F2416" s="21">
        <v>0</v>
      </c>
    </row>
    <row r="2417" spans="1:6" x14ac:dyDescent="0.25">
      <c r="A2417">
        <v>1877</v>
      </c>
      <c r="B2417" s="16">
        <v>43525</v>
      </c>
      <c r="C2417" t="s">
        <v>192</v>
      </c>
      <c r="D2417" s="21">
        <v>27800000</v>
      </c>
      <c r="E2417" s="21">
        <v>-27800000</v>
      </c>
      <c r="F2417" s="21">
        <v>0</v>
      </c>
    </row>
    <row r="2418" spans="1:6" x14ac:dyDescent="0.25">
      <c r="A2418">
        <v>1877</v>
      </c>
      <c r="B2418" s="16">
        <v>43525</v>
      </c>
      <c r="C2418" t="s">
        <v>39</v>
      </c>
      <c r="D2418" s="21">
        <v>5049009</v>
      </c>
      <c r="E2418" s="21">
        <v>-5049009</v>
      </c>
      <c r="F2418" s="21">
        <v>0</v>
      </c>
    </row>
    <row r="2419" spans="1:6" x14ac:dyDescent="0.25">
      <c r="A2419">
        <v>1877</v>
      </c>
      <c r="B2419" s="16">
        <v>43525</v>
      </c>
      <c r="C2419" t="s">
        <v>182</v>
      </c>
      <c r="D2419" s="21">
        <v>3690632.1209625001</v>
      </c>
      <c r="E2419" s="21">
        <v>-3690632.1209625001</v>
      </c>
      <c r="F2419" s="21">
        <v>0</v>
      </c>
    </row>
    <row r="2420" spans="1:6" x14ac:dyDescent="0.25">
      <c r="A2420">
        <v>1877</v>
      </c>
      <c r="B2420" s="16">
        <v>43525</v>
      </c>
      <c r="C2420" t="s">
        <v>178</v>
      </c>
      <c r="D2420" s="21">
        <v>4550175</v>
      </c>
      <c r="E2420" s="21">
        <v>-4550175</v>
      </c>
      <c r="F2420" s="21">
        <v>0</v>
      </c>
    </row>
    <row r="2421" spans="1:6" x14ac:dyDescent="0.25">
      <c r="A2421">
        <v>1877</v>
      </c>
      <c r="B2421" s="16">
        <v>43525</v>
      </c>
      <c r="C2421" t="s">
        <v>12</v>
      </c>
      <c r="D2421" s="21">
        <v>11163096</v>
      </c>
      <c r="E2421" s="21">
        <v>-11163096</v>
      </c>
      <c r="F2421" s="21">
        <v>0</v>
      </c>
    </row>
    <row r="2422" spans="1:6" x14ac:dyDescent="0.25">
      <c r="A2422">
        <v>1877</v>
      </c>
      <c r="B2422" s="16">
        <v>43525</v>
      </c>
      <c r="C2422" t="s">
        <v>176</v>
      </c>
      <c r="D2422" s="21">
        <v>6909525</v>
      </c>
      <c r="E2422" s="21">
        <v>-6909525</v>
      </c>
      <c r="F2422" s="21">
        <v>0</v>
      </c>
    </row>
    <row r="2423" spans="1:6" x14ac:dyDescent="0.25">
      <c r="A2423">
        <v>1877</v>
      </c>
      <c r="B2423" s="16">
        <v>43525</v>
      </c>
      <c r="C2423" t="s">
        <v>180</v>
      </c>
      <c r="D2423" s="21">
        <v>4899387.3232500004</v>
      </c>
      <c r="E2423" s="21">
        <v>-4899387.3232500004</v>
      </c>
      <c r="F2423" s="21">
        <v>0</v>
      </c>
    </row>
    <row r="2424" spans="1:6" x14ac:dyDescent="0.25">
      <c r="A2424">
        <v>1877</v>
      </c>
      <c r="B2424" s="16">
        <v>43525</v>
      </c>
      <c r="C2424" t="s">
        <v>177</v>
      </c>
      <c r="D2424" s="21">
        <v>6909525</v>
      </c>
      <c r="E2424" s="21">
        <v>-6909525</v>
      </c>
      <c r="F2424" s="21">
        <v>0</v>
      </c>
    </row>
    <row r="2425" spans="1:6" x14ac:dyDescent="0.25">
      <c r="A2425">
        <v>1877</v>
      </c>
      <c r="B2425" s="16">
        <v>43525</v>
      </c>
      <c r="C2425" t="s">
        <v>135</v>
      </c>
      <c r="D2425" s="21">
        <v>3629175.7949999999</v>
      </c>
      <c r="E2425" s="21">
        <v>-3629175.7949999999</v>
      </c>
      <c r="F2425" s="21">
        <v>0</v>
      </c>
    </row>
    <row r="2426" spans="1:6" x14ac:dyDescent="0.25">
      <c r="A2426">
        <v>1877</v>
      </c>
      <c r="B2426" s="16">
        <v>43525</v>
      </c>
      <c r="C2426" t="s">
        <v>41</v>
      </c>
      <c r="D2426" s="21">
        <v>9327858.75</v>
      </c>
      <c r="E2426" s="21">
        <v>-9327858.75</v>
      </c>
      <c r="F2426" s="21">
        <v>0</v>
      </c>
    </row>
    <row r="2427" spans="1:6" x14ac:dyDescent="0.25">
      <c r="A2427">
        <v>1877</v>
      </c>
      <c r="B2427" s="16">
        <v>43556</v>
      </c>
      <c r="C2427" t="s">
        <v>181</v>
      </c>
      <c r="D2427" s="21">
        <v>4899387.3232500004</v>
      </c>
      <c r="E2427" s="21">
        <v>-4899387.3232500004</v>
      </c>
      <c r="F2427" s="21">
        <v>0</v>
      </c>
    </row>
    <row r="2428" spans="1:6" x14ac:dyDescent="0.25">
      <c r="A2428">
        <v>1877</v>
      </c>
      <c r="B2428" s="16">
        <v>43556</v>
      </c>
      <c r="C2428" t="s">
        <v>24</v>
      </c>
      <c r="D2428" s="21">
        <v>4935876.75</v>
      </c>
      <c r="E2428" s="21">
        <v>-4935876.75</v>
      </c>
      <c r="F2428" s="21">
        <v>0</v>
      </c>
    </row>
    <row r="2429" spans="1:6" x14ac:dyDescent="0.25">
      <c r="A2429">
        <v>1877</v>
      </c>
      <c r="B2429" s="16">
        <v>43556</v>
      </c>
      <c r="C2429" t="s">
        <v>192</v>
      </c>
      <c r="D2429" s="21">
        <v>27800000</v>
      </c>
      <c r="E2429" s="21">
        <v>-27800000</v>
      </c>
      <c r="F2429" s="21">
        <v>0</v>
      </c>
    </row>
    <row r="2430" spans="1:6" x14ac:dyDescent="0.25">
      <c r="A2430">
        <v>1877</v>
      </c>
      <c r="B2430" s="16">
        <v>43556</v>
      </c>
      <c r="C2430" t="s">
        <v>39</v>
      </c>
      <c r="D2430" s="21">
        <v>5049009</v>
      </c>
      <c r="E2430" s="21">
        <v>-5049009</v>
      </c>
      <c r="F2430" s="21">
        <v>0</v>
      </c>
    </row>
    <row r="2431" spans="1:6" x14ac:dyDescent="0.25">
      <c r="A2431">
        <v>1877</v>
      </c>
      <c r="B2431" s="16">
        <v>43556</v>
      </c>
      <c r="C2431" t="s">
        <v>182</v>
      </c>
      <c r="D2431" s="21">
        <v>3690632.1209625001</v>
      </c>
      <c r="E2431" s="21">
        <v>-3690632.1209625001</v>
      </c>
      <c r="F2431" s="21">
        <v>0</v>
      </c>
    </row>
    <row r="2432" spans="1:6" x14ac:dyDescent="0.25">
      <c r="A2432">
        <v>1877</v>
      </c>
      <c r="B2432" s="16">
        <v>43556</v>
      </c>
      <c r="C2432" t="s">
        <v>178</v>
      </c>
      <c r="D2432" s="21">
        <v>4550175</v>
      </c>
      <c r="E2432" s="21">
        <v>-4550175</v>
      </c>
      <c r="F2432" s="21">
        <v>0</v>
      </c>
    </row>
    <row r="2433" spans="1:6" x14ac:dyDescent="0.25">
      <c r="A2433">
        <v>1877</v>
      </c>
      <c r="B2433" s="16">
        <v>43556</v>
      </c>
      <c r="C2433" t="s">
        <v>12</v>
      </c>
      <c r="D2433" s="21">
        <v>11163096</v>
      </c>
      <c r="E2433" s="21">
        <v>-11163096</v>
      </c>
      <c r="F2433" s="21">
        <v>0</v>
      </c>
    </row>
    <row r="2434" spans="1:6" x14ac:dyDescent="0.25">
      <c r="A2434">
        <v>1877</v>
      </c>
      <c r="B2434" s="16">
        <v>43556</v>
      </c>
      <c r="C2434" t="s">
        <v>176</v>
      </c>
      <c r="D2434" s="21">
        <v>6909525</v>
      </c>
      <c r="E2434" s="21">
        <v>-6909525</v>
      </c>
      <c r="F2434" s="21">
        <v>0</v>
      </c>
    </row>
    <row r="2435" spans="1:6" x14ac:dyDescent="0.25">
      <c r="A2435">
        <v>1877</v>
      </c>
      <c r="B2435" s="16">
        <v>43556</v>
      </c>
      <c r="C2435" t="s">
        <v>180</v>
      </c>
      <c r="D2435" s="21">
        <v>4899387.3232500004</v>
      </c>
      <c r="E2435" s="21">
        <v>-4899387.3232500004</v>
      </c>
      <c r="F2435" s="21">
        <v>0</v>
      </c>
    </row>
    <row r="2436" spans="1:6" x14ac:dyDescent="0.25">
      <c r="A2436">
        <v>1877</v>
      </c>
      <c r="B2436" s="16">
        <v>43556</v>
      </c>
      <c r="C2436" t="s">
        <v>177</v>
      </c>
      <c r="D2436" s="21">
        <v>6909525</v>
      </c>
      <c r="E2436" s="21">
        <v>-6909525</v>
      </c>
      <c r="F2436" s="21">
        <v>0</v>
      </c>
    </row>
    <row r="2437" spans="1:6" x14ac:dyDescent="0.25">
      <c r="A2437">
        <v>1877</v>
      </c>
      <c r="B2437" s="16">
        <v>43556</v>
      </c>
      <c r="C2437" t="s">
        <v>135</v>
      </c>
      <c r="D2437" s="21">
        <v>3629175.7949999999</v>
      </c>
      <c r="E2437" s="21">
        <v>-3629175.7949999999</v>
      </c>
      <c r="F2437" s="21">
        <v>0</v>
      </c>
    </row>
    <row r="2438" spans="1:6" x14ac:dyDescent="0.25">
      <c r="A2438">
        <v>1877</v>
      </c>
      <c r="B2438" s="16">
        <v>43556</v>
      </c>
      <c r="C2438" t="s">
        <v>41</v>
      </c>
      <c r="D2438" s="21">
        <v>9327858.75</v>
      </c>
      <c r="E2438" s="21">
        <v>-9327858.75</v>
      </c>
      <c r="F2438" s="21">
        <v>0</v>
      </c>
    </row>
    <row r="2439" spans="1:6" x14ac:dyDescent="0.25">
      <c r="A2439">
        <v>1877</v>
      </c>
      <c r="B2439" s="16">
        <v>43586</v>
      </c>
      <c r="C2439" t="s">
        <v>181</v>
      </c>
      <c r="D2439" s="21">
        <v>4899387.3232500004</v>
      </c>
      <c r="E2439" s="21">
        <v>-4899387.3232500004</v>
      </c>
      <c r="F2439" s="21">
        <v>0</v>
      </c>
    </row>
    <row r="2440" spans="1:6" x14ac:dyDescent="0.25">
      <c r="A2440">
        <v>1877</v>
      </c>
      <c r="B2440" s="16">
        <v>43586</v>
      </c>
      <c r="C2440" t="s">
        <v>24</v>
      </c>
      <c r="D2440" s="21">
        <v>4935876.75</v>
      </c>
      <c r="E2440" s="21">
        <v>-4935876.75</v>
      </c>
      <c r="F2440" s="21">
        <v>0</v>
      </c>
    </row>
    <row r="2441" spans="1:6" x14ac:dyDescent="0.25">
      <c r="A2441">
        <v>1877</v>
      </c>
      <c r="B2441" s="16">
        <v>43586</v>
      </c>
      <c r="C2441" t="s">
        <v>192</v>
      </c>
      <c r="D2441" s="21">
        <v>27800000</v>
      </c>
      <c r="E2441" s="21">
        <v>-27800000</v>
      </c>
      <c r="F2441" s="21">
        <v>0</v>
      </c>
    </row>
    <row r="2442" spans="1:6" x14ac:dyDescent="0.25">
      <c r="A2442">
        <v>1877</v>
      </c>
      <c r="B2442" s="16">
        <v>43586</v>
      </c>
      <c r="C2442" t="s">
        <v>39</v>
      </c>
      <c r="D2442" s="21">
        <v>5049009</v>
      </c>
      <c r="E2442" s="21">
        <v>-5049009</v>
      </c>
      <c r="F2442" s="21">
        <v>0</v>
      </c>
    </row>
    <row r="2443" spans="1:6" x14ac:dyDescent="0.25">
      <c r="A2443">
        <v>1877</v>
      </c>
      <c r="B2443" s="16">
        <v>43586</v>
      </c>
      <c r="C2443" t="s">
        <v>182</v>
      </c>
      <c r="D2443" s="21">
        <v>3690632.1209625001</v>
      </c>
      <c r="E2443" s="21">
        <v>-3690632.1209625001</v>
      </c>
      <c r="F2443" s="21">
        <v>0</v>
      </c>
    </row>
    <row r="2444" spans="1:6" x14ac:dyDescent="0.25">
      <c r="A2444">
        <v>1877</v>
      </c>
      <c r="B2444" s="16">
        <v>43586</v>
      </c>
      <c r="C2444" t="s">
        <v>178</v>
      </c>
      <c r="D2444" s="21">
        <v>4550175</v>
      </c>
      <c r="E2444" s="21">
        <v>-4550175</v>
      </c>
      <c r="F2444" s="21">
        <v>0</v>
      </c>
    </row>
    <row r="2445" spans="1:6" x14ac:dyDescent="0.25">
      <c r="A2445">
        <v>1877</v>
      </c>
      <c r="B2445" s="16">
        <v>43586</v>
      </c>
      <c r="C2445" t="s">
        <v>12</v>
      </c>
      <c r="D2445" s="21">
        <v>11163096</v>
      </c>
      <c r="E2445" s="21">
        <v>-11163096</v>
      </c>
      <c r="F2445" s="21">
        <v>0</v>
      </c>
    </row>
    <row r="2446" spans="1:6" x14ac:dyDescent="0.25">
      <c r="A2446">
        <v>1877</v>
      </c>
      <c r="B2446" s="16">
        <v>43586</v>
      </c>
      <c r="C2446" t="s">
        <v>176</v>
      </c>
      <c r="D2446" s="21">
        <v>6909525</v>
      </c>
      <c r="E2446" s="21">
        <v>-6909525</v>
      </c>
      <c r="F2446" s="21">
        <v>0</v>
      </c>
    </row>
    <row r="2447" spans="1:6" x14ac:dyDescent="0.25">
      <c r="A2447">
        <v>1877</v>
      </c>
      <c r="B2447" s="16">
        <v>43586</v>
      </c>
      <c r="C2447" t="s">
        <v>180</v>
      </c>
      <c r="D2447" s="21">
        <v>4899387.3232500004</v>
      </c>
      <c r="E2447" s="21">
        <v>-4899387.3232500004</v>
      </c>
      <c r="F2447" s="21">
        <v>0</v>
      </c>
    </row>
    <row r="2448" spans="1:6" x14ac:dyDescent="0.25">
      <c r="A2448">
        <v>1877</v>
      </c>
      <c r="B2448" s="16">
        <v>43586</v>
      </c>
      <c r="C2448" t="s">
        <v>177</v>
      </c>
      <c r="D2448" s="21">
        <v>6909525</v>
      </c>
      <c r="E2448" s="21">
        <v>-6909525</v>
      </c>
      <c r="F2448" s="21">
        <v>0</v>
      </c>
    </row>
    <row r="2449" spans="1:6" x14ac:dyDescent="0.25">
      <c r="A2449">
        <v>1877</v>
      </c>
      <c r="B2449" s="16">
        <v>43586</v>
      </c>
      <c r="C2449" t="s">
        <v>135</v>
      </c>
      <c r="D2449" s="21">
        <v>3629175.7949999999</v>
      </c>
      <c r="E2449" s="21">
        <v>-3629175.7949999999</v>
      </c>
      <c r="F2449" s="21">
        <v>0</v>
      </c>
    </row>
    <row r="2450" spans="1:6" x14ac:dyDescent="0.25">
      <c r="A2450">
        <v>1877</v>
      </c>
      <c r="B2450" s="16">
        <v>43586</v>
      </c>
      <c r="C2450" t="s">
        <v>41</v>
      </c>
      <c r="D2450" s="21">
        <v>9327858.75</v>
      </c>
      <c r="E2450" s="21">
        <v>-9327858.75</v>
      </c>
      <c r="F2450" s="21">
        <v>0</v>
      </c>
    </row>
    <row r="2451" spans="1:6" x14ac:dyDescent="0.25">
      <c r="A2451">
        <v>1877</v>
      </c>
      <c r="B2451" s="16">
        <v>43617</v>
      </c>
      <c r="C2451" t="s">
        <v>181</v>
      </c>
      <c r="D2451" s="21">
        <v>4899387.3232500004</v>
      </c>
      <c r="E2451" s="21">
        <v>-4899387.3232500004</v>
      </c>
      <c r="F2451" s="21">
        <v>0</v>
      </c>
    </row>
    <row r="2452" spans="1:6" x14ac:dyDescent="0.25">
      <c r="A2452">
        <v>1877</v>
      </c>
      <c r="B2452" s="16">
        <v>43617</v>
      </c>
      <c r="C2452" t="s">
        <v>24</v>
      </c>
      <c r="D2452" s="21">
        <v>4935876.75</v>
      </c>
      <c r="E2452" s="21">
        <v>-4935876.75</v>
      </c>
      <c r="F2452" s="21">
        <v>0</v>
      </c>
    </row>
    <row r="2453" spans="1:6" x14ac:dyDescent="0.25">
      <c r="A2453">
        <v>1877</v>
      </c>
      <c r="B2453" s="16">
        <v>43617</v>
      </c>
      <c r="C2453" t="s">
        <v>192</v>
      </c>
      <c r="D2453" s="21">
        <v>27800000</v>
      </c>
      <c r="E2453" s="21">
        <v>-27800000</v>
      </c>
      <c r="F2453" s="21">
        <v>0</v>
      </c>
    </row>
    <row r="2454" spans="1:6" x14ac:dyDescent="0.25">
      <c r="A2454">
        <v>1877</v>
      </c>
      <c r="B2454" s="16">
        <v>43617</v>
      </c>
      <c r="C2454" t="s">
        <v>39</v>
      </c>
      <c r="D2454" s="21">
        <v>5049009</v>
      </c>
      <c r="E2454" s="21">
        <v>-5049009</v>
      </c>
      <c r="F2454" s="21">
        <v>0</v>
      </c>
    </row>
    <row r="2455" spans="1:6" x14ac:dyDescent="0.25">
      <c r="A2455">
        <v>1877</v>
      </c>
      <c r="B2455" s="16">
        <v>43617</v>
      </c>
      <c r="C2455" t="s">
        <v>182</v>
      </c>
      <c r="D2455" s="21">
        <v>3690632.1209625001</v>
      </c>
      <c r="E2455" s="21">
        <v>-3690632.1209625001</v>
      </c>
      <c r="F2455" s="21">
        <v>0</v>
      </c>
    </row>
    <row r="2456" spans="1:6" x14ac:dyDescent="0.25">
      <c r="A2456">
        <v>1877</v>
      </c>
      <c r="B2456" s="16">
        <v>43617</v>
      </c>
      <c r="C2456" t="s">
        <v>178</v>
      </c>
      <c r="D2456" s="21">
        <v>4550175</v>
      </c>
      <c r="E2456" s="21">
        <v>-4550175</v>
      </c>
      <c r="F2456" s="21">
        <v>0</v>
      </c>
    </row>
    <row r="2457" spans="1:6" x14ac:dyDescent="0.25">
      <c r="A2457">
        <v>1877</v>
      </c>
      <c r="B2457" s="16">
        <v>43617</v>
      </c>
      <c r="C2457" t="s">
        <v>12</v>
      </c>
      <c r="D2457" s="21">
        <v>11163096</v>
      </c>
      <c r="E2457" s="21">
        <v>-11163096</v>
      </c>
      <c r="F2457" s="21">
        <v>0</v>
      </c>
    </row>
    <row r="2458" spans="1:6" x14ac:dyDescent="0.25">
      <c r="A2458">
        <v>1877</v>
      </c>
      <c r="B2458" s="16">
        <v>43617</v>
      </c>
      <c r="C2458" t="s">
        <v>176</v>
      </c>
      <c r="D2458" s="21">
        <v>6909525</v>
      </c>
      <c r="E2458" s="21">
        <v>-6909525</v>
      </c>
      <c r="F2458" s="21">
        <v>0</v>
      </c>
    </row>
    <row r="2459" spans="1:6" x14ac:dyDescent="0.25">
      <c r="A2459">
        <v>1877</v>
      </c>
      <c r="B2459" s="16">
        <v>43617</v>
      </c>
      <c r="C2459" t="s">
        <v>180</v>
      </c>
      <c r="D2459" s="21">
        <v>4899387.3232500004</v>
      </c>
      <c r="E2459" s="21">
        <v>-4899387.3232500004</v>
      </c>
      <c r="F2459" s="21">
        <v>0</v>
      </c>
    </row>
    <row r="2460" spans="1:6" x14ac:dyDescent="0.25">
      <c r="A2460">
        <v>1877</v>
      </c>
      <c r="B2460" s="16">
        <v>43617</v>
      </c>
      <c r="C2460" t="s">
        <v>177</v>
      </c>
      <c r="D2460" s="21">
        <v>6909525</v>
      </c>
      <c r="E2460" s="21">
        <v>-6909525</v>
      </c>
      <c r="F2460" s="21">
        <v>0</v>
      </c>
    </row>
    <row r="2461" spans="1:6" x14ac:dyDescent="0.25">
      <c r="A2461">
        <v>1877</v>
      </c>
      <c r="B2461" s="16">
        <v>43617</v>
      </c>
      <c r="C2461" t="s">
        <v>135</v>
      </c>
      <c r="D2461" s="21">
        <v>3629175.7949999999</v>
      </c>
      <c r="E2461" s="21">
        <v>-3629175.7949999999</v>
      </c>
      <c r="F2461" s="21">
        <v>0</v>
      </c>
    </row>
    <row r="2462" spans="1:6" x14ac:dyDescent="0.25">
      <c r="A2462">
        <v>1877</v>
      </c>
      <c r="B2462" s="16">
        <v>43617</v>
      </c>
      <c r="C2462" t="s">
        <v>41</v>
      </c>
      <c r="D2462" s="21">
        <v>9327858.75</v>
      </c>
      <c r="E2462" s="21">
        <v>-9327858.75</v>
      </c>
      <c r="F2462" s="21">
        <v>0</v>
      </c>
    </row>
    <row r="2463" spans="1:6" x14ac:dyDescent="0.25">
      <c r="A2463">
        <v>1877</v>
      </c>
      <c r="B2463" s="16">
        <v>43647</v>
      </c>
      <c r="C2463" t="s">
        <v>181</v>
      </c>
      <c r="D2463" s="21">
        <v>4899387.3232500004</v>
      </c>
      <c r="E2463" s="21">
        <v>-4899387.3232500004</v>
      </c>
      <c r="F2463" s="21">
        <v>0</v>
      </c>
    </row>
    <row r="2464" spans="1:6" x14ac:dyDescent="0.25">
      <c r="A2464">
        <v>1877</v>
      </c>
      <c r="B2464" s="16">
        <v>43647</v>
      </c>
      <c r="C2464" t="s">
        <v>24</v>
      </c>
      <c r="D2464" s="21">
        <v>4935876.75</v>
      </c>
      <c r="E2464" s="21">
        <v>-4935876.75</v>
      </c>
      <c r="F2464" s="21">
        <v>0</v>
      </c>
    </row>
    <row r="2465" spans="1:6" x14ac:dyDescent="0.25">
      <c r="A2465">
        <v>1877</v>
      </c>
      <c r="B2465" s="16">
        <v>43647</v>
      </c>
      <c r="C2465" t="s">
        <v>192</v>
      </c>
      <c r="D2465" s="21">
        <v>27800000</v>
      </c>
      <c r="E2465" s="21">
        <v>-27800000</v>
      </c>
      <c r="F2465" s="21">
        <v>0</v>
      </c>
    </row>
    <row r="2466" spans="1:6" x14ac:dyDescent="0.25">
      <c r="A2466">
        <v>1877</v>
      </c>
      <c r="B2466" s="16">
        <v>43647</v>
      </c>
      <c r="C2466" t="s">
        <v>39</v>
      </c>
      <c r="D2466" s="21">
        <v>5049009</v>
      </c>
      <c r="E2466" s="21">
        <v>-5049009</v>
      </c>
      <c r="F2466" s="21">
        <v>0</v>
      </c>
    </row>
    <row r="2467" spans="1:6" x14ac:dyDescent="0.25">
      <c r="A2467">
        <v>1877</v>
      </c>
      <c r="B2467" s="16">
        <v>43647</v>
      </c>
      <c r="C2467" t="s">
        <v>182</v>
      </c>
      <c r="D2467" s="21">
        <v>3690632.1209625001</v>
      </c>
      <c r="E2467" s="21">
        <v>-3690632.1209625001</v>
      </c>
      <c r="F2467" s="21">
        <v>0</v>
      </c>
    </row>
    <row r="2468" spans="1:6" x14ac:dyDescent="0.25">
      <c r="A2468">
        <v>1877</v>
      </c>
      <c r="B2468" s="16">
        <v>43647</v>
      </c>
      <c r="C2468" t="s">
        <v>178</v>
      </c>
      <c r="D2468" s="21">
        <v>4550175</v>
      </c>
      <c r="E2468" s="21">
        <v>-4550175</v>
      </c>
      <c r="F2468" s="21">
        <v>0</v>
      </c>
    </row>
    <row r="2469" spans="1:6" x14ac:dyDescent="0.25">
      <c r="A2469">
        <v>1877</v>
      </c>
      <c r="B2469" s="16">
        <v>43647</v>
      </c>
      <c r="C2469" t="s">
        <v>12</v>
      </c>
      <c r="D2469" s="21">
        <v>11163096</v>
      </c>
      <c r="E2469" s="21">
        <v>-11163096</v>
      </c>
      <c r="F2469" s="21">
        <v>0</v>
      </c>
    </row>
    <row r="2470" spans="1:6" x14ac:dyDescent="0.25">
      <c r="A2470">
        <v>1877</v>
      </c>
      <c r="B2470" s="16">
        <v>43647</v>
      </c>
      <c r="C2470" t="s">
        <v>176</v>
      </c>
      <c r="D2470" s="21">
        <v>6909525</v>
      </c>
      <c r="E2470" s="21">
        <v>-6909525</v>
      </c>
      <c r="F2470" s="21">
        <v>0</v>
      </c>
    </row>
    <row r="2471" spans="1:6" x14ac:dyDescent="0.25">
      <c r="A2471">
        <v>1877</v>
      </c>
      <c r="B2471" s="16">
        <v>43647</v>
      </c>
      <c r="C2471" t="s">
        <v>180</v>
      </c>
      <c r="D2471" s="21">
        <v>4899387.3232500004</v>
      </c>
      <c r="E2471" s="21">
        <v>-4899387.3232500004</v>
      </c>
      <c r="F2471" s="21">
        <v>0</v>
      </c>
    </row>
    <row r="2472" spans="1:6" x14ac:dyDescent="0.25">
      <c r="A2472">
        <v>1877</v>
      </c>
      <c r="B2472" s="16">
        <v>43647</v>
      </c>
      <c r="C2472" t="s">
        <v>177</v>
      </c>
      <c r="D2472" s="21">
        <v>6909525</v>
      </c>
      <c r="E2472" s="21">
        <v>-6909525</v>
      </c>
      <c r="F2472" s="21">
        <v>0</v>
      </c>
    </row>
    <row r="2473" spans="1:6" x14ac:dyDescent="0.25">
      <c r="A2473">
        <v>1877</v>
      </c>
      <c r="B2473" s="16">
        <v>43647</v>
      </c>
      <c r="C2473" t="s">
        <v>135</v>
      </c>
      <c r="D2473" s="21">
        <v>3629175.7949999999</v>
      </c>
      <c r="E2473" s="21">
        <v>-3629175.7949999999</v>
      </c>
      <c r="F2473" s="21">
        <v>0</v>
      </c>
    </row>
    <row r="2474" spans="1:6" x14ac:dyDescent="0.25">
      <c r="A2474">
        <v>1877</v>
      </c>
      <c r="B2474" s="16">
        <v>43647</v>
      </c>
      <c r="C2474" t="s">
        <v>41</v>
      </c>
      <c r="D2474" s="21">
        <v>9327858.75</v>
      </c>
      <c r="E2474" s="21">
        <v>-9327858.75</v>
      </c>
      <c r="F2474" s="21">
        <v>0</v>
      </c>
    </row>
    <row r="2475" spans="1:6" x14ac:dyDescent="0.25">
      <c r="A2475">
        <v>1877</v>
      </c>
      <c r="B2475" s="16">
        <v>43678</v>
      </c>
      <c r="C2475" t="s">
        <v>24</v>
      </c>
      <c r="D2475" s="21">
        <v>4935876.75</v>
      </c>
      <c r="E2475" s="21">
        <v>-4935876.75</v>
      </c>
      <c r="F2475" s="21">
        <v>0</v>
      </c>
    </row>
    <row r="2476" spans="1:6" x14ac:dyDescent="0.25">
      <c r="A2476">
        <v>1877</v>
      </c>
      <c r="B2476" s="16">
        <v>43678</v>
      </c>
      <c r="C2476" t="s">
        <v>12</v>
      </c>
      <c r="D2476" s="21">
        <v>11163096</v>
      </c>
      <c r="E2476" s="21">
        <v>-11163096</v>
      </c>
      <c r="F2476" s="21">
        <v>0</v>
      </c>
    </row>
    <row r="2477" spans="1:6" x14ac:dyDescent="0.25">
      <c r="A2477">
        <v>1877</v>
      </c>
      <c r="B2477" s="16">
        <v>43678</v>
      </c>
      <c r="C2477" t="s">
        <v>39</v>
      </c>
      <c r="D2477" s="21">
        <v>5049009</v>
      </c>
      <c r="E2477" s="21">
        <v>-5049009</v>
      </c>
      <c r="F2477" s="21">
        <v>0</v>
      </c>
    </row>
    <row r="2478" spans="1:6" x14ac:dyDescent="0.25">
      <c r="A2478">
        <v>1877</v>
      </c>
      <c r="B2478" s="16">
        <v>43678</v>
      </c>
      <c r="C2478" t="s">
        <v>135</v>
      </c>
      <c r="D2478" s="21">
        <v>3629175.7949999999</v>
      </c>
      <c r="E2478" s="21">
        <v>-3629175.7949999999</v>
      </c>
      <c r="F2478" s="21">
        <v>0</v>
      </c>
    </row>
    <row r="2479" spans="1:6" x14ac:dyDescent="0.25">
      <c r="A2479">
        <v>1877</v>
      </c>
      <c r="B2479" s="16">
        <v>43678</v>
      </c>
      <c r="C2479" t="s">
        <v>178</v>
      </c>
      <c r="D2479" s="21">
        <v>4550175</v>
      </c>
      <c r="E2479" s="21">
        <v>-4550175</v>
      </c>
      <c r="F2479" s="21">
        <v>0</v>
      </c>
    </row>
    <row r="2480" spans="1:6" x14ac:dyDescent="0.25">
      <c r="A2480">
        <v>1877</v>
      </c>
      <c r="B2480" s="16">
        <v>43678</v>
      </c>
      <c r="C2480" t="s">
        <v>180</v>
      </c>
      <c r="D2480" s="21">
        <v>4899387.3232500004</v>
      </c>
      <c r="E2480" s="21">
        <v>-4899387.3232500004</v>
      </c>
      <c r="F2480" s="21">
        <v>0</v>
      </c>
    </row>
    <row r="2481" spans="1:6" x14ac:dyDescent="0.25">
      <c r="A2481">
        <v>1877</v>
      </c>
      <c r="B2481" s="16">
        <v>43678</v>
      </c>
      <c r="C2481" t="s">
        <v>176</v>
      </c>
      <c r="D2481" s="21">
        <v>6909525</v>
      </c>
      <c r="E2481" s="21">
        <v>-6909525</v>
      </c>
      <c r="F2481" s="21">
        <v>0</v>
      </c>
    </row>
    <row r="2482" spans="1:6" x14ac:dyDescent="0.25">
      <c r="A2482">
        <v>1877</v>
      </c>
      <c r="B2482" s="16">
        <v>43678</v>
      </c>
      <c r="C2482" t="s">
        <v>182</v>
      </c>
      <c r="D2482" s="21">
        <v>3690632.1209625001</v>
      </c>
      <c r="E2482" s="21">
        <v>-3690632.1209625001</v>
      </c>
      <c r="F2482" s="21">
        <v>0</v>
      </c>
    </row>
    <row r="2483" spans="1:6" x14ac:dyDescent="0.25">
      <c r="A2483">
        <v>1877</v>
      </c>
      <c r="B2483" s="16">
        <v>43678</v>
      </c>
      <c r="C2483" t="s">
        <v>177</v>
      </c>
      <c r="D2483" s="21">
        <v>6909525</v>
      </c>
      <c r="E2483" s="21">
        <v>-6909525</v>
      </c>
      <c r="F2483" s="21">
        <v>0</v>
      </c>
    </row>
    <row r="2484" spans="1:6" x14ac:dyDescent="0.25">
      <c r="A2484">
        <v>1877</v>
      </c>
      <c r="B2484" s="16">
        <v>43678</v>
      </c>
      <c r="C2484" t="s">
        <v>192</v>
      </c>
      <c r="D2484" s="21">
        <v>27800000</v>
      </c>
      <c r="E2484" s="21">
        <v>-27800000</v>
      </c>
      <c r="F2484" s="21">
        <v>0</v>
      </c>
    </row>
    <row r="2485" spans="1:6" x14ac:dyDescent="0.25">
      <c r="A2485">
        <v>1877</v>
      </c>
      <c r="B2485" s="16">
        <v>43678</v>
      </c>
      <c r="C2485" t="s">
        <v>41</v>
      </c>
      <c r="D2485" s="21">
        <v>9327858.75</v>
      </c>
      <c r="E2485" s="21">
        <v>-9327858.75</v>
      </c>
      <c r="F2485" s="21">
        <v>0</v>
      </c>
    </row>
    <row r="2486" spans="1:6" x14ac:dyDescent="0.25">
      <c r="A2486">
        <v>1877</v>
      </c>
      <c r="B2486" s="16">
        <v>43709</v>
      </c>
      <c r="C2486" t="s">
        <v>180</v>
      </c>
      <c r="D2486" s="21">
        <v>4899387.3232500004</v>
      </c>
      <c r="E2486" s="21">
        <v>-4899387.3232500004</v>
      </c>
      <c r="F2486" s="21">
        <v>0</v>
      </c>
    </row>
    <row r="2487" spans="1:6" x14ac:dyDescent="0.25">
      <c r="A2487">
        <v>1877</v>
      </c>
      <c r="B2487" s="16">
        <v>43709</v>
      </c>
      <c r="C2487" t="s">
        <v>39</v>
      </c>
      <c r="D2487" s="21">
        <v>5049009</v>
      </c>
      <c r="E2487" s="21">
        <v>-5049009</v>
      </c>
      <c r="F2487" s="21">
        <v>0</v>
      </c>
    </row>
    <row r="2488" spans="1:6" x14ac:dyDescent="0.25">
      <c r="A2488">
        <v>1877</v>
      </c>
      <c r="B2488" s="16">
        <v>43709</v>
      </c>
      <c r="C2488" t="s">
        <v>192</v>
      </c>
      <c r="D2488" s="21">
        <v>27800000</v>
      </c>
      <c r="E2488" s="21">
        <v>-27800000</v>
      </c>
      <c r="F2488" s="21">
        <v>0</v>
      </c>
    </row>
    <row r="2489" spans="1:6" x14ac:dyDescent="0.25">
      <c r="A2489">
        <v>1877</v>
      </c>
      <c r="B2489" s="16">
        <v>43709</v>
      </c>
      <c r="C2489" t="s">
        <v>178</v>
      </c>
      <c r="D2489" s="21">
        <v>4550175</v>
      </c>
      <c r="E2489" s="21">
        <v>-4550175</v>
      </c>
      <c r="F2489" s="21">
        <v>0</v>
      </c>
    </row>
    <row r="2490" spans="1:6" x14ac:dyDescent="0.25">
      <c r="A2490">
        <v>1877</v>
      </c>
      <c r="B2490" s="16">
        <v>43709</v>
      </c>
      <c r="C2490" t="s">
        <v>12</v>
      </c>
      <c r="D2490" s="21">
        <v>11163096</v>
      </c>
      <c r="E2490" s="21">
        <v>-11163096</v>
      </c>
      <c r="F2490" s="21">
        <v>0</v>
      </c>
    </row>
    <row r="2491" spans="1:6" x14ac:dyDescent="0.25">
      <c r="A2491">
        <v>1877</v>
      </c>
      <c r="B2491" s="16">
        <v>43709</v>
      </c>
      <c r="C2491" t="s">
        <v>176</v>
      </c>
      <c r="D2491" s="21">
        <v>6909525</v>
      </c>
      <c r="E2491" s="21">
        <v>-6909525</v>
      </c>
      <c r="F2491" s="21">
        <v>0</v>
      </c>
    </row>
    <row r="2492" spans="1:6" x14ac:dyDescent="0.25">
      <c r="A2492">
        <v>1877</v>
      </c>
      <c r="B2492" s="16">
        <v>43709</v>
      </c>
      <c r="C2492" t="s">
        <v>182</v>
      </c>
      <c r="D2492" s="21">
        <v>3690632.1209625001</v>
      </c>
      <c r="E2492" s="21">
        <v>-3690632.1209625001</v>
      </c>
      <c r="F2492" s="21">
        <v>0</v>
      </c>
    </row>
    <row r="2493" spans="1:6" x14ac:dyDescent="0.25">
      <c r="A2493">
        <v>1877</v>
      </c>
      <c r="B2493" s="16">
        <v>43709</v>
      </c>
      <c r="C2493" t="s">
        <v>177</v>
      </c>
      <c r="D2493" s="21">
        <v>6909525</v>
      </c>
      <c r="E2493" s="21">
        <v>-6909525</v>
      </c>
      <c r="F2493" s="21">
        <v>0</v>
      </c>
    </row>
    <row r="2494" spans="1:6" x14ac:dyDescent="0.25">
      <c r="A2494">
        <v>1877</v>
      </c>
      <c r="B2494" s="16">
        <v>43739</v>
      </c>
      <c r="C2494" t="s">
        <v>180</v>
      </c>
      <c r="D2494" s="21">
        <v>4899387.3232500004</v>
      </c>
      <c r="E2494" s="21">
        <v>-4899387.3232500004</v>
      </c>
      <c r="F2494" s="21">
        <v>0</v>
      </c>
    </row>
    <row r="2495" spans="1:6" x14ac:dyDescent="0.25">
      <c r="A2495">
        <v>1877</v>
      </c>
      <c r="B2495" s="16">
        <v>43739</v>
      </c>
      <c r="C2495" t="s">
        <v>39</v>
      </c>
      <c r="D2495" s="21">
        <v>5049009</v>
      </c>
      <c r="E2495" s="21">
        <v>-5049009</v>
      </c>
      <c r="F2495" s="21">
        <v>0</v>
      </c>
    </row>
    <row r="2496" spans="1:6" x14ac:dyDescent="0.25">
      <c r="A2496">
        <v>1877</v>
      </c>
      <c r="B2496" s="16">
        <v>43739</v>
      </c>
      <c r="C2496" t="s">
        <v>192</v>
      </c>
      <c r="D2496" s="21">
        <v>27800000</v>
      </c>
      <c r="E2496" s="21">
        <v>-27800000</v>
      </c>
      <c r="F2496" s="21">
        <v>0</v>
      </c>
    </row>
    <row r="2497" spans="1:6" x14ac:dyDescent="0.25">
      <c r="A2497">
        <v>1877</v>
      </c>
      <c r="B2497" s="16">
        <v>43739</v>
      </c>
      <c r="C2497" t="s">
        <v>178</v>
      </c>
      <c r="D2497" s="21">
        <v>4550175</v>
      </c>
      <c r="E2497" s="21">
        <v>-4550175</v>
      </c>
      <c r="F2497" s="21">
        <v>0</v>
      </c>
    </row>
    <row r="2498" spans="1:6" x14ac:dyDescent="0.25">
      <c r="A2498">
        <v>1877</v>
      </c>
      <c r="B2498" s="16">
        <v>43739</v>
      </c>
      <c r="C2498" t="s">
        <v>12</v>
      </c>
      <c r="D2498" s="21">
        <v>11163096</v>
      </c>
      <c r="E2498" s="21">
        <v>-11163096</v>
      </c>
      <c r="F2498" s="21">
        <v>0</v>
      </c>
    </row>
    <row r="2499" spans="1:6" x14ac:dyDescent="0.25">
      <c r="A2499">
        <v>1877</v>
      </c>
      <c r="B2499" s="16">
        <v>43739</v>
      </c>
      <c r="C2499" t="s">
        <v>176</v>
      </c>
      <c r="D2499" s="21">
        <v>6909525</v>
      </c>
      <c r="E2499" s="21">
        <v>-6909525</v>
      </c>
      <c r="F2499" s="21">
        <v>0</v>
      </c>
    </row>
    <row r="2500" spans="1:6" x14ac:dyDescent="0.25">
      <c r="A2500">
        <v>1877</v>
      </c>
      <c r="B2500" s="16">
        <v>43739</v>
      </c>
      <c r="C2500" t="s">
        <v>182</v>
      </c>
      <c r="D2500" s="21">
        <v>3690632.1209625001</v>
      </c>
      <c r="E2500" s="21">
        <v>-3690632.1209625001</v>
      </c>
      <c r="F2500" s="21">
        <v>0</v>
      </c>
    </row>
    <row r="2501" spans="1:6" x14ac:dyDescent="0.25">
      <c r="A2501">
        <v>1877</v>
      </c>
      <c r="B2501" s="16">
        <v>43739</v>
      </c>
      <c r="C2501" t="s">
        <v>177</v>
      </c>
      <c r="D2501" s="21">
        <v>6909525</v>
      </c>
      <c r="E2501" s="21">
        <v>-6909525</v>
      </c>
      <c r="F2501" s="21">
        <v>0</v>
      </c>
    </row>
    <row r="2502" spans="1:6" x14ac:dyDescent="0.25">
      <c r="A2502">
        <v>1877</v>
      </c>
      <c r="B2502" s="16">
        <v>43770</v>
      </c>
      <c r="C2502" t="s">
        <v>180</v>
      </c>
      <c r="D2502" s="21">
        <v>4899387.3232500004</v>
      </c>
      <c r="E2502" s="21">
        <v>-4899387.3232500004</v>
      </c>
      <c r="F2502" s="21">
        <v>0</v>
      </c>
    </row>
    <row r="2503" spans="1:6" x14ac:dyDescent="0.25">
      <c r="A2503">
        <v>1877</v>
      </c>
      <c r="B2503" s="16">
        <v>43770</v>
      </c>
      <c r="C2503" t="s">
        <v>39</v>
      </c>
      <c r="D2503" s="21">
        <v>5049009</v>
      </c>
      <c r="E2503" s="21">
        <v>-5049009</v>
      </c>
      <c r="F2503" s="21">
        <v>0</v>
      </c>
    </row>
    <row r="2504" spans="1:6" x14ac:dyDescent="0.25">
      <c r="A2504">
        <v>1877</v>
      </c>
      <c r="B2504" s="16">
        <v>43770</v>
      </c>
      <c r="C2504" t="s">
        <v>192</v>
      </c>
      <c r="D2504" s="21">
        <v>27800000</v>
      </c>
      <c r="E2504" s="21">
        <v>-27800000</v>
      </c>
      <c r="F2504" s="21">
        <v>0</v>
      </c>
    </row>
    <row r="2505" spans="1:6" x14ac:dyDescent="0.25">
      <c r="A2505">
        <v>1877</v>
      </c>
      <c r="B2505" s="16">
        <v>43770</v>
      </c>
      <c r="C2505" t="s">
        <v>178</v>
      </c>
      <c r="D2505" s="21">
        <v>4550175</v>
      </c>
      <c r="E2505" s="21">
        <v>-4550175</v>
      </c>
      <c r="F2505" s="21">
        <v>0</v>
      </c>
    </row>
    <row r="2506" spans="1:6" x14ac:dyDescent="0.25">
      <c r="A2506">
        <v>1877</v>
      </c>
      <c r="B2506" s="16">
        <v>43770</v>
      </c>
      <c r="C2506" t="s">
        <v>12</v>
      </c>
      <c r="D2506" s="21">
        <v>11163096</v>
      </c>
      <c r="E2506" s="21">
        <v>-11163096</v>
      </c>
      <c r="F2506" s="21">
        <v>0</v>
      </c>
    </row>
    <row r="2507" spans="1:6" x14ac:dyDescent="0.25">
      <c r="A2507">
        <v>1877</v>
      </c>
      <c r="B2507" s="16">
        <v>43770</v>
      </c>
      <c r="C2507" t="s">
        <v>176</v>
      </c>
      <c r="D2507" s="21">
        <v>6909525</v>
      </c>
      <c r="E2507" s="21">
        <v>-6909525</v>
      </c>
      <c r="F2507" s="21">
        <v>0</v>
      </c>
    </row>
    <row r="2508" spans="1:6" x14ac:dyDescent="0.25">
      <c r="A2508">
        <v>1877</v>
      </c>
      <c r="B2508" s="16">
        <v>43800</v>
      </c>
      <c r="C2508" t="s">
        <v>180</v>
      </c>
      <c r="D2508" s="21">
        <v>4899387.3232500004</v>
      </c>
      <c r="E2508" s="21">
        <v>-4899387.3232500004</v>
      </c>
      <c r="F2508" s="21">
        <v>0</v>
      </c>
    </row>
    <row r="2509" spans="1:6" x14ac:dyDescent="0.25">
      <c r="A2509">
        <v>1877</v>
      </c>
      <c r="B2509" s="16">
        <v>43800</v>
      </c>
      <c r="C2509" t="s">
        <v>39</v>
      </c>
      <c r="D2509" s="21">
        <v>5049009</v>
      </c>
      <c r="E2509" s="21">
        <v>-5049009</v>
      </c>
      <c r="F2509" s="21">
        <v>0</v>
      </c>
    </row>
    <row r="2510" spans="1:6" x14ac:dyDescent="0.25">
      <c r="A2510">
        <v>1877</v>
      </c>
      <c r="B2510" s="16">
        <v>43800</v>
      </c>
      <c r="C2510" t="s">
        <v>192</v>
      </c>
      <c r="D2510" s="21">
        <v>27800000</v>
      </c>
      <c r="E2510" s="21">
        <v>-27800000</v>
      </c>
      <c r="F2510" s="21">
        <v>0</v>
      </c>
    </row>
    <row r="2511" spans="1:6" x14ac:dyDescent="0.25">
      <c r="A2511">
        <v>1877</v>
      </c>
      <c r="B2511" s="16">
        <v>43800</v>
      </c>
      <c r="C2511" t="s">
        <v>178</v>
      </c>
      <c r="D2511" s="21">
        <v>4550175</v>
      </c>
      <c r="E2511" s="21">
        <v>-4550175</v>
      </c>
      <c r="F2511" s="21">
        <v>0</v>
      </c>
    </row>
    <row r="2512" spans="1:6" x14ac:dyDescent="0.25">
      <c r="A2512">
        <v>1877</v>
      </c>
      <c r="B2512" s="16">
        <v>43800</v>
      </c>
      <c r="C2512" t="s">
        <v>12</v>
      </c>
      <c r="D2512" s="21">
        <v>11163096</v>
      </c>
      <c r="E2512" s="21">
        <v>-11163096</v>
      </c>
      <c r="F2512" s="21">
        <v>0</v>
      </c>
    </row>
    <row r="2513" spans="1:6" x14ac:dyDescent="0.25">
      <c r="A2513">
        <v>1877</v>
      </c>
      <c r="B2513" s="16">
        <v>43800</v>
      </c>
      <c r="C2513" t="s">
        <v>176</v>
      </c>
      <c r="D2513" s="21">
        <v>6909525</v>
      </c>
      <c r="E2513" s="21">
        <v>-6909525</v>
      </c>
      <c r="F2513" s="21">
        <v>0</v>
      </c>
    </row>
    <row r="2514" spans="1:6" x14ac:dyDescent="0.25">
      <c r="A2514">
        <v>1877</v>
      </c>
      <c r="B2514" s="16">
        <v>43831</v>
      </c>
      <c r="C2514" t="s">
        <v>192</v>
      </c>
      <c r="D2514" s="21">
        <v>27800000</v>
      </c>
      <c r="E2514" s="21">
        <v>-27800000</v>
      </c>
      <c r="F2514" s="21">
        <v>0</v>
      </c>
    </row>
    <row r="2515" spans="1:6" x14ac:dyDescent="0.25">
      <c r="A2515">
        <v>1877</v>
      </c>
      <c r="B2515" s="16">
        <v>43831</v>
      </c>
      <c r="C2515" t="s">
        <v>39</v>
      </c>
      <c r="D2515" s="21">
        <v>5049009</v>
      </c>
      <c r="E2515" s="21">
        <v>-5049009</v>
      </c>
      <c r="F2515" s="21">
        <v>0</v>
      </c>
    </row>
    <row r="2516" spans="1:6" x14ac:dyDescent="0.25">
      <c r="A2516">
        <v>1877</v>
      </c>
      <c r="B2516" s="16">
        <v>43831</v>
      </c>
      <c r="C2516" t="s">
        <v>12</v>
      </c>
      <c r="D2516" s="21">
        <v>11163096</v>
      </c>
      <c r="E2516" s="21">
        <v>-11163096</v>
      </c>
      <c r="F2516" s="21">
        <v>0</v>
      </c>
    </row>
    <row r="2517" spans="1:6" x14ac:dyDescent="0.25">
      <c r="A2517">
        <v>1877</v>
      </c>
      <c r="B2517" s="16">
        <v>43831</v>
      </c>
      <c r="C2517" t="s">
        <v>178</v>
      </c>
      <c r="D2517" s="21">
        <v>4550175</v>
      </c>
      <c r="E2517" s="21">
        <v>-4550175</v>
      </c>
      <c r="F2517" s="21">
        <v>0</v>
      </c>
    </row>
    <row r="2518" spans="1:6" x14ac:dyDescent="0.25">
      <c r="A2518">
        <v>1877</v>
      </c>
      <c r="B2518" s="16">
        <v>43862</v>
      </c>
      <c r="C2518" t="s">
        <v>192</v>
      </c>
      <c r="D2518" s="21">
        <v>27800000</v>
      </c>
      <c r="E2518" s="21">
        <v>-27800000</v>
      </c>
      <c r="F2518" s="21">
        <v>0</v>
      </c>
    </row>
    <row r="2519" spans="1:6" x14ac:dyDescent="0.25">
      <c r="A2519">
        <v>1877</v>
      </c>
      <c r="B2519" s="16">
        <v>43862</v>
      </c>
      <c r="C2519" t="s">
        <v>39</v>
      </c>
      <c r="D2519" s="21">
        <v>5049009</v>
      </c>
      <c r="E2519" s="21">
        <v>-5049009</v>
      </c>
      <c r="F2519" s="21">
        <v>0</v>
      </c>
    </row>
    <row r="2520" spans="1:6" x14ac:dyDescent="0.25">
      <c r="A2520">
        <v>1877</v>
      </c>
      <c r="B2520" s="16">
        <v>43862</v>
      </c>
      <c r="C2520" t="s">
        <v>12</v>
      </c>
      <c r="D2520" s="21">
        <v>11163096</v>
      </c>
      <c r="E2520" s="21">
        <v>-11163096</v>
      </c>
      <c r="F2520" s="21">
        <v>0</v>
      </c>
    </row>
    <row r="2521" spans="1:6" x14ac:dyDescent="0.25">
      <c r="A2521">
        <v>1877</v>
      </c>
      <c r="B2521" s="16">
        <v>43862</v>
      </c>
      <c r="C2521" t="s">
        <v>178</v>
      </c>
      <c r="D2521" s="21">
        <v>4550175</v>
      </c>
      <c r="E2521" s="21">
        <v>-4550175</v>
      </c>
      <c r="F2521" s="21">
        <v>0</v>
      </c>
    </row>
    <row r="2522" spans="1:6" x14ac:dyDescent="0.25">
      <c r="A2522">
        <v>1877</v>
      </c>
      <c r="B2522" s="16">
        <v>43891</v>
      </c>
      <c r="C2522" t="s">
        <v>192</v>
      </c>
      <c r="D2522" s="21">
        <v>27800000</v>
      </c>
      <c r="E2522" s="21">
        <v>-27800000</v>
      </c>
      <c r="F2522" s="21">
        <v>0</v>
      </c>
    </row>
    <row r="2523" spans="1:6" x14ac:dyDescent="0.25">
      <c r="A2523">
        <v>1877</v>
      </c>
      <c r="B2523" s="16">
        <v>43891</v>
      </c>
      <c r="C2523" t="s">
        <v>39</v>
      </c>
      <c r="D2523" s="21">
        <v>5049009</v>
      </c>
      <c r="E2523" s="21">
        <v>-5049009</v>
      </c>
      <c r="F2523" s="21">
        <v>0</v>
      </c>
    </row>
    <row r="2524" spans="1:6" x14ac:dyDescent="0.25">
      <c r="A2524">
        <v>1877</v>
      </c>
      <c r="B2524" s="16">
        <v>43891</v>
      </c>
      <c r="C2524" t="s">
        <v>12</v>
      </c>
      <c r="D2524" s="21">
        <v>11163096</v>
      </c>
      <c r="E2524" s="21">
        <v>-11163096</v>
      </c>
      <c r="F2524" s="21">
        <v>0</v>
      </c>
    </row>
    <row r="2525" spans="1:6" x14ac:dyDescent="0.25">
      <c r="A2525">
        <v>1877</v>
      </c>
      <c r="B2525" s="16">
        <v>43891</v>
      </c>
      <c r="C2525" t="s">
        <v>178</v>
      </c>
      <c r="D2525" s="21">
        <v>4550175</v>
      </c>
      <c r="E2525" s="21">
        <v>-4550175</v>
      </c>
      <c r="F2525" s="21">
        <v>0</v>
      </c>
    </row>
    <row r="2526" spans="1:6" x14ac:dyDescent="0.25">
      <c r="A2526">
        <v>1880</v>
      </c>
      <c r="B2526" s="16">
        <v>43466</v>
      </c>
      <c r="C2526" t="s">
        <v>192</v>
      </c>
      <c r="D2526" s="21">
        <v>9080000</v>
      </c>
      <c r="E2526" s="21">
        <v>-9080000</v>
      </c>
      <c r="F2526" s="21">
        <v>0</v>
      </c>
    </row>
    <row r="2527" spans="1:6" x14ac:dyDescent="0.25">
      <c r="A2527">
        <v>1880</v>
      </c>
      <c r="B2527" s="16">
        <v>43466</v>
      </c>
      <c r="C2527" t="s">
        <v>59</v>
      </c>
      <c r="D2527" s="21">
        <v>3965084.6316681607</v>
      </c>
      <c r="E2527" s="21">
        <v>-3965084.6316681607</v>
      </c>
      <c r="F2527" s="21">
        <v>0</v>
      </c>
    </row>
    <row r="2528" spans="1:6" x14ac:dyDescent="0.25">
      <c r="A2528">
        <v>1880</v>
      </c>
      <c r="B2528" s="16">
        <v>43466</v>
      </c>
      <c r="C2528" t="s">
        <v>35</v>
      </c>
      <c r="D2528" s="21">
        <v>6625633.7117249994</v>
      </c>
      <c r="E2528" s="21">
        <v>-6625633.7117249994</v>
      </c>
      <c r="F2528" s="21">
        <v>0</v>
      </c>
    </row>
    <row r="2529" spans="1:6" x14ac:dyDescent="0.25">
      <c r="A2529">
        <v>1880</v>
      </c>
      <c r="B2529" s="16">
        <v>43466</v>
      </c>
      <c r="C2529" t="s">
        <v>19</v>
      </c>
      <c r="D2529" s="21">
        <v>2823017.4132300001</v>
      </c>
      <c r="E2529" s="21">
        <v>-2823017.4132300001</v>
      </c>
      <c r="F2529" s="21">
        <v>0</v>
      </c>
    </row>
    <row r="2530" spans="1:6" x14ac:dyDescent="0.25">
      <c r="A2530">
        <v>1880</v>
      </c>
      <c r="B2530" s="16">
        <v>43466</v>
      </c>
      <c r="C2530" t="s">
        <v>26</v>
      </c>
      <c r="D2530" s="21">
        <v>6088446</v>
      </c>
      <c r="E2530" s="21">
        <v>-6088446</v>
      </c>
      <c r="F2530" s="21">
        <v>0</v>
      </c>
    </row>
    <row r="2531" spans="1:6" x14ac:dyDescent="0.25">
      <c r="A2531">
        <v>1880</v>
      </c>
      <c r="B2531" s="16">
        <v>43497</v>
      </c>
      <c r="C2531" t="s">
        <v>192</v>
      </c>
      <c r="D2531" s="21">
        <v>9080000</v>
      </c>
      <c r="E2531" s="21">
        <v>-9080000</v>
      </c>
      <c r="F2531" s="21">
        <v>0</v>
      </c>
    </row>
    <row r="2532" spans="1:6" x14ac:dyDescent="0.25">
      <c r="A2532">
        <v>1880</v>
      </c>
      <c r="B2532" s="16">
        <v>43497</v>
      </c>
      <c r="C2532" t="s">
        <v>59</v>
      </c>
      <c r="D2532" s="21">
        <v>3965084.6316681607</v>
      </c>
      <c r="E2532" s="21">
        <v>-3965084.6316681607</v>
      </c>
      <c r="F2532" s="21">
        <v>0</v>
      </c>
    </row>
    <row r="2533" spans="1:6" x14ac:dyDescent="0.25">
      <c r="A2533">
        <v>1880</v>
      </c>
      <c r="B2533" s="16">
        <v>43497</v>
      </c>
      <c r="C2533" t="s">
        <v>35</v>
      </c>
      <c r="D2533" s="21">
        <v>6625633.7117249994</v>
      </c>
      <c r="E2533" s="21">
        <v>-6625633.7117249994</v>
      </c>
      <c r="F2533" s="21">
        <v>0</v>
      </c>
    </row>
    <row r="2534" spans="1:6" x14ac:dyDescent="0.25">
      <c r="A2534">
        <v>1880</v>
      </c>
      <c r="B2534" s="16">
        <v>43497</v>
      </c>
      <c r="C2534" t="s">
        <v>19</v>
      </c>
      <c r="D2534" s="21">
        <v>2823017.4132300001</v>
      </c>
      <c r="E2534" s="21">
        <v>-2823017.4132300001</v>
      </c>
      <c r="F2534" s="21">
        <v>0</v>
      </c>
    </row>
    <row r="2535" spans="1:6" x14ac:dyDescent="0.25">
      <c r="A2535">
        <v>1880</v>
      </c>
      <c r="B2535" s="16">
        <v>43497</v>
      </c>
      <c r="C2535" t="s">
        <v>26</v>
      </c>
      <c r="D2535" s="21">
        <v>6088446</v>
      </c>
      <c r="E2535" s="21">
        <v>-6088446</v>
      </c>
      <c r="F2535" s="21">
        <v>0</v>
      </c>
    </row>
    <row r="2536" spans="1:6" x14ac:dyDescent="0.25">
      <c r="A2536">
        <v>1880</v>
      </c>
      <c r="B2536" s="16">
        <v>43525</v>
      </c>
      <c r="C2536" t="s">
        <v>192</v>
      </c>
      <c r="D2536" s="21">
        <v>9080000</v>
      </c>
      <c r="E2536" s="21">
        <v>-9080000</v>
      </c>
      <c r="F2536" s="21">
        <v>0</v>
      </c>
    </row>
    <row r="2537" spans="1:6" x14ac:dyDescent="0.25">
      <c r="A2537">
        <v>1880</v>
      </c>
      <c r="B2537" s="16">
        <v>43525</v>
      </c>
      <c r="C2537" t="s">
        <v>59</v>
      </c>
      <c r="D2537" s="21">
        <v>3965084.6316681607</v>
      </c>
      <c r="E2537" s="21">
        <v>-3965084.6316681607</v>
      </c>
      <c r="F2537" s="21">
        <v>0</v>
      </c>
    </row>
    <row r="2538" spans="1:6" x14ac:dyDescent="0.25">
      <c r="A2538">
        <v>1880</v>
      </c>
      <c r="B2538" s="16">
        <v>43525</v>
      </c>
      <c r="C2538" t="s">
        <v>35</v>
      </c>
      <c r="D2538" s="21">
        <v>3198581.6105249994</v>
      </c>
      <c r="E2538" s="21">
        <v>-3198581.6105249994</v>
      </c>
      <c r="F2538" s="21">
        <v>0</v>
      </c>
    </row>
    <row r="2539" spans="1:6" x14ac:dyDescent="0.25">
      <c r="A2539">
        <v>1880</v>
      </c>
      <c r="B2539" s="16">
        <v>43525</v>
      </c>
      <c r="C2539" t="s">
        <v>19</v>
      </c>
      <c r="D2539" s="21">
        <v>2823017.4132300001</v>
      </c>
      <c r="E2539" s="21">
        <v>-2823017.4132300001</v>
      </c>
      <c r="F2539" s="21">
        <v>0</v>
      </c>
    </row>
    <row r="2540" spans="1:6" x14ac:dyDescent="0.25">
      <c r="A2540">
        <v>1880</v>
      </c>
      <c r="B2540" s="16">
        <v>43525</v>
      </c>
      <c r="C2540" t="s">
        <v>26</v>
      </c>
      <c r="D2540" s="21">
        <v>6088446</v>
      </c>
      <c r="E2540" s="21">
        <v>-6088446</v>
      </c>
      <c r="F2540" s="21">
        <v>0</v>
      </c>
    </row>
    <row r="2541" spans="1:6" x14ac:dyDescent="0.25">
      <c r="A2541">
        <v>1880</v>
      </c>
      <c r="B2541" s="16">
        <v>43556</v>
      </c>
      <c r="C2541" t="s">
        <v>192</v>
      </c>
      <c r="D2541" s="21">
        <v>9080000</v>
      </c>
      <c r="E2541" s="21">
        <v>-9080000</v>
      </c>
      <c r="F2541" s="21">
        <v>0</v>
      </c>
    </row>
    <row r="2542" spans="1:6" x14ac:dyDescent="0.25">
      <c r="A2542">
        <v>1880</v>
      </c>
      <c r="B2542" s="16">
        <v>43556</v>
      </c>
      <c r="C2542" t="s">
        <v>59</v>
      </c>
      <c r="D2542" s="21">
        <v>3965084.6316681607</v>
      </c>
      <c r="E2542" s="21">
        <v>-3965084.6316681607</v>
      </c>
      <c r="F2542" s="21">
        <v>0</v>
      </c>
    </row>
    <row r="2543" spans="1:6" x14ac:dyDescent="0.25">
      <c r="A2543">
        <v>1880</v>
      </c>
      <c r="B2543" s="16">
        <v>43556</v>
      </c>
      <c r="C2543" t="s">
        <v>35</v>
      </c>
      <c r="D2543" s="21">
        <v>3198581.6105249994</v>
      </c>
      <c r="E2543" s="21">
        <v>-3198581.6105249994</v>
      </c>
      <c r="F2543" s="21">
        <v>0</v>
      </c>
    </row>
    <row r="2544" spans="1:6" x14ac:dyDescent="0.25">
      <c r="A2544">
        <v>1880</v>
      </c>
      <c r="B2544" s="16">
        <v>43556</v>
      </c>
      <c r="C2544" t="s">
        <v>19</v>
      </c>
      <c r="D2544" s="21">
        <v>2823017.4132300001</v>
      </c>
      <c r="E2544" s="21">
        <v>-2823017.4132300001</v>
      </c>
      <c r="F2544" s="21">
        <v>0</v>
      </c>
    </row>
    <row r="2545" spans="1:6" x14ac:dyDescent="0.25">
      <c r="A2545">
        <v>1880</v>
      </c>
      <c r="B2545" s="16">
        <v>43556</v>
      </c>
      <c r="C2545" t="s">
        <v>26</v>
      </c>
      <c r="D2545" s="21">
        <v>6088446</v>
      </c>
      <c r="E2545" s="21">
        <v>-6088446</v>
      </c>
      <c r="F2545" s="21">
        <v>0</v>
      </c>
    </row>
    <row r="2546" spans="1:6" x14ac:dyDescent="0.25">
      <c r="A2546">
        <v>1880</v>
      </c>
      <c r="B2546" s="16">
        <v>43586</v>
      </c>
      <c r="C2546" t="s">
        <v>192</v>
      </c>
      <c r="D2546" s="21">
        <v>9080000</v>
      </c>
      <c r="E2546" s="21">
        <v>-9080000</v>
      </c>
      <c r="F2546" s="21">
        <v>0</v>
      </c>
    </row>
    <row r="2547" spans="1:6" x14ac:dyDescent="0.25">
      <c r="A2547">
        <v>1880</v>
      </c>
      <c r="B2547" s="16">
        <v>43586</v>
      </c>
      <c r="C2547" t="s">
        <v>59</v>
      </c>
      <c r="D2547" s="21">
        <v>3965084.6316681607</v>
      </c>
      <c r="E2547" s="21">
        <v>-3965084.6316681607</v>
      </c>
      <c r="F2547" s="21">
        <v>0</v>
      </c>
    </row>
    <row r="2548" spans="1:6" x14ac:dyDescent="0.25">
      <c r="A2548">
        <v>1880</v>
      </c>
      <c r="B2548" s="16">
        <v>43586</v>
      </c>
      <c r="C2548" t="s">
        <v>26</v>
      </c>
      <c r="D2548" s="21">
        <v>6088446</v>
      </c>
      <c r="E2548" s="21">
        <v>-6088446</v>
      </c>
      <c r="F2548" s="21">
        <v>0</v>
      </c>
    </row>
    <row r="2549" spans="1:6" x14ac:dyDescent="0.25">
      <c r="A2549">
        <v>1880</v>
      </c>
      <c r="B2549" s="16">
        <v>43617</v>
      </c>
      <c r="C2549" t="s">
        <v>192</v>
      </c>
      <c r="D2549" s="21">
        <v>9080000</v>
      </c>
      <c r="E2549" s="21">
        <v>-9080000</v>
      </c>
      <c r="F2549" s="21">
        <v>0</v>
      </c>
    </row>
    <row r="2550" spans="1:6" x14ac:dyDescent="0.25">
      <c r="A2550">
        <v>1880</v>
      </c>
      <c r="B2550" s="16">
        <v>43617</v>
      </c>
      <c r="C2550" t="s">
        <v>26</v>
      </c>
      <c r="D2550" s="21">
        <v>6088446</v>
      </c>
      <c r="E2550" s="21">
        <v>-6088446</v>
      </c>
      <c r="F2550" s="21">
        <v>0</v>
      </c>
    </row>
    <row r="2551" spans="1:6" x14ac:dyDescent="0.25">
      <c r="A2551">
        <v>1881</v>
      </c>
      <c r="B2551" s="16">
        <v>43466</v>
      </c>
      <c r="C2551" t="s">
        <v>135</v>
      </c>
      <c r="D2551" s="21">
        <v>3981406.9049999998</v>
      </c>
      <c r="E2551" s="21">
        <v>-3981406.9049999998</v>
      </c>
      <c r="F2551" s="21">
        <v>0</v>
      </c>
    </row>
    <row r="2552" spans="1:6" x14ac:dyDescent="0.25">
      <c r="A2552">
        <v>1881</v>
      </c>
      <c r="B2552" s="16">
        <v>43466</v>
      </c>
      <c r="C2552" t="s">
        <v>192</v>
      </c>
      <c r="D2552" s="21">
        <v>8200000</v>
      </c>
      <c r="E2552" s="21">
        <v>-8200000</v>
      </c>
      <c r="F2552" s="21">
        <v>0</v>
      </c>
    </row>
    <row r="2553" spans="1:6" x14ac:dyDescent="0.25">
      <c r="A2553">
        <v>1881</v>
      </c>
      <c r="B2553" s="16">
        <v>43466</v>
      </c>
      <c r="C2553" t="s">
        <v>119</v>
      </c>
      <c r="D2553" s="21">
        <v>6549894.2250000006</v>
      </c>
      <c r="E2553" s="21">
        <v>-6549894.2250000006</v>
      </c>
      <c r="F2553" s="21">
        <v>0</v>
      </c>
    </row>
    <row r="2554" spans="1:6" x14ac:dyDescent="0.25">
      <c r="A2554">
        <v>1881</v>
      </c>
      <c r="B2554" s="16">
        <v>43497</v>
      </c>
      <c r="C2554" t="s">
        <v>135</v>
      </c>
      <c r="D2554" s="21">
        <v>3981406.9049999998</v>
      </c>
      <c r="E2554" s="21">
        <v>-3981406.9049999998</v>
      </c>
      <c r="F2554" s="21">
        <v>0</v>
      </c>
    </row>
    <row r="2555" spans="1:6" x14ac:dyDescent="0.25">
      <c r="A2555">
        <v>1881</v>
      </c>
      <c r="B2555" s="16">
        <v>43497</v>
      </c>
      <c r="C2555" t="s">
        <v>192</v>
      </c>
      <c r="D2555" s="21">
        <v>8200000</v>
      </c>
      <c r="E2555" s="21">
        <v>-8200000</v>
      </c>
      <c r="F2555" s="21">
        <v>0</v>
      </c>
    </row>
    <row r="2556" spans="1:6" x14ac:dyDescent="0.25">
      <c r="A2556">
        <v>1881</v>
      </c>
      <c r="B2556" s="16">
        <v>43497</v>
      </c>
      <c r="C2556" t="s">
        <v>119</v>
      </c>
      <c r="D2556" s="21">
        <v>6549894.2250000006</v>
      </c>
      <c r="E2556" s="21">
        <v>-6549894.2250000006</v>
      </c>
      <c r="F2556" s="21">
        <v>0</v>
      </c>
    </row>
    <row r="2557" spans="1:6" x14ac:dyDescent="0.25">
      <c r="A2557">
        <v>1881</v>
      </c>
      <c r="B2557" s="16">
        <v>43525</v>
      </c>
      <c r="C2557" t="s">
        <v>135</v>
      </c>
      <c r="D2557" s="21">
        <v>3981406.9049999998</v>
      </c>
      <c r="E2557" s="21">
        <v>-3981406.9049999998</v>
      </c>
      <c r="F2557" s="21">
        <v>0</v>
      </c>
    </row>
    <row r="2558" spans="1:6" x14ac:dyDescent="0.25">
      <c r="A2558">
        <v>1881</v>
      </c>
      <c r="B2558" s="16">
        <v>43525</v>
      </c>
      <c r="C2558" t="s">
        <v>192</v>
      </c>
      <c r="D2558" s="21">
        <v>8200000</v>
      </c>
      <c r="E2558" s="21">
        <v>-8200000</v>
      </c>
      <c r="F2558" s="21">
        <v>0</v>
      </c>
    </row>
    <row r="2559" spans="1:6" x14ac:dyDescent="0.25">
      <c r="A2559">
        <v>1881</v>
      </c>
      <c r="B2559" s="16">
        <v>43525</v>
      </c>
      <c r="C2559" t="s">
        <v>119</v>
      </c>
      <c r="D2559" s="21">
        <v>6549894.2250000006</v>
      </c>
      <c r="E2559" s="21">
        <v>-6549894.2250000006</v>
      </c>
      <c r="F2559" s="21">
        <v>0</v>
      </c>
    </row>
    <row r="2560" spans="1:6" x14ac:dyDescent="0.25">
      <c r="A2560">
        <v>1881</v>
      </c>
      <c r="B2560" s="16">
        <v>43556</v>
      </c>
      <c r="C2560" t="s">
        <v>135</v>
      </c>
      <c r="D2560" s="21">
        <v>3981406.9049999998</v>
      </c>
      <c r="E2560" s="21">
        <v>-3981406.9049999998</v>
      </c>
      <c r="F2560" s="21">
        <v>0</v>
      </c>
    </row>
    <row r="2561" spans="1:6" x14ac:dyDescent="0.25">
      <c r="A2561">
        <v>1881</v>
      </c>
      <c r="B2561" s="16">
        <v>43556</v>
      </c>
      <c r="C2561" t="s">
        <v>192</v>
      </c>
      <c r="D2561" s="21">
        <v>8200000</v>
      </c>
      <c r="E2561" s="21">
        <v>-8200000</v>
      </c>
      <c r="F2561" s="21">
        <v>0</v>
      </c>
    </row>
    <row r="2562" spans="1:6" x14ac:dyDescent="0.25">
      <c r="A2562">
        <v>1881</v>
      </c>
      <c r="B2562" s="16">
        <v>43556</v>
      </c>
      <c r="C2562" t="s">
        <v>119</v>
      </c>
      <c r="D2562" s="21">
        <v>6549894.2250000006</v>
      </c>
      <c r="E2562" s="21">
        <v>-6549894.2250000006</v>
      </c>
      <c r="F2562" s="21">
        <v>0</v>
      </c>
    </row>
    <row r="2563" spans="1:6" x14ac:dyDescent="0.25">
      <c r="A2563">
        <v>1881</v>
      </c>
      <c r="B2563" s="16">
        <v>43586</v>
      </c>
      <c r="C2563" t="s">
        <v>135</v>
      </c>
      <c r="D2563" s="21">
        <v>3981406.9049999998</v>
      </c>
      <c r="E2563" s="21">
        <v>-3981406.9049999998</v>
      </c>
      <c r="F2563" s="21">
        <v>0</v>
      </c>
    </row>
    <row r="2564" spans="1:6" x14ac:dyDescent="0.25">
      <c r="A2564">
        <v>1881</v>
      </c>
      <c r="B2564" s="16">
        <v>43586</v>
      </c>
      <c r="C2564" t="s">
        <v>192</v>
      </c>
      <c r="D2564" s="21">
        <v>8200000</v>
      </c>
      <c r="E2564" s="21">
        <v>-8200000</v>
      </c>
      <c r="F2564" s="21">
        <v>0</v>
      </c>
    </row>
    <row r="2565" spans="1:6" x14ac:dyDescent="0.25">
      <c r="A2565">
        <v>1881</v>
      </c>
      <c r="B2565" s="16">
        <v>43586</v>
      </c>
      <c r="C2565" t="s">
        <v>119</v>
      </c>
      <c r="D2565" s="21">
        <v>6549894.2250000006</v>
      </c>
      <c r="E2565" s="21">
        <v>-6549894.2250000006</v>
      </c>
      <c r="F2565" s="21">
        <v>0</v>
      </c>
    </row>
    <row r="2566" spans="1:6" x14ac:dyDescent="0.25">
      <c r="A2566">
        <v>1881</v>
      </c>
      <c r="B2566" s="16">
        <v>43617</v>
      </c>
      <c r="C2566" t="s">
        <v>135</v>
      </c>
      <c r="D2566" s="21">
        <v>3981406.9049999998</v>
      </c>
      <c r="E2566" s="21">
        <v>-3981406.9049999998</v>
      </c>
      <c r="F2566" s="21">
        <v>0</v>
      </c>
    </row>
    <row r="2567" spans="1:6" x14ac:dyDescent="0.25">
      <c r="A2567">
        <v>1881</v>
      </c>
      <c r="B2567" s="16">
        <v>43617</v>
      </c>
      <c r="C2567" t="s">
        <v>192</v>
      </c>
      <c r="D2567" s="21">
        <v>8200000</v>
      </c>
      <c r="E2567" s="21">
        <v>-8200000</v>
      </c>
      <c r="F2567" s="21">
        <v>0</v>
      </c>
    </row>
    <row r="2568" spans="1:6" x14ac:dyDescent="0.25">
      <c r="A2568">
        <v>1881</v>
      </c>
      <c r="B2568" s="16">
        <v>43617</v>
      </c>
      <c r="C2568" t="s">
        <v>119</v>
      </c>
      <c r="D2568" s="21">
        <v>6549894.2250000006</v>
      </c>
      <c r="E2568" s="21">
        <v>-6549894.2250000006</v>
      </c>
      <c r="F2568" s="21">
        <v>0</v>
      </c>
    </row>
    <row r="2569" spans="1:6" x14ac:dyDescent="0.25">
      <c r="A2569">
        <v>1881</v>
      </c>
      <c r="B2569" s="16">
        <v>43647</v>
      </c>
      <c r="C2569" t="s">
        <v>135</v>
      </c>
      <c r="D2569" s="21">
        <v>3981406.9049999998</v>
      </c>
      <c r="E2569" s="21">
        <v>-3981406.9049999998</v>
      </c>
      <c r="F2569" s="21">
        <v>0</v>
      </c>
    </row>
    <row r="2570" spans="1:6" x14ac:dyDescent="0.25">
      <c r="A2570">
        <v>1881</v>
      </c>
      <c r="B2570" s="16">
        <v>43647</v>
      </c>
      <c r="C2570" t="s">
        <v>192</v>
      </c>
      <c r="D2570" s="21">
        <v>8200000</v>
      </c>
      <c r="E2570" s="21">
        <v>-8200000</v>
      </c>
      <c r="F2570" s="21">
        <v>0</v>
      </c>
    </row>
    <row r="2571" spans="1:6" x14ac:dyDescent="0.25">
      <c r="A2571">
        <v>1881</v>
      </c>
      <c r="B2571" s="16">
        <v>43647</v>
      </c>
      <c r="C2571" t="s">
        <v>119</v>
      </c>
      <c r="D2571" s="21">
        <v>6549894.2250000006</v>
      </c>
      <c r="E2571" s="21">
        <v>-6549894.2250000006</v>
      </c>
      <c r="F2571" s="21">
        <v>0</v>
      </c>
    </row>
    <row r="2572" spans="1:6" x14ac:dyDescent="0.25">
      <c r="A2572">
        <v>1881</v>
      </c>
      <c r="B2572" s="16">
        <v>43678</v>
      </c>
      <c r="C2572" t="s">
        <v>135</v>
      </c>
      <c r="D2572" s="21">
        <v>3981406.9049999998</v>
      </c>
      <c r="E2572" s="21">
        <v>-3981406.9049999998</v>
      </c>
      <c r="F2572" s="21">
        <v>0</v>
      </c>
    </row>
    <row r="2573" spans="1:6" x14ac:dyDescent="0.25">
      <c r="A2573">
        <v>1881</v>
      </c>
      <c r="B2573" s="16">
        <v>43678</v>
      </c>
      <c r="C2573" t="s">
        <v>192</v>
      </c>
      <c r="D2573" s="21">
        <v>8200000</v>
      </c>
      <c r="E2573" s="21">
        <v>-8200000</v>
      </c>
      <c r="F2573" s="21">
        <v>0</v>
      </c>
    </row>
    <row r="2574" spans="1:6" x14ac:dyDescent="0.25">
      <c r="A2574">
        <v>1881</v>
      </c>
      <c r="B2574" s="16">
        <v>43678</v>
      </c>
      <c r="C2574" t="s">
        <v>119</v>
      </c>
      <c r="D2574" s="21">
        <v>6549894.2250000006</v>
      </c>
      <c r="E2574" s="21">
        <v>-6549894.2250000006</v>
      </c>
      <c r="F2574" s="21">
        <v>0</v>
      </c>
    </row>
    <row r="2575" spans="1:6" x14ac:dyDescent="0.25">
      <c r="A2575">
        <v>1881</v>
      </c>
      <c r="B2575" s="16">
        <v>43709</v>
      </c>
      <c r="C2575" t="s">
        <v>135</v>
      </c>
      <c r="D2575" s="21">
        <v>3981406.9049999998</v>
      </c>
      <c r="E2575" s="21">
        <v>-3981406.9049999998</v>
      </c>
      <c r="F2575" s="21">
        <v>0</v>
      </c>
    </row>
    <row r="2576" spans="1:6" x14ac:dyDescent="0.25">
      <c r="A2576">
        <v>1881</v>
      </c>
      <c r="B2576" s="16">
        <v>43709</v>
      </c>
      <c r="C2576" t="s">
        <v>192</v>
      </c>
      <c r="D2576" s="21">
        <v>8200000</v>
      </c>
      <c r="E2576" s="21">
        <v>-8200000</v>
      </c>
      <c r="F2576" s="21">
        <v>0</v>
      </c>
    </row>
    <row r="2577" spans="1:6" x14ac:dyDescent="0.25">
      <c r="A2577">
        <v>1881</v>
      </c>
      <c r="B2577" s="16">
        <v>43709</v>
      </c>
      <c r="C2577" t="s">
        <v>119</v>
      </c>
      <c r="D2577" s="21">
        <v>6549894.2250000006</v>
      </c>
      <c r="E2577" s="21">
        <v>-6549894.2250000006</v>
      </c>
      <c r="F2577" s="21">
        <v>0</v>
      </c>
    </row>
    <row r="2578" spans="1:6" x14ac:dyDescent="0.25">
      <c r="A2578">
        <v>1881</v>
      </c>
      <c r="B2578" s="16">
        <v>43739</v>
      </c>
      <c r="C2578" t="s">
        <v>135</v>
      </c>
      <c r="D2578" s="21">
        <v>3981406.9049999998</v>
      </c>
      <c r="E2578" s="21">
        <v>-3981406.9049999998</v>
      </c>
      <c r="F2578" s="21">
        <v>0</v>
      </c>
    </row>
    <row r="2579" spans="1:6" x14ac:dyDescent="0.25">
      <c r="A2579">
        <v>1881</v>
      </c>
      <c r="B2579" s="16">
        <v>43739</v>
      </c>
      <c r="C2579" t="s">
        <v>192</v>
      </c>
      <c r="D2579" s="21">
        <v>8200000</v>
      </c>
      <c r="E2579" s="21">
        <v>-8200000</v>
      </c>
      <c r="F2579" s="21">
        <v>0</v>
      </c>
    </row>
    <row r="2580" spans="1:6" x14ac:dyDescent="0.25">
      <c r="A2580">
        <v>1881</v>
      </c>
      <c r="B2580" s="16">
        <v>43739</v>
      </c>
      <c r="C2580" t="s">
        <v>119</v>
      </c>
      <c r="D2580" s="21">
        <v>6549894.2250000006</v>
      </c>
      <c r="E2580" s="21">
        <v>-6549894.2250000006</v>
      </c>
      <c r="F2580" s="21">
        <v>0</v>
      </c>
    </row>
    <row r="2581" spans="1:6" x14ac:dyDescent="0.25">
      <c r="A2581">
        <v>1881</v>
      </c>
      <c r="B2581" s="16">
        <v>43770</v>
      </c>
      <c r="C2581" t="s">
        <v>135</v>
      </c>
      <c r="D2581" s="21">
        <v>3981406.9049999998</v>
      </c>
      <c r="E2581" s="21">
        <v>-3981406.9049999998</v>
      </c>
      <c r="F2581" s="21">
        <v>0</v>
      </c>
    </row>
    <row r="2582" spans="1:6" x14ac:dyDescent="0.25">
      <c r="A2582">
        <v>1881</v>
      </c>
      <c r="B2582" s="16">
        <v>43770</v>
      </c>
      <c r="C2582" t="s">
        <v>192</v>
      </c>
      <c r="D2582" s="21">
        <v>8200000</v>
      </c>
      <c r="E2582" s="21">
        <v>-8200000</v>
      </c>
      <c r="F2582" s="21">
        <v>0</v>
      </c>
    </row>
    <row r="2583" spans="1:6" x14ac:dyDescent="0.25">
      <c r="A2583">
        <v>1881</v>
      </c>
      <c r="B2583" s="16">
        <v>43770</v>
      </c>
      <c r="C2583" t="s">
        <v>119</v>
      </c>
      <c r="D2583" s="21">
        <v>6549894.2250000006</v>
      </c>
      <c r="E2583" s="21">
        <v>-6549894.2250000006</v>
      </c>
      <c r="F2583" s="21">
        <v>0</v>
      </c>
    </row>
    <row r="2584" spans="1:6" x14ac:dyDescent="0.25">
      <c r="A2584">
        <v>1881</v>
      </c>
      <c r="B2584" s="16">
        <v>43800</v>
      </c>
      <c r="C2584" t="s">
        <v>135</v>
      </c>
      <c r="D2584" s="21">
        <v>3981406.9049999998</v>
      </c>
      <c r="E2584" s="21">
        <v>-3981406.9049999998</v>
      </c>
      <c r="F2584" s="21">
        <v>0</v>
      </c>
    </row>
    <row r="2585" spans="1:6" x14ac:dyDescent="0.25">
      <c r="A2585">
        <v>1881</v>
      </c>
      <c r="B2585" s="16">
        <v>43800</v>
      </c>
      <c r="C2585" t="s">
        <v>192</v>
      </c>
      <c r="D2585" s="21">
        <v>8200000</v>
      </c>
      <c r="E2585" s="21">
        <v>-8200000</v>
      </c>
      <c r="F2585" s="21">
        <v>0</v>
      </c>
    </row>
    <row r="2586" spans="1:6" x14ac:dyDescent="0.25">
      <c r="A2586">
        <v>1881</v>
      </c>
      <c r="B2586" s="16">
        <v>43800</v>
      </c>
      <c r="C2586" t="s">
        <v>119</v>
      </c>
      <c r="D2586" s="21">
        <v>6549894.2250000006</v>
      </c>
      <c r="E2586" s="21">
        <v>-6549894.2250000006</v>
      </c>
      <c r="F2586" s="21">
        <v>0</v>
      </c>
    </row>
    <row r="2587" spans="1:6" x14ac:dyDescent="0.25">
      <c r="A2587">
        <v>1881</v>
      </c>
      <c r="B2587" s="16">
        <v>43831</v>
      </c>
      <c r="C2587" t="s">
        <v>135</v>
      </c>
      <c r="D2587" s="21">
        <v>3981406.9049999998</v>
      </c>
      <c r="E2587" s="21">
        <v>-3981406.9049999998</v>
      </c>
      <c r="F2587" s="21">
        <v>0</v>
      </c>
    </row>
    <row r="2588" spans="1:6" x14ac:dyDescent="0.25">
      <c r="A2588">
        <v>1881</v>
      </c>
      <c r="B2588" s="16">
        <v>43831</v>
      </c>
      <c r="C2588" t="s">
        <v>192</v>
      </c>
      <c r="D2588" s="21">
        <v>8200000</v>
      </c>
      <c r="E2588" s="21">
        <v>-8200000</v>
      </c>
      <c r="F2588" s="21">
        <v>0</v>
      </c>
    </row>
    <row r="2589" spans="1:6" x14ac:dyDescent="0.25">
      <c r="A2589">
        <v>1881</v>
      </c>
      <c r="B2589" s="16">
        <v>43831</v>
      </c>
      <c r="C2589" t="s">
        <v>119</v>
      </c>
      <c r="D2589" s="21">
        <v>6549894.2250000006</v>
      </c>
      <c r="E2589" s="21">
        <v>-6549894.2250000006</v>
      </c>
      <c r="F2589" s="21">
        <v>0</v>
      </c>
    </row>
    <row r="2590" spans="1:6" x14ac:dyDescent="0.25">
      <c r="A2590">
        <v>1881</v>
      </c>
      <c r="B2590" s="16">
        <v>43862</v>
      </c>
      <c r="C2590" t="s">
        <v>135</v>
      </c>
      <c r="D2590" s="21">
        <v>3981406.9049999998</v>
      </c>
      <c r="E2590" s="21">
        <v>-3981406.9049999998</v>
      </c>
      <c r="F2590" s="21">
        <v>0</v>
      </c>
    </row>
    <row r="2591" spans="1:6" x14ac:dyDescent="0.25">
      <c r="A2591">
        <v>1881</v>
      </c>
      <c r="B2591" s="16">
        <v>43862</v>
      </c>
      <c r="C2591" t="s">
        <v>192</v>
      </c>
      <c r="D2591" s="21">
        <v>8200000</v>
      </c>
      <c r="E2591" s="21">
        <v>-8200000</v>
      </c>
      <c r="F2591" s="21">
        <v>0</v>
      </c>
    </row>
    <row r="2592" spans="1:6" x14ac:dyDescent="0.25">
      <c r="A2592">
        <v>1881</v>
      </c>
      <c r="B2592" s="16">
        <v>43862</v>
      </c>
      <c r="C2592" t="s">
        <v>119</v>
      </c>
      <c r="D2592" s="21">
        <v>6549894.2250000006</v>
      </c>
      <c r="E2592" s="21">
        <v>-6549894.2250000006</v>
      </c>
      <c r="F2592" s="21">
        <v>0</v>
      </c>
    </row>
    <row r="2593" spans="1:6" x14ac:dyDescent="0.25">
      <c r="A2593">
        <v>1881</v>
      </c>
      <c r="B2593" s="16">
        <v>43891</v>
      </c>
      <c r="C2593" t="s">
        <v>135</v>
      </c>
      <c r="D2593" s="21">
        <v>3981406.9049999998</v>
      </c>
      <c r="E2593" s="21">
        <v>-3981406.9049999998</v>
      </c>
      <c r="F2593" s="21">
        <v>0</v>
      </c>
    </row>
    <row r="2594" spans="1:6" x14ac:dyDescent="0.25">
      <c r="A2594">
        <v>1881</v>
      </c>
      <c r="B2594" s="16">
        <v>43891</v>
      </c>
      <c r="C2594" t="s">
        <v>192</v>
      </c>
      <c r="D2594" s="21">
        <v>8200000</v>
      </c>
      <c r="E2594" s="21">
        <v>-8200000</v>
      </c>
      <c r="F2594" s="21">
        <v>0</v>
      </c>
    </row>
    <row r="2595" spans="1:6" x14ac:dyDescent="0.25">
      <c r="A2595">
        <v>1881</v>
      </c>
      <c r="B2595" s="16">
        <v>43891</v>
      </c>
      <c r="C2595" t="s">
        <v>119</v>
      </c>
      <c r="D2595" s="21">
        <v>6549894.2250000006</v>
      </c>
      <c r="E2595" s="21">
        <v>-6549894.2250000006</v>
      </c>
      <c r="F2595" s="21">
        <v>0</v>
      </c>
    </row>
    <row r="2596" spans="1:6" x14ac:dyDescent="0.25">
      <c r="A2596">
        <v>1881</v>
      </c>
      <c r="B2596" s="16">
        <v>43922</v>
      </c>
      <c r="C2596" t="s">
        <v>135</v>
      </c>
      <c r="D2596" s="21">
        <v>3981406.9049999998</v>
      </c>
      <c r="E2596" s="21">
        <v>-3981406.9049999998</v>
      </c>
      <c r="F2596" s="21">
        <v>0</v>
      </c>
    </row>
    <row r="2597" spans="1:6" x14ac:dyDescent="0.25">
      <c r="A2597">
        <v>1881</v>
      </c>
      <c r="B2597" s="16">
        <v>43922</v>
      </c>
      <c r="C2597" t="s">
        <v>192</v>
      </c>
      <c r="D2597" s="21">
        <v>8200000</v>
      </c>
      <c r="E2597" s="21">
        <v>-8200000</v>
      </c>
      <c r="F2597" s="21">
        <v>0</v>
      </c>
    </row>
    <row r="2598" spans="1:6" x14ac:dyDescent="0.25">
      <c r="A2598">
        <v>1881</v>
      </c>
      <c r="B2598" s="16">
        <v>43922</v>
      </c>
      <c r="C2598" t="s">
        <v>119</v>
      </c>
      <c r="D2598" s="21">
        <v>6549894.2250000006</v>
      </c>
      <c r="E2598" s="21">
        <v>-6549894.2250000006</v>
      </c>
      <c r="F2598" s="21">
        <v>0</v>
      </c>
    </row>
    <row r="2599" spans="1:6" x14ac:dyDescent="0.25">
      <c r="A2599">
        <v>1881</v>
      </c>
      <c r="B2599" s="16">
        <v>43952</v>
      </c>
      <c r="C2599" t="s">
        <v>135</v>
      </c>
      <c r="D2599" s="21">
        <v>3981406.9049999998</v>
      </c>
      <c r="E2599" s="21">
        <v>-3981406.9049999998</v>
      </c>
      <c r="F2599" s="21">
        <v>0</v>
      </c>
    </row>
    <row r="2600" spans="1:6" x14ac:dyDescent="0.25">
      <c r="A2600">
        <v>1881</v>
      </c>
      <c r="B2600" s="16">
        <v>43952</v>
      </c>
      <c r="C2600" t="s">
        <v>192</v>
      </c>
      <c r="D2600" s="21">
        <v>8200000</v>
      </c>
      <c r="E2600" s="21">
        <v>-8200000</v>
      </c>
      <c r="F2600" s="21">
        <v>0</v>
      </c>
    </row>
    <row r="2601" spans="1:6" x14ac:dyDescent="0.25">
      <c r="A2601">
        <v>1881</v>
      </c>
      <c r="B2601" s="16">
        <v>43952</v>
      </c>
      <c r="C2601" t="s">
        <v>119</v>
      </c>
      <c r="D2601" s="21">
        <v>6549894.2250000006</v>
      </c>
      <c r="E2601" s="21">
        <v>-6549894.2250000006</v>
      </c>
      <c r="F2601" s="21">
        <v>0</v>
      </c>
    </row>
    <row r="2602" spans="1:6" x14ac:dyDescent="0.25">
      <c r="A2602">
        <v>1881</v>
      </c>
      <c r="B2602" s="16">
        <v>43983</v>
      </c>
      <c r="C2602" t="s">
        <v>135</v>
      </c>
      <c r="D2602" s="21">
        <v>3981406.9049999998</v>
      </c>
      <c r="E2602" s="21">
        <v>-3981406.9049999998</v>
      </c>
      <c r="F2602" s="21">
        <v>0</v>
      </c>
    </row>
    <row r="2603" spans="1:6" x14ac:dyDescent="0.25">
      <c r="A2603">
        <v>1881</v>
      </c>
      <c r="B2603" s="16">
        <v>43983</v>
      </c>
      <c r="C2603" t="s">
        <v>192</v>
      </c>
      <c r="D2603" s="21">
        <v>8200000</v>
      </c>
      <c r="E2603" s="21">
        <v>-8200000</v>
      </c>
      <c r="F2603" s="21">
        <v>0</v>
      </c>
    </row>
    <row r="2604" spans="1:6" x14ac:dyDescent="0.25">
      <c r="A2604">
        <v>1881</v>
      </c>
      <c r="B2604" s="16">
        <v>43983</v>
      </c>
      <c r="C2604" t="s">
        <v>119</v>
      </c>
      <c r="D2604" s="21">
        <v>6549894.2250000006</v>
      </c>
      <c r="E2604" s="21">
        <v>-6549894.2250000006</v>
      </c>
      <c r="F2604" s="21">
        <v>0</v>
      </c>
    </row>
    <row r="2605" spans="1:6" x14ac:dyDescent="0.25">
      <c r="A2605">
        <v>1881</v>
      </c>
      <c r="B2605" s="16">
        <v>44013</v>
      </c>
      <c r="C2605" t="s">
        <v>135</v>
      </c>
      <c r="D2605" s="21">
        <v>3981406.9049999998</v>
      </c>
      <c r="E2605" s="21">
        <v>-3981406.9049999998</v>
      </c>
      <c r="F2605" s="21">
        <v>0</v>
      </c>
    </row>
    <row r="2606" spans="1:6" x14ac:dyDescent="0.25">
      <c r="A2606">
        <v>1881</v>
      </c>
      <c r="B2606" s="16">
        <v>44013</v>
      </c>
      <c r="C2606" t="s">
        <v>192</v>
      </c>
      <c r="D2606" s="21">
        <v>8200000</v>
      </c>
      <c r="E2606" s="21">
        <v>-8200000</v>
      </c>
      <c r="F2606" s="21">
        <v>0</v>
      </c>
    </row>
    <row r="2607" spans="1:6" x14ac:dyDescent="0.25">
      <c r="A2607">
        <v>1881</v>
      </c>
      <c r="B2607" s="16">
        <v>44013</v>
      </c>
      <c r="C2607" t="s">
        <v>119</v>
      </c>
      <c r="D2607" s="21">
        <v>6549894.2250000006</v>
      </c>
      <c r="E2607" s="21">
        <v>-6549894.2250000006</v>
      </c>
      <c r="F2607" s="21">
        <v>0</v>
      </c>
    </row>
    <row r="2608" spans="1:6" x14ac:dyDescent="0.25">
      <c r="A2608">
        <v>1883</v>
      </c>
      <c r="B2608" s="16">
        <v>43466</v>
      </c>
      <c r="C2608" t="s">
        <v>192</v>
      </c>
      <c r="D2608" s="21">
        <v>11029019</v>
      </c>
      <c r="E2608" s="21">
        <v>-11029019</v>
      </c>
      <c r="F2608" s="21">
        <v>0</v>
      </c>
    </row>
    <row r="2609" spans="1:6" x14ac:dyDescent="0.25">
      <c r="A2609">
        <v>1883</v>
      </c>
      <c r="B2609" s="16">
        <v>43497</v>
      </c>
      <c r="C2609" t="s">
        <v>192</v>
      </c>
      <c r="D2609" s="21">
        <v>11029019</v>
      </c>
      <c r="E2609" s="21">
        <v>-11029019</v>
      </c>
      <c r="F2609" s="21">
        <v>0</v>
      </c>
    </row>
    <row r="2610" spans="1:6" x14ac:dyDescent="0.25">
      <c r="A2610">
        <v>1883</v>
      </c>
      <c r="B2610" s="16">
        <v>43525</v>
      </c>
      <c r="C2610" t="s">
        <v>192</v>
      </c>
      <c r="D2610" s="21">
        <v>11029019</v>
      </c>
      <c r="E2610" s="21">
        <v>-11029019</v>
      </c>
      <c r="F2610" s="21">
        <v>0</v>
      </c>
    </row>
    <row r="2611" spans="1:6" x14ac:dyDescent="0.25">
      <c r="A2611">
        <v>1883</v>
      </c>
      <c r="B2611" s="16">
        <v>43556</v>
      </c>
      <c r="C2611" t="s">
        <v>192</v>
      </c>
      <c r="D2611" s="21">
        <v>11029019</v>
      </c>
      <c r="E2611" s="21">
        <v>-11029019</v>
      </c>
      <c r="F2611" s="21">
        <v>0</v>
      </c>
    </row>
    <row r="2612" spans="1:6" x14ac:dyDescent="0.25">
      <c r="A2612">
        <v>1883</v>
      </c>
      <c r="B2612" s="16">
        <v>43586</v>
      </c>
      <c r="C2612" t="s">
        <v>192</v>
      </c>
      <c r="D2612" s="21">
        <v>11029019</v>
      </c>
      <c r="E2612" s="21">
        <v>-11029019</v>
      </c>
      <c r="F2612" s="21">
        <v>0</v>
      </c>
    </row>
    <row r="2613" spans="1:6" x14ac:dyDescent="0.25">
      <c r="A2613">
        <v>1883</v>
      </c>
      <c r="B2613" s="16">
        <v>43617</v>
      </c>
      <c r="C2613" t="s">
        <v>192</v>
      </c>
      <c r="D2613" s="21">
        <v>11029019</v>
      </c>
      <c r="E2613" s="21">
        <v>-11029019</v>
      </c>
      <c r="F2613" s="21">
        <v>0</v>
      </c>
    </row>
    <row r="2614" spans="1:6" x14ac:dyDescent="0.25">
      <c r="A2614">
        <v>1883</v>
      </c>
      <c r="B2614" s="16">
        <v>43647</v>
      </c>
      <c r="C2614" t="s">
        <v>192</v>
      </c>
      <c r="D2614" s="21">
        <v>11029019</v>
      </c>
      <c r="E2614" s="21">
        <v>-11029019</v>
      </c>
      <c r="F2614" s="21">
        <v>0</v>
      </c>
    </row>
    <row r="2615" spans="1:6" x14ac:dyDescent="0.25">
      <c r="A2615">
        <v>1883</v>
      </c>
      <c r="B2615" s="16">
        <v>43678</v>
      </c>
      <c r="C2615" t="s">
        <v>192</v>
      </c>
      <c r="D2615" s="21">
        <v>11029019</v>
      </c>
      <c r="E2615" s="21">
        <v>-11029019</v>
      </c>
      <c r="F2615" s="21">
        <v>0</v>
      </c>
    </row>
    <row r="2616" spans="1:6" x14ac:dyDescent="0.25">
      <c r="A2616">
        <v>1883</v>
      </c>
      <c r="B2616" s="16">
        <v>43709</v>
      </c>
      <c r="C2616" t="s">
        <v>192</v>
      </c>
      <c r="D2616" s="21">
        <v>11029019</v>
      </c>
      <c r="E2616" s="21">
        <v>-11029019</v>
      </c>
      <c r="F2616" s="21">
        <v>0</v>
      </c>
    </row>
    <row r="2617" spans="1:6" x14ac:dyDescent="0.25">
      <c r="A2617">
        <v>1883</v>
      </c>
      <c r="B2617" s="16">
        <v>43739</v>
      </c>
      <c r="C2617" t="s">
        <v>192</v>
      </c>
      <c r="D2617" s="21">
        <v>11029019</v>
      </c>
      <c r="E2617" s="21">
        <v>-11029019</v>
      </c>
      <c r="F2617" s="21">
        <v>0</v>
      </c>
    </row>
    <row r="2618" spans="1:6" x14ac:dyDescent="0.25">
      <c r="A2618">
        <v>1883</v>
      </c>
      <c r="B2618" s="16">
        <v>43770</v>
      </c>
      <c r="C2618" t="s">
        <v>192</v>
      </c>
      <c r="D2618" s="21">
        <v>11029019</v>
      </c>
      <c r="E2618" s="21">
        <v>-11029019</v>
      </c>
      <c r="F2618" s="21">
        <v>0</v>
      </c>
    </row>
    <row r="2619" spans="1:6" x14ac:dyDescent="0.25">
      <c r="A2619">
        <v>1883</v>
      </c>
      <c r="B2619" s="16">
        <v>43800</v>
      </c>
      <c r="C2619" t="s">
        <v>192</v>
      </c>
      <c r="D2619" s="21">
        <v>11029019</v>
      </c>
      <c r="E2619" s="21">
        <v>-11029019</v>
      </c>
      <c r="F2619" s="21">
        <v>0</v>
      </c>
    </row>
    <row r="2620" spans="1:6" x14ac:dyDescent="0.25">
      <c r="A2620">
        <v>1883</v>
      </c>
      <c r="B2620" s="16">
        <v>43831</v>
      </c>
      <c r="C2620" t="s">
        <v>192</v>
      </c>
      <c r="D2620" s="21">
        <v>11029019</v>
      </c>
      <c r="E2620" s="21">
        <v>-11029019</v>
      </c>
      <c r="F2620" s="21">
        <v>0</v>
      </c>
    </row>
    <row r="2621" spans="1:6" x14ac:dyDescent="0.25">
      <c r="A2621">
        <v>1883</v>
      </c>
      <c r="B2621" s="16">
        <v>43862</v>
      </c>
      <c r="C2621" t="s">
        <v>192</v>
      </c>
      <c r="D2621" s="21">
        <v>11029019</v>
      </c>
      <c r="E2621" s="21">
        <v>-11029019</v>
      </c>
      <c r="F2621" s="21">
        <v>0</v>
      </c>
    </row>
    <row r="2622" spans="1:6" x14ac:dyDescent="0.25">
      <c r="A2622">
        <v>1883</v>
      </c>
      <c r="B2622" s="16">
        <v>43891</v>
      </c>
      <c r="C2622" t="s">
        <v>192</v>
      </c>
      <c r="D2622" s="21">
        <v>11029019</v>
      </c>
      <c r="E2622" s="21">
        <v>-11029019</v>
      </c>
      <c r="F2622" s="21">
        <v>0</v>
      </c>
    </row>
    <row r="2623" spans="1:6" x14ac:dyDescent="0.25">
      <c r="A2623">
        <v>1883</v>
      </c>
      <c r="B2623" s="16">
        <v>43922</v>
      </c>
      <c r="C2623" t="s">
        <v>192</v>
      </c>
      <c r="D2623" s="21">
        <v>11029019</v>
      </c>
      <c r="E2623" s="21">
        <v>-11029019</v>
      </c>
      <c r="F2623" s="21">
        <v>0</v>
      </c>
    </row>
    <row r="2624" spans="1:6" x14ac:dyDescent="0.25">
      <c r="A2624">
        <v>1883</v>
      </c>
      <c r="B2624" s="16">
        <v>43952</v>
      </c>
      <c r="C2624" t="s">
        <v>192</v>
      </c>
      <c r="D2624" s="21">
        <v>11029019</v>
      </c>
      <c r="E2624" s="21">
        <v>-11029019</v>
      </c>
      <c r="F2624" s="21">
        <v>0</v>
      </c>
    </row>
    <row r="2625" spans="1:6" x14ac:dyDescent="0.25">
      <c r="A2625">
        <v>1883</v>
      </c>
      <c r="B2625" s="16">
        <v>43983</v>
      </c>
      <c r="C2625" t="s">
        <v>192</v>
      </c>
      <c r="D2625" s="21">
        <v>11029019</v>
      </c>
      <c r="E2625" s="21">
        <v>-11029019</v>
      </c>
      <c r="F2625" s="21">
        <v>0</v>
      </c>
    </row>
    <row r="2626" spans="1:6" x14ac:dyDescent="0.25">
      <c r="A2626">
        <v>1883</v>
      </c>
      <c r="B2626" s="16">
        <v>44013</v>
      </c>
      <c r="C2626" t="s">
        <v>192</v>
      </c>
      <c r="D2626" s="21">
        <v>11029019</v>
      </c>
      <c r="E2626" s="21">
        <v>-11029019</v>
      </c>
      <c r="F2626" s="21">
        <v>0</v>
      </c>
    </row>
    <row r="2627" spans="1:6" x14ac:dyDescent="0.25">
      <c r="A2627">
        <v>1883</v>
      </c>
      <c r="B2627" s="16">
        <v>44044</v>
      </c>
      <c r="C2627" t="s">
        <v>192</v>
      </c>
      <c r="D2627" s="21">
        <v>11029019</v>
      </c>
      <c r="E2627" s="21">
        <v>-11029019</v>
      </c>
      <c r="F2627" s="21">
        <v>0</v>
      </c>
    </row>
    <row r="2628" spans="1:6" x14ac:dyDescent="0.25">
      <c r="A2628">
        <v>1883</v>
      </c>
      <c r="B2628" s="16">
        <v>44075</v>
      </c>
      <c r="C2628" t="s">
        <v>192</v>
      </c>
      <c r="D2628" s="21">
        <v>11029019</v>
      </c>
      <c r="E2628" s="21">
        <v>-11029019</v>
      </c>
      <c r="F2628" s="21">
        <v>0</v>
      </c>
    </row>
    <row r="2629" spans="1:6" x14ac:dyDescent="0.25">
      <c r="A2629">
        <v>1883</v>
      </c>
      <c r="B2629" s="16">
        <v>44105</v>
      </c>
      <c r="C2629" t="s">
        <v>192</v>
      </c>
      <c r="D2629" s="21">
        <v>11029019</v>
      </c>
      <c r="E2629" s="21">
        <v>-11029019</v>
      </c>
      <c r="F2629" s="21">
        <v>0</v>
      </c>
    </row>
    <row r="2630" spans="1:6" x14ac:dyDescent="0.25">
      <c r="A2630">
        <v>1883</v>
      </c>
      <c r="B2630" s="16">
        <v>44136</v>
      </c>
      <c r="C2630" t="s">
        <v>192</v>
      </c>
      <c r="D2630" s="21">
        <v>11029019</v>
      </c>
      <c r="E2630" s="21">
        <v>-11029019</v>
      </c>
      <c r="F2630" s="21">
        <v>0</v>
      </c>
    </row>
    <row r="2631" spans="1:6" x14ac:dyDescent="0.25">
      <c r="A2631">
        <v>1883</v>
      </c>
      <c r="B2631" s="16">
        <v>44166</v>
      </c>
      <c r="C2631" t="s">
        <v>192</v>
      </c>
      <c r="D2631" s="21">
        <v>11029019</v>
      </c>
      <c r="E2631" s="21">
        <v>-11029019</v>
      </c>
      <c r="F2631" s="21">
        <v>0</v>
      </c>
    </row>
    <row r="2632" spans="1:6" x14ac:dyDescent="0.25">
      <c r="A2632">
        <v>1883</v>
      </c>
      <c r="B2632" s="16">
        <v>44197</v>
      </c>
      <c r="C2632" t="s">
        <v>192</v>
      </c>
      <c r="D2632" s="21">
        <v>11029019</v>
      </c>
      <c r="E2632" s="21">
        <v>-11029019</v>
      </c>
      <c r="F2632" s="21">
        <v>0</v>
      </c>
    </row>
    <row r="2633" spans="1:6" x14ac:dyDescent="0.25">
      <c r="A2633">
        <v>1883</v>
      </c>
      <c r="B2633" s="16">
        <v>44228</v>
      </c>
      <c r="C2633" t="s">
        <v>192</v>
      </c>
      <c r="D2633" s="21">
        <v>11029019</v>
      </c>
      <c r="E2633" s="21">
        <v>-11029019</v>
      </c>
      <c r="F2633" s="21">
        <v>0</v>
      </c>
    </row>
    <row r="2634" spans="1:6" x14ac:dyDescent="0.25">
      <c r="A2634">
        <v>1884</v>
      </c>
      <c r="B2634" s="16">
        <v>43466</v>
      </c>
      <c r="C2634" t="s">
        <v>192</v>
      </c>
      <c r="D2634" s="21">
        <v>10920000</v>
      </c>
      <c r="E2634" s="21">
        <v>-10920000</v>
      </c>
      <c r="F2634" s="21">
        <v>0</v>
      </c>
    </row>
    <row r="2635" spans="1:6" x14ac:dyDescent="0.25">
      <c r="A2635">
        <v>1884</v>
      </c>
      <c r="B2635" s="16">
        <v>43497</v>
      </c>
      <c r="C2635" t="s">
        <v>192</v>
      </c>
      <c r="D2635" s="21">
        <v>10920000</v>
      </c>
      <c r="E2635" s="21">
        <v>-10920000</v>
      </c>
      <c r="F2635" s="21">
        <v>0</v>
      </c>
    </row>
    <row r="2636" spans="1:6" x14ac:dyDescent="0.25">
      <c r="A2636">
        <v>1884</v>
      </c>
      <c r="B2636" s="16">
        <v>43525</v>
      </c>
      <c r="C2636" t="s">
        <v>192</v>
      </c>
      <c r="D2636" s="21">
        <v>10920000</v>
      </c>
      <c r="E2636" s="21">
        <v>-10920000</v>
      </c>
      <c r="F2636" s="21">
        <v>0</v>
      </c>
    </row>
    <row r="2637" spans="1:6" x14ac:dyDescent="0.25">
      <c r="A2637">
        <v>1884</v>
      </c>
      <c r="B2637" s="16">
        <v>43556</v>
      </c>
      <c r="C2637" t="s">
        <v>192</v>
      </c>
      <c r="D2637" s="21">
        <v>10920000</v>
      </c>
      <c r="E2637" s="21">
        <v>-10920000</v>
      </c>
      <c r="F2637" s="21">
        <v>0</v>
      </c>
    </row>
    <row r="2638" spans="1:6" x14ac:dyDescent="0.25">
      <c r="A2638">
        <v>1884</v>
      </c>
      <c r="B2638" s="16">
        <v>43586</v>
      </c>
      <c r="C2638" t="s">
        <v>192</v>
      </c>
      <c r="D2638" s="21">
        <v>10920000</v>
      </c>
      <c r="E2638" s="21">
        <v>-10920000</v>
      </c>
      <c r="F2638" s="21">
        <v>0</v>
      </c>
    </row>
    <row r="2639" spans="1:6" x14ac:dyDescent="0.25">
      <c r="A2639">
        <v>1884</v>
      </c>
      <c r="B2639" s="16">
        <v>43617</v>
      </c>
      <c r="C2639" t="s">
        <v>192</v>
      </c>
      <c r="D2639" s="21">
        <v>10920000</v>
      </c>
      <c r="E2639" s="21">
        <v>-10920000</v>
      </c>
      <c r="F2639" s="21">
        <v>0</v>
      </c>
    </row>
    <row r="2640" spans="1:6" x14ac:dyDescent="0.25">
      <c r="A2640">
        <v>1884</v>
      </c>
      <c r="B2640" s="16">
        <v>43647</v>
      </c>
      <c r="C2640" t="s">
        <v>192</v>
      </c>
      <c r="D2640" s="21">
        <v>10920000</v>
      </c>
      <c r="E2640" s="21">
        <v>-10920000</v>
      </c>
      <c r="F2640" s="21">
        <v>0</v>
      </c>
    </row>
    <row r="2641" spans="1:6" x14ac:dyDescent="0.25">
      <c r="A2641">
        <v>1884</v>
      </c>
      <c r="B2641" s="16">
        <v>43678</v>
      </c>
      <c r="C2641" t="s">
        <v>192</v>
      </c>
      <c r="D2641" s="21">
        <v>10920000</v>
      </c>
      <c r="E2641" s="21">
        <v>-10920000</v>
      </c>
      <c r="F2641" s="21">
        <v>0</v>
      </c>
    </row>
    <row r="2642" spans="1:6" x14ac:dyDescent="0.25">
      <c r="A2642">
        <v>1884</v>
      </c>
      <c r="B2642" s="16">
        <v>43709</v>
      </c>
      <c r="C2642" t="s">
        <v>192</v>
      </c>
      <c r="D2642" s="21">
        <v>10920000</v>
      </c>
      <c r="E2642" s="21">
        <v>-10920000</v>
      </c>
      <c r="F2642" s="21">
        <v>0</v>
      </c>
    </row>
    <row r="2643" spans="1:6" x14ac:dyDescent="0.25">
      <c r="A2643">
        <v>1884</v>
      </c>
      <c r="B2643" s="16">
        <v>43739</v>
      </c>
      <c r="C2643" t="s">
        <v>192</v>
      </c>
      <c r="D2643" s="21">
        <v>10920000</v>
      </c>
      <c r="E2643" s="21">
        <v>-10920000</v>
      </c>
      <c r="F2643" s="21">
        <v>0</v>
      </c>
    </row>
    <row r="2644" spans="1:6" x14ac:dyDescent="0.25">
      <c r="A2644">
        <v>1884</v>
      </c>
      <c r="B2644" s="16">
        <v>43770</v>
      </c>
      <c r="C2644" t="s">
        <v>192</v>
      </c>
      <c r="D2644" s="21">
        <v>10920000</v>
      </c>
      <c r="E2644" s="21">
        <v>-10920000</v>
      </c>
      <c r="F2644" s="21">
        <v>0</v>
      </c>
    </row>
    <row r="2645" spans="1:6" x14ac:dyDescent="0.25">
      <c r="A2645">
        <v>1884</v>
      </c>
      <c r="B2645" s="16">
        <v>43800</v>
      </c>
      <c r="C2645" t="s">
        <v>192</v>
      </c>
      <c r="D2645" s="21">
        <v>10920000</v>
      </c>
      <c r="E2645" s="21">
        <v>-10920000</v>
      </c>
      <c r="F2645" s="21">
        <v>0</v>
      </c>
    </row>
    <row r="2646" spans="1:6" x14ac:dyDescent="0.25">
      <c r="A2646">
        <v>1884</v>
      </c>
      <c r="B2646" s="16">
        <v>43831</v>
      </c>
      <c r="C2646" t="s">
        <v>192</v>
      </c>
      <c r="D2646" s="21">
        <v>10920000</v>
      </c>
      <c r="E2646" s="21">
        <v>-10920000</v>
      </c>
      <c r="F2646" s="21">
        <v>0</v>
      </c>
    </row>
    <row r="2647" spans="1:6" x14ac:dyDescent="0.25">
      <c r="A2647">
        <v>1888</v>
      </c>
      <c r="B2647" s="16">
        <v>43525</v>
      </c>
      <c r="C2647" t="s">
        <v>38</v>
      </c>
      <c r="D2647" s="21">
        <v>4006799.9999999995</v>
      </c>
      <c r="E2647" s="21">
        <v>-4006799.9999999995</v>
      </c>
      <c r="F2647" s="21">
        <v>0</v>
      </c>
    </row>
    <row r="2648" spans="1:6" x14ac:dyDescent="0.25">
      <c r="A2648">
        <v>1888</v>
      </c>
      <c r="B2648" s="16">
        <v>43525</v>
      </c>
      <c r="C2648" t="s">
        <v>19</v>
      </c>
      <c r="D2648" s="21">
        <v>3170664</v>
      </c>
      <c r="E2648" s="21">
        <v>-3170664</v>
      </c>
      <c r="F2648" s="21">
        <v>0</v>
      </c>
    </row>
    <row r="2649" spans="1:6" x14ac:dyDescent="0.25">
      <c r="A2649">
        <v>1888</v>
      </c>
      <c r="B2649" s="16">
        <v>43525</v>
      </c>
      <c r="C2649" t="s">
        <v>29</v>
      </c>
      <c r="D2649" s="21">
        <v>1850625</v>
      </c>
      <c r="E2649" s="21">
        <v>-1850625</v>
      </c>
      <c r="F2649" s="21">
        <v>0</v>
      </c>
    </row>
    <row r="2650" spans="1:6" x14ac:dyDescent="0.25">
      <c r="A2650">
        <v>1888</v>
      </c>
      <c r="B2650" s="16">
        <v>43525</v>
      </c>
      <c r="C2650" t="s">
        <v>192</v>
      </c>
      <c r="D2650" s="21">
        <v>25260000</v>
      </c>
      <c r="E2650" s="21">
        <v>-25260000</v>
      </c>
      <c r="F2650" s="21">
        <v>0</v>
      </c>
    </row>
    <row r="2651" spans="1:6" x14ac:dyDescent="0.25">
      <c r="A2651">
        <v>1888</v>
      </c>
      <c r="B2651" s="16">
        <v>43525</v>
      </c>
      <c r="C2651" t="s">
        <v>169</v>
      </c>
      <c r="D2651" s="21">
        <v>2583000</v>
      </c>
      <c r="E2651" s="21">
        <v>-2583000</v>
      </c>
      <c r="F2651" s="21">
        <v>0</v>
      </c>
    </row>
    <row r="2652" spans="1:6" x14ac:dyDescent="0.25">
      <c r="A2652">
        <v>1888</v>
      </c>
      <c r="B2652" s="16">
        <v>43525</v>
      </c>
      <c r="C2652" t="s">
        <v>12</v>
      </c>
      <c r="D2652" s="21">
        <v>8741250</v>
      </c>
      <c r="E2652" s="21">
        <v>-8741250</v>
      </c>
      <c r="F2652" s="21">
        <v>0</v>
      </c>
    </row>
    <row r="2653" spans="1:6" x14ac:dyDescent="0.25">
      <c r="A2653">
        <v>1888</v>
      </c>
      <c r="B2653" s="16">
        <v>43525</v>
      </c>
      <c r="C2653" t="s">
        <v>39</v>
      </c>
      <c r="D2653" s="21">
        <v>4725000</v>
      </c>
      <c r="E2653" s="21">
        <v>-4725000</v>
      </c>
      <c r="F2653" s="21">
        <v>0</v>
      </c>
    </row>
    <row r="2654" spans="1:6" x14ac:dyDescent="0.25">
      <c r="A2654">
        <v>1888</v>
      </c>
      <c r="B2654" s="16">
        <v>43556</v>
      </c>
      <c r="C2654" t="s">
        <v>38</v>
      </c>
      <c r="D2654" s="21">
        <v>4006799.9999999995</v>
      </c>
      <c r="E2654" s="21">
        <v>-4006799.9999999995</v>
      </c>
      <c r="F2654" s="21">
        <v>0</v>
      </c>
    </row>
    <row r="2655" spans="1:6" x14ac:dyDescent="0.25">
      <c r="A2655">
        <v>1888</v>
      </c>
      <c r="B2655" s="16">
        <v>43556</v>
      </c>
      <c r="C2655" t="s">
        <v>19</v>
      </c>
      <c r="D2655" s="21">
        <v>3170664</v>
      </c>
      <c r="E2655" s="21">
        <v>-3170664</v>
      </c>
      <c r="F2655" s="21">
        <v>0</v>
      </c>
    </row>
    <row r="2656" spans="1:6" x14ac:dyDescent="0.25">
      <c r="A2656">
        <v>1888</v>
      </c>
      <c r="B2656" s="16">
        <v>43556</v>
      </c>
      <c r="C2656" t="s">
        <v>29</v>
      </c>
      <c r="D2656" s="21">
        <v>1850625</v>
      </c>
      <c r="E2656" s="21">
        <v>-1850625</v>
      </c>
      <c r="F2656" s="21">
        <v>0</v>
      </c>
    </row>
    <row r="2657" spans="1:6" x14ac:dyDescent="0.25">
      <c r="A2657">
        <v>1888</v>
      </c>
      <c r="B2657" s="16">
        <v>43556</v>
      </c>
      <c r="C2657" t="s">
        <v>192</v>
      </c>
      <c r="D2657" s="21">
        <v>25260000</v>
      </c>
      <c r="E2657" s="21">
        <v>-25260000</v>
      </c>
      <c r="F2657" s="21">
        <v>0</v>
      </c>
    </row>
    <row r="2658" spans="1:6" x14ac:dyDescent="0.25">
      <c r="A2658">
        <v>1888</v>
      </c>
      <c r="B2658" s="16">
        <v>43556</v>
      </c>
      <c r="C2658" t="s">
        <v>169</v>
      </c>
      <c r="D2658" s="21">
        <v>2583000</v>
      </c>
      <c r="E2658" s="21">
        <v>-2583000</v>
      </c>
      <c r="F2658" s="21">
        <v>0</v>
      </c>
    </row>
    <row r="2659" spans="1:6" x14ac:dyDescent="0.25">
      <c r="A2659">
        <v>1888</v>
      </c>
      <c r="B2659" s="16">
        <v>43556</v>
      </c>
      <c r="C2659" t="s">
        <v>12</v>
      </c>
      <c r="D2659" s="21">
        <v>8741250</v>
      </c>
      <c r="E2659" s="21">
        <v>-8741250</v>
      </c>
      <c r="F2659" s="21">
        <v>0</v>
      </c>
    </row>
    <row r="2660" spans="1:6" x14ac:dyDescent="0.25">
      <c r="A2660">
        <v>1888</v>
      </c>
      <c r="B2660" s="16">
        <v>43556</v>
      </c>
      <c r="C2660" t="s">
        <v>39</v>
      </c>
      <c r="D2660" s="21">
        <v>4725000</v>
      </c>
      <c r="E2660" s="21">
        <v>-4725000</v>
      </c>
      <c r="F2660" s="21">
        <v>0</v>
      </c>
    </row>
    <row r="2661" spans="1:6" x14ac:dyDescent="0.25">
      <c r="A2661">
        <v>1888</v>
      </c>
      <c r="B2661" s="16">
        <v>43586</v>
      </c>
      <c r="C2661" t="s">
        <v>38</v>
      </c>
      <c r="D2661" s="21">
        <v>4006799.9999999995</v>
      </c>
      <c r="E2661" s="21">
        <v>-4006799.9999999995</v>
      </c>
      <c r="F2661" s="21">
        <v>0</v>
      </c>
    </row>
    <row r="2662" spans="1:6" x14ac:dyDescent="0.25">
      <c r="A2662">
        <v>1888</v>
      </c>
      <c r="B2662" s="16">
        <v>43586</v>
      </c>
      <c r="C2662" t="s">
        <v>19</v>
      </c>
      <c r="D2662" s="21">
        <v>3170664</v>
      </c>
      <c r="E2662" s="21">
        <v>-3170664</v>
      </c>
      <c r="F2662" s="21">
        <v>0</v>
      </c>
    </row>
    <row r="2663" spans="1:6" x14ac:dyDescent="0.25">
      <c r="A2663">
        <v>1888</v>
      </c>
      <c r="B2663" s="16">
        <v>43586</v>
      </c>
      <c r="C2663" t="s">
        <v>29</v>
      </c>
      <c r="D2663" s="21">
        <v>1850625</v>
      </c>
      <c r="E2663" s="21">
        <v>-1850625</v>
      </c>
      <c r="F2663" s="21">
        <v>0</v>
      </c>
    </row>
    <row r="2664" spans="1:6" x14ac:dyDescent="0.25">
      <c r="A2664">
        <v>1888</v>
      </c>
      <c r="B2664" s="16">
        <v>43586</v>
      </c>
      <c r="C2664" t="s">
        <v>192</v>
      </c>
      <c r="D2664" s="21">
        <v>25260000</v>
      </c>
      <c r="E2664" s="21">
        <v>-25260000</v>
      </c>
      <c r="F2664" s="21">
        <v>0</v>
      </c>
    </row>
    <row r="2665" spans="1:6" x14ac:dyDescent="0.25">
      <c r="A2665">
        <v>1888</v>
      </c>
      <c r="B2665" s="16">
        <v>43586</v>
      </c>
      <c r="C2665" t="s">
        <v>169</v>
      </c>
      <c r="D2665" s="21">
        <v>2583000</v>
      </c>
      <c r="E2665" s="21">
        <v>-2583000</v>
      </c>
      <c r="F2665" s="21">
        <v>0</v>
      </c>
    </row>
    <row r="2666" spans="1:6" x14ac:dyDescent="0.25">
      <c r="A2666">
        <v>1888</v>
      </c>
      <c r="B2666" s="16">
        <v>43586</v>
      </c>
      <c r="C2666" t="s">
        <v>12</v>
      </c>
      <c r="D2666" s="21">
        <v>8741250</v>
      </c>
      <c r="E2666" s="21">
        <v>-8741250</v>
      </c>
      <c r="F2666" s="21">
        <v>0</v>
      </c>
    </row>
    <row r="2667" spans="1:6" x14ac:dyDescent="0.25">
      <c r="A2667">
        <v>1888</v>
      </c>
      <c r="B2667" s="16">
        <v>43586</v>
      </c>
      <c r="C2667" t="s">
        <v>39</v>
      </c>
      <c r="D2667" s="21">
        <v>4725000</v>
      </c>
      <c r="E2667" s="21">
        <v>-4725000</v>
      </c>
      <c r="F2667" s="21">
        <v>0</v>
      </c>
    </row>
    <row r="2668" spans="1:6" x14ac:dyDescent="0.25">
      <c r="A2668">
        <v>1888</v>
      </c>
      <c r="B2668" s="16">
        <v>43617</v>
      </c>
      <c r="C2668" t="s">
        <v>38</v>
      </c>
      <c r="D2668" s="21">
        <v>4006799.9999999995</v>
      </c>
      <c r="E2668" s="21">
        <v>-4006799.9999999995</v>
      </c>
      <c r="F2668" s="21">
        <v>0</v>
      </c>
    </row>
    <row r="2669" spans="1:6" x14ac:dyDescent="0.25">
      <c r="A2669">
        <v>1888</v>
      </c>
      <c r="B2669" s="16">
        <v>43617</v>
      </c>
      <c r="C2669" t="s">
        <v>19</v>
      </c>
      <c r="D2669" s="21">
        <v>3170664</v>
      </c>
      <c r="E2669" s="21">
        <v>-3170664</v>
      </c>
      <c r="F2669" s="21">
        <v>0</v>
      </c>
    </row>
    <row r="2670" spans="1:6" x14ac:dyDescent="0.25">
      <c r="A2670">
        <v>1888</v>
      </c>
      <c r="B2670" s="16">
        <v>43617</v>
      </c>
      <c r="C2670" t="s">
        <v>29</v>
      </c>
      <c r="D2670" s="21">
        <v>1850625</v>
      </c>
      <c r="E2670" s="21">
        <v>-1850625</v>
      </c>
      <c r="F2670" s="21">
        <v>0</v>
      </c>
    </row>
    <row r="2671" spans="1:6" x14ac:dyDescent="0.25">
      <c r="A2671">
        <v>1888</v>
      </c>
      <c r="B2671" s="16">
        <v>43617</v>
      </c>
      <c r="C2671" t="s">
        <v>192</v>
      </c>
      <c r="D2671" s="21">
        <v>25260000</v>
      </c>
      <c r="E2671" s="21">
        <v>-25260000</v>
      </c>
      <c r="F2671" s="21">
        <v>0</v>
      </c>
    </row>
    <row r="2672" spans="1:6" x14ac:dyDescent="0.25">
      <c r="A2672">
        <v>1888</v>
      </c>
      <c r="B2672" s="16">
        <v>43617</v>
      </c>
      <c r="C2672" t="s">
        <v>169</v>
      </c>
      <c r="D2672" s="21">
        <v>2583000</v>
      </c>
      <c r="E2672" s="21">
        <v>-2583000</v>
      </c>
      <c r="F2672" s="21">
        <v>0</v>
      </c>
    </row>
    <row r="2673" spans="1:6" x14ac:dyDescent="0.25">
      <c r="A2673">
        <v>1888</v>
      </c>
      <c r="B2673" s="16">
        <v>43617</v>
      </c>
      <c r="C2673" t="s">
        <v>12</v>
      </c>
      <c r="D2673" s="21">
        <v>8741250</v>
      </c>
      <c r="E2673" s="21">
        <v>-8741250</v>
      </c>
      <c r="F2673" s="21">
        <v>0</v>
      </c>
    </row>
    <row r="2674" spans="1:6" x14ac:dyDescent="0.25">
      <c r="A2674">
        <v>1888</v>
      </c>
      <c r="B2674" s="16">
        <v>43617</v>
      </c>
      <c r="C2674" t="s">
        <v>39</v>
      </c>
      <c r="D2674" s="21">
        <v>4725000</v>
      </c>
      <c r="E2674" s="21">
        <v>-4725000</v>
      </c>
      <c r="F2674" s="21">
        <v>0</v>
      </c>
    </row>
    <row r="2675" spans="1:6" x14ac:dyDescent="0.25">
      <c r="A2675">
        <v>1888</v>
      </c>
      <c r="B2675" s="16">
        <v>43647</v>
      </c>
      <c r="C2675" t="s">
        <v>192</v>
      </c>
      <c r="D2675" s="21">
        <v>19220000</v>
      </c>
      <c r="E2675" s="21">
        <v>-19220000</v>
      </c>
      <c r="F2675" s="21">
        <v>0</v>
      </c>
    </row>
    <row r="2676" spans="1:6" x14ac:dyDescent="0.25">
      <c r="A2676">
        <v>1888</v>
      </c>
      <c r="B2676" s="16">
        <v>43647</v>
      </c>
      <c r="C2676" t="s">
        <v>19</v>
      </c>
      <c r="D2676" s="21">
        <v>3170664</v>
      </c>
      <c r="E2676" s="21">
        <v>-3170664</v>
      </c>
      <c r="F2676" s="21">
        <v>0</v>
      </c>
    </row>
    <row r="2677" spans="1:6" x14ac:dyDescent="0.25">
      <c r="A2677">
        <v>1888</v>
      </c>
      <c r="B2677" s="16">
        <v>43647</v>
      </c>
      <c r="C2677" t="s">
        <v>38</v>
      </c>
      <c r="D2677" s="21">
        <v>4006799.9999999995</v>
      </c>
      <c r="E2677" s="21">
        <v>-4006799.9999999995</v>
      </c>
      <c r="F2677" s="21">
        <v>0</v>
      </c>
    </row>
    <row r="2678" spans="1:6" x14ac:dyDescent="0.25">
      <c r="A2678">
        <v>1888</v>
      </c>
      <c r="B2678" s="16">
        <v>43647</v>
      </c>
      <c r="C2678" t="s">
        <v>12</v>
      </c>
      <c r="D2678" s="21">
        <v>8741250</v>
      </c>
      <c r="E2678" s="21">
        <v>-8741250</v>
      </c>
      <c r="F2678" s="21">
        <v>0</v>
      </c>
    </row>
    <row r="2679" spans="1:6" x14ac:dyDescent="0.25">
      <c r="A2679">
        <v>1888</v>
      </c>
      <c r="B2679" s="16">
        <v>43647</v>
      </c>
      <c r="C2679" t="s">
        <v>39</v>
      </c>
      <c r="D2679" s="21">
        <v>4725000</v>
      </c>
      <c r="E2679" s="21">
        <v>-4725000</v>
      </c>
      <c r="F2679" s="21">
        <v>0</v>
      </c>
    </row>
    <row r="2680" spans="1:6" x14ac:dyDescent="0.25">
      <c r="A2680">
        <v>1888</v>
      </c>
      <c r="B2680" s="16">
        <v>43678</v>
      </c>
      <c r="C2680" t="s">
        <v>192</v>
      </c>
      <c r="D2680" s="21">
        <v>19220000</v>
      </c>
      <c r="E2680" s="21">
        <v>-19220000</v>
      </c>
      <c r="F2680" s="21">
        <v>0</v>
      </c>
    </row>
    <row r="2681" spans="1:6" x14ac:dyDescent="0.25">
      <c r="A2681">
        <v>1888</v>
      </c>
      <c r="B2681" s="16">
        <v>43678</v>
      </c>
      <c r="C2681" t="s">
        <v>19</v>
      </c>
      <c r="D2681" s="21">
        <v>3170664</v>
      </c>
      <c r="E2681" s="21">
        <v>-3170664</v>
      </c>
      <c r="F2681" s="21">
        <v>0</v>
      </c>
    </row>
    <row r="2682" spans="1:6" x14ac:dyDescent="0.25">
      <c r="A2682">
        <v>1888</v>
      </c>
      <c r="B2682" s="16">
        <v>43678</v>
      </c>
      <c r="C2682" t="s">
        <v>38</v>
      </c>
      <c r="D2682" s="21">
        <v>4006799.9999999995</v>
      </c>
      <c r="E2682" s="21">
        <v>-4006799.9999999995</v>
      </c>
      <c r="F2682" s="21">
        <v>0</v>
      </c>
    </row>
    <row r="2683" spans="1:6" x14ac:dyDescent="0.25">
      <c r="A2683">
        <v>1888</v>
      </c>
      <c r="B2683" s="16">
        <v>43678</v>
      </c>
      <c r="C2683" t="s">
        <v>12</v>
      </c>
      <c r="D2683" s="21">
        <v>8741250</v>
      </c>
      <c r="E2683" s="21">
        <v>-8741250</v>
      </c>
      <c r="F2683" s="21">
        <v>0</v>
      </c>
    </row>
    <row r="2684" spans="1:6" x14ac:dyDescent="0.25">
      <c r="A2684">
        <v>1888</v>
      </c>
      <c r="B2684" s="16">
        <v>43678</v>
      </c>
      <c r="C2684" t="s">
        <v>39</v>
      </c>
      <c r="D2684" s="21">
        <v>4725000</v>
      </c>
      <c r="E2684" s="21">
        <v>-4725000</v>
      </c>
      <c r="F2684" s="21">
        <v>0</v>
      </c>
    </row>
    <row r="2685" spans="1:6" x14ac:dyDescent="0.25">
      <c r="A2685">
        <v>1888</v>
      </c>
      <c r="B2685" s="16">
        <v>43709</v>
      </c>
      <c r="C2685" t="s">
        <v>192</v>
      </c>
      <c r="D2685" s="21">
        <v>19220000</v>
      </c>
      <c r="E2685" s="21">
        <v>-19220000</v>
      </c>
      <c r="F2685" s="21">
        <v>0</v>
      </c>
    </row>
    <row r="2686" spans="1:6" x14ac:dyDescent="0.25">
      <c r="A2686">
        <v>1888</v>
      </c>
      <c r="B2686" s="16">
        <v>43709</v>
      </c>
      <c r="C2686" t="s">
        <v>19</v>
      </c>
      <c r="D2686" s="21">
        <v>3170664</v>
      </c>
      <c r="E2686" s="21">
        <v>-3170664</v>
      </c>
      <c r="F2686" s="21">
        <v>0</v>
      </c>
    </row>
    <row r="2687" spans="1:6" x14ac:dyDescent="0.25">
      <c r="A2687">
        <v>1888</v>
      </c>
      <c r="B2687" s="16">
        <v>43709</v>
      </c>
      <c r="C2687" t="s">
        <v>38</v>
      </c>
      <c r="D2687" s="21">
        <v>4006799.9999999995</v>
      </c>
      <c r="E2687" s="21">
        <v>-4006799.9999999995</v>
      </c>
      <c r="F2687" s="21">
        <v>0</v>
      </c>
    </row>
    <row r="2688" spans="1:6" x14ac:dyDescent="0.25">
      <c r="A2688">
        <v>1888</v>
      </c>
      <c r="B2688" s="16">
        <v>43709</v>
      </c>
      <c r="C2688" t="s">
        <v>12</v>
      </c>
      <c r="D2688" s="21">
        <v>8741250</v>
      </c>
      <c r="E2688" s="21">
        <v>-8741250</v>
      </c>
      <c r="F2688" s="21">
        <v>0</v>
      </c>
    </row>
    <row r="2689" spans="1:6" x14ac:dyDescent="0.25">
      <c r="A2689">
        <v>1888</v>
      </c>
      <c r="B2689" s="16">
        <v>43709</v>
      </c>
      <c r="C2689" t="s">
        <v>39</v>
      </c>
      <c r="D2689" s="21">
        <v>4725000</v>
      </c>
      <c r="E2689" s="21">
        <v>-4725000</v>
      </c>
      <c r="F2689" s="21">
        <v>0</v>
      </c>
    </row>
    <row r="2690" spans="1:6" x14ac:dyDescent="0.25">
      <c r="A2690">
        <v>1888</v>
      </c>
      <c r="B2690" s="16">
        <v>43739</v>
      </c>
      <c r="C2690" t="s">
        <v>192</v>
      </c>
      <c r="D2690" s="21">
        <v>19220000</v>
      </c>
      <c r="E2690" s="21">
        <v>-19220000</v>
      </c>
      <c r="F2690" s="21">
        <v>0</v>
      </c>
    </row>
    <row r="2691" spans="1:6" x14ac:dyDescent="0.25">
      <c r="A2691">
        <v>1888</v>
      </c>
      <c r="B2691" s="16">
        <v>43739</v>
      </c>
      <c r="C2691" t="s">
        <v>19</v>
      </c>
      <c r="D2691" s="21">
        <v>3170664</v>
      </c>
      <c r="E2691" s="21">
        <v>-3170664</v>
      </c>
      <c r="F2691" s="21">
        <v>0</v>
      </c>
    </row>
    <row r="2692" spans="1:6" x14ac:dyDescent="0.25">
      <c r="A2692">
        <v>1888</v>
      </c>
      <c r="B2692" s="16">
        <v>43739</v>
      </c>
      <c r="C2692" t="s">
        <v>38</v>
      </c>
      <c r="D2692" s="21">
        <v>4006799.9999999995</v>
      </c>
      <c r="E2692" s="21">
        <v>-4006799.9999999995</v>
      </c>
      <c r="F2692" s="21">
        <v>0</v>
      </c>
    </row>
    <row r="2693" spans="1:6" x14ac:dyDescent="0.25">
      <c r="A2693">
        <v>1888</v>
      </c>
      <c r="B2693" s="16">
        <v>43739</v>
      </c>
      <c r="C2693" t="s">
        <v>12</v>
      </c>
      <c r="D2693" s="21">
        <v>8741250</v>
      </c>
      <c r="E2693" s="21">
        <v>-8741250</v>
      </c>
      <c r="F2693" s="21">
        <v>0</v>
      </c>
    </row>
    <row r="2694" spans="1:6" x14ac:dyDescent="0.25">
      <c r="A2694">
        <v>1888</v>
      </c>
      <c r="B2694" s="16">
        <v>43739</v>
      </c>
      <c r="C2694" t="s">
        <v>39</v>
      </c>
      <c r="D2694" s="21">
        <v>4725000</v>
      </c>
      <c r="E2694" s="21">
        <v>-4725000</v>
      </c>
      <c r="F2694" s="21">
        <v>0</v>
      </c>
    </row>
    <row r="2695" spans="1:6" x14ac:dyDescent="0.25">
      <c r="A2695">
        <v>1888</v>
      </c>
      <c r="B2695" s="16">
        <v>43770</v>
      </c>
      <c r="C2695" t="s">
        <v>192</v>
      </c>
      <c r="D2695" s="21">
        <v>19220000</v>
      </c>
      <c r="E2695" s="21">
        <v>-19220000</v>
      </c>
      <c r="F2695" s="21">
        <v>0</v>
      </c>
    </row>
    <row r="2696" spans="1:6" x14ac:dyDescent="0.25">
      <c r="A2696">
        <v>1888</v>
      </c>
      <c r="B2696" s="16">
        <v>43770</v>
      </c>
      <c r="C2696" t="s">
        <v>19</v>
      </c>
      <c r="D2696" s="21">
        <v>3170664</v>
      </c>
      <c r="E2696" s="21">
        <v>-3170664</v>
      </c>
      <c r="F2696" s="21">
        <v>0</v>
      </c>
    </row>
    <row r="2697" spans="1:6" x14ac:dyDescent="0.25">
      <c r="A2697">
        <v>1888</v>
      </c>
      <c r="B2697" s="16">
        <v>43770</v>
      </c>
      <c r="C2697" t="s">
        <v>38</v>
      </c>
      <c r="D2697" s="21">
        <v>4006799.9999999995</v>
      </c>
      <c r="E2697" s="21">
        <v>-4006799.9999999995</v>
      </c>
      <c r="F2697" s="21">
        <v>0</v>
      </c>
    </row>
    <row r="2698" spans="1:6" x14ac:dyDescent="0.25">
      <c r="A2698">
        <v>1888</v>
      </c>
      <c r="B2698" s="16">
        <v>43770</v>
      </c>
      <c r="C2698" t="s">
        <v>12</v>
      </c>
      <c r="D2698" s="21">
        <v>8741250</v>
      </c>
      <c r="E2698" s="21">
        <v>-8741250</v>
      </c>
      <c r="F2698" s="21">
        <v>0</v>
      </c>
    </row>
    <row r="2699" spans="1:6" x14ac:dyDescent="0.25">
      <c r="A2699">
        <v>1888</v>
      </c>
      <c r="B2699" s="16">
        <v>43770</v>
      </c>
      <c r="C2699" t="s">
        <v>39</v>
      </c>
      <c r="D2699" s="21">
        <v>4725000</v>
      </c>
      <c r="E2699" s="21">
        <v>-4725000</v>
      </c>
      <c r="F2699" s="21">
        <v>0</v>
      </c>
    </row>
    <row r="2700" spans="1:6" x14ac:dyDescent="0.25">
      <c r="A2700">
        <v>1888</v>
      </c>
      <c r="B2700" s="16">
        <v>43800</v>
      </c>
      <c r="C2700" t="s">
        <v>192</v>
      </c>
      <c r="D2700" s="21">
        <v>19220000</v>
      </c>
      <c r="E2700" s="21">
        <v>-19220000</v>
      </c>
      <c r="F2700" s="21">
        <v>0</v>
      </c>
    </row>
    <row r="2701" spans="1:6" x14ac:dyDescent="0.25">
      <c r="A2701">
        <v>1888</v>
      </c>
      <c r="B2701" s="16">
        <v>43800</v>
      </c>
      <c r="C2701" t="s">
        <v>19</v>
      </c>
      <c r="D2701" s="21">
        <v>3170664</v>
      </c>
      <c r="E2701" s="21">
        <v>-3170664</v>
      </c>
      <c r="F2701" s="21">
        <v>0</v>
      </c>
    </row>
    <row r="2702" spans="1:6" x14ac:dyDescent="0.25">
      <c r="A2702">
        <v>1888</v>
      </c>
      <c r="B2702" s="16">
        <v>43800</v>
      </c>
      <c r="C2702" t="s">
        <v>38</v>
      </c>
      <c r="D2702" s="21">
        <v>4006799.9999999995</v>
      </c>
      <c r="E2702" s="21">
        <v>-4006799.9999999995</v>
      </c>
      <c r="F2702" s="21">
        <v>0</v>
      </c>
    </row>
    <row r="2703" spans="1:6" x14ac:dyDescent="0.25">
      <c r="A2703">
        <v>1888</v>
      </c>
      <c r="B2703" s="16">
        <v>43800</v>
      </c>
      <c r="C2703" t="s">
        <v>12</v>
      </c>
      <c r="D2703" s="21">
        <v>8741250</v>
      </c>
      <c r="E2703" s="21">
        <v>-8741250</v>
      </c>
      <c r="F2703" s="21">
        <v>0</v>
      </c>
    </row>
    <row r="2704" spans="1:6" x14ac:dyDescent="0.25">
      <c r="A2704">
        <v>1888</v>
      </c>
      <c r="B2704" s="16">
        <v>43800</v>
      </c>
      <c r="C2704" t="s">
        <v>39</v>
      </c>
      <c r="D2704" s="21">
        <v>4725000</v>
      </c>
      <c r="E2704" s="21">
        <v>-4725000</v>
      </c>
      <c r="F2704" s="21">
        <v>0</v>
      </c>
    </row>
    <row r="2705" spans="1:6" x14ac:dyDescent="0.25">
      <c r="A2705">
        <v>1888</v>
      </c>
      <c r="B2705" s="16">
        <v>43831</v>
      </c>
      <c r="C2705" t="s">
        <v>192</v>
      </c>
      <c r="D2705" s="21">
        <v>19220000</v>
      </c>
      <c r="E2705" s="21">
        <v>-19220000</v>
      </c>
      <c r="F2705" s="21">
        <v>0</v>
      </c>
    </row>
    <row r="2706" spans="1:6" x14ac:dyDescent="0.25">
      <c r="A2706">
        <v>1888</v>
      </c>
      <c r="B2706" s="16">
        <v>43831</v>
      </c>
      <c r="C2706" t="s">
        <v>19</v>
      </c>
      <c r="D2706" s="21">
        <v>3170664</v>
      </c>
      <c r="E2706" s="21">
        <v>-3170664</v>
      </c>
      <c r="F2706" s="21">
        <v>0</v>
      </c>
    </row>
    <row r="2707" spans="1:6" x14ac:dyDescent="0.25">
      <c r="A2707">
        <v>1888</v>
      </c>
      <c r="B2707" s="16">
        <v>43831</v>
      </c>
      <c r="C2707" t="s">
        <v>38</v>
      </c>
      <c r="D2707" s="21">
        <v>4006799.9999999995</v>
      </c>
      <c r="E2707" s="21">
        <v>-4006799.9999999995</v>
      </c>
      <c r="F2707" s="21">
        <v>0</v>
      </c>
    </row>
    <row r="2708" spans="1:6" x14ac:dyDescent="0.25">
      <c r="A2708">
        <v>1888</v>
      </c>
      <c r="B2708" s="16">
        <v>43831</v>
      </c>
      <c r="C2708" t="s">
        <v>12</v>
      </c>
      <c r="D2708" s="21">
        <v>8741250</v>
      </c>
      <c r="E2708" s="21">
        <v>-8741250</v>
      </c>
      <c r="F2708" s="21">
        <v>0</v>
      </c>
    </row>
    <row r="2709" spans="1:6" x14ac:dyDescent="0.25">
      <c r="A2709">
        <v>1888</v>
      </c>
      <c r="B2709" s="16">
        <v>43831</v>
      </c>
      <c r="C2709" t="s">
        <v>39</v>
      </c>
      <c r="D2709" s="21">
        <v>4725000</v>
      </c>
      <c r="E2709" s="21">
        <v>-4725000</v>
      </c>
      <c r="F2709" s="21">
        <v>0</v>
      </c>
    </row>
    <row r="2710" spans="1:6" x14ac:dyDescent="0.25">
      <c r="A2710">
        <v>1888</v>
      </c>
      <c r="B2710" s="16">
        <v>43862</v>
      </c>
      <c r="C2710" t="s">
        <v>12</v>
      </c>
      <c r="D2710" s="21">
        <v>8741250</v>
      </c>
      <c r="E2710" s="21">
        <v>-8741250</v>
      </c>
      <c r="F2710" s="21">
        <v>0</v>
      </c>
    </row>
    <row r="2711" spans="1:6" x14ac:dyDescent="0.25">
      <c r="A2711">
        <v>1888</v>
      </c>
      <c r="B2711" s="16">
        <v>43862</v>
      </c>
      <c r="C2711" t="s">
        <v>192</v>
      </c>
      <c r="D2711" s="21">
        <v>19220000</v>
      </c>
      <c r="E2711" s="21">
        <v>-19220000</v>
      </c>
      <c r="F2711" s="21">
        <v>0</v>
      </c>
    </row>
    <row r="2712" spans="1:6" x14ac:dyDescent="0.25">
      <c r="A2712">
        <v>1888</v>
      </c>
      <c r="B2712" s="16">
        <v>43862</v>
      </c>
      <c r="C2712" t="s">
        <v>19</v>
      </c>
      <c r="D2712" s="21">
        <v>3170664</v>
      </c>
      <c r="E2712" s="21">
        <v>-3170664</v>
      </c>
      <c r="F2712" s="21">
        <v>0</v>
      </c>
    </row>
    <row r="2713" spans="1:6" x14ac:dyDescent="0.25">
      <c r="A2713">
        <v>1888</v>
      </c>
      <c r="B2713" s="16">
        <v>43862</v>
      </c>
      <c r="C2713" t="s">
        <v>39</v>
      </c>
      <c r="D2713" s="21">
        <v>4725000</v>
      </c>
      <c r="E2713" s="21">
        <v>-4725000</v>
      </c>
      <c r="F2713" s="21">
        <v>0</v>
      </c>
    </row>
    <row r="2714" spans="1:6" x14ac:dyDescent="0.25">
      <c r="A2714">
        <v>1888</v>
      </c>
      <c r="B2714" s="16">
        <v>43891</v>
      </c>
      <c r="C2714" t="s">
        <v>19</v>
      </c>
      <c r="D2714" s="21">
        <v>3170664</v>
      </c>
      <c r="E2714" s="21">
        <v>-3170664</v>
      </c>
      <c r="F2714" s="21">
        <v>0</v>
      </c>
    </row>
    <row r="2715" spans="1:6" x14ac:dyDescent="0.25">
      <c r="A2715">
        <v>1888</v>
      </c>
      <c r="B2715" s="16">
        <v>43922</v>
      </c>
      <c r="C2715" t="s">
        <v>19</v>
      </c>
      <c r="D2715" s="21">
        <v>3170664</v>
      </c>
      <c r="E2715" s="21">
        <v>-3170664</v>
      </c>
      <c r="F2715" s="21">
        <v>0</v>
      </c>
    </row>
    <row r="2716" spans="1:6" x14ac:dyDescent="0.25">
      <c r="A2716">
        <v>1888</v>
      </c>
      <c r="B2716" s="16">
        <v>43952</v>
      </c>
      <c r="C2716" t="s">
        <v>19</v>
      </c>
      <c r="D2716" s="21">
        <v>3170664</v>
      </c>
      <c r="E2716" s="21">
        <v>-3170664</v>
      </c>
      <c r="F2716" s="21">
        <v>0</v>
      </c>
    </row>
    <row r="2717" spans="1:6" x14ac:dyDescent="0.25">
      <c r="A2717">
        <v>1890</v>
      </c>
      <c r="B2717" s="16">
        <v>43466</v>
      </c>
      <c r="C2717" t="s">
        <v>12</v>
      </c>
      <c r="D2717" s="21">
        <v>9450000</v>
      </c>
      <c r="E2717" s="21">
        <v>-9450000</v>
      </c>
      <c r="F2717" s="21">
        <v>0</v>
      </c>
    </row>
    <row r="2718" spans="1:6" x14ac:dyDescent="0.25">
      <c r="A2718">
        <v>1890</v>
      </c>
      <c r="B2718" s="16">
        <v>43466</v>
      </c>
      <c r="C2718" t="s">
        <v>19</v>
      </c>
      <c r="D2718" s="21">
        <v>3868074.0000000005</v>
      </c>
      <c r="E2718" s="21">
        <v>-3868074.0000000005</v>
      </c>
      <c r="F2718" s="21">
        <v>0</v>
      </c>
    </row>
    <row r="2719" spans="1:6" x14ac:dyDescent="0.25">
      <c r="A2719">
        <v>1890</v>
      </c>
      <c r="B2719" s="16">
        <v>43466</v>
      </c>
      <c r="C2719" t="s">
        <v>192</v>
      </c>
      <c r="D2719" s="21">
        <v>12000000</v>
      </c>
      <c r="E2719" s="21">
        <v>-12000000</v>
      </c>
      <c r="F2719" s="21">
        <v>0</v>
      </c>
    </row>
    <row r="2720" spans="1:6" x14ac:dyDescent="0.25">
      <c r="A2720">
        <v>1890</v>
      </c>
      <c r="B2720" s="16">
        <v>43497</v>
      </c>
      <c r="C2720" t="s">
        <v>12</v>
      </c>
      <c r="D2720" s="21">
        <v>9450000</v>
      </c>
      <c r="E2720" s="21">
        <v>-9450000</v>
      </c>
      <c r="F2720" s="21">
        <v>0</v>
      </c>
    </row>
    <row r="2721" spans="1:6" x14ac:dyDescent="0.25">
      <c r="A2721">
        <v>1890</v>
      </c>
      <c r="B2721" s="16">
        <v>43497</v>
      </c>
      <c r="C2721" t="s">
        <v>192</v>
      </c>
      <c r="D2721" s="21">
        <v>12000000</v>
      </c>
      <c r="E2721" s="21">
        <v>-12000000</v>
      </c>
      <c r="F2721" s="21">
        <v>0</v>
      </c>
    </row>
    <row r="2722" spans="1:6" x14ac:dyDescent="0.25">
      <c r="A2722">
        <v>1890</v>
      </c>
      <c r="B2722" s="16">
        <v>43497</v>
      </c>
      <c r="C2722" t="s">
        <v>19</v>
      </c>
      <c r="D2722" s="21">
        <v>3868074.0000000005</v>
      </c>
      <c r="E2722" s="21">
        <v>-3868074.0000000005</v>
      </c>
      <c r="F2722" s="21">
        <v>0</v>
      </c>
    </row>
    <row r="2723" spans="1:6" x14ac:dyDescent="0.25">
      <c r="A2723">
        <v>1890</v>
      </c>
      <c r="B2723" s="16">
        <v>43497</v>
      </c>
      <c r="C2723" t="s">
        <v>97</v>
      </c>
      <c r="D2723" s="21">
        <v>4006799.9999999995</v>
      </c>
      <c r="E2723" s="21">
        <v>-4006799.9999999995</v>
      </c>
      <c r="F2723" s="21">
        <v>0</v>
      </c>
    </row>
    <row r="2724" spans="1:6" x14ac:dyDescent="0.25">
      <c r="A2724">
        <v>1890</v>
      </c>
      <c r="B2724" s="16">
        <v>43525</v>
      </c>
      <c r="C2724" t="s">
        <v>12</v>
      </c>
      <c r="D2724" s="21">
        <v>9450000</v>
      </c>
      <c r="E2724" s="21">
        <v>-9450000</v>
      </c>
      <c r="F2724" s="21">
        <v>0</v>
      </c>
    </row>
    <row r="2725" spans="1:6" x14ac:dyDescent="0.25">
      <c r="A2725">
        <v>1890</v>
      </c>
      <c r="B2725" s="16">
        <v>43525</v>
      </c>
      <c r="C2725" t="s">
        <v>192</v>
      </c>
      <c r="D2725" s="21">
        <v>12000000</v>
      </c>
      <c r="E2725" s="21">
        <v>-12000000</v>
      </c>
      <c r="F2725" s="21">
        <v>0</v>
      </c>
    </row>
    <row r="2726" spans="1:6" x14ac:dyDescent="0.25">
      <c r="A2726">
        <v>1890</v>
      </c>
      <c r="B2726" s="16">
        <v>43525</v>
      </c>
      <c r="C2726" t="s">
        <v>19</v>
      </c>
      <c r="D2726" s="21">
        <v>3868074.0000000005</v>
      </c>
      <c r="E2726" s="21">
        <v>-3868074.0000000005</v>
      </c>
      <c r="F2726" s="21">
        <v>0</v>
      </c>
    </row>
    <row r="2727" spans="1:6" x14ac:dyDescent="0.25">
      <c r="A2727">
        <v>1890</v>
      </c>
      <c r="B2727" s="16">
        <v>43525</v>
      </c>
      <c r="C2727" t="s">
        <v>97</v>
      </c>
      <c r="D2727" s="21">
        <v>4006799.9999999995</v>
      </c>
      <c r="E2727" s="21">
        <v>-4006799.9999999995</v>
      </c>
      <c r="F2727" s="21">
        <v>0</v>
      </c>
    </row>
    <row r="2728" spans="1:6" x14ac:dyDescent="0.25">
      <c r="A2728">
        <v>1890</v>
      </c>
      <c r="B2728" s="16">
        <v>43556</v>
      </c>
      <c r="C2728" t="s">
        <v>12</v>
      </c>
      <c r="D2728" s="21">
        <v>9450000</v>
      </c>
      <c r="E2728" s="21">
        <v>-9450000</v>
      </c>
      <c r="F2728" s="21">
        <v>0</v>
      </c>
    </row>
    <row r="2729" spans="1:6" x14ac:dyDescent="0.25">
      <c r="A2729">
        <v>1890</v>
      </c>
      <c r="B2729" s="16">
        <v>43556</v>
      </c>
      <c r="C2729" t="s">
        <v>192</v>
      </c>
      <c r="D2729" s="21">
        <v>12000000</v>
      </c>
      <c r="E2729" s="21">
        <v>-12000000</v>
      </c>
      <c r="F2729" s="21">
        <v>0</v>
      </c>
    </row>
    <row r="2730" spans="1:6" x14ac:dyDescent="0.25">
      <c r="A2730">
        <v>1890</v>
      </c>
      <c r="B2730" s="16">
        <v>43556</v>
      </c>
      <c r="C2730" t="s">
        <v>19</v>
      </c>
      <c r="D2730" s="21">
        <v>3868074.0000000005</v>
      </c>
      <c r="E2730" s="21">
        <v>-3868074.0000000005</v>
      </c>
      <c r="F2730" s="21">
        <v>0</v>
      </c>
    </row>
    <row r="2731" spans="1:6" x14ac:dyDescent="0.25">
      <c r="A2731">
        <v>1890</v>
      </c>
      <c r="B2731" s="16">
        <v>43556</v>
      </c>
      <c r="C2731" t="s">
        <v>97</v>
      </c>
      <c r="D2731" s="21">
        <v>4006799.9999999995</v>
      </c>
      <c r="E2731" s="21">
        <v>-4006799.9999999995</v>
      </c>
      <c r="F2731" s="21">
        <v>0</v>
      </c>
    </row>
    <row r="2732" spans="1:6" x14ac:dyDescent="0.25">
      <c r="A2732">
        <v>1890</v>
      </c>
      <c r="B2732" s="16">
        <v>43586</v>
      </c>
      <c r="C2732" t="s">
        <v>12</v>
      </c>
      <c r="D2732" s="21">
        <v>9450000</v>
      </c>
      <c r="E2732" s="21">
        <v>-9450000</v>
      </c>
      <c r="F2732" s="21">
        <v>0</v>
      </c>
    </row>
    <row r="2733" spans="1:6" x14ac:dyDescent="0.25">
      <c r="A2733">
        <v>1890</v>
      </c>
      <c r="B2733" s="16">
        <v>43586</v>
      </c>
      <c r="C2733" t="s">
        <v>192</v>
      </c>
      <c r="D2733" s="21">
        <v>12000000</v>
      </c>
      <c r="E2733" s="21">
        <v>-12000000</v>
      </c>
      <c r="F2733" s="21">
        <v>0</v>
      </c>
    </row>
    <row r="2734" spans="1:6" x14ac:dyDescent="0.25">
      <c r="A2734">
        <v>1890</v>
      </c>
      <c r="B2734" s="16">
        <v>43586</v>
      </c>
      <c r="C2734" t="s">
        <v>19</v>
      </c>
      <c r="D2734" s="21">
        <v>3868074.0000000005</v>
      </c>
      <c r="E2734" s="21">
        <v>-3868074.0000000005</v>
      </c>
      <c r="F2734" s="21">
        <v>0</v>
      </c>
    </row>
    <row r="2735" spans="1:6" x14ac:dyDescent="0.25">
      <c r="A2735">
        <v>1890</v>
      </c>
      <c r="B2735" s="16">
        <v>43586</v>
      </c>
      <c r="C2735" t="s">
        <v>97</v>
      </c>
      <c r="D2735" s="21">
        <v>4006799.9999999995</v>
      </c>
      <c r="E2735" s="21">
        <v>-4006799.9999999995</v>
      </c>
      <c r="F2735" s="21">
        <v>0</v>
      </c>
    </row>
    <row r="2736" spans="1:6" x14ac:dyDescent="0.25">
      <c r="A2736">
        <v>1890</v>
      </c>
      <c r="B2736" s="16">
        <v>43617</v>
      </c>
      <c r="C2736" t="s">
        <v>12</v>
      </c>
      <c r="D2736" s="21">
        <v>9450000</v>
      </c>
      <c r="E2736" s="21">
        <v>-9450000</v>
      </c>
      <c r="F2736" s="21">
        <v>0</v>
      </c>
    </row>
    <row r="2737" spans="1:6" x14ac:dyDescent="0.25">
      <c r="A2737">
        <v>1890</v>
      </c>
      <c r="B2737" s="16">
        <v>43617</v>
      </c>
      <c r="C2737" t="s">
        <v>192</v>
      </c>
      <c r="D2737" s="21">
        <v>12000000</v>
      </c>
      <c r="E2737" s="21">
        <v>-12000000</v>
      </c>
      <c r="F2737" s="21">
        <v>0</v>
      </c>
    </row>
    <row r="2738" spans="1:6" x14ac:dyDescent="0.25">
      <c r="A2738">
        <v>1890</v>
      </c>
      <c r="B2738" s="16">
        <v>43617</v>
      </c>
      <c r="C2738" t="s">
        <v>19</v>
      </c>
      <c r="D2738" s="21">
        <v>3868074.0000000005</v>
      </c>
      <c r="E2738" s="21">
        <v>-3868074.0000000005</v>
      </c>
      <c r="F2738" s="21">
        <v>0</v>
      </c>
    </row>
    <row r="2739" spans="1:6" x14ac:dyDescent="0.25">
      <c r="A2739">
        <v>1890</v>
      </c>
      <c r="B2739" s="16">
        <v>43617</v>
      </c>
      <c r="C2739" t="s">
        <v>97</v>
      </c>
      <c r="D2739" s="21">
        <v>4006799.9999999995</v>
      </c>
      <c r="E2739" s="21">
        <v>-4006799.9999999995</v>
      </c>
      <c r="F2739" s="21">
        <v>0</v>
      </c>
    </row>
    <row r="2740" spans="1:6" x14ac:dyDescent="0.25">
      <c r="A2740">
        <v>1890</v>
      </c>
      <c r="B2740" s="16">
        <v>43647</v>
      </c>
      <c r="C2740" t="s">
        <v>12</v>
      </c>
      <c r="D2740" s="21">
        <v>9450000</v>
      </c>
      <c r="E2740" s="21">
        <v>-9450000</v>
      </c>
      <c r="F2740" s="21">
        <v>0</v>
      </c>
    </row>
    <row r="2741" spans="1:6" x14ac:dyDescent="0.25">
      <c r="A2741">
        <v>1890</v>
      </c>
      <c r="B2741" s="16">
        <v>43647</v>
      </c>
      <c r="C2741" t="s">
        <v>192</v>
      </c>
      <c r="D2741" s="21">
        <v>12000000</v>
      </c>
      <c r="E2741" s="21">
        <v>-12000000</v>
      </c>
      <c r="F2741" s="21">
        <v>0</v>
      </c>
    </row>
    <row r="2742" spans="1:6" x14ac:dyDescent="0.25">
      <c r="A2742">
        <v>1890</v>
      </c>
      <c r="B2742" s="16">
        <v>43647</v>
      </c>
      <c r="C2742" t="s">
        <v>19</v>
      </c>
      <c r="D2742" s="21">
        <v>3868074.0000000005</v>
      </c>
      <c r="E2742" s="21">
        <v>-3868074.0000000005</v>
      </c>
      <c r="F2742" s="21">
        <v>0</v>
      </c>
    </row>
    <row r="2743" spans="1:6" x14ac:dyDescent="0.25">
      <c r="A2743">
        <v>1890</v>
      </c>
      <c r="B2743" s="16">
        <v>43647</v>
      </c>
      <c r="C2743" t="s">
        <v>97</v>
      </c>
      <c r="D2743" s="21">
        <v>4006799.9999999995</v>
      </c>
      <c r="E2743" s="21">
        <v>-4006799.9999999995</v>
      </c>
      <c r="F2743" s="21">
        <v>0</v>
      </c>
    </row>
    <row r="2744" spans="1:6" x14ac:dyDescent="0.25">
      <c r="A2744">
        <v>1890</v>
      </c>
      <c r="B2744" s="16">
        <v>43678</v>
      </c>
      <c r="C2744" t="s">
        <v>12</v>
      </c>
      <c r="D2744" s="21">
        <v>9450000</v>
      </c>
      <c r="E2744" s="21">
        <v>-9450000</v>
      </c>
      <c r="F2744" s="21">
        <v>0</v>
      </c>
    </row>
    <row r="2745" spans="1:6" x14ac:dyDescent="0.25">
      <c r="A2745">
        <v>1890</v>
      </c>
      <c r="B2745" s="16">
        <v>43678</v>
      </c>
      <c r="C2745" t="s">
        <v>192</v>
      </c>
      <c r="D2745" s="21">
        <v>12000000</v>
      </c>
      <c r="E2745" s="21">
        <v>-12000000</v>
      </c>
      <c r="F2745" s="21">
        <v>0</v>
      </c>
    </row>
    <row r="2746" spans="1:6" x14ac:dyDescent="0.25">
      <c r="A2746">
        <v>1890</v>
      </c>
      <c r="B2746" s="16">
        <v>43678</v>
      </c>
      <c r="C2746" t="s">
        <v>19</v>
      </c>
      <c r="D2746" s="21">
        <v>3868074.0000000005</v>
      </c>
      <c r="E2746" s="21">
        <v>-3868074.0000000005</v>
      </c>
      <c r="F2746" s="21">
        <v>0</v>
      </c>
    </row>
    <row r="2747" spans="1:6" x14ac:dyDescent="0.25">
      <c r="A2747">
        <v>1890</v>
      </c>
      <c r="B2747" s="16">
        <v>43678</v>
      </c>
      <c r="C2747" t="s">
        <v>97</v>
      </c>
      <c r="D2747" s="21">
        <v>4006799.9999999995</v>
      </c>
      <c r="E2747" s="21">
        <v>-4006799.9999999995</v>
      </c>
      <c r="F2747" s="21">
        <v>0</v>
      </c>
    </row>
    <row r="2748" spans="1:6" x14ac:dyDescent="0.25">
      <c r="A2748">
        <v>1890</v>
      </c>
      <c r="B2748" s="16">
        <v>43709</v>
      </c>
      <c r="C2748" t="s">
        <v>12</v>
      </c>
      <c r="D2748" s="21">
        <v>9450000</v>
      </c>
      <c r="E2748" s="21">
        <v>-9450000</v>
      </c>
      <c r="F2748" s="21">
        <v>0</v>
      </c>
    </row>
    <row r="2749" spans="1:6" x14ac:dyDescent="0.25">
      <c r="A2749">
        <v>1890</v>
      </c>
      <c r="B2749" s="16">
        <v>43709</v>
      </c>
      <c r="C2749" t="s">
        <v>192</v>
      </c>
      <c r="D2749" s="21">
        <v>12000000</v>
      </c>
      <c r="E2749" s="21">
        <v>-12000000</v>
      </c>
      <c r="F2749" s="21">
        <v>0</v>
      </c>
    </row>
    <row r="2750" spans="1:6" x14ac:dyDescent="0.25">
      <c r="A2750">
        <v>1890</v>
      </c>
      <c r="B2750" s="16">
        <v>43709</v>
      </c>
      <c r="C2750" t="s">
        <v>19</v>
      </c>
      <c r="D2750" s="21">
        <v>3868074.0000000005</v>
      </c>
      <c r="E2750" s="21">
        <v>-3868074.0000000005</v>
      </c>
      <c r="F2750" s="21">
        <v>0</v>
      </c>
    </row>
    <row r="2751" spans="1:6" x14ac:dyDescent="0.25">
      <c r="A2751">
        <v>1890</v>
      </c>
      <c r="B2751" s="16">
        <v>43709</v>
      </c>
      <c r="C2751" t="s">
        <v>97</v>
      </c>
      <c r="D2751" s="21">
        <v>4006799.9999999995</v>
      </c>
      <c r="E2751" s="21">
        <v>-4006799.9999999995</v>
      </c>
      <c r="F2751" s="21">
        <v>0</v>
      </c>
    </row>
    <row r="2752" spans="1:6" x14ac:dyDescent="0.25">
      <c r="A2752">
        <v>1890</v>
      </c>
      <c r="B2752" s="16">
        <v>43739</v>
      </c>
      <c r="C2752" t="s">
        <v>12</v>
      </c>
      <c r="D2752" s="21">
        <v>9450000</v>
      </c>
      <c r="E2752" s="21">
        <v>-9450000</v>
      </c>
      <c r="F2752" s="21">
        <v>0</v>
      </c>
    </row>
    <row r="2753" spans="1:6" x14ac:dyDescent="0.25">
      <c r="A2753">
        <v>1890</v>
      </c>
      <c r="B2753" s="16">
        <v>43739</v>
      </c>
      <c r="C2753" t="s">
        <v>192</v>
      </c>
      <c r="D2753" s="21">
        <v>12000000</v>
      </c>
      <c r="E2753" s="21">
        <v>-12000000</v>
      </c>
      <c r="F2753" s="21">
        <v>0</v>
      </c>
    </row>
    <row r="2754" spans="1:6" x14ac:dyDescent="0.25">
      <c r="A2754">
        <v>1890</v>
      </c>
      <c r="B2754" s="16">
        <v>43739</v>
      </c>
      <c r="C2754" t="s">
        <v>19</v>
      </c>
      <c r="D2754" s="21">
        <v>3868074.0000000005</v>
      </c>
      <c r="E2754" s="21">
        <v>-3868074.0000000005</v>
      </c>
      <c r="F2754" s="21">
        <v>0</v>
      </c>
    </row>
    <row r="2755" spans="1:6" x14ac:dyDescent="0.25">
      <c r="A2755">
        <v>1890</v>
      </c>
      <c r="B2755" s="16">
        <v>43739</v>
      </c>
      <c r="C2755" t="s">
        <v>97</v>
      </c>
      <c r="D2755" s="21">
        <v>4006799.9999999995</v>
      </c>
      <c r="E2755" s="21">
        <v>-4006799.9999999995</v>
      </c>
      <c r="F2755" s="21">
        <v>0</v>
      </c>
    </row>
    <row r="2756" spans="1:6" x14ac:dyDescent="0.25">
      <c r="A2756">
        <v>1890</v>
      </c>
      <c r="B2756" s="16">
        <v>43770</v>
      </c>
      <c r="C2756" t="s">
        <v>12</v>
      </c>
      <c r="D2756" s="21">
        <v>9450000</v>
      </c>
      <c r="E2756" s="21">
        <v>-9450000</v>
      </c>
      <c r="F2756" s="21">
        <v>0</v>
      </c>
    </row>
    <row r="2757" spans="1:6" x14ac:dyDescent="0.25">
      <c r="A2757">
        <v>1890</v>
      </c>
      <c r="B2757" s="16">
        <v>43770</v>
      </c>
      <c r="C2757" t="s">
        <v>192</v>
      </c>
      <c r="D2757" s="21">
        <v>12000000</v>
      </c>
      <c r="E2757" s="21">
        <v>-12000000</v>
      </c>
      <c r="F2757" s="21">
        <v>0</v>
      </c>
    </row>
    <row r="2758" spans="1:6" x14ac:dyDescent="0.25">
      <c r="A2758">
        <v>1890</v>
      </c>
      <c r="B2758" s="16">
        <v>43770</v>
      </c>
      <c r="C2758" t="s">
        <v>19</v>
      </c>
      <c r="D2758" s="21">
        <v>3868074.0000000005</v>
      </c>
      <c r="E2758" s="21">
        <v>-3868074.0000000005</v>
      </c>
      <c r="F2758" s="21">
        <v>0</v>
      </c>
    </row>
    <row r="2759" spans="1:6" x14ac:dyDescent="0.25">
      <c r="A2759">
        <v>1890</v>
      </c>
      <c r="B2759" s="16">
        <v>43770</v>
      </c>
      <c r="C2759" t="s">
        <v>97</v>
      </c>
      <c r="D2759" s="21">
        <v>4006799.9999999995</v>
      </c>
      <c r="E2759" s="21">
        <v>-4006799.9999999995</v>
      </c>
      <c r="F2759" s="21">
        <v>0</v>
      </c>
    </row>
    <row r="2760" spans="1:6" x14ac:dyDescent="0.25">
      <c r="A2760">
        <v>1890</v>
      </c>
      <c r="B2760" s="16">
        <v>43800</v>
      </c>
      <c r="C2760" t="s">
        <v>12</v>
      </c>
      <c r="D2760" s="21">
        <v>9450000</v>
      </c>
      <c r="E2760" s="21">
        <v>-9450000</v>
      </c>
      <c r="F2760" s="21">
        <v>0</v>
      </c>
    </row>
    <row r="2761" spans="1:6" x14ac:dyDescent="0.25">
      <c r="A2761">
        <v>1890</v>
      </c>
      <c r="B2761" s="16">
        <v>43800</v>
      </c>
      <c r="C2761" t="s">
        <v>192</v>
      </c>
      <c r="D2761" s="21">
        <v>12000000</v>
      </c>
      <c r="E2761" s="21">
        <v>-12000000</v>
      </c>
      <c r="F2761" s="21">
        <v>0</v>
      </c>
    </row>
    <row r="2762" spans="1:6" x14ac:dyDescent="0.25">
      <c r="A2762">
        <v>1890</v>
      </c>
      <c r="B2762" s="16">
        <v>43800</v>
      </c>
      <c r="C2762" t="s">
        <v>19</v>
      </c>
      <c r="D2762" s="21">
        <v>3868074.0000000005</v>
      </c>
      <c r="E2762" s="21">
        <v>-3868074.0000000005</v>
      </c>
      <c r="F2762" s="21">
        <v>0</v>
      </c>
    </row>
    <row r="2763" spans="1:6" x14ac:dyDescent="0.25">
      <c r="A2763">
        <v>1890</v>
      </c>
      <c r="B2763" s="16">
        <v>43800</v>
      </c>
      <c r="C2763" t="s">
        <v>97</v>
      </c>
      <c r="D2763" s="21">
        <v>4006799.9999999995</v>
      </c>
      <c r="E2763" s="21">
        <v>-4006799.9999999995</v>
      </c>
      <c r="F2763" s="21">
        <v>0</v>
      </c>
    </row>
    <row r="2764" spans="1:6" x14ac:dyDescent="0.25">
      <c r="A2764">
        <v>1890</v>
      </c>
      <c r="B2764" s="16">
        <v>43831</v>
      </c>
      <c r="C2764" t="s">
        <v>97</v>
      </c>
      <c r="D2764" s="21">
        <v>4006799.9999999995</v>
      </c>
      <c r="E2764" s="21">
        <v>-4006799.9999999995</v>
      </c>
      <c r="F2764" s="21">
        <v>0</v>
      </c>
    </row>
    <row r="2765" spans="1:6" x14ac:dyDescent="0.25">
      <c r="A2765">
        <v>1890</v>
      </c>
      <c r="B2765" s="16">
        <v>43831</v>
      </c>
      <c r="C2765" t="s">
        <v>19</v>
      </c>
      <c r="D2765" s="21">
        <v>3868074.0000000005</v>
      </c>
      <c r="E2765" s="21">
        <v>-3868074.0000000005</v>
      </c>
      <c r="F2765" s="21">
        <v>0</v>
      </c>
    </row>
    <row r="2766" spans="1:6" x14ac:dyDescent="0.25">
      <c r="A2766">
        <v>1890</v>
      </c>
      <c r="B2766" s="16">
        <v>43831</v>
      </c>
      <c r="C2766" t="s">
        <v>23</v>
      </c>
      <c r="D2766" s="21">
        <v>4006799.9999999995</v>
      </c>
      <c r="E2766" s="21">
        <v>-4006799.9999999995</v>
      </c>
      <c r="F2766" s="21">
        <v>0</v>
      </c>
    </row>
    <row r="2767" spans="1:6" x14ac:dyDescent="0.25">
      <c r="A2767">
        <v>1890</v>
      </c>
      <c r="B2767" s="16">
        <v>43831</v>
      </c>
      <c r="C2767" t="s">
        <v>192</v>
      </c>
      <c r="D2767" s="21">
        <v>12000000</v>
      </c>
      <c r="E2767" s="21">
        <v>-12000000</v>
      </c>
      <c r="F2767" s="21">
        <v>0</v>
      </c>
    </row>
    <row r="2768" spans="1:6" x14ac:dyDescent="0.25">
      <c r="A2768">
        <v>1890</v>
      </c>
      <c r="B2768" s="16">
        <v>43831</v>
      </c>
      <c r="C2768" t="s">
        <v>39</v>
      </c>
      <c r="D2768" s="21">
        <v>4095000</v>
      </c>
      <c r="E2768" s="21">
        <v>-4095000</v>
      </c>
      <c r="F2768" s="21">
        <v>0</v>
      </c>
    </row>
    <row r="2769" spans="1:6" x14ac:dyDescent="0.25">
      <c r="A2769">
        <v>1890</v>
      </c>
      <c r="B2769" s="16">
        <v>43831</v>
      </c>
      <c r="C2769" t="s">
        <v>12</v>
      </c>
      <c r="D2769" s="21">
        <v>9450000</v>
      </c>
      <c r="E2769" s="21">
        <v>-9450000</v>
      </c>
      <c r="F2769" s="21">
        <v>0</v>
      </c>
    </row>
    <row r="2770" spans="1:6" x14ac:dyDescent="0.25">
      <c r="A2770">
        <v>1890</v>
      </c>
      <c r="B2770" s="16">
        <v>43831</v>
      </c>
      <c r="C2770" t="s">
        <v>26</v>
      </c>
      <c r="D2770" s="21">
        <v>6221250</v>
      </c>
      <c r="E2770" s="21">
        <v>-6221250</v>
      </c>
      <c r="F2770" s="21">
        <v>0</v>
      </c>
    </row>
    <row r="2771" spans="1:6" x14ac:dyDescent="0.25">
      <c r="A2771">
        <v>1890</v>
      </c>
      <c r="B2771" s="16">
        <v>43862</v>
      </c>
      <c r="C2771" t="s">
        <v>97</v>
      </c>
      <c r="D2771" s="21">
        <v>4006799.9999999995</v>
      </c>
      <c r="E2771" s="21">
        <v>-4006799.9999999995</v>
      </c>
      <c r="F2771" s="21">
        <v>0</v>
      </c>
    </row>
    <row r="2772" spans="1:6" x14ac:dyDescent="0.25">
      <c r="A2772">
        <v>1890</v>
      </c>
      <c r="B2772" s="16">
        <v>43862</v>
      </c>
      <c r="C2772" t="s">
        <v>19</v>
      </c>
      <c r="D2772" s="21">
        <v>3868074.0000000005</v>
      </c>
      <c r="E2772" s="21">
        <v>-3868074.0000000005</v>
      </c>
      <c r="F2772" s="21">
        <v>0</v>
      </c>
    </row>
    <row r="2773" spans="1:6" x14ac:dyDescent="0.25">
      <c r="A2773">
        <v>1890</v>
      </c>
      <c r="B2773" s="16">
        <v>43862</v>
      </c>
      <c r="C2773" t="s">
        <v>23</v>
      </c>
      <c r="D2773" s="21">
        <v>4006799.9999999995</v>
      </c>
      <c r="E2773" s="21">
        <v>-4006799.9999999995</v>
      </c>
      <c r="F2773" s="21">
        <v>0</v>
      </c>
    </row>
    <row r="2774" spans="1:6" x14ac:dyDescent="0.25">
      <c r="A2774">
        <v>1890</v>
      </c>
      <c r="B2774" s="16">
        <v>43862</v>
      </c>
      <c r="C2774" t="s">
        <v>192</v>
      </c>
      <c r="D2774" s="21">
        <v>12000000</v>
      </c>
      <c r="E2774" s="21">
        <v>-12000000</v>
      </c>
      <c r="F2774" s="21">
        <v>0</v>
      </c>
    </row>
    <row r="2775" spans="1:6" x14ac:dyDescent="0.25">
      <c r="A2775">
        <v>1890</v>
      </c>
      <c r="B2775" s="16">
        <v>43862</v>
      </c>
      <c r="C2775" t="s">
        <v>39</v>
      </c>
      <c r="D2775" s="21">
        <v>4095000</v>
      </c>
      <c r="E2775" s="21">
        <v>-4095000</v>
      </c>
      <c r="F2775" s="21">
        <v>0</v>
      </c>
    </row>
    <row r="2776" spans="1:6" x14ac:dyDescent="0.25">
      <c r="A2776">
        <v>1890</v>
      </c>
      <c r="B2776" s="16">
        <v>43862</v>
      </c>
      <c r="C2776" t="s">
        <v>12</v>
      </c>
      <c r="D2776" s="21">
        <v>9450000</v>
      </c>
      <c r="E2776" s="21">
        <v>-9450000</v>
      </c>
      <c r="F2776" s="21">
        <v>0</v>
      </c>
    </row>
    <row r="2777" spans="1:6" x14ac:dyDescent="0.25">
      <c r="A2777">
        <v>1890</v>
      </c>
      <c r="B2777" s="16">
        <v>43862</v>
      </c>
      <c r="C2777" t="s">
        <v>26</v>
      </c>
      <c r="D2777" s="21">
        <v>6221250</v>
      </c>
      <c r="E2777" s="21">
        <v>-6221250</v>
      </c>
      <c r="F2777" s="21">
        <v>0</v>
      </c>
    </row>
    <row r="2778" spans="1:6" x14ac:dyDescent="0.25">
      <c r="A2778">
        <v>1890</v>
      </c>
      <c r="B2778" s="16">
        <v>43891</v>
      </c>
      <c r="C2778" t="s">
        <v>97</v>
      </c>
      <c r="D2778" s="21">
        <v>4006799.9999999995</v>
      </c>
      <c r="E2778" s="21">
        <v>-4006799.9999999995</v>
      </c>
      <c r="F2778" s="21">
        <v>0</v>
      </c>
    </row>
    <row r="2779" spans="1:6" x14ac:dyDescent="0.25">
      <c r="A2779">
        <v>1890</v>
      </c>
      <c r="B2779" s="16">
        <v>43891</v>
      </c>
      <c r="C2779" t="s">
        <v>19</v>
      </c>
      <c r="D2779" s="21">
        <v>3868074.0000000005</v>
      </c>
      <c r="E2779" s="21">
        <v>-3868074.0000000005</v>
      </c>
      <c r="F2779" s="21">
        <v>0</v>
      </c>
    </row>
    <row r="2780" spans="1:6" x14ac:dyDescent="0.25">
      <c r="A2780">
        <v>1890</v>
      </c>
      <c r="B2780" s="16">
        <v>43891</v>
      </c>
      <c r="C2780" t="s">
        <v>23</v>
      </c>
      <c r="D2780" s="21">
        <v>4006799.9999999995</v>
      </c>
      <c r="E2780" s="21">
        <v>-4006799.9999999995</v>
      </c>
      <c r="F2780" s="21">
        <v>0</v>
      </c>
    </row>
    <row r="2781" spans="1:6" x14ac:dyDescent="0.25">
      <c r="A2781">
        <v>1890</v>
      </c>
      <c r="B2781" s="16">
        <v>43891</v>
      </c>
      <c r="C2781" t="s">
        <v>192</v>
      </c>
      <c r="D2781" s="21">
        <v>12000000</v>
      </c>
      <c r="E2781" s="21">
        <v>-12000000</v>
      </c>
      <c r="F2781" s="21">
        <v>0</v>
      </c>
    </row>
    <row r="2782" spans="1:6" x14ac:dyDescent="0.25">
      <c r="A2782">
        <v>1890</v>
      </c>
      <c r="B2782" s="16">
        <v>43891</v>
      </c>
      <c r="C2782" t="s">
        <v>39</v>
      </c>
      <c r="D2782" s="21">
        <v>4095000</v>
      </c>
      <c r="E2782" s="21">
        <v>-4095000</v>
      </c>
      <c r="F2782" s="21">
        <v>0</v>
      </c>
    </row>
    <row r="2783" spans="1:6" x14ac:dyDescent="0.25">
      <c r="A2783">
        <v>1890</v>
      </c>
      <c r="B2783" s="16">
        <v>43891</v>
      </c>
      <c r="C2783" t="s">
        <v>12</v>
      </c>
      <c r="D2783" s="21">
        <v>9450000</v>
      </c>
      <c r="E2783" s="21">
        <v>-9450000</v>
      </c>
      <c r="F2783" s="21">
        <v>0</v>
      </c>
    </row>
    <row r="2784" spans="1:6" x14ac:dyDescent="0.25">
      <c r="A2784">
        <v>1890</v>
      </c>
      <c r="B2784" s="16">
        <v>43891</v>
      </c>
      <c r="C2784" t="s">
        <v>26</v>
      </c>
      <c r="D2784" s="21">
        <v>6221250</v>
      </c>
      <c r="E2784" s="21">
        <v>-6221250</v>
      </c>
      <c r="F2784" s="21">
        <v>0</v>
      </c>
    </row>
    <row r="2785" spans="1:6" x14ac:dyDescent="0.25">
      <c r="A2785">
        <v>1890</v>
      </c>
      <c r="B2785" s="16">
        <v>43922</v>
      </c>
      <c r="C2785" t="s">
        <v>97</v>
      </c>
      <c r="D2785" s="21">
        <v>4006799.9999999995</v>
      </c>
      <c r="E2785" s="21">
        <v>-4006799.9999999995</v>
      </c>
      <c r="F2785" s="21">
        <v>0</v>
      </c>
    </row>
    <row r="2786" spans="1:6" x14ac:dyDescent="0.25">
      <c r="A2786">
        <v>1890</v>
      </c>
      <c r="B2786" s="16">
        <v>43922</v>
      </c>
      <c r="C2786" t="s">
        <v>19</v>
      </c>
      <c r="D2786" s="21">
        <v>3868074.0000000005</v>
      </c>
      <c r="E2786" s="21">
        <v>-3868074.0000000005</v>
      </c>
      <c r="F2786" s="21">
        <v>0</v>
      </c>
    </row>
    <row r="2787" spans="1:6" x14ac:dyDescent="0.25">
      <c r="A2787">
        <v>1890</v>
      </c>
      <c r="B2787" s="16">
        <v>43922</v>
      </c>
      <c r="C2787" t="s">
        <v>23</v>
      </c>
      <c r="D2787" s="21">
        <v>4006799.9999999995</v>
      </c>
      <c r="E2787" s="21">
        <v>-4006799.9999999995</v>
      </c>
      <c r="F2787" s="21">
        <v>0</v>
      </c>
    </row>
    <row r="2788" spans="1:6" x14ac:dyDescent="0.25">
      <c r="A2788">
        <v>1890</v>
      </c>
      <c r="B2788" s="16">
        <v>43922</v>
      </c>
      <c r="C2788" t="s">
        <v>192</v>
      </c>
      <c r="D2788" s="21">
        <v>12000000</v>
      </c>
      <c r="E2788" s="21">
        <v>-12000000</v>
      </c>
      <c r="F2788" s="21">
        <v>0</v>
      </c>
    </row>
    <row r="2789" spans="1:6" x14ac:dyDescent="0.25">
      <c r="A2789">
        <v>1890</v>
      </c>
      <c r="B2789" s="16">
        <v>43922</v>
      </c>
      <c r="C2789" t="s">
        <v>39</v>
      </c>
      <c r="D2789" s="21">
        <v>4095000</v>
      </c>
      <c r="E2789" s="21">
        <v>-4095000</v>
      </c>
      <c r="F2789" s="21">
        <v>0</v>
      </c>
    </row>
    <row r="2790" spans="1:6" x14ac:dyDescent="0.25">
      <c r="A2790">
        <v>1890</v>
      </c>
      <c r="B2790" s="16">
        <v>43922</v>
      </c>
      <c r="C2790" t="s">
        <v>12</v>
      </c>
      <c r="D2790" s="21">
        <v>9450000</v>
      </c>
      <c r="E2790" s="21">
        <v>-9450000</v>
      </c>
      <c r="F2790" s="21">
        <v>0</v>
      </c>
    </row>
    <row r="2791" spans="1:6" x14ac:dyDescent="0.25">
      <c r="A2791">
        <v>1890</v>
      </c>
      <c r="B2791" s="16">
        <v>43922</v>
      </c>
      <c r="C2791" t="s">
        <v>26</v>
      </c>
      <c r="D2791" s="21">
        <v>6221250</v>
      </c>
      <c r="E2791" s="21">
        <v>-6221250</v>
      </c>
      <c r="F2791" s="21">
        <v>0</v>
      </c>
    </row>
    <row r="2792" spans="1:6" x14ac:dyDescent="0.25">
      <c r="A2792">
        <v>1890</v>
      </c>
      <c r="B2792" s="16">
        <v>43952</v>
      </c>
      <c r="C2792" t="s">
        <v>97</v>
      </c>
      <c r="D2792" s="21">
        <v>4006799.9999999995</v>
      </c>
      <c r="E2792" s="21">
        <v>-4006799.9999999995</v>
      </c>
      <c r="F2792" s="21">
        <v>0</v>
      </c>
    </row>
    <row r="2793" spans="1:6" x14ac:dyDescent="0.25">
      <c r="A2793">
        <v>1890</v>
      </c>
      <c r="B2793" s="16">
        <v>43952</v>
      </c>
      <c r="C2793" t="s">
        <v>19</v>
      </c>
      <c r="D2793" s="21">
        <v>3868074.0000000005</v>
      </c>
      <c r="E2793" s="21">
        <v>-3868074.0000000005</v>
      </c>
      <c r="F2793" s="21">
        <v>0</v>
      </c>
    </row>
    <row r="2794" spans="1:6" x14ac:dyDescent="0.25">
      <c r="A2794">
        <v>1890</v>
      </c>
      <c r="B2794" s="16">
        <v>43952</v>
      </c>
      <c r="C2794" t="s">
        <v>23</v>
      </c>
      <c r="D2794" s="21">
        <v>4006799.9999999995</v>
      </c>
      <c r="E2794" s="21">
        <v>-4006799.9999999995</v>
      </c>
      <c r="F2794" s="21">
        <v>0</v>
      </c>
    </row>
    <row r="2795" spans="1:6" x14ac:dyDescent="0.25">
      <c r="A2795">
        <v>1890</v>
      </c>
      <c r="B2795" s="16">
        <v>43952</v>
      </c>
      <c r="C2795" t="s">
        <v>192</v>
      </c>
      <c r="D2795" s="21">
        <v>12000000</v>
      </c>
      <c r="E2795" s="21">
        <v>-12000000</v>
      </c>
      <c r="F2795" s="21">
        <v>0</v>
      </c>
    </row>
    <row r="2796" spans="1:6" x14ac:dyDescent="0.25">
      <c r="A2796">
        <v>1890</v>
      </c>
      <c r="B2796" s="16">
        <v>43952</v>
      </c>
      <c r="C2796" t="s">
        <v>39</v>
      </c>
      <c r="D2796" s="21">
        <v>4095000</v>
      </c>
      <c r="E2796" s="21">
        <v>-4095000</v>
      </c>
      <c r="F2796" s="21">
        <v>0</v>
      </c>
    </row>
    <row r="2797" spans="1:6" x14ac:dyDescent="0.25">
      <c r="A2797">
        <v>1890</v>
      </c>
      <c r="B2797" s="16">
        <v>43952</v>
      </c>
      <c r="C2797" t="s">
        <v>12</v>
      </c>
      <c r="D2797" s="21">
        <v>9450000</v>
      </c>
      <c r="E2797" s="21">
        <v>-9450000</v>
      </c>
      <c r="F2797" s="21">
        <v>0</v>
      </c>
    </row>
    <row r="2798" spans="1:6" x14ac:dyDescent="0.25">
      <c r="A2798">
        <v>1890</v>
      </c>
      <c r="B2798" s="16">
        <v>43952</v>
      </c>
      <c r="C2798" t="s">
        <v>26</v>
      </c>
      <c r="D2798" s="21">
        <v>6221250</v>
      </c>
      <c r="E2798" s="21">
        <v>-6221250</v>
      </c>
      <c r="F2798" s="21">
        <v>0</v>
      </c>
    </row>
    <row r="2799" spans="1:6" x14ac:dyDescent="0.25">
      <c r="A2799">
        <v>1890</v>
      </c>
      <c r="B2799" s="16">
        <v>43983</v>
      </c>
      <c r="C2799" t="s">
        <v>97</v>
      </c>
      <c r="D2799" s="21">
        <v>4006799.9999999995</v>
      </c>
      <c r="E2799" s="21">
        <v>-4006799.9999999995</v>
      </c>
      <c r="F2799" s="21">
        <v>0</v>
      </c>
    </row>
    <row r="2800" spans="1:6" x14ac:dyDescent="0.25">
      <c r="A2800">
        <v>1890</v>
      </c>
      <c r="B2800" s="16">
        <v>43983</v>
      </c>
      <c r="C2800" t="s">
        <v>19</v>
      </c>
      <c r="D2800" s="21">
        <v>3868074.0000000005</v>
      </c>
      <c r="E2800" s="21">
        <v>-3868074.0000000005</v>
      </c>
      <c r="F2800" s="21">
        <v>0</v>
      </c>
    </row>
    <row r="2801" spans="1:6" x14ac:dyDescent="0.25">
      <c r="A2801">
        <v>1890</v>
      </c>
      <c r="B2801" s="16">
        <v>43983</v>
      </c>
      <c r="C2801" t="s">
        <v>23</v>
      </c>
      <c r="D2801" s="21">
        <v>4006799.9999999995</v>
      </c>
      <c r="E2801" s="21">
        <v>-4006799.9999999995</v>
      </c>
      <c r="F2801" s="21">
        <v>0</v>
      </c>
    </row>
    <row r="2802" spans="1:6" x14ac:dyDescent="0.25">
      <c r="A2802">
        <v>1890</v>
      </c>
      <c r="B2802" s="16">
        <v>43983</v>
      </c>
      <c r="C2802" t="s">
        <v>192</v>
      </c>
      <c r="D2802" s="21">
        <v>12000000</v>
      </c>
      <c r="E2802" s="21">
        <v>-12000000</v>
      </c>
      <c r="F2802" s="21">
        <v>0</v>
      </c>
    </row>
    <row r="2803" spans="1:6" x14ac:dyDescent="0.25">
      <c r="A2803">
        <v>1890</v>
      </c>
      <c r="B2803" s="16">
        <v>43983</v>
      </c>
      <c r="C2803" t="s">
        <v>39</v>
      </c>
      <c r="D2803" s="21">
        <v>4095000</v>
      </c>
      <c r="E2803" s="21">
        <v>-4095000</v>
      </c>
      <c r="F2803" s="21">
        <v>0</v>
      </c>
    </row>
    <row r="2804" spans="1:6" x14ac:dyDescent="0.25">
      <c r="A2804">
        <v>1890</v>
      </c>
      <c r="B2804" s="16">
        <v>43983</v>
      </c>
      <c r="C2804" t="s">
        <v>12</v>
      </c>
      <c r="D2804" s="21">
        <v>9450000</v>
      </c>
      <c r="E2804" s="21">
        <v>-9450000</v>
      </c>
      <c r="F2804" s="21">
        <v>0</v>
      </c>
    </row>
    <row r="2805" spans="1:6" x14ac:dyDescent="0.25">
      <c r="A2805">
        <v>1890</v>
      </c>
      <c r="B2805" s="16">
        <v>43983</v>
      </c>
      <c r="C2805" t="s">
        <v>26</v>
      </c>
      <c r="D2805" s="21">
        <v>6221250</v>
      </c>
      <c r="E2805" s="21">
        <v>-6221250</v>
      </c>
      <c r="F2805" s="21">
        <v>0</v>
      </c>
    </row>
    <row r="2806" spans="1:6" x14ac:dyDescent="0.25">
      <c r="A2806">
        <v>1890</v>
      </c>
      <c r="B2806" s="16">
        <v>44013</v>
      </c>
      <c r="C2806" t="s">
        <v>97</v>
      </c>
      <c r="D2806" s="21">
        <v>4006799.9999999995</v>
      </c>
      <c r="E2806" s="21">
        <v>-4006799.9999999995</v>
      </c>
      <c r="F2806" s="21">
        <v>0</v>
      </c>
    </row>
    <row r="2807" spans="1:6" x14ac:dyDescent="0.25">
      <c r="A2807">
        <v>1890</v>
      </c>
      <c r="B2807" s="16">
        <v>44013</v>
      </c>
      <c r="C2807" t="s">
        <v>19</v>
      </c>
      <c r="D2807" s="21">
        <v>3868074.0000000005</v>
      </c>
      <c r="E2807" s="21">
        <v>-3868074.0000000005</v>
      </c>
      <c r="F2807" s="21">
        <v>0</v>
      </c>
    </row>
    <row r="2808" spans="1:6" x14ac:dyDescent="0.25">
      <c r="A2808">
        <v>1890</v>
      </c>
      <c r="B2808" s="16">
        <v>44013</v>
      </c>
      <c r="C2808" t="s">
        <v>23</v>
      </c>
      <c r="D2808" s="21">
        <v>4006799.9999999995</v>
      </c>
      <c r="E2808" s="21">
        <v>-4006799.9999999995</v>
      </c>
      <c r="F2808" s="21">
        <v>0</v>
      </c>
    </row>
    <row r="2809" spans="1:6" x14ac:dyDescent="0.25">
      <c r="A2809">
        <v>1890</v>
      </c>
      <c r="B2809" s="16">
        <v>44013</v>
      </c>
      <c r="C2809" t="s">
        <v>192</v>
      </c>
      <c r="D2809" s="21">
        <v>12000000</v>
      </c>
      <c r="E2809" s="21">
        <v>-12000000</v>
      </c>
      <c r="F2809" s="21">
        <v>0</v>
      </c>
    </row>
    <row r="2810" spans="1:6" x14ac:dyDescent="0.25">
      <c r="A2810">
        <v>1890</v>
      </c>
      <c r="B2810" s="16">
        <v>44013</v>
      </c>
      <c r="C2810" t="s">
        <v>39</v>
      </c>
      <c r="D2810" s="21">
        <v>4095000</v>
      </c>
      <c r="E2810" s="21">
        <v>-4095000</v>
      </c>
      <c r="F2810" s="21">
        <v>0</v>
      </c>
    </row>
    <row r="2811" spans="1:6" x14ac:dyDescent="0.25">
      <c r="A2811">
        <v>1890</v>
      </c>
      <c r="B2811" s="16">
        <v>44013</v>
      </c>
      <c r="C2811" t="s">
        <v>12</v>
      </c>
      <c r="D2811" s="21">
        <v>9450000</v>
      </c>
      <c r="E2811" s="21">
        <v>-9450000</v>
      </c>
      <c r="F2811" s="21">
        <v>0</v>
      </c>
    </row>
    <row r="2812" spans="1:6" x14ac:dyDescent="0.25">
      <c r="A2812">
        <v>1890</v>
      </c>
      <c r="B2812" s="16">
        <v>44013</v>
      </c>
      <c r="C2812" t="s">
        <v>26</v>
      </c>
      <c r="D2812" s="21">
        <v>6221250</v>
      </c>
      <c r="E2812" s="21">
        <v>-6221250</v>
      </c>
      <c r="F2812" s="21">
        <v>0</v>
      </c>
    </row>
    <row r="2813" spans="1:6" x14ac:dyDescent="0.25">
      <c r="A2813">
        <v>1890</v>
      </c>
      <c r="B2813" s="16">
        <v>44044</v>
      </c>
      <c r="C2813" t="s">
        <v>97</v>
      </c>
      <c r="D2813" s="21">
        <v>4006799.9999999995</v>
      </c>
      <c r="E2813" s="21">
        <v>-4006799.9999999995</v>
      </c>
      <c r="F2813" s="21">
        <v>0</v>
      </c>
    </row>
    <row r="2814" spans="1:6" x14ac:dyDescent="0.25">
      <c r="A2814">
        <v>1890</v>
      </c>
      <c r="B2814" s="16">
        <v>44044</v>
      </c>
      <c r="C2814" t="s">
        <v>19</v>
      </c>
      <c r="D2814" s="21">
        <v>3868074.0000000005</v>
      </c>
      <c r="E2814" s="21">
        <v>-3868074.0000000005</v>
      </c>
      <c r="F2814" s="21">
        <v>0</v>
      </c>
    </row>
    <row r="2815" spans="1:6" x14ac:dyDescent="0.25">
      <c r="A2815">
        <v>1890</v>
      </c>
      <c r="B2815" s="16">
        <v>44044</v>
      </c>
      <c r="C2815" t="s">
        <v>23</v>
      </c>
      <c r="D2815" s="21">
        <v>4006799.9999999995</v>
      </c>
      <c r="E2815" s="21">
        <v>-4006799.9999999995</v>
      </c>
      <c r="F2815" s="21">
        <v>0</v>
      </c>
    </row>
    <row r="2816" spans="1:6" x14ac:dyDescent="0.25">
      <c r="A2816">
        <v>1890</v>
      </c>
      <c r="B2816" s="16">
        <v>44044</v>
      </c>
      <c r="C2816" t="s">
        <v>192</v>
      </c>
      <c r="D2816" s="21">
        <v>12000000</v>
      </c>
      <c r="E2816" s="21">
        <v>-12000000</v>
      </c>
      <c r="F2816" s="21">
        <v>0</v>
      </c>
    </row>
    <row r="2817" spans="1:6" x14ac:dyDescent="0.25">
      <c r="A2817">
        <v>1890</v>
      </c>
      <c r="B2817" s="16">
        <v>44044</v>
      </c>
      <c r="C2817" t="s">
        <v>39</v>
      </c>
      <c r="D2817" s="21">
        <v>4095000</v>
      </c>
      <c r="E2817" s="21">
        <v>-4095000</v>
      </c>
      <c r="F2817" s="21">
        <v>0</v>
      </c>
    </row>
    <row r="2818" spans="1:6" x14ac:dyDescent="0.25">
      <c r="A2818">
        <v>1890</v>
      </c>
      <c r="B2818" s="16">
        <v>44044</v>
      </c>
      <c r="C2818" t="s">
        <v>12</v>
      </c>
      <c r="D2818" s="21">
        <v>9450000</v>
      </c>
      <c r="E2818" s="21">
        <v>-9450000</v>
      </c>
      <c r="F2818" s="21">
        <v>0</v>
      </c>
    </row>
    <row r="2819" spans="1:6" x14ac:dyDescent="0.25">
      <c r="A2819">
        <v>1890</v>
      </c>
      <c r="B2819" s="16">
        <v>44044</v>
      </c>
      <c r="C2819" t="s">
        <v>26</v>
      </c>
      <c r="D2819" s="21">
        <v>6221250</v>
      </c>
      <c r="E2819" s="21">
        <v>-6221250</v>
      </c>
      <c r="F2819" s="21">
        <v>0</v>
      </c>
    </row>
    <row r="2820" spans="1:6" x14ac:dyDescent="0.25">
      <c r="A2820">
        <v>1890</v>
      </c>
      <c r="B2820" s="16">
        <v>44075</v>
      </c>
      <c r="C2820" t="s">
        <v>97</v>
      </c>
      <c r="D2820" s="21">
        <v>4006799.9999999995</v>
      </c>
      <c r="E2820" s="21">
        <v>-4006799.9999999995</v>
      </c>
      <c r="F2820" s="21">
        <v>0</v>
      </c>
    </row>
    <row r="2821" spans="1:6" x14ac:dyDescent="0.25">
      <c r="A2821">
        <v>1890</v>
      </c>
      <c r="B2821" s="16">
        <v>44075</v>
      </c>
      <c r="C2821" t="s">
        <v>19</v>
      </c>
      <c r="D2821" s="21">
        <v>3868074.0000000005</v>
      </c>
      <c r="E2821" s="21">
        <v>-3868074.0000000005</v>
      </c>
      <c r="F2821" s="21">
        <v>0</v>
      </c>
    </row>
    <row r="2822" spans="1:6" x14ac:dyDescent="0.25">
      <c r="A2822">
        <v>1890</v>
      </c>
      <c r="B2822" s="16">
        <v>44075</v>
      </c>
      <c r="C2822" t="s">
        <v>23</v>
      </c>
      <c r="D2822" s="21">
        <v>4006799.9999999995</v>
      </c>
      <c r="E2822" s="21">
        <v>-4006799.9999999995</v>
      </c>
      <c r="F2822" s="21">
        <v>0</v>
      </c>
    </row>
    <row r="2823" spans="1:6" x14ac:dyDescent="0.25">
      <c r="A2823">
        <v>1890</v>
      </c>
      <c r="B2823" s="16">
        <v>44075</v>
      </c>
      <c r="C2823" t="s">
        <v>192</v>
      </c>
      <c r="D2823" s="21">
        <v>12000000</v>
      </c>
      <c r="E2823" s="21">
        <v>-12000000</v>
      </c>
      <c r="F2823" s="21">
        <v>0</v>
      </c>
    </row>
    <row r="2824" spans="1:6" x14ac:dyDescent="0.25">
      <c r="A2824">
        <v>1890</v>
      </c>
      <c r="B2824" s="16">
        <v>44075</v>
      </c>
      <c r="C2824" t="s">
        <v>39</v>
      </c>
      <c r="D2824" s="21">
        <v>4095000</v>
      </c>
      <c r="E2824" s="21">
        <v>-4095000</v>
      </c>
      <c r="F2824" s="21">
        <v>0</v>
      </c>
    </row>
    <row r="2825" spans="1:6" x14ac:dyDescent="0.25">
      <c r="A2825">
        <v>1890</v>
      </c>
      <c r="B2825" s="16">
        <v>44075</v>
      </c>
      <c r="C2825" t="s">
        <v>12</v>
      </c>
      <c r="D2825" s="21">
        <v>9450000</v>
      </c>
      <c r="E2825" s="21">
        <v>-9450000</v>
      </c>
      <c r="F2825" s="21">
        <v>0</v>
      </c>
    </row>
    <row r="2826" spans="1:6" x14ac:dyDescent="0.25">
      <c r="A2826">
        <v>1890</v>
      </c>
      <c r="B2826" s="16">
        <v>44075</v>
      </c>
      <c r="C2826" t="s">
        <v>26</v>
      </c>
      <c r="D2826" s="21">
        <v>6221250</v>
      </c>
      <c r="E2826" s="21">
        <v>-6221250</v>
      </c>
      <c r="F2826" s="21">
        <v>0</v>
      </c>
    </row>
    <row r="2827" spans="1:6" x14ac:dyDescent="0.25">
      <c r="A2827">
        <v>1890</v>
      </c>
      <c r="B2827" s="16">
        <v>44105</v>
      </c>
      <c r="C2827" t="s">
        <v>97</v>
      </c>
      <c r="D2827" s="21">
        <v>4006799.9999999995</v>
      </c>
      <c r="E2827" s="21">
        <v>-4006799.9999999995</v>
      </c>
      <c r="F2827" s="21">
        <v>0</v>
      </c>
    </row>
    <row r="2828" spans="1:6" x14ac:dyDescent="0.25">
      <c r="A2828">
        <v>1890</v>
      </c>
      <c r="B2828" s="16">
        <v>44105</v>
      </c>
      <c r="C2828" t="s">
        <v>19</v>
      </c>
      <c r="D2828" s="21">
        <v>3868074.0000000005</v>
      </c>
      <c r="E2828" s="21">
        <v>-3868074.0000000005</v>
      </c>
      <c r="F2828" s="21">
        <v>0</v>
      </c>
    </row>
    <row r="2829" spans="1:6" x14ac:dyDescent="0.25">
      <c r="A2829">
        <v>1890</v>
      </c>
      <c r="B2829" s="16">
        <v>44105</v>
      </c>
      <c r="C2829" t="s">
        <v>23</v>
      </c>
      <c r="D2829" s="21">
        <v>4006799.9999999995</v>
      </c>
      <c r="E2829" s="21">
        <v>-4006799.9999999995</v>
      </c>
      <c r="F2829" s="21">
        <v>0</v>
      </c>
    </row>
    <row r="2830" spans="1:6" x14ac:dyDescent="0.25">
      <c r="A2830">
        <v>1890</v>
      </c>
      <c r="B2830" s="16">
        <v>44105</v>
      </c>
      <c r="C2830" t="s">
        <v>192</v>
      </c>
      <c r="D2830" s="21">
        <v>12000000</v>
      </c>
      <c r="E2830" s="21">
        <v>-12000000</v>
      </c>
      <c r="F2830" s="21">
        <v>0</v>
      </c>
    </row>
    <row r="2831" spans="1:6" x14ac:dyDescent="0.25">
      <c r="A2831">
        <v>1890</v>
      </c>
      <c r="B2831" s="16">
        <v>44105</v>
      </c>
      <c r="C2831" t="s">
        <v>39</v>
      </c>
      <c r="D2831" s="21">
        <v>4095000</v>
      </c>
      <c r="E2831" s="21">
        <v>-4095000</v>
      </c>
      <c r="F2831" s="21">
        <v>0</v>
      </c>
    </row>
    <row r="2832" spans="1:6" x14ac:dyDescent="0.25">
      <c r="A2832">
        <v>1890</v>
      </c>
      <c r="B2832" s="16">
        <v>44105</v>
      </c>
      <c r="C2832" t="s">
        <v>12</v>
      </c>
      <c r="D2832" s="21">
        <v>9450000</v>
      </c>
      <c r="E2832" s="21">
        <v>-9450000</v>
      </c>
      <c r="F2832" s="21">
        <v>0</v>
      </c>
    </row>
    <row r="2833" spans="1:6" x14ac:dyDescent="0.25">
      <c r="A2833">
        <v>1890</v>
      </c>
      <c r="B2833" s="16">
        <v>44105</v>
      </c>
      <c r="C2833" t="s">
        <v>26</v>
      </c>
      <c r="D2833" s="21">
        <v>6221250</v>
      </c>
      <c r="E2833" s="21">
        <v>-6221250</v>
      </c>
      <c r="F2833" s="21">
        <v>0</v>
      </c>
    </row>
    <row r="2834" spans="1:6" x14ac:dyDescent="0.25">
      <c r="A2834">
        <v>1890</v>
      </c>
      <c r="B2834" s="16">
        <v>44136</v>
      </c>
      <c r="C2834" t="s">
        <v>12</v>
      </c>
      <c r="D2834" s="21">
        <v>9450000</v>
      </c>
      <c r="E2834" s="21">
        <v>-9450000</v>
      </c>
      <c r="F2834" s="21">
        <v>0</v>
      </c>
    </row>
    <row r="2835" spans="1:6" x14ac:dyDescent="0.25">
      <c r="A2835">
        <v>1890</v>
      </c>
      <c r="B2835" s="16">
        <v>44136</v>
      </c>
      <c r="C2835" t="s">
        <v>192</v>
      </c>
      <c r="D2835" s="21">
        <v>12000000</v>
      </c>
      <c r="E2835" s="21">
        <v>-12000000</v>
      </c>
      <c r="F2835" s="21">
        <v>0</v>
      </c>
    </row>
    <row r="2836" spans="1:6" x14ac:dyDescent="0.25">
      <c r="A2836">
        <v>1890</v>
      </c>
      <c r="B2836" s="16">
        <v>44136</v>
      </c>
      <c r="C2836" t="s">
        <v>19</v>
      </c>
      <c r="D2836" s="21">
        <v>3868074.0000000005</v>
      </c>
      <c r="E2836" s="21">
        <v>-3868074.0000000005</v>
      </c>
      <c r="F2836" s="21">
        <v>0</v>
      </c>
    </row>
    <row r="2837" spans="1:6" x14ac:dyDescent="0.25">
      <c r="A2837">
        <v>1890</v>
      </c>
      <c r="B2837" s="16">
        <v>44136</v>
      </c>
      <c r="C2837" t="s">
        <v>39</v>
      </c>
      <c r="D2837" s="21">
        <v>4095000</v>
      </c>
      <c r="E2837" s="21">
        <v>-4095000</v>
      </c>
      <c r="F2837" s="21">
        <v>0</v>
      </c>
    </row>
    <row r="2838" spans="1:6" x14ac:dyDescent="0.25">
      <c r="A2838">
        <v>1890</v>
      </c>
      <c r="B2838" s="16">
        <v>44166</v>
      </c>
      <c r="C2838" t="s">
        <v>12</v>
      </c>
      <c r="D2838" s="21">
        <v>9450000</v>
      </c>
      <c r="E2838" s="21">
        <v>-9450000</v>
      </c>
      <c r="F2838" s="21">
        <v>0</v>
      </c>
    </row>
    <row r="2839" spans="1:6" x14ac:dyDescent="0.25">
      <c r="A2839">
        <v>1890</v>
      </c>
      <c r="B2839" s="16">
        <v>44166</v>
      </c>
      <c r="C2839" t="s">
        <v>192</v>
      </c>
      <c r="D2839" s="21">
        <v>12000000</v>
      </c>
      <c r="E2839" s="21">
        <v>-12000000</v>
      </c>
      <c r="F2839" s="21">
        <v>0</v>
      </c>
    </row>
    <row r="2840" spans="1:6" x14ac:dyDescent="0.25">
      <c r="A2840">
        <v>1890</v>
      </c>
      <c r="B2840" s="16">
        <v>44166</v>
      </c>
      <c r="C2840" t="s">
        <v>19</v>
      </c>
      <c r="D2840" s="21">
        <v>3868074.0000000005</v>
      </c>
      <c r="E2840" s="21">
        <v>-3868074.0000000005</v>
      </c>
      <c r="F2840" s="21">
        <v>0</v>
      </c>
    </row>
    <row r="2841" spans="1:6" x14ac:dyDescent="0.25">
      <c r="A2841">
        <v>1890</v>
      </c>
      <c r="B2841" s="16">
        <v>44166</v>
      </c>
      <c r="C2841" t="s">
        <v>39</v>
      </c>
      <c r="D2841" s="21">
        <v>4095000</v>
      </c>
      <c r="E2841" s="21">
        <v>-4095000</v>
      </c>
      <c r="F2841" s="21">
        <v>0</v>
      </c>
    </row>
    <row r="2842" spans="1:6" x14ac:dyDescent="0.25">
      <c r="A2842">
        <v>1891</v>
      </c>
      <c r="B2842" s="16">
        <v>43497</v>
      </c>
      <c r="C2842" t="s">
        <v>135</v>
      </c>
      <c r="D2842" s="21">
        <v>3868248.1949999994</v>
      </c>
      <c r="E2842" s="21">
        <v>-3868248.1949999994</v>
      </c>
      <c r="F2842" s="21">
        <v>0</v>
      </c>
    </row>
    <row r="2843" spans="1:6" x14ac:dyDescent="0.25">
      <c r="A2843">
        <v>1891</v>
      </c>
      <c r="B2843" s="16">
        <v>43497</v>
      </c>
      <c r="C2843" t="s">
        <v>59</v>
      </c>
      <c r="D2843" s="21">
        <v>3222031.0500000003</v>
      </c>
      <c r="E2843" s="21">
        <v>-3222031.0500000003</v>
      </c>
      <c r="F2843" s="21">
        <v>0</v>
      </c>
    </row>
    <row r="2844" spans="1:6" x14ac:dyDescent="0.25">
      <c r="A2844">
        <v>1891</v>
      </c>
      <c r="B2844" s="16">
        <v>43497</v>
      </c>
      <c r="C2844" t="s">
        <v>39</v>
      </c>
      <c r="D2844" s="21">
        <v>5488569.4500000002</v>
      </c>
      <c r="E2844" s="21">
        <v>-5488569.4500000002</v>
      </c>
      <c r="F2844" s="21">
        <v>0</v>
      </c>
    </row>
    <row r="2845" spans="1:6" x14ac:dyDescent="0.25">
      <c r="A2845">
        <v>1891</v>
      </c>
      <c r="B2845" s="16">
        <v>43497</v>
      </c>
      <c r="C2845" t="s">
        <v>192</v>
      </c>
      <c r="D2845" s="21">
        <v>23250000</v>
      </c>
      <c r="E2845" s="21">
        <v>-23250000</v>
      </c>
      <c r="F2845" s="21">
        <v>0</v>
      </c>
    </row>
    <row r="2846" spans="1:6" x14ac:dyDescent="0.25">
      <c r="A2846">
        <v>1891</v>
      </c>
      <c r="B2846" s="16">
        <v>43497</v>
      </c>
      <c r="C2846" t="s">
        <v>123</v>
      </c>
      <c r="D2846" s="21">
        <v>7540019.5500000007</v>
      </c>
      <c r="E2846" s="21">
        <v>-7540019.5500000007</v>
      </c>
      <c r="F2846" s="21">
        <v>0</v>
      </c>
    </row>
    <row r="2847" spans="1:6" x14ac:dyDescent="0.25">
      <c r="A2847">
        <v>1891</v>
      </c>
      <c r="B2847" s="16">
        <v>43497</v>
      </c>
      <c r="C2847" t="s">
        <v>12</v>
      </c>
      <c r="D2847" s="21">
        <v>12134941.875</v>
      </c>
      <c r="E2847" s="21">
        <v>-12134941.875</v>
      </c>
      <c r="F2847" s="21">
        <v>0</v>
      </c>
    </row>
    <row r="2848" spans="1:6" x14ac:dyDescent="0.25">
      <c r="A2848">
        <v>1891</v>
      </c>
      <c r="B2848" s="16">
        <v>43497</v>
      </c>
      <c r="C2848" t="s">
        <v>178</v>
      </c>
      <c r="D2848" s="21">
        <v>4923668.9249999998</v>
      </c>
      <c r="E2848" s="21">
        <v>-4923668.9249999998</v>
      </c>
      <c r="F2848" s="21">
        <v>0</v>
      </c>
    </row>
    <row r="2849" spans="1:6" x14ac:dyDescent="0.25">
      <c r="A2849">
        <v>1891</v>
      </c>
      <c r="B2849" s="16">
        <v>43497</v>
      </c>
      <c r="C2849" t="s">
        <v>76</v>
      </c>
      <c r="D2849" s="21">
        <v>4001167.1069999998</v>
      </c>
      <c r="E2849" s="21">
        <v>-4001167.1069999998</v>
      </c>
      <c r="F2849" s="21">
        <v>0</v>
      </c>
    </row>
    <row r="2850" spans="1:6" x14ac:dyDescent="0.25">
      <c r="A2850">
        <v>1891</v>
      </c>
      <c r="B2850" s="16">
        <v>43497</v>
      </c>
      <c r="C2850" t="s">
        <v>26</v>
      </c>
      <c r="D2850" s="21">
        <v>7406867.4750000006</v>
      </c>
      <c r="E2850" s="21">
        <v>-7406867.4750000006</v>
      </c>
      <c r="F2850" s="21">
        <v>0</v>
      </c>
    </row>
    <row r="2851" spans="1:6" x14ac:dyDescent="0.25">
      <c r="A2851">
        <v>1891</v>
      </c>
      <c r="B2851" s="16">
        <v>43525</v>
      </c>
      <c r="C2851" t="s">
        <v>135</v>
      </c>
      <c r="D2851" s="21">
        <v>3868248.1949999994</v>
      </c>
      <c r="E2851" s="21">
        <v>-3868248.1949999994</v>
      </c>
      <c r="F2851" s="21">
        <v>0</v>
      </c>
    </row>
    <row r="2852" spans="1:6" x14ac:dyDescent="0.25">
      <c r="A2852">
        <v>1891</v>
      </c>
      <c r="B2852" s="16">
        <v>43525</v>
      </c>
      <c r="C2852" t="s">
        <v>59</v>
      </c>
      <c r="D2852" s="21">
        <v>3222031.0500000003</v>
      </c>
      <c r="E2852" s="21">
        <v>-3222031.0500000003</v>
      </c>
      <c r="F2852" s="21">
        <v>0</v>
      </c>
    </row>
    <row r="2853" spans="1:6" x14ac:dyDescent="0.25">
      <c r="A2853">
        <v>1891</v>
      </c>
      <c r="B2853" s="16">
        <v>43525</v>
      </c>
      <c r="C2853" t="s">
        <v>39</v>
      </c>
      <c r="D2853" s="21">
        <v>5488569.4500000002</v>
      </c>
      <c r="E2853" s="21">
        <v>-5488569.4500000002</v>
      </c>
      <c r="F2853" s="21">
        <v>0</v>
      </c>
    </row>
    <row r="2854" spans="1:6" x14ac:dyDescent="0.25">
      <c r="A2854">
        <v>1891</v>
      </c>
      <c r="B2854" s="16">
        <v>43525</v>
      </c>
      <c r="C2854" t="s">
        <v>192</v>
      </c>
      <c r="D2854" s="21">
        <v>23250000</v>
      </c>
      <c r="E2854" s="21">
        <v>-23250000</v>
      </c>
      <c r="F2854" s="21">
        <v>0</v>
      </c>
    </row>
    <row r="2855" spans="1:6" x14ac:dyDescent="0.25">
      <c r="A2855">
        <v>1891</v>
      </c>
      <c r="B2855" s="16">
        <v>43525</v>
      </c>
      <c r="C2855" t="s">
        <v>123</v>
      </c>
      <c r="D2855" s="21">
        <v>7540019.5500000007</v>
      </c>
      <c r="E2855" s="21">
        <v>-7540019.5500000007</v>
      </c>
      <c r="F2855" s="21">
        <v>0</v>
      </c>
    </row>
    <row r="2856" spans="1:6" x14ac:dyDescent="0.25">
      <c r="A2856">
        <v>1891</v>
      </c>
      <c r="B2856" s="16">
        <v>43525</v>
      </c>
      <c r="C2856" t="s">
        <v>12</v>
      </c>
      <c r="D2856" s="21">
        <v>12134941.875</v>
      </c>
      <c r="E2856" s="21">
        <v>-12134941.875</v>
      </c>
      <c r="F2856" s="21">
        <v>0</v>
      </c>
    </row>
    <row r="2857" spans="1:6" x14ac:dyDescent="0.25">
      <c r="A2857">
        <v>1891</v>
      </c>
      <c r="B2857" s="16">
        <v>43525</v>
      </c>
      <c r="C2857" t="s">
        <v>178</v>
      </c>
      <c r="D2857" s="21">
        <v>4923668.9249999998</v>
      </c>
      <c r="E2857" s="21">
        <v>-4923668.9249999998</v>
      </c>
      <c r="F2857" s="21">
        <v>0</v>
      </c>
    </row>
    <row r="2858" spans="1:6" x14ac:dyDescent="0.25">
      <c r="A2858">
        <v>1891</v>
      </c>
      <c r="B2858" s="16">
        <v>43525</v>
      </c>
      <c r="C2858" t="s">
        <v>76</v>
      </c>
      <c r="D2858" s="21">
        <v>4001167.1069999998</v>
      </c>
      <c r="E2858" s="21">
        <v>-4001167.1069999998</v>
      </c>
      <c r="F2858" s="21">
        <v>0</v>
      </c>
    </row>
    <row r="2859" spans="1:6" x14ac:dyDescent="0.25">
      <c r="A2859">
        <v>1891</v>
      </c>
      <c r="B2859" s="16">
        <v>43525</v>
      </c>
      <c r="C2859" t="s">
        <v>26</v>
      </c>
      <c r="D2859" s="21">
        <v>7406867.4750000006</v>
      </c>
      <c r="E2859" s="21">
        <v>-7406867.4750000006</v>
      </c>
      <c r="F2859" s="21">
        <v>0</v>
      </c>
    </row>
    <row r="2860" spans="1:6" x14ac:dyDescent="0.25">
      <c r="A2860">
        <v>1891</v>
      </c>
      <c r="B2860" s="16">
        <v>43556</v>
      </c>
      <c r="C2860" t="s">
        <v>135</v>
      </c>
      <c r="D2860" s="21">
        <v>3868248.1949999994</v>
      </c>
      <c r="E2860" s="21">
        <v>-3868248.1949999994</v>
      </c>
      <c r="F2860" s="21">
        <v>0</v>
      </c>
    </row>
    <row r="2861" spans="1:6" x14ac:dyDescent="0.25">
      <c r="A2861">
        <v>1891</v>
      </c>
      <c r="B2861" s="16">
        <v>43556</v>
      </c>
      <c r="C2861" t="s">
        <v>59</v>
      </c>
      <c r="D2861" s="21">
        <v>3222031.0500000003</v>
      </c>
      <c r="E2861" s="21">
        <v>-3222031.0500000003</v>
      </c>
      <c r="F2861" s="21">
        <v>0</v>
      </c>
    </row>
    <row r="2862" spans="1:6" x14ac:dyDescent="0.25">
      <c r="A2862">
        <v>1891</v>
      </c>
      <c r="B2862" s="16">
        <v>43556</v>
      </c>
      <c r="C2862" t="s">
        <v>39</v>
      </c>
      <c r="D2862" s="21">
        <v>5488569.4500000002</v>
      </c>
      <c r="E2862" s="21">
        <v>-5488569.4500000002</v>
      </c>
      <c r="F2862" s="21">
        <v>0</v>
      </c>
    </row>
    <row r="2863" spans="1:6" x14ac:dyDescent="0.25">
      <c r="A2863">
        <v>1891</v>
      </c>
      <c r="B2863" s="16">
        <v>43556</v>
      </c>
      <c r="C2863" t="s">
        <v>192</v>
      </c>
      <c r="D2863" s="21">
        <v>23250000</v>
      </c>
      <c r="E2863" s="21">
        <v>-23250000</v>
      </c>
      <c r="F2863" s="21">
        <v>0</v>
      </c>
    </row>
    <row r="2864" spans="1:6" x14ac:dyDescent="0.25">
      <c r="A2864">
        <v>1891</v>
      </c>
      <c r="B2864" s="16">
        <v>43556</v>
      </c>
      <c r="C2864" t="s">
        <v>123</v>
      </c>
      <c r="D2864" s="21">
        <v>7540019.5500000007</v>
      </c>
      <c r="E2864" s="21">
        <v>-7540019.5500000007</v>
      </c>
      <c r="F2864" s="21">
        <v>0</v>
      </c>
    </row>
    <row r="2865" spans="1:6" x14ac:dyDescent="0.25">
      <c r="A2865">
        <v>1891</v>
      </c>
      <c r="B2865" s="16">
        <v>43556</v>
      </c>
      <c r="C2865" t="s">
        <v>12</v>
      </c>
      <c r="D2865" s="21">
        <v>12134941.875</v>
      </c>
      <c r="E2865" s="21">
        <v>-12134941.875</v>
      </c>
      <c r="F2865" s="21">
        <v>0</v>
      </c>
    </row>
    <row r="2866" spans="1:6" x14ac:dyDescent="0.25">
      <c r="A2866">
        <v>1891</v>
      </c>
      <c r="B2866" s="16">
        <v>43556</v>
      </c>
      <c r="C2866" t="s">
        <v>178</v>
      </c>
      <c r="D2866" s="21">
        <v>4923668.9249999998</v>
      </c>
      <c r="E2866" s="21">
        <v>-4923668.9249999998</v>
      </c>
      <c r="F2866" s="21">
        <v>0</v>
      </c>
    </row>
    <row r="2867" spans="1:6" x14ac:dyDescent="0.25">
      <c r="A2867">
        <v>1891</v>
      </c>
      <c r="B2867" s="16">
        <v>43556</v>
      </c>
      <c r="C2867" t="s">
        <v>76</v>
      </c>
      <c r="D2867" s="21">
        <v>4001167.1069999998</v>
      </c>
      <c r="E2867" s="21">
        <v>-4001167.1069999998</v>
      </c>
      <c r="F2867" s="21">
        <v>0</v>
      </c>
    </row>
    <row r="2868" spans="1:6" x14ac:dyDescent="0.25">
      <c r="A2868">
        <v>1891</v>
      </c>
      <c r="B2868" s="16">
        <v>43556</v>
      </c>
      <c r="C2868" t="s">
        <v>26</v>
      </c>
      <c r="D2868" s="21">
        <v>7406867.4750000006</v>
      </c>
      <c r="E2868" s="21">
        <v>-7406867.4750000006</v>
      </c>
      <c r="F2868" s="21">
        <v>0</v>
      </c>
    </row>
    <row r="2869" spans="1:6" x14ac:dyDescent="0.25">
      <c r="A2869">
        <v>1891</v>
      </c>
      <c r="B2869" s="16">
        <v>43586</v>
      </c>
      <c r="C2869" t="s">
        <v>135</v>
      </c>
      <c r="D2869" s="21">
        <v>3868248.1949999994</v>
      </c>
      <c r="E2869" s="21">
        <v>-3868248.1949999994</v>
      </c>
      <c r="F2869" s="21">
        <v>0</v>
      </c>
    </row>
    <row r="2870" spans="1:6" x14ac:dyDescent="0.25">
      <c r="A2870">
        <v>1891</v>
      </c>
      <c r="B2870" s="16">
        <v>43586</v>
      </c>
      <c r="C2870" t="s">
        <v>59</v>
      </c>
      <c r="D2870" s="21">
        <v>3222031.0500000003</v>
      </c>
      <c r="E2870" s="21">
        <v>-3222031.0500000003</v>
      </c>
      <c r="F2870" s="21">
        <v>0</v>
      </c>
    </row>
    <row r="2871" spans="1:6" x14ac:dyDescent="0.25">
      <c r="A2871">
        <v>1891</v>
      </c>
      <c r="B2871" s="16">
        <v>43586</v>
      </c>
      <c r="C2871" t="s">
        <v>39</v>
      </c>
      <c r="D2871" s="21">
        <v>5488569.4500000002</v>
      </c>
      <c r="E2871" s="21">
        <v>-5488569.4500000002</v>
      </c>
      <c r="F2871" s="21">
        <v>0</v>
      </c>
    </row>
    <row r="2872" spans="1:6" x14ac:dyDescent="0.25">
      <c r="A2872">
        <v>1891</v>
      </c>
      <c r="B2872" s="16">
        <v>43586</v>
      </c>
      <c r="C2872" t="s">
        <v>192</v>
      </c>
      <c r="D2872" s="21">
        <v>23250000</v>
      </c>
      <c r="E2872" s="21">
        <v>-23250000</v>
      </c>
      <c r="F2872" s="21">
        <v>0</v>
      </c>
    </row>
    <row r="2873" spans="1:6" x14ac:dyDescent="0.25">
      <c r="A2873">
        <v>1891</v>
      </c>
      <c r="B2873" s="16">
        <v>43586</v>
      </c>
      <c r="C2873" t="s">
        <v>123</v>
      </c>
      <c r="D2873" s="21">
        <v>7540019.5500000007</v>
      </c>
      <c r="E2873" s="21">
        <v>-7540019.5500000007</v>
      </c>
      <c r="F2873" s="21">
        <v>0</v>
      </c>
    </row>
    <row r="2874" spans="1:6" x14ac:dyDescent="0.25">
      <c r="A2874">
        <v>1891</v>
      </c>
      <c r="B2874" s="16">
        <v>43586</v>
      </c>
      <c r="C2874" t="s">
        <v>12</v>
      </c>
      <c r="D2874" s="21">
        <v>12134941.875</v>
      </c>
      <c r="E2874" s="21">
        <v>-12134941.875</v>
      </c>
      <c r="F2874" s="21">
        <v>0</v>
      </c>
    </row>
    <row r="2875" spans="1:6" x14ac:dyDescent="0.25">
      <c r="A2875">
        <v>1891</v>
      </c>
      <c r="B2875" s="16">
        <v>43586</v>
      </c>
      <c r="C2875" t="s">
        <v>178</v>
      </c>
      <c r="D2875" s="21">
        <v>4923668.9249999998</v>
      </c>
      <c r="E2875" s="21">
        <v>-4923668.9249999998</v>
      </c>
      <c r="F2875" s="21">
        <v>0</v>
      </c>
    </row>
    <row r="2876" spans="1:6" x14ac:dyDescent="0.25">
      <c r="A2876">
        <v>1891</v>
      </c>
      <c r="B2876" s="16">
        <v>43586</v>
      </c>
      <c r="C2876" t="s">
        <v>76</v>
      </c>
      <c r="D2876" s="21">
        <v>4001167.1069999998</v>
      </c>
      <c r="E2876" s="21">
        <v>-4001167.1069999998</v>
      </c>
      <c r="F2876" s="21">
        <v>0</v>
      </c>
    </row>
    <row r="2877" spans="1:6" x14ac:dyDescent="0.25">
      <c r="A2877">
        <v>1891</v>
      </c>
      <c r="B2877" s="16">
        <v>43586</v>
      </c>
      <c r="C2877" t="s">
        <v>26</v>
      </c>
      <c r="D2877" s="21">
        <v>7406867.4750000006</v>
      </c>
      <c r="E2877" s="21">
        <v>-7406867.4750000006</v>
      </c>
      <c r="F2877" s="21">
        <v>0</v>
      </c>
    </row>
    <row r="2878" spans="1:6" x14ac:dyDescent="0.25">
      <c r="A2878">
        <v>1891</v>
      </c>
      <c r="B2878" s="16">
        <v>43617</v>
      </c>
      <c r="C2878" t="s">
        <v>135</v>
      </c>
      <c r="D2878" s="21">
        <v>3868248.1949999994</v>
      </c>
      <c r="E2878" s="21">
        <v>-3868248.1949999994</v>
      </c>
      <c r="F2878" s="21">
        <v>0</v>
      </c>
    </row>
    <row r="2879" spans="1:6" x14ac:dyDescent="0.25">
      <c r="A2879">
        <v>1891</v>
      </c>
      <c r="B2879" s="16">
        <v>43617</v>
      </c>
      <c r="C2879" t="s">
        <v>59</v>
      </c>
      <c r="D2879" s="21">
        <v>3222031.0500000003</v>
      </c>
      <c r="E2879" s="21">
        <v>-3222031.0500000003</v>
      </c>
      <c r="F2879" s="21">
        <v>0</v>
      </c>
    </row>
    <row r="2880" spans="1:6" x14ac:dyDescent="0.25">
      <c r="A2880">
        <v>1891</v>
      </c>
      <c r="B2880" s="16">
        <v>43617</v>
      </c>
      <c r="C2880" t="s">
        <v>39</v>
      </c>
      <c r="D2880" s="21">
        <v>5488569.4500000002</v>
      </c>
      <c r="E2880" s="21">
        <v>-5488569.4500000002</v>
      </c>
      <c r="F2880" s="21">
        <v>0</v>
      </c>
    </row>
    <row r="2881" spans="1:6" x14ac:dyDescent="0.25">
      <c r="A2881">
        <v>1891</v>
      </c>
      <c r="B2881" s="16">
        <v>43617</v>
      </c>
      <c r="C2881" t="s">
        <v>192</v>
      </c>
      <c r="D2881" s="21">
        <v>23250000</v>
      </c>
      <c r="E2881" s="21">
        <v>-23250000</v>
      </c>
      <c r="F2881" s="21">
        <v>0</v>
      </c>
    </row>
    <row r="2882" spans="1:6" x14ac:dyDescent="0.25">
      <c r="A2882">
        <v>1891</v>
      </c>
      <c r="B2882" s="16">
        <v>43617</v>
      </c>
      <c r="C2882" t="s">
        <v>123</v>
      </c>
      <c r="D2882" s="21">
        <v>7540019.5500000007</v>
      </c>
      <c r="E2882" s="21">
        <v>-7540019.5500000007</v>
      </c>
      <c r="F2882" s="21">
        <v>0</v>
      </c>
    </row>
    <row r="2883" spans="1:6" x14ac:dyDescent="0.25">
      <c r="A2883">
        <v>1891</v>
      </c>
      <c r="B2883" s="16">
        <v>43617</v>
      </c>
      <c r="C2883" t="s">
        <v>12</v>
      </c>
      <c r="D2883" s="21">
        <v>12134941.875</v>
      </c>
      <c r="E2883" s="21">
        <v>-12134941.875</v>
      </c>
      <c r="F2883" s="21">
        <v>0</v>
      </c>
    </row>
    <row r="2884" spans="1:6" x14ac:dyDescent="0.25">
      <c r="A2884">
        <v>1891</v>
      </c>
      <c r="B2884" s="16">
        <v>43617</v>
      </c>
      <c r="C2884" t="s">
        <v>178</v>
      </c>
      <c r="D2884" s="21">
        <v>4923668.9249999998</v>
      </c>
      <c r="E2884" s="21">
        <v>-4923668.9249999998</v>
      </c>
      <c r="F2884" s="21">
        <v>0</v>
      </c>
    </row>
    <row r="2885" spans="1:6" x14ac:dyDescent="0.25">
      <c r="A2885">
        <v>1891</v>
      </c>
      <c r="B2885" s="16">
        <v>43617</v>
      </c>
      <c r="C2885" t="s">
        <v>76</v>
      </c>
      <c r="D2885" s="21">
        <v>4001167.1069999998</v>
      </c>
      <c r="E2885" s="21">
        <v>-4001167.1069999998</v>
      </c>
      <c r="F2885" s="21">
        <v>0</v>
      </c>
    </row>
    <row r="2886" spans="1:6" x14ac:dyDescent="0.25">
      <c r="A2886">
        <v>1891</v>
      </c>
      <c r="B2886" s="16">
        <v>43617</v>
      </c>
      <c r="C2886" t="s">
        <v>26</v>
      </c>
      <c r="D2886" s="21">
        <v>7406867.4750000006</v>
      </c>
      <c r="E2886" s="21">
        <v>-7406867.4750000006</v>
      </c>
      <c r="F2886" s="21">
        <v>0</v>
      </c>
    </row>
    <row r="2887" spans="1:6" x14ac:dyDescent="0.25">
      <c r="A2887">
        <v>1891</v>
      </c>
      <c r="B2887" s="16">
        <v>43647</v>
      </c>
      <c r="C2887" t="s">
        <v>135</v>
      </c>
      <c r="D2887" s="21">
        <v>3868248.1949999994</v>
      </c>
      <c r="E2887" s="21">
        <v>-3868248.1949999994</v>
      </c>
      <c r="F2887" s="21">
        <v>0</v>
      </c>
    </row>
    <row r="2888" spans="1:6" x14ac:dyDescent="0.25">
      <c r="A2888">
        <v>1891</v>
      </c>
      <c r="B2888" s="16">
        <v>43647</v>
      </c>
      <c r="C2888" t="s">
        <v>59</v>
      </c>
      <c r="D2888" s="21">
        <v>3222031.0500000003</v>
      </c>
      <c r="E2888" s="21">
        <v>-3222031.0500000003</v>
      </c>
      <c r="F2888" s="21">
        <v>0</v>
      </c>
    </row>
    <row r="2889" spans="1:6" x14ac:dyDescent="0.25">
      <c r="A2889">
        <v>1891</v>
      </c>
      <c r="B2889" s="16">
        <v>43647</v>
      </c>
      <c r="C2889" t="s">
        <v>39</v>
      </c>
      <c r="D2889" s="21">
        <v>5488569.4500000002</v>
      </c>
      <c r="E2889" s="21">
        <v>-5488569.4500000002</v>
      </c>
      <c r="F2889" s="21">
        <v>0</v>
      </c>
    </row>
    <row r="2890" spans="1:6" x14ac:dyDescent="0.25">
      <c r="A2890">
        <v>1891</v>
      </c>
      <c r="B2890" s="16">
        <v>43647</v>
      </c>
      <c r="C2890" t="s">
        <v>192</v>
      </c>
      <c r="D2890" s="21">
        <v>23250000</v>
      </c>
      <c r="E2890" s="21">
        <v>-23250000</v>
      </c>
      <c r="F2890" s="21">
        <v>0</v>
      </c>
    </row>
    <row r="2891" spans="1:6" x14ac:dyDescent="0.25">
      <c r="A2891">
        <v>1891</v>
      </c>
      <c r="B2891" s="16">
        <v>43647</v>
      </c>
      <c r="C2891" t="s">
        <v>123</v>
      </c>
      <c r="D2891" s="21">
        <v>7540019.5500000007</v>
      </c>
      <c r="E2891" s="21">
        <v>-7540019.5500000007</v>
      </c>
      <c r="F2891" s="21">
        <v>0</v>
      </c>
    </row>
    <row r="2892" spans="1:6" x14ac:dyDescent="0.25">
      <c r="A2892">
        <v>1891</v>
      </c>
      <c r="B2892" s="16">
        <v>43647</v>
      </c>
      <c r="C2892" t="s">
        <v>12</v>
      </c>
      <c r="D2892" s="21">
        <v>12134941.875</v>
      </c>
      <c r="E2892" s="21">
        <v>-12134941.875</v>
      </c>
      <c r="F2892" s="21">
        <v>0</v>
      </c>
    </row>
    <row r="2893" spans="1:6" x14ac:dyDescent="0.25">
      <c r="A2893">
        <v>1891</v>
      </c>
      <c r="B2893" s="16">
        <v>43647</v>
      </c>
      <c r="C2893" t="s">
        <v>178</v>
      </c>
      <c r="D2893" s="21">
        <v>4923668.9249999998</v>
      </c>
      <c r="E2893" s="21">
        <v>-4923668.9249999998</v>
      </c>
      <c r="F2893" s="21">
        <v>0</v>
      </c>
    </row>
    <row r="2894" spans="1:6" x14ac:dyDescent="0.25">
      <c r="A2894">
        <v>1891</v>
      </c>
      <c r="B2894" s="16">
        <v>43647</v>
      </c>
      <c r="C2894" t="s">
        <v>76</v>
      </c>
      <c r="D2894" s="21">
        <v>4001167.1069999998</v>
      </c>
      <c r="E2894" s="21">
        <v>-4001167.1069999998</v>
      </c>
      <c r="F2894" s="21">
        <v>0</v>
      </c>
    </row>
    <row r="2895" spans="1:6" x14ac:dyDescent="0.25">
      <c r="A2895">
        <v>1891</v>
      </c>
      <c r="B2895" s="16">
        <v>43647</v>
      </c>
      <c r="C2895" t="s">
        <v>26</v>
      </c>
      <c r="D2895" s="21">
        <v>7406867.4750000006</v>
      </c>
      <c r="E2895" s="21">
        <v>-7406867.4750000006</v>
      </c>
      <c r="F2895" s="21">
        <v>0</v>
      </c>
    </row>
    <row r="2896" spans="1:6" x14ac:dyDescent="0.25">
      <c r="A2896">
        <v>1891</v>
      </c>
      <c r="B2896" s="16">
        <v>43678</v>
      </c>
      <c r="C2896" t="s">
        <v>135</v>
      </c>
      <c r="D2896" s="21">
        <v>3868248.1949999994</v>
      </c>
      <c r="E2896" s="21">
        <v>-3868248.1949999994</v>
      </c>
      <c r="F2896" s="21">
        <v>0</v>
      </c>
    </row>
    <row r="2897" spans="1:6" x14ac:dyDescent="0.25">
      <c r="A2897">
        <v>1891</v>
      </c>
      <c r="B2897" s="16">
        <v>43678</v>
      </c>
      <c r="C2897" t="s">
        <v>59</v>
      </c>
      <c r="D2897" s="21">
        <v>3222031.0500000003</v>
      </c>
      <c r="E2897" s="21">
        <v>-3222031.0500000003</v>
      </c>
      <c r="F2897" s="21">
        <v>0</v>
      </c>
    </row>
    <row r="2898" spans="1:6" x14ac:dyDescent="0.25">
      <c r="A2898">
        <v>1891</v>
      </c>
      <c r="B2898" s="16">
        <v>43678</v>
      </c>
      <c r="C2898" t="s">
        <v>39</v>
      </c>
      <c r="D2898" s="21">
        <v>5488569.4500000002</v>
      </c>
      <c r="E2898" s="21">
        <v>-5488569.4500000002</v>
      </c>
      <c r="F2898" s="21">
        <v>0</v>
      </c>
    </row>
    <row r="2899" spans="1:6" x14ac:dyDescent="0.25">
      <c r="A2899">
        <v>1891</v>
      </c>
      <c r="B2899" s="16">
        <v>43678</v>
      </c>
      <c r="C2899" t="s">
        <v>192</v>
      </c>
      <c r="D2899" s="21">
        <v>23250000</v>
      </c>
      <c r="E2899" s="21">
        <v>-23250000</v>
      </c>
      <c r="F2899" s="21">
        <v>0</v>
      </c>
    </row>
    <row r="2900" spans="1:6" x14ac:dyDescent="0.25">
      <c r="A2900">
        <v>1891</v>
      </c>
      <c r="B2900" s="16">
        <v>43678</v>
      </c>
      <c r="C2900" t="s">
        <v>123</v>
      </c>
      <c r="D2900" s="21">
        <v>7540019.5500000007</v>
      </c>
      <c r="E2900" s="21">
        <v>-7540019.5500000007</v>
      </c>
      <c r="F2900" s="21">
        <v>0</v>
      </c>
    </row>
    <row r="2901" spans="1:6" x14ac:dyDescent="0.25">
      <c r="A2901">
        <v>1891</v>
      </c>
      <c r="B2901" s="16">
        <v>43678</v>
      </c>
      <c r="C2901" t="s">
        <v>12</v>
      </c>
      <c r="D2901" s="21">
        <v>12134941.875</v>
      </c>
      <c r="E2901" s="21">
        <v>-12134941.875</v>
      </c>
      <c r="F2901" s="21">
        <v>0</v>
      </c>
    </row>
    <row r="2902" spans="1:6" x14ac:dyDescent="0.25">
      <c r="A2902">
        <v>1891</v>
      </c>
      <c r="B2902" s="16">
        <v>43678</v>
      </c>
      <c r="C2902" t="s">
        <v>178</v>
      </c>
      <c r="D2902" s="21">
        <v>4923668.9249999998</v>
      </c>
      <c r="E2902" s="21">
        <v>-4923668.9249999998</v>
      </c>
      <c r="F2902" s="21">
        <v>0</v>
      </c>
    </row>
    <row r="2903" spans="1:6" x14ac:dyDescent="0.25">
      <c r="A2903">
        <v>1891</v>
      </c>
      <c r="B2903" s="16">
        <v>43678</v>
      </c>
      <c r="C2903" t="s">
        <v>76</v>
      </c>
      <c r="D2903" s="21">
        <v>4001167.1069999998</v>
      </c>
      <c r="E2903" s="21">
        <v>-4001167.1069999998</v>
      </c>
      <c r="F2903" s="21">
        <v>0</v>
      </c>
    </row>
    <row r="2904" spans="1:6" x14ac:dyDescent="0.25">
      <c r="A2904">
        <v>1891</v>
      </c>
      <c r="B2904" s="16">
        <v>43678</v>
      </c>
      <c r="C2904" t="s">
        <v>26</v>
      </c>
      <c r="D2904" s="21">
        <v>7406867.4750000006</v>
      </c>
      <c r="E2904" s="21">
        <v>-7406867.4750000006</v>
      </c>
      <c r="F2904" s="21">
        <v>0</v>
      </c>
    </row>
    <row r="2905" spans="1:6" x14ac:dyDescent="0.25">
      <c r="A2905">
        <v>1891</v>
      </c>
      <c r="B2905" s="16">
        <v>43709</v>
      </c>
      <c r="C2905" t="s">
        <v>135</v>
      </c>
      <c r="D2905" s="21">
        <v>3868248.1949999994</v>
      </c>
      <c r="E2905" s="21">
        <v>-3868248.1949999994</v>
      </c>
      <c r="F2905" s="21">
        <v>0</v>
      </c>
    </row>
    <row r="2906" spans="1:6" x14ac:dyDescent="0.25">
      <c r="A2906">
        <v>1891</v>
      </c>
      <c r="B2906" s="16">
        <v>43709</v>
      </c>
      <c r="C2906" t="s">
        <v>59</v>
      </c>
      <c r="D2906" s="21">
        <v>3222031.0500000003</v>
      </c>
      <c r="E2906" s="21">
        <v>-3222031.0500000003</v>
      </c>
      <c r="F2906" s="21">
        <v>0</v>
      </c>
    </row>
    <row r="2907" spans="1:6" x14ac:dyDescent="0.25">
      <c r="A2907">
        <v>1891</v>
      </c>
      <c r="B2907" s="16">
        <v>43709</v>
      </c>
      <c r="C2907" t="s">
        <v>39</v>
      </c>
      <c r="D2907" s="21">
        <v>5488569.4500000002</v>
      </c>
      <c r="E2907" s="21">
        <v>-5488569.4500000002</v>
      </c>
      <c r="F2907" s="21">
        <v>0</v>
      </c>
    </row>
    <row r="2908" spans="1:6" x14ac:dyDescent="0.25">
      <c r="A2908">
        <v>1891</v>
      </c>
      <c r="B2908" s="16">
        <v>43709</v>
      </c>
      <c r="C2908" t="s">
        <v>192</v>
      </c>
      <c r="D2908" s="21">
        <v>23250000</v>
      </c>
      <c r="E2908" s="21">
        <v>-23250000</v>
      </c>
      <c r="F2908" s="21">
        <v>0</v>
      </c>
    </row>
    <row r="2909" spans="1:6" x14ac:dyDescent="0.25">
      <c r="A2909">
        <v>1891</v>
      </c>
      <c r="B2909" s="16">
        <v>43709</v>
      </c>
      <c r="C2909" t="s">
        <v>123</v>
      </c>
      <c r="D2909" s="21">
        <v>7540019.5500000007</v>
      </c>
      <c r="E2909" s="21">
        <v>-7540019.5500000007</v>
      </c>
      <c r="F2909" s="21">
        <v>0</v>
      </c>
    </row>
    <row r="2910" spans="1:6" x14ac:dyDescent="0.25">
      <c r="A2910">
        <v>1891</v>
      </c>
      <c r="B2910" s="16">
        <v>43709</v>
      </c>
      <c r="C2910" t="s">
        <v>12</v>
      </c>
      <c r="D2910" s="21">
        <v>12134941.875</v>
      </c>
      <c r="E2910" s="21">
        <v>-12134941.875</v>
      </c>
      <c r="F2910" s="21">
        <v>0</v>
      </c>
    </row>
    <row r="2911" spans="1:6" x14ac:dyDescent="0.25">
      <c r="A2911">
        <v>1891</v>
      </c>
      <c r="B2911" s="16">
        <v>43709</v>
      </c>
      <c r="C2911" t="s">
        <v>178</v>
      </c>
      <c r="D2911" s="21">
        <v>4923668.9249999998</v>
      </c>
      <c r="E2911" s="21">
        <v>-4923668.9249999998</v>
      </c>
      <c r="F2911" s="21">
        <v>0</v>
      </c>
    </row>
    <row r="2912" spans="1:6" x14ac:dyDescent="0.25">
      <c r="A2912">
        <v>1891</v>
      </c>
      <c r="B2912" s="16">
        <v>43709</v>
      </c>
      <c r="C2912" t="s">
        <v>76</v>
      </c>
      <c r="D2912" s="21">
        <v>4001167.1069999998</v>
      </c>
      <c r="E2912" s="21">
        <v>-4001167.1069999998</v>
      </c>
      <c r="F2912" s="21">
        <v>0</v>
      </c>
    </row>
    <row r="2913" spans="1:6" x14ac:dyDescent="0.25">
      <c r="A2913">
        <v>1891</v>
      </c>
      <c r="B2913" s="16">
        <v>43709</v>
      </c>
      <c r="C2913" t="s">
        <v>26</v>
      </c>
      <c r="D2913" s="21">
        <v>7406867.4750000006</v>
      </c>
      <c r="E2913" s="21">
        <v>-7406867.4750000006</v>
      </c>
      <c r="F2913" s="21">
        <v>0</v>
      </c>
    </row>
    <row r="2914" spans="1:6" x14ac:dyDescent="0.25">
      <c r="A2914">
        <v>1891</v>
      </c>
      <c r="B2914" s="16">
        <v>43739</v>
      </c>
      <c r="C2914" t="s">
        <v>135</v>
      </c>
      <c r="D2914" s="21">
        <v>3868248.1949999994</v>
      </c>
      <c r="E2914" s="21">
        <v>-3868248.1949999994</v>
      </c>
      <c r="F2914" s="21">
        <v>0</v>
      </c>
    </row>
    <row r="2915" spans="1:6" x14ac:dyDescent="0.25">
      <c r="A2915">
        <v>1891</v>
      </c>
      <c r="B2915" s="16">
        <v>43739</v>
      </c>
      <c r="C2915" t="s">
        <v>59</v>
      </c>
      <c r="D2915" s="21">
        <v>3222031.0500000003</v>
      </c>
      <c r="E2915" s="21">
        <v>-3222031.0500000003</v>
      </c>
      <c r="F2915" s="21">
        <v>0</v>
      </c>
    </row>
    <row r="2916" spans="1:6" x14ac:dyDescent="0.25">
      <c r="A2916">
        <v>1891</v>
      </c>
      <c r="B2916" s="16">
        <v>43739</v>
      </c>
      <c r="C2916" t="s">
        <v>39</v>
      </c>
      <c r="D2916" s="21">
        <v>5488569.4500000002</v>
      </c>
      <c r="E2916" s="21">
        <v>-5488569.4500000002</v>
      </c>
      <c r="F2916" s="21">
        <v>0</v>
      </c>
    </row>
    <row r="2917" spans="1:6" x14ac:dyDescent="0.25">
      <c r="A2917">
        <v>1891</v>
      </c>
      <c r="B2917" s="16">
        <v>43739</v>
      </c>
      <c r="C2917" t="s">
        <v>192</v>
      </c>
      <c r="D2917" s="21">
        <v>23250000</v>
      </c>
      <c r="E2917" s="21">
        <v>-23250000</v>
      </c>
      <c r="F2917" s="21">
        <v>0</v>
      </c>
    </row>
    <row r="2918" spans="1:6" x14ac:dyDescent="0.25">
      <c r="A2918">
        <v>1891</v>
      </c>
      <c r="B2918" s="16">
        <v>43739</v>
      </c>
      <c r="C2918" t="s">
        <v>123</v>
      </c>
      <c r="D2918" s="21">
        <v>7540019.5500000007</v>
      </c>
      <c r="E2918" s="21">
        <v>-7540019.5500000007</v>
      </c>
      <c r="F2918" s="21">
        <v>0</v>
      </c>
    </row>
    <row r="2919" spans="1:6" x14ac:dyDescent="0.25">
      <c r="A2919">
        <v>1891</v>
      </c>
      <c r="B2919" s="16">
        <v>43739</v>
      </c>
      <c r="C2919" t="s">
        <v>12</v>
      </c>
      <c r="D2919" s="21">
        <v>12134941.875</v>
      </c>
      <c r="E2919" s="21">
        <v>-12134941.875</v>
      </c>
      <c r="F2919" s="21">
        <v>0</v>
      </c>
    </row>
    <row r="2920" spans="1:6" x14ac:dyDescent="0.25">
      <c r="A2920">
        <v>1891</v>
      </c>
      <c r="B2920" s="16">
        <v>43739</v>
      </c>
      <c r="C2920" t="s">
        <v>178</v>
      </c>
      <c r="D2920" s="21">
        <v>4923668.9249999998</v>
      </c>
      <c r="E2920" s="21">
        <v>-4923668.9249999998</v>
      </c>
      <c r="F2920" s="21">
        <v>0</v>
      </c>
    </row>
    <row r="2921" spans="1:6" x14ac:dyDescent="0.25">
      <c r="A2921">
        <v>1891</v>
      </c>
      <c r="B2921" s="16">
        <v>43739</v>
      </c>
      <c r="C2921" t="s">
        <v>76</v>
      </c>
      <c r="D2921" s="21">
        <v>4001167.1069999998</v>
      </c>
      <c r="E2921" s="21">
        <v>-4001167.1069999998</v>
      </c>
      <c r="F2921" s="21">
        <v>0</v>
      </c>
    </row>
    <row r="2922" spans="1:6" x14ac:dyDescent="0.25">
      <c r="A2922">
        <v>1891</v>
      </c>
      <c r="B2922" s="16">
        <v>43739</v>
      </c>
      <c r="C2922" t="s">
        <v>26</v>
      </c>
      <c r="D2922" s="21">
        <v>7406867.4750000006</v>
      </c>
      <c r="E2922" s="21">
        <v>-7406867.4750000006</v>
      </c>
      <c r="F2922" s="21">
        <v>0</v>
      </c>
    </row>
    <row r="2923" spans="1:6" x14ac:dyDescent="0.25">
      <c r="A2923">
        <v>1891</v>
      </c>
      <c r="B2923" s="16">
        <v>43770</v>
      </c>
      <c r="C2923" t="s">
        <v>135</v>
      </c>
      <c r="D2923" s="21">
        <v>3868248.1949999994</v>
      </c>
      <c r="E2923" s="21">
        <v>-3868248.1949999994</v>
      </c>
      <c r="F2923" s="21">
        <v>0</v>
      </c>
    </row>
    <row r="2924" spans="1:6" x14ac:dyDescent="0.25">
      <c r="A2924">
        <v>1891</v>
      </c>
      <c r="B2924" s="16">
        <v>43770</v>
      </c>
      <c r="C2924" t="s">
        <v>59</v>
      </c>
      <c r="D2924" s="21">
        <v>3222031.0500000003</v>
      </c>
      <c r="E2924" s="21">
        <v>-3222031.0500000003</v>
      </c>
      <c r="F2924" s="21">
        <v>0</v>
      </c>
    </row>
    <row r="2925" spans="1:6" x14ac:dyDescent="0.25">
      <c r="A2925">
        <v>1891</v>
      </c>
      <c r="B2925" s="16">
        <v>43770</v>
      </c>
      <c r="C2925" t="s">
        <v>39</v>
      </c>
      <c r="D2925" s="21">
        <v>5488569.4500000002</v>
      </c>
      <c r="E2925" s="21">
        <v>-5488569.4500000002</v>
      </c>
      <c r="F2925" s="21">
        <v>0</v>
      </c>
    </row>
    <row r="2926" spans="1:6" x14ac:dyDescent="0.25">
      <c r="A2926">
        <v>1891</v>
      </c>
      <c r="B2926" s="16">
        <v>43770</v>
      </c>
      <c r="C2926" t="s">
        <v>192</v>
      </c>
      <c r="D2926" s="21">
        <v>23250000</v>
      </c>
      <c r="E2926" s="21">
        <v>-23250000</v>
      </c>
      <c r="F2926" s="21">
        <v>0</v>
      </c>
    </row>
    <row r="2927" spans="1:6" x14ac:dyDescent="0.25">
      <c r="A2927">
        <v>1891</v>
      </c>
      <c r="B2927" s="16">
        <v>43770</v>
      </c>
      <c r="C2927" t="s">
        <v>123</v>
      </c>
      <c r="D2927" s="21">
        <v>7540019.5500000007</v>
      </c>
      <c r="E2927" s="21">
        <v>-7540019.5500000007</v>
      </c>
      <c r="F2927" s="21">
        <v>0</v>
      </c>
    </row>
    <row r="2928" spans="1:6" x14ac:dyDescent="0.25">
      <c r="A2928">
        <v>1891</v>
      </c>
      <c r="B2928" s="16">
        <v>43770</v>
      </c>
      <c r="C2928" t="s">
        <v>12</v>
      </c>
      <c r="D2928" s="21">
        <v>12134941.875</v>
      </c>
      <c r="E2928" s="21">
        <v>-12134941.875</v>
      </c>
      <c r="F2928" s="21">
        <v>0</v>
      </c>
    </row>
    <row r="2929" spans="1:6" x14ac:dyDescent="0.25">
      <c r="A2929">
        <v>1891</v>
      </c>
      <c r="B2929" s="16">
        <v>43770</v>
      </c>
      <c r="C2929" t="s">
        <v>178</v>
      </c>
      <c r="D2929" s="21">
        <v>4923668.9249999998</v>
      </c>
      <c r="E2929" s="21">
        <v>-4923668.9249999998</v>
      </c>
      <c r="F2929" s="21">
        <v>0</v>
      </c>
    </row>
    <row r="2930" spans="1:6" x14ac:dyDescent="0.25">
      <c r="A2930">
        <v>1891</v>
      </c>
      <c r="B2930" s="16">
        <v>43770</v>
      </c>
      <c r="C2930" t="s">
        <v>76</v>
      </c>
      <c r="D2930" s="21">
        <v>4001167.1069999998</v>
      </c>
      <c r="E2930" s="21">
        <v>-4001167.1069999998</v>
      </c>
      <c r="F2930" s="21">
        <v>0</v>
      </c>
    </row>
    <row r="2931" spans="1:6" x14ac:dyDescent="0.25">
      <c r="A2931">
        <v>1891</v>
      </c>
      <c r="B2931" s="16">
        <v>43770</v>
      </c>
      <c r="C2931" t="s">
        <v>26</v>
      </c>
      <c r="D2931" s="21">
        <v>7406867.4750000006</v>
      </c>
      <c r="E2931" s="21">
        <v>-7406867.4750000006</v>
      </c>
      <c r="F2931" s="21">
        <v>0</v>
      </c>
    </row>
    <row r="2932" spans="1:6" x14ac:dyDescent="0.25">
      <c r="A2932">
        <v>1891</v>
      </c>
      <c r="B2932" s="16">
        <v>43800</v>
      </c>
      <c r="C2932" t="s">
        <v>135</v>
      </c>
      <c r="D2932" s="21">
        <v>3868248.1949999994</v>
      </c>
      <c r="E2932" s="21">
        <v>-3868248.1949999994</v>
      </c>
      <c r="F2932" s="21">
        <v>0</v>
      </c>
    </row>
    <row r="2933" spans="1:6" x14ac:dyDescent="0.25">
      <c r="A2933">
        <v>1891</v>
      </c>
      <c r="B2933" s="16">
        <v>43800</v>
      </c>
      <c r="C2933" t="s">
        <v>39</v>
      </c>
      <c r="D2933" s="21">
        <v>5488569.4500000002</v>
      </c>
      <c r="E2933" s="21">
        <v>-5488569.4500000002</v>
      </c>
      <c r="F2933" s="21">
        <v>0</v>
      </c>
    </row>
    <row r="2934" spans="1:6" x14ac:dyDescent="0.25">
      <c r="A2934">
        <v>1891</v>
      </c>
      <c r="B2934" s="16">
        <v>43800</v>
      </c>
      <c r="C2934" t="s">
        <v>12</v>
      </c>
      <c r="D2934" s="21">
        <v>12134941.875</v>
      </c>
      <c r="E2934" s="21">
        <v>-12134941.875</v>
      </c>
      <c r="F2934" s="21">
        <v>0</v>
      </c>
    </row>
    <row r="2935" spans="1:6" x14ac:dyDescent="0.25">
      <c r="A2935">
        <v>1891</v>
      </c>
      <c r="B2935" s="16">
        <v>43800</v>
      </c>
      <c r="C2935" t="s">
        <v>123</v>
      </c>
      <c r="D2935" s="21">
        <v>7540019.5500000007</v>
      </c>
      <c r="E2935" s="21">
        <v>-7540019.5500000007</v>
      </c>
      <c r="F2935" s="21">
        <v>0</v>
      </c>
    </row>
    <row r="2936" spans="1:6" x14ac:dyDescent="0.25">
      <c r="A2936">
        <v>1891</v>
      </c>
      <c r="B2936" s="16">
        <v>43800</v>
      </c>
      <c r="C2936" t="s">
        <v>59</v>
      </c>
      <c r="D2936" s="21">
        <v>3222031.0500000003</v>
      </c>
      <c r="E2936" s="21">
        <v>-3222031.0500000003</v>
      </c>
      <c r="F2936" s="21">
        <v>0</v>
      </c>
    </row>
    <row r="2937" spans="1:6" x14ac:dyDescent="0.25">
      <c r="A2937">
        <v>1891</v>
      </c>
      <c r="B2937" s="16">
        <v>43800</v>
      </c>
      <c r="C2937" t="s">
        <v>178</v>
      </c>
      <c r="D2937" s="21">
        <v>4923668.9249999998</v>
      </c>
      <c r="E2937" s="21">
        <v>-4923668.9249999998</v>
      </c>
      <c r="F2937" s="21">
        <v>0</v>
      </c>
    </row>
    <row r="2938" spans="1:6" x14ac:dyDescent="0.25">
      <c r="A2938">
        <v>1891</v>
      </c>
      <c r="B2938" s="16">
        <v>43800</v>
      </c>
      <c r="C2938" t="s">
        <v>192</v>
      </c>
      <c r="D2938" s="21">
        <v>23250000</v>
      </c>
      <c r="E2938" s="21">
        <v>-23250000</v>
      </c>
      <c r="F2938" s="21">
        <v>0</v>
      </c>
    </row>
    <row r="2939" spans="1:6" x14ac:dyDescent="0.25">
      <c r="A2939">
        <v>1891</v>
      </c>
      <c r="B2939" s="16">
        <v>43800</v>
      </c>
      <c r="C2939" t="s">
        <v>26</v>
      </c>
      <c r="D2939" s="21">
        <v>7406867.4750000006</v>
      </c>
      <c r="E2939" s="21">
        <v>-7406867.4750000006</v>
      </c>
      <c r="F2939" s="21">
        <v>0</v>
      </c>
    </row>
    <row r="2940" spans="1:6" x14ac:dyDescent="0.25">
      <c r="A2940">
        <v>1891</v>
      </c>
      <c r="B2940" s="16">
        <v>43831</v>
      </c>
      <c r="C2940" t="s">
        <v>135</v>
      </c>
      <c r="D2940" s="21">
        <v>3868248.1949999994</v>
      </c>
      <c r="E2940" s="21">
        <v>-3868248.1949999994</v>
      </c>
      <c r="F2940" s="21">
        <v>0</v>
      </c>
    </row>
    <row r="2941" spans="1:6" x14ac:dyDescent="0.25">
      <c r="A2941">
        <v>1891</v>
      </c>
      <c r="B2941" s="16">
        <v>43831</v>
      </c>
      <c r="C2941" t="s">
        <v>39</v>
      </c>
      <c r="D2941" s="21">
        <v>5488569.4500000002</v>
      </c>
      <c r="E2941" s="21">
        <v>-5488569.4500000002</v>
      </c>
      <c r="F2941" s="21">
        <v>0</v>
      </c>
    </row>
    <row r="2942" spans="1:6" x14ac:dyDescent="0.25">
      <c r="A2942">
        <v>1891</v>
      </c>
      <c r="B2942" s="16">
        <v>43831</v>
      </c>
      <c r="C2942" t="s">
        <v>12</v>
      </c>
      <c r="D2942" s="21">
        <v>12134941.875</v>
      </c>
      <c r="E2942" s="21">
        <v>-12134941.875</v>
      </c>
      <c r="F2942" s="21">
        <v>0</v>
      </c>
    </row>
    <row r="2943" spans="1:6" x14ac:dyDescent="0.25">
      <c r="A2943">
        <v>1891</v>
      </c>
      <c r="B2943" s="16">
        <v>43831</v>
      </c>
      <c r="C2943" t="s">
        <v>123</v>
      </c>
      <c r="D2943" s="21">
        <v>7540019.5500000007</v>
      </c>
      <c r="E2943" s="21">
        <v>-7540019.5500000007</v>
      </c>
      <c r="F2943" s="21">
        <v>0</v>
      </c>
    </row>
    <row r="2944" spans="1:6" x14ac:dyDescent="0.25">
      <c r="A2944">
        <v>1891</v>
      </c>
      <c r="B2944" s="16">
        <v>43831</v>
      </c>
      <c r="C2944" t="s">
        <v>59</v>
      </c>
      <c r="D2944" s="21">
        <v>3222031.0500000003</v>
      </c>
      <c r="E2944" s="21">
        <v>-3222031.0500000003</v>
      </c>
      <c r="F2944" s="21">
        <v>0</v>
      </c>
    </row>
    <row r="2945" spans="1:6" x14ac:dyDescent="0.25">
      <c r="A2945">
        <v>1891</v>
      </c>
      <c r="B2945" s="16">
        <v>43831</v>
      </c>
      <c r="C2945" t="s">
        <v>178</v>
      </c>
      <c r="D2945" s="21">
        <v>4923668.9249999998</v>
      </c>
      <c r="E2945" s="21">
        <v>-4923668.9249999998</v>
      </c>
      <c r="F2945" s="21">
        <v>0</v>
      </c>
    </row>
    <row r="2946" spans="1:6" x14ac:dyDescent="0.25">
      <c r="A2946">
        <v>1891</v>
      </c>
      <c r="B2946" s="16">
        <v>43831</v>
      </c>
      <c r="C2946" t="s">
        <v>192</v>
      </c>
      <c r="D2946" s="21">
        <v>23250000</v>
      </c>
      <c r="E2946" s="21">
        <v>-23250000</v>
      </c>
      <c r="F2946" s="21">
        <v>0</v>
      </c>
    </row>
    <row r="2947" spans="1:6" x14ac:dyDescent="0.25">
      <c r="A2947">
        <v>1891</v>
      </c>
      <c r="B2947" s="16">
        <v>43831</v>
      </c>
      <c r="C2947" t="s">
        <v>26</v>
      </c>
      <c r="D2947" s="21">
        <v>7406867.4750000006</v>
      </c>
      <c r="E2947" s="21">
        <v>-7406867.4750000006</v>
      </c>
      <c r="F2947" s="21">
        <v>0</v>
      </c>
    </row>
    <row r="2948" spans="1:6" x14ac:dyDescent="0.25">
      <c r="A2948">
        <v>1891</v>
      </c>
      <c r="B2948" s="16">
        <v>43862</v>
      </c>
      <c r="C2948" t="s">
        <v>135</v>
      </c>
      <c r="D2948" s="21">
        <v>3868248.1949999994</v>
      </c>
      <c r="E2948" s="21">
        <v>-3868248.1949999994</v>
      </c>
      <c r="F2948" s="21">
        <v>0</v>
      </c>
    </row>
    <row r="2949" spans="1:6" x14ac:dyDescent="0.25">
      <c r="A2949">
        <v>1891</v>
      </c>
      <c r="B2949" s="16">
        <v>43862</v>
      </c>
      <c r="C2949" t="s">
        <v>39</v>
      </c>
      <c r="D2949" s="21">
        <v>5488569.4500000002</v>
      </c>
      <c r="E2949" s="21">
        <v>-5488569.4500000002</v>
      </c>
      <c r="F2949" s="21">
        <v>0</v>
      </c>
    </row>
    <row r="2950" spans="1:6" x14ac:dyDescent="0.25">
      <c r="A2950">
        <v>1891</v>
      </c>
      <c r="B2950" s="16">
        <v>43862</v>
      </c>
      <c r="C2950" t="s">
        <v>12</v>
      </c>
      <c r="D2950" s="21">
        <v>12134941.875</v>
      </c>
      <c r="E2950" s="21">
        <v>-12134941.875</v>
      </c>
      <c r="F2950" s="21">
        <v>0</v>
      </c>
    </row>
    <row r="2951" spans="1:6" x14ac:dyDescent="0.25">
      <c r="A2951">
        <v>1891</v>
      </c>
      <c r="B2951" s="16">
        <v>43862</v>
      </c>
      <c r="C2951" t="s">
        <v>123</v>
      </c>
      <c r="D2951" s="21">
        <v>7540019.5500000007</v>
      </c>
      <c r="E2951" s="21">
        <v>-7540019.5500000007</v>
      </c>
      <c r="F2951" s="21">
        <v>0</v>
      </c>
    </row>
    <row r="2952" spans="1:6" x14ac:dyDescent="0.25">
      <c r="A2952">
        <v>1891</v>
      </c>
      <c r="B2952" s="16">
        <v>43862</v>
      </c>
      <c r="C2952" t="s">
        <v>59</v>
      </c>
      <c r="D2952" s="21">
        <v>3222031.0500000003</v>
      </c>
      <c r="E2952" s="21">
        <v>-3222031.0500000003</v>
      </c>
      <c r="F2952" s="21">
        <v>0</v>
      </c>
    </row>
    <row r="2953" spans="1:6" x14ac:dyDescent="0.25">
      <c r="A2953">
        <v>1891</v>
      </c>
      <c r="B2953" s="16">
        <v>43862</v>
      </c>
      <c r="C2953" t="s">
        <v>178</v>
      </c>
      <c r="D2953" s="21">
        <v>4923668.9249999998</v>
      </c>
      <c r="E2953" s="21">
        <v>-4923668.9249999998</v>
      </c>
      <c r="F2953" s="21">
        <v>0</v>
      </c>
    </row>
    <row r="2954" spans="1:6" x14ac:dyDescent="0.25">
      <c r="A2954">
        <v>1891</v>
      </c>
      <c r="B2954" s="16">
        <v>43862</v>
      </c>
      <c r="C2954" t="s">
        <v>192</v>
      </c>
      <c r="D2954" s="21">
        <v>23250000</v>
      </c>
      <c r="E2954" s="21">
        <v>-23250000</v>
      </c>
      <c r="F2954" s="21">
        <v>0</v>
      </c>
    </row>
    <row r="2955" spans="1:6" x14ac:dyDescent="0.25">
      <c r="A2955">
        <v>1891</v>
      </c>
      <c r="B2955" s="16">
        <v>43862</v>
      </c>
      <c r="C2955" t="s">
        <v>26</v>
      </c>
      <c r="D2955" s="21">
        <v>7406867.4750000006</v>
      </c>
      <c r="E2955" s="21">
        <v>-7406867.4750000006</v>
      </c>
      <c r="F2955" s="21">
        <v>0</v>
      </c>
    </row>
    <row r="2956" spans="1:6" x14ac:dyDescent="0.25">
      <c r="A2956">
        <v>1891</v>
      </c>
      <c r="B2956" s="16">
        <v>43891</v>
      </c>
      <c r="C2956" t="s">
        <v>135</v>
      </c>
      <c r="D2956" s="21">
        <v>3868248.1949999994</v>
      </c>
      <c r="E2956" s="21">
        <v>-3868248.1949999994</v>
      </c>
      <c r="F2956" s="21">
        <v>0</v>
      </c>
    </row>
    <row r="2957" spans="1:6" x14ac:dyDescent="0.25">
      <c r="A2957">
        <v>1891</v>
      </c>
      <c r="B2957" s="16">
        <v>43891</v>
      </c>
      <c r="C2957" t="s">
        <v>39</v>
      </c>
      <c r="D2957" s="21">
        <v>5488569.4500000002</v>
      </c>
      <c r="E2957" s="21">
        <v>-5488569.4500000002</v>
      </c>
      <c r="F2957" s="21">
        <v>0</v>
      </c>
    </row>
    <row r="2958" spans="1:6" x14ac:dyDescent="0.25">
      <c r="A2958">
        <v>1891</v>
      </c>
      <c r="B2958" s="16">
        <v>43891</v>
      </c>
      <c r="C2958" t="s">
        <v>12</v>
      </c>
      <c r="D2958" s="21">
        <v>12134941.875</v>
      </c>
      <c r="E2958" s="21">
        <v>-12134941.875</v>
      </c>
      <c r="F2958" s="21">
        <v>0</v>
      </c>
    </row>
    <row r="2959" spans="1:6" x14ac:dyDescent="0.25">
      <c r="A2959">
        <v>1891</v>
      </c>
      <c r="B2959" s="16">
        <v>43891</v>
      </c>
      <c r="C2959" t="s">
        <v>123</v>
      </c>
      <c r="D2959" s="21">
        <v>7540019.5500000007</v>
      </c>
      <c r="E2959" s="21">
        <v>-7540019.5500000007</v>
      </c>
      <c r="F2959" s="21">
        <v>0</v>
      </c>
    </row>
    <row r="2960" spans="1:6" x14ac:dyDescent="0.25">
      <c r="A2960">
        <v>1891</v>
      </c>
      <c r="B2960" s="16">
        <v>43891</v>
      </c>
      <c r="C2960" t="s">
        <v>59</v>
      </c>
      <c r="D2960" s="21">
        <v>3222031.0500000003</v>
      </c>
      <c r="E2960" s="21">
        <v>-3222031.0500000003</v>
      </c>
      <c r="F2960" s="21">
        <v>0</v>
      </c>
    </row>
    <row r="2961" spans="1:6" x14ac:dyDescent="0.25">
      <c r="A2961">
        <v>1891</v>
      </c>
      <c r="B2961" s="16">
        <v>43891</v>
      </c>
      <c r="C2961" t="s">
        <v>178</v>
      </c>
      <c r="D2961" s="21">
        <v>4923668.9249999998</v>
      </c>
      <c r="E2961" s="21">
        <v>-4923668.9249999998</v>
      </c>
      <c r="F2961" s="21">
        <v>0</v>
      </c>
    </row>
    <row r="2962" spans="1:6" x14ac:dyDescent="0.25">
      <c r="A2962">
        <v>1891</v>
      </c>
      <c r="B2962" s="16">
        <v>43891</v>
      </c>
      <c r="C2962" t="s">
        <v>192</v>
      </c>
      <c r="D2962" s="21">
        <v>23250000</v>
      </c>
      <c r="E2962" s="21">
        <v>-23250000</v>
      </c>
      <c r="F2962" s="21">
        <v>0</v>
      </c>
    </row>
    <row r="2963" spans="1:6" x14ac:dyDescent="0.25">
      <c r="A2963">
        <v>1891</v>
      </c>
      <c r="B2963" s="16">
        <v>43891</v>
      </c>
      <c r="C2963" t="s">
        <v>26</v>
      </c>
      <c r="D2963" s="21">
        <v>7406867.4750000006</v>
      </c>
      <c r="E2963" s="21">
        <v>-7406867.4750000006</v>
      </c>
      <c r="F2963" s="21">
        <v>0</v>
      </c>
    </row>
    <row r="2964" spans="1:6" x14ac:dyDescent="0.25">
      <c r="A2964">
        <v>1891</v>
      </c>
      <c r="B2964" s="16">
        <v>43922</v>
      </c>
      <c r="C2964" t="s">
        <v>135</v>
      </c>
      <c r="D2964" s="21">
        <v>3868248.1949999994</v>
      </c>
      <c r="E2964" s="21">
        <v>-3868248.1949999994</v>
      </c>
      <c r="F2964" s="21">
        <v>0</v>
      </c>
    </row>
    <row r="2965" spans="1:6" x14ac:dyDescent="0.25">
      <c r="A2965">
        <v>1891</v>
      </c>
      <c r="B2965" s="16">
        <v>43922</v>
      </c>
      <c r="C2965" t="s">
        <v>59</v>
      </c>
      <c r="D2965" s="21">
        <v>3222031.0500000003</v>
      </c>
      <c r="E2965" s="21">
        <v>-3222031.0500000003</v>
      </c>
      <c r="F2965" s="21">
        <v>0</v>
      </c>
    </row>
    <row r="2966" spans="1:6" x14ac:dyDescent="0.25">
      <c r="A2966">
        <v>1891</v>
      </c>
      <c r="B2966" s="16">
        <v>43922</v>
      </c>
      <c r="C2966" t="s">
        <v>39</v>
      </c>
      <c r="D2966" s="21">
        <v>5488569.4500000002</v>
      </c>
      <c r="E2966" s="21">
        <v>-5488569.4500000002</v>
      </c>
      <c r="F2966" s="21">
        <v>0</v>
      </c>
    </row>
    <row r="2967" spans="1:6" x14ac:dyDescent="0.25">
      <c r="A2967">
        <v>1891</v>
      </c>
      <c r="B2967" s="16">
        <v>43922</v>
      </c>
      <c r="C2967" t="s">
        <v>192</v>
      </c>
      <c r="D2967" s="21">
        <v>23250000</v>
      </c>
      <c r="E2967" s="21">
        <v>-23250000</v>
      </c>
      <c r="F2967" s="21">
        <v>0</v>
      </c>
    </row>
    <row r="2968" spans="1:6" x14ac:dyDescent="0.25">
      <c r="A2968">
        <v>1891</v>
      </c>
      <c r="B2968" s="16">
        <v>43922</v>
      </c>
      <c r="C2968" t="s">
        <v>178</v>
      </c>
      <c r="D2968" s="21">
        <v>4923668.9249999998</v>
      </c>
      <c r="E2968" s="21">
        <v>-4923668.9249999998</v>
      </c>
      <c r="F2968" s="21">
        <v>0</v>
      </c>
    </row>
    <row r="2969" spans="1:6" x14ac:dyDescent="0.25">
      <c r="A2969">
        <v>1891</v>
      </c>
      <c r="B2969" s="16">
        <v>43922</v>
      </c>
      <c r="C2969" t="s">
        <v>12</v>
      </c>
      <c r="D2969" s="21">
        <v>12134941.875</v>
      </c>
      <c r="E2969" s="21">
        <v>-12134941.875</v>
      </c>
      <c r="F2969" s="21">
        <v>0</v>
      </c>
    </row>
    <row r="2970" spans="1:6" x14ac:dyDescent="0.25">
      <c r="A2970">
        <v>1891</v>
      </c>
      <c r="B2970" s="16">
        <v>43922</v>
      </c>
      <c r="C2970" t="s">
        <v>26</v>
      </c>
      <c r="D2970" s="21">
        <v>7406867.4750000006</v>
      </c>
      <c r="E2970" s="21">
        <v>-7406867.4750000006</v>
      </c>
      <c r="F2970" s="21">
        <v>0</v>
      </c>
    </row>
    <row r="2971" spans="1:6" x14ac:dyDescent="0.25">
      <c r="A2971">
        <v>1891</v>
      </c>
      <c r="B2971" s="16">
        <v>43952</v>
      </c>
      <c r="C2971" t="s">
        <v>135</v>
      </c>
      <c r="D2971" s="21">
        <v>3868248.1949999994</v>
      </c>
      <c r="E2971" s="21">
        <v>-3868248.1949999994</v>
      </c>
      <c r="F2971" s="21">
        <v>0</v>
      </c>
    </row>
    <row r="2972" spans="1:6" x14ac:dyDescent="0.25">
      <c r="A2972">
        <v>1891</v>
      </c>
      <c r="B2972" s="16">
        <v>43952</v>
      </c>
      <c r="C2972" t="s">
        <v>59</v>
      </c>
      <c r="D2972" s="21">
        <v>3222031.0500000003</v>
      </c>
      <c r="E2972" s="21">
        <v>-3222031.0500000003</v>
      </c>
      <c r="F2972" s="21">
        <v>0</v>
      </c>
    </row>
    <row r="2973" spans="1:6" x14ac:dyDescent="0.25">
      <c r="A2973">
        <v>1891</v>
      </c>
      <c r="B2973" s="16">
        <v>43952</v>
      </c>
      <c r="C2973" t="s">
        <v>39</v>
      </c>
      <c r="D2973" s="21">
        <v>5488569.4500000002</v>
      </c>
      <c r="E2973" s="21">
        <v>-5488569.4500000002</v>
      </c>
      <c r="F2973" s="21">
        <v>0</v>
      </c>
    </row>
    <row r="2974" spans="1:6" x14ac:dyDescent="0.25">
      <c r="A2974">
        <v>1891</v>
      </c>
      <c r="B2974" s="16">
        <v>43952</v>
      </c>
      <c r="C2974" t="s">
        <v>192</v>
      </c>
      <c r="D2974" s="21">
        <v>23250000</v>
      </c>
      <c r="E2974" s="21">
        <v>-23250000</v>
      </c>
      <c r="F2974" s="21">
        <v>0</v>
      </c>
    </row>
    <row r="2975" spans="1:6" x14ac:dyDescent="0.25">
      <c r="A2975">
        <v>1891</v>
      </c>
      <c r="B2975" s="16">
        <v>43952</v>
      </c>
      <c r="C2975" t="s">
        <v>178</v>
      </c>
      <c r="D2975" s="21">
        <v>4923668.9249999998</v>
      </c>
      <c r="E2975" s="21">
        <v>-4923668.9249999998</v>
      </c>
      <c r="F2975" s="21">
        <v>0</v>
      </c>
    </row>
    <row r="2976" spans="1:6" x14ac:dyDescent="0.25">
      <c r="A2976">
        <v>1891</v>
      </c>
      <c r="B2976" s="16">
        <v>43952</v>
      </c>
      <c r="C2976" t="s">
        <v>12</v>
      </c>
      <c r="D2976" s="21">
        <v>12134941.875</v>
      </c>
      <c r="E2976" s="21">
        <v>-12134941.875</v>
      </c>
      <c r="F2976" s="21">
        <v>0</v>
      </c>
    </row>
    <row r="2977" spans="1:6" x14ac:dyDescent="0.25">
      <c r="A2977">
        <v>1891</v>
      </c>
      <c r="B2977" s="16">
        <v>43952</v>
      </c>
      <c r="C2977" t="s">
        <v>26</v>
      </c>
      <c r="D2977" s="21">
        <v>7406867.4750000006</v>
      </c>
      <c r="E2977" s="21">
        <v>-7406867.4750000006</v>
      </c>
      <c r="F2977" s="21">
        <v>0</v>
      </c>
    </row>
    <row r="2978" spans="1:6" x14ac:dyDescent="0.25">
      <c r="A2978">
        <v>1891</v>
      </c>
      <c r="B2978" s="16">
        <v>43983</v>
      </c>
      <c r="C2978" t="s">
        <v>135</v>
      </c>
      <c r="D2978" s="21">
        <v>3868248.1949999994</v>
      </c>
      <c r="E2978" s="21">
        <v>-3868248.1949999994</v>
      </c>
      <c r="F2978" s="21">
        <v>0</v>
      </c>
    </row>
    <row r="2979" spans="1:6" x14ac:dyDescent="0.25">
      <c r="A2979">
        <v>1891</v>
      </c>
      <c r="B2979" s="16">
        <v>43983</v>
      </c>
      <c r="C2979" t="s">
        <v>59</v>
      </c>
      <c r="D2979" s="21">
        <v>3222031.0500000003</v>
      </c>
      <c r="E2979" s="21">
        <v>-3222031.0500000003</v>
      </c>
      <c r="F2979" s="21">
        <v>0</v>
      </c>
    </row>
    <row r="2980" spans="1:6" x14ac:dyDescent="0.25">
      <c r="A2980">
        <v>1891</v>
      </c>
      <c r="B2980" s="16">
        <v>43983</v>
      </c>
      <c r="C2980" t="s">
        <v>39</v>
      </c>
      <c r="D2980" s="21">
        <v>5488569.4500000002</v>
      </c>
      <c r="E2980" s="21">
        <v>-5488569.4500000002</v>
      </c>
      <c r="F2980" s="21">
        <v>0</v>
      </c>
    </row>
    <row r="2981" spans="1:6" x14ac:dyDescent="0.25">
      <c r="A2981">
        <v>1891</v>
      </c>
      <c r="B2981" s="16">
        <v>43983</v>
      </c>
      <c r="C2981" t="s">
        <v>192</v>
      </c>
      <c r="D2981" s="21">
        <v>23250000</v>
      </c>
      <c r="E2981" s="21">
        <v>-23250000</v>
      </c>
      <c r="F2981" s="21">
        <v>0</v>
      </c>
    </row>
    <row r="2982" spans="1:6" x14ac:dyDescent="0.25">
      <c r="A2982">
        <v>1891</v>
      </c>
      <c r="B2982" s="16">
        <v>43983</v>
      </c>
      <c r="C2982" t="s">
        <v>178</v>
      </c>
      <c r="D2982" s="21">
        <v>4923668.9249999998</v>
      </c>
      <c r="E2982" s="21">
        <v>-4923668.9249999998</v>
      </c>
      <c r="F2982" s="21">
        <v>0</v>
      </c>
    </row>
    <row r="2983" spans="1:6" x14ac:dyDescent="0.25">
      <c r="A2983">
        <v>1891</v>
      </c>
      <c r="B2983" s="16">
        <v>43983</v>
      </c>
      <c r="C2983" t="s">
        <v>12</v>
      </c>
      <c r="D2983" s="21">
        <v>12134941.875</v>
      </c>
      <c r="E2983" s="21">
        <v>-12134941.875</v>
      </c>
      <c r="F2983" s="21">
        <v>0</v>
      </c>
    </row>
    <row r="2984" spans="1:6" x14ac:dyDescent="0.25">
      <c r="A2984">
        <v>1891</v>
      </c>
      <c r="B2984" s="16">
        <v>43983</v>
      </c>
      <c r="C2984" t="s">
        <v>26</v>
      </c>
      <c r="D2984" s="21">
        <v>7406867.4750000006</v>
      </c>
      <c r="E2984" s="21">
        <v>-7406867.4750000006</v>
      </c>
      <c r="F2984" s="21">
        <v>0</v>
      </c>
    </row>
    <row r="2985" spans="1:6" x14ac:dyDescent="0.25">
      <c r="A2985">
        <v>1891</v>
      </c>
      <c r="B2985" s="16">
        <v>44013</v>
      </c>
      <c r="C2985" t="s">
        <v>135</v>
      </c>
      <c r="D2985" s="21">
        <v>3868248.1949999994</v>
      </c>
      <c r="E2985" s="21">
        <v>-3868248.1949999994</v>
      </c>
      <c r="F2985" s="21">
        <v>0</v>
      </c>
    </row>
    <row r="2986" spans="1:6" x14ac:dyDescent="0.25">
      <c r="A2986">
        <v>1891</v>
      </c>
      <c r="B2986" s="16">
        <v>44013</v>
      </c>
      <c r="C2986" t="s">
        <v>59</v>
      </c>
      <c r="D2986" s="21">
        <v>3222031.0500000003</v>
      </c>
      <c r="E2986" s="21">
        <v>-3222031.0500000003</v>
      </c>
      <c r="F2986" s="21">
        <v>0</v>
      </c>
    </row>
    <row r="2987" spans="1:6" x14ac:dyDescent="0.25">
      <c r="A2987">
        <v>1891</v>
      </c>
      <c r="B2987" s="16">
        <v>44013</v>
      </c>
      <c r="C2987" t="s">
        <v>178</v>
      </c>
      <c r="D2987" s="21">
        <v>4923668.9249999998</v>
      </c>
      <c r="E2987" s="21">
        <v>-4923668.9249999998</v>
      </c>
      <c r="F2987" s="21">
        <v>0</v>
      </c>
    </row>
    <row r="2988" spans="1:6" x14ac:dyDescent="0.25">
      <c r="A2988">
        <v>1891</v>
      </c>
      <c r="B2988" s="16">
        <v>44013</v>
      </c>
      <c r="C2988" t="s">
        <v>192</v>
      </c>
      <c r="D2988" s="21">
        <v>23250000</v>
      </c>
      <c r="E2988" s="21">
        <v>-23250000</v>
      </c>
      <c r="F2988" s="21">
        <v>0</v>
      </c>
    </row>
    <row r="2989" spans="1:6" x14ac:dyDescent="0.25">
      <c r="A2989">
        <v>1891</v>
      </c>
      <c r="B2989" s="16">
        <v>44013</v>
      </c>
      <c r="C2989" t="s">
        <v>26</v>
      </c>
      <c r="D2989" s="21">
        <v>7406867.4750000006</v>
      </c>
      <c r="E2989" s="21">
        <v>-7406867.4750000006</v>
      </c>
      <c r="F2989" s="21">
        <v>0</v>
      </c>
    </row>
    <row r="2990" spans="1:6" x14ac:dyDescent="0.25">
      <c r="A2990">
        <v>1891</v>
      </c>
      <c r="B2990" s="16">
        <v>44044</v>
      </c>
      <c r="C2990" t="s">
        <v>192</v>
      </c>
      <c r="D2990" s="21">
        <v>23250000</v>
      </c>
      <c r="E2990" s="21">
        <v>-23250000</v>
      </c>
      <c r="F2990" s="21">
        <v>0</v>
      </c>
    </row>
    <row r="2991" spans="1:6" x14ac:dyDescent="0.25">
      <c r="A2991">
        <v>1891</v>
      </c>
      <c r="B2991" s="16">
        <v>44044</v>
      </c>
      <c r="C2991" t="s">
        <v>135</v>
      </c>
      <c r="D2991" s="21">
        <v>3868248.1949999994</v>
      </c>
      <c r="E2991" s="21">
        <v>-3868248.1949999994</v>
      </c>
      <c r="F2991" s="21">
        <v>0</v>
      </c>
    </row>
    <row r="2992" spans="1:6" x14ac:dyDescent="0.25">
      <c r="A2992">
        <v>1891</v>
      </c>
      <c r="B2992" s="16">
        <v>44044</v>
      </c>
      <c r="C2992" t="s">
        <v>59</v>
      </c>
      <c r="D2992" s="21">
        <v>3222031.0500000003</v>
      </c>
      <c r="E2992" s="21">
        <v>-3222031.0500000003</v>
      </c>
      <c r="F2992" s="21">
        <v>0</v>
      </c>
    </row>
    <row r="2993" spans="1:6" x14ac:dyDescent="0.25">
      <c r="A2993">
        <v>1891</v>
      </c>
      <c r="B2993" s="16">
        <v>44044</v>
      </c>
      <c r="C2993" t="s">
        <v>26</v>
      </c>
      <c r="D2993" s="21">
        <v>7406867.4750000006</v>
      </c>
      <c r="E2993" s="21">
        <v>-7406867.4750000006</v>
      </c>
      <c r="F2993" s="21">
        <v>0</v>
      </c>
    </row>
    <row r="2994" spans="1:6" x14ac:dyDescent="0.25">
      <c r="A2994">
        <v>1891</v>
      </c>
      <c r="B2994" s="16">
        <v>44075</v>
      </c>
      <c r="C2994" t="s">
        <v>192</v>
      </c>
      <c r="D2994" s="21">
        <v>23250000</v>
      </c>
      <c r="E2994" s="21">
        <v>-23250000</v>
      </c>
      <c r="F2994" s="21">
        <v>0</v>
      </c>
    </row>
    <row r="2995" spans="1:6" x14ac:dyDescent="0.25">
      <c r="A2995">
        <v>1891</v>
      </c>
      <c r="B2995" s="16">
        <v>44075</v>
      </c>
      <c r="C2995" t="s">
        <v>135</v>
      </c>
      <c r="D2995" s="21">
        <v>3868248.1949999994</v>
      </c>
      <c r="E2995" s="21">
        <v>-3868248.1949999994</v>
      </c>
      <c r="F2995" s="21">
        <v>0</v>
      </c>
    </row>
    <row r="2996" spans="1:6" x14ac:dyDescent="0.25">
      <c r="A2996">
        <v>1891</v>
      </c>
      <c r="B2996" s="16">
        <v>44075</v>
      </c>
      <c r="C2996" t="s">
        <v>59</v>
      </c>
      <c r="D2996" s="21">
        <v>3222031.0500000003</v>
      </c>
      <c r="E2996" s="21">
        <v>-3222031.0500000003</v>
      </c>
      <c r="F2996" s="21">
        <v>0</v>
      </c>
    </row>
    <row r="2997" spans="1:6" x14ac:dyDescent="0.25">
      <c r="A2997">
        <v>1891</v>
      </c>
      <c r="B2997" s="16">
        <v>44075</v>
      </c>
      <c r="C2997" t="s">
        <v>26</v>
      </c>
      <c r="D2997" s="21">
        <v>7406867.4750000006</v>
      </c>
      <c r="E2997" s="21">
        <v>-7406867.4750000006</v>
      </c>
      <c r="F2997" s="21">
        <v>0</v>
      </c>
    </row>
    <row r="2998" spans="1:6" x14ac:dyDescent="0.25">
      <c r="A2998">
        <v>1891</v>
      </c>
      <c r="B2998" s="16">
        <v>44105</v>
      </c>
      <c r="C2998" t="s">
        <v>192</v>
      </c>
      <c r="D2998" s="21">
        <v>23250000</v>
      </c>
      <c r="E2998" s="21">
        <v>-23250000</v>
      </c>
      <c r="F2998" s="21">
        <v>0</v>
      </c>
    </row>
    <row r="2999" spans="1:6" x14ac:dyDescent="0.25">
      <c r="A2999">
        <v>1891</v>
      </c>
      <c r="B2999" s="16">
        <v>44105</v>
      </c>
      <c r="C2999" t="s">
        <v>59</v>
      </c>
      <c r="D2999" s="21">
        <v>3222031.0500000003</v>
      </c>
      <c r="E2999" s="21">
        <v>-3222031.0500000003</v>
      </c>
      <c r="F2999" s="21">
        <v>0</v>
      </c>
    </row>
    <row r="3000" spans="1:6" x14ac:dyDescent="0.25">
      <c r="A3000">
        <v>1891</v>
      </c>
      <c r="B3000" s="16">
        <v>44105</v>
      </c>
      <c r="C3000" t="s">
        <v>26</v>
      </c>
      <c r="D3000" s="21">
        <v>7406867.4750000006</v>
      </c>
      <c r="E3000" s="21">
        <v>-7406867.4750000006</v>
      </c>
      <c r="F3000" s="21">
        <v>0</v>
      </c>
    </row>
    <row r="3001" spans="1:6" x14ac:dyDescent="0.25">
      <c r="A3001">
        <v>1891</v>
      </c>
      <c r="B3001" s="16">
        <v>44136</v>
      </c>
      <c r="C3001" t="s">
        <v>192</v>
      </c>
      <c r="D3001" s="21">
        <v>23250000</v>
      </c>
      <c r="E3001" s="21">
        <v>-23250000</v>
      </c>
      <c r="F3001" s="21">
        <v>0</v>
      </c>
    </row>
    <row r="3002" spans="1:6" x14ac:dyDescent="0.25">
      <c r="A3002">
        <v>1891</v>
      </c>
      <c r="B3002" s="16">
        <v>44136</v>
      </c>
      <c r="C3002" t="s">
        <v>59</v>
      </c>
      <c r="D3002" s="21">
        <v>3222031.0500000003</v>
      </c>
      <c r="E3002" s="21">
        <v>-3222031.0500000003</v>
      </c>
      <c r="F3002" s="21">
        <v>0</v>
      </c>
    </row>
    <row r="3003" spans="1:6" x14ac:dyDescent="0.25">
      <c r="A3003">
        <v>1891</v>
      </c>
      <c r="B3003" s="16">
        <v>44136</v>
      </c>
      <c r="C3003" t="s">
        <v>26</v>
      </c>
      <c r="D3003" s="21">
        <v>7406867.4750000006</v>
      </c>
      <c r="E3003" s="21">
        <v>-7406867.4750000006</v>
      </c>
      <c r="F3003" s="21">
        <v>0</v>
      </c>
    </row>
    <row r="3004" spans="1:6" x14ac:dyDescent="0.25">
      <c r="A3004">
        <v>1891</v>
      </c>
      <c r="B3004" s="16">
        <v>44166</v>
      </c>
      <c r="C3004" t="s">
        <v>192</v>
      </c>
      <c r="D3004" s="21">
        <v>23250000</v>
      </c>
      <c r="E3004" s="21">
        <v>-23250000</v>
      </c>
      <c r="F3004" s="21">
        <v>0</v>
      </c>
    </row>
    <row r="3005" spans="1:6" x14ac:dyDescent="0.25">
      <c r="A3005">
        <v>1891</v>
      </c>
      <c r="B3005" s="16">
        <v>44166</v>
      </c>
      <c r="C3005" t="s">
        <v>59</v>
      </c>
      <c r="D3005" s="21">
        <v>3222031.0500000003</v>
      </c>
      <c r="E3005" s="21">
        <v>-3222031.0500000003</v>
      </c>
      <c r="F3005" s="21">
        <v>0</v>
      </c>
    </row>
    <row r="3006" spans="1:6" x14ac:dyDescent="0.25">
      <c r="A3006">
        <v>1891</v>
      </c>
      <c r="B3006" s="16">
        <v>44166</v>
      </c>
      <c r="C3006" t="s">
        <v>26</v>
      </c>
      <c r="D3006" s="21">
        <v>7406867.4750000006</v>
      </c>
      <c r="E3006" s="21">
        <v>-7406867.4750000006</v>
      </c>
      <c r="F3006" s="21">
        <v>0</v>
      </c>
    </row>
    <row r="3007" spans="1:6" x14ac:dyDescent="0.25">
      <c r="A3007">
        <v>1893</v>
      </c>
      <c r="B3007" s="16">
        <v>43466</v>
      </c>
      <c r="C3007" t="s">
        <v>192</v>
      </c>
      <c r="D3007" s="21">
        <v>14000000</v>
      </c>
      <c r="E3007" s="21">
        <v>-14000000</v>
      </c>
      <c r="F3007" s="21">
        <v>0</v>
      </c>
    </row>
    <row r="3008" spans="1:6" x14ac:dyDescent="0.25">
      <c r="A3008">
        <v>1893</v>
      </c>
      <c r="B3008" s="16">
        <v>43466</v>
      </c>
      <c r="C3008" t="s">
        <v>38</v>
      </c>
      <c r="D3008" s="21">
        <v>3571361.01</v>
      </c>
      <c r="E3008" s="21">
        <v>-3571361.01</v>
      </c>
      <c r="F3008" s="21">
        <v>0</v>
      </c>
    </row>
    <row r="3009" spans="1:6" x14ac:dyDescent="0.25">
      <c r="A3009">
        <v>1893</v>
      </c>
      <c r="B3009" s="16">
        <v>43466</v>
      </c>
      <c r="C3009" t="s">
        <v>12</v>
      </c>
      <c r="D3009" s="21">
        <v>8716050</v>
      </c>
      <c r="E3009" s="21">
        <v>-8716050</v>
      </c>
      <c r="F3009" s="21">
        <v>0</v>
      </c>
    </row>
    <row r="3010" spans="1:6" x14ac:dyDescent="0.25">
      <c r="A3010">
        <v>1893</v>
      </c>
      <c r="B3010" s="16">
        <v>43466</v>
      </c>
      <c r="C3010" t="s">
        <v>229</v>
      </c>
      <c r="D3010" s="21">
        <v>3369208.5</v>
      </c>
      <c r="E3010" s="21">
        <v>-3369208.5</v>
      </c>
      <c r="F3010" s="21">
        <v>0</v>
      </c>
    </row>
    <row r="3011" spans="1:6" x14ac:dyDescent="0.25">
      <c r="A3011">
        <v>1893</v>
      </c>
      <c r="B3011" s="16">
        <v>43466</v>
      </c>
      <c r="C3011" t="s">
        <v>19</v>
      </c>
      <c r="D3011" s="21">
        <v>1956490.2000000004</v>
      </c>
      <c r="E3011" s="21">
        <v>-1956490.2000000004</v>
      </c>
      <c r="F3011" s="21">
        <v>0</v>
      </c>
    </row>
    <row r="3012" spans="1:6" x14ac:dyDescent="0.25">
      <c r="A3012">
        <v>1893</v>
      </c>
      <c r="B3012" s="16">
        <v>43466</v>
      </c>
      <c r="C3012" t="s">
        <v>275</v>
      </c>
      <c r="D3012" s="21">
        <v>6150375</v>
      </c>
      <c r="E3012" s="21">
        <v>-6150375</v>
      </c>
      <c r="F3012" s="21">
        <v>0</v>
      </c>
    </row>
    <row r="3013" spans="1:6" x14ac:dyDescent="0.25">
      <c r="A3013">
        <v>1893</v>
      </c>
      <c r="B3013" s="16">
        <v>43497</v>
      </c>
      <c r="C3013" t="s">
        <v>192</v>
      </c>
      <c r="D3013" s="21">
        <v>14000000</v>
      </c>
      <c r="E3013" s="21">
        <v>-14000000</v>
      </c>
      <c r="F3013" s="21">
        <v>0</v>
      </c>
    </row>
    <row r="3014" spans="1:6" x14ac:dyDescent="0.25">
      <c r="A3014">
        <v>1893</v>
      </c>
      <c r="B3014" s="16">
        <v>43497</v>
      </c>
      <c r="C3014" t="s">
        <v>38</v>
      </c>
      <c r="D3014" s="21">
        <v>3571361.01</v>
      </c>
      <c r="E3014" s="21">
        <v>-3571361.01</v>
      </c>
      <c r="F3014" s="21">
        <v>0</v>
      </c>
    </row>
    <row r="3015" spans="1:6" x14ac:dyDescent="0.25">
      <c r="A3015">
        <v>1893</v>
      </c>
      <c r="B3015" s="16">
        <v>43497</v>
      </c>
      <c r="C3015" t="s">
        <v>12</v>
      </c>
      <c r="D3015" s="21">
        <v>8716050</v>
      </c>
      <c r="E3015" s="21">
        <v>-8716050</v>
      </c>
      <c r="F3015" s="21">
        <v>0</v>
      </c>
    </row>
    <row r="3016" spans="1:6" x14ac:dyDescent="0.25">
      <c r="A3016">
        <v>1893</v>
      </c>
      <c r="B3016" s="16">
        <v>43497</v>
      </c>
      <c r="C3016" t="s">
        <v>229</v>
      </c>
      <c r="D3016" s="21">
        <v>3369208.5</v>
      </c>
      <c r="E3016" s="21">
        <v>-3369208.5</v>
      </c>
      <c r="F3016" s="21">
        <v>0</v>
      </c>
    </row>
    <row r="3017" spans="1:6" x14ac:dyDescent="0.25">
      <c r="A3017">
        <v>1893</v>
      </c>
      <c r="B3017" s="16">
        <v>43497</v>
      </c>
      <c r="C3017" t="s">
        <v>19</v>
      </c>
      <c r="D3017" s="21">
        <v>1956490.2000000004</v>
      </c>
      <c r="E3017" s="21">
        <v>-1956490.2000000004</v>
      </c>
      <c r="F3017" s="21">
        <v>0</v>
      </c>
    </row>
    <row r="3018" spans="1:6" x14ac:dyDescent="0.25">
      <c r="A3018">
        <v>1893</v>
      </c>
      <c r="B3018" s="16">
        <v>43497</v>
      </c>
      <c r="C3018" t="s">
        <v>275</v>
      </c>
      <c r="D3018" s="21">
        <v>6150375</v>
      </c>
      <c r="E3018" s="21">
        <v>-6150375</v>
      </c>
      <c r="F3018" s="21">
        <v>0</v>
      </c>
    </row>
    <row r="3019" spans="1:6" x14ac:dyDescent="0.25">
      <c r="A3019">
        <v>1893</v>
      </c>
      <c r="B3019" s="16">
        <v>43525</v>
      </c>
      <c r="C3019" t="s">
        <v>192</v>
      </c>
      <c r="D3019" s="21">
        <v>14000000</v>
      </c>
      <c r="E3019" s="21">
        <v>-14000000</v>
      </c>
      <c r="F3019" s="21">
        <v>0</v>
      </c>
    </row>
    <row r="3020" spans="1:6" x14ac:dyDescent="0.25">
      <c r="A3020">
        <v>1893</v>
      </c>
      <c r="B3020" s="16">
        <v>43525</v>
      </c>
      <c r="C3020" t="s">
        <v>38</v>
      </c>
      <c r="D3020" s="21">
        <v>3571361.01</v>
      </c>
      <c r="E3020" s="21">
        <v>-3571361.01</v>
      </c>
      <c r="F3020" s="21">
        <v>0</v>
      </c>
    </row>
    <row r="3021" spans="1:6" x14ac:dyDescent="0.25">
      <c r="A3021">
        <v>1893</v>
      </c>
      <c r="B3021" s="16">
        <v>43525</v>
      </c>
      <c r="C3021" t="s">
        <v>12</v>
      </c>
      <c r="D3021" s="21">
        <v>8716050</v>
      </c>
      <c r="E3021" s="21">
        <v>-8716050</v>
      </c>
      <c r="F3021" s="21">
        <v>0</v>
      </c>
    </row>
    <row r="3022" spans="1:6" x14ac:dyDescent="0.25">
      <c r="A3022">
        <v>1893</v>
      </c>
      <c r="B3022" s="16">
        <v>43525</v>
      </c>
      <c r="C3022" t="s">
        <v>229</v>
      </c>
      <c r="D3022" s="21">
        <v>3369208.5</v>
      </c>
      <c r="E3022" s="21">
        <v>-3369208.5</v>
      </c>
      <c r="F3022" s="21">
        <v>0</v>
      </c>
    </row>
    <row r="3023" spans="1:6" x14ac:dyDescent="0.25">
      <c r="A3023">
        <v>1893</v>
      </c>
      <c r="B3023" s="16">
        <v>43525</v>
      </c>
      <c r="C3023" t="s">
        <v>19</v>
      </c>
      <c r="D3023" s="21">
        <v>1956490.2000000004</v>
      </c>
      <c r="E3023" s="21">
        <v>-1956490.2000000004</v>
      </c>
      <c r="F3023" s="21">
        <v>0</v>
      </c>
    </row>
    <row r="3024" spans="1:6" x14ac:dyDescent="0.25">
      <c r="A3024">
        <v>1893</v>
      </c>
      <c r="B3024" s="16">
        <v>43525</v>
      </c>
      <c r="C3024" t="s">
        <v>275</v>
      </c>
      <c r="D3024" s="21">
        <v>6150375</v>
      </c>
      <c r="E3024" s="21">
        <v>-6150375</v>
      </c>
      <c r="F3024" s="21">
        <v>0</v>
      </c>
    </row>
    <row r="3025" spans="1:6" x14ac:dyDescent="0.25">
      <c r="A3025">
        <v>1893</v>
      </c>
      <c r="B3025" s="16">
        <v>43556</v>
      </c>
      <c r="C3025" t="s">
        <v>192</v>
      </c>
      <c r="D3025" s="21">
        <v>14000000</v>
      </c>
      <c r="E3025" s="21">
        <v>-14000000</v>
      </c>
      <c r="F3025" s="21">
        <v>0</v>
      </c>
    </row>
    <row r="3026" spans="1:6" x14ac:dyDescent="0.25">
      <c r="A3026">
        <v>1893</v>
      </c>
      <c r="B3026" s="16">
        <v>43556</v>
      </c>
      <c r="C3026" t="s">
        <v>38</v>
      </c>
      <c r="D3026" s="21">
        <v>3571361.01</v>
      </c>
      <c r="E3026" s="21">
        <v>-3571361.01</v>
      </c>
      <c r="F3026" s="21">
        <v>0</v>
      </c>
    </row>
    <row r="3027" spans="1:6" x14ac:dyDescent="0.25">
      <c r="A3027">
        <v>1893</v>
      </c>
      <c r="B3027" s="16">
        <v>43556</v>
      </c>
      <c r="C3027" t="s">
        <v>12</v>
      </c>
      <c r="D3027" s="21">
        <v>8716050</v>
      </c>
      <c r="E3027" s="21">
        <v>-8716050</v>
      </c>
      <c r="F3027" s="21">
        <v>0</v>
      </c>
    </row>
    <row r="3028" spans="1:6" x14ac:dyDescent="0.25">
      <c r="A3028">
        <v>1893</v>
      </c>
      <c r="B3028" s="16">
        <v>43556</v>
      </c>
      <c r="C3028" t="s">
        <v>229</v>
      </c>
      <c r="D3028" s="21">
        <v>3369208.5</v>
      </c>
      <c r="E3028" s="21">
        <v>-3369208.5</v>
      </c>
      <c r="F3028" s="21">
        <v>0</v>
      </c>
    </row>
    <row r="3029" spans="1:6" x14ac:dyDescent="0.25">
      <c r="A3029">
        <v>1893</v>
      </c>
      <c r="B3029" s="16">
        <v>43556</v>
      </c>
      <c r="C3029" t="s">
        <v>19</v>
      </c>
      <c r="D3029" s="21">
        <v>1956490.2000000004</v>
      </c>
      <c r="E3029" s="21">
        <v>-1956490.2000000004</v>
      </c>
      <c r="F3029" s="21">
        <v>0</v>
      </c>
    </row>
    <row r="3030" spans="1:6" x14ac:dyDescent="0.25">
      <c r="A3030">
        <v>1893</v>
      </c>
      <c r="B3030" s="16">
        <v>43556</v>
      </c>
      <c r="C3030" t="s">
        <v>275</v>
      </c>
      <c r="D3030" s="21">
        <v>6150375</v>
      </c>
      <c r="E3030" s="21">
        <v>-6150375</v>
      </c>
      <c r="F3030" s="21">
        <v>0</v>
      </c>
    </row>
    <row r="3031" spans="1:6" x14ac:dyDescent="0.25">
      <c r="A3031">
        <v>1893</v>
      </c>
      <c r="B3031" s="16">
        <v>43586</v>
      </c>
      <c r="C3031" t="s">
        <v>192</v>
      </c>
      <c r="D3031" s="21">
        <v>14000000</v>
      </c>
      <c r="E3031" s="21">
        <v>-14000000</v>
      </c>
      <c r="F3031" s="21">
        <v>0</v>
      </c>
    </row>
    <row r="3032" spans="1:6" x14ac:dyDescent="0.25">
      <c r="A3032">
        <v>1893</v>
      </c>
      <c r="B3032" s="16">
        <v>43586</v>
      </c>
      <c r="C3032" t="s">
        <v>38</v>
      </c>
      <c r="D3032" s="21">
        <v>3571361.01</v>
      </c>
      <c r="E3032" s="21">
        <v>-3571361.01</v>
      </c>
      <c r="F3032" s="21">
        <v>0</v>
      </c>
    </row>
    <row r="3033" spans="1:6" x14ac:dyDescent="0.25">
      <c r="A3033">
        <v>1893</v>
      </c>
      <c r="B3033" s="16">
        <v>43586</v>
      </c>
      <c r="C3033" t="s">
        <v>12</v>
      </c>
      <c r="D3033" s="21">
        <v>8716050</v>
      </c>
      <c r="E3033" s="21">
        <v>-8716050</v>
      </c>
      <c r="F3033" s="21">
        <v>0</v>
      </c>
    </row>
    <row r="3034" spans="1:6" x14ac:dyDescent="0.25">
      <c r="A3034">
        <v>1893</v>
      </c>
      <c r="B3034" s="16">
        <v>43586</v>
      </c>
      <c r="C3034" t="s">
        <v>229</v>
      </c>
      <c r="D3034" s="21">
        <v>3369208.5</v>
      </c>
      <c r="E3034" s="21">
        <v>-3369208.5</v>
      </c>
      <c r="F3034" s="21">
        <v>0</v>
      </c>
    </row>
    <row r="3035" spans="1:6" x14ac:dyDescent="0.25">
      <c r="A3035">
        <v>1893</v>
      </c>
      <c r="B3035" s="16">
        <v>43586</v>
      </c>
      <c r="C3035" t="s">
        <v>19</v>
      </c>
      <c r="D3035" s="21">
        <v>1956490.2000000004</v>
      </c>
      <c r="E3035" s="21">
        <v>-1956490.2000000004</v>
      </c>
      <c r="F3035" s="21">
        <v>0</v>
      </c>
    </row>
    <row r="3036" spans="1:6" x14ac:dyDescent="0.25">
      <c r="A3036">
        <v>1893</v>
      </c>
      <c r="B3036" s="16">
        <v>43586</v>
      </c>
      <c r="C3036" t="s">
        <v>275</v>
      </c>
      <c r="D3036" s="21">
        <v>6150375</v>
      </c>
      <c r="E3036" s="21">
        <v>-6150375</v>
      </c>
      <c r="F3036" s="21">
        <v>0</v>
      </c>
    </row>
    <row r="3037" spans="1:6" x14ac:dyDescent="0.25">
      <c r="A3037">
        <v>1893</v>
      </c>
      <c r="B3037" s="16">
        <v>43617</v>
      </c>
      <c r="C3037" t="s">
        <v>192</v>
      </c>
      <c r="D3037" s="21">
        <v>14000000</v>
      </c>
      <c r="E3037" s="21">
        <v>-14000000</v>
      </c>
      <c r="F3037" s="21">
        <v>0</v>
      </c>
    </row>
    <row r="3038" spans="1:6" x14ac:dyDescent="0.25">
      <c r="A3038">
        <v>1893</v>
      </c>
      <c r="B3038" s="16">
        <v>43617</v>
      </c>
      <c r="C3038" t="s">
        <v>38</v>
      </c>
      <c r="D3038" s="21">
        <v>3571361.01</v>
      </c>
      <c r="E3038" s="21">
        <v>-3571361.01</v>
      </c>
      <c r="F3038" s="21">
        <v>0</v>
      </c>
    </row>
    <row r="3039" spans="1:6" x14ac:dyDescent="0.25">
      <c r="A3039">
        <v>1893</v>
      </c>
      <c r="B3039" s="16">
        <v>43617</v>
      </c>
      <c r="C3039" t="s">
        <v>12</v>
      </c>
      <c r="D3039" s="21">
        <v>8716050</v>
      </c>
      <c r="E3039" s="21">
        <v>-8716050</v>
      </c>
      <c r="F3039" s="21">
        <v>0</v>
      </c>
    </row>
    <row r="3040" spans="1:6" x14ac:dyDescent="0.25">
      <c r="A3040">
        <v>1893</v>
      </c>
      <c r="B3040" s="16">
        <v>43617</v>
      </c>
      <c r="C3040" t="s">
        <v>229</v>
      </c>
      <c r="D3040" s="21">
        <v>3369208.5</v>
      </c>
      <c r="E3040" s="21">
        <v>-3369208.5</v>
      </c>
      <c r="F3040" s="21">
        <v>0</v>
      </c>
    </row>
    <row r="3041" spans="1:6" x14ac:dyDescent="0.25">
      <c r="A3041">
        <v>1893</v>
      </c>
      <c r="B3041" s="16">
        <v>43617</v>
      </c>
      <c r="C3041" t="s">
        <v>19</v>
      </c>
      <c r="D3041" s="21">
        <v>1956490.2000000004</v>
      </c>
      <c r="E3041" s="21">
        <v>-1956490.2000000004</v>
      </c>
      <c r="F3041" s="21">
        <v>0</v>
      </c>
    </row>
    <row r="3042" spans="1:6" x14ac:dyDescent="0.25">
      <c r="A3042">
        <v>1893</v>
      </c>
      <c r="B3042" s="16">
        <v>43617</v>
      </c>
      <c r="C3042" t="s">
        <v>275</v>
      </c>
      <c r="D3042" s="21">
        <v>6150375</v>
      </c>
      <c r="E3042" s="21">
        <v>-6150375</v>
      </c>
      <c r="F3042" s="21">
        <v>0</v>
      </c>
    </row>
    <row r="3043" spans="1:6" x14ac:dyDescent="0.25">
      <c r="A3043">
        <v>1893</v>
      </c>
      <c r="B3043" s="16">
        <v>43647</v>
      </c>
      <c r="C3043" t="s">
        <v>192</v>
      </c>
      <c r="D3043" s="21">
        <v>14000000</v>
      </c>
      <c r="E3043" s="21">
        <v>-14000000</v>
      </c>
      <c r="F3043" s="21">
        <v>0</v>
      </c>
    </row>
    <row r="3044" spans="1:6" x14ac:dyDescent="0.25">
      <c r="A3044">
        <v>1893</v>
      </c>
      <c r="B3044" s="16">
        <v>43647</v>
      </c>
      <c r="C3044" t="s">
        <v>38</v>
      </c>
      <c r="D3044" s="21">
        <v>3571361.01</v>
      </c>
      <c r="E3044" s="21">
        <v>-3571361.01</v>
      </c>
      <c r="F3044" s="21">
        <v>0</v>
      </c>
    </row>
    <row r="3045" spans="1:6" x14ac:dyDescent="0.25">
      <c r="A3045">
        <v>1893</v>
      </c>
      <c r="B3045" s="16">
        <v>43647</v>
      </c>
      <c r="C3045" t="s">
        <v>12</v>
      </c>
      <c r="D3045" s="21">
        <v>8716050</v>
      </c>
      <c r="E3045" s="21">
        <v>-8716050</v>
      </c>
      <c r="F3045" s="21">
        <v>0</v>
      </c>
    </row>
    <row r="3046" spans="1:6" x14ac:dyDescent="0.25">
      <c r="A3046">
        <v>1893</v>
      </c>
      <c r="B3046" s="16">
        <v>43647</v>
      </c>
      <c r="C3046" t="s">
        <v>229</v>
      </c>
      <c r="D3046" s="21">
        <v>3369208.5</v>
      </c>
      <c r="E3046" s="21">
        <v>-3369208.5</v>
      </c>
      <c r="F3046" s="21">
        <v>0</v>
      </c>
    </row>
    <row r="3047" spans="1:6" x14ac:dyDescent="0.25">
      <c r="A3047">
        <v>1893</v>
      </c>
      <c r="B3047" s="16">
        <v>43647</v>
      </c>
      <c r="C3047" t="s">
        <v>19</v>
      </c>
      <c r="D3047" s="21">
        <v>1956490.2000000004</v>
      </c>
      <c r="E3047" s="21">
        <v>-1956490.2000000004</v>
      </c>
      <c r="F3047" s="21">
        <v>0</v>
      </c>
    </row>
    <row r="3048" spans="1:6" x14ac:dyDescent="0.25">
      <c r="A3048">
        <v>1893</v>
      </c>
      <c r="B3048" s="16">
        <v>43647</v>
      </c>
      <c r="C3048" t="s">
        <v>275</v>
      </c>
      <c r="D3048" s="21">
        <v>6150375</v>
      </c>
      <c r="E3048" s="21">
        <v>-6150375</v>
      </c>
      <c r="F3048" s="21">
        <v>0</v>
      </c>
    </row>
    <row r="3049" spans="1:6" x14ac:dyDescent="0.25">
      <c r="A3049">
        <v>1893</v>
      </c>
      <c r="B3049" s="16">
        <v>43678</v>
      </c>
      <c r="C3049" t="s">
        <v>192</v>
      </c>
      <c r="D3049" s="21">
        <v>14000000</v>
      </c>
      <c r="E3049" s="21">
        <v>-14000000</v>
      </c>
      <c r="F3049" s="21">
        <v>0</v>
      </c>
    </row>
    <row r="3050" spans="1:6" x14ac:dyDescent="0.25">
      <c r="A3050">
        <v>1893</v>
      </c>
      <c r="B3050" s="16">
        <v>43678</v>
      </c>
      <c r="C3050" t="s">
        <v>38</v>
      </c>
      <c r="D3050" s="21">
        <v>3571361.01</v>
      </c>
      <c r="E3050" s="21">
        <v>-3571361.01</v>
      </c>
      <c r="F3050" s="21">
        <v>0</v>
      </c>
    </row>
    <row r="3051" spans="1:6" x14ac:dyDescent="0.25">
      <c r="A3051">
        <v>1893</v>
      </c>
      <c r="B3051" s="16">
        <v>43678</v>
      </c>
      <c r="C3051" t="s">
        <v>12</v>
      </c>
      <c r="D3051" s="21">
        <v>8716050</v>
      </c>
      <c r="E3051" s="21">
        <v>-8716050</v>
      </c>
      <c r="F3051" s="21">
        <v>0</v>
      </c>
    </row>
    <row r="3052" spans="1:6" x14ac:dyDescent="0.25">
      <c r="A3052">
        <v>1893</v>
      </c>
      <c r="B3052" s="16">
        <v>43678</v>
      </c>
      <c r="C3052" t="s">
        <v>229</v>
      </c>
      <c r="D3052" s="21">
        <v>3369208.5</v>
      </c>
      <c r="E3052" s="21">
        <v>-3369208.5</v>
      </c>
      <c r="F3052" s="21">
        <v>0</v>
      </c>
    </row>
    <row r="3053" spans="1:6" x14ac:dyDescent="0.25">
      <c r="A3053">
        <v>1893</v>
      </c>
      <c r="B3053" s="16">
        <v>43678</v>
      </c>
      <c r="C3053" t="s">
        <v>19</v>
      </c>
      <c r="D3053" s="21">
        <v>1956490.2000000004</v>
      </c>
      <c r="E3053" s="21">
        <v>-1956490.2000000004</v>
      </c>
      <c r="F3053" s="21">
        <v>0</v>
      </c>
    </row>
    <row r="3054" spans="1:6" x14ac:dyDescent="0.25">
      <c r="A3054">
        <v>1893</v>
      </c>
      <c r="B3054" s="16">
        <v>43678</v>
      </c>
      <c r="C3054" t="s">
        <v>275</v>
      </c>
      <c r="D3054" s="21">
        <v>6150375</v>
      </c>
      <c r="E3054" s="21">
        <v>-6150375</v>
      </c>
      <c r="F3054" s="21">
        <v>0</v>
      </c>
    </row>
    <row r="3055" spans="1:6" x14ac:dyDescent="0.25">
      <c r="A3055">
        <v>1893</v>
      </c>
      <c r="B3055" s="16">
        <v>43709</v>
      </c>
      <c r="C3055" t="s">
        <v>192</v>
      </c>
      <c r="D3055" s="21">
        <v>14000000</v>
      </c>
      <c r="E3055" s="21">
        <v>-14000000</v>
      </c>
      <c r="F3055" s="21">
        <v>0</v>
      </c>
    </row>
    <row r="3056" spans="1:6" x14ac:dyDescent="0.25">
      <c r="A3056">
        <v>1893</v>
      </c>
      <c r="B3056" s="16">
        <v>43709</v>
      </c>
      <c r="C3056" t="s">
        <v>38</v>
      </c>
      <c r="D3056" s="21">
        <v>3571361.01</v>
      </c>
      <c r="E3056" s="21">
        <v>-3571361.01</v>
      </c>
      <c r="F3056" s="21">
        <v>0</v>
      </c>
    </row>
    <row r="3057" spans="1:6" x14ac:dyDescent="0.25">
      <c r="A3057">
        <v>1893</v>
      </c>
      <c r="B3057" s="16">
        <v>43709</v>
      </c>
      <c r="C3057" t="s">
        <v>12</v>
      </c>
      <c r="D3057" s="21">
        <v>8716050</v>
      </c>
      <c r="E3057" s="21">
        <v>-8716050</v>
      </c>
      <c r="F3057" s="21">
        <v>0</v>
      </c>
    </row>
    <row r="3058" spans="1:6" x14ac:dyDescent="0.25">
      <c r="A3058">
        <v>1893</v>
      </c>
      <c r="B3058" s="16">
        <v>43709</v>
      </c>
      <c r="C3058" t="s">
        <v>229</v>
      </c>
      <c r="D3058" s="21">
        <v>3369208.5</v>
      </c>
      <c r="E3058" s="21">
        <v>-3369208.5</v>
      </c>
      <c r="F3058" s="21">
        <v>0</v>
      </c>
    </row>
    <row r="3059" spans="1:6" x14ac:dyDescent="0.25">
      <c r="A3059">
        <v>1893</v>
      </c>
      <c r="B3059" s="16">
        <v>43709</v>
      </c>
      <c r="C3059" t="s">
        <v>19</v>
      </c>
      <c r="D3059" s="21">
        <v>1956490.2000000004</v>
      </c>
      <c r="E3059" s="21">
        <v>-1956490.2000000004</v>
      </c>
      <c r="F3059" s="21">
        <v>0</v>
      </c>
    </row>
    <row r="3060" spans="1:6" x14ac:dyDescent="0.25">
      <c r="A3060">
        <v>1893</v>
      </c>
      <c r="B3060" s="16">
        <v>43709</v>
      </c>
      <c r="C3060" t="s">
        <v>275</v>
      </c>
      <c r="D3060" s="21">
        <v>6150375</v>
      </c>
      <c r="E3060" s="21">
        <v>-6150375</v>
      </c>
      <c r="F3060" s="21">
        <v>0</v>
      </c>
    </row>
    <row r="3061" spans="1:6" x14ac:dyDescent="0.25">
      <c r="A3061">
        <v>1893</v>
      </c>
      <c r="B3061" s="16">
        <v>43739</v>
      </c>
      <c r="C3061" t="s">
        <v>192</v>
      </c>
      <c r="D3061" s="21">
        <v>14000000</v>
      </c>
      <c r="E3061" s="21">
        <v>-14000000</v>
      </c>
      <c r="F3061" s="21">
        <v>0</v>
      </c>
    </row>
    <row r="3062" spans="1:6" x14ac:dyDescent="0.25">
      <c r="A3062">
        <v>1893</v>
      </c>
      <c r="B3062" s="16">
        <v>43739</v>
      </c>
      <c r="C3062" t="s">
        <v>38</v>
      </c>
      <c r="D3062" s="21">
        <v>3571361.01</v>
      </c>
      <c r="E3062" s="21">
        <v>-3571361.01</v>
      </c>
      <c r="F3062" s="21">
        <v>0</v>
      </c>
    </row>
    <row r="3063" spans="1:6" x14ac:dyDescent="0.25">
      <c r="A3063">
        <v>1893</v>
      </c>
      <c r="B3063" s="16">
        <v>43739</v>
      </c>
      <c r="C3063" t="s">
        <v>12</v>
      </c>
      <c r="D3063" s="21">
        <v>8716050</v>
      </c>
      <c r="E3063" s="21">
        <v>-8716050</v>
      </c>
      <c r="F3063" s="21">
        <v>0</v>
      </c>
    </row>
    <row r="3064" spans="1:6" x14ac:dyDescent="0.25">
      <c r="A3064">
        <v>1893</v>
      </c>
      <c r="B3064" s="16">
        <v>43739</v>
      </c>
      <c r="C3064" t="s">
        <v>229</v>
      </c>
      <c r="D3064" s="21">
        <v>3369208.5</v>
      </c>
      <c r="E3064" s="21">
        <v>-3369208.5</v>
      </c>
      <c r="F3064" s="21">
        <v>0</v>
      </c>
    </row>
    <row r="3065" spans="1:6" x14ac:dyDescent="0.25">
      <c r="A3065">
        <v>1893</v>
      </c>
      <c r="B3065" s="16">
        <v>43739</v>
      </c>
      <c r="C3065" t="s">
        <v>19</v>
      </c>
      <c r="D3065" s="21">
        <v>1956490.2000000004</v>
      </c>
      <c r="E3065" s="21">
        <v>-1956490.2000000004</v>
      </c>
      <c r="F3065" s="21">
        <v>0</v>
      </c>
    </row>
    <row r="3066" spans="1:6" x14ac:dyDescent="0.25">
      <c r="A3066">
        <v>1893</v>
      </c>
      <c r="B3066" s="16">
        <v>43739</v>
      </c>
      <c r="C3066" t="s">
        <v>275</v>
      </c>
      <c r="D3066" s="21">
        <v>6150375</v>
      </c>
      <c r="E3066" s="21">
        <v>-6150375</v>
      </c>
      <c r="F3066" s="21">
        <v>0</v>
      </c>
    </row>
    <row r="3067" spans="1:6" x14ac:dyDescent="0.25">
      <c r="A3067">
        <v>1893</v>
      </c>
      <c r="B3067" s="16">
        <v>43770</v>
      </c>
      <c r="C3067" t="s">
        <v>192</v>
      </c>
      <c r="D3067" s="21">
        <v>14000000</v>
      </c>
      <c r="E3067" s="21">
        <v>-14000000</v>
      </c>
      <c r="F3067" s="21">
        <v>0</v>
      </c>
    </row>
    <row r="3068" spans="1:6" x14ac:dyDescent="0.25">
      <c r="A3068">
        <v>1893</v>
      </c>
      <c r="B3068" s="16">
        <v>43770</v>
      </c>
      <c r="C3068" t="s">
        <v>38</v>
      </c>
      <c r="D3068" s="21">
        <v>3571361.01</v>
      </c>
      <c r="E3068" s="21">
        <v>-3571361.01</v>
      </c>
      <c r="F3068" s="21">
        <v>0</v>
      </c>
    </row>
    <row r="3069" spans="1:6" x14ac:dyDescent="0.25">
      <c r="A3069">
        <v>1893</v>
      </c>
      <c r="B3069" s="16">
        <v>43770</v>
      </c>
      <c r="C3069" t="s">
        <v>12</v>
      </c>
      <c r="D3069" s="21">
        <v>8716050</v>
      </c>
      <c r="E3069" s="21">
        <v>-8716050</v>
      </c>
      <c r="F3069" s="21">
        <v>0</v>
      </c>
    </row>
    <row r="3070" spans="1:6" x14ac:dyDescent="0.25">
      <c r="A3070">
        <v>1893</v>
      </c>
      <c r="B3070" s="16">
        <v>43770</v>
      </c>
      <c r="C3070" t="s">
        <v>229</v>
      </c>
      <c r="D3070" s="21">
        <v>3369208.5</v>
      </c>
      <c r="E3070" s="21">
        <v>-3369208.5</v>
      </c>
      <c r="F3070" s="21">
        <v>0</v>
      </c>
    </row>
    <row r="3071" spans="1:6" x14ac:dyDescent="0.25">
      <c r="A3071">
        <v>1893</v>
      </c>
      <c r="B3071" s="16">
        <v>43770</v>
      </c>
      <c r="C3071" t="s">
        <v>19</v>
      </c>
      <c r="D3071" s="21">
        <v>1956490.2000000004</v>
      </c>
      <c r="E3071" s="21">
        <v>-1956490.2000000004</v>
      </c>
      <c r="F3071" s="21">
        <v>0</v>
      </c>
    </row>
    <row r="3072" spans="1:6" x14ac:dyDescent="0.25">
      <c r="A3072">
        <v>1893</v>
      </c>
      <c r="B3072" s="16">
        <v>43770</v>
      </c>
      <c r="C3072" t="s">
        <v>275</v>
      </c>
      <c r="D3072" s="21">
        <v>6150375</v>
      </c>
      <c r="E3072" s="21">
        <v>-6150375</v>
      </c>
      <c r="F3072" s="21">
        <v>0</v>
      </c>
    </row>
    <row r="3073" spans="1:6" x14ac:dyDescent="0.25">
      <c r="A3073">
        <v>1893</v>
      </c>
      <c r="B3073" s="16">
        <v>43800</v>
      </c>
      <c r="C3073" t="s">
        <v>192</v>
      </c>
      <c r="D3073" s="21">
        <v>14000000</v>
      </c>
      <c r="E3073" s="21">
        <v>-14000000</v>
      </c>
      <c r="F3073" s="21">
        <v>0</v>
      </c>
    </row>
    <row r="3074" spans="1:6" x14ac:dyDescent="0.25">
      <c r="A3074">
        <v>1893</v>
      </c>
      <c r="B3074" s="16">
        <v>43800</v>
      </c>
      <c r="C3074" t="s">
        <v>38</v>
      </c>
      <c r="D3074" s="21">
        <v>3571361.01</v>
      </c>
      <c r="E3074" s="21">
        <v>-3571361.01</v>
      </c>
      <c r="F3074" s="21">
        <v>0</v>
      </c>
    </row>
    <row r="3075" spans="1:6" x14ac:dyDescent="0.25">
      <c r="A3075">
        <v>1893</v>
      </c>
      <c r="B3075" s="16">
        <v>43800</v>
      </c>
      <c r="C3075" t="s">
        <v>12</v>
      </c>
      <c r="D3075" s="21">
        <v>8716050</v>
      </c>
      <c r="E3075" s="21">
        <v>-8716050</v>
      </c>
      <c r="F3075" s="21">
        <v>0</v>
      </c>
    </row>
    <row r="3076" spans="1:6" x14ac:dyDescent="0.25">
      <c r="A3076">
        <v>1893</v>
      </c>
      <c r="B3076" s="16">
        <v>43800</v>
      </c>
      <c r="C3076" t="s">
        <v>229</v>
      </c>
      <c r="D3076" s="21">
        <v>3369208.5</v>
      </c>
      <c r="E3076" s="21">
        <v>-3369208.5</v>
      </c>
      <c r="F3076" s="21">
        <v>0</v>
      </c>
    </row>
    <row r="3077" spans="1:6" x14ac:dyDescent="0.25">
      <c r="A3077">
        <v>1893</v>
      </c>
      <c r="B3077" s="16">
        <v>43800</v>
      </c>
      <c r="C3077" t="s">
        <v>19</v>
      </c>
      <c r="D3077" s="21">
        <v>1956490.2000000004</v>
      </c>
      <c r="E3077" s="21">
        <v>-1956490.2000000004</v>
      </c>
      <c r="F3077" s="21">
        <v>0</v>
      </c>
    </row>
    <row r="3078" spans="1:6" x14ac:dyDescent="0.25">
      <c r="A3078">
        <v>1893</v>
      </c>
      <c r="B3078" s="16">
        <v>43800</v>
      </c>
      <c r="C3078" t="s">
        <v>275</v>
      </c>
      <c r="D3078" s="21">
        <v>6150375</v>
      </c>
      <c r="E3078" s="21">
        <v>-6150375</v>
      </c>
      <c r="F3078" s="21">
        <v>0</v>
      </c>
    </row>
    <row r="3079" spans="1:6" x14ac:dyDescent="0.25">
      <c r="A3079">
        <v>1893</v>
      </c>
      <c r="B3079" s="16">
        <v>43831</v>
      </c>
      <c r="C3079" t="s">
        <v>192</v>
      </c>
      <c r="D3079" s="21">
        <v>14000000</v>
      </c>
      <c r="E3079" s="21">
        <v>-14000000</v>
      </c>
      <c r="F3079" s="21">
        <v>0</v>
      </c>
    </row>
    <row r="3080" spans="1:6" x14ac:dyDescent="0.25">
      <c r="A3080">
        <v>1893</v>
      </c>
      <c r="B3080" s="16">
        <v>43831</v>
      </c>
      <c r="C3080" t="s">
        <v>38</v>
      </c>
      <c r="D3080" s="21">
        <v>3571361.01</v>
      </c>
      <c r="E3080" s="21">
        <v>-3571361.01</v>
      </c>
      <c r="F3080" s="21">
        <v>0</v>
      </c>
    </row>
    <row r="3081" spans="1:6" x14ac:dyDescent="0.25">
      <c r="A3081">
        <v>1893</v>
      </c>
      <c r="B3081" s="16">
        <v>43831</v>
      </c>
      <c r="C3081" t="s">
        <v>12</v>
      </c>
      <c r="D3081" s="21">
        <v>8716050</v>
      </c>
      <c r="E3081" s="21">
        <v>-8716050</v>
      </c>
      <c r="F3081" s="21">
        <v>0</v>
      </c>
    </row>
    <row r="3082" spans="1:6" x14ac:dyDescent="0.25">
      <c r="A3082">
        <v>1893</v>
      </c>
      <c r="B3082" s="16">
        <v>43831</v>
      </c>
      <c r="C3082" t="s">
        <v>229</v>
      </c>
      <c r="D3082" s="21">
        <v>3369208.5</v>
      </c>
      <c r="E3082" s="21">
        <v>-3369208.5</v>
      </c>
      <c r="F3082" s="21">
        <v>0</v>
      </c>
    </row>
    <row r="3083" spans="1:6" x14ac:dyDescent="0.25">
      <c r="A3083">
        <v>1893</v>
      </c>
      <c r="B3083" s="16">
        <v>43831</v>
      </c>
      <c r="C3083" t="s">
        <v>19</v>
      </c>
      <c r="D3083" s="21">
        <v>1956490.2000000004</v>
      </c>
      <c r="E3083" s="21">
        <v>-1956490.2000000004</v>
      </c>
      <c r="F3083" s="21">
        <v>0</v>
      </c>
    </row>
    <row r="3084" spans="1:6" x14ac:dyDescent="0.25">
      <c r="A3084">
        <v>1893</v>
      </c>
      <c r="B3084" s="16">
        <v>43831</v>
      </c>
      <c r="C3084" t="s">
        <v>275</v>
      </c>
      <c r="D3084" s="21">
        <v>6150375</v>
      </c>
      <c r="E3084" s="21">
        <v>-6150375</v>
      </c>
      <c r="F3084" s="21">
        <v>0</v>
      </c>
    </row>
    <row r="3085" spans="1:6" x14ac:dyDescent="0.25">
      <c r="A3085">
        <v>1893</v>
      </c>
      <c r="B3085" s="16">
        <v>43862</v>
      </c>
      <c r="C3085" t="s">
        <v>192</v>
      </c>
      <c r="D3085" s="21">
        <v>14000000</v>
      </c>
      <c r="E3085" s="21">
        <v>-14000000</v>
      </c>
      <c r="F3085" s="21">
        <v>0</v>
      </c>
    </row>
    <row r="3086" spans="1:6" x14ac:dyDescent="0.25">
      <c r="A3086">
        <v>1893</v>
      </c>
      <c r="B3086" s="16">
        <v>43862</v>
      </c>
      <c r="C3086" t="s">
        <v>38</v>
      </c>
      <c r="D3086" s="21">
        <v>3571361.01</v>
      </c>
      <c r="E3086" s="21">
        <v>-3571361.01</v>
      </c>
      <c r="F3086" s="21">
        <v>0</v>
      </c>
    </row>
    <row r="3087" spans="1:6" x14ac:dyDescent="0.25">
      <c r="A3087">
        <v>1893</v>
      </c>
      <c r="B3087" s="16">
        <v>43862</v>
      </c>
      <c r="C3087" t="s">
        <v>12</v>
      </c>
      <c r="D3087" s="21">
        <v>8716050</v>
      </c>
      <c r="E3087" s="21">
        <v>-8716050</v>
      </c>
      <c r="F3087" s="21">
        <v>0</v>
      </c>
    </row>
    <row r="3088" spans="1:6" x14ac:dyDescent="0.25">
      <c r="A3088">
        <v>1893</v>
      </c>
      <c r="B3088" s="16">
        <v>43862</v>
      </c>
      <c r="C3088" t="s">
        <v>229</v>
      </c>
      <c r="D3088" s="21">
        <v>3369208.5</v>
      </c>
      <c r="E3088" s="21">
        <v>-3369208.5</v>
      </c>
      <c r="F3088" s="21">
        <v>0</v>
      </c>
    </row>
    <row r="3089" spans="1:6" x14ac:dyDescent="0.25">
      <c r="A3089">
        <v>1893</v>
      </c>
      <c r="B3089" s="16">
        <v>43862</v>
      </c>
      <c r="C3089" t="s">
        <v>19</v>
      </c>
      <c r="D3089" s="21">
        <v>1956490.2000000004</v>
      </c>
      <c r="E3089" s="21">
        <v>-1956490.2000000004</v>
      </c>
      <c r="F3089" s="21">
        <v>0</v>
      </c>
    </row>
    <row r="3090" spans="1:6" x14ac:dyDescent="0.25">
      <c r="A3090">
        <v>1893</v>
      </c>
      <c r="B3090" s="16">
        <v>43862</v>
      </c>
      <c r="C3090" t="s">
        <v>275</v>
      </c>
      <c r="D3090" s="21">
        <v>6150375</v>
      </c>
      <c r="E3090" s="21">
        <v>-6150375</v>
      </c>
      <c r="F3090" s="21">
        <v>0</v>
      </c>
    </row>
    <row r="3091" spans="1:6" x14ac:dyDescent="0.25">
      <c r="A3091">
        <v>1893</v>
      </c>
      <c r="B3091" s="16">
        <v>43891</v>
      </c>
      <c r="C3091" t="s">
        <v>192</v>
      </c>
      <c r="D3091" s="21">
        <v>14000000</v>
      </c>
      <c r="E3091" s="21">
        <v>-14000000</v>
      </c>
      <c r="F3091" s="21">
        <v>0</v>
      </c>
    </row>
    <row r="3092" spans="1:6" x14ac:dyDescent="0.25">
      <c r="A3092">
        <v>1893</v>
      </c>
      <c r="B3092" s="16">
        <v>43891</v>
      </c>
      <c r="C3092" t="s">
        <v>38</v>
      </c>
      <c r="D3092" s="21">
        <v>3571361.01</v>
      </c>
      <c r="E3092" s="21">
        <v>-3571361.01</v>
      </c>
      <c r="F3092" s="21">
        <v>0</v>
      </c>
    </row>
    <row r="3093" spans="1:6" x14ac:dyDescent="0.25">
      <c r="A3093">
        <v>1893</v>
      </c>
      <c r="B3093" s="16">
        <v>43891</v>
      </c>
      <c r="C3093" t="s">
        <v>12</v>
      </c>
      <c r="D3093" s="21">
        <v>8716050</v>
      </c>
      <c r="E3093" s="21">
        <v>-8716050</v>
      </c>
      <c r="F3093" s="21">
        <v>0</v>
      </c>
    </row>
    <row r="3094" spans="1:6" x14ac:dyDescent="0.25">
      <c r="A3094">
        <v>1893</v>
      </c>
      <c r="B3094" s="16">
        <v>43891</v>
      </c>
      <c r="C3094" t="s">
        <v>229</v>
      </c>
      <c r="D3094" s="21">
        <v>3369208.5</v>
      </c>
      <c r="E3094" s="21">
        <v>-3369208.5</v>
      </c>
      <c r="F3094" s="21">
        <v>0</v>
      </c>
    </row>
    <row r="3095" spans="1:6" x14ac:dyDescent="0.25">
      <c r="A3095">
        <v>1893</v>
      </c>
      <c r="B3095" s="16">
        <v>43891</v>
      </c>
      <c r="C3095" t="s">
        <v>19</v>
      </c>
      <c r="D3095" s="21">
        <v>1956490.2000000004</v>
      </c>
      <c r="E3095" s="21">
        <v>-1956490.2000000004</v>
      </c>
      <c r="F3095" s="21">
        <v>0</v>
      </c>
    </row>
    <row r="3096" spans="1:6" x14ac:dyDescent="0.25">
      <c r="A3096">
        <v>1893</v>
      </c>
      <c r="B3096" s="16">
        <v>43891</v>
      </c>
      <c r="C3096" t="s">
        <v>275</v>
      </c>
      <c r="D3096" s="21">
        <v>6150375</v>
      </c>
      <c r="E3096" s="21">
        <v>-6150375</v>
      </c>
      <c r="F3096" s="21">
        <v>0</v>
      </c>
    </row>
    <row r="3097" spans="1:6" x14ac:dyDescent="0.25">
      <c r="A3097">
        <v>1895</v>
      </c>
      <c r="B3097" s="16">
        <v>43466</v>
      </c>
      <c r="C3097" t="s">
        <v>19</v>
      </c>
      <c r="D3097" s="21">
        <v>3230392.9140000003</v>
      </c>
      <c r="E3097" s="21">
        <v>-3230392.9140000003</v>
      </c>
      <c r="F3097" s="21">
        <v>0</v>
      </c>
    </row>
    <row r="3098" spans="1:6" x14ac:dyDescent="0.25">
      <c r="A3098">
        <v>1895</v>
      </c>
      <c r="B3098" s="16">
        <v>43466</v>
      </c>
      <c r="C3098" t="s">
        <v>192</v>
      </c>
      <c r="D3098" s="21">
        <v>7100000</v>
      </c>
      <c r="E3098" s="21">
        <v>-7100000</v>
      </c>
      <c r="F3098" s="21">
        <v>0</v>
      </c>
    </row>
    <row r="3099" spans="1:6" x14ac:dyDescent="0.25">
      <c r="A3099">
        <v>1895</v>
      </c>
      <c r="B3099" s="16">
        <v>43466</v>
      </c>
      <c r="C3099" t="s">
        <v>59</v>
      </c>
      <c r="D3099" s="21">
        <v>2367673.875</v>
      </c>
      <c r="E3099" s="21">
        <v>-2367673.875</v>
      </c>
      <c r="F3099" s="21">
        <v>0</v>
      </c>
    </row>
    <row r="3100" spans="1:6" x14ac:dyDescent="0.25">
      <c r="A3100">
        <v>1895</v>
      </c>
      <c r="B3100" s="16">
        <v>43466</v>
      </c>
      <c r="C3100" t="s">
        <v>26</v>
      </c>
      <c r="D3100" s="21">
        <v>6132105</v>
      </c>
      <c r="E3100" s="21">
        <v>-6132105</v>
      </c>
      <c r="F3100" s="21">
        <v>0</v>
      </c>
    </row>
    <row r="3101" spans="1:6" x14ac:dyDescent="0.25">
      <c r="A3101">
        <v>1898</v>
      </c>
      <c r="B3101" s="16">
        <v>43556</v>
      </c>
      <c r="C3101" t="s">
        <v>192</v>
      </c>
      <c r="D3101" s="21">
        <v>10000000</v>
      </c>
      <c r="E3101" s="21">
        <v>-10000000</v>
      </c>
      <c r="F3101" s="21">
        <v>0</v>
      </c>
    </row>
    <row r="3102" spans="1:6" x14ac:dyDescent="0.25">
      <c r="A3102">
        <v>1898</v>
      </c>
      <c r="B3102" s="16">
        <v>43586</v>
      </c>
      <c r="C3102" t="s">
        <v>192</v>
      </c>
      <c r="D3102" s="21">
        <v>10000000</v>
      </c>
      <c r="E3102" s="21">
        <v>-10000000</v>
      </c>
      <c r="F3102" s="21">
        <v>0</v>
      </c>
    </row>
    <row r="3103" spans="1:6" x14ac:dyDescent="0.25">
      <c r="A3103">
        <v>1898</v>
      </c>
      <c r="B3103" s="16">
        <v>43617</v>
      </c>
      <c r="C3103" t="s">
        <v>192</v>
      </c>
      <c r="D3103" s="21">
        <v>10000000</v>
      </c>
      <c r="E3103" s="21">
        <v>-10000000</v>
      </c>
      <c r="F3103" s="21">
        <v>0</v>
      </c>
    </row>
    <row r="3104" spans="1:6" x14ac:dyDescent="0.25">
      <c r="A3104">
        <v>1899</v>
      </c>
      <c r="B3104" s="16">
        <v>43525</v>
      </c>
      <c r="C3104" t="s">
        <v>35</v>
      </c>
      <c r="D3104" s="21">
        <v>3815999.9999999995</v>
      </c>
      <c r="E3104" s="21">
        <v>-3815999.9999999995</v>
      </c>
      <c r="F3104" s="21">
        <v>0</v>
      </c>
    </row>
    <row r="3105" spans="1:6" x14ac:dyDescent="0.25">
      <c r="A3105">
        <v>1899</v>
      </c>
      <c r="B3105" s="16">
        <v>43525</v>
      </c>
      <c r="C3105" t="s">
        <v>29</v>
      </c>
      <c r="D3105" s="21">
        <v>3923277</v>
      </c>
      <c r="E3105" s="21">
        <v>-3923277</v>
      </c>
      <c r="F3105" s="21">
        <v>0</v>
      </c>
    </row>
    <row r="3106" spans="1:6" x14ac:dyDescent="0.25">
      <c r="A3106">
        <v>1899</v>
      </c>
      <c r="B3106" s="16">
        <v>43525</v>
      </c>
      <c r="C3106" t="s">
        <v>12</v>
      </c>
      <c r="D3106" s="21">
        <v>6862500</v>
      </c>
      <c r="E3106" s="21">
        <v>-6862500</v>
      </c>
      <c r="F3106" s="21">
        <v>0</v>
      </c>
    </row>
    <row r="3107" spans="1:6" x14ac:dyDescent="0.25">
      <c r="A3107">
        <v>1899</v>
      </c>
      <c r="B3107" s="16">
        <v>43525</v>
      </c>
      <c r="C3107" t="s">
        <v>169</v>
      </c>
      <c r="D3107" s="21">
        <v>6000000</v>
      </c>
      <c r="E3107" s="21">
        <v>-6000000</v>
      </c>
      <c r="F3107" s="21">
        <v>0</v>
      </c>
    </row>
    <row r="3108" spans="1:6" x14ac:dyDescent="0.25">
      <c r="A3108">
        <v>1899</v>
      </c>
      <c r="B3108" s="16">
        <v>43525</v>
      </c>
      <c r="C3108" t="s">
        <v>19</v>
      </c>
      <c r="D3108" s="21">
        <v>3184375.68</v>
      </c>
      <c r="E3108" s="21">
        <v>-3184375.68</v>
      </c>
      <c r="F3108" s="21">
        <v>0</v>
      </c>
    </row>
    <row r="3109" spans="1:6" x14ac:dyDescent="0.25">
      <c r="A3109">
        <v>1899</v>
      </c>
      <c r="B3109" s="16">
        <v>43525</v>
      </c>
      <c r="C3109" t="s">
        <v>39</v>
      </c>
      <c r="D3109" s="21">
        <v>7137112.5</v>
      </c>
      <c r="E3109" s="21">
        <v>-7137112.5</v>
      </c>
      <c r="F3109" s="21">
        <v>0</v>
      </c>
    </row>
    <row r="3110" spans="1:6" x14ac:dyDescent="0.25">
      <c r="A3110">
        <v>1899</v>
      </c>
      <c r="B3110" s="16">
        <v>43525</v>
      </c>
      <c r="C3110" t="s">
        <v>192</v>
      </c>
      <c r="D3110" s="21">
        <v>26936126</v>
      </c>
      <c r="E3110" s="21">
        <v>-26936126</v>
      </c>
      <c r="F3110" s="21">
        <v>0</v>
      </c>
    </row>
    <row r="3111" spans="1:6" x14ac:dyDescent="0.25">
      <c r="A3111">
        <v>1899</v>
      </c>
      <c r="B3111" s="16">
        <v>43525</v>
      </c>
      <c r="C3111" t="s">
        <v>14</v>
      </c>
      <c r="D3111" s="21">
        <v>6000000</v>
      </c>
      <c r="E3111" s="21">
        <v>-6000000</v>
      </c>
      <c r="F3111" s="21">
        <v>0</v>
      </c>
    </row>
    <row r="3112" spans="1:6" x14ac:dyDescent="0.25">
      <c r="A3112">
        <v>1899</v>
      </c>
      <c r="B3112" s="16">
        <v>43556</v>
      </c>
      <c r="C3112" t="s">
        <v>35</v>
      </c>
      <c r="D3112" s="21">
        <v>3815999.9999999995</v>
      </c>
      <c r="E3112" s="21">
        <v>-3815999.9999999995</v>
      </c>
      <c r="F3112" s="21">
        <v>0</v>
      </c>
    </row>
    <row r="3113" spans="1:6" x14ac:dyDescent="0.25">
      <c r="A3113">
        <v>1899</v>
      </c>
      <c r="B3113" s="16">
        <v>43556</v>
      </c>
      <c r="C3113" t="s">
        <v>29</v>
      </c>
      <c r="D3113" s="21">
        <v>3923277</v>
      </c>
      <c r="E3113" s="21">
        <v>-3923277</v>
      </c>
      <c r="F3113" s="21">
        <v>0</v>
      </c>
    </row>
    <row r="3114" spans="1:6" x14ac:dyDescent="0.25">
      <c r="A3114">
        <v>1899</v>
      </c>
      <c r="B3114" s="16">
        <v>43556</v>
      </c>
      <c r="C3114" t="s">
        <v>12</v>
      </c>
      <c r="D3114" s="21">
        <v>6862500</v>
      </c>
      <c r="E3114" s="21">
        <v>-6862500</v>
      </c>
      <c r="F3114" s="21">
        <v>0</v>
      </c>
    </row>
    <row r="3115" spans="1:6" x14ac:dyDescent="0.25">
      <c r="A3115">
        <v>1899</v>
      </c>
      <c r="B3115" s="16">
        <v>43556</v>
      </c>
      <c r="C3115" t="s">
        <v>169</v>
      </c>
      <c r="D3115" s="21">
        <v>6000000</v>
      </c>
      <c r="E3115" s="21">
        <v>-6000000</v>
      </c>
      <c r="F3115" s="21">
        <v>0</v>
      </c>
    </row>
    <row r="3116" spans="1:6" x14ac:dyDescent="0.25">
      <c r="A3116">
        <v>1899</v>
      </c>
      <c r="B3116" s="16">
        <v>43556</v>
      </c>
      <c r="C3116" t="s">
        <v>19</v>
      </c>
      <c r="D3116" s="21">
        <v>3184375.68</v>
      </c>
      <c r="E3116" s="21">
        <v>-3184375.68</v>
      </c>
      <c r="F3116" s="21">
        <v>0</v>
      </c>
    </row>
    <row r="3117" spans="1:6" x14ac:dyDescent="0.25">
      <c r="A3117">
        <v>1899</v>
      </c>
      <c r="B3117" s="16">
        <v>43556</v>
      </c>
      <c r="C3117" t="s">
        <v>39</v>
      </c>
      <c r="D3117" s="21">
        <v>7137112.5</v>
      </c>
      <c r="E3117" s="21">
        <v>-7137112.5</v>
      </c>
      <c r="F3117" s="21">
        <v>0</v>
      </c>
    </row>
    <row r="3118" spans="1:6" x14ac:dyDescent="0.25">
      <c r="A3118">
        <v>1899</v>
      </c>
      <c r="B3118" s="16">
        <v>43556</v>
      </c>
      <c r="C3118" t="s">
        <v>192</v>
      </c>
      <c r="D3118" s="21">
        <v>26936126</v>
      </c>
      <c r="E3118" s="21">
        <v>-26936126</v>
      </c>
      <c r="F3118" s="21">
        <v>0</v>
      </c>
    </row>
    <row r="3119" spans="1:6" x14ac:dyDescent="0.25">
      <c r="A3119">
        <v>1899</v>
      </c>
      <c r="B3119" s="16">
        <v>43556</v>
      </c>
      <c r="C3119" t="s">
        <v>14</v>
      </c>
      <c r="D3119" s="21">
        <v>6000000</v>
      </c>
      <c r="E3119" s="21">
        <v>-6000000</v>
      </c>
      <c r="F3119" s="21">
        <v>0</v>
      </c>
    </row>
    <row r="3120" spans="1:6" x14ac:dyDescent="0.25">
      <c r="A3120">
        <v>1899</v>
      </c>
      <c r="B3120" s="16">
        <v>43586</v>
      </c>
      <c r="C3120" t="s">
        <v>35</v>
      </c>
      <c r="D3120" s="21">
        <v>3815999.9999999995</v>
      </c>
      <c r="E3120" s="21">
        <v>-3815999.9999999995</v>
      </c>
      <c r="F3120" s="21">
        <v>0</v>
      </c>
    </row>
    <row r="3121" spans="1:6" x14ac:dyDescent="0.25">
      <c r="A3121">
        <v>1899</v>
      </c>
      <c r="B3121" s="16">
        <v>43586</v>
      </c>
      <c r="C3121" t="s">
        <v>29</v>
      </c>
      <c r="D3121" s="21">
        <v>3923277</v>
      </c>
      <c r="E3121" s="21">
        <v>-3923277</v>
      </c>
      <c r="F3121" s="21">
        <v>0</v>
      </c>
    </row>
    <row r="3122" spans="1:6" x14ac:dyDescent="0.25">
      <c r="A3122">
        <v>1899</v>
      </c>
      <c r="B3122" s="16">
        <v>43586</v>
      </c>
      <c r="C3122" t="s">
        <v>12</v>
      </c>
      <c r="D3122" s="21">
        <v>6862500</v>
      </c>
      <c r="E3122" s="21">
        <v>-6862500</v>
      </c>
      <c r="F3122" s="21">
        <v>0</v>
      </c>
    </row>
    <row r="3123" spans="1:6" x14ac:dyDescent="0.25">
      <c r="A3123">
        <v>1899</v>
      </c>
      <c r="B3123" s="16">
        <v>43586</v>
      </c>
      <c r="C3123" t="s">
        <v>169</v>
      </c>
      <c r="D3123" s="21">
        <v>6000000</v>
      </c>
      <c r="E3123" s="21">
        <v>-6000000</v>
      </c>
      <c r="F3123" s="21">
        <v>0</v>
      </c>
    </row>
    <row r="3124" spans="1:6" x14ac:dyDescent="0.25">
      <c r="A3124">
        <v>1899</v>
      </c>
      <c r="B3124" s="16">
        <v>43586</v>
      </c>
      <c r="C3124" t="s">
        <v>19</v>
      </c>
      <c r="D3124" s="21">
        <v>3184375.68</v>
      </c>
      <c r="E3124" s="21">
        <v>-3184375.68</v>
      </c>
      <c r="F3124" s="21">
        <v>0</v>
      </c>
    </row>
    <row r="3125" spans="1:6" x14ac:dyDescent="0.25">
      <c r="A3125">
        <v>1899</v>
      </c>
      <c r="B3125" s="16">
        <v>43586</v>
      </c>
      <c r="C3125" t="s">
        <v>39</v>
      </c>
      <c r="D3125" s="21">
        <v>7137112.5</v>
      </c>
      <c r="E3125" s="21">
        <v>-7137112.5</v>
      </c>
      <c r="F3125" s="21">
        <v>0</v>
      </c>
    </row>
    <row r="3126" spans="1:6" x14ac:dyDescent="0.25">
      <c r="A3126">
        <v>1899</v>
      </c>
      <c r="B3126" s="16">
        <v>43586</v>
      </c>
      <c r="C3126" t="s">
        <v>192</v>
      </c>
      <c r="D3126" s="21">
        <v>26936126</v>
      </c>
      <c r="E3126" s="21">
        <v>-26936126</v>
      </c>
      <c r="F3126" s="21">
        <v>0</v>
      </c>
    </row>
    <row r="3127" spans="1:6" x14ac:dyDescent="0.25">
      <c r="A3127">
        <v>1899</v>
      </c>
      <c r="B3127" s="16">
        <v>43586</v>
      </c>
      <c r="C3127" t="s">
        <v>14</v>
      </c>
      <c r="D3127" s="21">
        <v>6000000</v>
      </c>
      <c r="E3127" s="21">
        <v>-6000000</v>
      </c>
      <c r="F3127" s="21">
        <v>0</v>
      </c>
    </row>
    <row r="3128" spans="1:6" x14ac:dyDescent="0.25">
      <c r="A3128">
        <v>1899</v>
      </c>
      <c r="B3128" s="16">
        <v>43617</v>
      </c>
      <c r="C3128" t="s">
        <v>35</v>
      </c>
      <c r="D3128" s="21">
        <v>3815999.9999999995</v>
      </c>
      <c r="E3128" s="21">
        <v>-3815999.9999999995</v>
      </c>
      <c r="F3128" s="21">
        <v>0</v>
      </c>
    </row>
    <row r="3129" spans="1:6" x14ac:dyDescent="0.25">
      <c r="A3129">
        <v>1899</v>
      </c>
      <c r="B3129" s="16">
        <v>43617</v>
      </c>
      <c r="C3129" t="s">
        <v>29</v>
      </c>
      <c r="D3129" s="21">
        <v>3923277</v>
      </c>
      <c r="E3129" s="21">
        <v>-3923277</v>
      </c>
      <c r="F3129" s="21">
        <v>0</v>
      </c>
    </row>
    <row r="3130" spans="1:6" x14ac:dyDescent="0.25">
      <c r="A3130">
        <v>1899</v>
      </c>
      <c r="B3130" s="16">
        <v>43617</v>
      </c>
      <c r="C3130" t="s">
        <v>12</v>
      </c>
      <c r="D3130" s="21">
        <v>6862500</v>
      </c>
      <c r="E3130" s="21">
        <v>-6862500</v>
      </c>
      <c r="F3130" s="21">
        <v>0</v>
      </c>
    </row>
    <row r="3131" spans="1:6" x14ac:dyDescent="0.25">
      <c r="A3131">
        <v>1899</v>
      </c>
      <c r="B3131" s="16">
        <v>43617</v>
      </c>
      <c r="C3131" t="s">
        <v>169</v>
      </c>
      <c r="D3131" s="21">
        <v>6000000</v>
      </c>
      <c r="E3131" s="21">
        <v>-6000000</v>
      </c>
      <c r="F3131" s="21">
        <v>0</v>
      </c>
    </row>
    <row r="3132" spans="1:6" x14ac:dyDescent="0.25">
      <c r="A3132">
        <v>1899</v>
      </c>
      <c r="B3132" s="16">
        <v>43617</v>
      </c>
      <c r="C3132" t="s">
        <v>19</v>
      </c>
      <c r="D3132" s="21">
        <v>3184375.68</v>
      </c>
      <c r="E3132" s="21">
        <v>-3184375.68</v>
      </c>
      <c r="F3132" s="21">
        <v>0</v>
      </c>
    </row>
    <row r="3133" spans="1:6" x14ac:dyDescent="0.25">
      <c r="A3133">
        <v>1899</v>
      </c>
      <c r="B3133" s="16">
        <v>43617</v>
      </c>
      <c r="C3133" t="s">
        <v>39</v>
      </c>
      <c r="D3133" s="21">
        <v>4078350</v>
      </c>
      <c r="E3133" s="21">
        <v>-4078350</v>
      </c>
      <c r="F3133" s="21">
        <v>0</v>
      </c>
    </row>
    <row r="3134" spans="1:6" x14ac:dyDescent="0.25">
      <c r="A3134">
        <v>1899</v>
      </c>
      <c r="B3134" s="16">
        <v>43617</v>
      </c>
      <c r="C3134" t="s">
        <v>192</v>
      </c>
      <c r="D3134" s="21">
        <v>26936126</v>
      </c>
      <c r="E3134" s="21">
        <v>-26936126</v>
      </c>
      <c r="F3134" s="21">
        <v>0</v>
      </c>
    </row>
    <row r="3135" spans="1:6" x14ac:dyDescent="0.25">
      <c r="A3135">
        <v>1899</v>
      </c>
      <c r="B3135" s="16">
        <v>43617</v>
      </c>
      <c r="C3135" t="s">
        <v>14</v>
      </c>
      <c r="D3135" s="21">
        <v>6000000</v>
      </c>
      <c r="E3135" s="21">
        <v>-6000000</v>
      </c>
      <c r="F3135" s="21">
        <v>0</v>
      </c>
    </row>
    <row r="3136" spans="1:6" x14ac:dyDescent="0.25">
      <c r="A3136">
        <v>1899</v>
      </c>
      <c r="B3136" s="16">
        <v>43647</v>
      </c>
      <c r="C3136" t="s">
        <v>35</v>
      </c>
      <c r="D3136" s="21">
        <v>3815999.9999999995</v>
      </c>
      <c r="E3136" s="21">
        <v>-3815999.9999999995</v>
      </c>
      <c r="F3136" s="21">
        <v>0</v>
      </c>
    </row>
    <row r="3137" spans="1:6" x14ac:dyDescent="0.25">
      <c r="A3137">
        <v>1899</v>
      </c>
      <c r="B3137" s="16">
        <v>43647</v>
      </c>
      <c r="C3137" t="s">
        <v>29</v>
      </c>
      <c r="D3137" s="21">
        <v>3923277</v>
      </c>
      <c r="E3137" s="21">
        <v>-3923277</v>
      </c>
      <c r="F3137" s="21">
        <v>0</v>
      </c>
    </row>
    <row r="3138" spans="1:6" x14ac:dyDescent="0.25">
      <c r="A3138">
        <v>1899</v>
      </c>
      <c r="B3138" s="16">
        <v>43647</v>
      </c>
      <c r="C3138" t="s">
        <v>12</v>
      </c>
      <c r="D3138" s="21">
        <v>6862500</v>
      </c>
      <c r="E3138" s="21">
        <v>-6862500</v>
      </c>
      <c r="F3138" s="21">
        <v>0</v>
      </c>
    </row>
    <row r="3139" spans="1:6" x14ac:dyDescent="0.25">
      <c r="A3139">
        <v>1899</v>
      </c>
      <c r="B3139" s="16">
        <v>43647</v>
      </c>
      <c r="C3139" t="s">
        <v>169</v>
      </c>
      <c r="D3139" s="21">
        <v>6000000</v>
      </c>
      <c r="E3139" s="21">
        <v>-6000000</v>
      </c>
      <c r="F3139" s="21">
        <v>0</v>
      </c>
    </row>
    <row r="3140" spans="1:6" x14ac:dyDescent="0.25">
      <c r="A3140">
        <v>1899</v>
      </c>
      <c r="B3140" s="16">
        <v>43647</v>
      </c>
      <c r="C3140" t="s">
        <v>19</v>
      </c>
      <c r="D3140" s="21">
        <v>3184375.68</v>
      </c>
      <c r="E3140" s="21">
        <v>-3184375.68</v>
      </c>
      <c r="F3140" s="21">
        <v>0</v>
      </c>
    </row>
    <row r="3141" spans="1:6" x14ac:dyDescent="0.25">
      <c r="A3141">
        <v>1899</v>
      </c>
      <c r="B3141" s="16">
        <v>43647</v>
      </c>
      <c r="C3141" t="s">
        <v>39</v>
      </c>
      <c r="D3141" s="21">
        <v>4078350</v>
      </c>
      <c r="E3141" s="21">
        <v>-4078350</v>
      </c>
      <c r="F3141" s="21">
        <v>0</v>
      </c>
    </row>
    <row r="3142" spans="1:6" x14ac:dyDescent="0.25">
      <c r="A3142">
        <v>1899</v>
      </c>
      <c r="B3142" s="16">
        <v>43647</v>
      </c>
      <c r="C3142" t="s">
        <v>192</v>
      </c>
      <c r="D3142" s="21">
        <v>26936126</v>
      </c>
      <c r="E3142" s="21">
        <v>-26936126</v>
      </c>
      <c r="F3142" s="21">
        <v>0</v>
      </c>
    </row>
    <row r="3143" spans="1:6" x14ac:dyDescent="0.25">
      <c r="A3143">
        <v>1899</v>
      </c>
      <c r="B3143" s="16">
        <v>43647</v>
      </c>
      <c r="C3143" t="s">
        <v>14</v>
      </c>
      <c r="D3143" s="21">
        <v>6000000</v>
      </c>
      <c r="E3143" s="21">
        <v>-6000000</v>
      </c>
      <c r="F3143" s="21">
        <v>0</v>
      </c>
    </row>
    <row r="3144" spans="1:6" x14ac:dyDescent="0.25">
      <c r="A3144">
        <v>1899</v>
      </c>
      <c r="B3144" s="16">
        <v>43678</v>
      </c>
      <c r="C3144" t="s">
        <v>35</v>
      </c>
      <c r="D3144" s="21">
        <v>3815999.9999999995</v>
      </c>
      <c r="E3144" s="21">
        <v>-3815999.9999999995</v>
      </c>
      <c r="F3144" s="21">
        <v>0</v>
      </c>
    </row>
    <row r="3145" spans="1:6" x14ac:dyDescent="0.25">
      <c r="A3145">
        <v>1899</v>
      </c>
      <c r="B3145" s="16">
        <v>43678</v>
      </c>
      <c r="C3145" t="s">
        <v>29</v>
      </c>
      <c r="D3145" s="21">
        <v>3923277</v>
      </c>
      <c r="E3145" s="21">
        <v>-3923277</v>
      </c>
      <c r="F3145" s="21">
        <v>0</v>
      </c>
    </row>
    <row r="3146" spans="1:6" x14ac:dyDescent="0.25">
      <c r="A3146">
        <v>1899</v>
      </c>
      <c r="B3146" s="16">
        <v>43678</v>
      </c>
      <c r="C3146" t="s">
        <v>12</v>
      </c>
      <c r="D3146" s="21">
        <v>9150000</v>
      </c>
      <c r="E3146" s="21">
        <v>-9150000</v>
      </c>
      <c r="F3146" s="21">
        <v>0</v>
      </c>
    </row>
    <row r="3147" spans="1:6" x14ac:dyDescent="0.25">
      <c r="A3147">
        <v>1899</v>
      </c>
      <c r="B3147" s="16">
        <v>43678</v>
      </c>
      <c r="C3147" t="s">
        <v>169</v>
      </c>
      <c r="D3147" s="21">
        <v>6000000</v>
      </c>
      <c r="E3147" s="21">
        <v>-6000000</v>
      </c>
      <c r="F3147" s="21">
        <v>0</v>
      </c>
    </row>
    <row r="3148" spans="1:6" x14ac:dyDescent="0.25">
      <c r="A3148">
        <v>1899</v>
      </c>
      <c r="B3148" s="16">
        <v>43678</v>
      </c>
      <c r="C3148" t="s">
        <v>19</v>
      </c>
      <c r="D3148" s="21">
        <v>4776563.5200000005</v>
      </c>
      <c r="E3148" s="21">
        <v>-4776563.5200000005</v>
      </c>
      <c r="F3148" s="21">
        <v>0</v>
      </c>
    </row>
    <row r="3149" spans="1:6" x14ac:dyDescent="0.25">
      <c r="A3149">
        <v>1899</v>
      </c>
      <c r="B3149" s="16">
        <v>43678</v>
      </c>
      <c r="C3149" t="s">
        <v>39</v>
      </c>
      <c r="D3149" s="21">
        <v>4078350</v>
      </c>
      <c r="E3149" s="21">
        <v>-4078350</v>
      </c>
      <c r="F3149" s="21">
        <v>0</v>
      </c>
    </row>
    <row r="3150" spans="1:6" x14ac:dyDescent="0.25">
      <c r="A3150">
        <v>1899</v>
      </c>
      <c r="B3150" s="16">
        <v>43678</v>
      </c>
      <c r="C3150" t="s">
        <v>192</v>
      </c>
      <c r="D3150" s="21">
        <v>26936126</v>
      </c>
      <c r="E3150" s="21">
        <v>-26936126</v>
      </c>
      <c r="F3150" s="21">
        <v>0</v>
      </c>
    </row>
    <row r="3151" spans="1:6" x14ac:dyDescent="0.25">
      <c r="A3151">
        <v>1899</v>
      </c>
      <c r="B3151" s="16">
        <v>43678</v>
      </c>
      <c r="C3151" t="s">
        <v>14</v>
      </c>
      <c r="D3151" s="21">
        <v>6000000</v>
      </c>
      <c r="E3151" s="21">
        <v>-6000000</v>
      </c>
      <c r="F3151" s="21">
        <v>0</v>
      </c>
    </row>
    <row r="3152" spans="1:6" x14ac:dyDescent="0.25">
      <c r="A3152">
        <v>1899</v>
      </c>
      <c r="B3152" s="16">
        <v>43709</v>
      </c>
      <c r="C3152" t="s">
        <v>35</v>
      </c>
      <c r="D3152" s="21">
        <v>3815999.9999999995</v>
      </c>
      <c r="E3152" s="21">
        <v>-3815999.9999999995</v>
      </c>
      <c r="F3152" s="21">
        <v>0</v>
      </c>
    </row>
    <row r="3153" spans="1:6" x14ac:dyDescent="0.25">
      <c r="A3153">
        <v>1899</v>
      </c>
      <c r="B3153" s="16">
        <v>43709</v>
      </c>
      <c r="C3153" t="s">
        <v>29</v>
      </c>
      <c r="D3153" s="21">
        <v>3923277</v>
      </c>
      <c r="E3153" s="21">
        <v>-3923277</v>
      </c>
      <c r="F3153" s="21">
        <v>0</v>
      </c>
    </row>
    <row r="3154" spans="1:6" x14ac:dyDescent="0.25">
      <c r="A3154">
        <v>1899</v>
      </c>
      <c r="B3154" s="16">
        <v>43709</v>
      </c>
      <c r="C3154" t="s">
        <v>12</v>
      </c>
      <c r="D3154" s="21">
        <v>9150000</v>
      </c>
      <c r="E3154" s="21">
        <v>-9150000</v>
      </c>
      <c r="F3154" s="21">
        <v>0</v>
      </c>
    </row>
    <row r="3155" spans="1:6" x14ac:dyDescent="0.25">
      <c r="A3155">
        <v>1899</v>
      </c>
      <c r="B3155" s="16">
        <v>43709</v>
      </c>
      <c r="C3155" t="s">
        <v>169</v>
      </c>
      <c r="D3155" s="21">
        <v>6000000</v>
      </c>
      <c r="E3155" s="21">
        <v>-6000000</v>
      </c>
      <c r="F3155" s="21">
        <v>0</v>
      </c>
    </row>
    <row r="3156" spans="1:6" x14ac:dyDescent="0.25">
      <c r="A3156">
        <v>1899</v>
      </c>
      <c r="B3156" s="16">
        <v>43709</v>
      </c>
      <c r="C3156" t="s">
        <v>19</v>
      </c>
      <c r="D3156" s="21">
        <v>4776563.5200000005</v>
      </c>
      <c r="E3156" s="21">
        <v>-4776563.5200000005</v>
      </c>
      <c r="F3156" s="21">
        <v>0</v>
      </c>
    </row>
    <row r="3157" spans="1:6" x14ac:dyDescent="0.25">
      <c r="A3157">
        <v>1899</v>
      </c>
      <c r="B3157" s="16">
        <v>43709</v>
      </c>
      <c r="C3157" t="s">
        <v>39</v>
      </c>
      <c r="D3157" s="21">
        <v>4078350</v>
      </c>
      <c r="E3157" s="21">
        <v>-4078350</v>
      </c>
      <c r="F3157" s="21">
        <v>0</v>
      </c>
    </row>
    <row r="3158" spans="1:6" x14ac:dyDescent="0.25">
      <c r="A3158">
        <v>1899</v>
      </c>
      <c r="B3158" s="16">
        <v>43709</v>
      </c>
      <c r="C3158" t="s">
        <v>192</v>
      </c>
      <c r="D3158" s="21">
        <v>26936126</v>
      </c>
      <c r="E3158" s="21">
        <v>-26936126</v>
      </c>
      <c r="F3158" s="21">
        <v>0</v>
      </c>
    </row>
    <row r="3159" spans="1:6" x14ac:dyDescent="0.25">
      <c r="A3159">
        <v>1899</v>
      </c>
      <c r="B3159" s="16">
        <v>43709</v>
      </c>
      <c r="C3159" t="s">
        <v>14</v>
      </c>
      <c r="D3159" s="21">
        <v>6000000</v>
      </c>
      <c r="E3159" s="21">
        <v>-6000000</v>
      </c>
      <c r="F3159" s="21">
        <v>0</v>
      </c>
    </row>
    <row r="3160" spans="1:6" x14ac:dyDescent="0.25">
      <c r="A3160">
        <v>1899</v>
      </c>
      <c r="B3160" s="16">
        <v>43739</v>
      </c>
      <c r="C3160" t="s">
        <v>35</v>
      </c>
      <c r="D3160" s="21">
        <v>3815999.9999999995</v>
      </c>
      <c r="E3160" s="21">
        <v>-3815999.9999999995</v>
      </c>
      <c r="F3160" s="21">
        <v>0</v>
      </c>
    </row>
    <row r="3161" spans="1:6" x14ac:dyDescent="0.25">
      <c r="A3161">
        <v>1899</v>
      </c>
      <c r="B3161" s="16">
        <v>43739</v>
      </c>
      <c r="C3161" t="s">
        <v>19</v>
      </c>
      <c r="D3161" s="21">
        <v>4776563.5200000005</v>
      </c>
      <c r="E3161" s="21">
        <v>-4776563.5200000005</v>
      </c>
      <c r="F3161" s="21">
        <v>0</v>
      </c>
    </row>
    <row r="3162" spans="1:6" x14ac:dyDescent="0.25">
      <c r="A3162">
        <v>1899</v>
      </c>
      <c r="B3162" s="16">
        <v>43739</v>
      </c>
      <c r="C3162" t="s">
        <v>169</v>
      </c>
      <c r="D3162" s="21">
        <v>6000000</v>
      </c>
      <c r="E3162" s="21">
        <v>-6000000</v>
      </c>
      <c r="F3162" s="21">
        <v>0</v>
      </c>
    </row>
    <row r="3163" spans="1:6" x14ac:dyDescent="0.25">
      <c r="A3163">
        <v>1899</v>
      </c>
      <c r="B3163" s="16">
        <v>43739</v>
      </c>
      <c r="C3163" t="s">
        <v>192</v>
      </c>
      <c r="D3163" s="21">
        <v>26936126</v>
      </c>
      <c r="E3163" s="21">
        <v>-26936126</v>
      </c>
      <c r="F3163" s="21">
        <v>0</v>
      </c>
    </row>
    <row r="3164" spans="1:6" x14ac:dyDescent="0.25">
      <c r="A3164">
        <v>1899</v>
      </c>
      <c r="B3164" s="16">
        <v>43739</v>
      </c>
      <c r="C3164" t="s">
        <v>39</v>
      </c>
      <c r="D3164" s="21">
        <v>4078350</v>
      </c>
      <c r="E3164" s="21">
        <v>-4078350</v>
      </c>
      <c r="F3164" s="21">
        <v>0</v>
      </c>
    </row>
    <row r="3165" spans="1:6" x14ac:dyDescent="0.25">
      <c r="A3165">
        <v>1899</v>
      </c>
      <c r="B3165" s="16">
        <v>43739</v>
      </c>
      <c r="C3165" t="s">
        <v>12</v>
      </c>
      <c r="D3165" s="21">
        <v>9150000</v>
      </c>
      <c r="E3165" s="21">
        <v>-9150000</v>
      </c>
      <c r="F3165" s="21">
        <v>0</v>
      </c>
    </row>
    <row r="3166" spans="1:6" x14ac:dyDescent="0.25">
      <c r="A3166">
        <v>1899</v>
      </c>
      <c r="B3166" s="16">
        <v>43739</v>
      </c>
      <c r="C3166" t="s">
        <v>14</v>
      </c>
      <c r="D3166" s="21">
        <v>6000000</v>
      </c>
      <c r="E3166" s="21">
        <v>-6000000</v>
      </c>
      <c r="F3166" s="21">
        <v>0</v>
      </c>
    </row>
    <row r="3167" spans="1:6" x14ac:dyDescent="0.25">
      <c r="A3167">
        <v>1899</v>
      </c>
      <c r="B3167" s="16">
        <v>43770</v>
      </c>
      <c r="C3167" t="s">
        <v>35</v>
      </c>
      <c r="D3167" s="21">
        <v>3815999.9999999995</v>
      </c>
      <c r="E3167" s="21">
        <v>-3815999.9999999995</v>
      </c>
      <c r="F3167" s="21">
        <v>0</v>
      </c>
    </row>
    <row r="3168" spans="1:6" x14ac:dyDescent="0.25">
      <c r="A3168">
        <v>1899</v>
      </c>
      <c r="B3168" s="16">
        <v>43770</v>
      </c>
      <c r="C3168" t="s">
        <v>19</v>
      </c>
      <c r="D3168" s="21">
        <v>4776563.5200000005</v>
      </c>
      <c r="E3168" s="21">
        <v>-4776563.5200000005</v>
      </c>
      <c r="F3168" s="21">
        <v>0</v>
      </c>
    </row>
    <row r="3169" spans="1:6" x14ac:dyDescent="0.25">
      <c r="A3169">
        <v>1899</v>
      </c>
      <c r="B3169" s="16">
        <v>43770</v>
      </c>
      <c r="C3169" t="s">
        <v>169</v>
      </c>
      <c r="D3169" s="21">
        <v>6000000</v>
      </c>
      <c r="E3169" s="21">
        <v>-6000000</v>
      </c>
      <c r="F3169" s="21">
        <v>0</v>
      </c>
    </row>
    <row r="3170" spans="1:6" x14ac:dyDescent="0.25">
      <c r="A3170">
        <v>1899</v>
      </c>
      <c r="B3170" s="16">
        <v>43770</v>
      </c>
      <c r="C3170" t="s">
        <v>192</v>
      </c>
      <c r="D3170" s="21">
        <v>26936126</v>
      </c>
      <c r="E3170" s="21">
        <v>-26936126</v>
      </c>
      <c r="F3170" s="21">
        <v>0</v>
      </c>
    </row>
    <row r="3171" spans="1:6" x14ac:dyDescent="0.25">
      <c r="A3171">
        <v>1899</v>
      </c>
      <c r="B3171" s="16">
        <v>43770</v>
      </c>
      <c r="C3171" t="s">
        <v>39</v>
      </c>
      <c r="D3171" s="21">
        <v>4078350</v>
      </c>
      <c r="E3171" s="21">
        <v>-4078350</v>
      </c>
      <c r="F3171" s="21">
        <v>0</v>
      </c>
    </row>
    <row r="3172" spans="1:6" x14ac:dyDescent="0.25">
      <c r="A3172">
        <v>1899</v>
      </c>
      <c r="B3172" s="16">
        <v>43770</v>
      </c>
      <c r="C3172" t="s">
        <v>12</v>
      </c>
      <c r="D3172" s="21">
        <v>9150000</v>
      </c>
      <c r="E3172" s="21">
        <v>-9150000</v>
      </c>
      <c r="F3172" s="21">
        <v>0</v>
      </c>
    </row>
    <row r="3173" spans="1:6" x14ac:dyDescent="0.25">
      <c r="A3173">
        <v>1899</v>
      </c>
      <c r="B3173" s="16">
        <v>43770</v>
      </c>
      <c r="C3173" t="s">
        <v>14</v>
      </c>
      <c r="D3173" s="21">
        <v>6000000</v>
      </c>
      <c r="E3173" s="21">
        <v>-6000000</v>
      </c>
      <c r="F3173" s="21">
        <v>0</v>
      </c>
    </row>
    <row r="3174" spans="1:6" x14ac:dyDescent="0.25">
      <c r="A3174">
        <v>1899</v>
      </c>
      <c r="B3174" s="16">
        <v>43800</v>
      </c>
      <c r="C3174" t="s">
        <v>35</v>
      </c>
      <c r="D3174" s="21">
        <v>3815999.9999999995</v>
      </c>
      <c r="E3174" s="21">
        <v>-3815999.9999999995</v>
      </c>
      <c r="F3174" s="21">
        <v>0</v>
      </c>
    </row>
    <row r="3175" spans="1:6" x14ac:dyDescent="0.25">
      <c r="A3175">
        <v>1899</v>
      </c>
      <c r="B3175" s="16">
        <v>43800</v>
      </c>
      <c r="C3175" t="s">
        <v>19</v>
      </c>
      <c r="D3175" s="21">
        <v>4776563.5200000005</v>
      </c>
      <c r="E3175" s="21">
        <v>-4776563.5200000005</v>
      </c>
      <c r="F3175" s="21">
        <v>0</v>
      </c>
    </row>
    <row r="3176" spans="1:6" x14ac:dyDescent="0.25">
      <c r="A3176">
        <v>1899</v>
      </c>
      <c r="B3176" s="16">
        <v>43800</v>
      </c>
      <c r="C3176" t="s">
        <v>169</v>
      </c>
      <c r="D3176" s="21">
        <v>6000000</v>
      </c>
      <c r="E3176" s="21">
        <v>-6000000</v>
      </c>
      <c r="F3176" s="21">
        <v>0</v>
      </c>
    </row>
    <row r="3177" spans="1:6" x14ac:dyDescent="0.25">
      <c r="A3177">
        <v>1899</v>
      </c>
      <c r="B3177" s="16">
        <v>43800</v>
      </c>
      <c r="C3177" t="s">
        <v>192</v>
      </c>
      <c r="D3177" s="21">
        <v>26936126</v>
      </c>
      <c r="E3177" s="21">
        <v>-26936126</v>
      </c>
      <c r="F3177" s="21">
        <v>0</v>
      </c>
    </row>
    <row r="3178" spans="1:6" x14ac:dyDescent="0.25">
      <c r="A3178">
        <v>1899</v>
      </c>
      <c r="B3178" s="16">
        <v>43800</v>
      </c>
      <c r="C3178" t="s">
        <v>39</v>
      </c>
      <c r="D3178" s="21">
        <v>4078350</v>
      </c>
      <c r="E3178" s="21">
        <v>-4078350</v>
      </c>
      <c r="F3178" s="21">
        <v>0</v>
      </c>
    </row>
    <row r="3179" spans="1:6" x14ac:dyDescent="0.25">
      <c r="A3179">
        <v>1899</v>
      </c>
      <c r="B3179" s="16">
        <v>43800</v>
      </c>
      <c r="C3179" t="s">
        <v>12</v>
      </c>
      <c r="D3179" s="21">
        <v>9150000</v>
      </c>
      <c r="E3179" s="21">
        <v>-9150000</v>
      </c>
      <c r="F3179" s="21">
        <v>0</v>
      </c>
    </row>
    <row r="3180" spans="1:6" x14ac:dyDescent="0.25">
      <c r="A3180">
        <v>1899</v>
      </c>
      <c r="B3180" s="16">
        <v>43800</v>
      </c>
      <c r="C3180" t="s">
        <v>14</v>
      </c>
      <c r="D3180" s="21">
        <v>6000000</v>
      </c>
      <c r="E3180" s="21">
        <v>-6000000</v>
      </c>
      <c r="F3180" s="21">
        <v>0</v>
      </c>
    </row>
    <row r="3181" spans="1:6" x14ac:dyDescent="0.25">
      <c r="A3181">
        <v>1899</v>
      </c>
      <c r="B3181" s="16">
        <v>43831</v>
      </c>
      <c r="C3181" t="s">
        <v>35</v>
      </c>
      <c r="D3181" s="21">
        <v>3815999.9999999995</v>
      </c>
      <c r="E3181" s="21">
        <v>-3815999.9999999995</v>
      </c>
      <c r="F3181" s="21">
        <v>0</v>
      </c>
    </row>
    <row r="3182" spans="1:6" x14ac:dyDescent="0.25">
      <c r="A3182">
        <v>1899</v>
      </c>
      <c r="B3182" s="16">
        <v>43831</v>
      </c>
      <c r="C3182" t="s">
        <v>19</v>
      </c>
      <c r="D3182" s="21">
        <v>4776563.5200000005</v>
      </c>
      <c r="E3182" s="21">
        <v>-4776563.5200000005</v>
      </c>
      <c r="F3182" s="21">
        <v>0</v>
      </c>
    </row>
    <row r="3183" spans="1:6" x14ac:dyDescent="0.25">
      <c r="A3183">
        <v>1899</v>
      </c>
      <c r="B3183" s="16">
        <v>43831</v>
      </c>
      <c r="C3183" t="s">
        <v>169</v>
      </c>
      <c r="D3183" s="21">
        <v>6000000</v>
      </c>
      <c r="E3183" s="21">
        <v>-6000000</v>
      </c>
      <c r="F3183" s="21">
        <v>0</v>
      </c>
    </row>
    <row r="3184" spans="1:6" x14ac:dyDescent="0.25">
      <c r="A3184">
        <v>1899</v>
      </c>
      <c r="B3184" s="16">
        <v>43831</v>
      </c>
      <c r="C3184" t="s">
        <v>192</v>
      </c>
      <c r="D3184" s="21">
        <v>26936126</v>
      </c>
      <c r="E3184" s="21">
        <v>-26936126</v>
      </c>
      <c r="F3184" s="21">
        <v>0</v>
      </c>
    </row>
    <row r="3185" spans="1:6" x14ac:dyDescent="0.25">
      <c r="A3185">
        <v>1899</v>
      </c>
      <c r="B3185" s="16">
        <v>43831</v>
      </c>
      <c r="C3185" t="s">
        <v>39</v>
      </c>
      <c r="D3185" s="21">
        <v>4078350</v>
      </c>
      <c r="E3185" s="21">
        <v>-4078350</v>
      </c>
      <c r="F3185" s="21">
        <v>0</v>
      </c>
    </row>
    <row r="3186" spans="1:6" x14ac:dyDescent="0.25">
      <c r="A3186">
        <v>1899</v>
      </c>
      <c r="B3186" s="16">
        <v>43831</v>
      </c>
      <c r="C3186" t="s">
        <v>12</v>
      </c>
      <c r="D3186" s="21">
        <v>9150000</v>
      </c>
      <c r="E3186" s="21">
        <v>-9150000</v>
      </c>
      <c r="F3186" s="21">
        <v>0</v>
      </c>
    </row>
    <row r="3187" spans="1:6" x14ac:dyDescent="0.25">
      <c r="A3187">
        <v>1899</v>
      </c>
      <c r="B3187" s="16">
        <v>43831</v>
      </c>
      <c r="C3187" t="s">
        <v>14</v>
      </c>
      <c r="D3187" s="21">
        <v>6000000</v>
      </c>
      <c r="E3187" s="21">
        <v>-6000000</v>
      </c>
      <c r="F3187" s="21">
        <v>0</v>
      </c>
    </row>
    <row r="3188" spans="1:6" x14ac:dyDescent="0.25">
      <c r="A3188">
        <v>1899</v>
      </c>
      <c r="B3188" s="16">
        <v>43862</v>
      </c>
      <c r="C3188" t="s">
        <v>35</v>
      </c>
      <c r="D3188" s="21">
        <v>3815999.9999999995</v>
      </c>
      <c r="E3188" s="21">
        <v>-3815999.9999999995</v>
      </c>
      <c r="F3188" s="21">
        <v>0</v>
      </c>
    </row>
    <row r="3189" spans="1:6" x14ac:dyDescent="0.25">
      <c r="A3189">
        <v>1899</v>
      </c>
      <c r="B3189" s="16">
        <v>43862</v>
      </c>
      <c r="C3189" t="s">
        <v>19</v>
      </c>
      <c r="D3189" s="21">
        <v>4776563.5200000005</v>
      </c>
      <c r="E3189" s="21">
        <v>-4776563.5200000005</v>
      </c>
      <c r="F3189" s="21">
        <v>0</v>
      </c>
    </row>
    <row r="3190" spans="1:6" x14ac:dyDescent="0.25">
      <c r="A3190">
        <v>1899</v>
      </c>
      <c r="B3190" s="16">
        <v>43862</v>
      </c>
      <c r="C3190" t="s">
        <v>169</v>
      </c>
      <c r="D3190" s="21">
        <v>6000000</v>
      </c>
      <c r="E3190" s="21">
        <v>-6000000</v>
      </c>
      <c r="F3190" s="21">
        <v>0</v>
      </c>
    </row>
    <row r="3191" spans="1:6" x14ac:dyDescent="0.25">
      <c r="A3191">
        <v>1899</v>
      </c>
      <c r="B3191" s="16">
        <v>43862</v>
      </c>
      <c r="C3191" t="s">
        <v>192</v>
      </c>
      <c r="D3191" s="21">
        <v>26936126</v>
      </c>
      <c r="E3191" s="21">
        <v>-26936126</v>
      </c>
      <c r="F3191" s="21">
        <v>0</v>
      </c>
    </row>
    <row r="3192" spans="1:6" x14ac:dyDescent="0.25">
      <c r="A3192">
        <v>1899</v>
      </c>
      <c r="B3192" s="16">
        <v>43862</v>
      </c>
      <c r="C3192" t="s">
        <v>39</v>
      </c>
      <c r="D3192" s="21">
        <v>4078350</v>
      </c>
      <c r="E3192" s="21">
        <v>-4078350</v>
      </c>
      <c r="F3192" s="21">
        <v>0</v>
      </c>
    </row>
    <row r="3193" spans="1:6" x14ac:dyDescent="0.25">
      <c r="A3193">
        <v>1899</v>
      </c>
      <c r="B3193" s="16">
        <v>43862</v>
      </c>
      <c r="C3193" t="s">
        <v>12</v>
      </c>
      <c r="D3193" s="21">
        <v>9150000</v>
      </c>
      <c r="E3193" s="21">
        <v>-9150000</v>
      </c>
      <c r="F3193" s="21">
        <v>0</v>
      </c>
    </row>
    <row r="3194" spans="1:6" x14ac:dyDescent="0.25">
      <c r="A3194">
        <v>1899</v>
      </c>
      <c r="B3194" s="16">
        <v>43862</v>
      </c>
      <c r="C3194" t="s">
        <v>14</v>
      </c>
      <c r="D3194" s="21">
        <v>6000000</v>
      </c>
      <c r="E3194" s="21">
        <v>-6000000</v>
      </c>
      <c r="F3194" s="21">
        <v>0</v>
      </c>
    </row>
    <row r="3195" spans="1:6" x14ac:dyDescent="0.25">
      <c r="A3195">
        <v>1899</v>
      </c>
      <c r="B3195" s="16">
        <v>43891</v>
      </c>
      <c r="C3195" t="s">
        <v>192</v>
      </c>
      <c r="D3195" s="21">
        <v>26936126</v>
      </c>
      <c r="E3195" s="21">
        <v>-26936126</v>
      </c>
      <c r="F3195" s="21">
        <v>0</v>
      </c>
    </row>
    <row r="3196" spans="1:6" x14ac:dyDescent="0.25">
      <c r="A3196">
        <v>1899</v>
      </c>
      <c r="B3196" s="16">
        <v>43891</v>
      </c>
      <c r="C3196" t="s">
        <v>35</v>
      </c>
      <c r="D3196" s="21">
        <v>3815999.9999999995</v>
      </c>
      <c r="E3196" s="21">
        <v>-3815999.9999999995</v>
      </c>
      <c r="F3196" s="21">
        <v>0</v>
      </c>
    </row>
    <row r="3197" spans="1:6" x14ac:dyDescent="0.25">
      <c r="A3197">
        <v>1899</v>
      </c>
      <c r="B3197" s="16">
        <v>43891</v>
      </c>
      <c r="C3197" t="s">
        <v>12</v>
      </c>
      <c r="D3197" s="21">
        <v>9150000</v>
      </c>
      <c r="E3197" s="21">
        <v>-9150000</v>
      </c>
      <c r="F3197" s="21">
        <v>0</v>
      </c>
    </row>
    <row r="3198" spans="1:6" x14ac:dyDescent="0.25">
      <c r="A3198">
        <v>1899</v>
      </c>
      <c r="B3198" s="16">
        <v>43891</v>
      </c>
      <c r="C3198" t="s">
        <v>169</v>
      </c>
      <c r="D3198" s="21">
        <v>6000000</v>
      </c>
      <c r="E3198" s="21">
        <v>-6000000</v>
      </c>
      <c r="F3198" s="21">
        <v>0</v>
      </c>
    </row>
    <row r="3199" spans="1:6" x14ac:dyDescent="0.25">
      <c r="A3199">
        <v>1899</v>
      </c>
      <c r="B3199" s="16">
        <v>43891</v>
      </c>
      <c r="C3199" t="s">
        <v>19</v>
      </c>
      <c r="D3199" s="21">
        <v>4776563.5200000005</v>
      </c>
      <c r="E3199" s="21">
        <v>-4776563.5200000005</v>
      </c>
      <c r="F3199" s="21">
        <v>0</v>
      </c>
    </row>
    <row r="3200" spans="1:6" x14ac:dyDescent="0.25">
      <c r="A3200">
        <v>1899</v>
      </c>
      <c r="B3200" s="16">
        <v>43891</v>
      </c>
      <c r="C3200" t="s">
        <v>39</v>
      </c>
      <c r="D3200" s="21">
        <v>4078350</v>
      </c>
      <c r="E3200" s="21">
        <v>-4078350</v>
      </c>
      <c r="F3200" s="21">
        <v>0</v>
      </c>
    </row>
    <row r="3201" spans="1:6" x14ac:dyDescent="0.25">
      <c r="A3201">
        <v>1899</v>
      </c>
      <c r="B3201" s="16">
        <v>43922</v>
      </c>
      <c r="C3201" t="s">
        <v>192</v>
      </c>
      <c r="D3201" s="21">
        <v>26936126</v>
      </c>
      <c r="E3201" s="21">
        <v>-26936126</v>
      </c>
      <c r="F3201" s="21">
        <v>0</v>
      </c>
    </row>
    <row r="3202" spans="1:6" x14ac:dyDescent="0.25">
      <c r="A3202">
        <v>1899</v>
      </c>
      <c r="B3202" s="16">
        <v>43922</v>
      </c>
      <c r="C3202" t="s">
        <v>35</v>
      </c>
      <c r="D3202" s="21">
        <v>3815999.9999999995</v>
      </c>
      <c r="E3202" s="21">
        <v>-3815999.9999999995</v>
      </c>
      <c r="F3202" s="21">
        <v>0</v>
      </c>
    </row>
    <row r="3203" spans="1:6" x14ac:dyDescent="0.25">
      <c r="A3203">
        <v>1899</v>
      </c>
      <c r="B3203" s="16">
        <v>43922</v>
      </c>
      <c r="C3203" t="s">
        <v>12</v>
      </c>
      <c r="D3203" s="21">
        <v>9150000</v>
      </c>
      <c r="E3203" s="21">
        <v>-9150000</v>
      </c>
      <c r="F3203" s="21">
        <v>0</v>
      </c>
    </row>
    <row r="3204" spans="1:6" x14ac:dyDescent="0.25">
      <c r="A3204">
        <v>1899</v>
      </c>
      <c r="B3204" s="16">
        <v>43922</v>
      </c>
      <c r="C3204" t="s">
        <v>169</v>
      </c>
      <c r="D3204" s="21">
        <v>6000000</v>
      </c>
      <c r="E3204" s="21">
        <v>-6000000</v>
      </c>
      <c r="F3204" s="21">
        <v>0</v>
      </c>
    </row>
    <row r="3205" spans="1:6" x14ac:dyDescent="0.25">
      <c r="A3205">
        <v>1899</v>
      </c>
      <c r="B3205" s="16">
        <v>43922</v>
      </c>
      <c r="C3205" t="s">
        <v>19</v>
      </c>
      <c r="D3205" s="21">
        <v>4776563.5200000005</v>
      </c>
      <c r="E3205" s="21">
        <v>-4776563.5200000005</v>
      </c>
      <c r="F3205" s="21">
        <v>0</v>
      </c>
    </row>
    <row r="3206" spans="1:6" x14ac:dyDescent="0.25">
      <c r="A3206">
        <v>1899</v>
      </c>
      <c r="B3206" s="16">
        <v>43922</v>
      </c>
      <c r="C3206" t="s">
        <v>39</v>
      </c>
      <c r="D3206" s="21">
        <v>4078350</v>
      </c>
      <c r="E3206" s="21">
        <v>-4078350</v>
      </c>
      <c r="F3206" s="21">
        <v>0</v>
      </c>
    </row>
    <row r="3207" spans="1:6" x14ac:dyDescent="0.25">
      <c r="A3207">
        <v>1899</v>
      </c>
      <c r="B3207" s="16">
        <v>43952</v>
      </c>
      <c r="C3207" t="s">
        <v>192</v>
      </c>
      <c r="D3207" s="21">
        <v>26936126</v>
      </c>
      <c r="E3207" s="21">
        <v>-26936126</v>
      </c>
      <c r="F3207" s="21">
        <v>0</v>
      </c>
    </row>
    <row r="3208" spans="1:6" x14ac:dyDescent="0.25">
      <c r="A3208">
        <v>1899</v>
      </c>
      <c r="B3208" s="16">
        <v>43952</v>
      </c>
      <c r="C3208" t="s">
        <v>19</v>
      </c>
      <c r="D3208" s="21">
        <v>4776563.5200000005</v>
      </c>
      <c r="E3208" s="21">
        <v>-4776563.5200000005</v>
      </c>
      <c r="F3208" s="21">
        <v>0</v>
      </c>
    </row>
    <row r="3209" spans="1:6" x14ac:dyDescent="0.25">
      <c r="A3209">
        <v>1899</v>
      </c>
      <c r="B3209" s="16">
        <v>43952</v>
      </c>
      <c r="C3209" t="s">
        <v>35</v>
      </c>
      <c r="D3209" s="21">
        <v>3815999.9999999995</v>
      </c>
      <c r="E3209" s="21">
        <v>-3815999.9999999995</v>
      </c>
      <c r="F3209" s="21">
        <v>0</v>
      </c>
    </row>
    <row r="3210" spans="1:6" x14ac:dyDescent="0.25">
      <c r="A3210">
        <v>1899</v>
      </c>
      <c r="B3210" s="16">
        <v>43952</v>
      </c>
      <c r="C3210" t="s">
        <v>12</v>
      </c>
      <c r="D3210" s="21">
        <v>9150000</v>
      </c>
      <c r="E3210" s="21">
        <v>-9150000</v>
      </c>
      <c r="F3210" s="21">
        <v>0</v>
      </c>
    </row>
    <row r="3211" spans="1:6" x14ac:dyDescent="0.25">
      <c r="A3211">
        <v>1899</v>
      </c>
      <c r="B3211" s="16">
        <v>43952</v>
      </c>
      <c r="C3211" t="s">
        <v>39</v>
      </c>
      <c r="D3211" s="21">
        <v>4078350</v>
      </c>
      <c r="E3211" s="21">
        <v>-4078350</v>
      </c>
      <c r="F3211" s="21">
        <v>0</v>
      </c>
    </row>
    <row r="3212" spans="1:6" x14ac:dyDescent="0.25">
      <c r="A3212">
        <v>1899</v>
      </c>
      <c r="B3212" s="16">
        <v>43983</v>
      </c>
      <c r="C3212" t="s">
        <v>192</v>
      </c>
      <c r="D3212" s="21">
        <v>26936126</v>
      </c>
      <c r="E3212" s="21">
        <v>-26936126</v>
      </c>
      <c r="F3212" s="21">
        <v>0</v>
      </c>
    </row>
    <row r="3213" spans="1:6" x14ac:dyDescent="0.25">
      <c r="A3213">
        <v>1899</v>
      </c>
      <c r="B3213" s="16">
        <v>43983</v>
      </c>
      <c r="C3213" t="s">
        <v>19</v>
      </c>
      <c r="D3213" s="21">
        <v>4776563.5200000005</v>
      </c>
      <c r="E3213" s="21">
        <v>-4776563.5200000005</v>
      </c>
      <c r="F3213" s="21">
        <v>0</v>
      </c>
    </row>
    <row r="3214" spans="1:6" x14ac:dyDescent="0.25">
      <c r="A3214">
        <v>1899</v>
      </c>
      <c r="B3214" s="16">
        <v>43983</v>
      </c>
      <c r="C3214" t="s">
        <v>35</v>
      </c>
      <c r="D3214" s="21">
        <v>3815999.9999999995</v>
      </c>
      <c r="E3214" s="21">
        <v>-3815999.9999999995</v>
      </c>
      <c r="F3214" s="21">
        <v>0</v>
      </c>
    </row>
    <row r="3215" spans="1:6" x14ac:dyDescent="0.25">
      <c r="A3215">
        <v>1899</v>
      </c>
      <c r="B3215" s="16">
        <v>43983</v>
      </c>
      <c r="C3215" t="s">
        <v>12</v>
      </c>
      <c r="D3215" s="21">
        <v>9150000</v>
      </c>
      <c r="E3215" s="21">
        <v>-9150000</v>
      </c>
      <c r="F3215" s="21">
        <v>0</v>
      </c>
    </row>
    <row r="3216" spans="1:6" x14ac:dyDescent="0.25">
      <c r="A3216">
        <v>1899</v>
      </c>
      <c r="B3216" s="16">
        <v>43983</v>
      </c>
      <c r="C3216" t="s">
        <v>39</v>
      </c>
      <c r="D3216" s="21">
        <v>4078350</v>
      </c>
      <c r="E3216" s="21">
        <v>-4078350</v>
      </c>
      <c r="F3216" s="21">
        <v>0</v>
      </c>
    </row>
    <row r="3217" spans="1:6" x14ac:dyDescent="0.25">
      <c r="A3217">
        <v>1899</v>
      </c>
      <c r="B3217" s="16">
        <v>44013</v>
      </c>
      <c r="C3217" t="s">
        <v>192</v>
      </c>
      <c r="D3217" s="21">
        <v>26936126</v>
      </c>
      <c r="E3217" s="21">
        <v>-26936126</v>
      </c>
      <c r="F3217" s="21">
        <v>0</v>
      </c>
    </row>
    <row r="3218" spans="1:6" x14ac:dyDescent="0.25">
      <c r="A3218">
        <v>1899</v>
      </c>
      <c r="B3218" s="16">
        <v>44013</v>
      </c>
      <c r="C3218" t="s">
        <v>19</v>
      </c>
      <c r="D3218" s="21">
        <v>4776563.5200000005</v>
      </c>
      <c r="E3218" s="21">
        <v>-4776563.5200000005</v>
      </c>
      <c r="F3218" s="21">
        <v>0</v>
      </c>
    </row>
    <row r="3219" spans="1:6" x14ac:dyDescent="0.25">
      <c r="A3219">
        <v>1899</v>
      </c>
      <c r="B3219" s="16">
        <v>44013</v>
      </c>
      <c r="C3219" t="s">
        <v>35</v>
      </c>
      <c r="D3219" s="21">
        <v>3815999.9999999995</v>
      </c>
      <c r="E3219" s="21">
        <v>-3815999.9999999995</v>
      </c>
      <c r="F3219" s="21">
        <v>0</v>
      </c>
    </row>
    <row r="3220" spans="1:6" x14ac:dyDescent="0.25">
      <c r="A3220">
        <v>1899</v>
      </c>
      <c r="B3220" s="16">
        <v>44013</v>
      </c>
      <c r="C3220" t="s">
        <v>12</v>
      </c>
      <c r="D3220" s="21">
        <v>9150000</v>
      </c>
      <c r="E3220" s="21">
        <v>-9150000</v>
      </c>
      <c r="F3220" s="21">
        <v>0</v>
      </c>
    </row>
    <row r="3221" spans="1:6" x14ac:dyDescent="0.25">
      <c r="A3221">
        <v>1899</v>
      </c>
      <c r="B3221" s="16">
        <v>44013</v>
      </c>
      <c r="C3221" t="s">
        <v>39</v>
      </c>
      <c r="D3221" s="21">
        <v>4078350</v>
      </c>
      <c r="E3221" s="21">
        <v>-4078350</v>
      </c>
      <c r="F3221" s="21">
        <v>0</v>
      </c>
    </row>
    <row r="3222" spans="1:6" x14ac:dyDescent="0.25">
      <c r="A3222">
        <v>1899</v>
      </c>
      <c r="B3222" s="16">
        <v>44044</v>
      </c>
      <c r="C3222" t="s">
        <v>192</v>
      </c>
      <c r="D3222" s="21">
        <v>26936126</v>
      </c>
      <c r="E3222" s="21">
        <v>-26936126</v>
      </c>
      <c r="F3222" s="21">
        <v>0</v>
      </c>
    </row>
    <row r="3223" spans="1:6" x14ac:dyDescent="0.25">
      <c r="A3223">
        <v>1899</v>
      </c>
      <c r="B3223" s="16">
        <v>44044</v>
      </c>
      <c r="C3223" t="s">
        <v>19</v>
      </c>
      <c r="D3223" s="21">
        <v>4776563.5200000005</v>
      </c>
      <c r="E3223" s="21">
        <v>-4776563.5200000005</v>
      </c>
      <c r="F3223" s="21">
        <v>0</v>
      </c>
    </row>
    <row r="3224" spans="1:6" x14ac:dyDescent="0.25">
      <c r="A3224">
        <v>1899</v>
      </c>
      <c r="B3224" s="16">
        <v>44044</v>
      </c>
      <c r="C3224" t="s">
        <v>35</v>
      </c>
      <c r="D3224" s="21">
        <v>3815999.9999999995</v>
      </c>
      <c r="E3224" s="21">
        <v>-3815999.9999999995</v>
      </c>
      <c r="F3224" s="21">
        <v>0</v>
      </c>
    </row>
    <row r="3225" spans="1:6" x14ac:dyDescent="0.25">
      <c r="A3225">
        <v>1899</v>
      </c>
      <c r="B3225" s="16">
        <v>44044</v>
      </c>
      <c r="C3225" t="s">
        <v>12</v>
      </c>
      <c r="D3225" s="21">
        <v>9150000</v>
      </c>
      <c r="E3225" s="21">
        <v>-9150000</v>
      </c>
      <c r="F3225" s="21">
        <v>0</v>
      </c>
    </row>
    <row r="3226" spans="1:6" x14ac:dyDescent="0.25">
      <c r="A3226">
        <v>1899</v>
      </c>
      <c r="B3226" s="16">
        <v>44044</v>
      </c>
      <c r="C3226" t="s">
        <v>39</v>
      </c>
      <c r="D3226" s="21">
        <v>4078350</v>
      </c>
      <c r="E3226" s="21">
        <v>-4078350</v>
      </c>
      <c r="F3226" s="21">
        <v>0</v>
      </c>
    </row>
    <row r="3227" spans="1:6" x14ac:dyDescent="0.25">
      <c r="A3227">
        <v>1899</v>
      </c>
      <c r="B3227" s="16">
        <v>44075</v>
      </c>
      <c r="C3227" t="s">
        <v>192</v>
      </c>
      <c r="D3227" s="21">
        <v>26936126</v>
      </c>
      <c r="E3227" s="21">
        <v>-26936126</v>
      </c>
      <c r="F3227" s="21">
        <v>0</v>
      </c>
    </row>
    <row r="3228" spans="1:6" x14ac:dyDescent="0.25">
      <c r="A3228">
        <v>1899</v>
      </c>
      <c r="B3228" s="16">
        <v>44075</v>
      </c>
      <c r="C3228" t="s">
        <v>19</v>
      </c>
      <c r="D3228" s="21">
        <v>4776563.5200000005</v>
      </c>
      <c r="E3228" s="21">
        <v>-4776563.5200000005</v>
      </c>
      <c r="F3228" s="21">
        <v>0</v>
      </c>
    </row>
    <row r="3229" spans="1:6" x14ac:dyDescent="0.25">
      <c r="A3229">
        <v>1899</v>
      </c>
      <c r="B3229" s="16">
        <v>44075</v>
      </c>
      <c r="C3229" t="s">
        <v>35</v>
      </c>
      <c r="D3229" s="21">
        <v>3815999.9999999995</v>
      </c>
      <c r="E3229" s="21">
        <v>-3815999.9999999995</v>
      </c>
      <c r="F3229" s="21">
        <v>0</v>
      </c>
    </row>
    <row r="3230" spans="1:6" x14ac:dyDescent="0.25">
      <c r="A3230">
        <v>1899</v>
      </c>
      <c r="B3230" s="16">
        <v>44075</v>
      </c>
      <c r="C3230" t="s">
        <v>12</v>
      </c>
      <c r="D3230" s="21">
        <v>9150000</v>
      </c>
      <c r="E3230" s="21">
        <v>-9150000</v>
      </c>
      <c r="F3230" s="21">
        <v>0</v>
      </c>
    </row>
    <row r="3231" spans="1:6" x14ac:dyDescent="0.25">
      <c r="A3231">
        <v>1899</v>
      </c>
      <c r="B3231" s="16">
        <v>44075</v>
      </c>
      <c r="C3231" t="s">
        <v>39</v>
      </c>
      <c r="D3231" s="21">
        <v>4078350</v>
      </c>
      <c r="E3231" s="21">
        <v>-4078350</v>
      </c>
      <c r="F3231" s="21">
        <v>0</v>
      </c>
    </row>
    <row r="3232" spans="1:6" x14ac:dyDescent="0.25">
      <c r="A3232">
        <v>1899</v>
      </c>
      <c r="B3232" s="16">
        <v>44105</v>
      </c>
      <c r="C3232" t="s">
        <v>192</v>
      </c>
      <c r="D3232" s="21">
        <v>26936126</v>
      </c>
      <c r="E3232" s="21">
        <v>-26936126</v>
      </c>
      <c r="F3232" s="21">
        <v>0</v>
      </c>
    </row>
    <row r="3233" spans="1:6" x14ac:dyDescent="0.25">
      <c r="A3233">
        <v>1899</v>
      </c>
      <c r="B3233" s="16">
        <v>44105</v>
      </c>
      <c r="C3233" t="s">
        <v>19</v>
      </c>
      <c r="D3233" s="21">
        <v>4776563.5200000005</v>
      </c>
      <c r="E3233" s="21">
        <v>-4776563.5200000005</v>
      </c>
      <c r="F3233" s="21">
        <v>0</v>
      </c>
    </row>
    <row r="3234" spans="1:6" x14ac:dyDescent="0.25">
      <c r="A3234">
        <v>1899</v>
      </c>
      <c r="B3234" s="16">
        <v>44105</v>
      </c>
      <c r="C3234" t="s">
        <v>35</v>
      </c>
      <c r="D3234" s="21">
        <v>3815999.9999999995</v>
      </c>
      <c r="E3234" s="21">
        <v>-3815999.9999999995</v>
      </c>
      <c r="F3234" s="21">
        <v>0</v>
      </c>
    </row>
    <row r="3235" spans="1:6" x14ac:dyDescent="0.25">
      <c r="A3235">
        <v>1899</v>
      </c>
      <c r="B3235" s="16">
        <v>44105</v>
      </c>
      <c r="C3235" t="s">
        <v>12</v>
      </c>
      <c r="D3235" s="21">
        <v>9150000</v>
      </c>
      <c r="E3235" s="21">
        <v>-9150000</v>
      </c>
      <c r="F3235" s="21">
        <v>0</v>
      </c>
    </row>
    <row r="3236" spans="1:6" x14ac:dyDescent="0.25">
      <c r="A3236">
        <v>1899</v>
      </c>
      <c r="B3236" s="16">
        <v>44105</v>
      </c>
      <c r="C3236" t="s">
        <v>39</v>
      </c>
      <c r="D3236" s="21">
        <v>4078350</v>
      </c>
      <c r="E3236" s="21">
        <v>-4078350</v>
      </c>
      <c r="F3236" s="21">
        <v>0</v>
      </c>
    </row>
    <row r="3237" spans="1:6" x14ac:dyDescent="0.25">
      <c r="A3237">
        <v>1899</v>
      </c>
      <c r="B3237" s="16">
        <v>44136</v>
      </c>
      <c r="C3237" t="s">
        <v>12</v>
      </c>
      <c r="D3237" s="21">
        <v>9150000</v>
      </c>
      <c r="E3237" s="21">
        <v>-9150000</v>
      </c>
      <c r="F3237" s="21">
        <v>0</v>
      </c>
    </row>
    <row r="3238" spans="1:6" x14ac:dyDescent="0.25">
      <c r="A3238">
        <v>1899</v>
      </c>
      <c r="B3238" s="16">
        <v>44136</v>
      </c>
      <c r="C3238" t="s">
        <v>192</v>
      </c>
      <c r="D3238" s="21">
        <v>26936126</v>
      </c>
      <c r="E3238" s="21">
        <v>-26936126</v>
      </c>
      <c r="F3238" s="21">
        <v>0</v>
      </c>
    </row>
    <row r="3239" spans="1:6" x14ac:dyDescent="0.25">
      <c r="A3239">
        <v>1899</v>
      </c>
      <c r="B3239" s="16">
        <v>44136</v>
      </c>
      <c r="C3239" t="s">
        <v>19</v>
      </c>
      <c r="D3239" s="21">
        <v>4776563.5200000005</v>
      </c>
      <c r="E3239" s="21">
        <v>-4776563.5200000005</v>
      </c>
      <c r="F3239" s="21">
        <v>0</v>
      </c>
    </row>
    <row r="3240" spans="1:6" x14ac:dyDescent="0.25">
      <c r="A3240">
        <v>1899</v>
      </c>
      <c r="B3240" s="16">
        <v>44136</v>
      </c>
      <c r="C3240" t="s">
        <v>35</v>
      </c>
      <c r="D3240" s="21">
        <v>3815999.9999999995</v>
      </c>
      <c r="E3240" s="21">
        <v>-3815999.9999999995</v>
      </c>
      <c r="F3240" s="21">
        <v>0</v>
      </c>
    </row>
    <row r="3241" spans="1:6" x14ac:dyDescent="0.25">
      <c r="A3241">
        <v>1899</v>
      </c>
      <c r="B3241" s="16">
        <v>44166</v>
      </c>
      <c r="C3241" t="s">
        <v>12</v>
      </c>
      <c r="D3241" s="21">
        <v>9150000</v>
      </c>
      <c r="E3241" s="21">
        <v>-9150000</v>
      </c>
      <c r="F3241" s="21">
        <v>0</v>
      </c>
    </row>
    <row r="3242" spans="1:6" x14ac:dyDescent="0.25">
      <c r="A3242">
        <v>1899</v>
      </c>
      <c r="B3242" s="16">
        <v>44166</v>
      </c>
      <c r="C3242" t="s">
        <v>192</v>
      </c>
      <c r="D3242" s="21">
        <v>26936126</v>
      </c>
      <c r="E3242" s="21">
        <v>-26936126</v>
      </c>
      <c r="F3242" s="21">
        <v>0</v>
      </c>
    </row>
    <row r="3243" spans="1:6" x14ac:dyDescent="0.25">
      <c r="A3243">
        <v>1899</v>
      </c>
      <c r="B3243" s="16">
        <v>44166</v>
      </c>
      <c r="C3243" t="s">
        <v>19</v>
      </c>
      <c r="D3243" s="21">
        <v>4776563.5200000005</v>
      </c>
      <c r="E3243" s="21">
        <v>-4776563.5200000005</v>
      </c>
      <c r="F3243" s="21">
        <v>0</v>
      </c>
    </row>
    <row r="3244" spans="1:6" x14ac:dyDescent="0.25">
      <c r="A3244">
        <v>1899</v>
      </c>
      <c r="B3244" s="16">
        <v>44166</v>
      </c>
      <c r="C3244" t="s">
        <v>35</v>
      </c>
      <c r="D3244" s="21">
        <v>3815999.9999999995</v>
      </c>
      <c r="E3244" s="21">
        <v>-3815999.9999999995</v>
      </c>
      <c r="F3244" s="21">
        <v>0</v>
      </c>
    </row>
    <row r="3245" spans="1:6" x14ac:dyDescent="0.25">
      <c r="A3245">
        <v>1899</v>
      </c>
      <c r="B3245" s="16">
        <v>44197</v>
      </c>
      <c r="C3245" t="s">
        <v>12</v>
      </c>
      <c r="D3245" s="21">
        <v>9150000</v>
      </c>
      <c r="E3245" s="21">
        <v>-9150000</v>
      </c>
      <c r="F3245" s="21">
        <v>0</v>
      </c>
    </row>
    <row r="3246" spans="1:6" x14ac:dyDescent="0.25">
      <c r="A3246">
        <v>1899</v>
      </c>
      <c r="B3246" s="16">
        <v>44197</v>
      </c>
      <c r="C3246" t="s">
        <v>192</v>
      </c>
      <c r="D3246" s="21">
        <v>26936126</v>
      </c>
      <c r="E3246" s="21">
        <v>-26936126</v>
      </c>
      <c r="F3246" s="21">
        <v>0</v>
      </c>
    </row>
    <row r="3247" spans="1:6" x14ac:dyDescent="0.25">
      <c r="A3247">
        <v>1899</v>
      </c>
      <c r="B3247" s="16">
        <v>44197</v>
      </c>
      <c r="C3247" t="s">
        <v>19</v>
      </c>
      <c r="D3247" s="21">
        <v>4776563.5200000005</v>
      </c>
      <c r="E3247" s="21">
        <v>-4776563.5200000005</v>
      </c>
      <c r="F3247" s="21">
        <v>0</v>
      </c>
    </row>
    <row r="3248" spans="1:6" x14ac:dyDescent="0.25">
      <c r="A3248">
        <v>1899</v>
      </c>
      <c r="B3248" s="16">
        <v>44197</v>
      </c>
      <c r="C3248" t="s">
        <v>35</v>
      </c>
      <c r="D3248" s="21">
        <v>3815999.9999999995</v>
      </c>
      <c r="E3248" s="21">
        <v>-3815999.9999999995</v>
      </c>
      <c r="F3248" s="21">
        <v>0</v>
      </c>
    </row>
    <row r="3249" spans="1:6" x14ac:dyDescent="0.25">
      <c r="A3249">
        <v>1899</v>
      </c>
      <c r="B3249" s="16">
        <v>44228</v>
      </c>
      <c r="C3249" t="s">
        <v>12</v>
      </c>
      <c r="D3249" s="21">
        <v>9150000</v>
      </c>
      <c r="E3249" s="21">
        <v>-9150000</v>
      </c>
      <c r="F3249" s="21">
        <v>0</v>
      </c>
    </row>
    <row r="3250" spans="1:6" x14ac:dyDescent="0.25">
      <c r="A3250">
        <v>1899</v>
      </c>
      <c r="B3250" s="16">
        <v>44228</v>
      </c>
      <c r="C3250" t="s">
        <v>192</v>
      </c>
      <c r="D3250" s="21">
        <v>26936126</v>
      </c>
      <c r="E3250" s="21">
        <v>-26936126</v>
      </c>
      <c r="F3250" s="21">
        <v>0</v>
      </c>
    </row>
    <row r="3251" spans="1:6" x14ac:dyDescent="0.25">
      <c r="A3251">
        <v>1899</v>
      </c>
      <c r="B3251" s="16">
        <v>44228</v>
      </c>
      <c r="C3251" t="s">
        <v>19</v>
      </c>
      <c r="D3251" s="21">
        <v>4776563.5200000005</v>
      </c>
      <c r="E3251" s="21">
        <v>-4776563.5200000005</v>
      </c>
      <c r="F3251" s="21">
        <v>0</v>
      </c>
    </row>
    <row r="3252" spans="1:6" x14ac:dyDescent="0.25">
      <c r="A3252">
        <v>1899</v>
      </c>
      <c r="B3252" s="16">
        <v>44228</v>
      </c>
      <c r="C3252" t="s">
        <v>35</v>
      </c>
      <c r="D3252" s="21">
        <v>3815999.9999999995</v>
      </c>
      <c r="E3252" s="21">
        <v>-3815999.9999999995</v>
      </c>
      <c r="F3252" s="21">
        <v>0</v>
      </c>
    </row>
    <row r="3253" spans="1:6" x14ac:dyDescent="0.25">
      <c r="A3253">
        <v>1899</v>
      </c>
      <c r="B3253" s="16">
        <v>44256</v>
      </c>
      <c r="C3253" t="s">
        <v>12</v>
      </c>
      <c r="D3253" s="21">
        <v>9150000</v>
      </c>
      <c r="E3253" s="21">
        <v>-9150000</v>
      </c>
      <c r="F3253" s="21">
        <v>0</v>
      </c>
    </row>
    <row r="3254" spans="1:6" x14ac:dyDescent="0.25">
      <c r="A3254">
        <v>1899</v>
      </c>
      <c r="B3254" s="16">
        <v>44256</v>
      </c>
      <c r="C3254" t="s">
        <v>19</v>
      </c>
      <c r="D3254" s="21">
        <v>4776563.5200000005</v>
      </c>
      <c r="E3254" s="21">
        <v>-4776563.5200000005</v>
      </c>
      <c r="F3254" s="21">
        <v>0</v>
      </c>
    </row>
    <row r="3255" spans="1:6" x14ac:dyDescent="0.25">
      <c r="A3255">
        <v>1899</v>
      </c>
      <c r="B3255" s="16">
        <v>44256</v>
      </c>
      <c r="C3255" t="s">
        <v>192</v>
      </c>
      <c r="D3255" s="21">
        <v>26936126</v>
      </c>
      <c r="E3255" s="21">
        <v>-26936126</v>
      </c>
      <c r="F3255" s="21">
        <v>0</v>
      </c>
    </row>
    <row r="3256" spans="1:6" x14ac:dyDescent="0.25">
      <c r="A3256">
        <v>1900</v>
      </c>
      <c r="B3256" s="16">
        <v>43556</v>
      </c>
      <c r="C3256" t="s">
        <v>38</v>
      </c>
      <c r="D3256" s="21">
        <v>9830889.3869999982</v>
      </c>
      <c r="E3256" s="21">
        <v>-9830889.3869999982</v>
      </c>
      <c r="F3256" s="21">
        <v>0</v>
      </c>
    </row>
    <row r="3257" spans="1:6" x14ac:dyDescent="0.25">
      <c r="A3257">
        <v>1900</v>
      </c>
      <c r="B3257" s="16">
        <v>43556</v>
      </c>
      <c r="C3257" t="s">
        <v>16</v>
      </c>
      <c r="D3257" s="21">
        <v>1963650</v>
      </c>
      <c r="E3257" s="21">
        <v>-1963650</v>
      </c>
      <c r="F3257" s="21">
        <v>0</v>
      </c>
    </row>
    <row r="3258" spans="1:6" x14ac:dyDescent="0.25">
      <c r="A3258">
        <v>1900</v>
      </c>
      <c r="B3258" s="16">
        <v>43556</v>
      </c>
      <c r="C3258" t="s">
        <v>122</v>
      </c>
      <c r="D3258" s="21">
        <v>6750000</v>
      </c>
      <c r="E3258" s="21">
        <v>-6750000</v>
      </c>
      <c r="F3258" s="21">
        <v>0</v>
      </c>
    </row>
    <row r="3259" spans="1:6" x14ac:dyDescent="0.25">
      <c r="A3259">
        <v>1900</v>
      </c>
      <c r="B3259" s="16">
        <v>43556</v>
      </c>
      <c r="C3259" t="s">
        <v>29</v>
      </c>
      <c r="D3259" s="21">
        <v>1961638.5</v>
      </c>
      <c r="E3259" s="21">
        <v>-1961638.5</v>
      </c>
      <c r="F3259" s="21">
        <v>0</v>
      </c>
    </row>
    <row r="3260" spans="1:6" x14ac:dyDescent="0.25">
      <c r="A3260">
        <v>1900</v>
      </c>
      <c r="B3260" s="16">
        <v>43556</v>
      </c>
      <c r="C3260" t="s">
        <v>19</v>
      </c>
      <c r="D3260" s="21">
        <v>3183727.68</v>
      </c>
      <c r="E3260" s="21">
        <v>-3183727.68</v>
      </c>
      <c r="F3260" s="21">
        <v>0</v>
      </c>
    </row>
    <row r="3261" spans="1:6" x14ac:dyDescent="0.25">
      <c r="A3261">
        <v>1900</v>
      </c>
      <c r="B3261" s="16">
        <v>43556</v>
      </c>
      <c r="C3261" t="s">
        <v>39</v>
      </c>
      <c r="D3261" s="21">
        <v>9350091</v>
      </c>
      <c r="E3261" s="21">
        <v>-9350091</v>
      </c>
      <c r="F3261" s="21">
        <v>0</v>
      </c>
    </row>
    <row r="3262" spans="1:6" x14ac:dyDescent="0.25">
      <c r="A3262">
        <v>1900</v>
      </c>
      <c r="B3262" s="16">
        <v>43556</v>
      </c>
      <c r="C3262" t="s">
        <v>192</v>
      </c>
      <c r="D3262" s="21">
        <v>43500000</v>
      </c>
      <c r="E3262" s="21">
        <v>-43500000</v>
      </c>
      <c r="F3262" s="21">
        <v>0</v>
      </c>
    </row>
    <row r="3263" spans="1:6" x14ac:dyDescent="0.25">
      <c r="A3263">
        <v>1900</v>
      </c>
      <c r="B3263" s="16">
        <v>43556</v>
      </c>
      <c r="C3263" t="s">
        <v>26</v>
      </c>
      <c r="D3263" s="21">
        <v>13236750</v>
      </c>
      <c r="E3263" s="21">
        <v>-13236750</v>
      </c>
      <c r="F3263" s="21">
        <v>0</v>
      </c>
    </row>
    <row r="3264" spans="1:6" x14ac:dyDescent="0.25">
      <c r="A3264">
        <v>1900</v>
      </c>
      <c r="B3264" s="16">
        <v>43586</v>
      </c>
      <c r="C3264" t="s">
        <v>38</v>
      </c>
      <c r="D3264" s="21">
        <v>9830889.3869999982</v>
      </c>
      <c r="E3264" s="21">
        <v>-9830889.3869999982</v>
      </c>
      <c r="F3264" s="21">
        <v>0</v>
      </c>
    </row>
    <row r="3265" spans="1:6" x14ac:dyDescent="0.25">
      <c r="A3265">
        <v>1900</v>
      </c>
      <c r="B3265" s="16">
        <v>43586</v>
      </c>
      <c r="C3265" t="s">
        <v>19</v>
      </c>
      <c r="D3265" s="21">
        <v>3183727.68</v>
      </c>
      <c r="E3265" s="21">
        <v>-3183727.68</v>
      </c>
      <c r="F3265" s="21">
        <v>0</v>
      </c>
    </row>
    <row r="3266" spans="1:6" x14ac:dyDescent="0.25">
      <c r="A3266">
        <v>1900</v>
      </c>
      <c r="B3266" s="16">
        <v>43586</v>
      </c>
      <c r="C3266" t="s">
        <v>29</v>
      </c>
      <c r="D3266" s="21">
        <v>1961638.5</v>
      </c>
      <c r="E3266" s="21">
        <v>-1961638.5</v>
      </c>
      <c r="F3266" s="21">
        <v>0</v>
      </c>
    </row>
    <row r="3267" spans="1:6" x14ac:dyDescent="0.25">
      <c r="A3267">
        <v>1900</v>
      </c>
      <c r="B3267" s="16">
        <v>43586</v>
      </c>
      <c r="C3267" t="s">
        <v>192</v>
      </c>
      <c r="D3267" s="21">
        <v>34800000</v>
      </c>
      <c r="E3267" s="21">
        <v>-34800000</v>
      </c>
      <c r="F3267" s="21">
        <v>0</v>
      </c>
    </row>
    <row r="3268" spans="1:6" x14ac:dyDescent="0.25">
      <c r="A3268">
        <v>1900</v>
      </c>
      <c r="B3268" s="16">
        <v>43586</v>
      </c>
      <c r="C3268" t="s">
        <v>39</v>
      </c>
      <c r="D3268" s="21">
        <v>4078350</v>
      </c>
      <c r="E3268" s="21">
        <v>-4078350</v>
      </c>
      <c r="F3268" s="21">
        <v>0</v>
      </c>
    </row>
    <row r="3269" spans="1:6" x14ac:dyDescent="0.25">
      <c r="A3269">
        <v>1900</v>
      </c>
      <c r="B3269" s="16">
        <v>43586</v>
      </c>
      <c r="C3269" t="s">
        <v>122</v>
      </c>
      <c r="D3269" s="21">
        <v>6750000</v>
      </c>
      <c r="E3269" s="21">
        <v>-6750000</v>
      </c>
      <c r="F3269" s="21">
        <v>0</v>
      </c>
    </row>
    <row r="3270" spans="1:6" x14ac:dyDescent="0.25">
      <c r="A3270">
        <v>1900</v>
      </c>
      <c r="B3270" s="16">
        <v>43586</v>
      </c>
      <c r="C3270" t="s">
        <v>26</v>
      </c>
      <c r="D3270" s="21">
        <v>7512750</v>
      </c>
      <c r="E3270" s="21">
        <v>-7512750</v>
      </c>
      <c r="F3270" s="21">
        <v>0</v>
      </c>
    </row>
    <row r="3271" spans="1:6" x14ac:dyDescent="0.25">
      <c r="A3271">
        <v>1900</v>
      </c>
      <c r="B3271" s="16">
        <v>43617</v>
      </c>
      <c r="C3271" t="s">
        <v>38</v>
      </c>
      <c r="D3271" s="21">
        <v>9830889.3869999982</v>
      </c>
      <c r="E3271" s="21">
        <v>-9830889.3869999982</v>
      </c>
      <c r="F3271" s="21">
        <v>0</v>
      </c>
    </row>
    <row r="3272" spans="1:6" x14ac:dyDescent="0.25">
      <c r="A3272">
        <v>1900</v>
      </c>
      <c r="B3272" s="16">
        <v>43617</v>
      </c>
      <c r="C3272" t="s">
        <v>19</v>
      </c>
      <c r="D3272" s="21">
        <v>3183727.68</v>
      </c>
      <c r="E3272" s="21">
        <v>-3183727.68</v>
      </c>
      <c r="F3272" s="21">
        <v>0</v>
      </c>
    </row>
    <row r="3273" spans="1:6" x14ac:dyDescent="0.25">
      <c r="A3273">
        <v>1900</v>
      </c>
      <c r="B3273" s="16">
        <v>43617</v>
      </c>
      <c r="C3273" t="s">
        <v>29</v>
      </c>
      <c r="D3273" s="21">
        <v>1961638.5</v>
      </c>
      <c r="E3273" s="21">
        <v>-1961638.5</v>
      </c>
      <c r="F3273" s="21">
        <v>0</v>
      </c>
    </row>
    <row r="3274" spans="1:6" x14ac:dyDescent="0.25">
      <c r="A3274">
        <v>1900</v>
      </c>
      <c r="B3274" s="16">
        <v>43617</v>
      </c>
      <c r="C3274" t="s">
        <v>192</v>
      </c>
      <c r="D3274" s="21">
        <v>34800000</v>
      </c>
      <c r="E3274" s="21">
        <v>-34800000</v>
      </c>
      <c r="F3274" s="21">
        <v>0</v>
      </c>
    </row>
    <row r="3275" spans="1:6" x14ac:dyDescent="0.25">
      <c r="A3275">
        <v>1900</v>
      </c>
      <c r="B3275" s="16">
        <v>43617</v>
      </c>
      <c r="C3275" t="s">
        <v>39</v>
      </c>
      <c r="D3275" s="21">
        <v>4078350</v>
      </c>
      <c r="E3275" s="21">
        <v>-4078350</v>
      </c>
      <c r="F3275" s="21">
        <v>0</v>
      </c>
    </row>
    <row r="3276" spans="1:6" x14ac:dyDescent="0.25">
      <c r="A3276">
        <v>1900</v>
      </c>
      <c r="B3276" s="16">
        <v>43617</v>
      </c>
      <c r="C3276" t="s">
        <v>122</v>
      </c>
      <c r="D3276" s="21">
        <v>6750000</v>
      </c>
      <c r="E3276" s="21">
        <v>-6750000</v>
      </c>
      <c r="F3276" s="21">
        <v>0</v>
      </c>
    </row>
    <row r="3277" spans="1:6" x14ac:dyDescent="0.25">
      <c r="A3277">
        <v>1900</v>
      </c>
      <c r="B3277" s="16">
        <v>43617</v>
      </c>
      <c r="C3277" t="s">
        <v>26</v>
      </c>
      <c r="D3277" s="21">
        <v>7512750</v>
      </c>
      <c r="E3277" s="21">
        <v>-7512750</v>
      </c>
      <c r="F3277" s="21">
        <v>0</v>
      </c>
    </row>
    <row r="3278" spans="1:6" x14ac:dyDescent="0.25">
      <c r="A3278">
        <v>1900</v>
      </c>
      <c r="B3278" s="16">
        <v>43647</v>
      </c>
      <c r="C3278" t="s">
        <v>38</v>
      </c>
      <c r="D3278" s="21">
        <v>4626300.8879999993</v>
      </c>
      <c r="E3278" s="21">
        <v>-4626300.8879999993</v>
      </c>
      <c r="F3278" s="21">
        <v>0</v>
      </c>
    </row>
    <row r="3279" spans="1:6" x14ac:dyDescent="0.25">
      <c r="A3279">
        <v>1900</v>
      </c>
      <c r="B3279" s="16">
        <v>43647</v>
      </c>
      <c r="C3279" t="s">
        <v>19</v>
      </c>
      <c r="D3279" s="21">
        <v>3183727.68</v>
      </c>
      <c r="E3279" s="21">
        <v>-3183727.68</v>
      </c>
      <c r="F3279" s="21">
        <v>0</v>
      </c>
    </row>
    <row r="3280" spans="1:6" x14ac:dyDescent="0.25">
      <c r="A3280">
        <v>1900</v>
      </c>
      <c r="B3280" s="16">
        <v>43647</v>
      </c>
      <c r="C3280" t="s">
        <v>29</v>
      </c>
      <c r="D3280" s="21">
        <v>1961638.5</v>
      </c>
      <c r="E3280" s="21">
        <v>-1961638.5</v>
      </c>
      <c r="F3280" s="21">
        <v>0</v>
      </c>
    </row>
    <row r="3281" spans="1:6" x14ac:dyDescent="0.25">
      <c r="A3281">
        <v>1900</v>
      </c>
      <c r="B3281" s="16">
        <v>43647</v>
      </c>
      <c r="C3281" t="s">
        <v>192</v>
      </c>
      <c r="D3281" s="21">
        <v>34800000</v>
      </c>
      <c r="E3281" s="21">
        <v>-34800000</v>
      </c>
      <c r="F3281" s="21">
        <v>0</v>
      </c>
    </row>
    <row r="3282" spans="1:6" x14ac:dyDescent="0.25">
      <c r="A3282">
        <v>1900</v>
      </c>
      <c r="B3282" s="16">
        <v>43647</v>
      </c>
      <c r="C3282" t="s">
        <v>39</v>
      </c>
      <c r="D3282" s="21">
        <v>4078350</v>
      </c>
      <c r="E3282" s="21">
        <v>-4078350</v>
      </c>
      <c r="F3282" s="21">
        <v>0</v>
      </c>
    </row>
    <row r="3283" spans="1:6" x14ac:dyDescent="0.25">
      <c r="A3283">
        <v>1900</v>
      </c>
      <c r="B3283" s="16">
        <v>43647</v>
      </c>
      <c r="C3283" t="s">
        <v>122</v>
      </c>
      <c r="D3283" s="21">
        <v>6750000</v>
      </c>
      <c r="E3283" s="21">
        <v>-6750000</v>
      </c>
      <c r="F3283" s="21">
        <v>0</v>
      </c>
    </row>
    <row r="3284" spans="1:6" x14ac:dyDescent="0.25">
      <c r="A3284">
        <v>1900</v>
      </c>
      <c r="B3284" s="16">
        <v>43647</v>
      </c>
      <c r="C3284" t="s">
        <v>26</v>
      </c>
      <c r="D3284" s="21">
        <v>7512750</v>
      </c>
      <c r="E3284" s="21">
        <v>-7512750</v>
      </c>
      <c r="F3284" s="21">
        <v>0</v>
      </c>
    </row>
    <row r="3285" spans="1:6" x14ac:dyDescent="0.25">
      <c r="A3285">
        <v>1900</v>
      </c>
      <c r="B3285" s="16">
        <v>43678</v>
      </c>
      <c r="C3285" t="s">
        <v>192</v>
      </c>
      <c r="D3285" s="21">
        <v>20600000</v>
      </c>
      <c r="E3285" s="21">
        <v>-20600000</v>
      </c>
      <c r="F3285" s="21">
        <v>0</v>
      </c>
    </row>
    <row r="3286" spans="1:6" x14ac:dyDescent="0.25">
      <c r="A3286">
        <v>1900</v>
      </c>
      <c r="B3286" s="16">
        <v>43678</v>
      </c>
      <c r="C3286" t="s">
        <v>38</v>
      </c>
      <c r="D3286" s="21">
        <v>4626300.8879999993</v>
      </c>
      <c r="E3286" s="21">
        <v>-4626300.8879999993</v>
      </c>
      <c r="F3286" s="21">
        <v>0</v>
      </c>
    </row>
    <row r="3287" spans="1:6" x14ac:dyDescent="0.25">
      <c r="A3287">
        <v>1900</v>
      </c>
      <c r="B3287" s="16">
        <v>43678</v>
      </c>
      <c r="C3287" t="s">
        <v>122</v>
      </c>
      <c r="D3287" s="21">
        <v>6750000</v>
      </c>
      <c r="E3287" s="21">
        <v>-6750000</v>
      </c>
      <c r="F3287" s="21">
        <v>0</v>
      </c>
    </row>
    <row r="3288" spans="1:6" x14ac:dyDescent="0.25">
      <c r="A3288">
        <v>1900</v>
      </c>
      <c r="B3288" s="16">
        <v>43678</v>
      </c>
      <c r="C3288" t="s">
        <v>29</v>
      </c>
      <c r="D3288" s="21">
        <v>1961638.5</v>
      </c>
      <c r="E3288" s="21">
        <v>-1961638.5</v>
      </c>
      <c r="F3288" s="21">
        <v>0</v>
      </c>
    </row>
    <row r="3289" spans="1:6" x14ac:dyDescent="0.25">
      <c r="A3289">
        <v>1900</v>
      </c>
      <c r="B3289" s="16">
        <v>43678</v>
      </c>
      <c r="C3289" t="s">
        <v>19</v>
      </c>
      <c r="D3289" s="21">
        <v>3183727.68</v>
      </c>
      <c r="E3289" s="21">
        <v>-3183727.68</v>
      </c>
      <c r="F3289" s="21">
        <v>0</v>
      </c>
    </row>
    <row r="3290" spans="1:6" x14ac:dyDescent="0.25">
      <c r="A3290">
        <v>1900</v>
      </c>
      <c r="B3290" s="16">
        <v>43678</v>
      </c>
      <c r="C3290" t="s">
        <v>39</v>
      </c>
      <c r="D3290" s="21">
        <v>4078350</v>
      </c>
      <c r="E3290" s="21">
        <v>-4078350</v>
      </c>
      <c r="F3290" s="21">
        <v>0</v>
      </c>
    </row>
    <row r="3291" spans="1:6" x14ac:dyDescent="0.25">
      <c r="A3291">
        <v>1900</v>
      </c>
      <c r="B3291" s="16">
        <v>43709</v>
      </c>
      <c r="C3291" t="s">
        <v>192</v>
      </c>
      <c r="D3291" s="21">
        <v>20600000</v>
      </c>
      <c r="E3291" s="21">
        <v>-20600000</v>
      </c>
      <c r="F3291" s="21">
        <v>0</v>
      </c>
    </row>
    <row r="3292" spans="1:6" x14ac:dyDescent="0.25">
      <c r="A3292">
        <v>1900</v>
      </c>
      <c r="B3292" s="16">
        <v>43709</v>
      </c>
      <c r="C3292" t="s">
        <v>38</v>
      </c>
      <c r="D3292" s="21">
        <v>4626300.8879999993</v>
      </c>
      <c r="E3292" s="21">
        <v>-4626300.8879999993</v>
      </c>
      <c r="F3292" s="21">
        <v>0</v>
      </c>
    </row>
    <row r="3293" spans="1:6" x14ac:dyDescent="0.25">
      <c r="A3293">
        <v>1900</v>
      </c>
      <c r="B3293" s="16">
        <v>43709</v>
      </c>
      <c r="C3293" t="s">
        <v>122</v>
      </c>
      <c r="D3293" s="21">
        <v>6750000</v>
      </c>
      <c r="E3293" s="21">
        <v>-6750000</v>
      </c>
      <c r="F3293" s="21">
        <v>0</v>
      </c>
    </row>
    <row r="3294" spans="1:6" x14ac:dyDescent="0.25">
      <c r="A3294">
        <v>1900</v>
      </c>
      <c r="B3294" s="16">
        <v>43709</v>
      </c>
      <c r="C3294" t="s">
        <v>29</v>
      </c>
      <c r="D3294" s="21">
        <v>1961638.5</v>
      </c>
      <c r="E3294" s="21">
        <v>-1961638.5</v>
      </c>
      <c r="F3294" s="21">
        <v>0</v>
      </c>
    </row>
    <row r="3295" spans="1:6" x14ac:dyDescent="0.25">
      <c r="A3295">
        <v>1900</v>
      </c>
      <c r="B3295" s="16">
        <v>43709</v>
      </c>
      <c r="C3295" t="s">
        <v>19</v>
      </c>
      <c r="D3295" s="21">
        <v>3183727.68</v>
      </c>
      <c r="E3295" s="21">
        <v>-3183727.68</v>
      </c>
      <c r="F3295" s="21">
        <v>0</v>
      </c>
    </row>
    <row r="3296" spans="1:6" x14ac:dyDescent="0.25">
      <c r="A3296">
        <v>1900</v>
      </c>
      <c r="B3296" s="16">
        <v>43709</v>
      </c>
      <c r="C3296" t="s">
        <v>39</v>
      </c>
      <c r="D3296" s="21">
        <v>4078350</v>
      </c>
      <c r="E3296" s="21">
        <v>-4078350</v>
      </c>
      <c r="F3296" s="21">
        <v>0</v>
      </c>
    </row>
    <row r="3297" spans="1:6" x14ac:dyDescent="0.25">
      <c r="A3297">
        <v>1900</v>
      </c>
      <c r="B3297" s="16">
        <v>43739</v>
      </c>
      <c r="C3297" t="s">
        <v>192</v>
      </c>
      <c r="D3297" s="21">
        <v>20600000</v>
      </c>
      <c r="E3297" s="21">
        <v>-20600000</v>
      </c>
      <c r="F3297" s="21">
        <v>0</v>
      </c>
    </row>
    <row r="3298" spans="1:6" x14ac:dyDescent="0.25">
      <c r="A3298">
        <v>1900</v>
      </c>
      <c r="B3298" s="16">
        <v>43739</v>
      </c>
      <c r="C3298" t="s">
        <v>38</v>
      </c>
      <c r="D3298" s="21">
        <v>4626300.8879999993</v>
      </c>
      <c r="E3298" s="21">
        <v>-4626300.8879999993</v>
      </c>
      <c r="F3298" s="21">
        <v>0</v>
      </c>
    </row>
    <row r="3299" spans="1:6" x14ac:dyDescent="0.25">
      <c r="A3299">
        <v>1900</v>
      </c>
      <c r="B3299" s="16">
        <v>43739</v>
      </c>
      <c r="C3299" t="s">
        <v>122</v>
      </c>
      <c r="D3299" s="21">
        <v>6750000</v>
      </c>
      <c r="E3299" s="21">
        <v>-6750000</v>
      </c>
      <c r="F3299" s="21">
        <v>0</v>
      </c>
    </row>
    <row r="3300" spans="1:6" x14ac:dyDescent="0.25">
      <c r="A3300">
        <v>1900</v>
      </c>
      <c r="B3300" s="16">
        <v>43739</v>
      </c>
      <c r="C3300" t="s">
        <v>29</v>
      </c>
      <c r="D3300" s="21">
        <v>1961638.5</v>
      </c>
      <c r="E3300" s="21">
        <v>-1961638.5</v>
      </c>
      <c r="F3300" s="21">
        <v>0</v>
      </c>
    </row>
    <row r="3301" spans="1:6" x14ac:dyDescent="0.25">
      <c r="A3301">
        <v>1900</v>
      </c>
      <c r="B3301" s="16">
        <v>43739</v>
      </c>
      <c r="C3301" t="s">
        <v>19</v>
      </c>
      <c r="D3301" s="21">
        <v>3183727.68</v>
      </c>
      <c r="E3301" s="21">
        <v>-3183727.68</v>
      </c>
      <c r="F3301" s="21">
        <v>0</v>
      </c>
    </row>
    <row r="3302" spans="1:6" x14ac:dyDescent="0.25">
      <c r="A3302">
        <v>1900</v>
      </c>
      <c r="B3302" s="16">
        <v>43739</v>
      </c>
      <c r="C3302" t="s">
        <v>39</v>
      </c>
      <c r="D3302" s="21">
        <v>4078350</v>
      </c>
      <c r="E3302" s="21">
        <v>-4078350</v>
      </c>
      <c r="F3302" s="21">
        <v>0</v>
      </c>
    </row>
    <row r="3303" spans="1:6" x14ac:dyDescent="0.25">
      <c r="A3303">
        <v>1900</v>
      </c>
      <c r="B3303" s="16">
        <v>43770</v>
      </c>
      <c r="C3303" t="s">
        <v>192</v>
      </c>
      <c r="D3303" s="21">
        <v>20600000</v>
      </c>
      <c r="E3303" s="21">
        <v>-20600000</v>
      </c>
      <c r="F3303" s="21">
        <v>0</v>
      </c>
    </row>
    <row r="3304" spans="1:6" x14ac:dyDescent="0.25">
      <c r="A3304">
        <v>1900</v>
      </c>
      <c r="B3304" s="16">
        <v>43770</v>
      </c>
      <c r="C3304" t="s">
        <v>19</v>
      </c>
      <c r="D3304" s="21">
        <v>3183727.68</v>
      </c>
      <c r="E3304" s="21">
        <v>-3183727.68</v>
      </c>
      <c r="F3304" s="21">
        <v>0</v>
      </c>
    </row>
    <row r="3305" spans="1:6" x14ac:dyDescent="0.25">
      <c r="A3305">
        <v>1900</v>
      </c>
      <c r="B3305" s="16">
        <v>43770</v>
      </c>
      <c r="C3305" t="s">
        <v>38</v>
      </c>
      <c r="D3305" s="21">
        <v>4626300.8879999993</v>
      </c>
      <c r="E3305" s="21">
        <v>-4626300.8879999993</v>
      </c>
      <c r="F3305" s="21">
        <v>0</v>
      </c>
    </row>
    <row r="3306" spans="1:6" x14ac:dyDescent="0.25">
      <c r="A3306">
        <v>1900</v>
      </c>
      <c r="B3306" s="16">
        <v>43770</v>
      </c>
      <c r="C3306" t="s">
        <v>122</v>
      </c>
      <c r="D3306" s="21">
        <v>6750000</v>
      </c>
      <c r="E3306" s="21">
        <v>-6750000</v>
      </c>
      <c r="F3306" s="21">
        <v>0</v>
      </c>
    </row>
    <row r="3307" spans="1:6" x14ac:dyDescent="0.25">
      <c r="A3307">
        <v>1900</v>
      </c>
      <c r="B3307" s="16">
        <v>43770</v>
      </c>
      <c r="C3307" t="s">
        <v>39</v>
      </c>
      <c r="D3307" s="21">
        <v>4078350</v>
      </c>
      <c r="E3307" s="21">
        <v>-4078350</v>
      </c>
      <c r="F3307" s="21">
        <v>0</v>
      </c>
    </row>
    <row r="3308" spans="1:6" x14ac:dyDescent="0.25">
      <c r="A3308">
        <v>1900</v>
      </c>
      <c r="B3308" s="16">
        <v>43800</v>
      </c>
      <c r="C3308" t="s">
        <v>192</v>
      </c>
      <c r="D3308" s="21">
        <v>20600000</v>
      </c>
      <c r="E3308" s="21">
        <v>-20600000</v>
      </c>
      <c r="F3308" s="21">
        <v>0</v>
      </c>
    </row>
    <row r="3309" spans="1:6" x14ac:dyDescent="0.25">
      <c r="A3309">
        <v>1900</v>
      </c>
      <c r="B3309" s="16">
        <v>43800</v>
      </c>
      <c r="C3309" t="s">
        <v>19</v>
      </c>
      <c r="D3309" s="21">
        <v>3183727.68</v>
      </c>
      <c r="E3309" s="21">
        <v>-3183727.68</v>
      </c>
      <c r="F3309" s="21">
        <v>0</v>
      </c>
    </row>
    <row r="3310" spans="1:6" x14ac:dyDescent="0.25">
      <c r="A3310">
        <v>1900</v>
      </c>
      <c r="B3310" s="16">
        <v>43800</v>
      </c>
      <c r="C3310" t="s">
        <v>38</v>
      </c>
      <c r="D3310" s="21">
        <v>4626300.8879999993</v>
      </c>
      <c r="E3310" s="21">
        <v>-4626300.8879999993</v>
      </c>
      <c r="F3310" s="21">
        <v>0</v>
      </c>
    </row>
    <row r="3311" spans="1:6" x14ac:dyDescent="0.25">
      <c r="A3311">
        <v>1900</v>
      </c>
      <c r="B3311" s="16">
        <v>43800</v>
      </c>
      <c r="C3311" t="s">
        <v>122</v>
      </c>
      <c r="D3311" s="21">
        <v>6750000</v>
      </c>
      <c r="E3311" s="21">
        <v>-6750000</v>
      </c>
      <c r="F3311" s="21">
        <v>0</v>
      </c>
    </row>
    <row r="3312" spans="1:6" x14ac:dyDescent="0.25">
      <c r="A3312">
        <v>1900</v>
      </c>
      <c r="B3312" s="16">
        <v>43800</v>
      </c>
      <c r="C3312" t="s">
        <v>39</v>
      </c>
      <c r="D3312" s="21">
        <v>4078350</v>
      </c>
      <c r="E3312" s="21">
        <v>-4078350</v>
      </c>
      <c r="F3312" s="21">
        <v>0</v>
      </c>
    </row>
    <row r="3313" spans="1:6" x14ac:dyDescent="0.25">
      <c r="A3313">
        <v>1900</v>
      </c>
      <c r="B3313" s="16">
        <v>43831</v>
      </c>
      <c r="C3313" t="s">
        <v>122</v>
      </c>
      <c r="D3313" s="21">
        <v>6750000</v>
      </c>
      <c r="E3313" s="21">
        <v>-6750000</v>
      </c>
      <c r="F3313" s="21">
        <v>0</v>
      </c>
    </row>
    <row r="3314" spans="1:6" x14ac:dyDescent="0.25">
      <c r="A3314">
        <v>1900</v>
      </c>
      <c r="B3314" s="16">
        <v>43831</v>
      </c>
      <c r="C3314" t="s">
        <v>192</v>
      </c>
      <c r="D3314" s="21">
        <v>20600000</v>
      </c>
      <c r="E3314" s="21">
        <v>-20600000</v>
      </c>
      <c r="F3314" s="21">
        <v>0</v>
      </c>
    </row>
    <row r="3315" spans="1:6" x14ac:dyDescent="0.25">
      <c r="A3315">
        <v>1900</v>
      </c>
      <c r="B3315" s="16">
        <v>43831</v>
      </c>
      <c r="C3315" t="s">
        <v>19</v>
      </c>
      <c r="D3315" s="21">
        <v>3183727.68</v>
      </c>
      <c r="E3315" s="21">
        <v>-3183727.68</v>
      </c>
      <c r="F3315" s="21">
        <v>0</v>
      </c>
    </row>
    <row r="3316" spans="1:6" x14ac:dyDescent="0.25">
      <c r="A3316">
        <v>1900</v>
      </c>
      <c r="B3316" s="16">
        <v>43831</v>
      </c>
      <c r="C3316" t="s">
        <v>39</v>
      </c>
      <c r="D3316" s="21">
        <v>4078350</v>
      </c>
      <c r="E3316" s="21">
        <v>-4078350</v>
      </c>
      <c r="F3316" s="21">
        <v>0</v>
      </c>
    </row>
    <row r="3317" spans="1:6" x14ac:dyDescent="0.25">
      <c r="A3317" t="s">
        <v>261</v>
      </c>
      <c r="B3317"/>
      <c r="D3317" s="21">
        <v>30576935034.831932</v>
      </c>
      <c r="E3317" s="21">
        <v>-29997470178.442394</v>
      </c>
      <c r="F3317" s="21">
        <v>579464856.38958251</v>
      </c>
    </row>
    <row r="3318" spans="1:6" x14ac:dyDescent="0.25">
      <c r="B3318"/>
    </row>
    <row r="3319" spans="1:6" x14ac:dyDescent="0.25">
      <c r="B3319"/>
    </row>
    <row r="3320" spans="1:6" x14ac:dyDescent="0.25">
      <c r="B3320"/>
    </row>
    <row r="3321" spans="1:6" x14ac:dyDescent="0.25">
      <c r="B3321"/>
    </row>
    <row r="3322" spans="1:6" x14ac:dyDescent="0.25">
      <c r="B3322"/>
    </row>
    <row r="3323" spans="1:6" x14ac:dyDescent="0.25">
      <c r="B3323"/>
    </row>
    <row r="3324" spans="1:6" x14ac:dyDescent="0.25">
      <c r="B3324"/>
    </row>
    <row r="3325" spans="1:6" x14ac:dyDescent="0.25">
      <c r="B3325"/>
    </row>
    <row r="3326" spans="1:6" x14ac:dyDescent="0.25">
      <c r="B3326"/>
    </row>
    <row r="3327" spans="1:6" x14ac:dyDescent="0.25">
      <c r="B3327"/>
    </row>
    <row r="3328" spans="1:6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25"/>
  <sheetViews>
    <sheetView workbookViewId="0">
      <selection activeCell="C2" sqref="C2:D25"/>
    </sheetView>
  </sheetViews>
  <sheetFormatPr baseColWidth="10" defaultRowHeight="15" x14ac:dyDescent="0.25"/>
  <cols>
    <col min="2" max="2" width="11.42578125" style="16"/>
    <col min="3" max="3" width="55.5703125" bestFit="1" customWidth="1"/>
  </cols>
  <sheetData>
    <row r="1" spans="1:4" x14ac:dyDescent="0.25">
      <c r="A1" t="s">
        <v>184</v>
      </c>
      <c r="B1" s="16" t="s">
        <v>224</v>
      </c>
      <c r="C1" t="s">
        <v>225</v>
      </c>
      <c r="D1" t="s">
        <v>261</v>
      </c>
    </row>
    <row r="2" spans="1:4" x14ac:dyDescent="0.25">
      <c r="A2">
        <v>1618</v>
      </c>
      <c r="B2" s="16">
        <v>43525</v>
      </c>
      <c r="C2" t="s">
        <v>29</v>
      </c>
      <c r="D2">
        <v>2694198.4714365834</v>
      </c>
    </row>
    <row r="3" spans="1:4" x14ac:dyDescent="0.25">
      <c r="A3">
        <v>1618</v>
      </c>
      <c r="B3" s="16">
        <v>43525</v>
      </c>
      <c r="C3" t="s">
        <v>12</v>
      </c>
      <c r="D3">
        <v>10573456.644736286</v>
      </c>
    </row>
    <row r="4" spans="1:4" x14ac:dyDescent="0.25">
      <c r="A4">
        <v>1618</v>
      </c>
      <c r="B4" s="16">
        <v>43556</v>
      </c>
      <c r="C4" t="s">
        <v>29</v>
      </c>
      <c r="D4">
        <v>2694198.4714365834</v>
      </c>
    </row>
    <row r="5" spans="1:4" x14ac:dyDescent="0.25">
      <c r="A5">
        <v>1618</v>
      </c>
      <c r="B5" s="16">
        <v>43556</v>
      </c>
      <c r="C5" t="s">
        <v>12</v>
      </c>
      <c r="D5">
        <v>10573456.644736286</v>
      </c>
    </row>
    <row r="6" spans="1:4" x14ac:dyDescent="0.25">
      <c r="A6">
        <v>1689</v>
      </c>
      <c r="B6" s="16">
        <v>43800</v>
      </c>
      <c r="C6" t="s">
        <v>36</v>
      </c>
      <c r="D6">
        <v>3533997.5999999996</v>
      </c>
    </row>
    <row r="7" spans="1:4" x14ac:dyDescent="0.25">
      <c r="A7">
        <v>1689</v>
      </c>
      <c r="B7" s="16">
        <v>43800</v>
      </c>
      <c r="C7" t="s">
        <v>12</v>
      </c>
      <c r="D7">
        <v>9724050.0000000019</v>
      </c>
    </row>
    <row r="8" spans="1:4" x14ac:dyDescent="0.25">
      <c r="A8">
        <v>1715</v>
      </c>
      <c r="B8" s="16">
        <v>43556</v>
      </c>
      <c r="C8" t="s">
        <v>277</v>
      </c>
      <c r="D8">
        <v>236250</v>
      </c>
    </row>
    <row r="9" spans="1:4" x14ac:dyDescent="0.25">
      <c r="A9">
        <v>1715</v>
      </c>
      <c r="B9" s="16">
        <v>43556</v>
      </c>
      <c r="C9" t="s">
        <v>91</v>
      </c>
      <c r="D9">
        <v>441000</v>
      </c>
    </row>
    <row r="10" spans="1:4" x14ac:dyDescent="0.25">
      <c r="A10">
        <v>1715</v>
      </c>
      <c r="B10" s="16">
        <v>43556</v>
      </c>
      <c r="C10" t="s">
        <v>29</v>
      </c>
      <c r="D10">
        <v>1063125</v>
      </c>
    </row>
    <row r="11" spans="1:4" x14ac:dyDescent="0.25">
      <c r="A11">
        <v>1715</v>
      </c>
      <c r="B11" s="16">
        <v>43556</v>
      </c>
      <c r="C11" t="s">
        <v>16</v>
      </c>
      <c r="D11">
        <v>1181250</v>
      </c>
    </row>
    <row r="12" spans="1:4" x14ac:dyDescent="0.25">
      <c r="A12">
        <v>1715</v>
      </c>
      <c r="B12" s="16">
        <v>43556</v>
      </c>
      <c r="C12" t="s">
        <v>39</v>
      </c>
      <c r="D12">
        <v>4095000</v>
      </c>
    </row>
    <row r="13" spans="1:4" x14ac:dyDescent="0.25">
      <c r="A13">
        <v>1715</v>
      </c>
      <c r="B13" s="16">
        <v>43556</v>
      </c>
      <c r="C13" t="s">
        <v>12</v>
      </c>
      <c r="D13">
        <v>9450000</v>
      </c>
    </row>
    <row r="14" spans="1:4" x14ac:dyDescent="0.25">
      <c r="A14">
        <v>1715</v>
      </c>
      <c r="B14" s="16">
        <v>43556</v>
      </c>
      <c r="C14" t="s">
        <v>19</v>
      </c>
      <c r="D14">
        <v>9976365</v>
      </c>
    </row>
    <row r="15" spans="1:4" x14ac:dyDescent="0.25">
      <c r="A15">
        <v>1715</v>
      </c>
      <c r="B15" s="16">
        <v>43556</v>
      </c>
      <c r="C15" t="s">
        <v>192</v>
      </c>
      <c r="D15">
        <v>29406606.749999996</v>
      </c>
    </row>
    <row r="16" spans="1:4" x14ac:dyDescent="0.25">
      <c r="A16">
        <v>1751</v>
      </c>
      <c r="B16" s="16">
        <v>43525</v>
      </c>
      <c r="C16" t="s">
        <v>192</v>
      </c>
      <c r="D16">
        <v>15500000</v>
      </c>
    </row>
    <row r="17" spans="1:4" x14ac:dyDescent="0.25">
      <c r="A17">
        <v>1751</v>
      </c>
      <c r="B17" s="16">
        <v>43556</v>
      </c>
      <c r="C17" t="s">
        <v>192</v>
      </c>
      <c r="D17">
        <v>15500000</v>
      </c>
    </row>
    <row r="18" spans="1:4" x14ac:dyDescent="0.25">
      <c r="A18">
        <v>1751</v>
      </c>
      <c r="B18" s="16">
        <v>43586</v>
      </c>
      <c r="C18" t="s">
        <v>192</v>
      </c>
      <c r="D18">
        <v>15500000</v>
      </c>
    </row>
    <row r="19" spans="1:4" x14ac:dyDescent="0.25">
      <c r="A19">
        <v>1756</v>
      </c>
      <c r="B19" s="16">
        <v>43617</v>
      </c>
      <c r="C19" t="s">
        <v>192</v>
      </c>
      <c r="D19">
        <v>62778573</v>
      </c>
    </row>
    <row r="20" spans="1:4" x14ac:dyDescent="0.25">
      <c r="A20">
        <v>1756</v>
      </c>
      <c r="B20" s="16">
        <v>43647</v>
      </c>
      <c r="C20" t="s">
        <v>192</v>
      </c>
      <c r="D20">
        <v>62778573</v>
      </c>
    </row>
    <row r="21" spans="1:4" x14ac:dyDescent="0.25">
      <c r="A21">
        <v>1756</v>
      </c>
      <c r="B21" s="16">
        <v>43678</v>
      </c>
      <c r="C21" t="s">
        <v>192</v>
      </c>
      <c r="D21">
        <v>62778573</v>
      </c>
    </row>
    <row r="22" spans="1:4" x14ac:dyDescent="0.25">
      <c r="A22">
        <v>1756</v>
      </c>
      <c r="B22" s="16">
        <v>43709</v>
      </c>
      <c r="C22" t="s">
        <v>192</v>
      </c>
      <c r="D22">
        <v>62778573</v>
      </c>
    </row>
    <row r="23" spans="1:4" x14ac:dyDescent="0.25">
      <c r="A23">
        <v>1804</v>
      </c>
      <c r="B23" s="16">
        <v>43497</v>
      </c>
      <c r="C23" t="s">
        <v>192</v>
      </c>
      <c r="D23">
        <v>29813870</v>
      </c>
    </row>
    <row r="24" spans="1:4" x14ac:dyDescent="0.25">
      <c r="A24">
        <v>1804</v>
      </c>
      <c r="B24" s="16">
        <v>43525</v>
      </c>
      <c r="C24" t="s">
        <v>192</v>
      </c>
      <c r="D24">
        <v>29813870</v>
      </c>
    </row>
    <row r="25" spans="1:4" x14ac:dyDescent="0.25">
      <c r="A25">
        <v>1813</v>
      </c>
      <c r="B25" s="16">
        <v>43586</v>
      </c>
      <c r="C25" t="s">
        <v>192</v>
      </c>
      <c r="D25">
        <v>126579869.80723679</v>
      </c>
    </row>
  </sheetData>
  <autoFilter ref="A1:D2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PROYECTO</vt:lpstr>
      <vt:lpstr>PERSONAS</vt:lpstr>
      <vt:lpstr>HONORARIOS</vt:lpstr>
      <vt:lpstr>SIMULACION</vt:lpstr>
      <vt:lpstr>DATOS_SIMULACION</vt:lpstr>
      <vt:lpstr>TABLA DINÁMICA</vt:lpstr>
      <vt:lpstr>COMPARACION</vt:lpstr>
      <vt:lpstr>TD OTROSÍES</vt:lpstr>
      <vt:lpstr>OTROSÍES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PROYECTO</dc:creator>
  <cp:lastModifiedBy>Andres Madrigal C</cp:lastModifiedBy>
  <dcterms:created xsi:type="dcterms:W3CDTF">2019-01-16T23:12:38Z</dcterms:created>
  <dcterms:modified xsi:type="dcterms:W3CDTF">2019-05-07T15:17:45Z</dcterms:modified>
</cp:coreProperties>
</file>